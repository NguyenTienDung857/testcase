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D:\BUILT IN CAM - NEW\TESTCASE\FILE  DA TEST\20260511 - FULL TEST - DL8\"/>
    </mc:Choice>
  </mc:AlternateContent>
  <bookViews>
    <workbookView xWindow="0" yWindow="0" windowWidth="28800" windowHeight="12210" tabRatio="821" activeTab="3"/>
  </bookViews>
  <sheets>
    <sheet name="주행 중 녹화 기능" sheetId="6" r:id="rId1"/>
    <sheet name="주차 후 녹화 기능" sheetId="7" r:id="rId2"/>
    <sheet name="HU 연동기능" sheetId="8" r:id="rId3"/>
    <sheet name="보조배터리 연동기능" sheetId="9" r:id="rId4"/>
    <sheet name="표시 관련 서비스" sheetId="12" r:id="rId5"/>
    <sheet name="커넥티드 관련 서비스" sheetId="13" r:id="rId6"/>
    <sheet name="차량정보 저장기능" sheetId="14" r:id="rId7"/>
    <sheet name="파일 재생 및 편집" sheetId="15" r:id="rId8"/>
    <sheet name="저장메모리 및 파일관리" sheetId="16" r:id="rId9"/>
    <sheet name="녹화 외 기본기능" sheetId="17" r:id="rId10"/>
    <sheet name="동작 성능" sheetId="18" r:id="rId11"/>
    <sheet name="비기능 외" sheetId="19" r:id="rId12"/>
    <sheet name="진단서비스 (1)" sheetId="20" r:id="rId13"/>
    <sheet name="OTA" sheetId="24" r:id="rId14"/>
  </sheets>
  <functionGroups builtInGroupCount="18"/>
  <definedNames>
    <definedName name="_xlnm._FilterDatabase" localSheetId="7" hidden="1">'파일 재생 및 편집'!$Q$1:$Q$508</definedName>
    <definedName name="입력조건" localSheetId="2">#REF!</definedName>
    <definedName name="입력조건" localSheetId="9">#REF!</definedName>
    <definedName name="입력조건" localSheetId="10">#REF!</definedName>
    <definedName name="입력조건" localSheetId="3">#REF!</definedName>
    <definedName name="입력조건" localSheetId="11">#REF!</definedName>
    <definedName name="입력조건" localSheetId="8">#REF!</definedName>
    <definedName name="입력조건" localSheetId="1">#REF!</definedName>
    <definedName name="입력조건" localSheetId="6">#REF!</definedName>
    <definedName name="입력조건" localSheetId="5">#REF!</definedName>
    <definedName name="입력조건" localSheetId="7">#REF!</definedName>
    <definedName name="입력조건" localSheetId="4">#REF!</definedName>
    <definedName name="입력조건">#REF!</definedName>
    <definedName name="판정기준" localSheetId="2">#REF!</definedName>
    <definedName name="판정기준" localSheetId="9">#REF!</definedName>
    <definedName name="판정기준" localSheetId="10">#REF!</definedName>
    <definedName name="판정기준" localSheetId="3">#REF!</definedName>
    <definedName name="판정기준" localSheetId="11">#REF!</definedName>
    <definedName name="판정기준" localSheetId="8">#REF!</definedName>
    <definedName name="판정기준" localSheetId="1">#REF!</definedName>
    <definedName name="판정기준" localSheetId="6">#REF!</definedName>
    <definedName name="판정기준" localSheetId="5">#REF!</definedName>
    <definedName name="판정기준" localSheetId="7">#REF!</definedName>
    <definedName name="판정기준" localSheetId="4">#REF!</definedName>
    <definedName name="판정기준">#REF!</definedName>
    <definedName name="항목" localSheetId="2">#REF!</definedName>
    <definedName name="항목" localSheetId="9">#REF!</definedName>
    <definedName name="항목" localSheetId="10">#REF!</definedName>
    <definedName name="항목" localSheetId="3">#REF!</definedName>
    <definedName name="항목" localSheetId="11">#REF!</definedName>
    <definedName name="항목" localSheetId="8">#REF!</definedName>
    <definedName name="항목" localSheetId="1">#REF!</definedName>
    <definedName name="항목" localSheetId="6">#REF!</definedName>
    <definedName name="항목" localSheetId="5">#REF!</definedName>
    <definedName name="항목" localSheetId="7">#REF!</definedName>
    <definedName name="항목" localSheetId="4">#REF!</definedName>
    <definedName name="항목">#REF!</definedName>
  </definedNames>
  <calcPr calcId="162913"/>
</workbook>
</file>

<file path=xl/calcChain.xml><?xml version="1.0" encoding="utf-8"?>
<calcChain xmlns="http://schemas.openxmlformats.org/spreadsheetml/2006/main">
  <c r="B1" i="20" l="1" a="1"/>
  <c r="B1" i="20" s="1"/>
  <c r="B1" i="19" a="1"/>
  <c r="B1" i="19" s="1"/>
  <c r="B1" i="18" a="1"/>
  <c r="B1" i="18" s="1"/>
  <c r="B1" i="17" a="1"/>
  <c r="B1" i="17" s="1"/>
  <c r="W81" i="16"/>
  <c r="U81" i="16"/>
  <c r="U80" i="16"/>
  <c r="W80" i="16" s="1"/>
  <c r="W79" i="16"/>
  <c r="U79" i="16"/>
  <c r="W78" i="16"/>
  <c r="U78" i="16"/>
  <c r="U77" i="16"/>
  <c r="W77" i="16" s="1"/>
  <c r="W75" i="16"/>
  <c r="U75" i="16"/>
  <c r="W74" i="16"/>
  <c r="U74" i="16"/>
  <c r="U72" i="16"/>
  <c r="W72" i="16" s="1"/>
  <c r="U71" i="16"/>
  <c r="W71" i="16" s="1"/>
  <c r="W70" i="16"/>
  <c r="U70" i="16"/>
  <c r="U69" i="16"/>
  <c r="W69" i="16" s="1"/>
  <c r="U68" i="16"/>
  <c r="W68" i="16" s="1"/>
  <c r="U66" i="16"/>
  <c r="W66" i="16" s="1"/>
  <c r="U65" i="16"/>
  <c r="W65" i="16" s="1"/>
  <c r="B1" i="16" a="1"/>
  <c r="B1" i="16" s="1"/>
  <c r="B1" i="15" a="1"/>
  <c r="B1" i="15" s="1"/>
  <c r="B1" i="14" a="1"/>
  <c r="B1" i="14" s="1"/>
  <c r="B1" i="13" a="1"/>
  <c r="B1" i="13" s="1"/>
  <c r="B1" i="12" a="1"/>
  <c r="B1" i="12" s="1"/>
  <c r="B1" i="9" a="1"/>
  <c r="B1" i="9" s="1"/>
  <c r="B1" i="8" a="1"/>
  <c r="B1" i="8" s="1"/>
  <c r="B1" i="7" a="1"/>
  <c r="B1" i="7" s="1"/>
</calcChain>
</file>

<file path=xl/sharedStrings.xml><?xml version="1.0" encoding="utf-8"?>
<sst xmlns="http://schemas.openxmlformats.org/spreadsheetml/2006/main" count="25460" uniqueCount="8000">
  <si>
    <t>내용</t>
  </si>
  <si>
    <t>사양구분</t>
  </si>
  <si>
    <t>-</t>
  </si>
  <si>
    <t>[LIN] BMS_INFO_01(ID:0x12)</t>
  </si>
  <si>
    <t>[LIN] BMS_INFO_02(ID:0x13)</t>
  </si>
  <si>
    <t>SID 22 [$F1C1] ECUSoftwareUNIT1IVDDataIdentifier</t>
  </si>
  <si>
    <t>[BLTN_CAM_STAT_PE_00_200ms] BLTN_CAM_Prk_Oped_Time</t>
  </si>
  <si>
    <t>주차녹화_지원</t>
  </si>
  <si>
    <t>DriveTypeOption' Left Handle</t>
  </si>
  <si>
    <t>FR Door Open→ Close</t>
  </si>
  <si>
    <t>FR Door Close→ Open</t>
  </si>
  <si>
    <t>Trunk Open→ Close</t>
  </si>
  <si>
    <t>SMK_TrmnlCtrlGrpStaBDC = 0 :OFF(Init Value)</t>
  </si>
  <si>
    <t>SMK_TrmnlCtrlGrpStaBDC = 1 :ACC</t>
  </si>
  <si>
    <t>SMK_TrmnlCtrlGrpStaBDC = 2 :IGN</t>
  </si>
  <si>
    <t>SMK_TrmnlCtrlGrpStaBDC = 3 :Cranking</t>
  </si>
  <si>
    <t>SMK_TrmnlCtrlGrpStaBDC = 4 :Engine Running</t>
  </si>
  <si>
    <t>SMK_TrmnlCtrlGrpStaBDC = 4 → 0</t>
  </si>
  <si>
    <t>SMK_TrmnlCtrlGrpStaBDC = 4 → 5~6 :Reserved</t>
  </si>
  <si>
    <t>SMK_TrmnlCtrlGrpStaBDC = 4 → Time-out</t>
  </si>
  <si>
    <t>SMK_TrmnlCtrlGrpStaBDCEV = 0 :OFF(Init Value)</t>
  </si>
  <si>
    <t>SMK_TrmnlCtrlGrpStaBDCEV = 1 :Standby</t>
  </si>
  <si>
    <t>SMK_TrmnlCtrlGrpStaBDCEV = 2 :Cranking</t>
  </si>
  <si>
    <t>SMK_TrmnlCtrlGrpStaBDCEV = 3 :Ready</t>
  </si>
  <si>
    <t>SMK_TrmnlCtrlGrpStaBDCEV = 3 → 0</t>
  </si>
  <si>
    <t>SMK_TrmnlCtrlGrpStaBDCEV = 3 → 4~6 :Reserved</t>
  </si>
  <si>
    <t>SMK_TrmnlCtrlGrpStaBDCEV = 3 → 7 :Error Indicator</t>
  </si>
  <si>
    <t>SMK_TrmnlCtrlGrpStaBDCEV = 3 → Time-out</t>
  </si>
  <si>
    <t>SID 22 [$F17-]</t>
  </si>
  <si>
    <t>SID 22 [$ED90] Read Non-Sleep Status Service</t>
  </si>
  <si>
    <t>SID 22 [$A220] Read OEM Sub Battery State Service</t>
  </si>
  <si>
    <t>BAT_013</t>
  </si>
  <si>
    <t>BAT_032</t>
  </si>
  <si>
    <t>BAT_037</t>
  </si>
  <si>
    <t>IND_005</t>
  </si>
  <si>
    <t>CCS_012</t>
  </si>
  <si>
    <t>MEM_007</t>
  </si>
  <si>
    <t>MEM_019</t>
  </si>
  <si>
    <t>MEM_038</t>
  </si>
  <si>
    <t>BAS_015</t>
  </si>
  <si>
    <t>ETC_020</t>
  </si>
  <si>
    <t>HU_027</t>
  </si>
  <si>
    <t>HU_028</t>
  </si>
  <si>
    <t>BAT_036</t>
  </si>
  <si>
    <t>BAT_016</t>
  </si>
  <si>
    <t>[BLTN_CAM_STAT_PE_00_200ms] BLTN_CAM_Prk_Oprable_Time_Max</t>
  </si>
  <si>
    <t>HU_006</t>
  </si>
  <si>
    <t>HU_007</t>
  </si>
  <si>
    <t>OWP_001</t>
  </si>
  <si>
    <t>BAT_049</t>
  </si>
  <si>
    <t>BAT_051</t>
  </si>
  <si>
    <t>BAT_053</t>
  </si>
  <si>
    <t>BAS_007</t>
  </si>
  <si>
    <t>DIA_035</t>
  </si>
  <si>
    <t>OWP_016</t>
  </si>
  <si>
    <t>OWP_017</t>
  </si>
  <si>
    <t>OWP_018</t>
  </si>
  <si>
    <t>OWP_019</t>
  </si>
  <si>
    <t>MEM_001</t>
  </si>
  <si>
    <t>MEM_002</t>
  </si>
  <si>
    <t>MEM_003</t>
  </si>
  <si>
    <t>MEM_004</t>
  </si>
  <si>
    <t>MEM_005</t>
  </si>
  <si>
    <t>MEM_006</t>
  </si>
  <si>
    <t>MEM_008</t>
  </si>
  <si>
    <t>MEM_009</t>
  </si>
  <si>
    <t>DIA_014</t>
  </si>
  <si>
    <t>DIA_015</t>
  </si>
  <si>
    <t>[Clear DTC Information]</t>
  </si>
  <si>
    <t>DIA_016</t>
  </si>
  <si>
    <t>DIA_036</t>
  </si>
  <si>
    <t>PER_005</t>
  </si>
  <si>
    <t>PER_001</t>
  </si>
  <si>
    <t>CCS_011</t>
  </si>
  <si>
    <t>BAT_054</t>
  </si>
  <si>
    <t>FIL_001</t>
  </si>
  <si>
    <t>FIL_002</t>
  </si>
  <si>
    <t>FIL_010</t>
  </si>
  <si>
    <t>BAS_003</t>
  </si>
  <si>
    <t>DIA_007</t>
  </si>
  <si>
    <t>DIA_034</t>
  </si>
  <si>
    <t>INF_002</t>
  </si>
  <si>
    <t>INF_003</t>
  </si>
  <si>
    <t>INF_017</t>
  </si>
  <si>
    <t>INF_018</t>
  </si>
  <si>
    <t>BAT_001</t>
  </si>
  <si>
    <t>OWP_013</t>
  </si>
  <si>
    <t>HU_009</t>
  </si>
  <si>
    <t>DIA_024</t>
  </si>
  <si>
    <t>SID 22 [$D001] Get Information</t>
  </si>
  <si>
    <t>MEM_018</t>
  </si>
  <si>
    <t>FIL_009</t>
  </si>
  <si>
    <t>MEM_039</t>
  </si>
  <si>
    <t>ETC_022</t>
  </si>
  <si>
    <t>DIA_037</t>
  </si>
  <si>
    <t>OWP_011</t>
  </si>
  <si>
    <t>OWP_010</t>
  </si>
  <si>
    <t>HU_018</t>
  </si>
  <si>
    <t>PER_012</t>
  </si>
  <si>
    <t>BAT_055</t>
  </si>
  <si>
    <t>FIL_005</t>
  </si>
  <si>
    <t>FIL_008</t>
  </si>
  <si>
    <t>MEM_040</t>
  </si>
  <si>
    <t>BAT_014</t>
  </si>
  <si>
    <t>OWP_020</t>
  </si>
  <si>
    <t>OWP_005</t>
  </si>
  <si>
    <t>PER_016</t>
  </si>
  <si>
    <t>PER_013</t>
  </si>
  <si>
    <t>IND_004</t>
  </si>
  <si>
    <t>CCS_005</t>
  </si>
  <si>
    <t>DIA_022</t>
  </si>
  <si>
    <t>SID 22 [$F18-, F19-, F1A-, F1B-]</t>
  </si>
  <si>
    <t>DIA_023</t>
  </si>
  <si>
    <t>SID 22 [$AXX ~]</t>
  </si>
  <si>
    <t>PER_043</t>
  </si>
  <si>
    <t>HU_001</t>
  </si>
  <si>
    <t>OWP_008</t>
  </si>
  <si>
    <t>OWP_006</t>
  </si>
  <si>
    <t>OWP_021</t>
  </si>
  <si>
    <t>OWP_022</t>
  </si>
  <si>
    <t>BAT_019</t>
  </si>
  <si>
    <t>PER_022</t>
  </si>
  <si>
    <t>PER_002</t>
  </si>
  <si>
    <t>PER_003</t>
  </si>
  <si>
    <t>INF_001</t>
  </si>
  <si>
    <t>OWP_002</t>
  </si>
  <si>
    <t>OWP_007</t>
  </si>
  <si>
    <t>OWD_033</t>
  </si>
  <si>
    <t>HU_037</t>
  </si>
  <si>
    <t>HU_038</t>
  </si>
  <si>
    <t>BAT_002</t>
  </si>
  <si>
    <t>BAT_015</t>
  </si>
  <si>
    <t>DIA_038</t>
  </si>
  <si>
    <t>DIA_039</t>
  </si>
  <si>
    <t>OWD_019</t>
  </si>
  <si>
    <t>OWP_014</t>
  </si>
  <si>
    <t>OWP_023</t>
  </si>
  <si>
    <t>IND_002</t>
  </si>
  <si>
    <t>FIL_007</t>
  </si>
  <si>
    <t>OWD_001</t>
  </si>
  <si>
    <t>O</t>
  </si>
  <si>
    <t>OWD_002</t>
  </si>
  <si>
    <t>OWD_003</t>
  </si>
  <si>
    <t>OWD_005</t>
  </si>
  <si>
    <t>OWD_006</t>
  </si>
  <si>
    <t>OWD_008</t>
  </si>
  <si>
    <t>OWD_022</t>
  </si>
  <si>
    <t>OWD_023</t>
  </si>
  <si>
    <t>OWD_024</t>
  </si>
  <si>
    <t>OWD_026</t>
  </si>
  <si>
    <t>OWD_028</t>
  </si>
  <si>
    <t>OWD_030</t>
  </si>
  <si>
    <t>HU_002</t>
  </si>
  <si>
    <t>HU_005</t>
  </si>
  <si>
    <t>HU_017</t>
  </si>
  <si>
    <t>HU_031</t>
  </si>
  <si>
    <t>IND_006</t>
  </si>
  <si>
    <t>MEM_025</t>
  </si>
  <si>
    <t>ETC_018</t>
  </si>
  <si>
    <t>BAT_018</t>
  </si>
  <si>
    <t>OWD_009</t>
  </si>
  <si>
    <t>OWD_011</t>
  </si>
  <si>
    <t>OWD_013</t>
  </si>
  <si>
    <t>OWD_014</t>
  </si>
  <si>
    <t>OWD_015</t>
  </si>
  <si>
    <t>OWD_021</t>
  </si>
  <si>
    <t>OWD_010</t>
  </si>
  <si>
    <t>HU_004</t>
  </si>
  <si>
    <t>HU_011</t>
  </si>
  <si>
    <t>HU_012</t>
  </si>
  <si>
    <t>BAT_007</t>
  </si>
  <si>
    <t>BAT_033</t>
  </si>
  <si>
    <t>IND_011</t>
  </si>
  <si>
    <t>INF_013</t>
  </si>
  <si>
    <t>CCS_013</t>
  </si>
  <si>
    <t>BAS_019</t>
  </si>
  <si>
    <t>PER_025</t>
  </si>
  <si>
    <t>PER_041</t>
  </si>
  <si>
    <t>ETC_013</t>
  </si>
  <si>
    <t>ETC_014</t>
  </si>
  <si>
    <t>DIA_025</t>
  </si>
  <si>
    <t>OWD_034</t>
  </si>
  <si>
    <t>OWD_035</t>
  </si>
  <si>
    <t>OWD_036</t>
  </si>
  <si>
    <t>OWD_037</t>
  </si>
  <si>
    <t>OWD_038</t>
  </si>
  <si>
    <t>OWD_039</t>
  </si>
  <si>
    <t>OWD_040</t>
  </si>
  <si>
    <t>OWD_041</t>
  </si>
  <si>
    <t>OWD_042</t>
  </si>
  <si>
    <t>OWD_043</t>
  </si>
  <si>
    <t>OWD_044</t>
  </si>
  <si>
    <t>OWD_045</t>
  </si>
  <si>
    <t>OWD_046</t>
  </si>
  <si>
    <t>OWD_047</t>
  </si>
  <si>
    <t>HU_029</t>
  </si>
  <si>
    <t>HU_040</t>
  </si>
  <si>
    <t>HU_041</t>
  </si>
  <si>
    <t>HU_042</t>
  </si>
  <si>
    <t>HU_043</t>
  </si>
  <si>
    <t>HU_044</t>
  </si>
  <si>
    <t>HU_045</t>
  </si>
  <si>
    <t>IND_007</t>
  </si>
  <si>
    <t>IND_010</t>
  </si>
  <si>
    <t>INF_019</t>
  </si>
  <si>
    <t>FIL_011</t>
  </si>
  <si>
    <t>MEM_011</t>
  </si>
  <si>
    <t>MEM_012</t>
  </si>
  <si>
    <t>MEM_014</t>
  </si>
  <si>
    <t>MEM_044</t>
  </si>
  <si>
    <t>MEM_045</t>
  </si>
  <si>
    <t>MEM_046</t>
  </si>
  <si>
    <t>MEM_047</t>
  </si>
  <si>
    <t>MEM_048</t>
  </si>
  <si>
    <t>PER_004</t>
  </si>
  <si>
    <t>PER_009</t>
  </si>
  <si>
    <t>PER_010</t>
  </si>
  <si>
    <t>PER_011</t>
  </si>
  <si>
    <t>PER_014</t>
  </si>
  <si>
    <t>PER_026</t>
  </si>
  <si>
    <t>PER_028</t>
  </si>
  <si>
    <t>ETC_006</t>
  </si>
  <si>
    <t>CCS_014</t>
  </si>
  <si>
    <t>CCS_015</t>
  </si>
  <si>
    <t>CCS_016</t>
  </si>
  <si>
    <t>CCS_017</t>
  </si>
  <si>
    <t>CCS_018</t>
  </si>
  <si>
    <t>CCS_019</t>
  </si>
  <si>
    <t>CCS_006</t>
  </si>
  <si>
    <t>CCS_021</t>
  </si>
  <si>
    <t>BAT_047</t>
  </si>
  <si>
    <t>BAT_050</t>
  </si>
  <si>
    <t>OWD_025</t>
  </si>
  <si>
    <t>OWD_048</t>
  </si>
  <si>
    <t>OWD_049</t>
  </si>
  <si>
    <t>OWP_003</t>
  </si>
  <si>
    <t>OWP_024</t>
  </si>
  <si>
    <t>HU_030</t>
  </si>
  <si>
    <t>HU_046</t>
  </si>
  <si>
    <t>IND_012</t>
  </si>
  <si>
    <t>IND_013</t>
  </si>
  <si>
    <t>IND_014</t>
  </si>
  <si>
    <t>FIL_012</t>
  </si>
  <si>
    <t>MEM_049</t>
  </si>
  <si>
    <t>MEM_050</t>
  </si>
  <si>
    <t>MEM_051</t>
  </si>
  <si>
    <t>MEM_052</t>
  </si>
  <si>
    <t>MEM_053</t>
  </si>
  <si>
    <t>MEM_054</t>
  </si>
  <si>
    <t>PER_044</t>
  </si>
  <si>
    <t>PER_045</t>
  </si>
  <si>
    <t>ETC_021</t>
  </si>
  <si>
    <t>ETC_024</t>
  </si>
  <si>
    <t>ETC_025</t>
  </si>
  <si>
    <t>ETC_026</t>
  </si>
  <si>
    <t>ETC_027</t>
  </si>
  <si>
    <t>ETC_028</t>
  </si>
  <si>
    <t>INF_011</t>
  </si>
  <si>
    <t>BAT_043</t>
  </si>
  <si>
    <t>BAT_056</t>
  </si>
  <si>
    <t>BAT_057</t>
  </si>
  <si>
    <t>BAT_058</t>
  </si>
  <si>
    <t>INF_009</t>
  </si>
  <si>
    <t>DIA_040</t>
  </si>
  <si>
    <t>HU_036</t>
  </si>
  <si>
    <t>OWD_050</t>
  </si>
  <si>
    <t>OWD_051</t>
  </si>
  <si>
    <t>HU_047</t>
  </si>
  <si>
    <t>OWP_025</t>
  </si>
  <si>
    <t>BAT_046</t>
  </si>
  <si>
    <t>BAT_041</t>
  </si>
  <si>
    <t>ETC_015</t>
  </si>
  <si>
    <t>ETC_029</t>
  </si>
  <si>
    <t>HU_048</t>
  </si>
  <si>
    <t>BAS_011</t>
  </si>
  <si>
    <t>BAS_009</t>
  </si>
  <si>
    <t>DIA_041</t>
  </si>
  <si>
    <t>MEM_027</t>
  </si>
  <si>
    <t>BAS_017</t>
  </si>
  <si>
    <t>HU_049</t>
  </si>
  <si>
    <t>BAS_013</t>
  </si>
  <si>
    <t>DIA_027</t>
  </si>
  <si>
    <t>X</t>
  </si>
  <si>
    <t>PER_006</t>
  </si>
  <si>
    <t>BAS_020</t>
  </si>
  <si>
    <t>DIA_002</t>
  </si>
  <si>
    <t>INF_016</t>
  </si>
  <si>
    <t>HU_033</t>
  </si>
  <si>
    <t>BAT_059</t>
  </si>
  <si>
    <t>SID 22 [$A230] Read MicroSD Card State Service</t>
  </si>
  <si>
    <t>PER_036</t>
  </si>
  <si>
    <t>결과</t>
  </si>
  <si>
    <t>판정</t>
  </si>
  <si>
    <t>비고</t>
  </si>
  <si>
    <t>Pass</t>
  </si>
  <si>
    <t>DCM_연동</t>
  </si>
  <si>
    <t>CAN사양_CAN</t>
  </si>
  <si>
    <t>CAN사양_CANFD</t>
  </si>
  <si>
    <t>모션감지_지원</t>
  </si>
  <si>
    <t>OTA_HU기반</t>
  </si>
  <si>
    <t>주차녹화 전원_보조배터리</t>
  </si>
  <si>
    <t>주차녹화 전원_eAGM</t>
  </si>
  <si>
    <t>주차녹화 전원_LFP</t>
  </si>
  <si>
    <t>주차녹화 전원_eAGM_PLBM</t>
  </si>
  <si>
    <t>주차녹화 전원_MLBM</t>
  </si>
  <si>
    <t>퍼포먼스_지원</t>
  </si>
  <si>
    <t>주차녹화_미지원</t>
  </si>
  <si>
    <t>주차충격 알림_지원</t>
  </si>
  <si>
    <t>3세대</t>
  </si>
  <si>
    <t>memo</t>
  </si>
  <si>
    <t>ID</t>
  </si>
  <si>
    <t>Step</t>
  </si>
  <si>
    <t>Verification items</t>
  </si>
  <si>
    <t>detail</t>
  </si>
  <si>
    <t>전압</t>
  </si>
  <si>
    <t>전원</t>
  </si>
  <si>
    <t>Execution Procedure</t>
  </si>
  <si>
    <t>Expected value</t>
  </si>
  <si>
    <t>측정값</t>
  </si>
  <si>
    <t>매뉴얼 기본</t>
  </si>
  <si>
    <t>자동화 기본</t>
  </si>
  <si>
    <t>자동화 반영</t>
  </si>
  <si>
    <t>과거차문제</t>
  </si>
  <si>
    <t>[BLTN_CAM-Function-001] Continuous Recording While Driving</t>
  </si>
  <si>
    <t>Check initial values ​​for continuous driving recording settings</t>
  </si>
  <si>
    <t>[Continuous recording while driving] - (1)</t>
  </si>
  <si>
    <t>12 V</t>
  </si>
  <si>
    <t>IGN</t>
  </si>
  <si>
    <t>▪ ICUPowerAutoCutModesta = 0x0(Factory mode) → 0x2(Customer mode)
▪ Built-in Cam Main Screen
▪ [ccNC Settings] - [General] - [Reset] - [Delete Guest Profile / Reset System]
- Check Default Values</t>
  </si>
  <si>
    <t>▪ BLTN_CAM_RecSet_OWD = 0x1(OFF)
: Initial value to OFF after changing from Factory mode to Customer mode</t>
  </si>
  <si>
    <t>▪ Turn on Parking Continuous Recording (to check the initial value after FRS setup)
▪ [ccNC Settings] - [General] - [Reset] - [Delete Guest Profile / Reset System]</t>
  </si>
  <si>
    <t>▪ Domestic/Japan/North America/Russia/Middle East
BLTN_CAM_RecSet_OWD = 0x2(ON)
: The default recording setting is ON when initialized after FRS setup operation
▪ Europe
BLTN_CAM_RecSet_OWD = 0x1(OFF)
: The default recording setting is OFF when initialized after FRS setup operation</t>
  </si>
  <si>
    <t>Confirmation that continuous driving recording is not working in BLTN_CAM mode</t>
  </si>
  <si>
    <t>[Continuous Recording While Driving] - (2)</t>
  </si>
  <si>
    <t>▪ Check recording status signal</t>
  </si>
  <si>
    <t>▪ BLTN_CAM_RecSta_OWD = 0x0(OFF)</t>
  </si>
  <si>
    <t>▪ Check front/rear camera indicator</t>
  </si>
  <si>
    <t>▪ F/R-CAM_INDI = OFF</t>
  </si>
  <si>
    <t>▪ Check EVENT_SW_INDI</t>
  </si>
  <si>
    <t>▪ EVENT_SW_INDI = OFF</t>
  </si>
  <si>
    <t>Confirmed non-operation of continuous driving recording in Engineer mode</t>
  </si>
  <si>
    <t>Check recording operation in AVN mode (IGN power)</t>
  </si>
  <si>
    <t>▪ Switch AVN screen
▪ Check recording status signal</t>
  </si>
  <si>
    <t>▪ BLTN_CAM_RecSta_OWD = 0x1(Recoreding)
※ The signal delay between the actual recording time and the actual recording time will be 1 second.</t>
  </si>
  <si>
    <t>▪ Check the time taken to start recording
(In Built-in Cam mode, the time is measured by the stopwatch as soon as the HOME button is pressed, and recorded as the time captured in the recording file)</t>
  </si>
  <si>
    <t>▪ Recording starts within 4 seconds of exiting Built-in Cam mode</t>
  </si>
  <si>
    <t>▪ F/R-CAM_INDI = Blink
- Blink Frequency: 0.5Hz(Duty : 50%)</t>
  </si>
  <si>
    <t>▪ EVENT_SW_INDI = ON</t>
  </si>
  <si>
    <t>Check recording operation in AVN mode (ACC power)</t>
  </si>
  <si>
    <t>ACC</t>
  </si>
  <si>
    <t>▪ Enter Built-in Cam Mode, stop recording, and exit.
▪ Check recording status signal.</t>
  </si>
  <si>
    <t>▪ BLTN_CAM_RecSta_OWD = 0x1(Recoreding)</t>
  </si>
  <si>
    <t>▪ F/R-CAM_INDI = Flash
- Flash Frequency: 0.5Hz (Flash Duty: 50%)</t>
  </si>
  <si>
    <t>Check Performance Recording Status Initial Value
Performance recording applies only to specialized vehicle specifications. (CE1 KN)</t>
  </si>
  <si>
    <t>[Performance Recording] - (1)</t>
  </si>
  <si>
    <t>Check Performance Recording Signal Initial Value</t>
  </si>
  <si>
    <t>▪ ICUPowerAutoCutMode = 0x0(Factory mode) → 0x2(Customer mode)
▪ Built-in Cam Main Screen
▪ [ccNC Settings] - [General] - [Reset] - [Delete Guest Profile / Reset System]
- Check Default Values</t>
  </si>
  <si>
    <t>▪ BLTN_CAM_RecSta_BPR = 0x1(OFF)</t>
  </si>
  <si>
    <t>Verification of Performance Recording operation and
Verification of non-operation in BLTN_CAM
Performance recording applies only to specialized vehicle specifications. (CE1 KN)</t>
  </si>
  <si>
    <t>[Performance Recording] - (2)</t>
  </si>
  <si>
    <t>Verify performance recording operation in N mode</t>
  </si>
  <si>
    <t>12V</t>
  </si>
  <si>
    <t>▪ Enter N Mode in AVN
▪ Touch N Race Cam "REC" to start recording
▪ Check Performance Recording Status Signal</t>
  </si>
  <si>
    <t>▪ BLTN_CAM_RecSta_BPR = 0x1 (Recording)</t>
  </si>
  <si>
    <t>▪ F-CAM_INDI = ON, R-CAM_INDI = ON
- Flashing Frequency: 0.5Hz (Duty : 50%)</t>
  </si>
  <si>
    <t>Check recording status in the N Race Cam item of Performance Options.</t>
  </si>
  <si>
    <t>▪ Performance recording in progress
▪ Enter Performance Options
▪ Check recording status of N Race Cam "REC" button among the items</t>
  </si>
  <si>
    <t>▪ Performance recording proceeds without interruption
(Recording count confirmed and recording indicator red confirmed)</t>
  </si>
  <si>
    <t>▪ Performance recording in progress
▪ Enter Performance Options
▪ Touch the N Race Cam "File" button among the items</t>
  </si>
  <si>
    <t>▪ Go to Built-in Cam Video Save List After Performance Ends</t>
  </si>
  <si>
    <t>▪ F/RCAM_INDI =OFF</t>
  </si>
  <si>
    <t>Verify recording operation in AVN mode</t>
  </si>
  <si>
    <t>▪ Start Performance Recording
▪ Switch from N Mode to AVN Screen
▪ Check Recording Status Signal</t>
  </si>
  <si>
    <t>▪ Check the indicator on the display</t>
  </si>
  <si>
    <t>▪ Indicator displayed during recording</t>
  </si>
  <si>
    <t>Confirmation of non-operation of performance recording in BLTN_CAM mode</t>
  </si>
  <si>
    <t>▪ Start performance recording
▪ Enter built-in cam
▪ Check recording status signal</t>
  </si>
  <si>
    <t>▪ BLTN_CAM_RecSta_BPR = 0x0 (OFF)</t>
  </si>
  <si>
    <t>▪ Indicator not showing recording</t>
  </si>
  <si>
    <t>Confirm recording file creation (3 minutes)
- Create 3 1-minute recording files</t>
  </si>
  <si>
    <t>[Continuous Recording While Driving] - (3)</t>
  </si>
  <si>
    <t>▪ 3-Minute Standby
▪ Built-in Cam Main Screen
▪ [Always On While Driving] Check Storage Box</t>
  </si>
  <si>
    <t>▪ Thumbnail and video name (date and time) should be verified correctly.
▪ Three videos (front + rear) (60 sec) should be combined and displayed as a single group.</t>
  </si>
  <si>
    <t>▪ Play generated recording file</t>
  </si>
  <si>
    <t>▪ There should be no issues with video tearing, black screens, noise, or video color.</t>
  </si>
  <si>
    <t>Check recording file specifications</t>
  </si>
  <si>
    <t>▪ Check the generated recording file on the PC</t>
  </si>
  <si>
    <t>▪ Video saving/playback frame rate 30 FPS</t>
  </si>
  <si>
    <t>▪ Resolution 2560*1440 (QHD)
※ 2.5 Gen: 2980*1440
※ 3rd Gen: 3840 * 2160 (Front/Rear Camera)
1280 * 1440 each (Side Camera)
▪ Voice Recording Available (Domestic/Japan/North America/Russia)
Voice Recording Not Available (Europe/Middle East)</t>
  </si>
  <si>
    <t>▪ No horizontal flip of the video</t>
  </si>
  <si>
    <t>Check for abnormalities while maintaining driving recording for 5 minutes or more.</t>
  </si>
  <si>
    <t>▪ Driving recording in progress
▪ Monitoring BLTN_CAM_RecSet_OWD signal for 5 minutes</t>
  </si>
  <si>
    <t>▪ BLTN_CAM_RecSet_OWD signal remains ON
(Will not turn OFF at the time of recording file creation)</t>
  </si>
  <si>
    <t>△</t>
  </si>
  <si>
    <t>Check that the continuous driving recording setting is OFF.</t>
  </si>
  <si>
    <t>▪ Built-in Cam Main Screen
▪ [Settings] - [Recording] - [Recording While Driving] - Continuous Recording Setting OFF</t>
  </si>
  <si>
    <t>▪ BLTN_CAM_RecSet_OWD = 0x1(OFF)</t>
  </si>
  <si>
    <t>Confirmation that continuous driving recording does not operate when recording setting is OFF</t>
  </si>
  <si>
    <t>Separate group index when date changes during recording</t>
  </si>
  <si>
    <t>▪ Driving recording starts at 23:58:30
▪ After 3 minutes, 3 recording files are created, then check the driving recording video list</t>
  </si>
  <si>
    <t>▪ Created as 2 recording groups
- 23:58:30 ~ 00:00:30
- 00:00:30 ~ 00:01:30</t>
  </si>
  <si>
    <t>Confirmation of Performance Recording File Creation
- Display Single Group Index
Performance recording applies only to specialized vehicle specifications. (CE1 KN)</t>
  </si>
  <si>
    <t>[Performance Recording] - (3)</t>
  </si>
  <si>
    <t>Confirm recording file creation
- Create single group</t>
  </si>
  <si>
    <t>▪ Built-in Cam Main Screen
▪ Check Performance Video List</t>
  </si>
  <si>
    <t>▪ Thumbnail and video name (date and time) should be verified correctly.
▪ Front video should be displayed as a single group (rear video is not recorded).</t>
  </si>
  <si>
    <t>▪ Video saving / playback frame rate 30 FPS</t>
  </si>
  <si>
    <t>▪ Resolution 1920 * 1080 (FHD), audio recording included</t>
  </si>
  <si>
    <t>Check status to maintain performance recording for over 1 hour</t>
  </si>
  <si>
    <t>▪ Performance recording in progress (1 hour or longer)
▪ Check BLTN_CAM_RecSta_BPR signal</t>
  </si>
  <si>
    <t>▪ BLTN_CAM_RecSta_BPR = 0x0 (OFF)
▪ No continuous saving</t>
  </si>
  <si>
    <t>▪ Check indicator/continuous saving status</t>
  </si>
  <si>
    <t>▪ Blinks yellow for 3 seconds, then transitions to gray
▪ Does not save continuously</t>
  </si>
  <si>
    <t>Confirmation of non-operation of performance recording</t>
  </si>
  <si>
    <t>Check group index if date changes during recording</t>
  </si>
  <si>
    <t>▪ Driving recording starts at 23:58:30
▪ Check driving recording video list after 3 minutes</t>
  </si>
  <si>
    <t>▪Single group will be created
- 23:58:30 ~ 00:01:30</t>
  </si>
  <si>
    <t>Check the recording file after entering parking recording.</t>
  </si>
  <si>
    <t>OWD_004</t>
  </si>
  <si>
    <t>[Continuous Recording While Driving] - (4)</t>
  </si>
  <si>
    <t>▪ Turn KEY OFF to enter Parking Recording (Records for 10 seconds)
▪ Turn ACC and IGN ON to start Driving Recording (Records for 10 seconds)
▪ Repeat the above 5 times, then check the [Always Recording While Driving] box</t>
  </si>
  <si>
    <t>▪ Thumbnail and video name (date and time) should be verified correctly</t>
  </si>
  <si>
    <t>Check whether recording is performed after repeatedly turning IGN ON/OFF</t>
  </si>
  <si>
    <t>▪ Repeat ACC &amp; IGN ON/OFF quickly 20 times
▪ ACC &amp; IGN ON
▪ Check recording status signal</t>
  </si>
  <si>
    <t>▪ BLTN_CAM_RecSet_OWD = 0x2(ON)</t>
  </si>
  <si>
    <t>Check performance recording files after entering parking recording mode.
Performance recording applies only to specialized vehicle specifications. (CE1 KN)</t>
  </si>
  <si>
    <t>[Performance Recording] - (4)</t>
  </si>
  <si>
    <t>▪ Turn KEY OFF to enter Parking Recording (10 seconds of Parking Recording)
▪ Turn ACC and IGN ON, enter N Mode within AVN, and start recording (10 seconds of Performance Recording)
▪ Repeat the above 5 times, then check the [Performance Recording] library</t>
  </si>
  <si>
    <t>▪ Quickly repeat ACC &amp; IGN ON/OFF 20 times
▪ ACC &amp; IGN ON
▪ Enter N Mode and start Performance Recording
▪ Check recording status signal</t>
  </si>
  <si>
    <t>▪ BLTN_CAM_RecSet_BPR = 0x2(Recording)</t>
  </si>
  <si>
    <t>▪ Indicator recording displayed</t>
  </si>
  <si>
    <t>European-style continuous driving recording one-time specification applied</t>
  </si>
  <si>
    <t>(European Version) One-time setting for continuous driving recording</t>
  </si>
  <si>
    <t>Confirmation that continuous driving recording is not performed after entering parking recording.</t>
  </si>
  <si>
    <t>▪ Driving recording for 10 seconds with ACC and IGN ON
▪ Enter parking recording by turning KEY OFF (10-second parking recording)
▪ Driving recording does not proceed when ACC and IGN are ON</t>
  </si>
  <si>
    <t>▪ BLTN_CAM_RecSet_OWD = 0x1(OFF)
 ▪ BLTN_CAM_RecSta_OWD = 0x0(OFF)</t>
  </si>
  <si>
    <t>Checking the impact of simultaneous recording of other videos during driving recording</t>
  </si>
  <si>
    <t>[Impact of continuous recording while driving] - (1)</t>
  </si>
  <si>
    <t>▪ Turn on continuous driving recording setting</t>
  </si>
  <si>
    <t>▪ AVN screen switching
▪ Start time-lapse recording (long press Event Switch)</t>
  </si>
  <si>
    <t>▪ BLTN_CAM_RecSta TML = 0x1(Recording)</t>
  </si>
  <si>
    <t>▪ Switch Event Authorization</t>
  </si>
  <si>
    <t>▪ BLTN_CAM_RecSta_MAR = 0x1(Recording)</t>
  </si>
  <si>
    <t>▪ Authorize Shock Event (Event Recording Setting ON)</t>
  </si>
  <si>
    <t>▪ BLTN_CAM_RecSta_DEV = 0x1(Recording)</t>
  </si>
  <si>
    <t>▪ 1-Minute Standby
▪ Built-in Cam Main Screen
▪ [Always On While Driving] Check Storage Box</t>
  </si>
  <si>
    <t>▪ Confirm saving of continuous recording files while driving
- Create 1 list of Front &amp; Rear Video (60 sec)</t>
  </si>
  <si>
    <t>▪ Confirm repeated entry/exit motion of built-in cam 5 times</t>
  </si>
  <si>
    <t>▪ Must be able to enter and exit normally
- Must not be kicked back to the CCNC screen
- Must not reboot</t>
  </si>
  <si>
    <t>▪ Check recorded video</t>
  </si>
  <si>
    <t>▪ Verify that recording files for Driving Continuous/Impact/Manual/Time-lapse are saved
▪ There should be no issues with video distortion, black screens, noise, video color, etc.</t>
  </si>
  <si>
    <t>Verification of the impact of low voltage during driving recording</t>
  </si>
  <si>
    <t>▪ Proceed with the following while driving recording is in progress on the AVN screen
▪ Verify while changing the input voltage from 12 to 9</t>
  </si>
  <si>
    <t>▪ BLTN_CAM_RecSta_OWD = 0x1(Recording)
▪ F/R-CAM_INDI No issues
▪ EVENT_SW_INDI No issues
▪ Confirmed continuous recording file saving while driving
- Created 1 list of front &amp; rear video (60 sec)</t>
  </si>
  <si>
    <t>과거차문제
PASTI-322
주차 녹화 상태에서 시동 ON시 전방 영상 블랙 녹화 발생</t>
  </si>
  <si>
    <t>Confirmation of High Voltage Impact During Driving Recording</t>
  </si>
  <si>
    <t>▪ Proceed with the following while driving recording is in progress on the AVN screen
▪ Verify while varying the input voltage from 12 to 16</t>
  </si>
  <si>
    <t>IGN On during driving recording with ACC On power</t>
  </si>
  <si>
    <t>[Impact of Continuous Recording While Driving] - (2)</t>
  </si>
  <si>
    <t>▪ ACC On, IGN Off
▪ IGN On during driving recording
▪ Check driving recording status signal</t>
  </si>
  <si>
    <t>▪ BLTN_CAM_RecSta_OWD = 0x1(Recording)</t>
  </si>
  <si>
    <t>▪ Verify built-in cam entry/exit operation</t>
  </si>
  <si>
    <t>▪ [Always on while driving] Check storage box</t>
  </si>
  <si>
    <t>▪ Verify that continuous recording files are saved while driving
▪ There should be no issues such as video distortion, black screens, noise, or video color quality.</t>
  </si>
  <si>
    <t>IGN On during simultaneous recording with ACC On power</t>
  </si>
  <si>
    <t>▪ ACC On, IGN Off
▪ Recording starts in the following sequence: Normal Driving → Time-lapse → Impact → Manual Recording
▪ IGN On after a 10-second wait
▪ Check recorded video signal</t>
  </si>
  <si>
    <t>▪ BLTN_CAM_RecSta_OWD = 0x1(Recording)
 ▪ BLTN_CAM_RecSta_TML = 0x1(Recording)
 ▪ BLTN_CAM_RecSta_DEV = 0x1(Recording)
 ▪ BLTN_CAM_RecSta_MAR = 0x1(Recording)</t>
  </si>
  <si>
    <t>ACC On while driving recording with IGN On power</t>
  </si>
  <si>
    <t>▪ ACC Off, IGN On
▪ ACC On while driving recording is in operation
▪ Check driving recording status signal</t>
  </si>
  <si>
    <t>ACC On while simultaneous recording on IGN On power</t>
  </si>
  <si>
    <t>▪ ACC Off, IGN On
▪ Recording starts in the following sequence: Normal Driving → Time-lapse → Impact → Manual Recording
▪ Turn ACC On after a 10-second wait
▪ Check recorded video signal</t>
  </si>
  <si>
    <t>Verification of impact on other video recordings during performance recording
Performance recording applies only to specialized vehicle specifications. (CE1 KN)</t>
  </si>
  <si>
    <t>[Impact during performance recording] - (1)</t>
  </si>
  <si>
    <t>Checking the impact of simultaneous video recording during performance recording</t>
  </si>
  <si>
    <t>▪ Always Driving ON, Driving Event ON ▪ Start Performance Recording</t>
  </si>
  <si>
    <t>▪ BLTN_CAM_RecSta_BPR = 0x1(Recording)</t>
  </si>
  <si>
    <t>▪ Constant driving signal check during performance recording
▪ Impact detection during performance recording</t>
  </si>
  <si>
    <t>▪ BLTN_CAM_RecSta OWD = 0x0(OFF)
▪ BLTN_CAM_RecSta DEV = 0x0(OFF)
▪ During performance recording, driving will be continuous, and impact recording will not be performed.</t>
  </si>
  <si>
    <t>▪ Start performance recording
▪ Time-lapse, manual event?</t>
  </si>
  <si>
    <t>▪ BLTN_CAM_RecSta TML = 0x0(OFF)
▪ BLTN_CAM_RecSta MAR = 0x0(OFF)
▪ Time-lapse and manual events will not be recorded during performance recording</t>
  </si>
  <si>
    <t>▪ 1-minute standby
▪ Enter Built-in Cam Mode
▪ Check [Performance Recording] Library</t>
  </si>
  <si>
    <t>▪ Confirm performance recording file save
- Create 1 list of front video (60 sec)</t>
  </si>
  <si>
    <t>▪ Confirm repeating Performance Recording start and stop 5 times</t>
  </si>
  <si>
    <t>▪ Recording must be enabled/disabled
- Will not crash to the CCNC screen
- Will not reboot</t>
  </si>
  <si>
    <t>▪ Verify that performance recording files are saved
▪ Driving Continuous/Impact/Manual/Time-lapse recording files will not be saved
▪ There should be no issues such as video distortion, black screens, noise, or video color distortion</t>
  </si>
  <si>
    <t>Check for SOME/IP disconnect detection during performance recording</t>
  </si>
  <si>
    <t>▪ Start performance recording
▪ Reboot CCNC only (SOME/IP disconnect)</t>
  </si>
  <si>
    <t>▪ Confirm stopping performance recording
▪ Confirm saving performance recording file</t>
  </si>
  <si>
    <t>Verification of Low Voltage Impact During Performance Recording</t>
  </si>
  <si>
    <t>▪ 1-minute recording
▪ Proceed with the following while performance recording is in progress on the AVN screen
▪ Verify as input voltage changes from 12V to 9V</t>
  </si>
  <si>
    <t>▪ BLTN_CAM_RecSta_BPR = 0x1(Recording)
▪ F-CAM_INDI = 0.5Hz, R-CAM_INDI = 0.5Hz
▪ EVENT_SW_INDI = ON
▪ Confirm performance recording file save
- Create 1 list of front video (60 sec)</t>
  </si>
  <si>
    <t>Verification of High Voltage Effects During Performance Recording</t>
  </si>
  <si>
    <t>▪ 1-minute recording
▪ Proceed with the following while performance recording is in progress on the AVN screen
▪ Verify while changing the input voltage from 12V to 16V</t>
  </si>
  <si>
    <t>▪ BLTN_CAM_RecSta_BPR = 0x1(Recording)
▪ F-CAM_INDI = 0.5Hz, R-CAM_INDI = ON
▪ EVENT_SW_INDI = ON
▪ Confirm performance recording file save
- Create 1 list of front video (60 sec)</t>
  </si>
  <si>
    <t>Front camera removed, driving recording + time-lapse + manual event</t>
  </si>
  <si>
    <t>OWD_007</t>
  </si>
  <si>
    <t>[When camera video is not input]</t>
  </si>
  <si>
    <t>▪ Proceed with Driving Recording + Time-lapse + Manual Event Recording
▪ Remove front camera after 30 seconds
▪ Reattach camera after 20 seconds
▪ Check generated recording files after 30 seconds</t>
  </si>
  <si>
    <t>▪ Recorded video file created (Black screen recording if video input is missing)
▪ Camera restored to normal within 2 seconds after installation
(Recorded file driving data, capacity, playback time)</t>
  </si>
  <si>
    <t>Rear camera removal, driving recording + time-lapse + manual/impact events</t>
  </si>
  <si>
    <t>▪ Proceed with Driving Recording + Time-lapse + Manual Event Recording
▪ Remove rear camera after waiting 30 seconds
▪ Reinstall camera after waiting 20 seconds
▪ Check generated recording files after waiting 30 seconds</t>
  </si>
  <si>
    <t>Front/Rear Camera Removal, Driving Recording + Time-lapse + Manual Event</t>
  </si>
  <si>
    <t>▪ Proceed with Driving Recording + Time-lapse + Manual Event Recording
▪ Remove Front + Rear Cameras after 30 seconds
▪ Reinstall Cameras after 20 seconds
▪ Check generated recording files after 30 seconds</t>
  </si>
  <si>
    <t>When attaching/detaching the front camera during driving recording</t>
  </si>
  <si>
    <t>▪ Front camera removal during driving recording</t>
  </si>
  <si>
    <t>▪ BLTN_CAM_State = 0x1(Front camera recording disabled)</t>
  </si>
  <si>
    <t>▪ Front Camera Installation
▪ Remove and reattach quickly within 1 second, repeating this 10 times, then reattach.</t>
  </si>
  <si>
    <t>▪ Recorded video file created (Black screen recorded if no video input)
▪ Camera restored to normal within 2 seconds after installation
(Recorded file driving data, capacity, playback time)
▪ Impact events are not recorded</t>
  </si>
  <si>
    <t>▪ Check status signal</t>
  </si>
  <si>
    <t>▪ BLTN_CAM_State = 0x0 (Normal operation)</t>
  </si>
  <si>
    <t>Impact of Front Camera Removal During Driving Recording on CAN Communication</t>
  </si>
  <si>
    <t>▪ Removal/Installation of front camera during driving recording</t>
  </si>
  <si>
    <t>▪ Maintain normal CAN communication</t>
  </si>
  <si>
    <t>When attaching or detaching the rear camera during driving recording</t>
  </si>
  <si>
    <t>▪ Removal of rear camera during driving recording</t>
  </si>
  <si>
    <t>▪ BLTN_CAM_State = 0x2(Rear camera recording disabled)</t>
  </si>
  <si>
    <t>▪ Rearview Camera Installation
▪ Remove and reattach quickly within 1 second, repeating this 10 times, then install.</t>
  </si>
  <si>
    <t>Impact of CAN communication when removing the rear camera during driving recording</t>
  </si>
  <si>
    <t>▪ Removal/Installation of rear camera during driving recording</t>
  </si>
  <si>
    <t>Check G-sensor operation status after attaching/detaching the camera during driving recording</t>
  </si>
  <si>
    <t>▪ Remove front camera while driving recording is in progress
▪ Remove front camera after waiting 30 seconds
▪ Reinstall camera after waiting 20 seconds
▪ Authorize impact event</t>
  </si>
  <si>
    <t>▪ Recorded video file created (Black screen recording if no video input)
▪ Camera restored to normal within 2 seconds after installation
(Recorded file driving data, capacity, playback time)
▪ Confirmation of impact event recording saved</t>
  </si>
  <si>
    <t>▪ ↑ Verify that the above procedure is repeated 10 times</t>
  </si>
  <si>
    <t>Check voice recording after attaching/detaching the camera during parking recording</t>
  </si>
  <si>
    <t>B+</t>
  </si>
  <si>
    <t>▪ Remove front camera while parking recording is in progress
▪ Turn KEY ON
▪ Install front camera before starting continuous driving recording
▪ Authorize impact and manual events
▪ Check generated recording file after waiting 1 minute</t>
  </si>
  <si>
    <t>▪ Recorded video file created (Black screen recording if no video input)
▪ Camera restored to normal within 2 seconds after installation
(Recorded file driving data, capacity, playback time)
▪ Check audio sync for continuous driving recording</t>
  </si>
  <si>
    <t>Camera Removal During Performance Recording
Performance recording applies only to specialized vehicle specifications. (CE1 KN)</t>
  </si>
  <si>
    <t>When attaching/detaching the front camera during performance recording</t>
  </si>
  <si>
    <t>▪ Front camera removal during performance recording</t>
  </si>
  <si>
    <t>Impact of Front Camera Removal During Performance Recording on CAN Communication</t>
  </si>
  <si>
    <t>▪ Front camera removal/installation during performance recording</t>
  </si>
  <si>
    <t>When attaching or detaching the rear camera during performance recording</t>
  </si>
  <si>
    <t>▪ Rear camera removal during performance recording</t>
  </si>
  <si>
    <t>▪ BLTN_CAM_State = 0x2(BLTN_CAM rear Camera Invalid)</t>
  </si>
  <si>
    <t>▪ Recorded video file created (Will not be affected as only the front camera output is displayed)
(Recorded file driving data, capacity, playback time)
▪ Impact event recording not occurred</t>
  </si>
  <si>
    <t>▪ Removal/Installation of rear camera during performance recording</t>
  </si>
  <si>
    <t>Emergency Power (Super Cap) Performance (Driving)</t>
  </si>
  <si>
    <t>[Power Fail Safety Operation] : Emergency Power (Super Cap) Performance (Driving)</t>
  </si>
  <si>
    <t>B+ OFF during continuous recording while driving</t>
  </si>
  <si>
    <t>▪ Continuous video recording while driving
▪ B+ Power Input OFF</t>
  </si>
  <si>
    <t>▪ The file being recorded just before power off is saved</t>
  </si>
  <si>
    <t>Recording events (impacts) while driving</t>
  </si>
  <si>
    <t>▪ Recording of impact video during driving
▪ B+ Power Input OFF</t>
  </si>
  <si>
    <t>Recording events (switch) while driving</t>
  </si>
  <si>
    <t>▪ Video recording of event switch while driving
▪ B+ Power input OFF</t>
  </si>
  <si>
    <t>Recording time-lapse</t>
  </si>
  <si>
    <t>▪ Time-lapse video recording
▪ B+ Power input OFF</t>
  </si>
  <si>
    <t>Continuous driving, impact events, switch events, and time-lapse recording in progress</t>
  </si>
  <si>
    <t>▪ Simultaneous recording of time-lapse, impact events, and switch events while driving
▪ B+ power input OFF</t>
  </si>
  <si>
    <t>▪ Continuous video recording while driving, rear camera not recognized
▪ B+ power input OFF</t>
  </si>
  <si>
    <t>B+ OFF during performance recording</t>
  </si>
  <si>
    <t>▪ Performance Video Recording
▪ B+ Power Input OFF</t>
  </si>
  <si>
    <t>[BLTN_CAM-Function-002] Driving Event Recording</t>
  </si>
  <si>
    <t>Check default values ​​for driving event (impact) recording settings</t>
  </si>
  <si>
    <t>[Recording of Driving Event Impacts] - (1)</t>
  </si>
  <si>
    <t>▪ ICUPowerAutoCutModeSta = 0x0(Factory mode) → 0x2(Customer mode)
▪ Built-in Cam Main Screen
▪ [Settings] - [Reset Built-in Cam Settings] - [Recording] - [Record While Driving]
- Check Default Values</t>
  </si>
  <si>
    <t>▪ BLTN_CAM_RecSet_DEV = 0x1(OFF), Continuous recording while driving OFF
: Value initialized to OFF after changing from Factory mode to Customer mode</t>
  </si>
  <si>
    <t>▪ Domestic/Japan/North America/Russia/Middle East
BLTN_CAM_RecSet_DEV = 0x2(ON)
: The default recording setting is ON upon initialization after FRS setup operation
▪ Europe
BLTN_CAM_RecSet_DEV = 0x1(OFF)
: The default recording setting is OFF upon initialization after FRS setup operation</t>
  </si>
  <si>
    <t>▪ [Settings] - [Event Detection Sensitivity] - Check Recording While Driving</t>
  </si>
  <si>
    <t>▪ BLTN_CAM_SenSet_DEV = 0x3(LV.3)</t>
  </si>
  <si>
    <t>Confirmation that event recording is not working in BLTN_CAM mode</t>
  </si>
  <si>
    <t>[Recording of Driving Event Impacts] - (2)</t>
  </si>
  <si>
    <t>▪ Shock Event Confirmed
▪ Check Recording Status Signal</t>
  </si>
  <si>
    <t>▪ BLTN_CAM_RecSta_DEV = 0x0(OFF)</t>
  </si>
  <si>
    <t>Check for no events occurring while driving in AVN mode (IGN)</t>
  </si>
  <si>
    <t>Confirm driving event recording operation in AVN mode (IGN)</t>
  </si>
  <si>
    <t>▪ F/R-CAM_INDI = Blink
- Blink Frequency: 1Hz(Duty : 50%)</t>
  </si>
  <si>
    <t>▪ Flashing time measurement</t>
  </si>
  <si>
    <t>▪ Flash time measurement: 10 seconds</t>
  </si>
  <si>
    <t>▪ EVENT_SW_INDI = Flash
- Flash Frequency: 1Hz(Duty : 50%)</t>
  </si>
  <si>
    <t>Check for no events occurring while driving in AVN mode (ACC)</t>
  </si>
  <si>
    <t>Confirmation of driving event recording operation in AVN mode (ACC)</t>
  </si>
  <si>
    <t>▪ BLTN_CAM_RecSta_DEV = 0x1(Recording), (for 10 seconds)</t>
  </si>
  <si>
    <t>Confirmation of non-activation of driving events upon impact during performance recording
Performance recording applies only to specialized vehicle specifications. (CE1 KN)</t>
  </si>
  <si>
    <t>Confirmation of non-operation of driving events during performance recording</t>
  </si>
  <si>
    <t>▪ Start performance recording
▪ Confirm shock event
▪ Check recording status signal</t>
  </si>
  <si>
    <t>▪ Driving events will not be recorded and performance recording will not stop</t>
  </si>
  <si>
    <t>Confirm recording file creation (3 x 20-second files)</t>
  </si>
  <si>
    <t>[Recording of Driving Event Impacts] - (3)</t>
  </si>
  <si>
    <t>▪ Event authorized 3 times at 11-second intervals
▪ Built-in Cam Main Screen
▪ [Driving Event] Check Storage</t>
  </si>
  <si>
    <t>▪ Confirmation of saving of recording files for driving events (impacts)
- Confirmation of creation of a list of 3 front &amp; rear videos (20 sec, margin of error -1 allowed)</t>
  </si>
  <si>
    <t>▪ Resolution 2560*1440 (QHD), Voice recording included
※ 2.5 Gen: 2980*1440
※ 3rd Gen: 3840 * 2160 (Front/Rear Camera)
1280 * 1440 each (Side Camera)</t>
  </si>
  <si>
    <t>Confirmation that event recording does not work when recording settings are OFF</t>
  </si>
  <si>
    <t>▪ Built-in Cam Main Screen
▪ [Settings] - [Recording] - [Recording While Driving] - Event Recording Settings OFF</t>
  </si>
  <si>
    <t>▪ Checkbox unchecked</t>
  </si>
  <si>
    <t>▪ F/R-CAM_INDI = OFF (Always disabled while driving)
▪ F/R-CAM_INDI = ON (Always enabled while driving)</t>
  </si>
  <si>
    <t>▪ EVENT_SW_INDI = OFF(Driving always disabled)
▪ EVENT_SW_INDI = ON(Driving always enabled)</t>
  </si>
  <si>
    <t>Confirmation that recording files were not generated
For performance recording, this applies only to specialized vehicle specifications. (CE1 KN)</t>
  </si>
  <si>
    <t>Confirmation that driving event recording files were not created during performance recording</t>
  </si>
  <si>
    <t>▪ Start Performance Recording
▪ Check Impact Event
▪ [Driving Event] Check Storage</t>
  </si>
  <si>
    <t>▪ Recording files for events (impacts) while driving will not be generated</t>
  </si>
  <si>
    <t>Display of event impact location (continuous recording file)</t>
  </si>
  <si>
    <t>OWD_012</t>
  </si>
  <si>
    <t>[Recording of Driving Event Impacts] - (4)</t>
  </si>
  <si>
    <t>▪ Check continuous driving recording files after triggering a single impact event during driving recording</t>
  </si>
  <si>
    <t>▪ Playback of continuous driving recording files
: The time of event occurrence matches the progress bar display (red indicator)</t>
  </si>
  <si>
    <t>Display Event Impact Location (Continuous Recording File) - Duplicate Events</t>
  </si>
  <si>
    <t>▪ Authorize impact event during driving recording
▪ Authorize again after 5 seconds</t>
  </si>
  <si>
    <t>▪ Playback of continuous driving recording files
: The time of event occurrence matches the progress bar display (red indicator)
▪ Duplicate events are ignored while recording a single event (recorded only once)</t>
  </si>
  <si>
    <t>Display location of event impact (continuous recording file)
: Enter Built-in Cam mode before completion</t>
  </si>
  <si>
    <t>▪ Authorize 1 impact event during driving recording
▪ Enter built-in cam screen after 5 seconds</t>
  </si>
  <si>
    <t>▪ Playback of continuous driving recording files
: The time of event occurrence matches the progress bar display (red indicator)
▪ Duplicate events are ignored while recording an event that has occurred once</t>
  </si>
  <si>
    <t>Display Event Impact Location (Continuous Recording File)
: Key OFF Before Completion</t>
  </si>
  <si>
    <t>▪ Enable 1 impact event during driving recording
▪ Key OFF after 5 seconds</t>
  </si>
  <si>
    <t>Display location of event impact (continuous recording file)
: Remove B+ before completion</t>
  </si>
  <si>
    <t>▪ Authorize 1 impact event during driving recording
▪ Remove B+ after 5 seconds</t>
  </si>
  <si>
    <t>Display location of event impact (event recording file)</t>
  </si>
  <si>
    <t>▪ Playback of driving event recording file
: The time of the event matches the progress bar display (red indicator).</t>
  </si>
  <si>
    <t>Display Event Impact Location (Event Recording File) - Duplicate Event</t>
  </si>
  <si>
    <t>▪ Playback of driving event recording file
: Matches the time of event occurrence with the progress bar display (red indicator)
▪ Ignores duplicate events while recording a single event (recorded only once)</t>
  </si>
  <si>
    <t>Display Event Impact Location (Event Recording File) - Stop Before Completion</t>
  </si>
  <si>
    <t>▪ Authorize 1 impact event during driving recording
▪ Enter built-in cam screen before impact event recording is complete</t>
  </si>
  <si>
    <t>▪ Playback of driving event recording file
: The time of event occurrence matches the progress bar display (red indicator)
▪ Duplicate events are ignored while an event that has occurred once is being recorded</t>
  </si>
  <si>
    <t>Display Event Impact Location (Event Recording File)
: Key OFF Before Completion</t>
  </si>
  <si>
    <t>Display Event Impact Location (Event Recording File)
: Remove B+ before completion</t>
  </si>
  <si>
    <t>Check if the location of the event impact during performance recording is not displayed.
For performance recording, this applies only to specialized vehicle specifications. (CE1 KN)</t>
  </si>
  <si>
    <t>Identifying the location of the event impact during performance recording</t>
  </si>
  <si>
    <t>Display location of event impact during performance recording
: Will not be displayed</t>
  </si>
  <si>
    <t>▪ Check if there was one shock event during performance recording
▪ Enter Built-in Cam to check the recorded video file</t>
  </si>
  <si>
    <t>▪ Playback of performance recording file
▪ Event occurrence progress bar will not be displayed</t>
  </si>
  <si>
    <t>Check recording file event recording time setting (Before Time: -10s)</t>
  </si>
  <si>
    <t>[Check Shock Event Recording Time Settings] (1)</t>
  </si>
  <si>
    <t>Recording file event settings -10s ~ +10s</t>
  </si>
  <si>
    <t>▪ Set the corresponding event recording time (Bfr, Aft) in the Built-in Cam settings screen.
▪ Enable impact event after Bfr time following exiting Built-in Cam mode.
▪ Enter Built-in Cam mode after Aft time to check the recorded video.</t>
  </si>
  <si>
    <t>▪ Recorded video playback length: 20s</t>
  </si>
  <si>
    <t>▪ Time of impact: 10s (Check the time of impact input captured by the camera)</t>
  </si>
  <si>
    <t>▪ Front/rear camera and switch indicator flash for 10 seconds</t>
  </si>
  <si>
    <t>▪ BLTN_CAM_RecSta_DEV = 0x1(Recording) hold for 10 seconds then 0x0(OFF)</t>
  </si>
  <si>
    <t>Recording file event settings -10s ~ +15s</t>
  </si>
  <si>
    <t>▪ Recorded video playback length: 25s</t>
  </si>
  <si>
    <t>▪ Front/rear camera and switch indicator flash for 15 seconds</t>
  </si>
  <si>
    <t>▪ BLTN_CAM_RecSta_DEV = 0x1(Recording) hold for 15 seconds then 0x0(OFF)</t>
  </si>
  <si>
    <t>Recording file event settings -10s ~ +20s</t>
  </si>
  <si>
    <t>▪ Recorded video playback length: 30s</t>
  </si>
  <si>
    <t>▪ Front/rear camera and switch indicator flash for 20 seconds</t>
  </si>
  <si>
    <t>▪ BLTN_CAM_RecSta_DEV = 0x1(Recording) hold for 20 seconds then 0x0(OFF)</t>
  </si>
  <si>
    <t>Check recording file event recording time setting (Before Time: -15s)</t>
  </si>
  <si>
    <t>[Check Shock Event Recording Time Settings] (2)</t>
  </si>
  <si>
    <t>Recording file event settings -15s ~ +10s</t>
  </si>
  <si>
    <t>▪ Time of impact: 15s (Check the time of impact input captured by the camera)</t>
  </si>
  <si>
    <t>Recording file event settings -15s ~ +15s</t>
  </si>
  <si>
    <t>Recording file event settings -15s ~ +20s</t>
  </si>
  <si>
    <t>▪ Recorded video playback length: 35s</t>
  </si>
  <si>
    <t>Check recording file event recording time setting (Before Time: -20s)</t>
  </si>
  <si>
    <t>[Check Shock Event Recording Time Settings] (3)</t>
  </si>
  <si>
    <t>Recording file event settings -20s ~ +10s</t>
  </si>
  <si>
    <t>▪ Time of impact: 20s (Check the time of impact input captured by the camera)</t>
  </si>
  <si>
    <t>Recording file event settings -20s ~ +15s</t>
  </si>
  <si>
    <t>Recording file event settings -20s ~ +20s</t>
  </si>
  <si>
    <t>▪ Recorded video playback length: 40s</t>
  </si>
  <si>
    <t>Check recording status based on event sensitivity</t>
  </si>
  <si>
    <t>OWD_016</t>
  </si>
  <si>
    <t>[Check Shock Event Recording Time Settings] Sensitivity</t>
  </si>
  <si>
    <t>Recording File Event Settings Lv1</t>
  </si>
  <si>
    <t>(Prerequisite) Event recording time before/after: Set to 10s
▪ Set driving event sensitivity in Built-in Cam settings
▪ Enable impact event on AVN screen</t>
  </si>
  <si>
    <t>Recording File Event Settings Lv2</t>
  </si>
  <si>
    <t>Recording File Event Settings Lv3</t>
  </si>
  <si>
    <t>Recording File Event Settings Lv4</t>
  </si>
  <si>
    <t>Recording File Event Settings Lv5</t>
  </si>
  <si>
    <t>[BLTN_CAM-Function-003] Driving Switch Event Recording</t>
  </si>
  <si>
    <t>Verify manual recording operation from IGN power</t>
  </si>
  <si>
    <t>OWD_017</t>
  </si>
  <si>
    <t>[Recording Event Switch While Driving] IGN Power</t>
  </si>
  <si>
    <t>▪ Enable Switch Event
▪ Check Recording Status Signal</t>
  </si>
  <si>
    <t>▪ BLTN_CAM_RecSta_MAR = 0x0(OFF)</t>
  </si>
  <si>
    <t>▪ BLTN_CAM_RecSta_MAR = 0x1(Recording), (for 10 seconds)</t>
  </si>
  <si>
    <t>Confirmation of manual recording not working during performance recording</t>
  </si>
  <si>
    <t>Confirmation of manual event non-operation during performance recording</t>
  </si>
  <si>
    <t>Confirmation of manual event recording not working during performance recording</t>
  </si>
  <si>
    <t>▪ Performance recording in progress
▪ Enable switch event
▪ Check recording status signal</t>
  </si>
  <si>
    <t>▪ BLTN_CAM_RecSta_MAR = 0x0 (OFF)
 ▪ BLTN_CAM_RecSta_BPR = 0x1 (Recording)</t>
  </si>
  <si>
    <t>▪ Check front camera indicator</t>
  </si>
  <si>
    <t>Verify manual recording operation on ACC power</t>
  </si>
  <si>
    <t>OWD_018</t>
  </si>
  <si>
    <t>[Recording Event Switch While Driving] ACC Power</t>
  </si>
  <si>
    <t>▪ F/R-CAM_INDI = ON</t>
  </si>
  <si>
    <t>Confirmation of continuous recording file creation</t>
  </si>
  <si>
    <t>[Manual Event Switch Recording While Driving] Confirmation of Continuous Recording File Generation</t>
  </si>
  <si>
    <t>Confirmation of recording file creation
- 3 files of 20 seconds created
- Confirmation of recording file event time -10s ~ +10s</t>
  </si>
  <si>
    <t>▪ Verify that recording files for driving events (switch) are saved
- Verify that a list of 3 front &amp; rear videos (20 sec, margin of error -1 allowed) is created
▪ There should be no issues such as video glitches, black screens, noise, or color distortion</t>
  </si>
  <si>
    <t>▪ Play the recording file (20 sec) to check the time of the event.</t>
  </si>
  <si>
    <t>▪ Verify that the event occurs at the 10-second mark during video playback
: Verify that the impact application time matches the impact application OSD time
[Development Phase Past Issue, #23236]</t>
  </si>
  <si>
    <t>Confirmation that manual event recording files were not created during performance recording</t>
  </si>
  <si>
    <t>▪ Start Performance Recording
▪ Authorize Manual Event
▪ [Manual Recording] Check Library</t>
  </si>
  <si>
    <t>▪ Manual recording files will not be created</t>
  </si>
  <si>
    <t>Check whether to perform manual event recording regardless of recording settings</t>
  </si>
  <si>
    <t>OWD_020</t>
  </si>
  <si>
    <t>[Manual Event Switch Recording While Driving] Verify Recording Setting Irrelevance</t>
  </si>
  <si>
    <t>Verify event recording operation when recording setting is OFF
(Manual event recording operates regardless of setting status)</t>
  </si>
  <si>
    <t>When a HU manual recording request CAN signal is received</t>
  </si>
  <si>
    <t>[Manual Event Switch Recording While Driving] Recording Request Signal</t>
  </si>
  <si>
    <t>Request event recording in HU (AVN mode)</t>
  </si>
  <si>
    <t>▪ Switch AVN Mode
▪ HU transmits [HU_BLTN_CAM_E_01] MEV_Rec_Req = 0x1(On)</t>
  </si>
  <si>
    <t>▪ Start manual event recording
▪ BLTN_CAM_RecSta_MAR = 0x1(Recording)</t>
  </si>
  <si>
    <t>Request event recording in HU (BLTN_CAM mode)</t>
  </si>
  <si>
    <t>▪ Switch BLTN_CAM mode
▪ HU transmits [HU_BLTN_CAM_E_01] MEV_Rec_Req = 0x1(On)</t>
  </si>
  <si>
    <t>▪ Do not record manual events</t>
  </si>
  <si>
    <t>Check touch switch fault information signal</t>
  </si>
  <si>
    <t>[Recording Manual Event Switch While Driving]
Touch Switch Fault Information Signal</t>
  </si>
  <si>
    <t>Switch recording enabled</t>
  </si>
  <si>
    <t>▪ AVN Mode
▪ AVN Quick Control Manual Recording Touch
▪ Check MAR_SoftKeyEnable signal
▪ Check MAR_SoftKeySystemFailStatus signal</t>
  </si>
  <si>
    <t>▪ MAR_SoftKeyEnable = 0x0:Enable
 ▪ MAR_SoftKeySystemFailStatus = 0x0:Normal</t>
  </si>
  <si>
    <t>Switch recording disabled</t>
  </si>
  <si>
    <t>▪ SD card removed
▪ AVN Quick Control Manual Recording touch
▪ Check MAR_SoftKeyEnable signal
▪ Check MAR_SoftKeySystemFailStatus signal</t>
  </si>
  <si>
    <t>[Built-in Cam 2nd/2.5th/2.6th Gen] Maintain fixed values ​​below [BICIM2-3085]
▪ MAR_SoftKeyEnable = 0x0:Enable
▪ MAR_SoftKeySystemFailStatus = 0x0:Normal
[Built-in Cam 3rd Gen]
▪ MAR_SoftKeyEnable = 0x1:Disable
▪ MAR_SoftKeySystemFailStatus = 0x1:SystemFail</t>
  </si>
  <si>
    <t>[Check Manual Event Recording Time Settings] (1)</t>
  </si>
  <si>
    <t>▪ Set the corresponding event recording time (Bfr, Aft) in the Built-in Cam settings screen.
▪ Enter the event switch after the Bfr time has passed since exiting Built-in Cam mode.
▪ Enter Built-in Cam mode after the Aft time has passed to check the recorded video.</t>
  </si>
  <si>
    <t>▪ BLTN_CAM_RecSta_MAR = 0x1(Recording) hold for 10 seconds then 0x0(OFF)</t>
  </si>
  <si>
    <t>▪ BLTN_CAM_RecSta_MAR = 0x1(Recording) hold for 15 seconds then 0x0(OFF)</t>
  </si>
  <si>
    <t>▪ BLTN_CAM_RecSta_MAR = 0x1(Recording) hold for 20 seconds then 0x0(OFF)</t>
  </si>
  <si>
    <t>[Check Manual Event Recording Time Settings] (2)</t>
  </si>
  <si>
    <t>[Check Manual Event Recording Time Settings] (3)</t>
  </si>
  <si>
    <t>▪ Set the corresponding event recording time (Bfr, Aft) in the Built-in Cam settings screen.
▪ Authorize the manual switch event after the Bfr time has passed since exiting Built-in Cam mode.
▪ Enter Built-in Cam mode after the Aft time has passed to check the recorded video.</t>
  </si>
  <si>
    <t>[BLTN_CAM-Function-004] Time-lapse Recording</t>
  </si>
  <si>
    <t>Check Time-lapse Settings Default Values
- 5-second intervals 100 minutes
- 2-second intervals 40 minutes
- 1-second intervals 20 minutes (Default Value)</t>
  </si>
  <si>
    <t>[Time-lapse Recording] (1) : Start Recording (BLTN_CAM mode)</t>
  </si>
  <si>
    <t>▪ Built-in Cam Main Screen
▪ [Settings] - [Time-lapse Recording Interval]
- Check default value
※ Driving Continuous/Event Recording Settings = OFF</t>
  </si>
  <si>
    <t>▪ BLTN_CAM_Set_Drv_TML_Int = 0x1</t>
  </si>
  <si>
    <t>▪ Check the file after recording for 20 minutes at 1-second intervals</t>
  </si>
  <si>
    <t>▪ 1200 Frame, 1 minute 20 second file verified (Tolerance: 1 minute 19 seconds)</t>
  </si>
  <si>
    <t>▪ Select [2-second intervals, maximum 40 minutes]</t>
  </si>
  <si>
    <t>▪ BLTN_CAM_Set_Drv_TML_Int = 0x2</t>
  </si>
  <si>
    <t>▪ Check the file after recording for 40 minutes at 1-second intervals</t>
  </si>
  <si>
    <t>▪ Select [5-second interval 100 minutes]</t>
  </si>
  <si>
    <t>▪ BLTN_CAM_Set_Drv_TML_Int = 0x5</t>
  </si>
  <si>
    <t>▪ Check the file after recording for 100 minutes at 1-second intervals</t>
  </si>
  <si>
    <t>▪ Recording frame rate (1-second interval) 1 FPS</t>
  </si>
  <si>
    <t>▪ Recording frame rate (2-second intervals) 0.5 FPS</t>
  </si>
  <si>
    <t>▪ Recording frame rate (5-second intervals) 0.2 FPS</t>
  </si>
  <si>
    <t>▪ Video playback frame rate 15 FPS (regardless of recording interval)</t>
  </si>
  <si>
    <t>▪ Resolution 2560*1440 (QHD), No audio recording
※ 2.5 Gen: 2980*1440
※ 3rd Gen: 3840 * 2160</t>
  </si>
  <si>
    <t>Check time-lapse recording operation in AVN mode (long press)</t>
  </si>
  <si>
    <t>[Time-lapse Recording] (2) : AVN mode</t>
  </si>
  <si>
    <t>▪ AVN Screen Switch
▪ EVENT_SW Long Press (1.3s↑)
▪ EVENT_SW_INDI Check (Driving Recording OFF)</t>
  </si>
  <si>
    <t>▪ Start time-lapse recording</t>
  </si>
  <si>
    <t>▪ BLTN_CAM_RecSta_TML = 0x1(Recording)(ON)
 ※ Maintain BLTN_CAM_RecSta_MAR = 0x0(OFF)</t>
  </si>
  <si>
    <t>▪ F/R-CAM_INDI = Blink
- Blink Frequency: 0.25Hz(Duty : 50%)</t>
  </si>
  <si>
    <t>▪ Check EVENT_SW_INDI (Driving Recording OFF)</t>
  </si>
  <si>
    <t>▪ EVENT_SW_INDI = Flash
- Flash Frequency: 0.5Hz(Duty : 50%)</t>
  </si>
  <si>
    <t>Stop Time-lapse Recording in AVN Mode (Long Press)
- 10 Frames ↑, Save</t>
  </si>
  <si>
    <t>▪ Wait for at least 10 seconds from the start of recording
▪ Press and hold EVENT_SW (1.3s or longer)
▪ Check recording status signal</t>
  </si>
  <si>
    <t>▪ BLTN_CAM_RecSta_TML = 0x0(OFF)</t>
  </si>
  <si>
    <t>Effect of 10 repetitions</t>
  </si>
  <si>
    <t>▪ EVENT_SW Long press (1.3s or longer) Repeat 10 times</t>
  </si>
  <si>
    <t>▪ Start/Stop recording 5 times</t>
  </si>
  <si>
    <t>Stop recording in AVN mode (long press)
- 10 frames ↓, not saved</t>
  </si>
  <si>
    <t>▪ Press and hold EVENT_SW (1.3s or longer)
▪ Wait 5 seconds, then press and hold EVENT_SW (1.3s or longer)
▪ Built-in Cam Main Screen
▪ [Time-lapse] Go to Library and check that no recording file has been created</t>
  </si>
  <si>
    <t>▪ Confirm do not save time-lapse recording file</t>
  </si>
  <si>
    <t>Entering Built-in Cam while recording time-lapse in AVN mode</t>
  </si>
  <si>
    <t>▪ EVENT_SW Long Press (1.3s or longer)
▪ Wait 10 seconds
▪ Enter Built-in Cam</t>
  </si>
  <si>
    <t>▪ Stop time-lapse recording
▪ Confirm creation of time-lapse recording file</t>
  </si>
  <si>
    <t>When long key input duration is unsatisfactory in AVN mode</t>
  </si>
  <si>
    <t>OWD_027</t>
  </si>
  <si>
    <t>[Time-lapse Recording] (3)</t>
  </si>
  <si>
    <t>▪ Switch AVN screen
▪ EVENT_SW Long press (1s)
▪ Check recording status signal</t>
  </si>
  <si>
    <t>▪ BLTN_CAM_RecSta_TML = 0x0(OFF)
 ▪ BLTN_CAM_RecSta_MAR = 0x1(Recording), (10 seconds)</t>
  </si>
  <si>
    <t>Confirm ignoring long key input in BLTN_CAM mode</t>
  </si>
  <si>
    <t>▪ Built-in Cam Main Screen
▪ EVENT_SW Long Press (1.3s or longer)
▪ Check Recording Status Signal</t>
  </si>
  <si>
    <t>Confirm end of time-lapse recording started with long press
(20-minute wait, auto-stop)</t>
  </si>
  <si>
    <t>▪ Switch AVN screen
▪ EVENT_SW Long press (1.3s or longer)
▪ 20-minute standby
▪ Check recording status signal</t>
  </si>
  <si>
    <t>Confirmation of time-lapse file creation recorded via long press
- List creation, 1200 frames confirmed</t>
  </si>
  <si>
    <t>▪ Check generated files in the time-lapse recording file list</t>
  </si>
  <si>
    <t>▪ Verify that the time-lapse recording file is saved
- Create a list of 1 front-facing video file (1 minute 20 seconds)
▪ There should be no issues with video distortion, black screens, noise, or color quality.</t>
  </si>
  <si>
    <t>▪ Download the 20-minute recorded file to a USB drive
▪ Play the file on a PC using 'Daum PotPlayer' to check the frame rate
- Press the 'Tab' key while the video is playing to view video information</t>
  </si>
  <si>
    <t>EVENT_SW_INDI flashing while recording time-lapse</t>
  </si>
  <si>
    <t>[Time-lapse Recording] (4): Event Switch Indicator Flashing</t>
  </si>
  <si>
    <t>▪ AVN mode
▪ EVENT_SW Long Press (1.3s or longer)
▪ Check EVENT_SW_INDI</t>
  </si>
  <si>
    <t>Event Switch INDI flashes in the reverse order of the previous state (ON/OFF)
- Event Switch/Impact recording occurs during time-lapse recording</t>
  </si>
  <si>
    <t>▪ EVENT_SW Long Press (1.3s or longer)
→ Start Time-lapse Recording (EVENT_SW_INDI = Flashing (0.5Hz))
▪ When EVENT_SW_INDI is OFF while flashing
▪ EVENT_SW Input</t>
  </si>
  <si>
    <t>▪ EVENT_SW_INDI = If an event occurs while OFF during blinking (0.5Hz)
Immediately ON, blinking at 1Hz for 10 seconds
▪ Return to 0.5Hz after event recording is complete</t>
  </si>
  <si>
    <t>▪ When EVENT_SW_INDI is ON while blinking
▪ EVENT_SW Input</t>
  </si>
  <si>
    <t>▪ EVENT_SW_INDI = If an event occurs while ON during blinking (0.5Hz)
Immediately OFF, blinking at 1Hz for 10 seconds
▪ Return to 0.5Hz after event recording is complete</t>
  </si>
  <si>
    <t>▪ When EVENT_SW_INDI is blinking and in OFF state
▪ Impact Event Invoice</t>
  </si>
  <si>
    <t>▪ When EVENT_SW_INDI is blinking and in ON state
▪ Impact Event Invoice</t>
  </si>
  <si>
    <t>Verify that Continuous Recording Setting is OFF while driving &amp; Event Switch INDI is OFF
- Start/Stop Manual Recording &amp; Time-lapse
- Start/Stop Impact Recording &amp; Time-lapse
※ Added due to non-compatibility issues during development</t>
  </si>
  <si>
    <t>▪ Turn off continuous recording while driving / Turn on event recording
▪ Start time-lapse with event switch (long press)
▪ Start impact recording
▪ Immediately stop time-lapse with event switch (long press)</t>
  </si>
  <si>
    <t>▪ Initial Event Switch LED OFF
→ Time-lapse Recording (0.5Hz) → Impact Recording (1Hz) → OFF</t>
  </si>
  <si>
    <t>▪ Continuous Recording OFF / Event Recording ON while driving
▪ Start Time-lapse with Event Switch (Long Press)
▪ Switch Recording
▪ Immediately end Time-lapse with Event Switch (Long Press)</t>
  </si>
  <si>
    <t>▪ Initial Event Switch LED OFF
→ Time-lapse Recording (0.5Hz) → Switch Recording (1Hz) → OFF</t>
  </si>
  <si>
    <t>Check Flashing Cycle Priority by Recording Status
- 1) Switch Event, 2) Impact Event, 3) Time-lapse, 4) Continuous Driving</t>
  </si>
  <si>
    <t>▪ Driving Recording Settings (Continuous, Event) ON
▪ AVN Screen Switching
▪ Check EVENT_SW_INDI while Driving Continuous Recording</t>
  </si>
  <si>
    <t>▪ Press and hold EVENT_SW (1.3s or longer)
▪ Check EVENT_SW_INDI while recording time-lapse</t>
  </si>
  <si>
    <t>▪ EVENT_SW_INDI = ON → Flash
- Flashing Frequency: 1Hz → 0.5Hz(Duty : 50%)</t>
  </si>
  <si>
    <t>▪ Enable impact event during time-lapse recording
▪ Check EVENT_SW_INDI during driving event (impact) recording</t>
  </si>
  <si>
    <t>▪ EVENT_SW_INDI = Flash
- Flash Frequency: 0.5Hz → 1Hz(Duty : 50%)</t>
  </si>
  <si>
    <t>▪ Enable Switch Event during Impact Event Recording
▪ Check EVENT_SW_INDI during Driving Event (Manual)</t>
  </si>
  <si>
    <t>▪ EVENT_SW_INDI = Flashing (for 10 seconds)
- Flashing Frequency: 1Hz (Duty: 50%)
※ Maintains the same frequency and duty cycle regardless of the previous ON/OFF state of EVENT_SW_INDI</t>
  </si>
  <si>
    <t>EVENT_SW Repeat long press 10 times</t>
  </si>
  <si>
    <t>OWD_029</t>
  </si>
  <si>
    <t>[Time-lapse Recording] (5) : EVENT_SW Long Press Repeat 10 times</t>
  </si>
  <si>
    <t>▪ [EthCC] H_U HU_BLTN_CAM_E_00
- HU_Display = 0x00(AVN mode)
▪ Manual EVENT Switch long press (1.3 seconds or more), repeat 10 times</t>
  </si>
  <si>
    <t>▪ BLTN_CAM_RecSta_TML = 0x0(OFF)
↔ BLTN_CAM_RecSta_TML = 0x1(ON) Repeat 10 times</t>
  </si>
  <si>
    <t>Time-lapse level 2 setting, unsatisfactory long key input</t>
  </si>
  <si>
    <t>▪ Access Menu, Time-lapse Settings Step 2
- 2-second intervals - Total 40 minutes
▪ BLTN_CAM EVENT_SW Input = 1 second
- Switch Input (A/L): HIGH → LOW</t>
  </si>
  <si>
    <t>▪ Time-lapse recording not done due to insufficient EVENT SW judgment time
▪ BLTN_CAM_RecSta_TML = 0x0(OFF)</t>
  </si>
  <si>
    <t>Time-lapse level 2 setting, long key input satisfied</t>
  </si>
  <si>
    <t>▪ Access Menu, Time-lapse Settings Step 2
- 2-second intervals - Total 40 minutes
▪ BLTN_CAM EVENT_SW Input = 1.3 seconds
- Switch Input (A/L): HIGH → LOW</t>
  </si>
  <si>
    <t>▪ BLTN_CAM_RecSta_TML = 0x1(Recording)</t>
  </si>
  <si>
    <t>Time-lapse level 3 setting, dissatisfaction with long key input</t>
  </si>
  <si>
    <t>▪ Time-lapse Settings Step 3 after accessing the menu
- 5-second intervals - Total 100 minutes
▪ BLTN_CAM EVENT_SW Input = 1 second
- Switch Input (A/L): HIGH → LOW</t>
  </si>
  <si>
    <t>Time-lapse level 3 setting, long key input satisfied</t>
  </si>
  <si>
    <t>▪ Access Menu, Time-lapse Settings Step 3
- 5-second intervals - Total 100 minutes
▪ BLTN_CAM EVENT_SW Input = 1.3 seconds
- Switch Input (A/L): HIGH → LOW</t>
  </si>
  <si>
    <t>Checking the impact of simultaneous recording of other videos during time-lapse recording</t>
  </si>
  <si>
    <t>[Time-lapse Recording] (5) : Simultaneous Recording</t>
  </si>
  <si>
    <t>▪ AVN Screen Switch
▪ EVENT_SW Long Press (1.3s or more)</t>
  </si>
  <si>
    <t>▪ BLTN_CAM_RecSta_TML = 0x1(Recording)(ON)</t>
  </si>
  <si>
    <t>▪ Is it a Switch Event?
▪ Is it a Shock Event?</t>
  </si>
  <si>
    <t>▪ F/R-CAM_INDI: During event recording, blink 1Hz then return to 0.25Hz
▪ EVENT_SW_INDI: During event recording, blink 1Hz then return to 0.5Hz</t>
  </si>
  <si>
    <t>▪ Built-in Cam Main Screen
▪ [Timelapse] Check Library</t>
  </si>
  <si>
    <t>▪ Time-lapse thumbnail and video name (date and time) should be verified correctly.</t>
  </si>
  <si>
    <t>Check whether recording is saved when KEY is OFF during time-lapse recording</t>
  </si>
  <si>
    <t>▪ Recording time-lapse for 1 minute or longer
▪ KEY OFF
▪ Check library after turning KEY ON,</t>
  </si>
  <si>
    <t>Quickly reset key while recording time-lapse</t>
  </si>
  <si>
    <t>OWD_031</t>
  </si>
  <si>
    <t>[Time-lapse Recording] (6) : Other than specifications</t>
  </si>
  <si>
    <t>▪ Start Time-lapse Recording (AVN Mode)
▪ Turn ACC &amp; IGN OFF, then immediately ON
(Caution: Engine running status signal must not be received)</t>
  </si>
  <si>
    <t>▪ Time-lapse video file terminates normally at the point where ACC is turned off</t>
  </si>
  <si>
    <t>Ignore long key input in parking mode</t>
  </si>
  <si>
    <t>▪ [Previous State: Parking Mode]
▪ Long Press</t>
  </si>
  <si>
    <t>▪ Do not record time-lapse</t>
  </si>
  <si>
    <t>Start Request</t>
  </si>
  <si>
    <t>OWD_032</t>
  </si>
  <si>
    <t>[Time-lapse Recording] (7) : Recording Request CAN Signal</t>
  </si>
  <si>
    <t>▪ Switch AVN Mode
▪ TML_Rec_Req = 0x1(Start Request)</t>
  </si>
  <si>
    <t>End Request</t>
  </si>
  <si>
    <t>▪ TML_Rec_Req = 0x2(End Request)</t>
  </si>
  <si>
    <t>▪ Time-lapse recording ended</t>
  </si>
  <si>
    <t>Start Request → Long press</t>
  </si>
  <si>
    <t>▪ TML_Rec_Req = 0x1(Start Request)
▪ Press long key after waiting for 10 seconds or more</t>
  </si>
  <si>
    <t>▪ Start/Stop Time-lapse Recording
▪ Time-lapse Video Saved</t>
  </si>
  <si>
    <t>Long press → End Request</t>
  </si>
  <si>
    <t>▪ Long key input
▪ After waiting for 10 seconds or more, TML_Rec_Req = 0x2(End Request)</t>
  </si>
  <si>
    <t>Confirmed non-operation in BLTN_CAM mode</t>
  </si>
  <si>
    <t>▪ Switch to BLTN_CAM mode
▪ TML_Rec_Req = 0x1(Start Request)</t>
  </si>
  <si>
    <t>▪ No time-lapse recording</t>
  </si>
  <si>
    <t>[Time-lapse Recording] (8) :
Touch Switch Failure Information Signal</t>
  </si>
  <si>
    <t>▪ AVN Mode
▪ AVN Quick Control Time-lapse Recording Touch
▪ Check TML_SoftKeyEnable signal
▪ Check TML_SoftKeySystemFailStatus signal</t>
  </si>
  <si>
    <t>▪ TML_SoftKeyEnable = 0x0:Enable
 ▪ TML_SoftKeySystemFailStatus = 0x0:Normal</t>
  </si>
  <si>
    <t>▪ SD card removed
▪ AVN Quick Control Time-lapse Recording touch
▪ Check TML_SoftKeyEnable signal
▪ Check TML_SoftKeySystemFailStatus signal</t>
  </si>
  <si>
    <t>[Built-in Cam 2nd/2.5th/2.6th Gen] Maintain fixed values ​​below [BICIM2-3086]
▪ TML_SoftKeyEnable = 0x0:Enable
▪ TML_SoftKeySystemFailStatus = 0x0:Normal
[Built-in Cam 3rd Gen]
▪ TML_SoftKeyEnable = 0x1:Disable
▪ TML_SoftKeySystemFailStatus = 0x1:Built-in Cam Error</t>
  </si>
  <si>
    <t>Performance recording indicator display</t>
  </si>
  <si>
    <t>[Performance Recording] Indicator Status</t>
  </si>
  <si>
    <t>Built-in cam performance recorder not in use</t>
  </si>
  <si>
    <t>▪ Always-on Driving Setting ON
▪ Enter N Mode
▪ N Race Cam REC Recording Not On</t>
  </si>
  <si>
    <t>▪ Gray (No recording, recording button indicator displayed in gray)
▪ BLTN_CAM_RecSta_OWD : 0x1 (Recording)
▪ BLTN_CAM_RecSta_BPR : 0x0 (OFF)</t>
  </si>
  <si>
    <t>Ready to operate the built-in cam performance recorder</t>
  </si>
  <si>
    <t>▪ Always-on Driving Setting ON
▪ Enter N Mode
▪ N Race Cam REC Recording Ready
(Touch Record Button)</t>
  </si>
  <si>
    <t>▪ Yellow (Before recording starts, recording button indicator displays yellow)
▪ BLTN_CAM_RecSta_OWD : Switches from 0x1 (Recording) to 0x0 (OFF)
▪ BLTN_CAM_RecSta_BPR : Switches from 0x0 (OFF) to 0x1 (Recording)</t>
  </si>
  <si>
    <t>Start recording</t>
  </si>
  <si>
    <t>▪ Always-on Driving Setting ON
▪ Enter N Mode
▪ Start N Race Cam REC Recording</t>
  </si>
  <si>
    <t>▪ Red (Recording starts, recording button indicator displays red)
▪ BLTN_CAM_RecSta_OWD : 0x0 (OFF)
▪ BLTN_CAM_RecSta_BPR : 0x1 (Recording)</t>
  </si>
  <si>
    <t>End of recording</t>
  </si>
  <si>
    <t>▪ Always-on Driving Setting ON
▪ Enter N Mode
▪ Touch to stop N Race Cam REC recording</t>
  </si>
  <si>
    <t>▪ Record button indicator turns green with a completion indicator after 3 seconds of yellow blinking
▪ Turns gray after completion
▪ BLTN_CAM_RecSta_OWD: Switches from 0x0 (OFF) to 0x1 (Recording)
▪ BLTN_CAM_RecSta_BPR: Switches from 0x1 (Recording) to 0x0 (OFF)</t>
  </si>
  <si>
    <t>▪ Always Driving Recording Set ON
▪ Enter N Mode
▪ Standby for 1 hour for Performance Recording</t>
  </si>
  <si>
    <t>Checking the operation of the performance recording option</t>
  </si>
  <si>
    <t>[Performance Recording] Performance Options</t>
  </si>
  <si>
    <t>Check whether recording is enabled in Performance Options</t>
  </si>
  <si>
    <t>▪ Enter N Mode, then enter Performance Options
▪ Click the N Race Cam tab
▪ Touch the REC button</t>
  </si>
  <si>
    <t>▪ Yellow -&gt; Red (Recording button indicator transitions from yellow to red)
▪ BLTN_CAM_RecSta_OWD : Transitions from 0x1 (Recording) to 0x0 (OFF)
▪ BLTN_CAM_RecSta_BPR : Transitions from 0x0 (OFF) to 0x1 (Recording)</t>
  </si>
  <si>
    <t>Check files in Performance Options</t>
  </si>
  <si>
    <t>▪ Enter N Mode - Performance Options
▪ Click the N Race Cam tab
▪ Touch the File button</t>
  </si>
  <si>
    <t>▪ Display performance video list after switching to Built-in Cam mode</t>
  </si>
  <si>
    <t>Verification of performance recording time output and specifications</t>
  </si>
  <si>
    <t>[Performance Recording] Check N Mode Recording Time Output</t>
  </si>
  <si>
    <t>Check performance recording time</t>
  </si>
  <si>
    <t>▪ N Mode - Click Performance Recording
▪ Record for 1 minute
▪ Check recording time counter</t>
  </si>
  <si>
    <t>▪ Recording time will be counted normally (e.g., 01:00)</t>
  </si>
  <si>
    <t>Performance Recording: Other than specifications</t>
  </si>
  <si>
    <t>Quickly reset key during performance recording</t>
  </si>
  <si>
    <t>▪ Start Performance Recording (N Mode)
▪ Turn OFF the ACC &amp; IGN switch, then immediately turn ON</t>
  </si>
  <si>
    <t>▪ Performance recording ends normally at the OFF point</t>
  </si>
  <si>
    <t>[DCM] When applied
DCM video output timing:
Within 2000ms,
Rear video transmission starts from the built-in cam within the specified time after engine start.
Feature implemented to execute AIS / Preview within 2000ms of cold boot.</t>
  </si>
  <si>
    <t>[Check DCM Output] : Check Operation Status</t>
  </si>
  <si>
    <t>Check initial status</t>
  </si>
  <si>
    <t>▪ Check signal status after turning the key ON</t>
  </si>
  <si>
    <t>▪ If DCM is applied,
BLTN_CAM_DCM_Status = 0x1 (Built-in Cam Display DCM Normally)
▪ If DCM is not applied,
BLTN_CAM_DCM_Status = 0x0 (Normal)</t>
  </si>
  <si>
    <t>Check video output timing</t>
  </si>
  <si>
    <t>▪ Key ON
▪ Check video output timing</t>
  </si>
  <si>
    <t>▪ Output video within 2000ms</t>
  </si>
  <si>
    <t>Verify DCM operation in BLTN_CAM mode</t>
  </si>
  <si>
    <t>▪ Check operating status signal</t>
  </si>
  <si>
    <t>▪ BLTN_CAM_DCM_Status = 0x1 (Built-in Cam Display DCM Normally)</t>
  </si>
  <si>
    <t>Verify DCM operation in engineer mode</t>
  </si>
  <si>
    <t>Verify DCM operation in AVN Mode (IGN power)</t>
  </si>
  <si>
    <t>Check DCM operation in AVN Mode (ACC power)</t>
  </si>
  <si>
    <t>[Check DCM Output] : Check Impact</t>
  </si>
  <si>
    <t>Check the impact when recording other videos simultaneously</t>
  </si>
  <si>
    <t>▪ Check DCM output status</t>
  </si>
  <si>
    <t>▪ Check DCM output screen</t>
  </si>
  <si>
    <t>▪ BLTN_CAM_DCM_Status = 0x1 (Built-in Cam Display DCM Normally)
▪ No issues such as screen disconnection failure, black screen, or cracking</t>
  </si>
  <si>
    <t>Confirmation of low voltage impact</t>
  </si>
  <si>
    <t>▪ No issues with DCM video output</t>
  </si>
  <si>
    <t>Confirmation of high voltage impact</t>
  </si>
  <si>
    <t>Checking the impact of rear camera removal</t>
  </si>
  <si>
    <t>▪ Remove rearview camera
▪ Check DCM output after removal
▪ Check normal DCM output after installation</t>
  </si>
  <si>
    <t>▪ No video output when the rear camera is removed, and video output when installed.</t>
  </si>
  <si>
    <t>[BLTN_CAM-Function-005] Continuous Parking Recording</t>
  </si>
  <si>
    <t>- Check initial recording settings
- Check recording status signal
- Check camera/switch indicator</t>
  </si>
  <si>
    <t>[Continuous recording while parked]</t>
  </si>
  <si>
    <t>Check initial values ​​for continuous parking recording settings</t>
  </si>
  <si>
    <t>▪ Check Initial Values
- Domestic/Japan/North America/Europe: Always Parking OFF, Parking Event OFF, Event Notification ON
- Russia/Middle East: Always Parking OFF, Parking Event OFF, Event Notification OFF
: Initial values ​​after changing from Factory mode to Customer mode</t>
  </si>
  <si>
    <t>▪ Turn on Driving Continuous Recording (to check the initial value after FRS setting operation)
▪ [ccNC Settings] - [General] - [Reset] - Proceed with Guest Profile or Full Reset</t>
  </si>
  <si>
    <t>▪ Domestic/Japan/North America
BLTN_CAM_RecSet_OWP = 0x2(ON)
: The default recording setting is ON upon initialization after FRS setup operation
▪ Europe/Russia/Middle East
BLTN_CAM_RecSet_OWP = 0x00(Default)
: The default recording setting is Default upon initialization after FRS setup operation
※ Parking recording applied as an exception for JG1 RUS</t>
  </si>
  <si>
    <t>▪ [Settings] - [Event Detection Sensitivity] - Check Recording While Parked</t>
  </si>
  <si>
    <t>▪ BLTN_CAM_SenSet_PEV = 0x3(Lv.3)</t>
  </si>
  <si>
    <t>Parking Continuous Recording Time Setting (~20Hr Specification)
- Check Initial Value</t>
  </si>
  <si>
    <t>▪ [Recording while parked] - [Recording time while parked]
- Check initial value</t>
  </si>
  <si>
    <t>▪ BLTN_CAM_Set_PrkTime = 0xC(20Hr)
  0x1 ~ 0x14 (1Hr~20Hr)</t>
  </si>
  <si>
    <t>Confirmation of continuous parking recording operation</t>
  </si>
  <si>
    <t>▪ ACC, IGN OFF
▪ Check recording status signal</t>
  </si>
  <si>
    <t>▪ BLTN_CAM_RecSta_OWP = 0x1(Recording)
: The difference between the actual recording start time (check recording file) and the signal ON must be within 2 seconds.
▪ BLTN_CAM_RecSta_OWD = 0x0(OFF)
▪ No recording start delay (recording starts within 5 seconds based on GN7)</t>
  </si>
  <si>
    <t>[Continuous Recording While Parked] - 2
- Verify Recording Settings OFF
- Verify Recording File Creation
- Check IGN/ACC Power Impact</t>
  </si>
  <si>
    <t>[Continuous Recording While Parked] Setting ON/OFF</t>
  </si>
  <si>
    <t>Check that the continuous parking recording setting is OFF.</t>
  </si>
  <si>
    <t>▪ Switch to Built-in Camera View
▪ [Settings] - [Recording] - [Recording While Parked] - Turn Off Continuous Recording</t>
  </si>
  <si>
    <t>▪ BLTN_CAM_RecSet_OWP = 0x1(OFF)</t>
  </si>
  <si>
    <t>Confirmation that continuous parking recording does not operate when recording setting is OFF
: Domestic/Japan/North America</t>
  </si>
  <si>
    <t>▪ BLTN_CAM_RecSta_OWP = 0x0(OFF)</t>
  </si>
  <si>
    <t>Confirmed that continuous parking recording is not working for Europe/Russia/Middle East markets.
※ Parking recording applied as an exception for JG1 RUS.</t>
  </si>
  <si>
    <t>▪ Switch to Built-in Camera View
▪ [Settings] - [Recording] - [Recording While Parked] - Turn On Continuous Recording</t>
  </si>
  <si>
    <t>▪ BLTN_CAM_RecSet_OWP = 0x0(Defualt)</t>
  </si>
  <si>
    <t>Check BLTN_CAM_Prk_Oprable_Time</t>
  </si>
  <si>
    <t>▪ SOC Abnormal Status
- P-LBM SoC: 0xFF
- eAGM SoC: No reception or Invalid (0x65~0xFE) or Error (0xFF) transmission
▪ [Settings] - [Recording] - [Recording While Parked] - Continuous Recording ON
▪ ACC &amp; IGN OFF</t>
  </si>
  <si>
    <t>▪ BLTN_CAM_Prk_Oprable_Time = 0x00</t>
  </si>
  <si>
    <t>Confirm recording file creation (3 minutes)
- Create 1 3-minute recording file</t>
  </si>
  <si>
    <t>▪ Built-in Cam Main Screen
▪ [Settings] - [Recording] - [Recording While Parked] - Continuous Recording ON
▪ ACC &amp; IGN OFF
▪ Wait 3 minutes, then ACC &amp; IGN ON
▪ Return to Built-in Cam Main Screen and check the [Continuous Recording While Parked] library</t>
  </si>
  <si>
    <t>▪ Verify that continuous recording files are saved while parked
- Verify that a list containing 1 file (Front + Rear video, 3 min) is created
▪ There should be no issues with video distortion, black screens, noise, or color quality
- The progress bar plays to the end during playback</t>
  </si>
  <si>
    <t>과거차문제
PASTI-340
주차녹화 진입 초기에 후방영상 블랙으로 저장 되며 간헐적으로 썸네일도 블랙 저장</t>
  </si>
  <si>
    <t>[Conditions of Evil] ACC&amp;IGN Quickly turn ON/OFF 20 times, then OFF</t>
  </si>
  <si>
    <t>▪ Quickly turn ACC&amp;IGN ON/OFF 20 times, then OFF
(Quickly press the actual vehicle engine start button)</t>
  </si>
  <si>
    <t>▪ Start parking recording successfully
▪ Check if there are any unplayable recording files (check thumbnails as well)</t>
  </si>
  <si>
    <t>[Evil Conditions] Parking Recording Setting Off
Repeat ACC&amp;IGN quickly ON/OFF 20 times, then OFF</t>
  </si>
  <si>
    <t>▪ Auxiliary battery connected, Parking recording set Off
▪ Quickly turn ACC&amp;IGN ON/OFF 20 times, then turn OFF
(Quickly press the actual vehicle's engine start button)</t>
  </si>
  <si>
    <t>▪ Do not enter parking recording
▪ Must satisfy quiescent current specifications</t>
  </si>
  <si>
    <t>[Continuous Recording While Parked] : Full-time Recording
※ Check the auxiliary battery tab for features related to parking recording time.</t>
  </si>
  <si>
    <t>[Continuous Recording While Parked] : Full-time Recording</t>
  </si>
  <si>
    <t>Confirmation of recording file creation (20 hours)</t>
  </si>
  <si>
    <t>▪ Turn OFF ACC &amp; IGN after setting to 20-hour continuous parking recording
▪ After turning the KEY ON, enter the built-in cam screen and check the continuous parking recording box</t>
  </si>
  <si>
    <t>▪ Confirmation of continuous recording file saving while parked
- Confirmation of creation of a list of 40 Front &amp; Rear videos (30 minutes)</t>
  </si>
  <si>
    <t>Check for interruptions in related actions during continuous recording</t>
  </si>
  <si>
    <t>▪ Maintain CAN Alive status by inputting an NM signal during 20-hour continuous parking recording.
▪ Check the BLTN_CAM_RecSta_OWP signal in the CAN LOG after parking recording is complete.</t>
  </si>
  <si>
    <t>▪ The BLTN_CAM_RecSta_OWP signal will not be turned OFF at the time of individual file saving.</t>
  </si>
  <si>
    <t>Confirmation of recording file creation (12 hours)</t>
  </si>
  <si>
    <t>▪ Turn OFF ACC &amp; IGN after setting to 12-hour continuous parking recording
▪ After turning the KEY ON, enter the built-in cam screen and check the continuous parking storage box</t>
  </si>
  <si>
    <t>▪ Confirmation of continuous recording file saving while parked
- Confirmation of creation of a list of 24 Front &amp; Rear videos (30 minutes)</t>
  </si>
  <si>
    <t>Confirmation of recording file creation (6 hours)</t>
  </si>
  <si>
    <t>▪ Turn OFF ACC &amp; IGN after setting to 6-hour continuous parking recording
▪ After turning the KEY ON, enter the built-in cam screen and check the continuous parking recording box</t>
  </si>
  <si>
    <t>▪ Confirmation of continuous recording file saving while parked
- Confirmation of creation of a list of 12 Front &amp; Rear videos (30 minutes)</t>
  </si>
  <si>
    <t>Confirmation of recording file creation (2 hours)</t>
  </si>
  <si>
    <t>▪ Turn OFF ACC &amp; IGN after setting continuous parking recording for 2 hours
▪ After turning the KEY ON, enter the built-in cam screen and check the continuous parking recording box</t>
  </si>
  <si>
    <t>▪ Confirmation of continuous recording file saving while parked
- Confirmation of creation of 4 lists for Front &amp; Rear Video (30 min)</t>
  </si>
  <si>
    <t>▪ Parking recording starts at 23:40
▪ Check the parking recording video list after 3 recording files are created 1 hour later</t>
  </si>
  <si>
    <t>▪ Created as 2 recording groups
- 23:40:00 ~ 00:10:00
- 00:10:00 ~ 00:40:00</t>
  </si>
  <si>
    <t>▪ Video saving/playback frame rate 2 FPS</t>
  </si>
  <si>
    <t>▪ Resolution 2560*1440 (QHD), No audio recording
※ 2.5 Gen: 2980*1440
※ 3rd Gen: 3840 * 2160 (Front/Rear Camera)
1280 * 1440 each (Side Camera)</t>
  </si>
  <si>
    <t>[Continuous Recording While Parked]
: Simultaneous occurrence of Parking Continuous / Switch Event / Impact Event</t>
  </si>
  <si>
    <t>OWP_004</t>
  </si>
  <si>
    <t>[Continuous Recording While Parked] : Checking the Impact of Simultaneous Recording</t>
  </si>
  <si>
    <t>Verification of impact when recording other videos simultaneously during parking recording - Operation verification</t>
  </si>
  <si>
    <t>▪ Proceed with the following while parking recording is in progress after turning off the key
▪ Enable Switch Event
▪ Enable Impact Event (Event Recording Setting ON)
▪ Wait 1 minute
▪ Built-in Cam Main Screen</t>
  </si>
  <si>
    <t>▪ BLTN_CAM_RecSet_OWP = 0x2(ON)
▪ F/R-CAM_INDI No issues
▪ EVENT_SW_INDI No issues</t>
  </si>
  <si>
    <t>Checking the impact of simultaneous recording of other videos during parking recording - Video verification</t>
  </si>
  <si>
    <t>▪ [Always check while parked] Check locker</t>
  </si>
  <si>
    <t>▪ Confirmation of continuous recording file saving while parked
- Confirmation of front &amp; rear video (60 sec) list creation</t>
  </si>
  <si>
    <t>Front camera removal, parking recording + manual/impact events</t>
  </si>
  <si>
    <t>▪ Start parking recording
▪ Remove front camera after 30 seconds
▪ Reinstall camera after 20 seconds
▪ Manual, trigger impact event
▪ Check generated recording file after 30 seconds</t>
  </si>
  <si>
    <t>▪ Recorded video file created (Black screen recorded if no video input)
▪ Camera restored to normal after installation</t>
  </si>
  <si>
    <t>Rearview camera removal, parking recording + manual/impact events</t>
  </si>
  <si>
    <t>▪ Start continuous parking recording
▪ Remove rear camera after waiting 30 seconds
▪ Reinstall camera after waiting 20 seconds
▪ Mandate impact event
▪ Check generated recording file after waiting 30 seconds</t>
  </si>
  <si>
    <t>▪ Continuous recording, impact video file generated (black screen recording if no video input)
▪ Camera returns to normal after installation</t>
  </si>
  <si>
    <t>Front/rear camera removal, constant parking + manual/impact events</t>
  </si>
  <si>
    <t>▪ Start parking recording
▪ Wait 30 seconds, then remove front + rear cameras
▪ Wait 20 seconds, then reattach cameras
▪ Manual, trigger impact event
▪ Wait 30 seconds, then check the generated recording file</t>
  </si>
  <si>
    <t>When attaching/detaching the front camera during parking recording</t>
  </si>
  <si>
    <t>▪ Removal/Installation of front camera during parking recording</t>
  </si>
  <si>
    <t>▪ Recorded video file created (Black screen recorded if no video input)
▪ Camera restored to normal after installation (Recorded video plays normally)
▪ Impact event recording did not occur</t>
  </si>
  <si>
    <t>Impact of Front Camera Removal During Parking Recording on CAN Communication</t>
  </si>
  <si>
    <t>When attaching or detaching the rear camera during parking recording</t>
  </si>
  <si>
    <t>▪ Parking Recording in Progress (Network Sleep)
▪ Front/Rear Camera Detachment
▪ KEY ON</t>
  </si>
  <si>
    <t>When removing the camera during parking recording and reinstalling it after turning the KEY ON</t>
  </si>
  <si>
    <t>▪ Parking Recording in Progress (Network Sleep)
▪ Front/Rear Camera Removal
▪ KEY ON
▪ Enter Built-in Cam Mode Real-time View
▪ Front/Rear Camera Installation</t>
  </si>
  <si>
    <t>▪ Camera restored to normal after installation (real-time screen)</t>
  </si>
  <si>
    <t>▪ Built-in Cam Settings - Change Display Angle
: Front/Rear -5 ~ +5 Value Setting</t>
  </si>
  <si>
    <t>▪ Angle set from -5 to +5 depending on front/rear setting values</t>
  </si>
  <si>
    <t>Impact of CAN communication when removing the rear camera during parking recording</t>
  </si>
  <si>
    <t>▪ Removal/Installation of rear camera during parking recording</t>
  </si>
  <si>
    <t>Check G-sensor operation after attaching/detaching the camera during parking recording</t>
  </si>
  <si>
    <t>▪ Parking recording in progress (Impact notification function ON)
▪ Wait 30 seconds, then remove front camera
▪ Wait 20 seconds, then reattach camera
▪ Authorize impact event</t>
  </si>
  <si>
    <t>▪ Recorded video file created (Black screen recording if no video input)
▪ Camera restored to normal within 2 seconds after installation
(Recorded file driving data, capacity, playback time)
▪ Confirmed saving of impact event recording
▪ Confirmed operation of impact event notification
: BLTN_CAM_PEV_Recorded = 0x2(Park Event Recorded) up to 5 times</t>
  </si>
  <si>
    <t>Front camera removal, parking motion + impact event</t>
  </si>
  <si>
    <t>▪ Start recording parking motion + impact
▪ Remove front camera after 30 seconds
▪ Reinstall camera after 20 seconds
▪ Check generated recording file after 30 seconds</t>
  </si>
  <si>
    <t>▪ Parking motion and parking impact recording files are generated (black screen recording if no video is input)
▪ Camera restored to normal after installation</t>
  </si>
  <si>
    <t>Rear camera removal, parking motion + impact event</t>
  </si>
  <si>
    <t>▪ Start recording parking motion + impact
▪ Remove rear camera after waiting 30 seconds
▪ Reinstall camera after waiting 20 seconds
▪ Check generated recording file after waiting 30 seconds</t>
  </si>
  <si>
    <t>Front/rear camera removal, parking motion + impact event</t>
  </si>
  <si>
    <t>▪ Start parking motion + impact recording
▪ Remove front/rear cameras after a 30-second wait
▪ Reinstall cameras after a 20-second wait
▪ Check generated recording files after a 30-second wait</t>
  </si>
  <si>
    <t>When attaching or detaching the front camera during parking motion recording</t>
  </si>
  <si>
    <t>▪ Front camera detachment during parking motion recording</t>
  </si>
  <si>
    <t>▪ Recorded video file created (Black screen recorded if no video input)
▪ Camera restored to normal after installation (Recorded video plays normally)
▪ Impact event recording does not occur; if it occurs, a recorded video file is created (Black screen if no video input)</t>
  </si>
  <si>
    <t>Impact of CAN Communication When Removing Front Camera During Parking Motion Recording</t>
  </si>
  <si>
    <t>▪ Front camera removal/installation during parking motion recording</t>
  </si>
  <si>
    <t>When attaching or detaching the rear camera during parking motion recording</t>
  </si>
  <si>
    <t>▪ Removal of rear camera during parking motion recording</t>
  </si>
  <si>
    <t>Impact of CAN communication when removing the rear camera during parking motion recording</t>
  </si>
  <si>
    <t>When removing the camera during parking motion recording and reinstalling it after turning the KEY ON</t>
  </si>
  <si>
    <t>▪ Parking Motion Recording in Progress (Network Sleep)
▪ Front/Rear Camera Removal
▪ KEY ON
▪ Enter Built-in Cam Mode Real-time View
▪ Front/Rear Camera Installation</t>
  </si>
  <si>
    <t>Check G-sensor operation after attaching/detaching the camera during parking motion recording</t>
  </si>
  <si>
    <t>▪ Start parking motion recording (Impact notification function ON)
▪ Remove front camera after 30 seconds
▪ Reinstall camera after 20 seconds
▪ Authorize impact event</t>
  </si>
  <si>
    <t>▪ Motion recording video file created (Black screen recording if no video input)
▪ Camera restored to normal within 2 seconds after installation
(Recording file driving data, capacity, playback time)
▪ Confirmation of impact event recording saving
▪ Confirmation of impact event notification operation
: BLTN_CAM_PEV_Recorded = 0x2(Park Event Recorded) up to 5 times</t>
  </si>
  <si>
    <t>Verification of Parking Motion Recording After Removing Front/Rear Cameras (#23029)
: Past Issues in Development Phase</t>
  </si>
  <si>
    <t>▪ Turn ON Continuous Recording While Driving and Motion Recording While Parking
▪ Remove Front/Rear Camera During Continuous Recording While Driving
▪ Turn KEY OFF Immediately</t>
  </si>
  <si>
    <t>▪ Parking motion recording will not work</t>
  </si>
  <si>
    <t>Verify operation after reconnecting camera in SUSPEND state (#23446)
: Past issues during development phase</t>
  </si>
  <si>
    <t>▪ Parking Motion Recording Setting ON
▪ KEY OFF
▪ Remove Front Camera During Parking Motion Recording
▪ Reattach Front Camera in Parking Motion Recording Standby (SUSPEND Mode)
▪ Apply Motion/Impact</t>
  </si>
  <si>
    <t>▪ Parking motion and parking impact recording files are generated (Black screen recording if no video input is received)
▪ Camera returns to normal after installation (Recorded video plays normally)</t>
  </si>
  <si>
    <t>▪ Parking Motion Recording Setting ON
▪ KEY OFF
▪ Remove Rear Camera During Parking Motion Recording
▪ Reattach Rear Camera in Parking Motion Recording Standby (SUSPEND Mode)
▪ Apply Motion/Impact</t>
  </si>
  <si>
    <t>▪ Parking Motion Recording Setting ON
▪ KEY OFF
▪ Remove Front/Rear Camera During Parking Motion Recording
▪ Reattach Front/Rear Camera in Parking Motion Recording Standby (SUSPEND Mode)
▪ Apply Motion/Impact</t>
  </si>
  <si>
    <t>▪ Parking motion and parking impact recording files are generated (Black screen recording if no video input is received)
▪ Camera restored to normal after installation (Recorded video plays normally)
▪ Motion and impact detection do not work (BICIM2-449)</t>
  </si>
  <si>
    <t>[Power Fail Safety Operation]
: Emergency Power (Super Cap) Performance
- B+ OFF during Parking Recording</t>
  </si>
  <si>
    <t>[Power Fail Safety Operation] : Emergency Power (Super Cap) Performance
(Parking/Parking Motion)</t>
  </si>
  <si>
    <t>Continuous recording while parked</t>
  </si>
  <si>
    <t>▪ Continuous video recording while parked
▪ Disconnect main connector</t>
  </si>
  <si>
    <t>▪ The file being recorded right before power is turned off is saved.
※ Based on settings, at least two files must be saved.
- Save Priority: Always &gt; Impact Detection Save (Event) &gt; Manual Save</t>
  </si>
  <si>
    <t>Recording event (impact) while parked</t>
  </si>
  <si>
    <t>▪ Record video of impact event while parked
▪ Disconnect main connector (immediately after impact event)</t>
  </si>
  <si>
    <t>Recording event (switch) while parked</t>
  </si>
  <si>
    <t>▪ Video recording of the parked event switch
▪ Disconnect the main connector (immediately after the switch event occurs)</t>
  </si>
  <si>
    <t>Simultaneous execution of parking, constant, impact, and manual events</t>
  </si>
  <si>
    <t>▪ Recording of event switch video &amp; impact video while parked
▪ Disconnect main connector (immediately after event occurs)</t>
  </si>
  <si>
    <t>[Spoiled Conditions for Power Fail Safety Operation]
: Rear camera unrecognized
- B+ OFF during parking recording</t>
  </si>
  <si>
    <t>B+ OFF during continuous recording while parked</t>
  </si>
  <si>
    <t>▪ Continuous parking video recording, rear camera not recognized
▪ B+ power input OFF</t>
  </si>
  <si>
    <t>[Power Fail Safety Operation]
: Emergency Power (Super Cap) Performance
- B+ OFF during Parking Motion Recording</t>
  </si>
  <si>
    <t>Parking motion recording in progress</t>
  </si>
  <si>
    <t>▪ Parking Motion Recording
▪ Disconnect Main Connector</t>
  </si>
  <si>
    <t>Simultaneous execution of parking motion recording &amp; impact events</t>
  </si>
  <si>
    <t>▪ Parking Motion Recording &amp; Impact Event Recording
▪ Main Connector Disconnect</t>
  </si>
  <si>
    <t>[BLTN_CAM-Function-006] Parking Event Recording</t>
  </si>
  <si>
    <t>- Check initial recording settings
- Verify recording file creation
- Verify continuous event occurrences
- Verify impact count signal</t>
  </si>
  <si>
    <t>[Recording of impact event while parked]</t>
  </si>
  <si>
    <t>Check initial value</t>
  </si>
  <si>
    <t>▪ ICUPowerAutoCutMode = 0x0(Factory mode) → 0x2(Customer mode)
▪ Built-in Cam Main Screen
▪ [Settings] - [Reset Built-in Cam Settings] - [Recording] - [Record While Parked]</t>
  </si>
  <si>
    <t>▪ Check Initial Values
- Domestic/Japan/North America: Always Parking OFF, Parking Event OFF, Event Notification ON
- Russia/Middle East/Europe: Always Parking OFF, Parking Event OFF, Event Notification OFF
: Initial values ​​after changing from Factory mode to Customer mode</t>
  </si>
  <si>
    <t>▪ Turn ON Continuous Driving Recording (to check the initial value after FRS setting operation)
▪ [Settings] - [Reset Built-in Cam Settings] - [Recording] - [Recording While Parked]
▪ [Continuous Parking Recording] - Turn Setting ON</t>
  </si>
  <si>
    <t>▪ Domestic/Japan/North America
BLTN_CAM_RecSet_PEV = 0x2(ON)
: The default recording setting is ON upon initialization after FRS setup operation.
▪ Europe
BLTN_CAM_RecSet_PEV = 0x1(OFF)
: The default recording setting is OFF upon initialization after FRS setup operation.
▪ Russia/Middle East
BLTN_CAM_RecSet_PEV = 0x0(Default)
: The default recording setting is Default upon initialization after FRS setup operation.
※ Weekly recording applied as an exception for JG1 RUS</t>
  </si>
  <si>
    <t>Confirm Parking Event (Impact) Recording Setting ON
: Domestic/Japan/North America/Europe</t>
  </si>
  <si>
    <t>▪ Built-in Cam Main Screen
▪ [Settings] - [Recording] - [Recording While Parked] - Event Recording Settings ON
※ Turn OFF Continuous Parking Recording and Event Notification Functions</t>
  </si>
  <si>
    <t>▪ BLTN_CAM_RecSet_PEV = 0x2(On)</t>
  </si>
  <si>
    <t>Confirm that Russia/Middle East parking event (impact) recording settings are OFF</t>
  </si>
  <si>
    <t>▪ BLTN_CAM_RecSet_PEV = 0x00(Default)</t>
  </si>
  <si>
    <t>Check if the event did not occur</t>
  </si>
  <si>
    <t>▪ ACC &amp; IGN OFF
▪ Check recording status signal</t>
  </si>
  <si>
    <t>▪ BLTN_CAM_RecSta_PEV =0x0 (OFF)</t>
  </si>
  <si>
    <t>▪ F/R-CAM_INDI = Flash
- Flash Cycle: 0.5Hz(Flash Duty: 50%)</t>
  </si>
  <si>
    <t>▪ EVENT_SW_INDI Do not blink</t>
  </si>
  <si>
    <t>Confirmation of parking event recording operation</t>
  </si>
  <si>
    <t>▪ BLTN_CAM_RecSta_PEV = 0x1(Recording)
▪ BLTN_CAM_PEV_Recorded = 0x0(Default)
※ Specification: Does not operate when event notification function is OFF</t>
  </si>
  <si>
    <t>▪ F/R-CAM_INDI = Blink, (for 10 seconds)
- Blink frequency: 1Hz(Duty: 50%)</t>
  </si>
  <si>
    <t>▪ EVENT_SW_INDI = Flash (for 10 seconds)
- Flash Frequency: 1Hz(Duty: 50%)</t>
  </si>
  <si>
    <t>Consecutive parking event authorization</t>
  </si>
  <si>
    <t>▪ Under conditions where parking event recording is enabled, are there 10 or more impact events at 2-second intervals over 1 minute?</t>
  </si>
  <si>
    <t>▪ No slowdowns, no reboots, and no missing recording files
▪ Check the number of impact indicators
▪ Check impact count operation</t>
  </si>
  <si>
    <t>Continuous authorization for parking events (Event notification function ON)</t>
  </si>
  <si>
    <t>▪ Parking Event Notification Function ON Setting
▪ Impact detected at 2-second intervals for 1 minute under conditions where parking event recording is enabled</t>
  </si>
  <si>
    <t>▪ No slowdowns, no reboots, and no missing recording files
▪ Normal network sleep must be entered after completion (dark current less than 2mA)</t>
  </si>
  <si>
    <t>▪ 3 events at 11-second intervals
▪ Check the number of impact events while parked after KEY On
▪ Built-in Cam Main Screen
▪ Check [Parking Events] Archive</t>
  </si>
  <si>
    <t>▪ [BLTN_CAM_HU_PE] BLTN_CAM_PEV_Count = 0x3
▪ Verify that the recording file for the parked event (impact) is saved
- Verify that a list of 3 files (Front &amp; Rear, 20 sec) is created
▪ There should be no issues with video distortion, black screens, noise, or color quality</t>
  </si>
  <si>
    <t>▪ Video saving/playback frame rate 10 FPS</t>
  </si>
  <si>
    <t>▪ Resolution 2560*1440 (QHD), Voice Recording
※ 2.5 Gen: 2980*1440
※ 3rd Gen: 3840 * 2160 (Front/Rear Camera)
1280 * 1440 each (Side Camera)</t>
  </si>
  <si>
    <t>Check count update when Key Off</t>
  </si>
  <si>
    <t>▪ Check update of impact event count while parked after Key Off</t>
  </si>
  <si>
    <t>▪ Check [BLTN_CAM_HU_PE] BLTN_CAM_PEV_Count = 0x0</t>
  </si>
  <si>
    <t>- Verify that recording settings are OFF
- Verify the display of the event impact location
- Verify the impact of power condition fluctuations</t>
  </si>
  <si>
    <t>▪ Built-in Cam Main Screen
▪ [Settings] - [Recording] - [Recording While Parked] - Event Recording OFF, Always Parking ON
▪ ACC &amp; IGN OFF</t>
  </si>
  <si>
    <t>▪ BLTN_CAM_RecSet_PEV = 0x1(OFF)</t>
  </si>
  <si>
    <t>▪ BLTN_CAM_Rec_PEV = 0x0(OFF)</t>
  </si>
  <si>
    <t>▪ F/R CAM_INDI = Flash, (for 10 seconds)
- Flash Cycle: 0.5Hz(Duty : 50%)</t>
  </si>
  <si>
    <t>Display location of event impact
(Red progress bar indicator for continuous recording files) Verify consistency</t>
  </si>
  <si>
    <t>▪ Impact event authorization during continuous parking recording</t>
  </si>
  <si>
    <t>▪ Check for a red mark at the time of impact event in the continuous driving recording file
: Check timing alignment (within approximately 500ms)</t>
  </si>
  <si>
    <t>Display Event Impact Location (Event Recording File)
- Parking Always + Parking Event / Remove B+ Before Completion</t>
  </si>
  <si>
    <t>▪ Parking Always On + Parking Event Setting ON
▪ ACC &amp; IGN OFF
▪ Apply impact while Vehicle Network is ALIVE
▪ Disconnect B+ after 5 seconds</t>
  </si>
  <si>
    <t>▪ Built-in cam enters normally
▪ Check for a red mark at the time of impact event in the parking event recording file
: Check timing consistency (within approximately 500ms)</t>
  </si>
  <si>
    <t>▪ Always Parking + Parking Event Setting ON
▪ ACC &amp; IGN OFF
▪ Apply impact while vehicle network is in SLEEP state
▪ Disconnect auxiliary battery after 5 seconds</t>
  </si>
  <si>
    <t>▪ Parking Motion + Parking Event Settings ON
▪ ACC &amp; IGN OFF
▪ Apply impact while Vehicle Network is ALIVE
▪ Remove B+ after 5 seconds</t>
  </si>
  <si>
    <t>▪ Parking Motion + Parking Event Settings ON
▪ ACC &amp; IGN OFF
▪ Apply impact while vehicle network is in SLEEP state
▪ Disconnect auxiliary battery after 5 seconds</t>
  </si>
  <si>
    <t>Parking Recording Event Setting On
Rapid ACC &amp; IGN ON/OFF operation while Parking Recording Sleep</t>
  </si>
  <si>
    <t>▪ Parking recording using auxiliary battery (Sleep state)
▪ Immediately after Key On, then Key Off
▪ Confirm update of impact event count while parked</t>
  </si>
  <si>
    <t>▪ Parking Recording Entered Normally
▪ [BLTN_CAM_HU_PE] BLTN_CAM_PEV_Count = 0x0 Confirmed</t>
  </si>
  <si>
    <t>▪ Apply impact immediately when parking mode is activated</t>
  </si>
  <si>
    <t>▪ Shock recording normal operation</t>
  </si>
  <si>
    <t>[Evil Conditions] Parking Recording Event Setting On
Repeat ACC&amp;IGN quickly ON/OFF 20 times, then OFF</t>
  </si>
  <si>
    <t>▪ Quickly turn ACC&amp;IGN ON/OFF 20 times, then OFF
(Quickly press the actual vehicle engine start button)
▪ Verify update of impact event count while parked</t>
  </si>
  <si>
    <t>▪ Check impact recording function
▪ Check that no unplayable recording files are created (also check thumbnails)</t>
  </si>
  <si>
    <t>▪ Auxiliary battery connected, Parking recording set Off
▪ Quickly turn ACC&amp;IGN ON/OFF 20 times, then OFF
(Quickly press the vehicle's engine start button)
▪ Apply impact</t>
  </si>
  <si>
    <t>▪ Parking recording not activated
▪ Impact recording not activated
▪ Must satisfy quiescent current specifications</t>
  </si>
  <si>
    <t>[Check event save time] (2)</t>
  </si>
  <si>
    <t>OWP_009</t>
  </si>
  <si>
    <t>[Recording Event Impacts While Parked] : Check Event Save Time</t>
  </si>
  <si>
    <t>Check recording file event time -10s to +10s</t>
  </si>
  <si>
    <t>▪ Play the recorded file to check the playback time and the time of the event.</t>
  </si>
  <si>
    <t>▪ Playback length: 20s, Event occurrence time: 10s point</t>
  </si>
  <si>
    <t>Check recording file event time -15s ~ +10s</t>
  </si>
  <si>
    <t>▪ Playback length: 25s, Event occurrence time: 15s point</t>
  </si>
  <si>
    <t>Check recording file event time -20s ~ +10s</t>
  </si>
  <si>
    <t>▪ Playback length: 30s, Event occurrence time: 20s point</t>
  </si>
  <si>
    <t>Check recording file event occurrence time -10s ~ +15s</t>
  </si>
  <si>
    <t>▪ Playback length: 25s, Event occurrence time: 10s point</t>
  </si>
  <si>
    <t>Check recording file event time -15s ~ +15s</t>
  </si>
  <si>
    <t>▪ Playback length: 30s, Event occurrence time: 15s point</t>
  </si>
  <si>
    <t>Check recording file event time -20s ~ +15s</t>
  </si>
  <si>
    <t>▪ Playback length: 35s, Event occurrence time: 20s point</t>
  </si>
  <si>
    <t>Check recording file event time -10s ~ +20s</t>
  </si>
  <si>
    <t>▪ Playback length: 30s, Event occurrence time: 10s point</t>
  </si>
  <si>
    <t>Check recording file event time -15s ~ +20s</t>
  </si>
  <si>
    <t>▪ Playback length: 35s, Event occurrence time: 15s point</t>
  </si>
  <si>
    <t>Check recording file event time -20s ~ +20s</t>
  </si>
  <si>
    <t>▪ Playback length: 40s, Event occurrence time: 20s point</t>
  </si>
  <si>
    <t>Recording File Event Sensitivity Setting Lv1</t>
  </si>
  <si>
    <t>(Precondition) Event recording time before/after: Set to 10s
▪ Set parking event sensitivity in Built-in Cam settings
BLTN_CAM_Sen_PEV_NvalueSet = 0x1</t>
  </si>
  <si>
    <t>▪ BLTN_CAM_SenSet_PEV = 0x1</t>
  </si>
  <si>
    <t>▪ KEY OFF, impact event during parking recording</t>
  </si>
  <si>
    <t>▪ Front/Rear Camera and Switch Indicator Flash for 10 seconds
▪ BLTN_CAM_RecSta_PEV = 0x1 (Recording) Hold for 10 seconds then 0x0 (OFF)</t>
  </si>
  <si>
    <t>Recording File Event Sensitivity Setting Lv2</t>
  </si>
  <si>
    <t>(Prerequisite) Event recording time before/after: Set to 10s
▪ Set parking event sensitivity in Built-in Cam settings
BLTN_CAM_Sen_PEV_NvalueSet = 0x2</t>
  </si>
  <si>
    <t>▪ BLTN_CAM_SenSet_PEV = 0x2</t>
  </si>
  <si>
    <t>Recording File Event Sensitivity Setting Lv3</t>
  </si>
  <si>
    <t>(Prerequisite) Event recording time before/after: Set to 10s
▪ Set parking event sensitivity in Built-in Cam settings
BLTN_CAM_Sen_PEV_NvalueSet = 0x3</t>
  </si>
  <si>
    <t>▪ BLTN_CAM_SenSet_PEV = 0x3</t>
  </si>
  <si>
    <t>Recording File Event Sensitivity Setting Lv4</t>
  </si>
  <si>
    <t>(Prerequisite) Event recording time before/after: Set to 10s
▪ Set parking event sensitivity in Built-in Cam settings
BLTN_CAM_Sen_PEV_NvalueSet = 0x4</t>
  </si>
  <si>
    <t>▪ BLTN_CAM_SenSet_PEV = 0x4</t>
  </si>
  <si>
    <t>Recording File Event Sensitivity Setting Lv5</t>
  </si>
  <si>
    <t>(Prerequisite) Event recording time before/after: Set to 10s
▪ Set parking event sensitivity in Built-in Cam settings
BLTN_CAM_Sen_PEV_NvalueSet = 0x5</t>
  </si>
  <si>
    <t>▪ BLTN_CAM_SenSet_PEV = 0x5</t>
  </si>
  <si>
    <t>Confirm motion detection range setting fixed</t>
  </si>
  <si>
    <t>[Check Motion Detection Range Settings]</t>
  </si>
  <si>
    <t>Motion Detection Range Setting Lv1 while Parking</t>
  </si>
  <si>
    <t>▪ BLTN_CAM_Ran_PMDR_NvalueSet = 0x1 (Level 1)</t>
  </si>
  <si>
    <t>▪ BLTN_CAM_RansSet_PMDR = 0x1 (level 1)</t>
  </si>
  <si>
    <t>▪ KEY OFF, motion within 300cm (3M) during parking recording</t>
  </si>
  <si>
    <t>▪ Front/Rear Camera and Switch Indicator Flash for 10 seconds
▪ BLTN_CAM_RecSta_PMD = 0x1 (Recording), hold for 10 seconds, then 0x2 (Radar only operating)</t>
  </si>
  <si>
    <t>Motion Detection Range Setting During Parking Lv2</t>
  </si>
  <si>
    <t>▪ BLTN_CAM_Ran_PMDR_NvalueSet = 0x2 (Level 2)</t>
  </si>
  <si>
    <t>&lt;Domestic&gt;
▪ BLTN_CAM_RansSet_PMDR = 0x1 (level 1) Maintain
&lt;North America&gt;
▪ BLTN_CAM_RansSet_PMDR = 0x1 (level 1)
&lt;Europe&gt;
▪ BLTN_CAM_RansSet_PMDR = 0x3 (level 3)</t>
  </si>
  <si>
    <t>LV1으로 사양 고정
#23613</t>
  </si>
  <si>
    <t>Motion Detection Range Setting Lv3 while Parking</t>
  </si>
  <si>
    <t>▪ BLTN_CAM_Ran_PMDR_NvalueSet = 0x3 (Level 3)</t>
  </si>
  <si>
    <t>[Recording of Impact Events While Parked] (3)
: Burgler Alarm
- Confirmation of impact event occurrence upon Burgler Alarm trigger
(LED, Recording Signal, File Creation)
- Confirmation that no impact event occurred when Burgler Alarm is turned On → Off
※ Specifications: Burgler Alarm Signal 0x0 (Off) → 0x9 (Alarm). Event occurs once at the Rising Edge; under actual vehicle conditions, the 0x9 state is maintained until the customer deactivates the alarm.
※ Burgler Alarm Signal:
[BCM_02_200ms] - Balarm_BglrAlrmCurrentSta</t>
  </si>
  <si>
    <t>[Recording Event Impacts While Parked] : Burgler Alarm Event Recording
- Parking Continuous Recording Mode (Motion Settings OFF)</t>
  </si>
  <si>
    <t>▪ Burgler Alarm Signal Timeout → 0x0 (Off) Do not record event</t>
  </si>
  <si>
    <t>▪ Switch to Built-in Camera View
▪ [Settings] - [Recording] - [Recording While Parked] - Turn on Parking Impact Recording
(Always Parking OFF, Parking Motion OFF)
▪ Turn on Impact Event Notification</t>
  </si>
  <si>
    <t>▪ BLTN_CAM_Set_PEV_AppNoti = 0x2(ON)</t>
  </si>
  <si>
    <t>▪ ACC &amp; IGN OFF
▪ Received Burgler Alarm Signal 0x0
▪ Check Recording Status Signal</t>
  </si>
  <si>
    <t>▪ BLTN_CAM_PEV_Recorded = 0x0(Default)
 ▪ BLTN_CAM_RecSta_PEV = 0x0(OFF)</t>
  </si>
  <si>
    <t>▪ F/R CAM_INDI = Flash
- Flash Cycle: 0.5Hz(Duty : 50%)</t>
  </si>
  <si>
    <t>▪ Check Event Switch Indicator</t>
  </si>
  <si>
    <t>▪ EVENT_INDI = OFF</t>
  </si>
  <si>
    <t>▪ Burgler Alarm Signal 0x0 (Off) → 0x9 (Alarm) Event Recording
- Check recording status based on Rising Edge</t>
  </si>
  <si>
    <t>▪ Burgler Alarm Signal 0x0 → 0x9 (Rising Edge)
▪ Check Recording Status Signal</t>
  </si>
  <si>
    <t>▪ BLTN_CAM_RecSta_PEV = 0x1 (Recording), verify recording at the Rising Edge
▪ BLTN_CAM_PEV_Recorded = 0x1 (OFF) → 0x2 (Park Event Recorded) → 0x1
: Maintains for 5 minutes from the time recording is complete, then returns to 0x1
(CCS transmission failure timeout = 5 minutes; in an activated vehicle environment, it remains ON for the duration of the CCS transmission)
▪ BLTN_CAM_Set_PMD = 0x0 (OFF) maintained</t>
  </si>
  <si>
    <t>▪ Check BLTN_CAM_Prk_Oprable_Time</t>
  </si>
  <si>
    <t>▪ P-LBM Model (LX3)
: Output recording time based on SOC
▪ eAGM Model / P-LBM + eAGM Model (JW1 PE)
: BLTN_CAM_Prk_Oprable_Time = BLTN_CAM_Set_PrkTime - BLTN_CAM_PRK_Oped_Time</t>
  </si>
  <si>
    <t>▪ F/R CAM_INDI = Flash, (for 10 seconds)
- Flash Cycle: 1Hz(Duty : 50%)</t>
  </si>
  <si>
    <t>▪ EVENT_INDI = Flash (for 10 seconds)
- Flash Cycle: 1Hz(Duty : 50%)</t>
  </si>
  <si>
    <t>▪ Confirmation of Burgler Alarm Impact Event Recording File Creation
- 1 20-second file
- Confirmation of recording file event time -10s ~ +10s</t>
  </si>
  <si>
    <t>▪ Built-in Camera Screen Transition
▪ [Parking Event] Check Archive</t>
  </si>
  <si>
    <t>▪ Confirmation of saved recording file for parked event (impact)
- Confirmation of creation of 1 list of front &amp; rear video (20 sec)</t>
  </si>
  <si>
    <t>▪ Check if the event occurs at the 10-second mark during video playback</t>
  </si>
  <si>
    <t>▪ Burgler Alarm Signal 0x9 (Alarm) → 0x0 (Off) Do not record events</t>
  </si>
  <si>
    <t>▪ Received Burgler alarm signal 0x9 → 0x0
▪ Check recording status signal</t>
  </si>
  <si>
    <t>▪ BLTN_CAM_RecSta_PEV = 0x0(OFF)</t>
  </si>
  <si>
    <t>[Recording Event Impacts While Parked] : Burgler Alarm Event Recording
- Parking Motion Recording Mode (Motion Setting ON)</t>
  </si>
  <si>
    <t>▪ Switch to Built-in Camera View
▪ [Settings] - [Recording] - [Recording While Parked] - Turn ON Driving Continuous Recording, Driving Impact, Parking Impact, and Parking Motion Recording
(Continuous Recording OFF)
▪ Turn ON Impact Event Notification</t>
  </si>
  <si>
    <t>▪ BLTN_CAM_Set_PMD = 0X2(ON)
 ▪ BLTN_CAM_Set_PEV_AppNoti = 0x2(ON)</t>
  </si>
  <si>
    <t>▪ F/R CAM_INDI = OF▪ F/R CAM_INDI = Flash
- Flash Cycle: 0.5Hz(Duty : 50%)</t>
  </si>
  <si>
    <t>▪ BLTN_CAM_RecSet_PEV = 0x1 (Recording), verify recording at the Rising Edge
▪ BLTN_CAM_PEV_Recorded = 0x1 (OFF) → 0x2 (Park Event Recorded) → 0x1
: Maintains for 5 minutes from the time recording is complete, then returns to 0x1
(CCS transmission failure timeout = 5 minutes; in an activated vehicle environment, ON for the duration of the CCS transmission)
▪ BLTN_CAM_Set_PMD = 0x2 (ON) maintained</t>
  </si>
  <si>
    <t>▪ Confirmation of Continuous Driving Recording (#23569)
- [Past Issue in Development Stage] Driving Impact Recording Will Not Be Performed</t>
  </si>
  <si>
    <t>▪ Turn KEY ON after CAN SLEEP
▪ Confirm continuous driving recording in progress</t>
  </si>
  <si>
    <t>▪ BLTN_CAM_RecSta_OWD = 0X1 (Recording)
 ▪ BLTN_CAM_RecSta_DEV = 0X0 (OFF)</t>
  </si>
  <si>
    <t>- Door closing impact filtering function</t>
  </si>
  <si>
    <t>OWP_012</t>
  </si>
  <si>
    <t>[Parking Event Impact Recording]: Door Closing Impact Filtering Feature</t>
  </si>
  <si>
    <t>FL Door Open → Close</t>
  </si>
  <si>
    <t>▪ Built-in Cam Main Screen
▪ [Settings] - [Recording] - [Recording While Parked] - Parking Event, Event Notification Settings ON
▪ ACC &amp; IGN OFF
▪ Enable Impact Event
▪ Door Signal Change within 1.5s: Warn_DrvDrSwSta = 0x1→ 0x0
▪ Enable Impact Event within 1s after Signal Change</t>
  </si>
  <si>
    <t>▪ Do not perform impact recording while parked
: EVENT_SW_INDI = ON</t>
  </si>
  <si>
    <t>FL Door Close → Open</t>
  </si>
  <si>
    <t>▪ Enable impact event
▪ Door signal change within 1.5s: Warn_DrvDrSwSta = 0x0→ 0x1
▪ Enable impact event within 1s after signal change</t>
  </si>
  <si>
    <t>▪ Enable impact event
▪ Door signal change within 1.5s: Warn_AsstDrSwSta = 0x1→ 0x0
▪ Enable impact event within 1s after signal change</t>
  </si>
  <si>
    <t>▪ Enable impact event
▪ Door signal change within 1.5s: Warn_AsstDrSwSta = 0x0→ 0x1
▪ Enable impact event within 1s after signal change</t>
  </si>
  <si>
    <t>RL Door Open → Close</t>
  </si>
  <si>
    <t>▪ Enable impact event
▪ Door signal change within 1.5s: Warn_RrLftDrSwSta = 0x1→ 0x0
▪ Enable impact event within 1s after signal change</t>
  </si>
  <si>
    <t>RL Door Close → Open</t>
  </si>
  <si>
    <t>▪ Enable impact event
▪ Door signal change within 1.5s: Warn_RrLftDrSwSta = 0x0→ 0x1
▪ Enable impact event within 1s after signal change</t>
  </si>
  <si>
    <t>RR Door Open → Close</t>
  </si>
  <si>
    <t>▪ Enable impact event
▪ Door signal change within 1.5s: Warn_RrRtDrSwSta = 0x1→ 0x0
▪ Enable impact event within 1s after signal change</t>
  </si>
  <si>
    <t>RR Door Close → Open</t>
  </si>
  <si>
    <t>▪ Enable impact event
▪ Door signal change within 1.5s: Warn_RrRtDrSwSta = 0x0→ 0x1
▪ Enable impact event within 1s after signal change</t>
  </si>
  <si>
    <t>▪ Enable impact event
▪ Door signal change within 1.5s: Trunk_TrnkTlgtSwSta = 0x1→ 0x0
▪ Enable impact event within 1s after signal change</t>
  </si>
  <si>
    <t>Trunk Close → Open (Filtering not applied, Impact recording performed)</t>
  </si>
  <si>
    <t>▪ Enable impact event
▪ Door signal change within 1.5s: Trunk_TrnkTlgtSwSta = 0x0→ 0x1
▪ Enable impact event within 1s after signal change</t>
  </si>
  <si>
    <t>▪ Perform impact recording while parked
: EVENT_SW_INDI = Flashing</t>
  </si>
  <si>
    <t>Hood Open → Close
(Filtering not applied, Impact recording performed)</t>
  </si>
  <si>
    <t>▪ Enable impact event
▪ Door signal change within 1.5s: Warn_HoodSwSta = 0x1→ 0x0
▪ Enable impact event within 1s after signal change</t>
  </si>
  <si>
    <t>Hood Close → Open (Filtering not applied, Impact recording performed)</t>
  </si>
  <si>
    <t>▪ Enable impact event
▪ Door signal change within 1.5s: Warn_HoodSwSta = 0x0→ 0x1
▪ Enable impact event within 1s after signal change</t>
  </si>
  <si>
    <t>- Door closing impact filtering function (vehicles using SBCM signal)</t>
  </si>
  <si>
    <t>[Parking Event Impact Recording]: Door Closing Impact Filtering (SBCM)</t>
  </si>
  <si>
    <t>▪ Built-in Cam Main Screen
▪ [Settings] - [Recording] - [Recording While Parked] - Parking Event, Event Notification Settings ON
▪ ACC &amp; IGN OFF
▪ Enable Impact Event
▪ Door Signal Change within 1.5s: Warn_DrvDrSwSta_SBCM = 0x1→ 0x0
▪ Enable Impact Event within 1s after Signal Change</t>
  </si>
  <si>
    <t>▪ Enable impact event
▪ Door signal change within 1.5s: Warn_DrvDrSwSta_SBCM = 0x0→ 0x1
▪ Enable impact event within 1s after signal change</t>
  </si>
  <si>
    <t>▪ Enable impact event
▪ Door signal change within 1.5s: Warn_AsstDrSwSta_SBCM = 0x1→ 0x0
▪ Enable impact event within 1s after signal change</t>
  </si>
  <si>
    <t>▪ Enable impact event
▪ Door signal change within 1.5s: Warn_AsstDrSwSta_SBCM = 0x0→ 0x1
▪ Enable impact event within 1s after signal change</t>
  </si>
  <si>
    <t>▪ Enable impact event
▪ Door signal change within 1.5s: Warn_RrLftDrSwSta_SBCM = 0x1→ 0x0
▪ Enable impact event within 1s after signal change</t>
  </si>
  <si>
    <t>▪ Enable impact event
▪ Door signal change within 1.5s: Warn_RrLftDrSwSta_SBCM = 0x0→ 0x1
▪ Enable impact event within 1s after signal change</t>
  </si>
  <si>
    <t>▪ Authorize Impact Event
▪ Door signal change within 1.5s: Warn_RrRtDrSwSta_SBCM = 0x1→ 0x0
▪ Authorize Impact Event within 1s after signal change</t>
  </si>
  <si>
    <t>▪ Enable impact event
▪ Door signal change within 1.5s: Warn_RrRtDrSwSta_SBCM = 0x0→ 0x1
▪ Enable impact event within 1s after signal change</t>
  </si>
  <si>
    <t>[BLTN_CAM-Function-007] Parking Switch Event Recording</t>
  </si>
  <si>
    <t>[Recording Event Switch While Parked] (1)
: Basic Confirmation (Event Recording Setting ON)</t>
  </si>
  <si>
    <t>[Record Event Switch While Parked] : Default Confirmation (Event Recording Setting ON)</t>
  </si>
  <si>
    <t>▪ Parking Event Recording Setting ON
▪ ACC &amp; IGN OFF
▪ Check Recording Status Signal</t>
  </si>
  <si>
    <t>▪ [BLTN_CAM_STAT_PE_00_200ms] - BLTN_CAM_RecSta_MAR = 0x0(OFF)</t>
  </si>
  <si>
    <t>▪ BLTN_CAM_RecSta_MAR = 0x1(ON)</t>
  </si>
  <si>
    <t>- Time measurement: 10 seconds</t>
  </si>
  <si>
    <t>▪ Event authorized 3 times at 11-second intervals
▪ Built-in Cam Main Screen
▪ [Parking Events] Check Archive</t>
  </si>
  <si>
    <t>▪ Confirmation of saved recording file for Parking Event (Switch)
- Confirmation of creation of a list of 3 Front &amp; Rear videos (20 sec)
(Red dot appears to indicate new video notification)</t>
  </si>
  <si>
    <t>▪ Built-in Cam Main Screen
▪ [Settings] - [Recording] - [Recording While Parked] - Continuous Recording, Event Recording Settings OFF
▪ ACC &amp; IGN OFF</t>
  </si>
  <si>
    <t>▪ BLTN_CAM_RecSet_OWP = 0x1(OFF)
 ▪ BLTN_CAM_RecSet_PEV = 0x1(OFF)</t>
  </si>
  <si>
    <t>[Recording Event Switch While Parked] (2)
: Basic Confirmation (Continuous Recording Setting ON)</t>
  </si>
  <si>
    <t>OWP_015</t>
  </si>
  <si>
    <t>[Record Event Switch While Parked] : Default Confirmation (Continuous Recording Setting ON)</t>
  </si>
  <si>
    <t>▪ Parking Continuous Recording Setting ON, Event Setting OFF
▪ ACC &amp; IGN OFF
▪ Check Recording Status Signal</t>
  </si>
  <si>
    <t>[BLTN_CAM-Feature] Parking Motion Detection Event Recording</t>
  </si>
  <si>
    <t>[Recording Motion Detection Events While Parked] (1)</t>
  </si>
  <si>
    <t>[Motion Detection Recording While Parked] : Check Initial Values</t>
  </si>
  <si>
    <t>Check default values ​​for motion detection recording settings while parked</t>
  </si>
  <si>
    <t>▪ Check Initial Values
(Always Parking OFF, Parking Event OFF, Event Notification OFF, Parking Motion Detection Recording OFF)
: Initial values ​​after changing from Factory mode to Customer mode</t>
  </si>
  <si>
    <t>▪ BLTN_CAM_Set_PMD = 0x0(OFF)
: The default recording setting is OFF when initialized after FRS setup operation.
▪ BLTN_CAM_RecSet_OWP = 0x2(ON)
: The default recording setting is ON when initialized after FRS setup operation.</t>
  </si>
  <si>
    <t>▪ Motion Detection Recording Setting While Parked Off→On</t>
  </si>
  <si>
    <t>▪ [BLTN_CAM_FD_02_200ms] BLTN_CAM_Set_PMD = 0x1(On)</t>
  </si>
  <si>
    <t>▪ [Settings] - [Parking Motion Detection Sensitivity] Check default value</t>
  </si>
  <si>
    <t>Domestic/Japan/North America/Russia
▪ BLTN_CAM_RanSet_PMDR = 0x1(Lv.1)
▪ BLTN_CAM_MaxRanSet_PMDR = 0x0(Default)
Europe
▪ BLTN_CAM_RanSet_PMDR = 0x1(Lv.1, variable thereafter based on user settings)
▪ BLTN_CAM_MaxRanSet_PMDR = 0x3(Fixed)</t>
  </si>
  <si>
    <t>Parking Recording Time Setting (~20Hr Specification)
- Check Initial Value</t>
  </si>
  <si>
    <t>WJRJ</t>
  </si>
  <si>
    <t>Check that motion detection recording setting is OFF while parked</t>
  </si>
  <si>
    <t>▪ Enter Built-in Camera View
▪ [Settings] - [Recording] - [Recording While Parked] - Turn Off Motion Detection Recording</t>
  </si>
  <si>
    <t>▪ BLTN_CAM_Set_PMD = 0x1(OFF)</t>
  </si>
  <si>
    <t>[Motion Detection Recording While Parked]</t>
  </si>
  <si>
    <t>Confirmation that parking recording does not operate when motion detection recording setting is OFF during parking</t>
  </si>
  <si>
    <t>▪ ACC, IGN OFF
▪ Enable motion detection while parked
▪ Check recording status signal</t>
  </si>
  <si>
    <t>▪ BLTN_CAM_Set_PMD = 0x1(OFF)
 ▪ [BLTN_CAM_FD_STAT_01_200ms] BLTN_CAM_RecSta_PMD = 0x0(OFF)</t>
  </si>
  <si>
    <t>Verify Motion Detection Recording Operation While Parked
- Check Recording File Event Occurrence Time -10s ~ +10s</t>
  </si>
  <si>
    <t>▪ Enter Built-in Camera View
▪ [Settings] - [Recording] - [Recording While Parked] - Turn on Motion Detection Recording</t>
  </si>
  <si>
    <t>▪ [BLTN_CAM_FD_02_200ms] BLTN_CAM_Set_PMD = 0x1(On)
 ▪ [BLTN_CAM_FD_STAT_01_200ms] BLTN_CAM_RecSta_PMD = 0x0 (OFF)</t>
  </si>
  <si>
    <t>▪ [BLTN_CAM_FD_STAT_01_200ms] BLTN_CAM_RecSta_PMD = 0x1(Recording)
: Actual recording start time (check recording file). The difference from Signal ON must be within 2 seconds.</t>
  </si>
  <si>
    <t>▪ Motion detection standby while parked (Motion not enabled)
▪ Check recording status signal</t>
  </si>
  <si>
    <t>▪ [BLTN_CAM_FD_STAT_01_200ms] BLTN_CAM_RecSta_PMD = 0x2(Radar only operating)
: Case where only radar detection is performed without saving files</t>
  </si>
  <si>
    <t>▪ F/R-CAM_INDI = Flash
- Flash Cycle: 1.2 seconds (AP SRT) / 1 second (AP W/Up)</t>
  </si>
  <si>
    <t>▪ Motion detection standby state while parked
▪ Check front/rear camera indicator
▪ Check EVENT_SW_INDI</t>
  </si>
  <si>
    <t>▪ F/R-CAM_INDI = Flash
- Flash Frequency: 0.5Hz (Duty: 50%)
▪ EVENT_SW_INDI = OFF</t>
  </si>
  <si>
    <t>▪ Check the [Motion Detection While Parked] box on the Built-in Cam main screen</t>
  </si>
  <si>
    <t>▪ Confirm saving of recording file for motion detection event while parked
- Confirm creation of 1 list containing Front + Rear video (20s)
▪ No issues such as video glitches, black screens, noise, or color distortion
- The progress bar plays to the end during playback</t>
  </si>
  <si>
    <t>Continuous motion detection enabled while parked</t>
  </si>
  <si>
    <t>▪ [Settings] - [Recording] - [Recording While Parked] - Motion Detection Recording ON
▪ ACC, IGN OFF
▪ Enable Motion Detection While Parked</t>
  </si>
  <si>
    <t>B+→
IGN</t>
  </si>
  <si>
    <t>▪ Start motion detection event recording and authorize motion detection 3 times at 5-second intervals
▪ Verify operation after Key On</t>
  </si>
  <si>
    <t>▪ Ensure there are no issues such as video glitches, black screens, noise, or color distortion.
▪ Ensure there are no slowdowns, no reboots, and no missing recording files.
▪ Verify the number of impact event indicators while parked.
▪ Verify that 2 impact recording files have been created.
▪ Verify that AR navigation output and real-time front/rear video output are functioning correctly.</t>
  </si>
  <si>
    <t>▪ Check BLTN_CAM_PMD_Count</t>
  </si>
  <si>
    <t>▪ BLTN_CAM_PMD_Count = 0x03</t>
  </si>
  <si>
    <t>▪ Key OFF
▪ Check BLTN_CAM_PMD_Count</t>
  </si>
  <si>
    <t>▪ BLTN_CAM_PMD_Count = 0x00</t>
  </si>
  <si>
    <t>Impact triggered during motion detection recording while parked</t>
  </si>
  <si>
    <t>▪ [Settings] - [Recording] - [Recording While Parked] - Motion Detection Recording ON, Parking Event ON
▪ ACC, IGN OFF
▪ Enable Motion Detection While Parked</t>
  </si>
  <si>
    <t>▪ Impact applied during motion detection recording</t>
  </si>
  <si>
    <t>▪ Motion recording does not stop after 20 seconds and records continuously
: Must record continuously regardless of impact timing</t>
  </si>
  <si>
    <t>Check Sleep after continuous motion detection during parking</t>
  </si>
  <si>
    <t>▪ Start motion detection event recording and authorize motion detection 3 times at 5-second intervals
▪ Confirm maintaining Sleep</t>
  </si>
  <si>
    <t>▪ Verify that it remains in Sleep mode without waking up during motion recording</t>
  </si>
  <si>
    <t>▪ Video save/playback frame rate 5 FPS</t>
  </si>
  <si>
    <t>▪ Front/Rear Video Resolution 2560*1440 (QHD), Audio Recording
※ 2.0 Gen: 2560*1440 / 2.5 Gen: 2980*1440
※ 3rd Gen: 3840 * 2160 (Front/Rear Camera)
1280 * 1440 each (Side Camera)</t>
  </si>
  <si>
    <t>[Recording Motion Detection Events While Parked] (2)</t>
  </si>
  <si>
    <t>[Recording Busbar Detection Event While Parked] : Verify Configuration Operation</t>
  </si>
  <si>
    <t>Parking Motion Detection Save Setting On/Off
- Standalone Condition Specification</t>
  </si>
  <si>
    <t>▪ Parking Continuous Recording and Event Recording Settings Off
▪ Parking Motion Detection Recording Settings Off→On
▪ Verify that no notification popup is displayed
▪ Check recording setting status signal</t>
  </si>
  <si>
    <t>▪ Confirm that popup related to beta conditions is not displayed
▪ [BLTN_CAM_FD_02_200ms] BLTN_CAM_Set_OWP = 0x0(Off)
▪ [BLTN_CAM_FD_02_200ms] BLTN_CAM_Set_PMD = 0x1(On)</t>
  </si>
  <si>
    <t>▪ Parking Continuous Recording Setting Off
▪ Parking Motion Detection Recording Setting On→Off
▪ Confirm guidance popup → Select "Yes"</t>
  </si>
  <si>
    <t>▪ After confirming the popup message is displayed, select "Yes" to confirm the popup disappears.
Output Message: "Disabling this setting will prevent motion detection recording while parked. Would you like to disable this setting?"</t>
  </si>
  <si>
    <t>▪ Check recording settings status signal</t>
  </si>
  <si>
    <t>▪ Confirm that popup related to beta conditions is not displayed
▪ [BLTN_CAM_FD_02_200ms] BLTN_CAM_Set_OWP = 0x0(Off)
▪ [BLTN_CAM_FD_02_200ms] BLTN_CAM_Set_PMD = 0x0(Off)</t>
  </si>
  <si>
    <t>Parking Motion Detection Save Setting On/Off
- Verify Beta Condition Specification Operation
1) Motion Detection Automatically Off when Always Parking On
2) Always Parking Automatically Off when Motion Detection On
- Verify Display of Information Popup Regarding Beta Condition Specification Operation</t>
  </si>
  <si>
    <t>▪ With Parking Continuous Recording Set On
▪ Parking Motion Detection Recording Set On
▪ Confirm notification pop-up → Select "Yes"</t>
  </si>
  <si>
    <t>▪ After confirming the popup message, select "Yes" to confirm the popup disappears.
Output Message: "If enabled, it will record only motion detection while parked until the auxiliary battery is depleted, and will not record continuously. Would you like to enable this setting?"</t>
  </si>
  <si>
    <t>▪ Check recording settings signal</t>
  </si>
  <si>
    <t>▪ [BLTN_CAM_FD_02_200ms] BLTN_CAM_Set_OWP = 0X1(On)→0x0(Off)
 ▪ [BLTN_CAM_FD_02_200ms] BLTN_CAM_Set_PMD = 0X0(Off)→0x1(On)</t>
  </si>
  <si>
    <t>▪ With Parking Continuous Recording Set On
▪ Parking Motion Detection Recording Set On
▪ Confirm notification pop-up → Select "No"</t>
  </si>
  <si>
    <t>▪ After confirming the popup message is displayed, select "No" to confirm the popup disappears.
Output Message: "If enabled, it will record only motion detection while parked until the auxiliary battery is depleted, and will not record continuously. Would you like to enable this setting?"</t>
  </si>
  <si>
    <t>▪ With Motion Detection Recording On while parked
▪ Select On for Parking Continuous Recording
▪ Confirm pop-up message → Select "Yes"</t>
  </si>
  <si>
    <t>▪ After confirming the popup message, select "Yes" to confirm the popup disappears.
Output Message: "If enabled, recording will only be continuous while parked, and motion detection will not be recorded. Would you like to enable this setting?"</t>
  </si>
  <si>
    <t>▪ [BLTN_CAM_FD_02_200ms] BLTN_CAM_Set_OWP = 0X0(Off)→0x1(On)
 ▪ [BLTN_CAM_FD_02_200ms] BLTN_CAM_Set_PMD = 0X1(On)→0x0(Off)</t>
  </si>
  <si>
    <t>▪ With Motion Detection Recording On while parked
▪ Turn On Parking Continuous Recording
▪ Confirm pop-up message appears → Select "No"</t>
  </si>
  <si>
    <t>▪ Confirm the popup message is displayed, then select No to confirm the popup disappears.
Output Message: "If enabled, recording will only be continuous while parked, and motion detection will not be recorded. Would you like to enable this setting?"</t>
  </si>
  <si>
    <t>▪ [BLTN_CAM_FD_02_200ms] BLTN_CAM_Set_OWP = 0X0(Off) Maintain
▪ [BLTN_CAM_FD_02_200ms] BLTN_CAM_Set_PMD = 0X1(On) Maintain</t>
  </si>
  <si>
    <t>▪ Motion Detection Recording On while Parked
▪ Parking Continuous Recording Setting Off→On→Off
▪ Check Recording Settings Signal</t>
  </si>
  <si>
    <t>▪ [BLTN_CAM_FD_02_200ms] BLTN_CAM_Set_PMD = 0X1(On)→0x0(Off)
 ▪ [BLTN_CAM_FD_02_200ms] BLTN_CAM_Set_OWP = 0X0(Off)→0x1(On)→0x0(Off)</t>
  </si>
  <si>
    <t>[Motion Detection Event Recording While Parked] (2)
: Simultaneous occurrence of Parking Activation / Switch Event / Impact Event
※ Manual recording is disabled in Motion Detection Recording mode</t>
  </si>
  <si>
    <t>[Recording Busbar Detection Events While Parked]
: Checking the Impact of Simultaneous Recording</t>
  </si>
  <si>
    <t>Parking Motion Recording &amp; Impact Impact Verification</t>
  </si>
  <si>
    <t>▪ Proceed with the following while parking motion recording is in progress after turning off the key
▪ Authorize impact event (Event recording setting ON)
▪ Wait 1 minute
▪ Built-in cam main screen</t>
  </si>
  <si>
    <t>▪ BLTN_CAM_Sta_PMD = 0x2(ON)
▪ F/R-CAM_INDI No issues
▪ EVENT_SW_INDI No issues
▪ Shock recording operation confirmed</t>
  </si>
  <si>
    <t>▪ [Parking Motion Detect] Check Storage
▪ [Parking Event] Check Storage</t>
  </si>
  <si>
    <t>▪ Confirmation of Parking Motion Detection Recording File Saving
- Confirmation of Front &amp; Rear Video (20 sec) List Generation
▪ Confirmation of Parking Event Recording File Saving
- Confirmation of Front &amp; Rear Video (20 sec) List Generation
▪ Confirmation that the impact point in the Parking Motion Detection Recording File matches the time of the impact during the Parking Event
: [Past Issue in Development Phase, #23249]</t>
  </si>
  <si>
    <t>Verification of impact during parking motion recording, impact, and manual operation</t>
  </si>
  <si>
    <t>▪ Proceed with the following while parking motion recording is in progress after turning off the key
▪ Enable Switch Event
▪ Enable Impact Event (Event Recording Setting ON)
▪ Wait 1 minute
▪ Built-in Cam Main Screen</t>
  </si>
  <si>
    <t>▪ BLTN_CAM_Sta_PMD = 0x2(ON)
▪ F/R-CAM_INDI No issues
▪ EVENT_SW_INDI No issues
▪ Confirmed manual recording not working
▪ Confirmed impact recording working</t>
  </si>
  <si>
    <t>[Motion Detection Events While Parked] (3)
: Added 3,000 Motion Detection Recording Limit Specification</t>
  </si>
  <si>
    <t>[Recording Motion Detection Events While Parked] : Termination Condition</t>
  </si>
  <si>
    <t>Vehicles using only P-LBM (ICE/HEV)</t>
  </si>
  <si>
    <t>▪ Request termination from P-LBM during parking motion recording
- BLTN_CAM_END_REQUEST = 0X1 : Request to terminate built-in cam</t>
  </si>
  <si>
    <t>▪ Sleep
▪ Satisfies dark current specifications (0.5mA or less)</t>
  </si>
  <si>
    <t>과거차문제 PASTI-351
주차녹화 중 보조배터리 종료 요청 시 Terminate_Info 송신 후 CAN Sleep 미진입</t>
  </si>
  <si>
    <t>eAGM only compatible vehicles (high-voltage battery one-time setup)</t>
  </si>
  <si>
    <t>▪ Authorization for Eagm SOC value of 65% or less during parking motion recording
- ICU_BS2SoC = 65%</t>
  </si>
  <si>
    <t>▪ Motion detection files generated more than 3,000 times during parking motion recording</t>
  </si>
  <si>
    <t>Vehicles using eAGM only (high-voltage battery always-on setting)</t>
  </si>
  <si>
    <t>Vehicles using P-LBM + eAGM (High-voltage battery one-time setup)</t>
  </si>
  <si>
    <t>Vehicles using P-LBM + eAGM (High-voltage battery always-on setting)</t>
  </si>
  <si>
    <t>Vehicle models using LFP batteries</t>
  </si>
  <si>
    <t>▪ Enable xEV_12VBatAlarmReq_HS = 0x1 (3rd Cut Off) during parking motion recording</t>
  </si>
  <si>
    <t>▪ Enable xEV_12VBatAlarmReq_HS = 0x2 (Warn. MSG &amp; 3rd Cut Off Req) during parking motion recording</t>
  </si>
  <si>
    <t>Complex conditions, development stage, past issues</t>
  </si>
  <si>
    <t>[Motion Detection Recording While Parked] : Past Issues During Development Phase</t>
  </si>
  <si>
    <t>Vehicle network WAKE UP/SLEEP (#23614) during parking motion recording</t>
  </si>
  <si>
    <t>▪ Parking Motion Recording Standby (CAN SLEEP)
▪ NM_CGW_CCU message sent immediately upon motion authorization
▪ NM_CGW_CCU message not sent after 30 seconds
▪ Motion/Impact authorization</t>
  </si>
  <si>
    <t>▪ Do not reboot
▪ Verify parking motion recording operation
▪ Verify parking event recording operation</t>
  </si>
  <si>
    <t>Motion authorization (#23423) at the time of completion of parking motion recording</t>
  </si>
  <si>
    <t>▪ Parking motion recording standby state (CAN SLEEP)
▪ Authorize motion and wait 10 seconds (when motion recording is complete)
▪ Authorize motion immediately after motion recording is complete</t>
  </si>
  <si>
    <t>▪ Do not reboot
▪ Verify parking motion recording operation</t>
  </si>
  <si>
    <t>▪ [Parking Motion Detection] Check Storage</t>
  </si>
  <si>
    <t>▪ Verify Motion Recording File Grouping
- Verify Creation of Front &amp; Rear Video (40 sec) List</t>
  </si>
  <si>
    <t>Impact applied at the time of completion of parking motion recording (#23302, #23403, #23411)</t>
  </si>
  <si>
    <t>▪ Parking Motion Recording Standby (CAN SLEEP)
▪ Approve Motion and Wait 10 Seconds (At the point when Motion Recording is Complete)
▪ Approve Impact Immediately After Motion Recording is Complete</t>
  </si>
  <si>
    <t>▪ Do not reboot
▪ Verify parking event recording operation</t>
  </si>
  <si>
    <t>▪ [Parking Motion Detection] Check Inventory
▪ [Parking Event] Check Inventory</t>
  </si>
  <si>
    <t>▪ Verify Motion Recording File Grouping
- Verify Creation of Front &amp; Rear Video (40 sec) List
▪ Parking Event Recording
- Verify Creation of Front &amp; Rear Video (20 sec) List</t>
  </si>
  <si>
    <t>Separating Before/Next Parking Motion Recording Groups (#23377)
: When not recording continuously within 5 seconds</t>
  </si>
  <si>
    <t>▪ Parking Motion Recording Standby (CAN WAKE UP)
▪ Enable Motion
▪ CAN SLEEP after Parking Motion Recording is complete
▪ Enable Motion after 5-second wait</t>
  </si>
  <si>
    <t>▪ Verify separation of motion recording file groups
- Before ) Verify creation of front &amp; rear video (20 sec) list
- Next ) Verify creation of front &amp; rear video (20 sec) list</t>
  </si>
  <si>
    <t>Enter AR NAVI/Built-in Cam/Check Real-time Video After Parking Motion Recording
(#23089, #23127)</t>
  </si>
  <si>
    <t>▪ Parking Motion Recording Standby (CAN SLEEP)
▪ Motion/Impact Detected
▪ KEY ON
▪ AR NAVI Confirmation
▪ Enter Built-in Cam
▪ Check Real-time Video
: ↑ Repeat 10 times for evaluation</t>
  </si>
  <si>
    <t>▪ AR Navi screen displays normally (not a black screen)
▪ Enter BLTN_CAM main screen
▪ Real-time video displays normally (green/black screen display, no flickering, no field of view distortion)</t>
  </si>
  <si>
    <t>Check driving recording video after parking motion recording (#23125)
: No distortion in field of view</t>
  </si>
  <si>
    <t>▪ Turn ON Continuous Recording While Driving and Parking Motion Recording
▪ Change Display Viewing Angle (-5/-5)
▪ Turn OFF Key
▪ Motion/Impact Detected
▪ Parking Motion Recording In Progress
▪ Turn ON Key
▪ Continuous Recording While Driving In Progress</t>
  </si>
  <si>
    <t>▪ Check driving continuous recording operation
- BLTN_CAM_RecSta_OWD = 0x2(ON)</t>
  </si>
  <si>
    <t>▪ Confirmation of continuous recording file saving while driving
- Apply set angle to front &amp; rear video recording files</t>
  </si>
  <si>
    <t>Confirm Parking Motion Recording Video Save (#23119)
: Save recording files with a playback length of 2 seconds or longer (5FPS)</t>
  </si>
  <si>
    <t>▪ Parking Motion Recording Standby (CAN SLEEP)
▪ Turn KEY ON 2 seconds after motion is enabled
▪ Check [Parking Motion Detection] in the storage box</t>
  </si>
  <si>
    <t>▪ Confirmation of motion recording file saving
- Confirmation of front &amp; rear video (2~3 sec) list creation</t>
  </si>
  <si>
    <t>Replacing SD card with another one during parking motion recording (#23027)</t>
  </si>
  <si>
    <t>▪ Driving Continuous Recording, Parking Motion Recording Settings ON, Genuine 64GB SD Card Inserted
▪ KEY OFF
▪ Insert another genuine 64GB SD card while Parking Motion Recording is in progress
▪ Enable Motion Recording to begin Parking Motion Recording
▪ KEY ON
▪ Driving Continuous Recording begins</t>
  </si>
  <si>
    <t>▪ [Always on while driving] Check storage
▪ [Parking motion detection] Check storage</t>
  </si>
  <si>
    <t>▪ Verify that continuous recording files are saved while driving
: Verify playback of existing/new files
: Ensure video list order remains intact
▪ Verify that continuous recording files are saved while driving
: Verify playback of existing/new files
: Ensure video list order remains intact</t>
  </si>
  <si>
    <t>Checking Parking Motion Recording with SD Card Removed (#23505)
: Issue where SUSPNEND mode does not enter after the second motion detection</t>
  </si>
  <si>
    <t>▪ Parking Motion Recording Setting ON
▪ SD Card Removed
▪ KEY OFF
▪ Motion Authorized to Proceed with 1st Parking Motion Recording
(Parking Motion Recording is possible even with SD card removed #22517)
▪ Motion Recording Standby
▪ Motion Authorized to Proceed with 2nd Parking Motion Recording
▪ Motion Recording Standby</t>
  </si>
  <si>
    <t>▪ Check Power Consumption in Motion Recording Standby
- Auxiliary Battery Specifications: 0.9W or less (75mA@12V) (SuperCap Charging Off Condition)
- eAGM Battery Specifications: 80mA or less
※ If SUSPEND entry fails and only the radar remains active: Consumes approximately 200~300mA</t>
  </si>
  <si>
    <t>Entering the developer page after the motion CCS operation (#23299)</t>
  </si>
  <si>
    <t>▪ Parking Motion Recording, APP NOTI Setting ON
▪ KEY OFF
▪ Motion/Impact Detected
▪ KEY ON while BLTN_CAM_PEV_Recorded = 0x2 is transmitting
▪ Built-in Cam - Access Developer Page
▪ Acquire DLT Log</t>
  </si>
  <si>
    <t>▪ Enter password to access the developer page
▪ DLT logs saved to the SD card
※ Passwords and DLT logs are encrypted starting from the stage where the secure version is installed</t>
  </si>
  <si>
    <t>Motion/impact recording stopped after front camera was detached during motion recording (BICIM2-992)</t>
  </si>
  <si>
    <t>▪ Always Driving / Driving Event / Motion Detection While Parked / Event While Parked ON
▪ KEY OFF
▪ Motion / Impact Activation
▪ Front Camera Disconnection During Motion Recording
▪ Front Camera Connection During Suspension
▪ Motion and Impact Activation</t>
  </si>
  <si>
    <t>▪ Check Front Camera Impact/Motion Operation
※ Front camera does not operate even when impact is applied; maintains 160mA consumption in this state.</t>
  </si>
  <si>
    <t>Check Motion Standby State BLTN_CAM_RecSta_PMD Signal (BICIM2-2498)</t>
  </si>
  <si>
    <t>▪ Always Driving / Driving Events / Motion Detection While Parked / Events While Parked ON
▪ App Notifications ON
▪ KEY OFF
▪ Motion / Impact Detected
▪ Confirm SLEEP Entry After CCS Notification
▪ Send NM_CGW_CCU Message</t>
  </si>
  <si>
    <t>▪ Motion Recording Status
- [BLTN_CAM_FD_STAT_01_200ms] BLTN_CAM_RecSta_PMD = 0x1(Recording)
▪ Motion Standby Status
- [BLTN_CAM_FD_STAT_01_200ms] BLTN_CAM_RecSta_PMD = 0x2(Radar only operating)
※ BLTN_CAM_RecSta_PMD = 0x00 Will not be transmitted</t>
  </si>
  <si>
    <t>SD Card Removal During Motion Recording
: Issue of failure to enter SUSPEND after SD Card Removal (BICIM2-2531)</t>
  </si>
  <si>
    <t>▪ Always Driving / Driving Events / Motion Detection While Parked / Events While Parked ON
▪ App Notifications ON
▪ KEY OFF
▪ Motion/Impact triggered to initiate 1st Parking Motion Recording
▪ SD Card removed during Motion/Impact Recording
▪ Motion/Impact triggered to initiate 2nd Motion/Impact Recording
▪ Motion Recording Standby</t>
  </si>
  <si>
    <t>SD card removal while suspended (BICIM2-1379)</t>
  </si>
  <si>
    <t>▪ Always Driving / Driving Event / Motion Detection While Parked / Event While Parked ON
▪ KEY OFF
▪ Apply motion/impact to initiate 1st parking motion recording
▪ Remove SD card while in SUSPEND state
▪ Apply motion/impact to initiate 2nd parking motion recording</t>
  </si>
  <si>
    <t>▪ Verify Parking Motion Recording Operation
▪ Verify Parking Event Recording Operation</t>
  </si>
  <si>
    <t>Motion Recording DB Consistency Verification (BICIM2-1340, BICIM2-1344)</t>
  </si>
  <si>
    <t>▪ Driving Info/Motion ON
▪ KEY OFF
▪ Motion/Impact Activation
▪ Stop Motion/Impact Recording by Activating SOC = 0%
▪ KEY ON
▪ SOC = 100%
▪ KEY OFF
▪ KEY ON after Motion recording is complete by Activating Motion/Impact
▪ Enter Built-in Cam</t>
  </si>
  <si>
    <t>▪ The chronological order must match when checking the parking motion recording list.
▪ There must be no issues with OSD output when playing parking motion recording files.
▪ There must be no changes in black levels or field of view in driving continuous recording files.</t>
  </si>
  <si>
    <t>Verify 10FPS output when setting up motion recording (BICIM2-2762)</t>
  </si>
  <si>
    <t>▪ Always Driving / Motion ON
▪ AR NAVI Output Maintained
▪ Built-in Cam KEY OFF &amp; HU KEY ON</t>
  </si>
  <si>
    <t>▪ Verify AR NAVI 10FPS output</t>
  </si>
  <si>
    <t>Ultra-low power recording mode</t>
  </si>
  <si>
    <t>[Ultra-low Power Recording] Setting ON / OFF</t>
  </si>
  <si>
    <t>Ultra-low power recording mode settings</t>
  </si>
  <si>
    <t>▪ Enter Built-in Cam Mode
▪ [Settings] - [Recording] - [Ultra-Low Power Recording] - Turn Ultra-Low Power Recording ON</t>
  </si>
  <si>
    <t>▪ BLTN_CAM_RecSet_LPE : ON</t>
  </si>
  <si>
    <t>검증 필요</t>
  </si>
  <si>
    <t>▪ Enter Built-in Cam Mode
▪ [Settings] - [Recording] - [Ultra-Low Power Recording] - Turn Ultra-Low Power Recording Off</t>
  </si>
  <si>
    <t>▪ BLTN_CAM_RecSet_LPE: OFF</t>
  </si>
  <si>
    <t>[Ultra-low Power Recording] Check Status</t>
  </si>
  <si>
    <t>Checking the operation status of low-power event recording mode while parked</t>
  </si>
  <si>
    <t>▪ Parking Always On, Parking Motion Recording Settings ON
▪ KEY OFF
▪ Enter SLEEP
▪ Confirm Entry into Ultra-Low Power Recording Mode</t>
  </si>
  <si>
    <t>▪ BLTN_CAM_RecSta_LPE : Operation</t>
  </si>
  <si>
    <t>Motion detection recording via lock pin monitoring</t>
  </si>
  <si>
    <t>Impact of Camera Removal and Installation</t>
  </si>
  <si>
    <t>Detach front/rear cameras while in parking motion standby mode - Before Parking</t>
  </si>
  <si>
    <t>▪ [Settings] - [Recording] - [Recording While Parked] - Parking Motion Recording Setting ON
▪ KEY OFF
▪ Detach front camera while in Parking Motion Standby state (CAN WAKE UP state, motion not authorized)</t>
  </si>
  <si>
    <t>▪ Parking motion recording not working
▪ Recorded video file not created
※ Lock pin monitoring is not available in Before Park mode</t>
  </si>
  <si>
    <t>▪ [Settings] - [Recording] - [Recording While Parked] - Parking Motion Recording Setting ON
▪ KEY OFF
▪ Removal of rear camera while in Parking Motion Standby state (CAN WAKE UP state, motion not authorized)</t>
  </si>
  <si>
    <t>▪ Parking motion recording not working
▪ Recorded video file not created
※ Lock pin monitoring X in Before Park state</t>
  </si>
  <si>
    <t>Detach front/rear cameras in suspend mode</t>
  </si>
  <si>
    <t>▪ [Settings] - [Recording] - [Recording While Parked] - Parking Motion Recording ON, Voice Recording ON
▪ Enter Suspend Mode
▪ Detach front camera while in Parking Motion Standby state (CAN SLEEP state, Motion not authorized)</t>
  </si>
  <si>
    <t>▪ Parking motion recording action
▪ Recorded video file created (Voice recording confirmed)</t>
  </si>
  <si>
    <t>▪ Stop parking motion recording
▪ Maintain parking motion unauthorized state</t>
  </si>
  <si>
    <t>▪ Enter Suspend Mode
▪ Check Dark Current</t>
  </si>
  <si>
    <t>▪ [Settings] - [Recording] - [Recording While Parked] - Parking Motion Recording ON, Voice Recording ON
▪ Enter Suspend Mode
▪ Detach rear camera while in Parking Motion Standby state (CAN SLEEP state, Motion not authorized)</t>
  </si>
  <si>
    <t>Verification of the impact of network status on front/rear camera detachment</t>
  </si>
  <si>
    <t>▪ [Settings] - [Recording] - [Recording While Parked] - Parking Motion Recording ON, Voice Recording ON
▪ KEY OFF
▪ Remove Front Camera (Maintain Motion Disabled)</t>
  </si>
  <si>
    <t>▪ Parking motion recording not working
▪ Recorded video file not created</t>
  </si>
  <si>
    <t>↑
▪ Enter Suspend Mode
▪ Front camera mounted in Parking Motion Standby state (CAN SLEEP state, Motion not authorized)</t>
  </si>
  <si>
    <t>▪ Parking motion recording not working
▪ Maintain motion standby state (check dark current)</t>
  </si>
  <si>
    <t>↑
▪ Rear camera mounted in parking motion standby state (CAN SLEEP state, motion not authorized)</t>
  </si>
  <si>
    <t>▪ [Settings] - [Recording] - [Recording While Parked] - Parking Motion Recording ON, Voice Recording ON
▪ KEY OFF
▪ Remove Rear Camera (Maintain Motion Disabled)</t>
  </si>
  <si>
    <t>↑
▪ Enter Suspend Mode
▪ Rear camera mounted in Parking Motion Standby state (CAN SLEEP state, Motion not authorized)</t>
  </si>
  <si>
    <t>↑
▪ Front camera mounted in parking motion standby state (CAN SLEEP state, motion not authorized)</t>
  </si>
  <si>
    <t>↑
▪ Stop Parking Motion Recording
▪ Maintain Parking Motion Unauthorized State</t>
  </si>
  <si>
    <t>Front/rear cameras detach when entering suspend mode</t>
  </si>
  <si>
    <t>▪ [Settings] - [Recording] - [Recording While Parked] - Parking Motion Recording ON, Voice Recording ON
▪ KEY OFF</t>
  </si>
  <si>
    <t>▪ Parking motion detection standby
- BLTN_CAM_RecSta_PMD = 0x2(Radar only operating)</t>
  </si>
  <si>
    <t>▪ Front camera detaches when entering suspend mode</t>
  </si>
  <si>
    <t>▪ Modify expected value after checking specifications</t>
  </si>
  <si>
    <t>▪Parking Motion Detection Standby
- BLTN_CAM_RecSta_PMD = 0x2(Radar only operating)</t>
  </si>
  <si>
    <t>▪ Rear camera detached when entering suspend mode</t>
  </si>
  <si>
    <t>CCS operation in WAKE UP state due to front/rear camera detachment</t>
  </si>
  <si>
    <t>▪ [Settings] - [Recording] - [Recording While Parked] - Parking Motion Recording ON, Voice Recording ON, APP Notification ON
▪ KEY OFF
Enter Suspend Mode</t>
  </si>
  <si>
    <t>Maintain motion detection standby state</t>
  </si>
  <si>
    <t>▪ Front camera detachment (Motion not authorized)
▪ Impact event authorized</t>
  </si>
  <si>
    <t>▪ Parking Motion Recording Operation
- BLTN_CAM_RecSta_PMD = 0x2 (Radar only operating), Continuous motion recording (runs for 40 seconds)
▪ Confirm Impact Event Notification Operation
: BLTN_CAM_PEV_Recorded = 0x2 (Park Event Recorded) up to 5 times</t>
  </si>
  <si>
    <t>▪ Rear camera detachment (Motion not authorized)
▪ Impact event authorized</t>
  </si>
  <si>
    <t>[BLTN_CAM-Function-008] System Settings</t>
  </si>
  <si>
    <t>[Built-in Cam Screen Mode] (1)
: HU UI mode/ Built-In Cam mode</t>
  </si>
  <si>
    <t>[Built-in Cam Screen Mode] (1)</t>
  </si>
  <si>
    <t>Built-in Cam Mode Video Output Confirmation</t>
  </si>
  <si>
    <t>▪ AVN Mode Status
▪ Touch Built-in Cam Menu Icon
(BLTN_CAM_LVDS_Mode_Cmd = 0x0:Front and Rear Camera)
▪ Touch Real-time Screen
▪ Go Back
▪ Confirm Repeat 10 times</t>
  </si>
  <si>
    <t>▪ BLTN_CAM_LVDS_Mode_State = 0x0: Front and Rear Camera
: LVDS video output switching time within 2 seconds
(Approximately +1 second can be expected as CCNC generates the GUI)
▪ Confirmation of normal output of video list thumbnails</t>
  </si>
  <si>
    <t>Check BLTN_CAM mode entry signal</t>
  </si>
  <si>
    <t>▪ Touch the Built-In Cam screen entry button
(HU_BLTN_CAM_UI_Mode = 0x1 : Built-In Cam Mode)</t>
  </si>
  <si>
    <t>▪ BLTN_CAM_HU_UI_Mode
 (0x0: HU UI mode) → invalid → (0x2: Preparing BLTN_CAM Mode) →
 invalid → (0x1:BLTN_CAM mode)</t>
  </si>
  <si>
    <t>Transition to AVN mode by turning the KEY OFF while in BLTN_CAM mode</t>
  </si>
  <si>
    <t>▪ Turn KEY OFF while in Built-in Cam mode
-'BLTN_CAM_UI_Mode_Tmt_Req signal not transmitted confirmed</t>
  </si>
  <si>
    <t>▪ BLTN_CAM_HU_UI_Mode
  (0x1:BLTN_CAM mode) → invalid → (0x0: HU UI mode) →
 invalid → (0x0: HU UI mode)</t>
  </si>
  <si>
    <t>AVN mode transition via AVN mode signal</t>
  </si>
  <si>
    <t>▪ Home/Back/ccNC Physical Button Button Touch
(HU_BLTN_CAM_UI_Mode = 0x0 : HU UI Mode)</t>
  </si>
  <si>
    <t>▪ BLTN_CAM_HU_UI_Mode
 (0x1:BLTN_CAM mode) → invalid → (0x0: HU UI mode)</t>
  </si>
  <si>
    <t>AVN mode ↔ BLTN_CAM mode</t>
  </si>
  <si>
    <t>▪ Touch the built-in cam screen entry button
▪ Touch the Home button (repeat quickly 10 times)</t>
  </si>
  <si>
    <t>▪ When in AVN mode after repeatedly entering and exiting Built-in Cam mode: Driving recording starts normally (without delay)</t>
  </si>
  <si>
    <t>▪ In Built-in Cam Mode: Driving recording is OFF, and recorded video will play back normally.</t>
  </si>
  <si>
    <t>▪ In Built-in Cam Mode: Recorded video will play normally</t>
  </si>
  <si>
    <t>Exiting BLTN_CAM mode midway</t>
  </si>
  <si>
    <t>▪ Touch the built-in cam screen entry button
▪ Touch the CCNC Home button on the screen transition loading screen (repeat 10 times for confirmation)</t>
  </si>
  <si>
    <t>▪ Start driving recording immediately when the repetitive action stops</t>
  </si>
  <si>
    <t>Attempting to quickly enter built-in cam mode during boot-up</t>
  </si>
  <si>
    <t>▪ ACC &amp; IGN ON
▪ Quickly and continuously tap the Built-in Cam mode entry icon</t>
  </si>
  <si>
    <t>▪ Built-in cam mode will be entered after booting is complete (enters within 2 seconds after booting is complete)</t>
  </si>
  <si>
    <t>▪ Driving recording will begin when the Back button is touched (1 second after exiting Built-in Cam mode)</t>
  </si>
  <si>
    <t>Condition preventing entry into Built-in Cam mode: During booting</t>
  </si>
  <si>
    <t>▪ Built-in Cam B+ Reset</t>
  </si>
  <si>
    <t>▪ Outputs 0xD until Built-in Cam boot is complete, 0x0 after completion
▪ BLTN_CAM_HU_UI_Mode
invalid → (0xD : Built-in CAM not Ready to be HU UI Mode) → invalid → (0x0: HU UI mode)</t>
  </si>
  <si>
    <t>과거차문제
PASTI-357
AR Navi 뷰 녹색 화면 출력</t>
  </si>
  <si>
    <t>▪ Enter Built-in Cam mode after Built-in Cam has finished booting</t>
  </si>
  <si>
    <t>▪ BLTN_CAM_HU_UI_Mode
 (0x0: HU UI mode) → invalid → (0x2: Preparing BLTN_CAM Mode) → invalid → (0x1:BLTN_CAM mode)</t>
  </si>
  <si>
    <t>Conditions under which Built-in Cam Mode cannot be entered (Parking Recording)
: Sleep → KEY ON</t>
  </si>
  <si>
    <t>▪ During parking recording (Network Sleep state)
▪ Inject NM signal to wake up the network</t>
  </si>
  <si>
    <t>▪ BLTN_CAM_HU_UI_Mode = 0xD: Built-in CAM not Ready to be HU UI Mode</t>
  </si>
  <si>
    <t>▪ KEY ON</t>
  </si>
  <si>
    <t>▪ Outputs 0xD until Built-in Cam boot complete, 0x0 after completion
▪ BLTN_CAM_HU_UI_Mode
(0xD: Built-in CAM not Ready to be HU UI Mode) → invalid → (0x0: HU UI mode)</t>
  </si>
  <si>
    <t>▪ Enter Built-in Cam Mode</t>
  </si>
  <si>
    <t>Conditions under which Built-in Cam mode cannot be entered (Parking Motion Recording)
: Sleep → KEY ON</t>
  </si>
  <si>
    <t>▪ During parking motion recording (Network Sleep state)
▪ Inject NM signal to wake up the network</t>
  </si>
  <si>
    <t>Confirm text output when entering Built-in Cam mode</t>
  </si>
  <si>
    <t>▪ Print legal notice text</t>
  </si>
  <si>
    <t>[Built-in Cam Screen Mode]
: Performance Recording - Performance Option
Performance Recording applies only to specialized vehicle specifications. (CE1 KN)</t>
  </si>
  <si>
    <t>[Built-in Cam Screen Mode] - Performance Recording</t>
  </si>
  <si>
    <t>Check Performance Options Built-in Cam Video</t>
  </si>
  <si>
    <t>▪ Enter N Mode within AVN and tap Performance Option
▪ Tap N Race Cam in the item, then tap the "File" button to access Built-in Cam
(BLTN_CAM_LVDS_Mode_Cmd = 0x0:Front and Rear Camera)
▪ Tap Real-time Screen
▪ Go Back
▪ Confirm repeat 10 times</t>
  </si>
  <si>
    <t>▪ Enter Built-In Cam by touching the N Race Cam file button in Performance Options
(HU_BLTN_CAM_UI_Mode = 0x1 : Built-In Cam Mode)</t>
  </si>
  <si>
    <t>Transition to AVN mode by turning the key off while in BLTN_CAM mode</t>
  </si>
  <si>
    <t>Performance Options ↔ BLTN_CAM mode</t>
  </si>
  <si>
    <t>▪ Tap the N Race Cam file button in Performance Options to access the built-in cam.
▪ Tap the Back button (repeat quickly 10 times for confirmation).</t>
  </si>
  <si>
    <t>▪ When the Performance Options screen appears after repeatedly entering and exiting Built-in Cam Mode: Driving recording starts normally (without delay)</t>
  </si>
  <si>
    <t>▪ The Performance Options screen will be displayed after touching Back.</t>
  </si>
  <si>
    <t>▪ Turn ACC &amp; IGN ON after KEY OFF
▪ Quickly and continuously tap the Built-in Cam icon in Performance Options</t>
  </si>
  <si>
    <t>▪ After the Built-in Cam has finished booting, access the Built-in Cam from Performance Options.</t>
  </si>
  <si>
    <t>N Mode N Race Cam Widget Continuous Touch</t>
  </si>
  <si>
    <t>▪ Enter N Mode by touching it in the AVN
▪ In N Race Cam, repeatedly touch the top of the widget instead of the REC button</t>
  </si>
  <si>
    <t>▪ Go to N Race Cam in Performance Options</t>
  </si>
  <si>
    <t>[Built-in Cam Screen Mode] (2)
: Undefined value</t>
  </si>
  <si>
    <t>[Built-in Cam Screen Mode] (2) Undefined value</t>
  </si>
  <si>
    <t>HS-CAN: [HU_BLTN_CAM_PE_00_200ms] - HU_UI_Mode = Reserved
B2-FD: [BLTN_CAM_FD_HU_01_200ms] - HU_UI_Mode = Reserved</t>
  </si>
  <si>
    <t>▪ [HU_BLTN_CAM_PE_00_200ms] - HU_BLTN_CAM_UI_Mode = 0x3 (Reserved)</t>
  </si>
  <si>
    <t>▪ BLTN_CAM_HU_UI_Mode maintains previous state</t>
  </si>
  <si>
    <t>▪ [HU_BLTN_CAM_PE_00_200ms] - HU_BLTN_CAM_UI_Mode = 0x4 (Reserved)</t>
  </si>
  <si>
    <t>▪ [HU_BLTN_CAM_PE_00_200ms] - HU_BLTN_CAM_UI_Mode = 0x5 (Reserved)</t>
  </si>
  <si>
    <t>▪ [HU_BLTN_CAM_PE_00_200ms] - HU_BLTN_CAM_UI_Mode = 0x6 (Reserved)</t>
  </si>
  <si>
    <t>▪ [HU_BLTN_CAM_PE_00_200ms] - HU_BLTN_CAM_UI_Mode = 0x7 (Reserved)</t>
  </si>
  <si>
    <t>▪ [HU_BLTN_CAM_PE_00_200ms] - HU_BLTN_CAM_UI_Mode = 0x8 (Reserved)</t>
  </si>
  <si>
    <t>▪ [HU_BLTN_CAM_PE_00_200ms] - HU_BLTN_CAM_UI_Mode = 0x9 (Reserved)</t>
  </si>
  <si>
    <t>▪ [HU_BLTN_CAM_PE_00_200ms] - HU_BLTN_CAM_UI_Mode = 0xA (Reserved)</t>
  </si>
  <si>
    <t>▪ [HU_BLTN_CAM_PE_00_200ms] - HU_BLTN_CAM_UI_Mode = 0xB (Reserved)</t>
  </si>
  <si>
    <t>▪ [HU_BLTN_CAM_PE_00_200ms] - HU_BLTN_CAM_UI_Mode = 0xC (Reserved)</t>
  </si>
  <si>
    <t>▪ [HU_BLTN_CAM_PE_00_200ms] - HU_BLTN_CAM_UI_Mode = 0xD (Reserved)</t>
  </si>
  <si>
    <t>▪ [HU_BLTN_CAM_PE_00_200ms] - HU_BLTN_CAM_UI_Mode = 0xE (Reserved)</t>
  </si>
  <si>
    <t>HS-CAN: [HU_BLTN_CAM_PE_00_200ms] - HU_UI_Mode = INVALID
B2-FD: [BLTN_CAM_FD_HU_01_200ms] - HU_UI_Mode = INVALID</t>
  </si>
  <si>
    <t>▪ [HU_BLTN_CAM_PE_00_200ms] - HU_BLTN_CAM_UI_Mode = 0xF(Invalid)</t>
  </si>
  <si>
    <t>[Built-in Cam Screen Mode] (3)
: Power Conditions</t>
  </si>
  <si>
    <t>HU_003</t>
  </si>
  <si>
    <t>[Built-in Cam Screen Mode] (3) Power Conditions</t>
  </si>
  <si>
    <t>ACC → Enter Built-in Cam View → IGN → Maintain Built-in Cam View</t>
  </si>
  <si>
    <t>▪ ACC ON
▪ Enter Built-in Cam Screen</t>
  </si>
  <si>
    <t>▪ Enter BLTN_CAM mode</t>
  </si>
  <si>
    <t>▪ IGN ON
▪ Check built-in cam screen retention</t>
  </si>
  <si>
    <t>▪ Maintain BLTN_CAM mode</t>
  </si>
  <si>
    <t>IGN → Enter built-in cam view</t>
  </si>
  <si>
    <t>▪ ACC &amp; IGN ON
 ▪ HU_UI_Mode = 0x1 (Built-In Cam Mode)</t>
  </si>
  <si>
    <t>Remote Start Status → Enter Built-in Cam Screen</t>
  </si>
  <si>
    <t>▪ IGN ON (ACC OFF, Communication Alive)
 ▪ HU_UI_Mode = 0x1 (Built-In Cam Mode)</t>
  </si>
  <si>
    <t>▪ Don't Care (In the actual vehicle, the AVN boots up but the screen is OFF)</t>
  </si>
  <si>
    <t>Remote Start → ACC ON → Enter Built-in Cam Screen</t>
  </si>
  <si>
    <t>▪ IGN ON
▪ Turn ACC ON after a 10-second wait
▪ HU_UI_Mode = 0x1(Built-In Cam Mode)</t>
  </si>
  <si>
    <t>Repeat KEY ON/OFF 20 times</t>
  </si>
  <si>
    <t>IGN
→ B+
→ IGN</t>
  </si>
  <si>
    <t>▪ Key On, Driving/Parking Continuous Recording Setting On
▪ Enter AVN Mode
▪ Confirm Driving Recording In Progress
▪ Repeat Key Reset 20 times, then return to the final state Key On</t>
  </si>
  <si>
    <t>[Performance Recording] (3)
: Power Conditions</t>
  </si>
  <si>
    <t>[Performance Recording] - Power Conditions</t>
  </si>
  <si>
    <t>ACC → Enter Built-in Cam in N Mode Performance Options → IGN → Keep Built-in Cam Screen</t>
  </si>
  <si>
    <t>Confirmed that performance options are not entered while KEY OFF.</t>
  </si>
  <si>
    <t>▪ ACC &amp; IGN OFF
▪ Enter N Mode and touch Performance Option</t>
  </si>
  <si>
    <t>▪ Unable to access Performance Options</t>
  </si>
  <si>
    <t>▪ Key On, Driving/Parking Continuous Recording On
▪ Enter N Mode
▪ Confirm Driving Recording In Progress
▪ Repeat Key Reset 20 times, then return to Key On state</t>
  </si>
  <si>
    <t>[Built-in Cam Time Setting] (1)
- Check time setting
- Check time format based on export region
- Check time settings for 1, 2, and 5 years later
- Check time retention after reboot
- Check for time inaccuracies</t>
  </si>
  <si>
    <t>[Built-in Cam Time Setting] (1)</t>
  </si>
  <si>
    <t>[HU_CLOCK_PE_02] Check RTC settings via message
▪ Verify if the current time is set (applied when the second value differs from the previous value)
▪ Verify if the time changes between 12-hour and 24-hour formats
※ In CAN specifications, if even one value is invalid, it is ignored.
※ In Ethernet specifications, refer only to the values ​​under the setting failure conditions below.
※ Signal preconditions by platform type
HS-CAN : [HU_CLOCK_PE_02]
B2-FD : [HU_CLOCK_01_1000ms]</t>
  </si>
  <si>
    <t>▪ Driving Recording Setting ON, Recorded Video Time Information Display ON
▪ [HU_CLOCK_PE_02]
- HU_TimeFormat = 0x2(24Hour)
- HU_Status = 0x2(GPS receiving)
- HU_TimeSetting = 0x1(User Time)
- HU_DisplayHour = Set Current Time
- HU_DisplayMinute = Set Current Time
- HU_DisplaySecond = Set Current Time
- HU_DisplayYear1 = Set Current Time
- HU_DisplayMonth = Set Current Time
- HU_DisplayYear2 = Set Current Time
- HU_DisplayDay = Set Current Time
- HU_ClockInfo = 0x1(ACLOCK Refresh)
- HU_ComRefresh = 0x2(Internal Clock Exist)
- HU_AM_PM_INFO = 0x0(Not Used)
▪ Built-in Cam Screen Enter
▪ Check the time on the clock at the top</t>
  </si>
  <si>
    <t>▪ Match setting time: HH:MM
▪ 24-hour format display
▪ Check date: Month D (Day of the week)</t>
  </si>
  <si>
    <t>과거차문제
PASTI-314
주차모드 진입 후 RTC 시간 비정상 설정 오류</t>
  </si>
  <si>
    <t>▪ Check export region time indication
※ Specifications verification required.</t>
  </si>
  <si>
    <t>?</t>
  </si>
  <si>
    <t>▪ Check the day of the week display on the clock at the top center.</t>
  </si>
  <si>
    <t>▪ Exactly matches the position and shape of the top clock on the AVN</t>
  </si>
  <si>
    <t>▪ Check OSD timestamps for continuous driving recording files (Front/Rear)
▪ Check creation timestamps for continuous driving recording files</t>
  </si>
  <si>
    <t>▪ OSD time matches driving continuous recording files (Front/Rear)
▪ Creation time matches driving continuous recording files</t>
  </si>
  <si>
    <t>Check if it is set after 1, 2, and 5 years
Verify retention after Power Reset</t>
  </si>
  <si>
    <t>▪ [HU_CLOCK_PE_02] Setting up one year later</t>
  </si>
  <si>
    <t>▪ Check if it is set to the time one year later</t>
  </si>
  <si>
    <t>▪ ACC &amp; IGN OFF → Enter Sleep
▪ ACC &amp; IGN ON → Enter Built-in Cam Screen, Check Generated Continuous Driving Footage</t>
  </si>
  <si>
    <t>▪ Verify that setting values ​​are maintained</t>
  </si>
  <si>
    <t>▪ [HU_CLOCK_PE_02] Setting up 2 years later</t>
  </si>
  <si>
    <t>▪ Check if it is set to the time 2 years later</t>
  </si>
  <si>
    <t>▪ [HU_CLOCK_PE_02] Setting up 5 years later</t>
  </si>
  <si>
    <t>▪ Check if it is set to the time 5 years later</t>
  </si>
  <si>
    <t>Verify RTC time retention</t>
  </si>
  <si>
    <t>▪ Check for any time discrepancies after leaving it for 1 to 1 week.</t>
  </si>
  <si>
    <t>▪ Maintain RTC setting value</t>
  </si>
  <si>
    <t>Operation verification when changing the date during driving recording</t>
  </si>
  <si>
    <t>▪ Driving Continuous Recording in AVN Mode
▪ [HU_CLOCK_PE_02] Setting for 1 Year
▪ Check whether driving continuous recording file was created and the creation time after 2 minutes</t>
  </si>
  <si>
    <t>▪ [HU_CLOCK_PE_02] Verify that the file currently being recorded is created according to the previous timeline upon setting.
▪ Verify that the next recording file is created according to the set timeline one year from now.
▪ The continuous driving recording file will play normally.</t>
  </si>
  <si>
    <t>[Built-in Cam Time Setting] (2)
: Cannot be set when receiving Inavlid value</t>
  </si>
  <si>
    <t>[Built-in Cam Time Setting] (2): Cannot be set when receiving Inavlid value</t>
  </si>
  <si>
    <t>RTC setting impossible condition: HU_TimeFormat = Invalid</t>
  </si>
  <si>
    <t>▪ [HU_CLOCK_PE_02] - HU_TimeSetting = 0x3(Invalid),
Check if applied after setting valid values ​​for the remaining Signals
※ The HU_DisplaySecond value must be entered differently from the previous value for the time to be applied.</t>
  </si>
  <si>
    <t>▪ Time can be set when the corresponding signal is invalid</t>
  </si>
  <si>
    <t>RTC setting impossible condition: HU_DisplayHour = Invalid</t>
  </si>
  <si>
    <t>▪ [HU_CLOCK_PE_02] - HU_DisplayHour = 0xFF(Invalid)
Check if applied after setting valid values ​​for the remaining signals
▪ Check if applied after entering valid values ​​into the corresponding signals</t>
  </si>
  <si>
    <t>▪ Time cannot be set when the corresponding signal is invalid.
▪ Time is set when a valid value is entered.</t>
  </si>
  <si>
    <t>RTC setting impossible condition: HU_Status = Invalid</t>
  </si>
  <si>
    <t>▪ [HU_CLOCK_PE_02] - HU_Status = 0xF(Invalid)
Check if applied after setting valid values ​​for the remaining signals
▪ Check if applied after entering valid values ​​into the corresponding signals</t>
  </si>
  <si>
    <t>RTC setting impossible condition: HU_DisplayMinute = Invalid</t>
  </si>
  <si>
    <t>▪ [HU_CLOCK_PE_02] - HU_DisplayMinute = 0xFF(Invalid)
Check if applied after setting valid values ​​for the remaining signals
▪ Check if applied after entering valid values ​​into the corresponding signals</t>
  </si>
  <si>
    <t>Condition for inability to set RTC: HU_DisplaySecond = Invalid</t>
  </si>
  <si>
    <t>▪ [HU_CLOCK_PE_02] - HU_DisplaySecond = 0xFF(Invalid)
Check if applied after setting valid values ​​for the remaining signals
▪ Check if applied after entering valid values ​​into the corresponding signals</t>
  </si>
  <si>
    <t>RTC setting impossible condition: HU_DisplayYear1 = Invalid</t>
  </si>
  <si>
    <t>▪ [HU_CLOCK_PE_02] - HU_DisplayYear1 = 0x3(Invalid)
Check if applied after setting valid values ​​for the remaining signals
▪ Check if applied after entering valid values ​​into the corresponding signals</t>
  </si>
  <si>
    <t>RTC setting impossible condition: HU_DisplayMonth = Invalid</t>
  </si>
  <si>
    <t>▪ [HU_CLOCK_PE_02] - HU_DisplayMonth = 0xF(Invalid)
Check if applied after setting valid values ​​for the remaining Signals
▪ Check if applied after entering valid values ​​into the corresponding signals</t>
  </si>
  <si>
    <t>RTC setting impossible condition: HU_DisplayYear2 = Invalid</t>
  </si>
  <si>
    <t>▪ [HU_CLOCK_PE_02] - HU_DisplayYear2 = 0xFF(Invalid)
Check if applied after setting valid values ​​for the remaining signals
▪ Check if applied after entering valid values ​​into the corresponding signals</t>
  </si>
  <si>
    <t>Condition for inability to set RTC: HU_DisplayDay = Invalid</t>
  </si>
  <si>
    <t>▪ [HU_CLOCK_PE_02] - HU_DisplayDay = 0xFF(Invalid)
Check if applied after setting valid values ​​for the remaining signals
▪ Check if applied after entering valid values ​​into the corresponding signals</t>
  </si>
  <si>
    <t>[Camera Angle Setting] Real-time Front Camera View
※ Camera angle adjustment specification removed for CS/CW models: BICIM2-765</t>
  </si>
  <si>
    <t>[Camera Angle Settings] Front Camera Real-time View
**</t>
  </si>
  <si>
    <t>Vertical Angle: Check Initial Value</t>
  </si>
  <si>
    <t>12v</t>
  </si>
  <si>
    <t>▪ Check default values ​​(Menu - Settings - Display Settings)
▪ Check if applied to real-time screen</t>
  </si>
  <si>
    <t>▪ BLTN_CAM_Set_FR_Ver_Pos = 0x00: Mid</t>
  </si>
  <si>
    <t>과거차문제
PASTI-353
AR Navi 블랙 화면 표출</t>
  </si>
  <si>
    <t>▪ Applied to the screen in real-time (no issues such as image glitches, blackouts, etc.)</t>
  </si>
  <si>
    <t>Vertical Angle: Check Initial Value (Connect Specification)</t>
  </si>
  <si>
    <t>▪ CS/CW Connect specification angle adjustment not reflected
▪ Check initial value</t>
  </si>
  <si>
    <t>▪ BLTN_CAM_Set_FR_Ver_Pos = Invalid</t>
  </si>
  <si>
    <t>Vertical angle: Center(0)</t>
  </si>
  <si>
    <t>▪ BLTN_CAM_FR_VerPos_NvalueSet = 0x00: Mid</t>
  </si>
  <si>
    <t>Vertical angle: Up(1~5)</t>
  </si>
  <si>
    <t>▪ BLTN_CAM_FR_VerPos_NvalueSet = 0x01 ~ 0x0A : Upper Level (1 ~ 10)
▪ Check Real-time Screen and AR View Screen</t>
  </si>
  <si>
    <t>▪ BLTN_CAM_Set_FR_Ver_Pos = 0x01 ~ 0x0A : Upper Level (1 ~ 10)</t>
  </si>
  <si>
    <t>Applied to real-time screen (no issues such as image glitches or blackouts)
※ 6~10 are undefined values, don't care
▪ Will not be applied to AR View screen</t>
  </si>
  <si>
    <t>Vertical angle: Down(-1~-5)</t>
  </si>
  <si>
    <t>▪ BLTN_CAM_FR_VerPos_NvalueSet = 0x11 ~ 0x1A : Lower Level (-1 ~ -10)
▪ Check Real-time Screen and AR View Screen</t>
  </si>
  <si>
    <t>▪ BLTN_CAM_Set_FR_Ver_Pos = 0x11 ~ 0x1A : Lower Level (-1 ~ -10)</t>
  </si>
  <si>
    <t>Applied to real-time screen (no issues such as image glitches or blackouts)
※ -6 to -10 are undefined values, so don't care
▪ Will not be applied to AR View screen</t>
  </si>
  <si>
    <t>Check for malfunctions with undefined values ​​(0x0B ~ 0x10: Reserved)</t>
  </si>
  <si>
    <t>▪ BLTN_CAM_FR_VerPos_NvalueSet = 0x0B ~ 0x10: Reserved</t>
  </si>
  <si>
    <t>▪ Maintain previous value</t>
  </si>
  <si>
    <t>Check for malfunctions with undefined values ​​(0x1B ~ 0x1E: Reserved)</t>
  </si>
  <si>
    <t>▪ BLTN_CAM_FR_VerPos_NvalueSet = 0x1B ~ 0x1E: Reserved</t>
  </si>
  <si>
    <t>Check for undefined value malfunction (0x1F: invalid)</t>
  </si>
  <si>
    <t>▪ BLTN_CAM_FR_VerPos_NvalueSet = 0x1F: invalid</t>
  </si>
  <si>
    <t>CCNC Reset after angle adjustment</t>
  </si>
  <si>
    <t>▪ BLTN_CAM_FR_VerPos_NvalueSet = 0x0A
▪ Power Reset only ccNC
▪ Enter "Menu - Settings - Display Settings" again and check the screen</t>
  </si>
  <si>
    <t>▪ BLTN_CAM_Set_FR_Ver_Pos = 0x01 ~ 0x0A
▪ The visible field of view on the screen will be at position 0x0A</t>
  </si>
  <si>
    <t>Adjusting the field of view when the camera is unattached</t>
  </si>
  <si>
    <t>▪ Remove rear camera
▪ Reset Built-in Cam B+
▪ Enter Menu &gt; Settings &gt; Display Settings and change front camera vertical angle
▪ Check real-time screen and AR Navi screen</t>
  </si>
  <si>
    <t>▪ Applied to real-time screen (no issues such as image glitches or blackouts)
▪ Will not be applied to AR View screen</t>
  </si>
  <si>
    <t>Check real-time video after detaching the camera</t>
  </si>
  <si>
    <t>▪ Change front camera vertical angle in display settings
▪ Detach front camera while real-time video is output
▪ Check real-time screen for 1 minute or more</t>
  </si>
  <si>
    <t>▪ No change in angle on the real-time screen (no issues such as video glitches, blackouts, etc.)</t>
  </si>
  <si>
    <t>Check AR NAVI after detaching the camera</t>
  </si>
  <si>
    <t>▪ Change front camera vertical angle in display settings
▪ Switch from BLTN CAM Mode to HU Mode
▪ Detach front camera while AR NAVI is outputting
▪ Verify AR NAVI output for at least 1 minute</t>
  </si>
  <si>
    <t>▪ Field of view adjustment will not be applied to the AR View screen.
▪ The camera will be restored and maintain normal output after being detached.</t>
  </si>
  <si>
    <t>Factory Mode → Customer Mode Real-time Video Verification
(BICIM2-2301)</t>
  </si>
  <si>
    <t>▪ ICU_PowerAutoCutModSta = 0x00 : Factory Mode
▪ Change Front Camera Vertical Angle
▪ Real-time Screen
▪ ICU_PowerAutoCutModSta = 0x02 : Customer Mode</t>
  </si>
  <si>
    <t>▪ Applied to the center of the screen angle in real-time
- BLTN_CAM_Set_FR_Ver_Pos = 0x00: Mid</t>
  </si>
  <si>
    <t>Driver assistance settings after angle adjustment</t>
  </si>
  <si>
    <t>▪ BLTN_CAM_FR_VerPos_NvalueSet = 0x01 ~ 0x0A : Upper Level (1 ~ 10) or 0x11 ~ 0x1A : Lower Level (-1 ~ -10)
▪ Quickly switch to "Built-in Cam Settings - Menu - Driver Assistance - Built-in Cam Settings"</t>
  </si>
  <si>
    <t>▪ AR View screen transmitted normally</t>
  </si>
  <si>
    <t>[Camera Angle Setting] Rearview Camera Real-time View
※ Camera angle adjustment specification removed for CS/CW models: BICIM2-765</t>
  </si>
  <si>
    <t>[Camera Angle Setting] Rear Camera Real-time View
**</t>
  </si>
  <si>
    <t>▪ Check initial value</t>
  </si>
  <si>
    <t>▪ BLTN_CAM_Set_RR_Ver_Pos = 0x00: Mid
Applied to real-time screen (no issues such as image glitches, black levels, etc.)</t>
  </si>
  <si>
    <t>▪ BLTN_CAM_Set_RR_Ver_Pos = Invalid</t>
  </si>
  <si>
    <t>▪ BLTN_CAM_RR_VerPos_NvalueSet = 0x00: Mid</t>
  </si>
  <si>
    <t>▪ BLTN_CAM_RR_VerPos_NvalueSet = 0x01 ~ 0x0A : Upper Level (1 ~ 10)
▪ Check Real-time Screen and AR View Screen</t>
  </si>
  <si>
    <t>▪ BLTN_CAM_Set_RR_Ver_Pos = 0x01 ~ 0x0A : Upper Level (1 ~ 10)</t>
  </si>
  <si>
    <t>▪ BLTN_CAM_RR_VerPos_NvalueSet = 0x11 ~ 0x1A : Lower Level (-1 ~ -10)
▪ Check Real-time Screen and AR View Screen</t>
  </si>
  <si>
    <t>▪ BLTN_CAM_Set_RR_Ver_Pos = 0x11 ~ 0x1A: Lower Level (-1 ~ -10)</t>
  </si>
  <si>
    <t>Check for malfunctions with undefined values ​​(0x0A ~ 0x10: Reserved)</t>
  </si>
  <si>
    <t>▪ BLTN_CAM_RR_VerPos_NvalueSet = 0x0A ~ 0x10: Reserved</t>
  </si>
  <si>
    <t>▪ BLTN_CAM_RR_VerPos_NvalueSet = 0x1B ~ 0x1E: Reserved</t>
  </si>
  <si>
    <t>▪ BLTN_CAM_RR_VerPos_NvalueSet = 0x1F: invalid</t>
  </si>
  <si>
    <t>▪ BLTN_CAM_RR_VerPos_NvalueSet = 0x1A
▪ Power Reset only for ccNC
▪ Enter "Menu - Settings - Display Settings" again and check the screen</t>
  </si>
  <si>
    <t>▪ BLTN_CAM_Set_RR_Ver_Pos = 0x01 ~ 0x1A
▪ The visible field of view on the screen will be at position 0x1A</t>
  </si>
  <si>
    <t>▪ Remove front camera
▪ Reset Built-in Cam B+
▪ Enter Menu &gt; Settings &gt; Display Settings and change rear camera vertical angle
▪ Check real-time screen and AR Navi screen</t>
  </si>
  <si>
    <t>▪ Change rear camera vertical angle in display settings
▪ Detach rear camera while real-time video is being displayed
▪ Check real-time screen for at least 1 minute</t>
  </si>
  <si>
    <t>▪ Change rear camera vertical angle in display settings
▪ Switch from BLTN CAM Mode to HU Mode
▪ Detach rear camera while AR NAVI is output
▪ Verify AR NAVI for at least 1 minute</t>
  </si>
  <si>
    <t>▪ Angle of view adjustment will not be applied to the AR View screen.
▪ The camera will be restored and maintain normal output after being removed.</t>
  </si>
  <si>
    <t>▪ ICU_PowerAutoCutModSta = 0x00 : Factory Mode
▪ Rear Camera Vertical Angle Change
▪ Real-time View
▪ ICU_PowerAutoCutModSta = 0x02 : Customer Mode</t>
  </si>
  <si>
    <t>▪ Real-time screen angle applied to the center
- BLTN_CAM_Set_RR_Ver_Pos = 0x00: Mid</t>
  </si>
  <si>
    <t>Whether to apply DCM when setting rear camera angle</t>
  </si>
  <si>
    <t>▪ Change rear camera vertical angle in display settings
▪ Check DCM screen</t>
  </si>
  <si>
    <t>▪ DCM screen angle change not applied (no issues such as image distortion or blackouts)
▪ Will not be applied to the DCM screen (Specifications need to be verified.)
Current operating status: DCM screen when rear camera angle is changed
Not applied</t>
  </si>
  <si>
    <t>Check real-time screen after B+ reset</t>
  </si>
  <si>
    <t>Real-time screen repeat verification after B+ reset</t>
  </si>
  <si>
    <t>▪ B+ Reset
▪ Check real-time screen after entering built-in cam screen (repeat 10 times)</t>
  </si>
  <si>
    <t>▪ Ensure front and rear cameras output normally.
▪ For 3rd generation, verify side camera output is normal.</t>
  </si>
  <si>
    <t>Repeated verification of DCM video output screen after B+ reset</t>
  </si>
  <si>
    <t>▪ B+ Reset
▪ Check DCM screen (repeat 10 times)</t>
  </si>
  <si>
    <t>▪ Output DCM video normally</t>
  </si>
  <si>
    <t>[Camera Angle Setting] Check Recording File Application Status
※ Camera Angle Adjustment Specification Removed for CS/CW Models: BICIM2-765</t>
  </si>
  <si>
    <t>[Camera Angle Settings] Check whether recording files are applied</t>
  </si>
  <si>
    <t>Check field of view of the first boot recording file (Parking ON)</t>
  </si>
  <si>
    <t>▪ Q-Feel Update
▪ Front/Rear Camera Angle Set to 0
▪ Driving/Event/Manual/Time-lapse In Progress
▪ KEY OFF
▪ Parking/Event/Manual In Progress
▪ Network SLEEP
▪ Parking/Event/Manual In Progress</t>
  </si>
  <si>
    <t>▪ No change in recording file angle
- Driving/Event/Manual/Time-lapse/Parking/Event</t>
  </si>
  <si>
    <t>Check field of view of the first boot recording file (Motion ON)</t>
  </si>
  <si>
    <t>▪ Q-Feel Update
▪ Front/Rear Camera Angle Set to 0
▪ Driving/Event/Manual/Time-lapse In Progress
▪ KEY OFF
▪ Motion/Event In Progress
▪ Network SLEEP
▪ Motion/Event In Progress</t>
  </si>
  <si>
    <t>▪ No change in recording file angle
- Driving/Event/Manual/Timelapse/Motion/Event</t>
  </si>
  <si>
    <t>Always driving (+5)</t>
  </si>
  <si>
    <t>▪ Set front/rear camera angle to +5
▪ Check recording file after recording begins</t>
  </si>
  <si>
    <t>▪ Angle set in the recording file is applied
Applied to the real-time screen (no issues such as video glitches or blackouts)</t>
  </si>
  <si>
    <t>Driving Event (+5)</t>
  </si>
  <si>
    <t>Always parked (+5)</t>
  </si>
  <si>
    <t>Parking Event (+5)</t>
  </si>
  <si>
    <t>Time-lapse (+5)</t>
  </si>
  <si>
    <t>▪ Set front camera angle to +5
▪ Check recording file after recording begins</t>
  </si>
  <si>
    <t>Parking motion detection (+5)</t>
  </si>
  <si>
    <t>Driving (-5)</t>
  </si>
  <si>
    <t>▪ Set front/rear camera angle to -5
▪ Check recording file after recording begins</t>
  </si>
  <si>
    <t>Driving Event (-5)</t>
  </si>
  <si>
    <t>Always parked (-5)</t>
  </si>
  <si>
    <t>Parking Event (-5)</t>
  </si>
  <si>
    <t>Time-lapse (-5)</t>
  </si>
  <si>
    <t>▪ Set front camera angle to -5
▪ Check recording file after recording begins</t>
  </si>
  <si>
    <t>Parking motion detection (-5)</t>
  </si>
  <si>
    <t>AR Navi(5)</t>
  </si>
  <si>
    <t>▪ Set front camera angle to 5
▪ Check recording file after recording begins</t>
  </si>
  <si>
    <t>▪ No change in real-time screen video angle</t>
  </si>
  <si>
    <t>AR Navi(-5)</t>
  </si>
  <si>
    <t>▪ Set rear camera angle to -5
▪ Check recording file after recording</t>
  </si>
  <si>
    <t>Performance recording (+5)</t>
  </si>
  <si>
    <t>Performance recording (-5)</t>
  </si>
  <si>
    <t>[Parking Event Notification Settings] BLTN_CAM_Set_PEV_AppNoti</t>
  </si>
  <si>
    <t>HU_010</t>
  </si>
  <si>
    <t>Check default value</t>
  </si>
  <si>
    <t>▪ BLTN_CAM_AppNoti_PEV_NvalueSet = 0x0:Default</t>
  </si>
  <si>
    <t>Event Notification Settings Set Signal: OFF</t>
  </si>
  <si>
    <t>▪ BLTN_CAM_AppNoti_PEV_NvalueSet = 0x1:Off</t>
  </si>
  <si>
    <t>▪ BLTN_CAM_Set_PEV_AppNoti = 0x1:Off</t>
  </si>
  <si>
    <t>Event Notification Settings Set Signal: ON</t>
  </si>
  <si>
    <t>▪ BLTN_CAM_AppNoti_PEV_NvalueSet = 0x2:On</t>
  </si>
  <si>
    <t>▪ BLTN_CAM_Set_PEV_AppNoti = 0x2:On</t>
  </si>
  <si>
    <t>Check for undefined value malfunction (0x3:Invalid)</t>
  </si>
  <si>
    <t>▪ BLTN_CAM_AppNoti_PEV_NvalueSet = 0x3:Invalid</t>
  </si>
  <si>
    <t>[Built-in Cam WiFi Activation Setting] BLTN_CAM_Set_WiFi_AutoOn</t>
  </si>
  <si>
    <t>▪ BLTN_CAM_WiFi_AutoOn_NvalueSet = 0x0:Default</t>
  </si>
  <si>
    <t>▪ BLTN_CAM_Set_WiFi_AutoOn = 0x0:Default</t>
  </si>
  <si>
    <t>Built-in Cam WiFi Activation Settings Set Signal: OFF</t>
  </si>
  <si>
    <t>▪ BLTN_CAM_WiFi_AutoOn_NvalueSet = 0x1:Off</t>
  </si>
  <si>
    <t>▪ BLTN_CAM_Set_WiFi_AutoOn = 0x1:Off</t>
  </si>
  <si>
    <t>Built-in Cam WiFi Activation Settings Set Signal: ON</t>
  </si>
  <si>
    <t>▪ BLTN_CAM_WiFi_AutoOn_NvalueSet = 0x2:On</t>
  </si>
  <si>
    <t>▪ BLTN_CAM_Set_WiFi_AutoOn = 0x2:On</t>
  </si>
  <si>
    <t>▪ BLTN_CAM_WiFi_AutoOn_NvalueSet = 0x3:Invalid</t>
  </si>
  <si>
    <t>▪ BLTN_CAM_Set_WiFi_AutoOn = No change
(Signal value will not change.)</t>
  </si>
  <si>
    <t>BLTN_CAM_Wifi_Pwd_Chg_State
※ Connection specification: Signal not in use</t>
  </si>
  <si>
    <t>▪ Check BLTN_CAM_Wifi_Pwd_Chg_State initial signal</t>
  </si>
  <si>
    <t>▪ 0x0 : Default</t>
  </si>
  <si>
    <t>▪ Password changed</t>
  </si>
  <si>
    <t>▪ 0x1: the password is changed</t>
  </si>
  <si>
    <t>▪ If the password cannot be changed due to an incorrect password</t>
  </si>
  <si>
    <t>▪ 0x2 : Failed, wrong password, cannot change password
※ This signal cannot be actually verified.
(If the password is mismatched upon a second attempt, ccNC will handle it internally and not transmit.)</t>
  </si>
  <si>
    <t>▪ Check for Invalid Values</t>
  </si>
  <si>
    <t>▪ 0x3: Invalid</t>
  </si>
  <si>
    <t>[Check signal output status by message]
: HU_BLTN_CAM_E_00</t>
  </si>
  <si>
    <t>HU_013</t>
  </si>
  <si>
    <t>Check if BLTN_CAM_PrkTime_NvalueSet is working</t>
  </si>
  <si>
    <t>▪ Check if the corresponding signal is active
- BLTN_CAM_PrkTime_NvalueSet(2Hr ~ 20Hr)</t>
  </si>
  <si>
    <t>▪ Parking recording time is set based on the corresponding signal value</t>
  </si>
  <si>
    <t>Check if BLTN_CAM_EV_BfrTime_NvalueSet is working</t>
  </si>
  <si>
    <t>▪ Check if the corresponding signal is active
- BLTN_CAM_EV_BfrTime_NvalueSet(10s, 15s, 20s)</t>
  </si>
  <si>
    <t>▪ Recording time before event occurrence is set based on the corresponding signal value</t>
  </si>
  <si>
    <t>Check if BLTN_CAM_EV_AftTime_NvalueSet is working</t>
  </si>
  <si>
    <t>▪ Check if the corresponding signal is active
- BLTN_CAM_EV_AftTime_NvalueSet(10s, 15s, 20s)</t>
  </si>
  <si>
    <t>▪ Recording time is set after the event occurs based on the corresponding signal value</t>
  </si>
  <si>
    <t>Check if BLTN_CAM_TML_Int_NvalueSet is working</t>
  </si>
  <si>
    <t>▪ Check if the corresponding signal is active
- BLTN_CAM_TML_Int_NvalueSet(20, 40, 100min)</t>
  </si>
  <si>
    <t>▪ Time-lapse recording interval is set based on the corresponding signal value</t>
  </si>
  <si>
    <t>Check if BLTN_CAM_Sen_DEV_NvalueSet is working</t>
  </si>
  <si>
    <t>▪ Check if the corresponding signal is active
- BLTN_CAM_Sen_DEV_NvalueSet(Lv1 ~ Lv5)</t>
  </si>
  <si>
    <t>▪ Driving event detection sensitivity is set according to the corresponding signal value</t>
  </si>
  <si>
    <t>Check if BLTN_CAM_Sen_PEV_NvalueSet is working</t>
  </si>
  <si>
    <t>▪ Check if the corresponding signal is active
- BLTN_CAM_Sen_PEV_NvalueSet(Lv1 ~ Lv5)</t>
  </si>
  <si>
    <t>▪ Parking event detection sensitivity is set based on the corresponding signal value</t>
  </si>
  <si>
    <t>[Check Signal Output Status by Message] - Performance Recording
: BLTN_CAM_FD_STAT_01_200ms
BLTN_CAM_FD_HU_01_200ms</t>
  </si>
  <si>
    <t>[Check Signal Output Status by Message]
: BLTN_CAM_FD_STAT_01_200ms
BLTN_CAM_FD_HU_01_200ms</t>
  </si>
  <si>
    <t>Check BLTN_CAM_FD_STAT_01_200ms output status</t>
  </si>
  <si>
    <t>▪ Check if the corresponding signal is output
- BLTN_CAM_BPR_Spprt_Info</t>
  </si>
  <si>
    <t>▪ Signal output depends on whether the specification is applied
Specification with performance applied: BLTN_CAM_BPR_Spprt_Info : 0x1 (Support)
Specification with performance not applied: BLTN_CAM_BPR_Spprt_Info : 0x0 (None)</t>
  </si>
  <si>
    <t>Check BLTN_CAM_FD_HU_01_200ms output status</t>
  </si>
  <si>
    <t>▪ Check if the corresponding signal is output
- BLTN_CAM_HU_UI_Mode</t>
  </si>
  <si>
    <t>▪ The following signal is output during Performance Recorder integration and recording
BLTN_CAM_HU_UI_Mode - 0x0 (HU UI Mode)</t>
  </si>
  <si>
    <t>▪ Check if the corresponding signal is output
- BLTN_CAM_Ind_Req</t>
  </si>
  <si>
    <t>▪ The following signal is output during performance recording
BLTN_CAM_Ind_Req - 0x8 (Built-in CAM Performance Recording)</t>
  </si>
  <si>
    <t>[Parking Motion Detection Recording Settings]
: HU_BLTN_CAM_01_00ms</t>
  </si>
  <si>
    <t>HU_008</t>
  </si>
  <si>
    <t>Check if BLTN_CAM_PMD_NvalueSet is working</t>
  </si>
  <si>
    <t>▪ Check if the corresponding signal is active
- BLTN_CAM_PMD_NvalueSet (off, on)</t>
  </si>
  <si>
    <t>▪ Parking motion detection recording is enabled based on the corresponding signal value</t>
  </si>
  <si>
    <t>[Check Signal Output Status by Message]
: BMS_FD_01_00ms</t>
  </si>
  <si>
    <t>xEV_12VBatAlarmReq_HS</t>
  </si>
  <si>
    <t>▪ Check if the corresponding signal is active
- xEV_12VBatAlarmReq_HS</t>
  </si>
  <si>
    <t>▪ Checking operation
BMS-PDC/ICU 3rd trip, alarm request for 12V lithium battery</t>
  </si>
  <si>
    <t>xEV_AuxBattChrgReq_HS</t>
  </si>
  <si>
    <t>▪ Check if the corresponding signal is active
- xEV_AuxBattChrgReq_HS</t>
  </si>
  <si>
    <t>▪ Checking operation
(12V Lithium Battery) Aux. Battery Charge Request Flag (HS-CAN)</t>
  </si>
  <si>
    <t>[Built-in Cam S/W Version Signal]</t>
  </si>
  <si>
    <t>HU_014</t>
  </si>
  <si>
    <t>Check if the built-in cam S/W version and version information signals match.</t>
  </si>
  <si>
    <t>Comparison of built-in cam S/W version and the signal below (example below)
BLTN_CAM_SWVerMajor1 : 0x41 (HEX) → ASCII CODE : "A"
BLTN_CAM _SWVerMinor1 : 0x01 (HEX) → ASCII CODE : "01"
BLTN_CAM _SWVerMinor2 : 0x0A (HEX) → ASCII CODE : "10"
BLTN_CAM _SWVerMinor3 : 0x47 (HEX) → ASCII CODE : "71"</t>
  </si>
  <si>
    <t>▪ Match built-in cam S/W version and version information signal</t>
  </si>
  <si>
    <t>[SD Card Slot Unit]
: Indicator Output</t>
  </si>
  <si>
    <t>HU_015</t>
  </si>
  <si>
    <t>Check SD card jack unit indicator output</t>
  </si>
  <si>
    <t>▪ Driving Recording Status
▪ Check SD Card Jack Unit Indicator Output</t>
  </si>
  <si>
    <t>▪ Micro SD INDICATOR = ON
- Duty : 100%
- Hyundai : Cool White
- Kia : Pure White</t>
  </si>
  <si>
    <t>[Verify SD card recognition at boot time]</t>
  </si>
  <si>
    <t>HU_016</t>
  </si>
  <si>
    <t>Check if the SD card is properly recognized when the built-in cam boots up</t>
  </si>
  <si>
    <t>Reset Built-in Cam B+ with CCNC ON</t>
  </si>
  <si>
    <t>The SD card must be recognized properly (no unrecognized icon should appear).</t>
  </si>
  <si>
    <t>[BLTN_CAM Initialization Time] (1)
: Basic Conditions
- Boot Time
- Wait for GUI Display Output</t>
  </si>
  <si>
    <t>[BLTN_CAM Initialization Time] (1)</t>
  </si>
  <si>
    <t>Check the initial recording time after booting</t>
  </si>
  <si>
    <t>▪ HU_UI_Mode = 0x1(Built-In Cam Mode)
▪ [Built-In Cam Settings] - [SD Memory] - Initialize SD Memory, then [Record] - Turn On Continuous/Event Recording while Driving
▪ Turn Off B+, ACC, and IGN
▪ Point the stopwatch at the front camera and turn on B+, ACC, and IGN simultaneously with the start.
▪ Check the stopwatch time recorded in the first frame of the continuous driving recording file.</t>
  </si>
  <si>
    <t>▪ Check the stopwatch time recorded in the first frame of the continuous driving recording file
▪ Recording start time 6s ±10%</t>
  </si>
  <si>
    <t>과거차문제
PASTI-324
빌트인 캠 모드 진입 불가 및 블랙화면 (빌트인 캠 내부고장코드 표출)</t>
  </si>
  <si>
    <t>Waiting for UI transition</t>
  </si>
  <si>
    <t>▪ Check the built-in cam mode entry time after touching the built-in cam mode entry icon</t>
  </si>
  <si>
    <t>▪ Within 7,000ms (Boot time 5 seconds + LVDS video output switching time 2 seconds)
: Approximately 1 second can be expected as CCNC generates the GUI.</t>
  </si>
  <si>
    <t>[BLTN_CAM Initialization Time] (2)
: Detailed Conditions</t>
  </si>
  <si>
    <t>[BLTN_CAM Initialization Time] (2)</t>
  </si>
  <si>
    <t>Reboot while in Built-in Cam mode</t>
  </si>
  <si>
    <t>▪ HU_UI_Mode = 0x1(Built-In Cam Mode)
▪ Driving Recording Setting ON, Parking Recording Setting OFF
▪ ACC &amp; IGN OFF(Enter Sleep State) → (Wait 5 sec) → KEY ON</t>
  </si>
  <si>
    <t>▪ Recording start time: After KEY ON (Check recording file)
- Ethernet Type: Within 6,000 ms ± 10%</t>
  </si>
  <si>
    <t>▪ BLTN_CAM_RecSta_OWD = 0x1</t>
  </si>
  <si>
    <t>Rebooting during time-lapse recording</t>
  </si>
  <si>
    <t>▪ Time-lapse recording in progress
▪ ACC &amp; IGN OFF → (Wait 5 seconds) → KEY ON</t>
  </si>
  <si>
    <t>Reboot when performing complex conditions
(Constant while driving + Impact + Manual switch input + Time-lapse)</t>
  </si>
  <si>
    <t>▪ Continuous Recording While Driving + Impact + Manual Switch Input + Time-lapse Recording Status
▪ ACC &amp; IGN OFF → (Wait 5 sec) → KEY ON</t>
  </si>
  <si>
    <t>B+ Reboot after inspection (IGN ON state)</t>
  </si>
  <si>
    <t>▪ Press B+ 10 times while in IGN state (5 times at boot, 5 times quickly)
▪ KEY ON</t>
  </si>
  <si>
    <t>Reboot after B+ inspection (B+ status)</t>
  </si>
  <si>
    <t>▪ Press B+ 10 times while in B+ state (5 times at boot, 5 times quickly)
▪ KEY ON</t>
  </si>
  <si>
    <t>[BLTN_CAM Initialization Time] (3)
: Malicious Conditions</t>
  </si>
  <si>
    <t>HU_019</t>
  </si>
  <si>
    <t>[BLTN_CAM Initialization Time] (3)</t>
  </si>
  <si>
    <t>Check for abnormalities after B+ reset with IGN ON.</t>
  </si>
  <si>
    <t>▪ All recording settings ON
▪ Reset B+ power while IGN is ON
▪ Enable manual events and impact events</t>
  </si>
  <si>
    <t>▪ Manual and impact events are recording
- Camera and switch LEDs are functioning normally</t>
  </si>
  <si>
    <t>- No black screen output in camera video
- Recording file created successfully
- No black screens recorded in the video</t>
  </si>
  <si>
    <t>▪ All recording settings ON
▪ B+ power reset while IGN is ON
▪ Manual event switch long press</t>
  </si>
  <si>
    <t>▪ Time-lapse recording enabled
- Camera and switch LEDs functioning normally</t>
  </si>
  <si>
    <t>[BLTN_CAM Initialization Time]
: Performance Recording</t>
  </si>
  <si>
    <t>Rebooting during performance recording</t>
  </si>
  <si>
    <t>▪ Performance Recording Status
▪ ACC &amp; IGN OFF → (Wait 5 sec) → KEY ON</t>
  </si>
  <si>
    <t>▪ BLTN_CAM_RecSta_BPR = 0x0</t>
  </si>
  <si>
    <t>▪ All recording settings ON
▪ Reset B+ power during performance recording with IGN ON
▪ Enable manual events and impact events</t>
  </si>
  <si>
    <t>▪ Manual and impact events are recorded
- Camera and switch LEDs function normally
- No black screen output in camera video
- Recording files are created successfully
- No black screens are recorded in the video</t>
  </si>
  <si>
    <t>▪ All recording settings ON
▪ B+ Power Reset during performance recording with IGN ON
▪ Manual Event Switch Long Press</t>
  </si>
  <si>
    <t>▪ Performance recording will stop and the video will be saved</t>
  </si>
  <si>
    <t>▪ Time-lapse recording works
- Camera and switch LEDs function normally
- No black screen output in camera video
- Recording files are created successfully
- No black screens are recorded in the video</t>
  </si>
  <si>
    <t>[Built-in Cam Settings] : WiFi Password Settings</t>
  </si>
  <si>
    <t>HU_020</t>
  </si>
  <si>
    <t>BLTN_CAM Settings
- [Settings] - [Wifi Password Settings]</t>
  </si>
  <si>
    <t>▪ HU_UI_Mode = 0x1(Built-In Cam Mode)
▪ Tap [Settings] - [App Connections] - [Set WiFi Password]</t>
  </si>
  <si>
    <t>▪ Display password setting window</t>
  </si>
  <si>
    <t>▪ Set the password to at least 10 characters, including uppercase and lowercase English letters and numbers.</t>
  </si>
  <si>
    <t>▪ New password applied</t>
  </si>
  <si>
    <t>Confirm password retention after regular updates in the previous version</t>
  </si>
  <si>
    <t>▪ Set password in previous version
▪ Proceed with update ▪ Verify that the set password works by using the mobile synchronization feature</t>
  </si>
  <si>
    <t>▪ Previous version password retained</t>
  </si>
  <si>
    <t>Check if password is set using uppercase letters + numbers</t>
  </si>
  <si>
    <t>▪ Register a password using a combination of uppercase English letters and numbers
▪ Verify the functionality of the set password by using the mobile synchronization feature</t>
  </si>
  <si>
    <t>▪ You can set a password using a combination of special characters, lowercase letters, and numbers.</t>
  </si>
  <si>
    <t>[User Profile Settings]
※ Specification: Priority
1st Priority: IAU_16_200ms
IAU_ProfileIDRVal
2nd Priority: HU_GW_PE_01
CF_AVN_ProfileIDRValue
3rd Priority: Last received valid value if conditions for 1st or 2nd priority are not met
※ No behavior regarding timeouts is specified</t>
  </si>
  <si>
    <t>HU_021</t>
  </si>
  <si>
    <t>[User Profile Settings]</t>
  </si>
  <si>
    <t>Verify built-in cam settings (B+ reset)
- Guest
- Profile1
- Profile2</t>
  </si>
  <si>
    <t>▪ Enter Built-in Cam Screen
▪ Customize Built-in Cam Settings (Set Guest, Profile 1, and Profile 2 differently)
- Driving Continuous and Event Recording Settings
- Parking Continuous and Event Recording Settings
- Driving Data (Impact Detection Level, Gear, Position, Speed, Time, Turn Signal)
- Voice Recording
- Recording Time (Parking Continuous, Time-lapse, Event Recording Bfr/Aft)
- Driving/Parking Event Detection Sensitivity
- Front/Rear Camera Angle
- Parking Impact Detection Notification Function
▪ Check whether Guest settings are retained after B+ reset</t>
  </si>
  <si>
    <t>▪ Guest retains all settings
**</t>
  </si>
  <si>
    <t>※ Specification: The WiFi password remains a single value regardless of the profile.</t>
  </si>
  <si>
    <t>▪ Reset B+ after changing user to Profile1
▪ Check if settings are retained</t>
  </si>
  <si>
    <t>▪ Profile1: Retain all setting values</t>
  </si>
  <si>
    <t>▪ Reset B+ after switching user to Profile 2
▪ Check if settings are retained</t>
  </si>
  <si>
    <t>▪ Profile 2 retains all setting values</t>
  </si>
  <si>
    <t>Confirmation of non-operation of profile linkage on ACC power</t>
  </si>
  <si>
    <t>▪ Enter Built-in Cam screen
▪ Arbitrarily set Built-in Cam settings (Guest, Profile1, Profile2 are different)
▪ Check setting values ​​after changing from Guest to Profile1</t>
  </si>
  <si>
    <t>▪ User profile does not operate on ACC power
: Guest settings are retained</t>
  </si>
  <si>
    <t>▪ Check if settings are retained after switching user from Profile1 to Profile2</t>
  </si>
  <si>
    <t>Change user during time-lapse recording</t>
  </si>
  <si>
    <t>▪ Change user during time-lapse recording</t>
  </si>
  <si>
    <t>Change user in driving recording mode</t>
  </si>
  <si>
    <t>▪ Change user during driving recording</t>
  </si>
  <si>
    <t>▪ Stop all video saving functions and follow the changed personalization profile settings</t>
  </si>
  <si>
    <t>Check the 1st priority signal IAU_ProfileIDRVal</t>
  </si>
  <si>
    <t>▪ [HU_GW_PE_01] CF_AVN_ProfileIDRValue = 0x1
 ▪ [IAU_16_200ms] IAU_ProfileIDRVal = 0x2</t>
  </si>
  <si>
    <t>▪ Load 0x2(Profile1) setting value</t>
  </si>
  <si>
    <t>Check 2nd priority signal CF_AVN_ProfileIDRValue</t>
  </si>
  <si>
    <t>▪ [HU_GW_PE_01] CF_AVN_ProfileIDRValue = 0x1
 ▪ [IAU_16_200ms] IAU_ProfileIDRVal = timeout</t>
  </si>
  <si>
    <t>▪ Load 0x1 (Guest) setting value</t>
  </si>
  <si>
    <t>▪ [HU_GW_PE_01] CF_AVN_ProfileIDRValue = 0x1
 ▪ [IAU_16_200ms] IAU_ProfileIDRVal = timeout
 ▪ B+ reset</t>
  </si>
  <si>
    <t>▪ Load 0x1(guest) setting value</t>
  </si>
  <si>
    <t>When the last received value is CF_AVN_ProfileIDRValue</t>
  </si>
  <si>
    <t>▪ [HU_GW_PE_01] CF_AVN_ProfileIDRValue = 0x1
 ▪ [IAU_16_200ms] IAU_ProfileIDRVal = timeout
↓
 ▪ [HU_GW_PE_01] CF_AVN_ProfileIDRValue = timeout
 ▪ [IAU_16_200ms] IAU_ProfileIDRVal = timeout</t>
  </si>
  <si>
    <t>▪ Maintain 0x1(guest) setting value</t>
  </si>
  <si>
    <t>When the last received value is IAU_ProfileIDRVal</t>
  </si>
  <si>
    <t>▪ [HU_GW_PE_01] CF_AVN_ProfileIDRValue = timeout
 ▪ [IAU_16_200ms] IAU_ProfileIDRVal = 0x2
↓
 ▪ [HU_GW_PE_01] CF_AVN_ProfileIDRValue = timeout
 ▪ [IAU_16_200ms] IAU_ProfileIDRVal = timeout</t>
  </si>
  <si>
    <t>▪ Maintain 0x2(Profile1) setting value</t>
  </si>
  <si>
    <t>When the 1st priority signal is cut off and only the 2nd priority signal comes in</t>
  </si>
  <si>
    <t>▪ [HU_GW_PE_01] CF_AVN_ProfileIDRValue = 0x1
 ▪ [IAU_16_200ms] IAU_ProfileIDRVal = 0x2
↓
 ▪ [HU_GW_PE_01] CF_AVN_ProfileIDRValue = 0x1
 ▪ [IAU_16_200ms] IAU_ProfileIDRVal = timeout</t>
  </si>
  <si>
    <t>▪ Setting value changed from 0x2 (Profile1) to 0x1 (guest)</t>
  </si>
  <si>
    <t>When the 1st priority signal is cut off and only the 2nd priority signal comes in,
when the 1st priority signal resumes</t>
  </si>
  <si>
    <t>▪ [HU_GW_PE_01] CF_AVN_ProfileIDRValue = 0x1
 ▪ [IAU_16_200ms] IAU_ProfileIDRVal = 0x2
↓
 ▪ [HU_GW_PE_01] CF_AVN_ProfileIDRValue = 0x1
 ▪ [IAU_16_200ms] IAU_ProfileIDRVal = timeout → 0x2</t>
  </si>
  <si>
    <t>▪ Changes the setting value from 0x2(Profile1) to 0x1(guest) and then returns to 0x2(Profile1).</t>
  </si>
  <si>
    <t>New Personalized Profile Specifications Applied
HU_OptionInfo
└ If Bit 13 is 1: Refer to signals 0x2 ~ 0x4
└ If Bit 13 is 0: Refer to signals 0x1 ~ 0x3 (Existing specification)
Specifications for priority remain the same as before
1st Priority: IAU_16_200ms
IAU_ProfileIDRVal
2nd Priority: HU_GW_PE_01
CF_AVN_ProfileIDRValue
3rd Priority: Last received valid value if conditions for 1st or 2nd priority are not met
For TCs for HU_049, the 13th bit of HU_OptionInfo must be 1 to maintain reception.
※ Operation regarding Timeout is not specified in the specification.</t>
  </si>
  <si>
    <t>Verify Built-in Cam Settings (B+ Reset)
- Profile1
- Profile2
- Profile3</t>
  </si>
  <si>
    <t>▪ Transmit so that the 13-bit of the HU_Optioninfo value becomes 1 (e.g., 0x2000)
▪ Enter Built-in Cam screen
▪ Arbitrarily set Built-in Cam settings (Profile1, Profile2, Profile3 are different from each other)
- Driving Continuous and Event Recording Settings
- Parking Continuous and Event Recording Settings
- Driving Data (Impact Detection Level, Gear, Position, Speed, Time, Turn Signal)
- Voice Recording
- Recording Time (Parking Continuous, Time-lapse, Event Recording Bfr/Aft)
- Driving/Parking Event Detection Sensitivity
- Front/Rear Camera Angle
- Parking Impact Detection Notification Function
▪ Check whether Guest settings are retained after B+ reset</t>
  </si>
  <si>
    <t>▪ Reset B+ after changing user to Profile 3
▪ Check if settings are retained</t>
  </si>
  <si>
    <t>▪ Profile3 retains all setting values</t>
  </si>
  <si>
    <t>▪ Enter Built-in Cam screen
▪ Arbitrarily set Built-in Cam settings (Profile1, Profile2, Profile3 are different from each other)
▪ Check setting values ​​after changing Profile1 to Profile2</t>
  </si>
  <si>
    <t>▪ User profile does not operate on ACC power
: Profile1 settings are retained</t>
  </si>
  <si>
    <t>▪ Check if settings are retained after switching user from Profile2 to Profile3</t>
  </si>
  <si>
    <t>▪ [HU_GW_PE_01] CF_AVN_ProfileIDRValue = 0x2
 ▪ [IAU_16_200ms] IAU_ProfileIDRVal = 0x3</t>
  </si>
  <si>
    <t>▪ Load 0x3(Profile2) setting value</t>
  </si>
  <si>
    <t>▪ [HU_GW_PE_01] CF_AVN_ProfileIDRValue = 0x2
 ▪ [IAU_16_200ms] IAU_ProfileIDRVal = timeout</t>
  </si>
  <si>
    <t>▪ [HU_GW_PE_01] CF_AVN_ProfileIDRValue = 0x2
 ▪ [IAU_16_200ms] IAU_ProfileIDRVal = timeout
 ▪ B+ reset</t>
  </si>
  <si>
    <t>▪ [HU_GW_PE_01] CF_AVN_ProfileIDRValue = 0x2
 ▪ [IAU_16_200ms] IAU_ProfileIDRVal = timeout
↓
 ▪ [HU_GW_PE_01] CF_AVN_ProfileIDRValue = timeout
 ▪ [IAU_16_200ms] IAU_ProfileIDRVal = timeout</t>
  </si>
  <si>
    <t>▪ [HU_GW_PE_01] CF_AVN_ProfileIDRValue = timeout
 ▪ [IAU_16_200ms] IAU_ProfileIDRVal = 0x3
↓
 ▪ [HU_GW_PE_01] CF_AVN_ProfileIDRValue = timeout
 ▪ [IAU_16_200ms] IAU_ProfileIDRVal = timeout</t>
  </si>
  <si>
    <t>▪ Maintain 0x3(Profile2) setting value</t>
  </si>
  <si>
    <t>▪ [HU_GW_PE_01] CF_AVN_ProfileIDRValue = 0x2
 ▪ [IAU_16_200ms] IAU_ProfileIDRVal = 0x3
↓
 ▪ [HU_GW_PE_01] CF_AVN_ProfileIDRValue = 0x2
 ▪ [IAU_16_200ms] IAU_ProfileIDRVal = timeout</t>
  </si>
  <si>
    <t>▪ Setting value changed from 0x3(Profile2) to 0x2(Profile1)</t>
  </si>
  <si>
    <t>▪ [HU_GW_PE_01] CF_AVN_ProfileIDRValue = 0x2
 ▪ [IAU_16_200ms] IAU_ProfileIDRVal = 0x3
↓
 ▪ [HU_GW_PE_01] CF_AVN_ProfileIDRValue = 0x2
 ▪ [IAU_16_200ms] IAU_ProfileIDRVal = timeout → 0x3</t>
  </si>
  <si>
    <t>▪ Changes the setting value from 0x3(Profile2) to 0x2(Profile1) and then returns to 0x3(Profile2).</t>
  </si>
  <si>
    <t>[User Profile Settings]
: Check Performance Recording Widget and Recording Status</t>
  </si>
  <si>
    <t>Confirm N Mode Widget Settings Retention (B+ Reset)
- Guest
- Profile1
- Profile2</t>
  </si>
  <si>
    <t>▪ Enter N Mode Screen
▪ Customize N Mode screen widget items (Guest, Profile1, Profile2 are different)
- Driving Continuous and Event Recording Settings
- Parking Continuous and Event Recording Settings
- Driving Data (Impact Detection Level, Gear, Location, Speed, Time, Turn Signal)
- Voice Recording
- Recording Time (Parking Continuous, Time-lapse, Event Recording Bfr/Aft)
- Driving/Parking Event Detection Sensitivity
- Front/Rear Camera Angle
- Parking Impact Detection Notification Function
▪ Check whether Guest settings are retained after B+ reset</t>
  </si>
  <si>
    <t>Change user during performance recording</t>
  </si>
  <si>
    <t>▪ Change user during performance recording</t>
  </si>
  <si>
    <t>▪ Performance recording ended</t>
  </si>
  <si>
    <t>Check guest profile</t>
  </si>
  <si>
    <t>▪ Change Guest Profile
▪ B+ OFF -&gt; ON
▪ Check N Mode Screen Widget Items</t>
  </si>
  <si>
    <t>▪ The settings must be maintained</t>
  </si>
  <si>
    <t>Check Driver 1 Profile</t>
  </si>
  <si>
    <t>▪ Change Driver 1 Profile
▪ B+ OFF -&gt; ON
▪ Check N Mode Screen Widget Items</t>
  </si>
  <si>
    <t>Check Driver 2 Profile</t>
  </si>
  <si>
    <t>▪ Change Driver 2 Profile
▪ B+ OFF -&gt; ON
▪ Check N Mode Screen Widget Items</t>
  </si>
  <si>
    <t>0x0: Check performance recording in Factory Mode</t>
  </si>
  <si>
    <t>▪ ICUPowerAutoCutMode = 0x0(Factory mode)
▪ Start Performance Recording</t>
  </si>
  <si>
    <t>▪ Performance recording started</t>
  </si>
  <si>
    <t>▪ Check saved recorded video list</t>
  </si>
  <si>
    <t>▪ Performance recording saved</t>
  </si>
  <si>
    <t>0x1: Check performance recording in Dealer Mode</t>
  </si>
  <si>
    <t>▪ ICUPowerAutoCutMode = 0x1(Dealer mode)
▪ Start Performance Recording</t>
  </si>
  <si>
    <t>0x2: Check performance recording in Customer Mode</t>
  </si>
  <si>
    <t>▪ ICUPowerAutoCutMode = 0x2(Customer mode)
▪ Start Performance Recording</t>
  </si>
  <si>
    <t>0x0: Factory Mode → 0x2: Check performance recording in Customer Mode</t>
  </si>
  <si>
    <t>▪ Start Performance Recording
▪ ICUPowerAutoCutMode = 0x0(Factory mode)
ICUPowerAutoCutMode = 0x2(Customer mode)</t>
  </si>
  <si>
    <t>▪ End of performance recording</t>
  </si>
  <si>
    <t>▪ Confirmation that there is no performance recording file</t>
  </si>
  <si>
    <t>0x1: Check performance recording in Dealer Mode → 0x2: Customer Mode</t>
  </si>
  <si>
    <t>▪ Start Performance Recording
▪ ICUPowerAutoCutMode = 0x1: Dealer Mode
ICUPowerAutoCutMode = 0x2(Customer mode)</t>
  </si>
  <si>
    <t>Check performance recording in 0x3: Error Indicator</t>
  </si>
  <si>
    <t>▪ ICUPowerAutoCutMode = 0x3 (Error Indicator)
▪ Start Performance Recording</t>
  </si>
  <si>
    <t>[User Profile Settings]
: First Run Setup - 1</t>
  </si>
  <si>
    <t>HU_022</t>
  </si>
  <si>
    <t>[User Profile Settings] : First Run Setup -1</t>
  </si>
  <si>
    <t>0x0: Receive AVN FRS signal in Factory Mode</t>
  </si>
  <si>
    <t>▪ ICUPowerAutoCutMode = 0x0 (Factory mode)
▪ Reset recording settings by performing ACC &amp; IGN RESET (Recording settings OFF)
▪ BLTN_CAM_Rec_OWD_NvalueSet, BLTN_CAM_Rec_DEV_NvalueSet,
BLTN_CAM_Rec_OWP_NvalueSet, BLTN_CAM_Rec_PEV_NvalueSet = 0x2 (ON)
※ Do not transmit this signal by pressing the CANoe panel button;
Instead, transmit by selecting Actual CCNC Settings - General - Reset - Full System Reset.</t>
  </si>
  <si>
    <t>▪ Turn OFF Driving/Parking Continuous Recording and Event Recording Settings (Same as Main Screen Quick Menu)
▪ BLTN_CAM_RecSet_OWD = 0x1(OFF)
▪ BLTN_CAM_RecSet_OWP = 0x1(OFF)
▪ BLTN_CAM_RecSet_DEV = 0x1(OFF)
▪ BLTN_CAM_RecSet_PEV = 0x1(OFF)</t>
  </si>
  <si>
    <t>0x1: Receive AVN FRS signal in Dealer Mode</t>
  </si>
  <si>
    <t>▪ ICUPowerAutoCutMode = 0x1(Dealer mode)
▪ Reset recording settings by ACC &amp; IGN (Recording settings OFF)
▪ BLTN_CAM_Rec_OWD_NvalueSet, BLTN_CAM_Rec_DEV_NvalueSet,
BLTN_CAM_Rec_OWP_NvalueSet, BLTN_CAM_Rec_PEV_NvalueSet= 0x2(ON)</t>
  </si>
  <si>
    <t>Receive AVN FRS signal in 0x0: Factory Mode → 0x2: Customer Mode</t>
  </si>
  <si>
    <t>▪ ICUPowerAutoCutMode = 0x1(Dealer mode)
 ▪ ICUPowerAutoCutMode = 0x2(Customer mode)
 ▪ BLTN_CAM_Rec_OWD_NvalueSet, BLTN_CAM_Rec_DEV_NvalueSet,
 BLTN_CAM_Rec_OWP_NvalueSet, BLTN_CAM_Rec_PEV_NvalueSet= 0x2(ON)</t>
  </si>
  <si>
    <t>▪ Driving/Parking Continuous and Event Recording Settings ON (Same as Main Screen Quick Menu)
▪ BLTN_CAM_RecSet_OWD = 0x2(ON)
▪ BLTN_CAM_RecSet_OWP = 0x2(ON)
▪ BLTN_CAM_RecSet_DEV = 0x2(ON)
▪ BLTN_CAM_RecSet_PEV = 0x2(ON)</t>
  </si>
  <si>
    <t>Verify that settings are retained after ACC &amp; IGN RESET</t>
  </si>
  <si>
    <t>▪ Verify that settings are retained after ACC &amp; IGN RESET</t>
  </si>
  <si>
    <t>▪ Maintain recording settings</t>
  </si>
  <si>
    <t>Receive AVN FRS signal in 0x1: Dealer Mode → 0x2: Customer Mode</t>
  </si>
  <si>
    <t>0x3: Received AVN FRS signal from Error Indicator</t>
  </si>
  <si>
    <t>▪ ICUPowerAutoCutMode = 0x0(Factory mode)
▪ Reset recording settings by ACC &amp; IGN (Recording settings OFF)
▪ ICUPowerAutoCutMode = 0x3(Error Indicator)
▪ BLTN_CAM_Rec_OWD_NvalueSet, BLTN_CAM_Rec_DEV_NvalueSet,
BLTN_CAM_Rec_OWP_NvalueSet, BLTN_CAM_Rec_PEV_NvalueSet= 0x2(ON)</t>
  </si>
  <si>
    <t>[User Profile Settings]
: First Run Setup - 2</t>
  </si>
  <si>
    <t>HU_023</t>
  </si>
  <si>
    <t>[User Profile Settings] : First Run Setup -2</t>
  </si>
  <si>
    <t>Verify Recording Settings ON upon USM Reset reception</t>
  </si>
  <si>
    <t>▪ ICUPowerAutoCutMode = 0x1(Dealer mode)
 ▪ ICUPowerAutoCutMode = 0x2(Customer mode)
 ▪ BLTN_CAM_Rec_OWD_NvalueSet, BLTN_CAM_Rec_DEV_NvalueSet,
 BLTN_CAM_Rec_OWP_NvalueSet, BLTN_CAM_Rec_PEV_NvalueSet= 0x2(ON)
 ▪ CF_AVN_BLTN_CAM_USMReset =0x1(Built-in Cam USM Reset)</t>
  </si>
  <si>
    <t>▪ Driving/Parking Continuous and Event Recording Settings ON
▪ BLTN_CAM_RecSet_OWD = 0x2(ON)
▪ BLTN_CAM_RecSet_OWP = 0x2(ON)
▪ BLTN_CAM_RecSet_DEV = 0x2(ON)
▪ BLTN_CAM_RecSet_PEV = 0x2(ON)</t>
  </si>
  <si>
    <t>Verify Recording Settings ON upon receiving cluUSM Reset</t>
  </si>
  <si>
    <t>↑ Proceed in the same way, then reset with the signal below
▪ CF_AVN_CluUSMReset = 0x1(USM Reset)</t>
  </si>
  <si>
    <t>Up</t>
  </si>
  <si>
    <t>Initialize via diagnosis. Check that recording settings are OFF.</t>
  </si>
  <si>
    <t>▪ ICUPowerAutoCutMode = 0x1(Dealer mode)
 ▪ ICUPowerAutoCutMode = 0x2(Customer mode)
 ▪ BLTN_CAM_Rec_OWD_NvalueSet, BLTN_CAM_Rec_DEV_NvalueSet,
 BLTN_CAM_Rec_OWP_NvalueSet, BLTN_CAM_Rec_PEV_NvalueSet= 0x2(ON)
 ▪ CF_AVN_CluUSMReset = 0x1(USM Reset)</t>
  </si>
  <si>
    <t>▪ Driving/Parking Continuous and Event Recording Settings OFF
▪ BLTN_CAM_RecSet_OWD = 0x1(OFF)
▪ BLTN_CAM_RecSet_OWP = 0x1(OFF)
▪ BLTN_CAM_RecSet_DEV = 0x1(OFF)
▪ BLTN_CAM_RecSet_PEV = 0x1(OFF)</t>
  </si>
  <si>
    <t>Verify profile copy upon receiving FRS signal after configuration in Guest.</t>
  </si>
  <si>
    <t>▪ ICUPowerAutoCutMode = 0x0(Factory mode)
▪ ICUPowerAutoCutMode = 0x2(Customer mode)
▪ IAU_ProfileIDRVal = 0x1(Guest)
▪ HU_UI_Mode = 0x1(Built-In Cam Mode)
▪ Arbitrarily set Built-In Cam settings
▪ HU_UI_Mode = 0x0(HU UI Mode)
▪ IAU_ProfileIDRVal = 0x2(Profile1), 0x3(Profile2)
: Check if Guest settings have been copied to Profile1 and Profile2</t>
  </si>
  <si>
    <t>▪ When exiting Built-in Cam mode after setup is complete, Guest's settings are copied to Profile1 and Profile2.
: Guest, Profile1, and Profile2 settings are identical.</t>
  </si>
  <si>
    <t>Also check the WiFi password</t>
  </si>
  <si>
    <t>[User Profile Settings]
: First Run Setup - 3</t>
  </si>
  <si>
    <t>HU_024</t>
  </si>
  <si>
    <t>[User Profile Settings] : First Run Setup -3</t>
  </si>
  <si>
    <t>AVN FRS Signal Individual ON Reception</t>
  </si>
  <si>
    <t>▪ ICUPowerAutoCutMode = 0x0 (Factory mode)
▪ Reset recording settings by resetting ACC &amp; IGN (Recording settings OFF)
▪ BLTN_CAM_Rec_OWD_NvalueSet = 0x2 (ON), set the rest OFF</t>
  </si>
  <si>
    <t>▪ Always-on driving recording setting ON, others OFF
▪ BLTN_CAM_RecSet_OWD = 0x2(ON)</t>
  </si>
  <si>
    <t>▪ ICUPowerAutoCutMode = 0x0 (Factory mode)
▪ Reset recording settings by resetting ACC &amp; IGN (Recording settings OFF)
▪ BLTN_CAM_Rec_DEV_NvalueSet = 0x2 (ON), set the rest OFF</t>
  </si>
  <si>
    <t>▪ Driving Event Recording Settings ON, Remaining OFF
▪ BLTN_CAM_RecSet_DEV = 0x2(ON)</t>
  </si>
  <si>
    <t>▪ ICUPowerAutoCutMode = 0x0 (Factory mode)
▪ Reset recording settings by resetting ACC &amp; IGN (Recording settings OFF)
▪ BLTN_CAM_Rec_OWP_NvalueSet = 0x2 (ON), set the rest OFF</t>
  </si>
  <si>
    <t>▪ Parking Continuous Recording Setting ON, Remaining OFF
▪ BLTN_CAM_RecSet_OWP = 0x2(ON)</t>
  </si>
  <si>
    <t>▪ ICUPowerAutoCutMode = 0x0 (Factory mode)
▪ Reset recording settings by resetting ACC &amp; IGN (Recording settings OFF)
▪ BLTN_CAM_Rec_PEV_NvalueSet = 0x2 (ON), set the rest OFF</t>
  </si>
  <si>
    <t>▪ Parking Event Recording Settings ON, Remaining OFF
▪ BLTN_CAM_RecSet_PEV = 0x2(ON)</t>
  </si>
  <si>
    <t>[User Profile Settings]
: First Run Setup - 4
(Specification changes and improvements reflected)</t>
  </si>
  <si>
    <t>HU_025</t>
  </si>
  <si>
    <t>[User Profile Settings] : First Run Setup -4</t>
  </si>
  <si>
    <t>Turn on recording settings when resetting settings after changing them in Virgin state</t>
  </si>
  <si>
    <t>▪ ICUPowerAutoCutMode = 0x0(Factory mode)
▪ ICUPowerAutoCutMode = 0x2(Customer mode)
▪ IAU_ProfileIDRVal = 0x1(Guest)
▪ Always-on driving recording setting ON
▪ [Settings] - [Reset Built-in Cam Settings] Check recording settings
▪ Check recording settings in Profile 1 and 2 after resetting settings</t>
  </si>
  <si>
    <t>▪ When KEY OFF, all signals below become 0x2 (ON) → 0x1 (OFF)
- BLTN_CAM_RecSet_OWD = 0x1 (OFF)
- BLTN_CAM_RecSet_OWP = 0x1 (OFF)
- BLTN_CAM_RecSet_DEV = 0x1 (OFF)
- BLTN_CAM_RecSet_PEV = 0x1 (OFF)
▪ Parking Impact Notification Setting ON
- BLTN_CAM_Set_PEV_AppNoti = 0x1 (OFF)</t>
  </si>
  <si>
    <t>Bug where FRS signal is not initialized when KEY OFF after changing settings in factory mode (#7927)</t>
  </si>
  <si>
    <t>▪ ICUPowerAutoCutMode = 0x0(Factory mode)
▪ All recording settings ON
▪ KEY OFF</t>
  </si>
  <si>
    <t>▪ When KEY OFF, all signals below become 0x2 (ON) → 0x1 (OFF)
▪ BLTN_CAM_RecSet_OWD
▪ BLTN_CAM_RecSet_OWP
▪ BLTN_CAM_RecSet_DEV
▪ BLTN_CAM_RecSet_PEV</t>
  </si>
  <si>
    <t>Bug where FRS function does not work when only one recording setting is changed (#7918)</t>
  </si>
  <si>
    <t>▪ Only one driving continuous recording setting is ON
▪ BLTN_CAM_Rec_OWD_NvalueSet, BLTN_CAM_Rec_DEV_NvalueSet,
BLTN_CAM_Rec_OWP_NvalueSet, BLTN_CAM_Rec_PEV_NvalueSet= 0x2(ON)</t>
  </si>
  <si>
    <t>▪ Keep only the continuous driving recording setting ON</t>
  </si>
  <si>
    <t>[User Profile Settings]
: First Run Setup - 5</t>
  </si>
  <si>
    <t>HU_026</t>
  </si>
  <si>
    <t>[User Profile Settings] : First Run Setup -5</t>
  </si>
  <si>
    <t>Confirm copying of recording settings when changing the profile after modifying settings while in Virgin status.</t>
  </si>
  <si>
    <t>▪ ICUPowerAutoCutMode = 0x0(Factory mode)
▪ ICUPowerAutoCutMode = 0x2(Customer mode)
▪ IAU_ProfileIDRVal = 0x1(Guest)
▪ Turn on arbitrary recording settings
▪ Enter AVN mode (disconnect from built-in cam screen)
▪ IAU_ProfileIDRVal = 0x2(Profile1), 0x3(Profile2)
: Check if Guest settings have been copied to Profile1 and Profile2</t>
  </si>
  <si>
    <t>▪ Guest settings are copied to Profile1 and Profile2</t>
  </si>
  <si>
    <t>Verify that Guest recording settings are not copied if Profile1 &amp; Profile2 are not in Virgin state.</t>
  </si>
  <si>
    <t>▪ Change settings in Profile1 or Profile2 after the above operation
▪ Change Profile to Guest
▪ Change recording settings again while in Guest mode
▪ Enter AVN mode (exit the built-in cam screen)
▪ Verify that Guest settings have been copied from Profile1 and 2</t>
  </si>
  <si>
    <t>▪ Guest settings are not copied to Profile 1 or 2, and recording settings changed in Profile 1 or Profile 2 are retained.</t>
  </si>
  <si>
    <t>Confirmation of recording settings copying upon exiting the built-in cam and immediately re-entering after changing settings in Virgin mode.</t>
  </si>
  <si>
    <t>▪ ICUPowerAutoCutMode = 0x0(Factory mode)
▪ ICUPowerAutoCutMode = 0x2(Customer mode)
▪ IAU_ProfileIDRVal = 0x1(Guest)
▪ Turn on arbitrary recording settings
▪ Enter AVN mode (disconnect from built-in cam screen)
▪ Immediately enter built-in cam mode
▪ IAU_ProfileIDRVal = 0x2(Profile1), 0x3(Profile2)
: Check if Guest settings have been copied to Profile1 and Profile2</t>
  </si>
  <si>
    <t>[BLTN_CAM-Function-009] CCNC Integration Function</t>
  </si>
  <si>
    <t>AR navigation output</t>
  </si>
  <si>
    <t>[LVDS Video Output] - AR Navigation (ccNC)</t>
  </si>
  <si>
    <t>AR Navi Image Output Verification (CCNC Specification)</t>
  </si>
  <si>
    <t>▪ AVN Mode
▪ Navigation -&gt; Touch the compass icon to enter AR Navigation screen
(BLTN_CAM_LVDS_Mode_Cmd = 0x1:Front Camera for AR Navi)
▪ Go Back
▪ Confirm repeat 10 times</t>
  </si>
  <si>
    <t>▪ BLTN_CAM_LVDS_Mode_State = 0x1: Front Camera for AR Navi.
: LDVS image transition time within 2 seconds</t>
  </si>
  <si>
    <t>과거차문제
PASTI-350
AR 카펫 도로가 아닌 공중에 표시</t>
  </si>
  <si>
    <t>Check LVDS video transmission area (Crop-related specifications), ccNC</t>
  </si>
  <si>
    <t>▪ Check AR View and Real-time Screen in CCNC
▪ Verify visibility after cropping the original camera video to match the received coordinates</t>
  </si>
  <si>
    <t>▪ 1920x720 (Front View) + 640x720 (Black) Output
(OK if the visible area of ​​the AR Navi video is cropped correctly)
※ The camera area must not be facing upwards</t>
  </si>
  <si>
    <t>[LVDS Video Output] - AR Navigation (ccIC)</t>
  </si>
  <si>
    <t>AR Navi Image Output Verification (ccIC Specification)</t>
  </si>
  <si>
    <t>※ The ccIC specification does not use the 0x1 signal. (AR Navi and real-time video are combined)
▪ BLTN_CAM_LVDS_Mode_State = 0x0
: LDVS video switching time within 2 seconds
▪ AR Navi video on the cluster screen continues to be displayed even in AVN mode</t>
  </si>
  <si>
    <t>Check LVDS video transmission area (crop-related specifications), ccIC</t>
  </si>
  <si>
    <t>▪ Check AR View and Real-time Screen in CCIC
▪ Verify visibility after cropping the original camera footage to match the received coordinates</t>
  </si>
  <si>
    <t>▪ The visible area of ​​the AR Navi image must be cropped correctly.
※ The camera area must not point upwards (If the cropped area outputs the default area, it is not suitable)</t>
  </si>
  <si>
    <t>[LVDS Video Output] - AR Navigation (Common)</t>
  </si>
  <si>
    <t>Check AR Navi View when KEY ON during Parking Impact Alert (CCS)</t>
  </si>
  <si>
    <t>▪ Turn KEY OFF and start parking recording (Parking Impact Notification setting ON)
▪ Turn ccNC B+ OFF to enter Sleep mode
▪ Authorize an impact event to start impact notification (Recorded signal ON, Wake up)
▪ Turn ccNC B+ ON while in Wake up state
▪ Built-in Cam &amp; ccNC: ACC/IGN ON
▪ Crop the original camera footage to match the received coordinates and check if it is visible</t>
  </si>
  <si>
    <t>Check AR Navi image output (before Sleep after KEY OFF)</t>
  </si>
  <si>
    <t>▪ BLTN_CAM_LVDS_Mode_Cmd = 0x1:Front Camera for AR Navi.
(Maintains AR View screen switching state in CCNC)
▪ KEY OFF
▪ KEY ON while Network Alive</t>
  </si>
  <si>
    <t>▪ Display AR View Immediately
: Maintains constant AR View display while Network Alive, even when KEY OFF.
(In the actual vehicle, the AR View screen must appear immediately when the ignition is turned ON before Network Sleep while in AR View mode.)</t>
  </si>
  <si>
    <t>[LVDS Video Output] - AR Navigation (3rd Generation)</t>
  </si>
  <si>
    <t>AR Navi Video Output Verification</t>
  </si>
  <si>
    <t>▪ BLTN_CAM_LVDS_Mode_State = 0x1: Front Camera for AR Navi.
: LVDS image transition time within 2 seconds</t>
  </si>
  <si>
    <t>Check LVDS video transmission area (Crop-related specifications)</t>
  </si>
  <si>
    <t>▪ Check AR View screen and real-time screen
▪ Check if the original camera video is visible after cropping to the received coordinates</t>
  </si>
  <si>
    <t>▪3040 * 1520 (Front view)
(OK if the visible area of ​​the AR Navi image is cropped correctly)
※ The camera area must not be pointing upwards.</t>
  </si>
  <si>
    <t>[LVDS Video Output] Wiper Motion Detect ON/OFF</t>
  </si>
  <si>
    <t>AR Navi Wiper Operation Check</t>
  </si>
  <si>
    <t>▪ Enter AR Navi screen
▪ Wiper_PrkngPosSta = Parking Position → else
▪ Shine a fluorescent light and shake the camera rapidly to check for a pink afterimage</t>
  </si>
  <si>
    <t>▪ Motion Detect OFF (No pink)
※ 2.5G: Specifications not applied (No pink)
※ 3G: Specifications need to be checked (Current operating status: No pink)</t>
  </si>
  <si>
    <t>▪ Enter AR Navi screen
▪ Wiper_PrkngPosSta = else → Wait 5 seconds for Parking Position
▪ Shine a fluorescent light and shake the camera rapidly to check for a pink afterimage</t>
  </si>
  <si>
    <t>▪ Motion Detect On after 5 seconds (Pink appears)
※ 2.5G: Specs not applied (Pink does not appear)
※ 3G: Specs need to be checked (Current operating status: Pink does not appear)</t>
  </si>
  <si>
    <t>▪ Enter AR Navi screen
▪ else → Maintain Parking Position for less than 5 seconds → else
▪ Shine a fluorescent light and shake the camera rapidly to check for a pink afterimage</t>
  </si>
  <si>
    <t>▪ Enter AR Navi screen
▪ else → Error Indicator
▪ Shine a fluorescent light and shake the camera rapidly to check for a pink afterimage</t>
  </si>
  <si>
    <t>▪ Immediately turn on Motion Detect (Pink appears)
※ 2.5 Generation: Specifications not applied (Pink does not appear)
※ 3rd Generation: Specifications need to be checked (Current operating status: Pink does not appear)</t>
  </si>
  <si>
    <t>[Check Other FPS]
: Real-time Video, AR Nav
※ Press the 'e' key in VLC Player to play frame by frame</t>
  </si>
  <si>
    <t>[Check Video Output FPS] : Real-time Video, AR Navi</t>
  </si>
  <si>
    <t>Real-time video</t>
  </si>
  <si>
    <t>▪ Play FPS Test Video (MOBIS_FPS_TEST_HD.avi) on PC &amp; Start Stopwatch)
▪ Focus on PC Monitor with Built-in Cam Camera →
▪ Record Real-time Video with Mobile Phone (Slow Motion)</t>
  </si>
  <si>
    <t>▪ ccNC Specification: 2560x720, 30FPS video output
▪ ccIC Specification: 1920 * 1440, 30FPS video output
※ 3rd Generation Specification: 3040 * 1520, 30FPS video output
: Check for missing frames when playing video recorded with a mobile phone (no missing numbers in the middle)
※ Try playing one frame at a time by pressing the 'e' key in VLC Player</t>
  </si>
  <si>
    <t>AR Navi</t>
  </si>
  <si>
    <t>▪ Play FPS Test video (MOBIS_FPS_TEST_HD.avi) on PC &amp; Start Stopwatch)
▪ Point the built-in cam at the PC monitor →
▪ Record the AR Navi screen with your mobile phone (Slow Motion)</t>
  </si>
  <si>
    <t>▪ ccNC Specification: 2560x720, 30FPS video output
▪ ccIC Specification: 1920 * 1440, 30FPS video output
※ 3rd Generation Specification: 3040 * 1520, 30FPS video output
: Check for missing frames when playing videos recorded on a mobile phone (no missing numbers in the middle)</t>
  </si>
  <si>
    <t>Complex conditions, past issues</t>
  </si>
  <si>
    <t>HU_032</t>
  </si>
  <si>
    <t>[LVDS Video Output] - Past LVDS Issues</t>
  </si>
  <si>
    <t>Built-in Cam Mode ↔ AR Navi Video Output Repeat</t>
  </si>
  <si>
    <t>BLTN_CAM_LVDS_Mode_Cmd = 0x0:Front and Rear Camera
BLTN_CAM_LVDS_Mode_Cmd = 0x1:Front Camera for AR Navi.
: Repeat 10 times to confirm</t>
  </si>
  <si>
    <t>Video output and corresponding signals must match.
No video output delay. No slowdown in built-in cam operation.
No real-time front/rear video output when switching to AR View.</t>
  </si>
  <si>
    <t>BLTN_CAM_LVDS_Mode_Cmd = 0x3:Reserved</t>
  </si>
  <si>
    <t>BLTN_CAM_LVDS_Mode_State = Keep previous value</t>
  </si>
  <si>
    <t>Reset B+ only for ccNC/ccIC while AR Navi view is output</t>
  </si>
  <si>
    <t>▪ Enter AR Navi screen
BLTN_CAM_LVDS_Mode_Cmd = 0x1:Front Camera for AR Navi
▪ Reset B+ only for ccNC/ccIC
▪ Enter AR Navi screen after ccNC/ccIC reboot is complete</t>
  </si>
  <si>
    <t>▪ Display AR View Immediately</t>
  </si>
  <si>
    <t>Repeat B+ reset and verify AR Navi view repetition</t>
  </si>
  <si>
    <t>▪ B+ Reset
▪ Enter AR Navi screen (repeat 10 times)</t>
  </si>
  <si>
    <t>▪ AR Navi screen displays normally (does not become black)</t>
  </si>
  <si>
    <t>Check AR Navi View after initializing with Vehicle Mode signal</t>
  </si>
  <si>
    <t>▪ ICUPowerAutoCutMode = 0x0: Factory Mode → 0x2: Customer Mode
▪ Enter AR Navi screen</t>
  </si>
  <si>
    <t>Cluster black screen issue when changing profile (ccIC development stage issue)</t>
  </si>
  <si>
    <t>▪ Change profile in AR View screen (set display field of view differently)</t>
  </si>
  <si>
    <t>Cluster green screen issue upon boot (ccIC development phase issue)</t>
  </si>
  <si>
    <t>▪ IGN ON
▪ Check BLTN_CAM_HU_UI_Mode signal at boot</t>
  </si>
  <si>
    <t>▪ During boot BLTN_CAM_HU_UI_Mode = 0xD:Not Ready
▪ After boot complete BLTN_CAM_HU_UI_Mode = 0x0:HU Mode</t>
  </si>
  <si>
    <t>Intermittent AR View black screen (field occurrence issue, common to ccIC/ccNC)</t>
  </si>
  <si>
    <t>▪ Repeated verification of B+ reset for built-in cam only in AR view screen (automation equipment)</t>
  </si>
  <si>
    <t>▪ The AR screen will not remain black.
※ Issue Details: Intermittent black screen, returns to normal upon re-entering AR View mode.</t>
  </si>
  <si>
    <t>[LVDS Video Output] - LVDS Past Issues 2</t>
  </si>
  <si>
    <t>Real-time video output error after full B+ reset
: Normal voltage</t>
  </si>
  <si>
    <t>▪ Ensure Built-in Cam, CCNC, and CCU are all ACC &amp; IGN On
▪ [Menu] - [Real-time Video] - Check Real-time Video
▪ Reset B+ simultaneously for Built-in Cam, CCNC, and CCU
▪ Turn Key On for Built-in Cam, CCNC, and CCU
▪ [Built-in Cam Menu] - [Real-time Video] - Check Real-time Video
▪ Exit the Built-in Cam menu to check AR Navigation
▪ Repeat the above steps at least 10 times</t>
  </si>
  <si>
    <t>▪ Normal real-time video output (Real-time screen, AR navigation)
(Green/black screen output, no flickering, no distortion of the viewing angle)</t>
  </si>
  <si>
    <t>Real-time video output error when front camera is detached while built-in cam is engaged
: Normal voltage</t>
  </si>
  <si>
    <t>▪ Ensure Built-in Cam, CCNC, and CCU are all ACC &amp; IGN On
▪ AVN Mode - Select Built-in Cam icon
▪ Detach/Attach Front Camera while Loading Image is displayed
▪ [Built-in Cam Menu] - [Real-time Video] - Check Real-time Video
▪ Exit Built-in Cam Menu to check AR Navigation
▪ Repeat the above steps at least 10 times</t>
  </si>
  <si>
    <t>Camera recovery error issue when detaching the camera during AR NAVI output</t>
  </si>
  <si>
    <t>▪ Enter AR Navi screen
▪ Remove front camera while AR View is displayed
▪ Remove rear camera after 10 seconds
▪ Reattach front/rear cameras after 10 seconds
▪ Verify AR View for 1 minute
▪ Repeat the above steps at least 3 times</t>
  </si>
  <si>
    <t>▪ Verify normal AR Navi screen output after camera recovery
(No green/black screen output, flickering, field of view distortion, or video slowdown)</t>
  </si>
  <si>
    <t>Repeat KEY ON/OFF 20 times while displaying the screen in real-time</t>
  </si>
  <si>
    <t>▪ KEY ON
▪ Built-in Cam - Enter Real-time View and Display Real-time
▪ Repeat Key Reset 20 times, then return to the final Key ON state
▪ [Built-in Cam Menu] - [Real-time Video] - Check Real-time Video
▪ Exit Built-in Cam Menu and check AR Navigation
▪ Repeat the above steps 10 times</t>
  </si>
  <si>
    <t>Cannot exit developer mode after acquiring DLT logs</t>
  </si>
  <si>
    <t>▪ KEY ON
▪ Built-in Cam - Enter Developer Mode
▪ Check Developer Mode Information
(Model Name, Hardware Version, Software Version, Camera Version, etc.)
▪ Acquire USB DLT Log
▪ Select Back/Home Button</t>
  </si>
  <si>
    <t>▪ Enter BLTN_CAM main screen
▪ No green/black screen output</t>
  </si>
  <si>
    <t>Recording Settings ON → Issue where settings do not turn ON after resetting to vehicle mode</t>
  </si>
  <si>
    <t>▪ Customer Mode and Recording Settings are both ON
▪ Factory Mode → Reset to Recording Settings OFF by inputting a Customer Mode signal
▪ Driving/Parking Recording Settings ON</t>
  </si>
  <si>
    <t>▪ Recording settings will be turned ON</t>
  </si>
  <si>
    <t>Repeat KEY ON/OFF 20 times while AR Navi is displayed</t>
  </si>
  <si>
    <t>▪ KEY ON
▪ Select AVN Screen - Map - AR Navigation to display AR Navigation screen
▪ Repeat Key Reset 20 times, then return to the final Key ON state
▪ Menu - Real-time Video - Check Real-time Video
▪ AVN Mode - Map - Verify AR Navigation display
▪ Repeat the above steps 10 times</t>
  </si>
  <si>
    <t>▪ Successfully enters BLTN_CAM mode
▪ Real-time screen and AR Navi view display normally
▪ No green/black screen output</t>
  </si>
  <si>
    <t>SVM View Button Repeat Input</t>
  </si>
  <si>
    <t>▪ Enter Built-in Cam
▪ Video List Display Status
▪ Press SVM View Button 4 times repeatedly to input</t>
  </si>
  <si>
    <t>▪ BLTN_CAM mode outputs normally
▪ Real-time screen outputs normally
▪ No delay in real-time screen output</t>
  </si>
  <si>
    <t>Repeat input of SVM view button during real-time screen output</t>
  </si>
  <si>
    <t>▪ Enter Built-in Cam - Real-time screen display in progress
▪ Press SVM View button 4 times repeatedly</t>
  </si>
  <si>
    <t>HU_034</t>
  </si>
  <si>
    <t>[sshfs mount] Accessing Video List DB</t>
  </si>
  <si>
    <t>Check automatic recording video list</t>
  </si>
  <si>
    <t>▪ Enter Built-in Cam Screen
▪ Check Driving and Parking Continuous Recording List
▪ Confirm Repeat 10 Times</t>
  </si>
  <si>
    <t>▪ Saved video list displayed
- "Unable to load information" message not displayed
- Thumbnail images displayed normally</t>
  </si>
  <si>
    <t>Check manual recording video list</t>
  </si>
  <si>
    <t>▪ Enter Built-in Cam screen
▪ Check Manual Event and Time-lapse Recording List
▪ Confirm Repeat 10 times</t>
  </si>
  <si>
    <t>[SSFS Communication] SSFS communication direction</t>
  </si>
  <si>
    <t>HU_SSHFS_StrictHostKeyCheck1</t>
  </si>
  <si>
    <t>(One-way authentication vehicle models)
▪ Check HU_SSHFS_StrictHostKeyCheck1 signal</t>
  </si>
  <si>
    <t>▪ HU_SSHFS_StrictHostKeyCheck1 = 0x1 : One-Way</t>
  </si>
  <si>
    <t>(Bidirectional Authentication Vehicle Model)
▪ Check 'HU_SSHFS_StrictHostKeyCheck1' signal</t>
  </si>
  <si>
    <t>▪ HU_SSHFS_StrictHostKeyCheck1 = 0x2 : Mutual</t>
  </si>
  <si>
    <t>[Distinction between ccNC and ccNC-Lite]</t>
  </si>
  <si>
    <t>HU_035</t>
  </si>
  <si>
    <t>In the case of CCNC (navigation support)</t>
  </si>
  <si>
    <t>[HU_MON_PE_01] HU_OptionInfo = 0x1</t>
  </si>
  <si>
    <t>▪ Supports navigation specifications on the built-in cam UI</t>
  </si>
  <si>
    <t>미해당</t>
  </si>
  <si>
    <t>In the case of ccIC (navigation support)</t>
  </si>
  <si>
    <t>In the case of ccNC-Lite (navigation not supported)</t>
  </si>
  <si>
    <t>[HU_MON_PE_01] HU_OptionInfo = 0x0</t>
  </si>
  <si>
    <t>▪ Navigation specifications not supported on the built-in cam UI</t>
  </si>
  <si>
    <t>Profile Policy Classification</t>
  </si>
  <si>
    <t>Profile settings based on Profile Policy</t>
  </si>
  <si>
    <t>When receiving HU_OptionInfo signal BIT(1:Support)</t>
  </si>
  <si>
    <t>▪ Transmit so that the 13th bit of the HU_Optioninfo value becomes 1, e.g., 0x2000
▪ Set different settings for Profiles 1, 2, and 3
▪ Transmit IAU_ProfileIDRVal = 0x2, CF_AVN_ProfileIDRvalue = 0x3</t>
  </si>
  <si>
    <t>▪ IAU_ProfileIDRval, CF_AVN_ProfileIDRvalue (IVI): Set to 0x2 (Profile 1)</t>
  </si>
  <si>
    <t>▪ IAU_ProfileIDRVal = 0x3, CF_AVN_ProfileIDRvalue = 0x2 transmission</t>
  </si>
  <si>
    <t>▪ IAU_ProfileIDRval, CF_AVN_ProfileIDRvalue (IVI): Set to 0x3 (Profile 2)</t>
  </si>
  <si>
    <t>▪ Transmit IAU_ProfileIDRVal = 0x4, CF_AVN_ProfileIDRvalue = 0x3</t>
  </si>
  <si>
    <t>▪ IAU_ProfileIDRval, CF_AVN_ProfileIDRvalue (IVI): Set to 0x4 (Profile 3)</t>
  </si>
  <si>
    <t>▪ IAU_ProfileIDRVal = 0x1, CF_AVN_ProfileIDRvalue = 0x1 transmission</t>
  </si>
  <si>
    <t>▪ Verify retention of previous value
▪ IAU_ProfileIDRval, CF_AVN_ProfileIDRvalue (IVI): Set to 0x4 (Profile 3)</t>
  </si>
  <si>
    <t>When receiving HU_OptionInfo signal BIT(0: Not Support)</t>
  </si>
  <si>
    <t>▪ Transmit so that the 13th bit of the HU_Optioninfo value becomes 0 ex) 0x0000
▪ Transmit IAU_ProfileIDRVal = 0x1, CF_AVN_ProfileIDRvalue = 0x2</t>
  </si>
  <si>
    <t>▪ IAU_ProfileIDRval, CF_AVN_ProfileIDRvalue (IVI): Set to 0x1 (Guest)</t>
  </si>
  <si>
    <t>▪ Transmit IAU_ProfileIDRVal = 0x2, CF_AVN_ProfileIDRvalue = 0x3</t>
  </si>
  <si>
    <t>▪ Transmit IAU_ProfileIDRVal = 0x3, CF_AVN_ProfileIDRvalue = 0x1</t>
  </si>
  <si>
    <t>▪ Transmit IAU_ProfileIDRVal = 0x4, CF_AVN_ProfileIDRvalue = 0x4</t>
  </si>
  <si>
    <t>▪ Verify retention of previous value
▪ IAU_ProfileIDRval, CF_AVN_ProfileIDRvalue (IVI): Set to 0x3 (Profile 2)</t>
  </si>
  <si>
    <t>[Language and Region Linkage]</t>
  </si>
  <si>
    <t>HU_LanguageInfo</t>
  </si>
  <si>
    <t>[HU_CLU_PE_05] HU_LanguageInfo</t>
  </si>
  <si>
    <t>Operations related to language and region-linked CAN messages not implemented</t>
  </si>
  <si>
    <t>HU_DistributeInfo</t>
  </si>
  <si>
    <t>[HU_MON_PE_01] HU_DistributeInfo</t>
  </si>
  <si>
    <t>BLTN_CAM_DistributeInfo</t>
  </si>
  <si>
    <t>[BLTN_CAM_FD_STAT_01_200ms] Check BLTN_CAM_DistributeInfo
[BLTN_CAM_STAT_PE_01_200ms] Check BLTN_CAM_DistributeInfo</t>
  </si>
  <si>
    <t>▪ Check whether the output is suitable for the intended destination.
BLTN_CAM_DistributeInfo = 0x0:Default (Korea) Type
BLTN_CAM_DistributeInfo = 0x1:Korea (KOR) Type
BLTN_CAM_DistributeInfo = 0x2:General Type
BLTN_CAM_DistributeInfo = 0x3:Middle East (MES) Type
BLTN_CAM_DistributeInfo = 0x4:Europe (EUR) Type
BLTN_CAM_DistributeInfo = 0x5:Australia (AUS) Type
BLTN_CAM_DistributeInfo = 0x6:Canada Type
BLTN_CAM_DistributeInfo = 0x7:North America (NA) Type 
BLTN_CAM_DistributeInfo = 0x8:China (CHN) Type
BLTN_CAM_DistributeInfo = 0x9:Japan (JAP) Type
BLTN_CAM_DistributeInfo = 0xA:Russia (RUS) Type
BLTN_CAM_DistributeInfo = 0xB~0x3E:RESERVED</t>
  </si>
  <si>
    <t>※ 향지 신호 : BLTN_CAM_DistributeInfo
- 0x0 / 0x1 둘다 KOR 를 나타냄
현재는 내수사양 0x0 으로 출력함, 둘중에 하나로만 출력하면 상관없음
BICIM2-2370</t>
  </si>
  <si>
    <t>[Parking Motion Recording Tab]</t>
  </si>
  <si>
    <t>Display Parking Motion Recording Tab Settings</t>
  </si>
  <si>
    <t>▪ Enter Built-in Cam (Disable Parking Motion Tab)</t>
  </si>
  <si>
    <t>▪ Check left tab to disable Motion Detection while parked
- [BLTN_CAM_Set_PMD = 0X0(Default)] ||
[BLTN_CAM_RanSet_PMDR = 0x0(Default)]</t>
  </si>
  <si>
    <t>▪ Enter Built-in Cam (Activate Parking Motion Tab)</t>
  </si>
  <si>
    <t>▪ Verify that Motion Detection While Parked is enabled on the left tab
- [BLTN_CAM_Set_PMD != 0X0(Default)] &amp;&amp;
[BLTN_CAM_RanSet_PMDR != 0x0(Default)]</t>
  </si>
  <si>
    <t>[RADAR Sensitivity]
1. Vehicles with Fixed Sensitivity 1
ce1pe / ct1 / gn7pe / jg1 / jg1na / jg1rus / jw1pe / lx3 / lx3na / lx3t / nh2 / nh2jap / nh2na / us4kv / us4kvjap / us4pe / sg2pe
2. Vehicles with Changed Sensitivity
North America/Europe</t>
  </si>
  <si>
    <t>[RADAR Sensitivity]</t>
  </si>
  <si>
    <t>If there is no radar sensitivity level setting in the HU</t>
  </si>
  <si>
    <t>▪ Enter Built-in Cam
▪ Settings &gt;&gt; Impact Detection Sensitivity</t>
  </si>
  <si>
    <t>▪ No radar sensitivity level setting
- BLTN_CAM_RanSet_PMDR = 0x1 (Level 1)
- BLTN_CAM_MaxRanSet_PMDR = 0x0 (Default)</t>
  </si>
  <si>
    <t>▪ BLTN_CAM_Ran_PMDR_NvalueSet = 0x2(Level 2) ~ 0x5(Level 5)</t>
  </si>
  <si>
    <t>▪ Radar sensitivity will not change
- BLTN_CAM_RanSet_PMDR = 0x1 (Level 1)</t>
  </si>
  <si>
    <t>If radar sensitivity level setting is available in HU
: North America/Europe</t>
  </si>
  <si>
    <t>▪ Radar sensitivity level setting must exist
- BLTN_CAM_RanSet_PMDR = 0x1 (Level 1)
- BLTN_CAM_MaxRanSet_PMDR = 0x3 (Level 1~3)
※ Display Conditions
- [BLTN_CAM_Set_PMD != 0X0(Default)] &amp;&amp;
[BLTN_CAM_RanSet_PMDR != 0x0(Default)] &amp;&amp;
[BLTN_CAM_MaxRanSet_PMDR != 0x0 (Default)]</t>
  </si>
  <si>
    <t>▪ BLTN_CAM_Ran_PMDR_NvalueSet = 0x1(Level 1) ~ 0x3(Level 3)</t>
  </si>
  <si>
    <t>▪ Radar sensitivity settings will be changed
- BLTN_CAM_RanSet_PMDR = 0x1 (Level 1) ~ 0x3 (Level 3)</t>
  </si>
  <si>
    <t>▪ BLTN_CAM_Ran_PMDR_NvalueSet = 0x4(Level 4) ~ 0x5(Level 5)</t>
  </si>
  <si>
    <t>▪ Radar sensitivity will not change
- BLTN_CAM_RanSet_PMDR = Retain previous value</t>
  </si>
  <si>
    <t>Circuit recognition</t>
  </si>
  <si>
    <t>Circuit recognition, non-recognition check</t>
  </si>
  <si>
    <t>▪ Start Performance Recording
▪ Check Circuit Information and Circuit Map Output on Screen</t>
  </si>
  <si>
    <t>▪ Circuit information and circuit map are displayed at the top of the video</t>
  </si>
  <si>
    <t>Circuit non-recognition</t>
  </si>
  <si>
    <t>▪ Start performance recording
▪ Circuit information and circuit map will not be displayed on the screen</t>
  </si>
  <si>
    <t>▪ Circuit information and circuit map video not displayed at the top</t>
  </si>
  <si>
    <t>[Performance Recording]
: BLTN_CAM_FD_HU_01_200ms
※ Applicable only to models equipped with performance specialization : CE1 KN</t>
  </si>
  <si>
    <t>[Performance Recording]
: BLTN_CAM_FD_HU_01_200ms</t>
  </si>
  <si>
    <t>Check if performance recording feature is supported</t>
  </si>
  <si>
    <t>▪ Check BLTN_CAM_BPR_Spprt_Info signal</t>
  </si>
  <si>
    <t>▪ If not supported,
BLTN_CAM_BPR_Spprt_Info = 0x0 (None) Not supported
▪ If supported,
BLTN_CAM_BPR_Spprt_Info = 0x1 (Supprot) Supported</t>
  </si>
  <si>
    <t>Check notification signals during performance recording</t>
  </si>
  <si>
    <t>▪ After entering N mode, touch the Performance Recording button</t>
  </si>
  <si>
    <t>▪ Start Performance Recording
▪ BLTN_CAM_Ind_Req = 0x8 (Built-in CAM Performance Recording)</t>
  </si>
  <si>
    <t>Check whether recording continues when exiting N mode during performance recording</t>
  </si>
  <si>
    <t>▪ Start performance recording after entering N Mode
▪ Move from N Mode to AVN screen</t>
  </si>
  <si>
    <t>▪ Performance recording will not be interrupted</t>
  </si>
  <si>
    <t>Check Performance Recording CCNC Indicator</t>
  </si>
  <si>
    <t>▪ Performance Recording in Progress
▪ Check the indicator at the top right of the AVN screen</t>
  </si>
  <si>
    <t>▪ Performance recording indicator displayed in the upper right corner of CCNC</t>
  </si>
  <si>
    <t>CE1 KN #7 버전
업데이트 이후</t>
  </si>
  <si>
    <t>Entering Built-in Cam Mode During Performance Recording</t>
  </si>
  <si>
    <t>▪ Start performance recording
▪ Touch the built-in cam screen entry button during recording</t>
  </si>
  <si>
    <t>▪ BLTN_CAM_HU_UI_Mode
  (0x0: HU UI Mode) → invalid → (0x2: Preparing BLTN_Mode)
→ invalid → (0x1: BLTN_CAM mode)</t>
  </si>
  <si>
    <t>Switch to parking recording during performance recording</t>
  </si>
  <si>
    <t>▪ Start Performance Recording
▪ KEY OFF</t>
  </si>
  <si>
    <t>▪ Parking recording will switch to</t>
  </si>
  <si>
    <t>Switch to motion recording during performance recording</t>
  </si>
  <si>
    <t>Motion recording will be switched on</t>
  </si>
  <si>
    <t>[Ultra-low Power Recording Settings]
: HU_BLTN_CAM_01_00ms (0x7E)</t>
  </si>
  <si>
    <t>Check if BLTN_CAM_Rec_LPE_NvalueSet is working</t>
  </si>
  <si>
    <t>▪ Check if the corresponding signal is active
- BLTN_CAM_Rec_LPE_NvalueSet (off, on)</t>
  </si>
  <si>
    <t>▪ Ultra-low power recording set based on the corresponding signal value</t>
  </si>
  <si>
    <t>과거차 문제</t>
  </si>
  <si>
    <t>[BLTN_CAM-Function-010] Power Bank Interconnection Function</t>
  </si>
  <si>
    <t>[Power Bank Recognition]
: Check GUI</t>
  </si>
  <si>
    <t>[Power Bank Recognition]: Check GUI</t>
  </si>
  <si>
    <t>Disconnect/Insert Auxiliary Battery Cable
- Verify access to the Parking Recording settings menu when inserting the auxiliary battery
- Check the instruction page when removing the auxiliary battery
- Check by AVN/Built-in Cam mode</t>
  </si>
  <si>
    <t>▪ Connect auxiliary battery cable
▪ Check parking recording settings and available recording time on the built-in cam main screen
▪ Check the recording ON/OFF setting menu in the recording settings
▪ Check the continuous parking recording time menu in the recording time settings
▪ Check the parking event sensitivity menu in the event detection sensitivity settings</t>
  </si>
  <si>
    <t>▪ Activate Parking Recording Settings Menu</t>
  </si>
  <si>
    <t>▪ Auxiliary battery removed
▪ Check parking recording settings and available recording time on the built-in cam main screen
▪ Check the recording ON/OFF setting menu in the recording settings
▪ Check the continuous parking recording time menu in the recording time settings
▪ Check the parking event sensitivity menu in the event detection sensitivity settings</t>
  </si>
  <si>
    <t>▪ Disable Parking Recording Settings Menu
※ 2.5th Generation Vehicles Keep Parking Recording Settings Menu Enabled</t>
  </si>
  <si>
    <t>▪ Auxiliary battery removed
▪ Built-in Cam Settings - Enter Menu
▪ Connect Auxiliary battery</t>
  </si>
  <si>
    <t>▪ Switch AVN modes
▪ Disconnect and reconnect the auxiliary battery cable
▪ Enter Built-in Cam mode and access the Park Recording menu</t>
  </si>
  <si>
    <t>Parking recording time setting</t>
  </si>
  <si>
    <t>▪ Built-in Cam Mode - Settings Menu - Record While Parked
▪ Quickly change settings from 2 to 20 hours</t>
  </si>
  <si>
    <t>▪ No operational issues when changing settings quickly</t>
  </si>
  <si>
    <t>[Power Bank Recognition]
: Check Signal</t>
  </si>
  <si>
    <t>[Power Bank Recognition] : Check Signal</t>
  </si>
  <si>
    <t>Remove/Insert auxiliary battery cable
- Check signal</t>
  </si>
  <si>
    <t>▪ Auxiliary battery installed (P-LBM specification) or eAGM specification
▪ Check BLTN_CAM_AuxBat_Conn_State signal</t>
  </si>
  <si>
    <t>▪ BLTN_CAM_AuxBat_Conn_State = 0x1: Park Mode Operation Available (Aux. Bat. is connected (P-LBM or B-LBM) or Low Voltage battery Use.)
- Installed in a vehicle capable of installing an auxiliary battery
- When using both P-LBM and eAGM simultaneously for parking recording, 0x1 is transmitted because parking recording can operate even if the P-LBM is not properly connected.
- eAGM Specification / eAGM + PLBM Specification / PLBM Specification</t>
  </si>
  <si>
    <t>▪ Auxiliary battery not installed
▪ Check BLTN_CAM_AuxBat_Conn_State signal</t>
  </si>
  <si>
    <t>▪ BLTN_CAM_AuxBat_Conn_State = 0x2: Auxiliary Battery is not connected. - Auxiliary Battery applicable on this vehicle model
- Vehicle model capable of installing an auxiliary battery, but currently not installed</t>
  </si>
  <si>
    <t>▪ Vehicle models not supporting parking recording
▪ Auxiliary battery not installed
▪ Check BLTN_CAM_AuxBat_Conn_State signal</t>
  </si>
  <si>
    <t>▪ BLTN_CAM_AuxBat_Conn_State = 0x3: Auxiliary Battery is not connected. – Auxiliary Battery not applicable on this vehicle model
- Not installed on vehicle models where auxiliary battery cannot be installed</t>
  </si>
  <si>
    <t>[Auxiliary Battery Power Switching Conditions]</t>
  </si>
  <si>
    <t>BAT_003</t>
  </si>
  <si>
    <t>Driving (ACC)</t>
  </si>
  <si>
    <t>▪ Check power supplied to the built-in cam (measure current)
: B+(pin. 1), Sub Bat Power(pin. 11)</t>
  </si>
  <si>
    <t>▪ Power supplied to the built-in cam
: Vehicle power, B+(pin. 1)</t>
  </si>
  <si>
    <t>Driving (IGN)</t>
  </si>
  <si>
    <t>Parking (before network sleep)</t>
  </si>
  <si>
    <t>▪ Network Alive Status
▪ Check Power Supply to Built-in Cam (Current Measurement)
: B+(pin. 1), Sub Bat Power(pin. 11)</t>
  </si>
  <si>
    <t>Parking (after network sleep)</t>
  </si>
  <si>
    <t>▪ Network Sleep State
▪ Check power supplied to built-in cam (current measurement)
: B+(pin. 1), Sub Bat Power(pin. 11)</t>
  </si>
  <si>
    <t>▪ Power supplied to the built-in cam
: Auxiliary battery power, Sub Bat Power (pin. 11)</t>
  </si>
  <si>
    <t>Parking (when waking up from network sleep state)</t>
  </si>
  <si>
    <t>▪ Check power supplied to the built-in cam (measure current)
: B+ (pin. 1), Sub Bat Power (pin. 11)
▪ Network Alive state → Sleep state → Alive state</t>
  </si>
  <si>
    <t>▪ Power supplied to the built-in cam
: Auxiliary battery power → Vehicle power, B+ → Auxiliary battery power (during network sleep)</t>
  </si>
  <si>
    <t>[Current Consumption During Recording]
&lt;Power Switching Conditions&gt;
- Before Sleep: Built-in Cam B+ Terminal
(Pin #18 based on 18-pin connector DN8)
- After Sleep: Auxiliary Battery
(Pin #1 of 4-pin auxiliary battery connector)</t>
  </si>
  <si>
    <t>BAT_004</t>
  </si>
  <si>
    <t>[Current Consumption During Recording]</t>
  </si>
  <si>
    <t>Auxiliary battery output current during driving recording</t>
  </si>
  <si>
    <t>▪ Measurement of auxiliary battery output current during continuous driving recording
※ Measured with auxiliary battery charged to 80% or higher</t>
  </si>
  <si>
    <t>▪ Power bank current consumption 0mA</t>
  </si>
  <si>
    <t>CAN Wake up
(e.g., when a customer operates the remote control while parked)</t>
  </si>
  <si>
    <t>IGN
↓
B+</t>
  </si>
  <si>
    <t>▪ Parking Recording in Progress
▪ Waiting to Enter Sleep
▪ Random CAN Signal Input (Wake Up)
▪ Built-in Cam B+ Input Current Measurement
▪ Waiting to Sleep
▪ Built-in Cam B+ Terminal Input Power Current Measurement</t>
  </si>
  <si>
    <t>▪ B+ Current consumption 2mA or less (using auxiliary battery power)</t>
  </si>
  <si>
    <t>[Event recording while using power bank]</t>
  </si>
  <si>
    <t>BAT_005</t>
  </si>
  <si>
    <t>Recording impact events while using power bank
- Maintaining power usage of power bank</t>
  </si>
  <si>
    <t>▪ Parking Recording in Progress
▪ Parking Event Notification Off
▪ Enter Sleep
▪ Impact Event Authorization</t>
  </si>
  <si>
    <t>▪ Maintain power from auxiliary battery
▪ FCAM_IND_Frequency = 1
▪ EVENT_SW_Frequency = 1</t>
  </si>
  <si>
    <t>Manual Event Recording While Using Power Bank
- Maintain Power Bank Power</t>
  </si>
  <si>
    <t>▪ Parking recording in progress
▪ Entering Sleep
▪ Manual event authorization</t>
  </si>
  <si>
    <t>[Removing/Reinserting Battery During Recording]
※ Implementation: Auxiliary battery reconnection standby time approx. 10 seconds
(Built-in cam B+ terminal used for 10 seconds)
↑ Not a defined specification, but implemented according to the above conditions</t>
  </si>
  <si>
    <t>BAT_006</t>
  </si>
  <si>
    <t>[Removing/Reinserting Battery During Recording]</t>
  </si>
  <si>
    <t>Alive status Built-in Cam B+ Power Input Cut Off</t>
  </si>
  <si>
    <t>▪ Check parking recording status</t>
  </si>
  <si>
    <t>▪ FCAM_IND_Frequency = 0.5
▪ FCAM_IND_Duty = 0.5
▪ EVENT_SW_IND = Turned On at approximately 10V</t>
  </si>
  <si>
    <t>▪ Confirm parking recording ends after disconnecting the Built-in Cam B+ power input</t>
  </si>
  <si>
    <t>▪ FCAM_IND_Frequency = 0
 ▪ EVENT_SW_IND = 0</t>
  </si>
  <si>
    <t>Remove auxiliary battery in Alive state</t>
  </si>
  <si>
    <t>▪ Parking recording in progress
▪ Auxiliary battery removed</t>
  </si>
  <si>
    <t>▪ Parking recording continues in Alive state
- Ends when entering Sleep mode</t>
  </si>
  <si>
    <t>Cut off power input to Built-in Cam B+ after Sleep</t>
  </si>
  <si>
    <t>▪ Parking recording in progress
▪ Standby until Sleep
▪ Built-in cam B+ power input cut off</t>
  </si>
  <si>
    <t>▪ Auxiliary battery power maintained
▪ Parking recording to be maintained, recording file normal</t>
  </si>
  <si>
    <t>Remove auxiliary battery after sleep</t>
  </si>
  <si>
    <t>▪ Parking recording in progress
▪ Standby until Sleep
▪ Remove auxiliary battery
▪ Check operation after 20 seconds</t>
  </si>
  <si>
    <t>▪ Use the built-in cam B+ terminal immediately after removal.
▪ Turn off the built-in cam after approximately 10 seconds.
※ There are no fixed specifications; this is based on DN8 operation.</t>
  </si>
  <si>
    <t>Immediately after an impact event occurs during parking recording, disconnect the auxiliary battery for 3 seconds and then reconnect it.</t>
  </si>
  <si>
    <t>▪ Recorded video will be saved normally, and the recording status will not terminate abnormally</t>
  </si>
  <si>
    <t>[BMS_OPERATION_CONTROL]
 :BAT_Charge_Control</t>
  </si>
  <si>
    <t>[Charge] BMS_OPERATION_CONTROL</t>
  </si>
  <si>
    <t>BAT_Charge_Control = 1: Start charging (ICE)</t>
  </si>
  <si>
    <t>▪ IGN ON state
▪ SMK_TrmnlCtrlGrpStaBDC) signal = Running(0x4) or
▪ SMK_TrmnlCtrlGrpStaBDCEV) signal = Ready(0x3) (from ME)</t>
  </si>
  <si>
    <t>▪ [LIN] BMS_OPERATION_CONTROL
- Send BAT_Charge_Control = 0x1 (Start charging) once</t>
  </si>
  <si>
    <t>▪ SMK_TrmnlCtrlGrpStaBDC = 1 :ACC</t>
  </si>
  <si>
    <t>▪ Driving Recording in Progress
- F/R-CAM_INDI = Flashing (Flashing Frequency: 0.5Hz)
- EVENT_SW_INDI = ON
- BLTN_CAM_RecSta_OWD = 0x1(Recoreding)</t>
  </si>
  <si>
    <t>▪ SMK_TrmnlCtrlGrpStaBDC = 2 :IGN</t>
  </si>
  <si>
    <t>▪ Driving recording in progress</t>
  </si>
  <si>
    <t>▪ SMK_TrmnlCtrlGrpStaBDC = 3 :Cranking</t>
  </si>
  <si>
    <t>▪ SMK_TrmnlCtrlGrpStaBDC = 4 :Engine Running</t>
  </si>
  <si>
    <t>SMK_TrmnlCtrlGrpStaBDCEV = 1: Power ON</t>
  </si>
  <si>
    <t>▪ SMK_TrmnlCtrlGrpStaBDCEV = 2 :Cranking</t>
  </si>
  <si>
    <t>▪ SMK_TrmnlCtrlGrpStaBDCEV = 3 :Ready</t>
  </si>
  <si>
    <t>BAT_Charge_Control = 0: Stop charging/discharging (Stop charging)</t>
  </si>
  <si>
    <t>▪ IGN ON State
▪ Engine Status (SMK_TrmnlCtrlGrpStaBDC) Signal = Running(0x4) → 0x0(Off)
or ▪ SMK_TrmnlCtrlGrpStaBDCEV) Signal = Ready(0x3) → 0x0(Off)</t>
  </si>
  <si>
    <t>▪ [LIN] BMS_OPERATION_CONTROL
- Send BAT_Charge_Control = 0x0 (Stop charging/discharging) once</t>
  </si>
  <si>
    <t>BAT_Charge_Control = 2: Start discharging</t>
  </si>
  <si>
    <t>▪ ACC &amp; IGN OFF
▪ Enter Sleep during Parking Recording</t>
  </si>
  <si>
    <t>▪ [LIN] BMS_OPERATION_CONTROL
- Send BAT_Charge_Control = 0x2 (Start Discharging) once
▪ Switch to auxiliary battery power</t>
  </si>
  <si>
    <t>BAT_Charge_Control = 0: Stop charging/discharging (stop discharging)</t>
  </si>
  <si>
    <t>▪ ACC &amp; IGN ON</t>
  </si>
  <si>
    <t>▪ [LIN] BMS_OPERATION_CONTROL
- Send BAT_Charge_Control = 0x0 (Stop charging/discharging) once
▪ Switch to auxiliary battery power</t>
  </si>
  <si>
    <t>[BMS_OPERATION_CONTROL]
 :BAT_Discharging_Time</t>
  </si>
  <si>
    <t>BAT_Discharge_Time = 0 ~ 254 (Battery discharge time setting)</t>
  </si>
  <si>
    <t>▪ Comparison of Set Recording Time and Battery Discharge Time
※ You must compare the two signals by turning the KEY OFF while the auxiliary battery is charging to update the Operable Time.</t>
  </si>
  <si>
    <t>▪ Matches the set recording time
Ex) Even if Operable Time becomes -1 when entering Sleep, this signal must transmit the actual recording time. (Not the same as the Operable Time signal)</t>
  </si>
  <si>
    <t>과거차문제PASTI-352
주차 녹화 조기 종료 현상 개선</t>
  </si>
  <si>
    <t>[BMS_OPERATION_CONTROL]
 :Key_On_Off_Info</t>
  </si>
  <si>
    <t>Key_On_Off_Info = 0 : ACC OFF</t>
  </si>
  <si>
    <t>▪ ACC &amp; IGN OFF
▪ Check ACC ON/OFF information signal</t>
  </si>
  <si>
    <t>▪ ACC ON/OFF information signal at discharge point Key_On_Off_Info = 0 : Transmit ACC OFF</t>
  </si>
  <si>
    <t>Key_On_Off_Info = 1 : ACC ON</t>
  </si>
  <si>
    <t>▪ Check ACC ON/OFF information signal</t>
  </si>
  <si>
    <t>▪ ACC ON/OFF information signal at discharge point Key_On_Off_Info = 1 : Transmit ACC ON</t>
  </si>
  <si>
    <t>[Fail Safety]</t>
  </si>
  <si>
    <t>BAT_008</t>
  </si>
  <si>
    <t>Maintain Auxiliary Battery Status = 0x0 (Standby) at the time of discharge</t>
  </si>
  <si>
    <t>▪ [LIN] Enter BMS_INFO_03 - BAT_Status = 0x0
▪ Open auxiliary battery LIN line, CANoe and built-in cam connected 1:1 (genuine authentication maintained)
▪ Enter communication sleep after turning KEY OFF</t>
  </si>
  <si>
    <t>▪ Check the following signal when switching to auxiliary battery mode upon entering sleep
▪ [LIN] BMS_OPERATION_CONTROL
- BAT_Charge_Control = 0x2 (Discharge start) Transmit 10 times (may transmit fewer than 10 times)</t>
  </si>
  <si>
    <t>Request to stop activation when deactivating after KEY OFF</t>
  </si>
  <si>
    <t>▪ Open the auxiliary battery LIN line after turning the key off</t>
  </si>
  <si>
    <t>▪ [LIN] BMS_OPERATION_CONTROL
- Send BAT_Charge_Control = 0x0(Stop charging/discharging)</t>
  </si>
  <si>
    <t>[Emergency Power Cut-off Logic]</t>
  </si>
  <si>
    <t>BAT_009</t>
  </si>
  <si>
    <t>[Emergency Forced Power Shut-off Logic]</t>
  </si>
  <si>
    <t>Received Emergency Forced Power Cut Warning Signal During Parking Recording
- 0x0 (NoWarning): Vehicle power usage maintained
- 0x1 (Warning): Power switch to auxiliary battery
- 0x2 (Not Used): Vehicle power usage maintained
- 0x3 (Invalid): Vehicle power usage maintained</t>
  </si>
  <si>
    <t>▪ Parking recording starts with KEY OFF
▪ [ICU_11_1000ms]
Received ICU_BattAutoCutPreWrng = 0x0(NoWarning)</t>
  </si>
  <si>
    <t>▪ Maintain vehicle power usage, maintain continuous parking recording</t>
  </si>
  <si>
    <t>▪ Turn KEY OFF to start parking recording
▪ [ICU_11_1000ms]
Received ICU_BattAutoCutPreWrng = 0x1(Warning) (after 5 seconds)</t>
  </si>
  <si>
    <t>▪ [LIN] BMS_OPERATION_CONTROL
- BAT_Charge_Control = 0x2 (Start Discharge) Transmit 1 time
▪ Switch to auxiliary battery power
▪ Maintain continuous parking recording
※ In Network Alive state, the B+ dark current 2mA specification is irrelevant.</t>
  </si>
  <si>
    <t>▪ Turn KEY OFF to start parking recording
▪ [ICU_11_1000ms]
Receive ICU_BattAutoCutPreWrng = 0x2(Not Used)</t>
  </si>
  <si>
    <t>▪ Maintain vehicle power usage
▪ Maintain continuous parking recording</t>
  </si>
  <si>
    <t>▪ Turn KEY OFF to start parking recording
▪ [ICU_11_1000ms]
Received ICU_BattAutoCutPreWrng = 0x3(Invalid)</t>
  </si>
  <si>
    <t>Received Emergency Forced Power Cut Warning Signal During Parking Recording
- Confirm Sleep Entry After Received</t>
  </si>
  <si>
    <t>▪ Parking recording proceeds with KEY OFF
▪ [ICU_11_1000ms]
Received ICU_BattAutoCutPreWrng = 0x1(Warning)
▪ CAN Sleep or Ethernet Link Down</t>
  </si>
  <si>
    <t>▪ [LIN] BMS_OPERATION_CONTROL
- BAT_Charge_Control = 0x2 (Start Discharge) Transmit 1 time
▪ Switch to auxiliary battery power
▪ Maintain continuous parking recording
▪ B+ dark current less than 2mA
▪ Resume parking recording after reboot</t>
  </si>
  <si>
    <t>Received Emergency Forced Power Cut Warning Signal During Parking Recording
- Received 0x1 (Warning) for 5 seconds, then time out
- Received 0x1 (Warning) for 5 seconds, then 0x0 (NoWarning)</t>
  </si>
  <si>
    <t>▪ Turn KEY OFF to start parking recording
▪ [ICU_11_1000ms]
Received ICU_BattAutoCutPreWrng = 0x1(Warning) (5 seconds)
▪ [ICU_11_1000ms] time out</t>
  </si>
  <si>
    <t>▪ [LIN] BMS_OPERATION_CONTROL
- BAT_Charge_Control = 0x2 (Start Discharge) Transmit 1 time
▪ Switch to auxiliary battery power
▪ Maintain continuous parking recording
▪ B+ dark current less than 2mA</t>
  </si>
  <si>
    <t>▪ Parking recording starts with KEY OFF
▪ [ICU_11_1000ms]
Received ICU_BattAutoCutPreWrng = 0x1 (Warning) (5 sec)
▪ [ICU_11_1000ms]
Received ICU_BattAutoCutPreWrng = 0x0 (NoWarning)
▪ Network Sleep</t>
  </si>
  <si>
    <t>Received Emergency Forced Power Cut-off Warning Signal During Driving Recording
- ACC: Maintain Vehicle Power
- IGN: Maintain Vehicle Power</t>
  </si>
  <si>
    <t>▪ Driving recording in progress
▪ [ICU_11_1000ms]
Received ICU_BattAutoCutPreWrng = 0x1(Warning)</t>
  </si>
  <si>
    <t>▪ Maintain vehicle power usage
▪ Maintain continuous driving recording</t>
  </si>
  <si>
    <t>Receiving emergency forced power cutoff warning signal
- Checking parking event recording operation
- Checking text notification function operation</t>
  </si>
  <si>
    <t>▪ Parking recording starts with KEY OFF
▪ [ICU_11_1000ms]
Received ICU_BattAutoCutPreWrng = 0x1(Warning)
▪ Enable impact event and manual event</t>
  </si>
  <si>
    <t>▪ Turn KEY ON to check recording files
- Continuous parking, impact/manual event recording files generated</t>
  </si>
  <si>
    <t>▪ Parking Recording in Progress
▪ [ICU_11_1000ms]
Received ICU_BattAutoCutPreWrng = 0x1(Warning)
▪ 6 impact events occurred after switching power to auxiliary battery</t>
  </si>
  <si>
    <t>▪ [LIN] BMS_OPERATION_CONTROL
- BAT_Charge_Control = 0x2 (Discharge Start) transmitted 1 time
▪ Switched to auxiliary battery power
▪ Parking notification function operated normally (5 times)
- Notification function did not operate on the 6th attempt</t>
  </si>
  <si>
    <t>[Current consumption after recording ends]</t>
  </si>
  <si>
    <t>BAT_010</t>
  </si>
  <si>
    <t>B+ Current Measurement</t>
  </si>
  <si>
    <t>▪ Start parking recording
▪ Check B+ terminal input current after parking recording ends</t>
  </si>
  <si>
    <t>▪ B+ Current consumption (0.5mA or less)</t>
  </si>
  <si>
    <t>Measure auxiliary battery output current after recording ends</t>
  </si>
  <si>
    <t>▪ Start parking recording
▪ Check auxiliary battery output current after parking recording ends</t>
  </si>
  <si>
    <t>[Auxiliary Battery Remaining Capacity Display] NCM Battery
: 0 ~ 20Hr Error Range ±1%
&lt;P-LBM, 30AH, 11V, 540mA@12V&gt;
2nd Generation: GN7, GN7 HEV, SX2, SX2 HEV, DN8 PE, MQ4 PE, MQ4 PE HEV, KA4 PE, KA4 PE HEV, NX4 PE, NX4 PE HEV, MX5, MX5 HEV, JK1 PE, JX1 PE/SB, GL3 PE, GL3 PE HEV, NQ5 PE, DL3 PE, DL3 PE HEV, RG3 PE
2.5th Generation: SG2 PE, LX3, LX3 HEV, US4 PE, US4 PE HEV, SP3
&lt;P-LBM, 20AH, 11V, 540mA@12V&gt;
(SoC Table (Identical to 30AH)
2nd Generation: RG3 PE EV, JK1 PE EV, etc.
2.5th Generation: JW1 PE</t>
  </si>
  <si>
    <t>BAT_011</t>
  </si>
  <si>
    <t>[Auxiliary Battery Remaining Capacity Display] NCM Battery (Sub Battery Pin Input)</t>
  </si>
  <si>
    <t>Parking recording duration: 0 hours</t>
  </si>
  <si>
    <t>▪ BAT_SOC = 0~4%, BAT_Type, BAT_Capa = Capacity corresponding to vehicle model</t>
  </si>
  <si>
    <t>▪ BLTN_CAM_Prk_Oprable_Time = 0x0(0Hr)</t>
  </si>
  <si>
    <t>Parking recording duration: 1 hour</t>
  </si>
  <si>
    <t>▪ BAT_SOC = 5~9%, BAT_Type, BAT_Capa Vehicle Model Corresponding Capacity</t>
  </si>
  <si>
    <t>▪ BLTN_CAM_Prk_Oprable_Time = 0x1(1Hr)</t>
  </si>
  <si>
    <t>Parking recording duration: 2 hours</t>
  </si>
  <si>
    <t>▪ BAT_SOC = 10~14%, BAT_Type, BAT_Capa Vehicle Model Corresponding Capacity</t>
  </si>
  <si>
    <t>▪ BLTN_CAM_Prk_Oprable_Time = 0x2(2Hr)</t>
  </si>
  <si>
    <t>Parking recording duration: 3 hours</t>
  </si>
  <si>
    <t>▪ BAT_SOC = 15~19%, BAT_Type, BAT_Capa Vehicle Model Corresponding Capacity</t>
  </si>
  <si>
    <t>▪ BLTN_CAM_Prk_Oprable_Time = 0x3(3Hr)</t>
  </si>
  <si>
    <t>Parking recording duration: 4 hours</t>
  </si>
  <si>
    <t>▪ BAT_SOC = 20~24%, BAT_Type, BAT_Capa Vehicle Model Corresponding Capacity</t>
  </si>
  <si>
    <t>▪ BLTN_CAM_Prk_Oprable_Time = 0x4(4Hr)</t>
  </si>
  <si>
    <t>Parking recording duration: 5 hours</t>
  </si>
  <si>
    <t>▪ BAT_SOC = 25~29%, BAT_Type, BAT_Capa Vehicle Model Corresponding Capacity</t>
  </si>
  <si>
    <t>▪ BLTN_CAM_Prk_Oprable_Time = 0x5(5Hr)</t>
  </si>
  <si>
    <t>Parking recording duration: 6 hours</t>
  </si>
  <si>
    <t>▪ BAT_SOC = 30~34%, BAT_Type, BAT_Capa Vehicle Model Corresponding Capacity</t>
  </si>
  <si>
    <t>▪ BLTN_CAM_Prk_Oprable_Time = 0x6(6Hr)</t>
  </si>
  <si>
    <t>Parking recording duration: 7 hours</t>
  </si>
  <si>
    <t>▪ BAT_SOC = 35~39%, BAT_Type, BAT_Capa Vehicle Model Corresponding Capacity</t>
  </si>
  <si>
    <t>▪ BLTN_CAM_Prk_Oprable_Time = 0x7(7Hr)</t>
  </si>
  <si>
    <t>Parking recording duration: 8 hours</t>
  </si>
  <si>
    <t>▪ BAT_SOC = 40~44%, BAT_Type, BAT_Capa Vehicle Model Corresponding Capacity</t>
  </si>
  <si>
    <t>▪ BLTN_CAM_Prk_Oprable_Time = 0x8(8Hr)</t>
  </si>
  <si>
    <t>Parking recording duration: 9 hours</t>
  </si>
  <si>
    <t>▪ BAT_SOC = 45~49%, BAT_Type, BAT_Capa Vehicle Model Corresponding Capacity</t>
  </si>
  <si>
    <t>▪ BLTN_CAM_Prk_Oprable_Time = 0x9(9Hr)</t>
  </si>
  <si>
    <t>Parking recording duration: 10 hours</t>
  </si>
  <si>
    <t>▪ BAT_SOC = 50~53%, BAT_Type, BAT_Capa Vehicle Model Corresponding Capacity</t>
  </si>
  <si>
    <t>▪ BLTN_CAM_Prk_Oprable_Time = 0xA(10Hr)</t>
  </si>
  <si>
    <t>Parking recording duration: 11 hours</t>
  </si>
  <si>
    <t>▪ BAT_SOC = 54~58%, BAT_Type, BAT_Capa Vehicle Model Corresponding Capacity</t>
  </si>
  <si>
    <t>▪ BLTN_CAM_Prk_Oprable_Time = 0xB(11Hr)</t>
  </si>
  <si>
    <t>Parking recording duration: 12 hours</t>
  </si>
  <si>
    <t>▪ BAT_SOC = 59~63%, BAT_Type, BAT_Capa Vehicle Model Corresponding Capacity</t>
  </si>
  <si>
    <t>▪ BLTN_CAM_Prk_Oprable_Time = 0xC(12Hr)</t>
  </si>
  <si>
    <t>Parking recording duration: 13 hours</t>
  </si>
  <si>
    <t>▪ BAT_SOC = 64~68%, BAT_Type, BAT_Capa Vehicle Model Corresponding Capacity</t>
  </si>
  <si>
    <t>▪ BLTN_CAM_Prk_Oprable_Time = 0xD(13Hr)</t>
  </si>
  <si>
    <t>Parking recording duration: 14 hours</t>
  </si>
  <si>
    <t>▪ BAT_SOC = 69~73%, BAT_Type, BAT_Capa Vehicle Model Corresponding Capacity</t>
  </si>
  <si>
    <t>▪ BLTN_CAM_Prk_Oprable_Time = 0xE(14Hr)</t>
  </si>
  <si>
    <t>Parking recording duration: 15 hours</t>
  </si>
  <si>
    <t>▪ BAT_SOC = 74~78% , BAT_Type, BAT_Capa Vehicle Model Corresponding Capacity</t>
  </si>
  <si>
    <t>▪ BLTN_CAM_Prk_Oprable_Time = 0xF(15Hr)</t>
  </si>
  <si>
    <t>Parking recording duration: 16 hours</t>
  </si>
  <si>
    <t>▪ BAT_SOC = 79~83%, BAT_Type, BAT_Capa Vehicle Model Corresponding Capacity</t>
  </si>
  <si>
    <t>▪ BLTN_CAM_Prk_Oprable_Time = 0x10(16Hr)</t>
  </si>
  <si>
    <t>Parking recording duration: 17 hours</t>
  </si>
  <si>
    <t>▪ BAT_SOC = 84~88%, BAT_Type, BAT_Capa Vehicle Model Corresponding Capacity</t>
  </si>
  <si>
    <t>▪ BLTN_CAM_Prk_Oprable_Time = 0x11(17Hr)</t>
  </si>
  <si>
    <t>Parking recording duration: 18 hours</t>
  </si>
  <si>
    <t>▪ BAT_SOC = 89~93%, BAT_Type, BAT_Capa Vehicle Model Corresponding Capacity</t>
  </si>
  <si>
    <t>▪ BLTN_CAM_Prk_Oprable_Time = 0x12(18Hr)</t>
  </si>
  <si>
    <t>Parking recording duration: 19 hours</t>
  </si>
  <si>
    <t>▪ BAT_SOC = 94~98%, BAT_Type, BAT_Capa Vehicle Model Corresponding Capacity</t>
  </si>
  <si>
    <t>▪ BLTN_CAM_Prk_Oprable_Time = 0x13(19Hr)</t>
  </si>
  <si>
    <t>Parking recording duration: 20 hours</t>
  </si>
  <si>
    <t>▪ BAT_SOC = 99~%, BAT_Type, BAT_Capa Vehicle Model Corresponding Capacity</t>
  </si>
  <si>
    <t>▪ BLTN_CAM_Prk_Oprable_Time = 0x14(20Hr)</t>
  </si>
  <si>
    <t>When SoC = 0xFF is entered</t>
  </si>
  <si>
    <t>▪ BAT_SOC signal(0xFF)</t>
  </si>
  <si>
    <t>[July 2023 Update]
Changed to calculate and update the built-in cam’s ‘available parking recording time’ when checking vehicle status via the CCS app during parking recording.</t>
  </si>
  <si>
    <t>BAT_012</t>
  </si>
  <si>
    <t>[July 2023 Business Update] Recording time available during parking recording updated</t>
  </si>
  <si>
    <t>Decrease if more than 1 hour remains</t>
  </si>
  <si>
    <t>▪ Start 20-hour weekly recording
▪ Randomly wake up the network every hour (using CANoe CAPL)
▪ Check weekly recording availability time (BLTN_CAM_Prk_Oprable_Time) and then check for sleep.</t>
  </si>
  <si>
    <t>▪ Updates and outputs the current remaining recording time upon Wake Up
: BLTN_CAM_Prk_Oprable_Time = Remaining Time (rounded down to the nearest hour)</t>
  </si>
  <si>
    <t>Round up if less than 1 hour remains</t>
  </si>
  <si>
    <t>↑ Continue by checking when there are 59 minutes remaining</t>
  </si>
  <si>
    <t>▪ BLTN_CAM_Prk_Oprable_Time = 1 Hr</t>
  </si>
  <si>
    <t>Round up if less than 1 hour remains (2)</t>
  </si>
  <si>
    <t>▪ Always off while parked, Parking Event on
▪ Set recording time while parked to 1 hour → ICU_BS2SoC = 70
▪ Can WAKE UP after entering SLEEP by turning KEY OFF</t>
  </si>
  <si>
    <t>Check remaining recording time via the BlueLink app during parking recording
(Remaining time excluding elapsed time) Applicable starting with MQ4 FL + OTA update applied to mass-produced vehicles (Official launch in July 2023)</t>
  </si>
  <si>
    <t>[BLTN_CAM_STAT_PE_00_200ms] BLTN_CAM_Prk_Oprable_Time - CCS function</t>
  </si>
  <si>
    <t>Operable time updated upon network wake-up during parking recording</t>
  </si>
  <si>
    <t>▪ Start continuous parking recording (capable of recording for 2 hours or more)
▪ Network Wake-up by inputting a CAN signal after CAN Sleep
▪ Check BLTN_CAM_Prk_Oprable_Time signal value</t>
  </si>
  <si>
    <t>▪ Output the BLTN_CAM_Prk_Oprable_Time value as is at the time of KEY OFF.</t>
  </si>
  <si>
    <t>Operable time updated upon Network Wake-up during parking recording (after 1 hour)</t>
  </si>
  <si>
    <t>▪ Start continuous parking recording (capable of recording for 2 hours or more)
▪ Network Wake-up by inputting an arbitrary CAN signal after 1 hour of recording
▪ Check BLTN_CAM_Prk_Oprable_Time signal value</t>
  </si>
  <si>
    <t>▪ Output the value of BLTN_CAM_Prk_Oprable_Time minus 1 hour at the time of KEY OFF.</t>
  </si>
  <si>
    <t>Operable time updated upon network wake-up after parking recording is complete</t>
  </si>
  <si>
    <t>▪ Start continuous parking recording (capable of recording for 2 hours or more)
▪ Network Wake-up by inputting an arbitrary CAN signal after 1 hour of recording is complete
▪ Check BLTN_CAM_Prk_Oprable_Time signal value</t>
  </si>
  <si>
    <t>▪ BLTN_CAM_Prk_Oprable_Time = 1 Hr output</t>
  </si>
  <si>
    <t>Improved output specifications for recording time while running</t>
  </si>
  <si>
    <t>Check available parking recording time via the CCS app
- Continuous parking recording</t>
  </si>
  <si>
    <t>▪ Start continuous recording for 2 hours
▪ Network Wake-up by inputting an arbitrary CAN signal after completing recording for 1 hour or more
▪ Check BLTN_CAM_Prk_Oprable_Time signal value</t>
  </si>
  <si>
    <t>▪ Output BLTN_CAM_Prk_Oprable_Time = 0x1
(Specification: 1 second ~ 1 hour 59 minutes 59 seconds → 1 hour output)</t>
  </si>
  <si>
    <t>▪ Check the BLTN_CAM_Prk_Oprable_Time signal value after completing 2 hours of parking recording.</t>
  </si>
  <si>
    <t>▪ BLTN_CAM_Prk_Oprable_Time = 0x0 output
(Specification: 0 seconds (recording ends) → 0 hours output)</t>
  </si>
  <si>
    <t>Check available parking recording time via CCS app
- Parking motion recording</t>
  </si>
  <si>
    <t>▪ Start parking motion recording
▪ Network Wake-up by inputting an arbitrary CAN signal after recording for 1 hour or more is complete
▪ Check BLTN_CAM_Prk_Oprable_Time signal value</t>
  </si>
  <si>
    <t>▪ Check BLTN_CAM_Prk_Oprable_Time signal value after 2 hours of parking recording</t>
  </si>
  <si>
    <t>Conditions for parking recording not to operate</t>
  </si>
  <si>
    <t>[BLTN_CAM_STAT_PE_00_200ms] BLTN_CAM_Prk_Oprable_Time(When auxiliary battery is not installed)</t>
  </si>
  <si>
    <t>Parking operation not set by user settings
(Auxiliary battery is connected)</t>
  </si>
  <si>
    <t>▪ Turn off Parking Continuous and Event Recording Settings</t>
  </si>
  <si>
    <t>▪ BLTN_CAM_Prk_Oprable_Time = Output recording time (not 0xFC)</t>
  </si>
  <si>
    <t>The built-in cam does not have an auxiliary battery, so it does not operate while parked. (This vehicle is capable of connecting an auxiliary battery.)</t>
  </si>
  <si>
    <t>▪ When removing the auxiliary battery</t>
  </si>
  <si>
    <t>▪ BLTN_CAM_Prk_Oprable_Time = 0xFD (Parking recording menu disabled)
&lt;2.5th Generation&gt;
▪ BLTN_CAM_Prk_Oprable_Time = 0x00 (Parking recording menu enabled)
&lt;Vehicles equipped with PLBM+EAGM&gt;
▪ BLTN_CAM_Prk_Oprable_Time = 120 hr</t>
  </si>
  <si>
    <t>This model is not equipped with a built-in cam auxiliary battery, so it does not have the parking operation function. (This model does not support auxiliary battery connection.)</t>
  </si>
  <si>
    <t>▪ Vehicle models that do not support auxiliary batteries</t>
  </si>
  <si>
    <t>▪ BLTN_CAM_Prk_Oprable_Time = 0xFE</t>
  </si>
  <si>
    <t>BLTN_CAM_Prk_Oprable_Time_Max Output Value Check (MAX) Time</t>
  </si>
  <si>
    <t>▪ Check BLTN_CAM_Prk_Oprable_Time_Max value</t>
  </si>
  <si>
    <t>▪ BLTN_CAM_Prk_Oprable_Time_Max = 0x14(20Hr)
: Constant value</t>
  </si>
  <si>
    <t>Check BLTN_CAM_Prk_Oprable_Time_Max output value (not set)</t>
  </si>
  <si>
    <t>Check BLTN_CAM_Prk_Oprable_Time_Max output value (not installed)</t>
  </si>
  <si>
    <t>▪ BLTN_CAM_Prk_Oprable_Time_Max = 0xFD</t>
  </si>
  <si>
    <t>Check BLTN_CAM_Prk_Oprable_Time_Max output value (not applied)</t>
  </si>
  <si>
    <t>▪ BLTN_CAM_Prk_Oprable_Time_Max = 0xFE</t>
  </si>
  <si>
    <t>Check BLTN_CAM_Prk_Oprable_Time_Max output value (120 hours - always-on setting)</t>
  </si>
  <si>
    <t>▪ Set parking recording time to 10–120 hours and check the signal below
▪ Check the BLTN_CAM_Prk_Oprable_Time_Max value</t>
  </si>
  <si>
    <t>▪ BLTN_CAM_Prk_Oprable_Time_Max = 0x78(120Hr) Fixed</t>
  </si>
  <si>
    <t>[Auxiliary Battery Level Display] (3)
: Key Reset</t>
  </si>
  <si>
    <t>BAT_017</t>
  </si>
  <si>
    <t>[Auxiliary Battery Level Display] : Key Reset</t>
  </si>
  <si>
    <t>Verify normal output after resetting the parking time key</t>
  </si>
  <si>
    <t>IGN
→B+
→IGN</t>
  </si>
  <si>
    <t>▪ KEY RESET
▪ Check if BLTN_CAM_Prk_Oprable_Time signal is updated based on BAT_SOC input value</t>
  </si>
  <si>
    <t>BLTN_CAM_Prk_Oprable_Time updated based on BAT_SOC input value</t>
  </si>
  <si>
    <t>[LIN Disable when Pack Voltage is Low]
※ Specification: Communication is suspended in ACC state
BAT_Volt irrelevant when IGN is ON</t>
  </si>
  <si>
    <t>[LIN Disable when Pack Voltage is Low]</t>
  </si>
  <si>
    <t>Normal range of auxiliary battery pack voltage from ACC power</t>
  </si>
  <si>
    <t>▪ [LIN] BMS_INFO_02 - BAT_Vlot = 8.9V input</t>
  </si>
  <si>
    <t>▪ Maintain LIN communication</t>
  </si>
  <si>
    <t>Low voltage of auxiliary battery pack from ACC power</t>
  </si>
  <si>
    <t>▪ [LIN] BMS_INFO_02 - BAT_Vlot = 8.5V input</t>
  </si>
  <si>
    <t>▪ Disable LIN communication (parking recording does not need to be disabled)</t>
  </si>
  <si>
    <t>Returning auxiliary battery pack voltage to normal from ACC power</t>
  </si>
  <si>
    <t>▪ [LIN] BMS_INFO_02 - BAT_Vlot = 8.9V Input
▪ ACC RESET</t>
  </si>
  <si>
    <t>▪ Resumption of LIN communication</t>
  </si>
  <si>
    <t>Normal range of auxiliary battery pack voltage from IGN power</t>
  </si>
  <si>
    <t>Low voltage of auxiliary battery pack from IGN power</t>
  </si>
  <si>
    <t>▪ [LIN] BMS_INFO_02 - BAT_Vlot = 8.8V input</t>
  </si>
  <si>
    <t>Returning the auxiliary battery pack voltage to normal voltage from the IGN power supply</t>
  </si>
  <si>
    <t>[Malicious Performance]
: Switching to Power Bank Usage
**Malicious Performance]</t>
  </si>
  <si>
    <t>[Conditions of Evil] Switching to using a portable battery</t>
  </si>
  <si>
    <t>Repeat CAN WakeUp during parking recording</t>
  </si>
  <si>
    <t>▪ Repeat CAN WakeUp during parking recording - Send message 10 times at 10-second intervals</t>
  </si>
  <si>
    <t>▪ Enter Sleep mode after switching between auxiliary battery and vehicle battery
- Do not use vehicle power after Sleep mode.</t>
  </si>
  <si>
    <t>Repeat KEY ON/OFF during parking recording
- Button start type</t>
  </si>
  <si>
    <t>B+ → ACC
→ IGN</t>
  </si>
  <si>
    <t>▪ Verify that the device enters Sleep mode after power wake-up during parking recording
- Repeat 5 times at 10-second intervals in the order of B+ → ACC → IGN</t>
  </si>
  <si>
    <t>Repeat KEY ON/OFF during Parking Recording
- Key Type</t>
  </si>
  <si>
    <t>B+ ↔ ACC</t>
  </si>
  <si>
    <t>▪ Verify that the device enters Sleep mode after power wake-up during parking recording
- Repeat 5 times at 10-second intervals in the order of B+ ↔ ACC</t>
  </si>
  <si>
    <t>Repeat CAN WakeUp during Parking Motion Recording</t>
  </si>
  <si>
    <t>▪ Repeat CAN WakeUp during Parking Motion Recording - Send message 10 times at 10-second intervals</t>
  </si>
  <si>
    <t>Repeat KEY ON/OFF during parking motion recording
- Button start type</t>
  </si>
  <si>
    <t>▪ Verify that the device enters Sleep mode after power wake-up during Parking Motion Recording
- Repeat 5 times at 10-second intervals in the order of B+ → ACC → IGN</t>
  </si>
  <si>
    <t>Repeat KEY ON/OFF during Parking Motion Recording
- Key Type</t>
  </si>
  <si>
    <t>▪ Verify that the device enters Sleep mode after power wake-up during parking motion recording
- Repeat 5 times at 10-second intervals in the order of B+ ↔ ACC</t>
  </si>
  <si>
    <t>[Malicious Performance]
: Power Bank LIN Communication Error
**Malicious Performance]</t>
  </si>
  <si>
    <t>Disconnecting LIN communication during parking recording
- DATA LINE</t>
  </si>
  <si>
    <t>▪ Disconnect LIN DATA LINE during parking recording</t>
  </si>
  <si>
    <t>▪ Dark Current Condition Satisfied
: 0.5mA↓ when parking recording is not operating (2mA↓ when operating)</t>
  </si>
  <si>
    <t>Disconnect LIN communication during parking recording
- LIN GND</t>
  </si>
  <si>
    <t>▪ Disconnect LIN GND LINE during parking recording</t>
  </si>
  <si>
    <t>Disconnect LIN communication during parking recording
- LIN DATA &amp; GND = Short</t>
  </si>
  <si>
    <t>▪ LIN DATA &amp; GND LINE short circuit during parking recording</t>
  </si>
  <si>
    <t>Disconnect LIN communication during parking recording
- DATA LINE
- CAN WAKEUP</t>
  </si>
  <si>
    <t>▪ Disconnect LIN DATA LINE during parking recording
▪ CAN WAKE UP</t>
  </si>
  <si>
    <t>Disconnect LIN communication during parking recording
- LIN GND
- CAN WAKEUP</t>
  </si>
  <si>
    <t>▪ Disconnect LIN GND LINE during parking recording
▪ CAN WAKE UP</t>
  </si>
  <si>
    <t>LIN communication disconnected during parking recording
- LIN DATA &amp; GND = Short
- CAN WAKEUP</t>
  </si>
  <si>
    <t>▪ LIN DATA &amp; GND LINE Short Circuit During Parking Recording
▪ CAN WAKE UP</t>
  </si>
  <si>
    <t>Disconnect LIN communication during parking motion recording
- DATA LINE</t>
  </si>
  <si>
    <t>Disconnect LIN communication during parking motion recording
- LIN GND</t>
  </si>
  <si>
    <t>Disconnect LIN communication during parking motion recording
- LIN DATA &amp; GND = Short</t>
  </si>
  <si>
    <t>▪ LIN DATA &amp; GND LINE Short Circuit During Parking Recording
▪ LIN WAKEUP</t>
  </si>
  <si>
    <t>Disconnect LIN communication during parking motion recording
- DATA LINE
- CAN WAKEUP</t>
  </si>
  <si>
    <t>Disconnect LIN communication during parking motion recording
- LIN GND
- CAN WAKEUP</t>
  </si>
  <si>
    <t>LIN communication disconnected during parking motion recording
- LIN DATA &amp; GND = Short
- CAN WAKEUP</t>
  </si>
  <si>
    <t>[Diagnostic Read Sub Batt State Service]</t>
  </si>
  <si>
    <t>BAT_020</t>
  </si>
  <si>
    <t>[Diagnostic Read OEM Sub Battery State Service]</t>
  </si>
  <si>
    <t>▪ Diagnostic Service (3) Check related test cases in the Manual Verification tab</t>
  </si>
  <si>
    <t>▪ All applicable test cases found no issues</t>
  </si>
  <si>
    <t>[LIN] BMS_CERTI_CHECK</t>
  </si>
  <si>
    <t>BAT_021</t>
  </si>
  <si>
    <t>BMS_CERTI_CHECK(Power Bank Authenticity Verification)</t>
  </si>
  <si>
    <t>▪ [LIN] Check BMS_CERTI_CHECK message
▪ [Diagnostic] Request 22 A2 20 (Read OEM Sub Battery State Read)</t>
  </si>
  <si>
    <t>▪ When this message is received, the product is authenticated and the power bank is recognized.
▪ BMS Certify Info = 0x01</t>
  </si>
  <si>
    <t>과거차문제
PASTI-313
진단 서비스 - 센서/보조배터리 데이터 미송신 개선
(#1821)</t>
  </si>
  <si>
    <t>BAT_022</t>
  </si>
  <si>
    <t>BAT_Cell_Type(Battery Type) : 0(LFP), 1(NCM/NCA), 2(LTO), 3(Pb)</t>
  </si>
  <si>
    <t>▪ [LIN] Check BMS_INFO_01 message
▪ [Diagnosis] Request 22 A2 20 (Read OEM Sub Battery State Read)</t>
  </si>
  <si>
    <t>▪ LIN signal matches diagnostic read value</t>
  </si>
  <si>
    <t>BAT_Option_Type: 0(B-LBM), 1(P-LBM), 2(E-LBM)</t>
  </si>
  <si>
    <t>BAT_Capa_for_BLTN_CAM(Battery Nominal Capacity Ah, Capacity Allocated to Built-in Cam) : Resolution = 0.1</t>
  </si>
  <si>
    <t>▪ [LIN] [BMS_INFO_01] Confirm Resolution = 0.1 message
▪ [Diagnosis] Request 22 A2 20 (Read OEM Sub Battery State Read)</t>
  </si>
  <si>
    <t>BAT_SOH(Battery State of Life (Current Capacity %) relative to Nominal Capacity)
: Resolution = 1</t>
  </si>
  <si>
    <t>▪ [LIN] [BMS_INFO_01] Confirm Resolution = 1 message
▪ [Diagnosis] Request 22 A2 20 (Read OEM Sub Battery State Read)</t>
  </si>
  <si>
    <t>B_VOLTAGE(B+ Power Supply Voltage(V)) 
: Resolution = 0.1</t>
  </si>
  <si>
    <t>IGN_VOLTAGE(IGN Power Voltage(V)) : Resolution = 0.1</t>
  </si>
  <si>
    <t>BAT_Capa_Total(Battery Nominal Capacity (Ah), Total Battery Capacity) 
: Resolution = 0.1 Ah</t>
  </si>
  <si>
    <t>▪ [LIN] [BMS_INFO_01] Confirm Resolution = 0.1 Ah message
▪ [Diagnosis] Request 22 A2 20 (Read OEM Sub Battery State Read)</t>
  </si>
  <si>
    <t>▪ LIN signal matches diagnostic read value
※ BAT_Capa_Total is transmitted as the total nominal capacity of the battery (19.2ah or 28.8ah)</t>
  </si>
  <si>
    <t>BAT_023</t>
  </si>
  <si>
    <t>BAT_SOC_for_BLTN_CAM(Charge %): Resolution = 1</t>
  </si>
  <si>
    <t>▪ [LIN] [BMS_INFO_02] Resolution = 1 Message Confirmed
▪ [Diagnostic] 22 A2 20(Read OEM Sub Battery State Read) Request</t>
  </si>
  <si>
    <t>▪ LIN Signal Matches Diagnostic Read Values
※ Based on Built-in Cam Allocation Standards: Usable Built-in Cam Capacity (Usable capacity out of 12Ah)</t>
  </si>
  <si>
    <t>BAT_Volt(Output Voltage V): Resolution = 0.1</t>
  </si>
  <si>
    <t>▪ [LIN] [BMS_INFO_02] Resolution = 0.1 Message Confirmed
▪ [Diagnostics] 22 A2 20(Read OEM Sub Battery State Read) Request</t>
  </si>
  <si>
    <t>BAT_Current(Output Current mA): Resolution = 1</t>
  </si>
  <si>
    <t>▪ [LIN] [BMS_INFO_02] Confirm message Resolution = 1
▪ [Diagnostic] 22 A2 20(Read OEM Sub Battery State Read) Request</t>
  </si>
  <si>
    <t>▪ mA value displayed based on DB = Diagnostic Read value (HEX → DEC)
※ Must use the DB compatible with OEM/customized batteries</t>
  </si>
  <si>
    <t>BAT_Temp(Temperature Deg.C): Resolution = 0.1 (Offset not applied)</t>
  </si>
  <si>
    <t>▪ Deg.C value displayed based on DB = Diagnostic Read value (HEX → DEC) * 0.1 - 50℃ (Offset)
※ Must use the DB compatible with OEM/customized batteries</t>
  </si>
  <si>
    <t>[LIN] BMS_INFO_03(ID:0x14)
 :BAT_Status</t>
  </si>
  <si>
    <t>BAT_024</t>
  </si>
  <si>
    <t>[LIN] BMS_INFO_03(ID:0x14)</t>
  </si>
  <si>
    <t>BAT_Status = 0: STANDBY</t>
  </si>
  <si>
    <t>▪ [LIN] [BMS_INFO_03] Enter BAT_Status = 0 message
▪ [Diagnostic] 22 A2 20(Read OEM Sub Battery State Read) request</t>
  </si>
  <si>
    <t>BAT_Status = 1: FULL_CHARGE</t>
  </si>
  <si>
    <t>▪ [LIN] [BMS_INFO_03] Enter BAT_Status = 1 message
▪ [Diagnostic] 22 A2 20(Read OEM Sub Battery State Read) request</t>
  </si>
  <si>
    <t>BAT_Status = 2: Charging(CHARGING)</t>
  </si>
  <si>
    <t>▪ [LIN] [BMS_INFO_03] Enter message BAT_Status = 2
▪ [Diagnostic] Request 22 A2 20(Read OEM Sub Battery State Read)</t>
  </si>
  <si>
    <t>BAT_Status = 3: DISCHARGING</t>
  </si>
  <si>
    <t>▪ [LIN] [BMS_INFO_03] Enter message BAT_Status = 3
▪ [Diagnostic] Request 22 A2 20(Read OEM Sub Battery State Read)</t>
  </si>
  <si>
    <t>BAT_Status = 4: FAULT</t>
  </si>
  <si>
    <t>▪ [LIN] [BMS_INFO_03] Enter message BAT_Status = 4
▪ [Diagnostic] Request 22 A2 20(Read OEM Sub Battery State Read)</t>
  </si>
  <si>
    <t>[LIN] BMS_INFO_03(ID:0x14)
 :BAT_Volt_Fault_Info</t>
  </si>
  <si>
    <t>BAT_025</t>
  </si>
  <si>
    <t>[LIN] BMS_INFO_03(ID:0x14): BAT_Volt_Fault_Info</t>
  </si>
  <si>
    <t>BAT_Volt_Fault_Info = 0: Normal</t>
  </si>
  <si>
    <t>▪ [LIN] [BMS_INFO_03] Enter message BAT_Volt_Fault_Info = 0
▪ [Diagnostic] Request 22 A2 20(Read OEM Sub Battery State Read)</t>
  </si>
  <si>
    <t>BAT_Volt_Fault_Info = 1: Overcharge</t>
  </si>
  <si>
    <t>▪ [LIN] [BMS_INFO_03] Enter message BAT_Volt_Fault_Info = 1
▪ [Diagnostic] Request 22 A2 20(Read OEM Sub Battery State Read)</t>
  </si>
  <si>
    <t>BAT_Volt_Fault_Info = 2: Over-discharge</t>
  </si>
  <si>
    <t>▪ [LIN] [BMS_INFO_03] Enter message BAT_Volt_Fault_Info = 2
▪ [Diagnostic] Request 22 A2 20(Read OEM Sub Battery State Read)</t>
  </si>
  <si>
    <t>[LIN] BMS_INFO_03(ID:0x14)
 :BAT_Temp_Fault_Info</t>
  </si>
  <si>
    <t>BAT_026</t>
  </si>
  <si>
    <t>[LIN] BMS_INFO_03(ID:0x14): BAT_Temp_Fault_Info</t>
  </si>
  <si>
    <t>BAT_Temp_Fault_Info = 1: High temperature warning</t>
  </si>
  <si>
    <t>▪ [LIN] [BMS_INFO_03] Enter message BAT_Temp_Fault_Info = 1
▪ [Diagnostic] Request 22 A2 20(Read OEM Sub Battery State Read)</t>
  </si>
  <si>
    <t>BAT_Temp_Fault_Info = 2: Low temperature warning</t>
  </si>
  <si>
    <t>▪ [LIN] [BMS_INFO_03] Enter message BAT_Temp_Fault_Info = 2
▪ [Diagnostic] Request 22 A2 20(Read OEM Sub Battery State Read)</t>
  </si>
  <si>
    <t>BAT_Temp_Fault_Info = 4: Temperature sensor failure (BAT_Status = FAULT)</t>
  </si>
  <si>
    <t>▪ [LIN] [BMS_INFO_03] Enter message BAT_Temp_Fault_Info = 4
▪ [Diagnostic] Request 22 A2 20(Read OEM Sub Battery State Read)</t>
  </si>
  <si>
    <t>BAT_Temp_Fault_Info = 8: Cell deviation (BAT_Status = FAULT)</t>
  </si>
  <si>
    <t>▪ [LIN] [BMS_INFO_03] Enter message BAT_Temp_Fault_Info = 8
▪ [Diagnostic] 22 A2 20(Read OEM Sub Battery State Read) request</t>
  </si>
  <si>
    <t>BAT_Temp_Fault_Info = 16 : Discharge open fault</t>
  </si>
  <si>
    <t>▪ [LIN] [BMS_INFO_03] Enter message BAT_Temp_Fault_Info = 16
▪ [Diagnostic] 22 A2 20(Read OEM Sub Battery State Read) request</t>
  </si>
  <si>
    <t>BAT_Temp_Fault_Info = 32: Pre-charge Timeout warning (BAT_Status = FAULT)</t>
  </si>
  <si>
    <t>▪ [LIN] [BMS_INFO_03] Enter message BAT_Temp_Fault_Info = 32
▪ [Diagnostic] 22 A2 20(Read OEM Sub Battery State Read) request</t>
  </si>
  <si>
    <t>BAT_Temp_Fault_Info = 64 : Pre-charge current warning(BAT_Status = FAULT)</t>
  </si>
  <si>
    <t>▪ [LIN] [BMS_INFO_03] Enter message BAT_Temp_Fault_Info = 64
▪ [Diagnostic] 22 A2 20(Read OEM Sub Battery State Read) Request</t>
  </si>
  <si>
    <t>[LIN] BMS_INFO_03(ID:0x14)
 :BAT_Current_Fault_Info</t>
  </si>
  <si>
    <t>BAT_027</t>
  </si>
  <si>
    <t>[LIN] BMS_INFO_03(ID:0x14): BAT_Current_Fault_Info</t>
  </si>
  <si>
    <t>BAT_Current_Fault_Info = 0: Normal</t>
  </si>
  <si>
    <t>▪ [LIN] [BMS_INFO_03] Enter message BAT_Current_Fault_Info = 0
▪ [Diagnostic] 22 A2 20(Read OEM Sub Battery State Read) request</t>
  </si>
  <si>
    <t>BAT_Current_Fault_Info = 1: Overcurrent</t>
  </si>
  <si>
    <t>▪ [LIN] [BMS_INFO_03] Enter message BAT_Current_Fault_Info = 1
▪ [Diagnostic] Request 22 A2 20(Read OEM Sub Battery State Read)</t>
  </si>
  <si>
    <t>[LIN] BMS_INFO_03(ID:0x14)
 :BAT_Discharging_Time_Info</t>
  </si>
  <si>
    <t>BAT_028</t>
  </si>
  <si>
    <t>[LIN] BMS_INFO_03(ID:0x14): BAT_Discharging_Time_Info</t>
  </si>
  <si>
    <t>BAT_Discharge_Time_Info = 0 ~ 254 (0 hours ~ 254 hours) 
: Dischargeable time based on auxiliary battery SoC (not set time)</t>
  </si>
  <si>
    <t>▪ [LIN] [BMS_INFO_02] Enter message BAT_SOC_for_BLTN_CAM = 100
▪ [Diagnostic] Request 22 A2 20(Read OEM Sub Battery State Read)</t>
  </si>
  <si>
    <t>▪ LIN signal matches diagnostic read value
BAT Discharging Time info = 0x14, 20 hour</t>
  </si>
  <si>
    <t>[LIN] BMS_INFO_03(ID:0x14)
 :BLTN_CAM_Current</t>
  </si>
  <si>
    <t>BAT_029</t>
  </si>
  <si>
    <t>[LIN] BMS_INFO_03(ID:0x14): BLTN_CAM_Current</t>
  </si>
  <si>
    <t>BLTN_CAM_Current (Built-in CAM Current(mA)) 
: Resolution = 100</t>
  </si>
  <si>
    <t>▪ [LIN] Enter BMS_INFO_03 message
▪ [Diagnostic] Request 22 A2 20 (Read OEM Sub Battery State Read)</t>
  </si>
  <si>
    <t>[LIN] BMS_INFO_03(ID:0x14)
 : LBM_Maxdischr_Info</t>
  </si>
  <si>
    <t>BAT_030</t>
  </si>
  <si>
    <t>[LIN] BMS_INFO_03(ID:0x14): LBM_Maxdischr_Info</t>
  </si>
  <si>
    <t>LBM_Maxdischr_Info (P-LBM MAX discharge declaration Flag) = 0 
: When receiving a value other than PDC_ConverterReq == 0x3</t>
  </si>
  <si>
    <t>LBM_Maxdischr_Info (P-LBM MAX discharge declaration Flag) = 1
: When receiving PDC_ConverterReq == 0x3 value</t>
  </si>
  <si>
    <t>[Auxiliary Battery Remaining Capacity Display] eAGM
: 0 ~ 20Hr Error Range ±1%
&lt;AGM, 60AH, 12.6V, 570mA@12V&gt;
2.0 Gen: MV, ME, SX2 EV, NE PE, NE N, CV PE, etc.
2.5 Gen: SV1, CT1, CE PE, CE PE N, TK, Ovk, etc.
Specification Added (v2.0)
※ If the eAGM SoC value is not received, or if it is Invalid (0x65~0xFE) or Error (0xFF), transmit BLTN_CAM_Prk_Oprable_Time = 0x00 to display the built-in cam operation time as 0 hours.</t>
  </si>
  <si>
    <t>[Auxiliary Battery Level Display] eAGM Battery (B+ Pin Input)</t>
  </si>
  <si>
    <t>eAGM parking recording available</t>
  </si>
  <si>
    <t>▪ BLTN_CAM_Set_PrkTime = 0x14(20Hr)
▪ [ICU_10_200ms] ICU_BS2SoC = 70 ~% Input</t>
  </si>
  <si>
    <t>(One-time vehicle: Setting OFF, Regular vehicle) 
▪ Ignition ON: User setting value
BLTN_CAM_Prk_Oprable_Time = BLTN_CAM_Set_PrkTIme
(One-time vehicle: Setting ON)
▪ Ignition ON: Fixed at 120 hours
BLTN_CAM_Prk_Oprable_Time = 120
(One-time vehicle: Setting OFF/ON, Regular vehicle) 
▪ Ignition OFF: 
BLTN_CAM_Prk_Oprable_Time = BLTN_CAM_Set_PrkTIme - BLTN_CAM_PRK_Oped_Time</t>
  </si>
  <si>
    <t>eAGM available for 19 hours</t>
  </si>
  <si>
    <t>▪ BLTN_CAM_Set_PrkTime = 0x14(20Hr)
▪ [ICU_10_200ms] ICU_BS2SoC = 87% Input</t>
  </si>
  <si>
    <t>▪ Ignition ON: User-set value
BLTN_CAM_Prk_Oprable_Time = BLTN_CAM_Set_PrkTIme
▪ Ignition OFF:
BLTN_CAM_Prk_Oprable_Time = BLTN_CAM_Set_PrkTIme - BLTN_CAM_PRK_Oped_Time</t>
  </si>
  <si>
    <t>eAGM available for 18 hours</t>
  </si>
  <si>
    <t>▪ BLTN_CAM_Set_PrkTime = 0x14(20Hr)
▪ [ICU_10_200ms] ICU_BS2SoC = 86% Input</t>
  </si>
  <si>
    <t>eAGM available for 17 hours</t>
  </si>
  <si>
    <t>▪ BLTN_CAM_Set_PrkTime = 0x14(20Hr)
▪ [ICU_10_200ms] ICU_BS2SoC = 85% Input</t>
  </si>
  <si>
    <t>eAGM available for 16 hours</t>
  </si>
  <si>
    <t>▪ BLTN_CAM_Set_PrkTime = 0x14(20Hr)
▪ [ICU_10_200ms] ICU_BS2SoC = 84% Input</t>
  </si>
  <si>
    <t>eAGM available for 15 hours</t>
  </si>
  <si>
    <t>▪ BLTN_CAM_Set_PrkTime = 0x14(20Hr)
▪ [ICU_10_200ms] ICU_BS2SoC = 83% Input</t>
  </si>
  <si>
    <t>eAGM available for 14 hours</t>
  </si>
  <si>
    <t>▪ BLTN_CAM_Set_PrkTime = 0x14(20Hr)
▪ [ICU_10_200ms] ICU_BS2SoC = 82% Input</t>
  </si>
  <si>
    <t>eAGM available for 13 hours</t>
  </si>
  <si>
    <t>▪ BLTN_CAM_Set_PrkTime = 0x14(20Hr)
▪ [ICU_10_200ms] ICU_BS2SoC = 81% Input</t>
  </si>
  <si>
    <t>eAGM available for 12 hours</t>
  </si>
  <si>
    <t>▪ BLTN_CAM_Set_PrkTime = 0x14(20Hr)
▪ [ICU_10_200ms] ICU_BS2SoC = 80% Input</t>
  </si>
  <si>
    <t>eAGM available for 11 hours</t>
  </si>
  <si>
    <t>▪ BLTN_CAM_Set_PrkTime = 0x14(20Hr)
▪ [ICU_10_200ms] ICU_BS2SoC = 79% Input</t>
  </si>
  <si>
    <t>If 10 hours of eAGM are available</t>
  </si>
  <si>
    <t>▪ BLTN_CAM_Set_PrkTime = 0x14(20Hr)
▪ [ICU_10_200ms] ICU_BS2SoC = -% Input</t>
  </si>
  <si>
    <t>eAGM available for 9 hours</t>
  </si>
  <si>
    <t>▪ BLTN_CAM_Set_PrkTime = 0x14(20Hr)
▪ [ICU_10_200ms] ICU_BS2SoC = 78% Input</t>
  </si>
  <si>
    <t>eAGM available for 8 hours</t>
  </si>
  <si>
    <t>▪ BLTN_CAM_Set_PrkTime = 0x14(20Hr)
▪ [ICU_10_200ms] ICU_BS2SoC = 77% Input</t>
  </si>
  <si>
    <t>eAGM available for 7 hours</t>
  </si>
  <si>
    <t>▪ BLTN_CAM_Set_PrkTime = 0x14(20Hr)
▪ [ICU_10_200ms] ICU_BS2SoC = 76% Input</t>
  </si>
  <si>
    <t>eAGM available for 6 hours</t>
  </si>
  <si>
    <t>▪ BLTN_CAM_Set_PrkTime = 0x14(20Hr)
▪ [ICU_10_200ms] ICU_BS2SoC = 75% Input</t>
  </si>
  <si>
    <t>eAGM available for 5 hours</t>
  </si>
  <si>
    <t>▪ BLTN_CAM_Set_PrkTime = 0x14(20Hr)
▪ [ICU_10_200ms] ICU_BS2SoC = 74% Input</t>
  </si>
  <si>
    <t>eAGM available for 4 hours</t>
  </si>
  <si>
    <t>▪ BLTN_CAM_Set_PrkTime = 0x14(20Hr)
▪ [ICU_10_200ms] ICU_BS2SoC = 73% Input</t>
  </si>
  <si>
    <t>eAGM available for 3 hours</t>
  </si>
  <si>
    <t>▪ BLTN_CAM_Set_PrkTime = 0x14(20Hr)
▪ [ICU_10_200ms] ICU_BS2SoC = 72% Input</t>
  </si>
  <si>
    <t>eAGM available for 2 hours</t>
  </si>
  <si>
    <t>▪ BLTN_CAM_Set_PrkTime = 0x14(20Hr)
▪ [ICU_10_200ms] ICU_BS2SoC = 71% Input</t>
  </si>
  <si>
    <t>eAGM available for 1 hour</t>
  </si>
  <si>
    <t>▪ BLTN_CAM_Set_PrkTime = 0x14(20Hr)
▪ [ICU_10_200ms] ICU_BS2SoC = 70% Input</t>
  </si>
  <si>
    <t>eAGM 0 hours available</t>
  </si>
  <si>
    <t>▪ BLTN_CAM_Set_PrkTime = 0x14(20Hr)
▪ [ICU_10_200ms] ICU_BS2SoC = 0 ~ 70% input</t>
  </si>
  <si>
    <t>When 0x0 is received at that moment</t>
  </si>
  <si>
    <t>▪ BLTN_CAM_Set_PrkTime = 0x14(20Hr)
▪ [ICU_10_200ms] ICU_BS2SoC = 88% input
▪ In the middle, input 0%(0x0) 10 times (2 seconds) with a 200ms perid.</t>
  </si>
  <si>
    <t>▪ Until 0x0 is received 10 times
: BLTN_CAM_Prk_Oprable_Time = 0x14(20Hr)
▪ When received 10 or more times = 0x0(0Hr)</t>
  </si>
  <si>
    <t>When 0xFF is received instantaneously</t>
  </si>
  <si>
    <t>▪ BLTN_CAM_Set_PrkTime = 0x14(20Hr)
▪ [ICU_10_200ms] ICU_BS2SoC = 88% input
▪ In the middle, input 0xFF 200ms perid 10 times (2 seconds)</t>
  </si>
  <si>
    <t>▪ Until 0xFF is received 10 times
: BLTN_CAM_Prk_Oprable_Time = 0x14(20Hr)
▪ When received 10 or more times = 0x0(0Hr)</t>
  </si>
  <si>
    <t>※ Timeout occurs after receiving eAGM SoC value following CAN Wall-Up</t>
  </si>
  <si>
    <t>▪ [ICU_10_200ms] ICU_BS2SoC = 100% input
▪ ICU_BS2SoC transmission stopped</t>
  </si>
  <si>
    <t>When ICU_B2SoC is not received</t>
  </si>
  <si>
    <t>B+ OFF →
B+, ACC, IGN ON</t>
  </si>
  <si>
    <t>▪ B+ OFF -&gt; B+, ACC, IGN ON
▪ [ICU_10_200ms / PDC_FD_11_200ms] ICU_BS2SoC = No reception
▪ Check BLTN_CAM_Prk_Oprable_Time signal</t>
  </si>
  <si>
    <t>▪ BLTN_CAM_Prk_Opable_time = 0x00
▪ Specification verification required (BICIM2-1010)</t>
  </si>
  <si>
    <t>ICU_B2SoC : When receiving 0x65~0xFE</t>
  </si>
  <si>
    <t>▪ [ICU_10_200ms / PDC_FD_11_200ms] ICU_BS2SoC =
Input 0x65~0xFE
▪ Check BLTN_CAM_Prk_Oprable_Time signal</t>
  </si>
  <si>
    <t>ICU_B2SoC: When 0xFF is received</t>
  </si>
  <si>
    <t>▪ ▪ [ICU_10_200ms / PDC_FD_11_200ms] Input ICU_BS2SoC = 0XFF
▪ Check BLTN_CAM_Prk_Oprable_Time signal</t>
  </si>
  <si>
    <t>[Auxiliary Battery Remaining Capacity Display] LFP (Lithium Iron Phosphate)
: 0 ~ 20Hr Error Range ±1%
[BAT_01_10ms] BAT_SocVal
&lt;LFP, 60A, 12.8V, 570mA@12V&gt;
Power supply via B+ Pin
NH2 Vehicle Model
Specification Added (v2.0)
※ If BAT_SocVal value is not received or Error (0xFF) is transmitted as BLTN_CAM_Prk_Oprable_Time = 0x00, the built-in cam operation time is displayed as 0 hours.</t>
  </si>
  <si>
    <t>[Auxiliary Battery Remaining Capacity Display] LFP Battery (B+ Pin Input)</t>
  </si>
  <si>
    <t>▪ BAT_SocVal = 75~100%, BAT_Type, BAT_Capa Vehicle Model Corresponding Capacity</t>
  </si>
  <si>
    <t>▪ BAT_SocVal = 74%, BAT_Type, BAT_Capa Vehicle Model Corresponding Capacity</t>
  </si>
  <si>
    <t>▪ BAT_SocVal = -%, BAT_Type, BAT_Capa Vehicle type corresponding capacity</t>
  </si>
  <si>
    <t>▪ BAT_SocVal = 73%, BAT_Type, BAT_Capa Vehicle Model Corresponding Capacity</t>
  </si>
  <si>
    <t>▪ BAT_SocVal = 72% , BAT_Type, BAT_Capa Vehicle Model Corresponding Capacity</t>
  </si>
  <si>
    <t>▪ BAT_SocVal = 71%, BAT_Type, BAT_Capa Vehicle Model Corresponding Capacity</t>
  </si>
  <si>
    <t>▪ BAT_SocVal = 70%, BAT_Type, BAT_Capa Vehicle Model Corresponding Capacity</t>
  </si>
  <si>
    <t>▪ BAT_SocVal = 69%, BAT_Type, BAT_Capa Vehicle Model Corresponding Capacity</t>
  </si>
  <si>
    <t>▪ BAT_SocVal = 68%, BAT_Type, BAT_Capa Vehicle Model Corresponding Capacity</t>
  </si>
  <si>
    <t>▪ BAT_SocVal = 67%, BAT_Type, BAT_Capa Vehicle Model Corresponding Capacity</t>
  </si>
  <si>
    <t>▪ BAT_SocVal = 66%, BAT_Type, BAT_Capa Vehicle Model Corresponding Capacity</t>
  </si>
  <si>
    <t>▪ BAT_SocVal = 65%, BAT_Type, BAT_Capa Vehicle Model Corresponding Capacity</t>
  </si>
  <si>
    <t>▪ BAT_SocVal = 64%, BAT_Type, BAT_Capa Vehicle Model Corresponding Capacity</t>
  </si>
  <si>
    <t>▪ BAT_SocVal = 63%, BAT_Type, BAT_Capa Vehicle Model Corresponding Capacity</t>
  </si>
  <si>
    <t>▪ BAT_SocVal = 62%, BAT_Type, BAT_Capa Vehicle Model Corresponding Capacity</t>
  </si>
  <si>
    <t>▪ BAT_SocVal = 61%, BAT_Type, BAT_Capa Vehicle Model Corresponding Capacity</t>
  </si>
  <si>
    <t>▪ BAT_SocVal = 60%, BAT_Type, BAT_Capa Capacity corresponding to vehicle model</t>
  </si>
  <si>
    <t>▪ BAT_SocVal = 59% BAT_Type, BAT_Capa Capacity corresponding to vehicle model</t>
  </si>
  <si>
    <t>▪ BAT_SocVal = 58%, BAT_Type, BAT_Capa Vehicle Model Corresponding Capacity</t>
  </si>
  <si>
    <t>▪ BAT_SocVal = 35 ~ 57%, BAT_Type, BAT_Capa Capacity corresponding to vehicle model</t>
  </si>
  <si>
    <t>▪ BLTN_CAM_Set_PrkTime = 0x14(20Hr)
▪ BAT_SocVal = 74% input
▪ In the middle, input 0%(0x0) 10 times (2 seconds) with a 200ms perid.</t>
  </si>
  <si>
    <t>▪ BLTN_CAM_Set_PrkTime = 0x14(20Hr)
▪ BAT_SocVal = 74% input
▪ In the middle, input 0xFF 200ms perid 10 times (2 seconds)</t>
  </si>
  <si>
    <t>▪ [BAT_01_10ms] Input BAT_SocVal = 100%
▪ ICU_BS2SoC Stop transmission</t>
  </si>
  <si>
    <t>When BAT_SocVal is not received</t>
  </si>
  <si>
    <t>▪ B+ off -&gt; B+, ACC, IGN ON
▪ [BAT_01_10ms] BAT_SocVal = Not received
▪ Check BLTN_CAM_Prk_Oprable_Time signal</t>
  </si>
  <si>
    <t>▪ BLTN_CAM_Prk_Opable_time = 0x00</t>
  </si>
  <si>
    <t>BAT_SocVal : When Error(0xFF) is received</t>
  </si>
  <si>
    <t>▪ [BAT_01_10ms] Input BAT_SocVal = Error(0xFF)
▪ Check BLTN_CAM_Prk_Oprable_Time signal</t>
  </si>
  <si>
    <t>FCEV (Fuel Cell) Models, LFP (Lithium Iron Phosphate) Battery Applied Models Only
NH2 Models</t>
  </si>
  <si>
    <t>BAT_034</t>
  </si>
  <si>
    <t>[LFP Compatible Vehicles] Cut Off During Parking Recording</t>
  </si>
  <si>
    <t>When SoC = less than 35% input during parking recording (before Sleep)</t>
  </si>
  <si>
    <t>▪ BAT_SocVal = 58%, Parking recording started
▪ 1-minute standby (BAT_SocVal signal input maintained)
▪ BAT_SocVal = 36% signal input</t>
  </si>
  <si>
    <t>▪ BLTN_CAM_Prk_Oprable_Time = 0x1(1Hr)
 ▪ BLTN_CAM_RecSta_OWP = 0x1: Recording)</t>
  </si>
  <si>
    <t>▪ BAT_SocVal = 58%, Parking recording started
▪ 1-minute standby (Maintaining BAT_SocVal signal input)
▪ BAT_SocVal = 35% signal input</t>
  </si>
  <si>
    <t>▪ BAT_SocVal = 58%, Parking recording started
▪ 1-minute standby (Maintaining BAT_SocVal signal input)
▪ BAT_SocVal = 34% signal input</t>
  </si>
  <si>
    <t>▪ BLTN_CAM_Prk_Oprable_Time = 0x0(0Hr)
 ▪ BLTN_CAM_RecSta_OWP = 0x0(OFF)</t>
  </si>
  <si>
    <t>When SoC = less than 35% input during parking recording (after Sleep)</t>
  </si>
  <si>
    <t>▪ BAT_SocVal = 58%, Parking recording started
▪ Wait 1 minute after entering Network Sleep
▪ Network Wake Up by inputting BAT_SocVal = 36% signal</t>
  </si>
  <si>
    <t>▪ BAT_SocVal = 58%, Start parking recording
▪ Wait 1 minute after entering Network Sleep
▪ Network Wake Up by inputting BAT_SocVal = 35% signal</t>
  </si>
  <si>
    <t>▪ BAT_SocVal = 58%, Parking recording started
▪ Wait 1 minute after entering Network Sleep
▪ Network Wake Up by inputting BAT_SocVal = 34% signal</t>
  </si>
  <si>
    <t>When a Cut Off signal is received during parking recording (before Sleep)</t>
  </si>
  <si>
    <t>▪ BAT_SocVal = 58%, Parking recording started
▪ 1 minute standby (Maintains BAT_SocVal signal input)
▪ xEV_12VBatAlarmReq_HS = 0x1(3rd Cut Off)</t>
  </si>
  <si>
    <t>▪ BLTN_CAM_Prk_Oprable_Time = 0x1(1Hr)
 ▪ BLTN_CAM_RecSta_OWP = 0x0(OFF)</t>
  </si>
  <si>
    <t>▪ BAT_SocVal = 58%, Parking recording started
▪ 1-minute standby (Maintains BAT_SocVal signal input)
▪ xEV_12VBatAlarmReq_HS = 0x2(Warn. MSG &amp; 3rd Cut Off Req)</t>
  </si>
  <si>
    <t>When a Cut Off signal is received during parking recording (after Sleep)</t>
  </si>
  <si>
    <t>▪ BAT_SocVal = 58%, Parking recording started
▪ Wait 1 minute after entering Network Sleep
▪ xEV_12VBatAlarmReq_HS = 0x1(3rd Cut Off)</t>
  </si>
  <si>
    <t>▪ BAT_SocVal = 58%, Parking recording started
▪ Wait 1 minute after entering Network Sleep
▪ xEV_12VBatAlarmReq_HS = 0x2(Warn. MSG &amp; 3rd Cut Off Req)</t>
  </si>
  <si>
    <t>[LFP Compatible Vehicles] Cut Off During Parking Motion Recording</t>
  </si>
  <si>
    <t>When SoC = less than 35% input during parking motion recording (before Sleep)</t>
  </si>
  <si>
    <t>▪ BAT_SocVal = 58%, Parking Motion Recording Starts
▪ 1-Minute Standby (Maintains BAT_SocVal Signal Input)
▪ BAT_SocVal = 36% Signal Input</t>
  </si>
  <si>
    <t>▪ BLTN_CAM_Prk_Oprable_Time = 0x0(0Hr)
 ▪ BLTN_CAM_RecSta_PMD = 0x1: Recording)</t>
  </si>
  <si>
    <t>▪ BAT_SocVal = 58%, Start Parking Motion Recording
▪ 1-Minute Standby (Maintain BAT_SocVal signal input)
▪ BAT_SocVal = 35% Signal Input</t>
  </si>
  <si>
    <t>▪ BLTN_CAM_Prk_Oprable_Time = 0x0(0Hr)
 ▪ BLTN_CAM_RecSta_PMD = 0x0(OFF)</t>
  </si>
  <si>
    <t>When SoC = less than 35% input during parking motion recording (after Sleep)</t>
  </si>
  <si>
    <t>▪ BAT_SocVal = 58%, Start Parking Motion Recording
▪ Wait 1 minute after entering Network Sleep
▪ Network Wake Up by inputting BAT_SocVal = 36% signal</t>
  </si>
  <si>
    <t>▪ BAT_SocVal = 58%, Start Parking Motion Recording
▪ Wait 1 minute after entering Network Sleep
▪ Network Wake Up by inputting BAT_SocVal = 35% signal</t>
  </si>
  <si>
    <t>▪ BAT_SocVal = 58%, Parking Motion Recording Starts
▪ Wait 1 minute after entering Network Sleep
▪ Network Wake Up by inputting BAT_SocVal = 34% signal</t>
  </si>
  <si>
    <t>When a Cut Off signal is received during parking motion recording (before Sleep)</t>
  </si>
  <si>
    <t>▪ BAT_SocVal = 58%, Start Parking Motion Recording
▪ 1 min standby (Maintain BAT_SocVal signal input)
▪ xEV_12VBatAlarmReq_HS = 0x1(3rd Cut Off)</t>
  </si>
  <si>
    <t>▪ BLTN_CAM_Prk_Oprable_Time = 0x1(1Hr)
 ▪ BLTN_CAM_RecSta_PMD = 0x0(OFF)</t>
  </si>
  <si>
    <t>▪ BAT_SocVal = 58%, Start Parking Motion Recording
▪ 1 min standby (Maintain BAT_SocVal signal input)
▪ xEV_12VBatAlarmReq_HS = 0x2(Warn. MSG &amp; 3rd Cut Off Req)</t>
  </si>
  <si>
    <t>When a Cut Off signal is received during parking motion recording (after Sleep)</t>
  </si>
  <si>
    <t>▪ BAT_SocVal = 58%, Parking Motion Recording Started
▪ Wait 1 minute after entering Network Sleep
▪ xEV_12VBatAlarmReq_HS = 0x1(3rd Cut Off)</t>
  </si>
  <si>
    <t>▪ BAT_SocVal = 58%, Parking Motion Recording Started
▪ Wait 1 minute after entering Network Sleep
▪ xEV_12VBatAlarmReq_HS = 0x2(Warn. MSG &amp; 3rd Cut Off Req)</t>
  </si>
  <si>
    <t>[eAGM Battery_Parking Recording Operation Specifications]
: EV Vehicle Parking Recording Time Update</t>
  </si>
  <si>
    <t>BAT_035</t>
  </si>
  <si>
    <t>[eAGM Battery_Parking Recording Operation Specifications] : Recording Time</t>
  </si>
  <si>
    <t>Confirmation of upward update to weekly recording time based on the last SOC before network sleep.</t>
  </si>
  <si>
    <t>▪ Set parking recording time to 4 hours
▪ Set actual parking recording time to 2 hours
- [ICU_10_200ms] Enter ICU_BS2SoC = 0x4D(77)
▪ Verify parking recording and sleep entry after Key Off
▪ Set actual parking recording time to 4 hours
- [ICU_10_200ms] Enter ICU_BS2SoC = 0x4F(79)
▪ Verify 4-hour recording operation after confirming re-entry into Sleep</t>
  </si>
  <si>
    <t>▪ Confirmed normal operation of 4-hour parking recording</t>
  </si>
  <si>
    <t>Check for downward update of available weekly recording time based on the last SOC before network sleep
(If the last SOC value is lower than the SOC value at the time of the previous sleep, the weekly recording time is not updated)</t>
  </si>
  <si>
    <t>▪ Set parking recording time to 4 hours
▪ Set actual parking recording time to 4 hours
- [ICU_10_200ms] Enter ICU_BS2SoC = 0x4F(79)
▪ Set actual parking recording time to 2 hours
- [ICU_10_200ms] Enter ICU_BS2SoC = 0x4D(77)
▪ Verify parking recording and sleep entry after Key Off
▪ Verify 4-hour recording operation after confirming re-entry into Sleep</t>
  </si>
  <si>
    <t>[High-Voltage Battery Operation Specifications]
- Parking recording irrelevant when using high-voltage battery recharge
: SX2 EV, etc.
- Vehicles with 120-hour high-voltage battery one-time setting
: MV, CV PE, NE PE, NE N
- Vehicles with 120-hour high-voltage battery continuous setting
: OV1, US PE EV, JG1 (Unconfirmed)</t>
  </si>
  <si>
    <t>[eAGM Battery_Parking Recording Operation Specifications] : Recording Settings and Functions</t>
  </si>
  <si>
    <t>Check long-term parking recording function</t>
  </si>
  <si>
    <t>▪ Enter Built-in Cam Menu - Settings - Recording Time
▪ Check signal output after repeatedly toggling High Voltage Battery Parking Recording On ↔ Off
- Check BLTN_CAM_Set_EV_RecMaxTime signal output</t>
  </si>
  <si>
    <t>▪ High-voltage battery parking recording setting On ↔ Off operates normally
▪ Vehicle models with a one-time high-voltage battery setting of 120 hours
: BLTN_CAM_Set_EV_RecMaxTime signal outputs 0x1 ↔ 0x2 normally
▪ Vehicle models with a continuous high-voltage battery setting of 120 hours
: BLTN_CAM_Set_EV_RecMaxTime signal output remains at 0x0 (Default)</t>
  </si>
  <si>
    <t>Check signal operation for 'High Voltage Battery Parking Recording' setting</t>
  </si>
  <si>
    <t>▪ Is BLTN_CAM_EV_RecMaxTime_NvalueSet = 0x1(Off)</t>
  </si>
  <si>
    <t>▪ Vehicles with High Voltage Battery 120-Hour One-time Settings
: Verify BLTN_CAM_Set_EV_RecMaxTime = 0x1 (Off) output
▪ Vehicles with High Voltage Battery 120-Hour Continuous Settings
: Verify BLTN_CAM_Set_EV_RecMaxTime signal 0x0 (Default) output</t>
  </si>
  <si>
    <t>▪ Is BLTN_CAM_EV_RecMaxTime_NvalueSet = 0x2(On)?</t>
  </si>
  <si>
    <t>▪ Vehicles with High Voltage Battery 120-Hour One-time Settings
: Verify BLTN_CAM_Set_EV_RecMaxTime = 0x2(On) output
▪ Vehicles with High Voltage Battery 120-Hour Continuous Settings
: Verify BLTN_CAM_Set_EV_RecMaxTime signal 0x0(Default) output</t>
  </si>
  <si>
    <t>[Vehicles with High Voltage Battery 120-Hour One-time Setting]
▪ High Voltage Battery Parking Recording Setting On
▪ Key Off → On
▪ Check High Voltage Battery Parking Recording Setting Status
※ For vehicle models with the High Voltage Battery 120-Hour Continuous Recording setting, maintain 0x0 (Default) for continuous recording.</t>
  </si>
  <si>
    <t>▪ Vehicle models with high-voltage battery 120-hour single-use setting
: BLTN_CAM_Set_EV_RecMaxTime = 0x1(Off) Check output</t>
  </si>
  <si>
    <t>Check parking recording setting time when High Voltage Battery Use is set to ON</t>
  </si>
  <si>
    <t>▪ High-voltage battery parking recording setting On
▪ Set actual parking recording time to 2 hours
- [ICU_10_200ms] ICU_BS2SoC = 71% Enabled
▪ For vehicles with 120-hour continuous high-voltage battery operation, set to 100 hours
- BLTN_CAM_SET_PrkTime = Set to 100 hours
For vehicles with 120-hour single-use high-voltage battery operation, set to 20 hours
- BLTN_CAM_SET_PrkTime = Set to 20 hours
※ For vehicles with 120-hour continuous high-voltage battery operation, time settings are available from 2H to 120H</t>
  </si>
  <si>
    <t>▪ Check BLTN_CAM_Set_EV_RecMaxTime = 0x2(On) output
▪ Vehicles with High Voltage Battery 120-Hour One-time Setting
: BLTN_CAM_SET_PrkTime = 0x78 (120 hours)
: BLTN_CAM_Prk_Oprable_Time = 0x78 (120 hours)
▪ Vehicles with High Voltage Battery 120-Hour Continuous Setting
: BLTN_CAM_SET_PrkTime = 0x64 (100 hours)
: BLTN_CAM_Prk_Oprable_Time = 0x64(100 hours)</t>
  </si>
  <si>
    <t>Check parking recording setting time when high-voltage battery usage is set to OFF</t>
  </si>
  <si>
    <t>▪ Set actual parking recording time to 2 hours
- [ICU_10_200ms] ICU_BS2SoC = 71% enabled
▪ Set parking recording time to 4 hours
- BLTN_CAM_SET_PrkTime = Set to 4 hours
▪ High voltage battery parking recording setting On
▪ KEY OFF → On</t>
  </si>
  <si>
    <t>▪ Check BLTN_CAM_Set_EV_RecMaxTime = 0x1(OFF) output
▪ Vehicle models with high-voltage battery set to 120-hour one-time/continuous operation
: BLTN_CAM_SET_PrkTime = 0x04 (4 hours)
: BLTN_CAM_Prk_Oprable_Time = 0x04(4 hours)</t>
  </si>
  <si>
    <t>Check parking recording setting time when using high-voltage battery</t>
  </si>
  <si>
    <t>▪ High Voltage Battery Parking Recording Setting On
▪ BLTN_CAM_EV_RecMaxTime_NvalueSet = 0x1(Off) Enable</t>
  </si>
  <si>
    <t>▪ Verify retention of BLTN_CAM_SET_PrkTime previous value (user setting value prior to High Voltage Battery Usage Setting ON)</t>
  </si>
  <si>
    <t>Confirmation of 'High Voltage Battery Parking Recording' function operation</t>
  </si>
  <si>
    <t>▪ Enter Built-in Cam Menu - Settings - Recording Time
▪ Turn on High Voltage Battery Parking Recording
▪ Verify Parking Recording and Sleep mode after turning off the Key
▪ 120-hour Standby</t>
  </si>
  <si>
    <t>▪ Confirmed normal operation of 120-hour (5-day) week recording
▪ BLTN_CAM_Prk_Oprable_Time = 
BLTN_CAM_Set_PrkTime - BLTN_CAM_Prk_Oped_Time</t>
  </si>
  <si>
    <t>▪ Enter Built-in Cam Menu - Settings - Recording Time
▪ Turn On High Voltage Battery Parking Recording
▪ Turn On Motion Recording While Parked
▪ Verify that Parking Recording and Sleep mode begin after Key Off
▪ Verify that Sleep mode begins after motion recording is activated by triggering motion
▪ 120-hour Standby</t>
  </si>
  <si>
    <t>▪ Confirmed normal operation of 120-hour (5-day) weekly recording
▪ Confirmed that the device remains in Sleep state after motion recording is complete, then Power Off
▪ BLTN_CAM_Prk_Oprable_Time = 
BLTN_CAM_Set_PrkTime - BLTN_CAM_Prk_Oped_Time</t>
  </si>
  <si>
    <t>High-voltage battery-powered parking recording' one-time car good previous value retention specification change</t>
  </si>
  <si>
    <t>[Vehicles with High Voltage Battery 120-Hour Disposable Setting]
▪ Update to 'last mode on' specification
▪ Check BLTN_CAM_Set_EV_RecMaxTime after update</t>
  </si>
  <si>
    <t>▪ BLTN_CAM_Set_EV_RecMaxTime = 0x0 (default)
 ▪ BLTN_CAM_Prk_Oprable_Time = 0x14 (20 hours)</t>
  </si>
  <si>
    <t>[eAGM Battery_Parking Recording Operation Specifications]
: Verification of Operational Impact During SoC Update</t>
  </si>
  <si>
    <t>[eAGM Battery_Parking Recording Operation Specifications] - (1)</t>
  </si>
  <si>
    <t>Key On while updating parking recording time</t>
  </si>
  <si>
    <t>B+
↓
IGN</t>
  </si>
  <si>
    <t>▪ Set parking recording time to 4 hours
▪ Set actual parking recording time to 2 hours
- [ICU_10_200ms] Apply ICU_BS2SoC = 71%
▪ Verify parking recording and sleep entry after Key Off
▪ Set actual parking recording time to 4 hours
- [ICU_10_200ms] Apply ICU_BS2SoC = 73%
▪ Apply the above signal to turn Key On while in Wakeup state</t>
  </si>
  <si>
    <t>▪ Confirmed normal saving of recorded video up to the time immediately before Key On
▪ Confirmed normal operation of built-in cam</t>
  </si>
  <si>
    <t>Turn on Key after updating parking recording time</t>
  </si>
  <si>
    <t>▪ Set parking recording time to 4 hours
▪ Set actual parking recording time to 2 hours
- [ICU_10_200ms] ICU_BS2SoC = 71%
▪ Verify parking recording and sleep entry after Key Off
▪ Set actual parking recording time to 4 hours
- [ICU_10_200ms] ICU_BS2SoC = 73%
▪ Turn Key On after verifying re-entry into Sleep</t>
  </si>
  <si>
    <t>Resetting parking recording time B+ reset</t>
  </si>
  <si>
    <t>▪ Set parking recording time to 4 hours
▪ Set actual parking recording time to 2 hours
- [ICU_10_200ms] Apply ICU_BS2SoC = 71%
▪ Verify parking recording and sleep entry after Key Off
▪ Set actual parking recording time to 4 hours
- [ICU_10_200ms] Apply ICU_BS2SoC = 73%
▪ Apply the above signal and reset B+ while in Wakeup state
▪ Turn Key On after a certain period of time</t>
  </si>
  <si>
    <t>▪ Parking recording operated normally up to the time immediately prior to the B+ reset
▪ Confirmed no issues with saved recorded footage
▪ Confirmed normal operation of the built-in cam</t>
  </si>
  <si>
    <t>B+ reset after updating parking recording time</t>
  </si>
  <si>
    <t>▪ Set parking recording time to 4 hours
▪ Set actual parking recording time to 2 hours
- [ICU_10_200ms] Check if ICU_BS2SoC = 71%
▪ Verify parking recording and sleep entry after Key Off
▪ Set actual parking recording time to 4 hours
- [ICU_10_200ms] Check if ICU_BS2SoC = 73%
▪ Reset B+ after verifying re-entry into Sleep
▪ Turn Key On after a certain period of time</t>
  </si>
  <si>
    <t>[eAGM Battery_Parking Recording Operation Specifications]
: Verification of Operational Impact After SoC Update</t>
  </si>
  <si>
    <t>Key On while parking recording using high voltage battery</t>
  </si>
  <si>
    <t>▪ Key On while recording for more than 20 hours</t>
  </si>
  <si>
    <t>B+ reset while parking recording using high voltage battery</t>
  </si>
  <si>
    <t>▪ B+ reset during recording of 20 hours or more</t>
  </si>
  <si>
    <t>▪ Confirmed normal saving of recorded video up to the time immediately prior to the B+ reset
▪ Confirmed normal operation of the built-in cam</t>
  </si>
  <si>
    <t>[eAGM Battery_Parking Recording Operation Specifications]
: Check Recording Stop Conditions</t>
  </si>
  <si>
    <t>Recording ends when SoC reaches 65% during parking recording</t>
  </si>
  <si>
    <t>▪ Recording in progress
▪ Enter 65% of actual parking recording time available (Check both Sleep and Alive states)
- [ICU_10_200ms] ICU_BS2SoC = 65%</t>
  </si>
  <si>
    <t>▪ Parking recording terminated
▪ BLTN_CAM_PrkOp_Termiate_Info = 0x1:Park operation terminated earlier than user set because of Bat. SoC output(30s)</t>
  </si>
  <si>
    <t>Recording ends when SoC reaches 69% during motion recording</t>
  </si>
  <si>
    <t>▪ Recording in progress
▪ Enter 69% of actual parking recording time (Check both Sleep and Alive states)
- [ICU_10_200ms] ICU_BS2SoC = 69%</t>
  </si>
  <si>
    <t>▪ End Motion Recording
▪ BLTN_CAM_PrkOp_Termiate_Info = 0x6</t>
  </si>
  <si>
    <t>Recording ends when SoC 65% is received during motion recording</t>
  </si>
  <si>
    <t>Recording terminates when SoC = 0xFF (Invalid) is received during parking recording.</t>
  </si>
  <si>
    <t>▪ Recording in progress
▪ Enter 0xFF for actual parking recording time (check both Sleep and Alive states)
- [ICU_10_200ms] ICU_BS2SoC = 0xFF</t>
  </si>
  <si>
    <t>Recording terminates when SoC = 0xFF (Invalid) is received during motion recording.</t>
  </si>
  <si>
    <t>[eAGM Battery_Parking Recording Operation Specifications]
: Check BLTN_CAM_Prk_Oprable_Time upon SoC update</t>
  </si>
  <si>
    <t>BAT_038</t>
  </si>
  <si>
    <t>[eAGM Battery_Parking Recording Operation Specifications] - (2)</t>
  </si>
  <si>
    <t>Verify that recording proceeds for BLTN_CAM_Set_PrkTime when SoC is upgraded.</t>
  </si>
  <si>
    <t>▪ Set parking recording time (BLTN_CAM_Set_PrkTime) to 10 hours
▪ Enter 12 hours for the actual parking recording time
- [ICU_10_200ms] Check if ICU_BS2SoC = 80%
▪ Verify BLTN_CAM_Prk_Oprable_Time = 12
▪ Check if parking recording and sleep mode begin after Key Off
▪ Enter 12 hours for the actual parking recording time within 10 minutes of entering sleep mode
- [ICU_10_200ms] Check if ICU_BS2SoC = 80
▪ After confirming re-entry into sleep mode, wake up and check the BLTN_CAM_Prk_Oprable_Time value</t>
  </si>
  <si>
    <t>▪ Verify BLTN_CAM_Prk_Oprable_Time = 0x9
▪ Verify normal operation of 10-hour parking recording</t>
  </si>
  <si>
    <t>Verify that recording proceeds for BLTN_CAM_Set_PrkTime when SoC is downgraded.</t>
  </si>
  <si>
    <t>▪ Set parking recording time (BLTN_CAM_Set_PrkTime) to 10 hours
▪ Enter 10 hours for the actual parking recording time
- [ICU_10_200ms] Check if ICU_BS2SoC = 78%
▪ Verify BLTN_CAM_Prk_Oprable_Time = 10
▪ Check if parking recording and sleep mode begin after Key Off
▪ Within 10 minutes of entering sleep mode, enter 5 hours for the actual parking recording time
- [ICU_10_200ms] Check if ICU_BS2SoC = 74
▪ After confirming re-entry into sleep mode, wake up and check the BLTN_CAM_Prk_Oprable_Time value</t>
  </si>
  <si>
    <t>Verify update of BLTN_CAM_Prk_Oprable_Time value after SoC upward update</t>
  </si>
  <si>
    <t>▪ Set parking recording time (BLTN_CAM_Set_PrkTime) to 10 hours
▪ Enter 8 hours for the actual parking recording time
- [ICU_10_200ms] Check if ICU_BS2SoC = 76%
▪ Verify BLTN_CAM_Prk_Oprable_Time = 8
▪ Check if parking recording and sleep mode begin after Key Off
▪ Within 10 minutes of entering sleep mode, enter 12 hours for the actual parking recording time
- [ICU_10_200ms] Check if ICU_BS2SoC = 80
▪ After confirming re-entry into sleep mode, wake up and check the BLTN_CAM_Prk_Oprable_Time value</t>
  </si>
  <si>
    <t>Check parking recording based on SoC value</t>
  </si>
  <si>
    <t>▪ Set parking recording time (BLTN_CAM_Set_PrkTime) to 10 hours
▪ Enter 8 hours for the actual parking recording time
- [ICU_10_200ms] Check if ICU_BS2SoC = 76%
▪ Verify BLTN_CAM_Prk_Oprable_Time = 8
▪ Check if parking recording and sleep mode begin after Key Off
▪ Within 10 minutes of entering sleep mode, enter 5 hours for the actual parking recording time
- [ICU_10_200ms] Check if ICU_BS2SoC = 74
▪ After confirming re-entry into sleep mode, wake up and check the BLTN_CAM_Prk_Oprable_Time value</t>
  </si>
  <si>
    <t>▪ Verify BLTN_CAM_Prk_Oprable_Time = 0x7
▪ Verify normal operation of 8-hour parking recording</t>
  </si>
  <si>
    <t>Confirmed that parking recording proceeds without Network Alive after SoC update</t>
  </si>
  <si>
    <t>▪ Set Parking Recording Time (BLTN_CAM_Set_PrkTime) to 2 hours
▪ Enter 1 hour for the actual parking recording time
- [ICU_10_200ms] Check if ICU_BS2SoC = 70%
▪ Verify BLTN_CAM_Prk_Oprable_Time = 1
▪ Verify parking recording and sleep entry after Key Off
▪ Enter 3 hours for the actual parking recording time within 10 minutes of entering Sleep
- [ICU_10_200ms] Check if ICU_BS2SoC = 72
▪ After confirming re-entry into Sleep, proceed with parking recording without waking up</t>
  </si>
  <si>
    <t>▪ Confirmed normal operation of 2-hour parking recording</t>
  </si>
  <si>
    <t>Check BLTN_CAM_Prk_Oprable_Time update upon wake-up during parking recording</t>
  </si>
  <si>
    <t>▪ Set parking recording time (BLTN_CAM_Set_PrkTime) to 10 hours
▪ Enter actual parking recording time of 3 hours
- [ICU_10_200ms] Check if ICU_BS2SoC = 72%
▪ Verify BLTN_CAM_Prk_Oprable_Time = 3
▪ After Key Off, confirm parking recording and sleep entry, then proceed with parking recording
▪ Enter actual parking recording time of 3 hours after N hours
- [ICU_10_200ms] Check if ICU_BS2SoC = 72
▪ Verify transmission of the calculated BLTN_CAM_Prk_Oprable_Time (e.g., transmit BLTN_CAM_Prk_Oprable_Time = 1 when recording for 1 hour and 20 minutes)
▪ After confirming re-entry into sleep, wake up and check the BLTN_CAM_Prk_Oprable_Time value</t>
  </si>
  <si>
    <t>▪ Verify BLTN_CAM_Prk_Oprable_Time = 0x2
▪ Verify normal operation of N + 3 hour week recording</t>
  </si>
  <si>
    <t>[eAGM Battery_Conditions other than Parking Recording Operation Specifications]
: [ICU_10_200ms] DLC Impact Confirmed</t>
  </si>
  <si>
    <t>BAT_039</t>
  </si>
  <si>
    <t>[eAGM Battery_Parking Recording Operation Specifications] - (3)</t>
  </si>
  <si>
    <t>Checking the impact on parking recording operation when DLC (Data Length Code) = 7</t>
  </si>
  <si>
    <t>▪ Set parking recording time (BLTN_CAM_Set_PrkTime) to 20 hours
▪ Enter 1 hour for actual parking recording time
- [ICU_10_200ms] Check if ICU_BS2SoC = 70%
▪ Verify BLTN_CAM_Prk_Oprable_Time = 1
▪ After Key Off, confirm parking recording and sleep entry, then proceed with parking recording
▪ After sleep, enter 2 hours for actual parking recording time (DLC = 7)
- [ICU_10_200ms] Check if ICU_BS2SoC = 71% (DLC = 7)
▪ Verify BLTN_CAM_Prk_Oprable_Time = 2
▪ After confirming re-entering Sleep, wake up and check the BLTN_CAM_Prk_Oprable_Time value</t>
  </si>
  <si>
    <t>▪ Verify BLTN_CAM_Prk_Oprable_Time = 0x1
▪ Verify normal operation of parking recording</t>
  </si>
  <si>
    <t>Checking the impact on parking recording operation when DLC (Data Length Code) = 6</t>
  </si>
  <si>
    <t>▪ Set parking recording time (BLTN_CAM_Set_PrkTime) to 20 hours
▪ Enter 1 hour for actual parking recording time
- [ICU_10_200ms] Check if ICU_BS2SoC = 70%
▪ Verify BLTN_CAM_Prk_Oprable_Time = 1
▪ After turning off the key, confirm parking recording and sleep mode, then proceed with parking recording.
▪ After sleep, enter 2 hours for actual parking recording time (DLC = 6)
- [ICU_10_200ms] Check if ICU_BS2SoC = 71% (DLC = 6)
▪ Verify BLTN_CAM_Prk_Oprable_Time = 2
▪ After confirming re-entering sleep mode, wake up and check the BLTN_CAM_Prk_Oprable_Time value</t>
  </si>
  <si>
    <t>Checking the impact on parking recording operation when DLC (Data Length Code) = 5</t>
  </si>
  <si>
    <t>▪ Set parking recording time (BLTN_CAM_Set_PrkTime) to 20 hours
▪ Enter 1 hour for actual parking recording time
- [ICU_10_200ms] Check if ICU_BS2SoC = 70%
▪ Verify BLTN_CAM_Prk_Oprable_Time = 1
▪ After Key Off, confirm parking recording and sleep entry, then proceed with parking recording
▪ After sleep, enter 2 hours for actual parking recording time (DLC = 5)
- [ICU_10_200ms] Check if ICU_BS2SoC = 71% (DLC = 5)
▪ Verify BLTN_CAM_Prk_Oprable_Time = 2
▪ After confirming re-entering sleep, wake up and check the BLTN_CAM_Prk_Oprable_Time value</t>
  </si>
  <si>
    <t>▪ Verify BLTN_CAM_Prk_Oprable_Time = 1
▪ Verify normal operation of parking recording</t>
  </si>
  <si>
    <t>Checking the impact on parking recording operation when DLC (Data Length Code) = 4</t>
  </si>
  <si>
    <t>▪ Set parking recording time (BLTN_CAM_Set_PrkTime) to 20 hours
▪ Enter 1 hour for actual parking recording time
- [ICU_10_200ms] Check if ICU_BS2SoC = 70%
▪ Verify BLTN_CAM_Prk_Oprable_Time = 1
▪ After turning off the key, confirm parking recording and sleep mode, then proceed with parking recording.
▪ After sleep, enter 2 hours for actual parking recording time (DLC = 4)
- [ICU_10_200ms] Check if ICU_BS2SoC = 71% (DLC = 4)
▪ Verify BLTN_CAM_Prk_Oprable_Time = 2
▪ After confirming re-entering sleep mode, wake up and check the BLTN_CAM_Prk_Oprable_Time value</t>
  </si>
  <si>
    <t>Checking the impact on parking recording operation when DLC (Data Length Code) = 3</t>
  </si>
  <si>
    <t>▪ Set parking recording time (BLTN_CAM_Set_PrkTime) to 20 hours
▪ Enter 1 hour for actual parking recording time
- [ICU_10_200ms] Check if ICU_BS2SoC = 70%
▪ Verify BLTN_CAM_Prk_Oprable_Time = 1
▪ After Key Off, confirm parking recording and sleep entry, then proceed with parking recording
▪ After sleep, enter 2 hours for actual parking recording time (DLC = 3)
- [ICU_10_200ms] Check if ICU_BS2SoC = 71% (DLC = 3)
▪ Verify BLTN_CAM_Prk_Oprable_Time = 2
▪ After confirming re-entry into sleep, wake up and check the BLTN_CAM_Prk_Oprable_Time value</t>
  </si>
  <si>
    <t>Checking the impact on parking recording operation when DLC (Data Length Code) = 2</t>
  </si>
  <si>
    <t>▪ Set parking recording time (BLTN_CAM_Set_PrkTime) to 20 hours
▪ Enter 1 hour for actual parking recording time
- [ICU_10_200ms] Check if ICU_BS2SoC = 70%
▪ Verify BLTN_CAM_Prk_Oprable_Time = 1
▪ After Key Off, confirm parking recording and sleep entry, then proceed with parking recording
▪ After sleep, enter 2 hours for actual parking recording time (DLC = 2)
- [ICU_10_200ms] Check if ICU_BS2SoC = 71% (DLC = 2)
▪ Verify BLTN_CAM_Prk_Oprable_Time = 0
▪ After confirming re-entering Sleep, wake up and check the BLTN_CAM_Prk_Oprable_Time value</t>
  </si>
  <si>
    <t>▪ Verify BLTN_CAM_Prk_Oprable_Time = 0
▪ Verify normal operation of parking recording</t>
  </si>
  <si>
    <t>Checking the impact on parking recording operation when DLC (Data Length Code) = 1</t>
  </si>
  <si>
    <t>▪ Set parking recording time (BLTN_CAM_Set_PrkTime) to 20 hours
▪ Enter 1 hour for actual parking recording time
- [ICU_10_200ms] Check if ICU_BS2SoC = 70%
▪ Verify BLTN_CAM_Prk_Oprable_Time = 1
▪ After Key Off, confirm parking recording and sleep entry, then proceed with parking recording
▪ After sleep, enter 2 hours for actual parking recording time (DLC = 1)
- [ICU_10_200ms] Check if ICU_BS2SoC = 71% (DLC = 1)
▪ Verify BLTN_CAM_Prk_Oprable_Time = 0
▪ After confirming re-entering Sleep, wake up and check the BLTN_CAM_Prk_Oprable_Time value</t>
  </si>
  <si>
    <t>[eAGM Battery_Conditions other than Parking Recording Operation Specifications]
: [ICU_10_200ms] Cycle Impact Verification</t>
  </si>
  <si>
    <t>BAT_040</t>
  </si>
  <si>
    <t>[eAGM Battery_Parking Recording Operation Specifications] - (4)</t>
  </si>
  <si>
    <t>[ICU_10_200ms] Check impact on parking recording operation in case of Event signal</t>
  </si>
  <si>
    <t>▪ Set parking recording time (BLTN_CAM_Set_PrkTime) to 20 hours
▪ Enter 1 hour for actual parking recording time
- [ICU_10_200ms] Check if ICU_BS2SoC = 70%
▪ Verify BLTN_CAM_Prk_Oprable_Time = 1
▪ After Key Off, confirm parking recording and sleep entry, then proceed with parking recording
▪ Enter 2 hours for actual parking recording time after sleep (manual)
- [ICU_10_200ms] Check if ICU_BS2SoC = 71% (manual)
▪ Verify BLTN_CAM_Prk_Oprable_Time = 2
▪ After confirming re-entry into sleep, wake up and check the BLTN_CAM_Prk_Oprable_Time value</t>
  </si>
  <si>
    <t>[ICU_10_200ms] Checking the impact of parking recording operation when the cycle is 1ms</t>
  </si>
  <si>
    <t>▪ Set parking recording time (BLTN_CAM_Set_PrkTime) to 20 hours
▪ Enter 1 hour for actual parking recording time
- [ICU_10_200ms] Check if ICU_BS2SoC = 70%
▪ Verify BLTN_CAM_Prk_Oprable_Time = 1
▪ After Key Off, confirm parking recording and sleep entry, then proceed with parking recording
▪ After sleep, enter 2 hours for actual parking recording time (1ms)
- [ICU_10_200ms] Check if ICU_BS2SoC = 71% (1ms)
▪ Verify BLTN_CAM_Prk_Oprable_Time = 2
▪ After confirming re-entry into sleep, wake up and check the BLTN_CAM_Prk_Oprable_Time value</t>
  </si>
  <si>
    <t>[ICU_10_200ms] Checking the impact of parking recording operation when the cycle is 100ms</t>
  </si>
  <si>
    <t>▪ Set parking recording time (BLTN_CAM_Set_PrkTime) to 20 hours
▪ Enter 1 hour for the actual parking recording time
- [ICU_10_200ms] Check if ICU_BS2SoC = 70%
▪ Verify BLTN_CAM_Prk_Oprable_Time = 1
▪ After Key Off, confirm parking recording and sleep entry, then proceed with parking recording
▪ After sleep, enter 2 hours for the actual parking recording time (100ms)
- [ICU_10_200ms] Check if ICU_BS2SoC = 71% (100ms)
▪ Verify BLTN_CAM_Prk_Oprable_Time = 2
▪ After confirming re-entry into sleep, wake up and check the BLTN_CAM_Prk_Oprable_Time value</t>
  </si>
  <si>
    <t>[ICU_10_200ms] Checking the impact of parking recording operation when the cycle is 300ms</t>
  </si>
  <si>
    <t>▪ Set parking recording time (BLTN_CAM_Set_PrkTime) to 20 hours
▪ Enter 1 hour for the actual parking recording time
- [ICU_10_200ms] Check if ICU_BS2SoC = 70%
▪ Verify BLTN_CAM_Prk_Oprable_Time = 1
▪ After Key Off, confirm parking recording and sleep entry, then proceed with parking recording
▪ Enter 2 hours for the actual parking recording time after sleep (300ms)
- [ICU_10_200ms] Check if ICU_BS2SoC = 71% (300ms)
▪ Verify BLTN_CAM_Prk_Oprable_Time = 2
▪ After confirming re-entry into sleep, wake up and check the BLTN_CAM_Prk_Oprable_Time value</t>
  </si>
  <si>
    <t>[ICU_10_200ms] Checking the impact of parking recording operation when the cycle is 500ms</t>
  </si>
  <si>
    <t>▪ Set parking recording time (BLTN_CAM_Set_PrkTime) to 20 hours
▪ Enter 1 hour for actual parking recording time
- [ICU_10_200ms] Check if ICU_BS2SoC = 70%
▪ Verify BLTN_CAM_Prk_Oprable_Time = 1
▪ After Key Off, confirm parking recording and sleep entry, then proceed with parking recording
▪ Enter 2 hours for actual parking recording time after sleep (500ms)
- [ICU_10_200ms] Check if ICU_BS2SoC = 71% (500ms)
▪ Verify BLTN_CAM_Prk_Oprable_Time = 2
▪ After confirming re-entry into sleep, wake up and check the BLTN_CAM_Prk_Oprable_Time value</t>
  </si>
  <si>
    <t>[eAGM Battery_Conditions Outside of Parking Recording Operation Specifications]
: [ICU_10_200ms] Verification of Signal Impact Outside Operating Range</t>
  </si>
  <si>
    <t>[eAGM Battery_Parking Recording Operation Specifications] - (5)</t>
  </si>
  <si>
    <t>[ICU_10_200ms] ICU_BS2SoC = Confirm cessation of recording for weeks 0x01~0x40</t>
  </si>
  <si>
    <t>▪ Set Parking Recording Time (BLTN_CAM_Set_PrkTime) to 20 hours
▪ Enter 1 hour for the actual parking recording time
- [ICU_10_200ms] Check if ICU_BS2SoC = 70%
▪ Verify BLTN_CAM_Prk_Oprable_Time = 1
▪ After Key Off, confirm parking recording and sleep mode entry, then proceed with parking recording
▪ After sleep, enter 0 hours for the actual parking recording time (stop recording)
- [ICU_10_200ms] ICU_BS2SoC = 0x01~0x40 (stop recording)
▪ Verify BLTN_CAM_Prk_Oprable_Time = 0</t>
  </si>
  <si>
    <t>▪ Confirm parking recording stop</t>
  </si>
  <si>
    <t>[ICU_10_200ms] ICU_BS2SoC = 0x42~0x45 Confirm maintenance of week 1 recording</t>
  </si>
  <si>
    <t>▪ Set Parking Recording Time (BLTN_CAM_Set_PrkTime) to 20 hours
▪ Enter 1 hour for the actual parking recording time
- [ICU_10_200ms] Check if ICU_BS2SoC = 70%
▪ Verify BLTN_CAM_Prk_Oprable_Time = 1
▪ Proceed with parking recording after Key Off and confirming sleep entry
▪ Enter 0 hours for the actual parking recording time after sleep (maintain previous value)
- [ICU_10_200ms] Check if ICU_BS2SoC = 0x42~0x45 (maintain previous value)
▪ Verify BLTN_CAM_Prk_Oprable_Time = 0
▪ [ICU_10_200ms] Check if ICU_BS2SoC = 65% or 0xFF</t>
  </si>
  <si>
    <t>[ICU_10_200ms] ICU_BS2SoC = 0x65~0xfe</t>
  </si>
  <si>
    <t>▪ Set Parking Recording Time (BLTN_CAM_Set_PrkTime) to 20 hours
▪ Enter 1 hour for the actual parking recording time
- [ICU_10_200ms] Check if ICU_BS2SoC = 70%
▪ Verify if BLTN_CAM_Prk_Oprable_Time = 1
▪ Proceed with parking recording after Key Off and confirmation of sleep mode entry
▪ After sleep, enter [ICU_10_200ms] ICU_BS2SoC = Invalid (Maintain previous value)
- [ICU_10_200ms] Check if ICU_BS2SoC = 0x65~0xFE (Maintain previous value)
▪ Verify if BLTN_CAM_Prk_Oprable_Time = 0
▪ [ICU_10_200ms] Check if ICU_BS2SoC = 65% or 0xFF</t>
  </si>
  <si>
    <t>[Conditions other than eAGM Battery_Parking Recording Operation Specifications]
: Unsatisfied with reception condition for undefined value (0x00, 0xFF)</t>
  </si>
  <si>
    <t>BAT_042</t>
  </si>
  <si>
    <t>[eAGM Battery_Parking Recording Operation Specifications] - (6)</t>
  </si>
  <si>
    <t>[ICU_10_200ms] Received ICU_BS2SoC = 0x00 value 1~9 consecutive times</t>
  </si>
  <si>
    <t>▪ [ICU_10_200ms] ICU_BS2SoC = 70~85%
▪ Start parking recording by turning KEY OFF
▪ While CAN Alive, send ICU_BS2SoC = 0x00 message 1 to 9 times at 200ms intervals</t>
  </si>
  <si>
    <t>▪ Confirmed normal operation of parking recording</t>
  </si>
  <si>
    <t>[ICU_10_200ms] Receive ICU_BS2SoC = 0x00 value 1 to 9 times consecutively, repeat</t>
  </si>
  <si>
    <t>▪ [ICU_10_200ms] ICU_BS2SoC = 70~85%
▪ Turn KEY OFF to start parking recording
▪ While in CAN Alive state, send ICU_BS2SoC = 0x00 message 1 to 9 times at 200ms intervals, then enter Sleep.
▪ Repeat sending ICU_BS2SoC = 0x00 message 1 to 9 times at 200ms intervals.</t>
  </si>
  <si>
    <t>[ICU_10_200ms] Received ICU_BS2SoC = 0xFF value 1~9 consecutive times</t>
  </si>
  <si>
    <t>▪ [ICU_10_200ms] ICU_BS2SoC = 70~85%
▪ Start parking recording by turning KEY OFF
▪ While CAN Alive, send ICU_BS2SoC = 0xFF message 1 to 9 times at 200ms intervals</t>
  </si>
  <si>
    <t>[ICU_10_200ms] Receive ICU_BS2SoC = 0xFF value 1~9 times consecutively, repeat</t>
  </si>
  <si>
    <t>▪ [ICU_10_200ms] ICU_BS2SoC = 70~85%
▪ Turn KEY OFF to start parking recording
▪ While in CAN Alive state, send ICU_BS2SoC = 0xFF message 1 to 9 times at 200ms intervals, then enter Sleep.
▪ Repeat sending ICU_BS2SoC = 0x00 message 1 to 9 times at 200ms intervals.</t>
  </si>
  <si>
    <t>[eAGM Battery_Conditions for Inability to Upgrade]
: Check BLTN_CAM_Prk_Oprable_Time</t>
  </si>
  <si>
    <t>If the soc upward update condition is not met, check BLTN_CAM_Prk_Oprable_Time</t>
  </si>
  <si>
    <t>▪ Set Parking Recording Time (BLTN_CAM_Set_PrkTime) to 2 hours
▪ Enter actual Parking Recording Time of 1 hour
- [ICU_10_200ms] Enable ICU_BS2SoC = 70%
▪ Verify BLTN_CAM_Prk_Oprable_Time = 1
▪ Proceed with Parking Recording after Key Off and confirmation of sleep mode entry
▪ Wait 50 minutes
▪ [ICU_10_200ms] Enable increase to ICU_BS2SoC = 74%</t>
  </si>
  <si>
    <t>▪ Verify BLTN_CAM_Prk_Oprable_Time = 0x01
▪ Verify stop parking recording after the parking recording availability time</t>
  </si>
  <si>
    <t>[eAGM Battery_Verification of Parking Recording Operation After Recharge]
: BLTN_CAM_Prk_Oprable_Time Verification</t>
  </si>
  <si>
    <t>Check BLTN_CAM_Prk_Oprable_Time update after supplementary pre-war.</t>
  </si>
  <si>
    <t>▪ Set Parking Recording Availability (BLTN_CAM_Set_PrkTime) to 4 hours
▪ Enter actual Parking Recording Availability of 2 hours
- [ICU_10_200ms] Enable ICU_BS2SoC = 71%
▪ Verify BLTN_CAM_Prk_Oprable_Time = 2
▪ Proceed with Parking Recording after Key Off and confirmation of sleep mode entry
▪ Wait 50 minutes
▪ Enable [ICU_10_200ms] ICU_BS2SoC = 71%
Verify BLTN_CAM_Prk_Oprable_Time = 1
▪ [ICU_10_200ms] Increase ICU_BS2SoC to 74%
▪ Verify BLTN_CAM_Prk_Oprable_Time = 3
▪ Wait 2 hours 10 minutes
▪ [ICU_10_200ms] ICU_BS2SoC = 74% approval</t>
  </si>
  <si>
    <t>▪ Verify BLTN_CAM_Prk_Oprable_Time = 0x00
▪ Verify stop parking recording after parking recording availability time</t>
  </si>
  <si>
    <t>Full review of the supplementary battle scenario</t>
  </si>
  <si>
    <t>[eAGM Battery_Parking Recording Operation Specifications] - (7)</t>
  </si>
  <si>
    <t>Check all supplementary functions</t>
  </si>
  <si>
    <t>▪ Check Operable Time signal update after inputting CAN signals in the following order (black text)</t>
  </si>
  <si>
    <t>▪ Check BLTN_CAM_Prk_Oprable_Time signal (blue text)</t>
  </si>
  <si>
    <t>[Issues encountered during the development phase]</t>
  </si>
  <si>
    <t>When Key Reset is performed after setting the parking recording time to 19H or less, the Operatable Time decreases by 1Hr.</t>
  </si>
  <si>
    <t>▪ [ICU_10_200ms] ICU_BS2SoC = 80% (Enable arbitrary recording range SoC)
▪ KEY OFF → KEY ON
▪ Check BLTN_CAM_Prk_Oprable_Time signal</t>
  </si>
  <si>
    <t>▪ BLTN_CAM_Prk_Oprable_Time = 12Hr (80% : 12 Hr)
※ Does not decrease to 11Hr</t>
  </si>
  <si>
    <t>↑ When Key Reset, recording time cannot be set while Operatable Time has decreased by 1 Hr</t>
  </si>
  <si>
    <t>↑ Change parking continuous recording setting time</t>
  </si>
  <si>
    <t>▪ Check BLTN_CAM_Prk_Oprable_Time update based on parking recording set time</t>
  </si>
  <si>
    <t>No Termiate Info signal generated when recording ends due to insufficient SoC during parking recording</t>
  </si>
  <si>
    <t>▪ [ICU_10_200ms] ICU_BS2SoC = 100%
▪ Turn KEY OFF to start parking recording
▪ With CAN Alive, lower ICU_BS2SoC = 65% or lower to stop parking recording</t>
  </si>
  <si>
    <t>▪ BLTN_CAM_PrkOp_Termiate_Info = 0x1 signal output for 30 seconds
 :Park operation terminated earlier than user set because of Bat. SoC</t>
  </si>
  <si>
    <t>[eAGM Battery Recharge Logic Correlation Verification] SD Card</t>
  </si>
  <si>
    <t>Removing/Inserting SD Card During Recharge Operation</t>
  </si>
  <si>
    <t>▪ [ICU_10_200ms] ICU_BS2SoC = 70~85%
▪ Start parking recording by turning KEY OFF
▪ Update to ICU_BS2SoC = 86~100% while CAN Alive
▪ SD card removed while BLTN_CAM_Prk_Oprable_Time is updating</t>
  </si>
  <si>
    <t>▪ BLTN_CAM_Prk_Oprable_Time = BLTN_CAM_Set_PrkTime - BLTN_CAM_Oped_Time
▪ Check for Sleep entry</t>
  </si>
  <si>
    <t>▪ Insert SD card after Sleep</t>
  </si>
  <si>
    <t>▪ Network will enter Sleep after waiting for BLTN_CAM_Prk_Oprable_Time (Dark current less than 2mA)</t>
  </si>
  <si>
    <t>Remove / Insert SD card with a usable capacity of 32GB or less during supplementary operation</t>
  </si>
  <si>
    <t>▪ [ICU_10_200ms] ICU_BS2SoC = 70~85%
▪ Turn KEY OFF to start parking recording
▪ With CAN Alive, ICU_BS2SoC = 86~100%
▪ Remove SD card with available capacity of 32GB or less</t>
  </si>
  <si>
    <t>▪ BLTN_CAM_Prk_Oprable_Time = 0
▪ Network will enter Sleep (Dark current less than 2mA)</t>
  </si>
  <si>
    <t>▪ Insert an SD card with a usable capacity of 32GB or less</t>
  </si>
  <si>
    <t>[Verification of eAGM Battery Recharge Logic Correlation] ccNC Operation</t>
  </si>
  <si>
    <t>BAT_044</t>
  </si>
  <si>
    <t>[eAGM Battery_Parking Recording Operation Specifications] - (8)</t>
  </si>
  <si>
    <t>CCNC reset during supplementary operation</t>
  </si>
  <si>
    <t>▪ [ICU_10_200ms] ICU_BS2SoC = 70~85%
▪ Start parking recording by turning KEY OFF
▪ Update to ICU_BS2SoC = 86~100% while CAN Alive
▪ Reset CCNC while BLTN_CAM_Prk_Oprable_Time is updating</t>
  </si>
  <si>
    <t>▪ Verify up-update of BLTN_CAM_Prk_Oprable_Time value to match the transmitted SoC value
▪ Verify normal operation of parking recording</t>
  </si>
  <si>
    <t>CCNC reset immediately after completion of replenishment operation (parking 20H).</t>
  </si>
  <si>
    <t>▪ Set Parking Recording Time (BLTN_CAM_Set_PrkTime) to 20 hours
▪ [ICU_10_200ms] ICU_BS2SoC = 70~85%
▪ Turn KEY OFF to start parking recording
▪ Update ICU_BS2SoC to 86~100% while CAN Alive
▪ Reset ccNC immediately after 20 hours of parking recording</t>
  </si>
  <si>
    <t>▪ Verify that the BLTN_CAM_Prk_Oprable_Time value is updated upward to match the transmitted SoC value.
▪ Verify normal operation of 20H parking recording.
▪ Network Sleep should be maintained after ccNC reset (Dark current less than 2mA).</t>
  </si>
  <si>
    <t>Reset CCNC in Built-in Cam Sleep state 1 hour after completion of supplementary charging operation (20H parking).</t>
  </si>
  <si>
    <t>▪ Set Parking Recording Time (BLTN_CAM_Set_PrkTime) to 20 hours
▪ [ICU_10_200ms] ICU_BS2SoC = 70~85%
▪ Turn KEY OFF to start parking recording
▪ Update ICU_BS2SoC to 86~100% while CAN Alive
▪ After 20 hours of parking recording, wait 1 hour (Network Sleep state), then reset CCNC</t>
  </si>
  <si>
    <t>Reset CCNC in Built-in Cam Sleep state 2 hours after completion of supplementary charging operation (20H parking).</t>
  </si>
  <si>
    <t>▪ Set Parking Recording Time (BLTN_CAM_Set_PrkTime) to 20 hours
▪ [ICU_10_200ms] ICU_BS2SoC = 70~85%
▪ Turn KEY OFF to start parking recording
▪ Update ICU_BS2SoC to 86~100% while CAN Alive
▪ After 20 hours of parking recording, wait 2 hours (Network Sleep state), then reset CCNC</t>
  </si>
  <si>
    <t>Reset CCNC in Built-in Cam Sleep state 3 hours after completion of supplementary charging operation (20H parking).</t>
  </si>
  <si>
    <t>▪ Set Parking Recording Time (BLTN_CAM_Set_PrkTime) to 20 hours
▪ [ICU_10_200ms] ICU_BS2SoC = 70~85%
▪ Turn KEY OFF to start parking recording
▪ Update ICU_BS2SoC to 86~100% while CAN Alive
▪ After 20 hours of parking recording, wait 3 hours (Network Sleep state), then reset CCNC</t>
  </si>
  <si>
    <t>Reset CCNC in Built-in Cam Sleep state 5 hours after completion of supplementary charging operation (20H parking).</t>
  </si>
  <si>
    <t>▪ Set Parking Recording Time (BLTN_CAM_Set_PrkTime) to 20 hours
▪ [ICU_10_200ms] ICU_BS2SoC = 70~85%
▪ Turn KEY OFF to start parking recording
▪ Update ICU_BS2SoC to 86~100% while CAN Alive
▪ After 20 hours of parking recording, wait 5 hours (Network Sleep state), then reset CCNC</t>
  </si>
  <si>
    <t>[eAGM Battery Recharge Logic Correlation Verification] Front/Rear Camera</t>
  </si>
  <si>
    <t>BAT_045</t>
  </si>
  <si>
    <t>[eAGM Battery_Parking Recording Operation Specifications] - (9)</t>
  </si>
  <si>
    <t>Front camera removal during supplementary operation</t>
  </si>
  <si>
    <t>▪ [ICU_10_200ms] ICU_BS2SoC = 70~85%
▪ Start parking recording by turning KEY OFF
▪ Update to ICU_BS2SoC = 86~100% while CAN Alive
▪ Front camera removed while BLTN_CAM_Prk_Oprable_Time is updating</t>
  </si>
  <si>
    <t>▪ Verify that the BLTN_CAM_Prk_Oprable_Time value is updated upwards to match the transmitted SoC value.
▪ Verify that parking recording is functioning normally.
▪ The network should enter Sleep after operating for BLTN_CAM_Prk_Oprable_Time (dark current less than 2mA).</t>
  </si>
  <si>
    <t>Front camera connection during supplementary operation</t>
  </si>
  <si>
    <t>▪ [ICU_10_200ms] ICU_BS2SoC = 70~85%
▪ Start parking recording by removing front camera and turning KEY OFF
▪ Update to ICU_BS2SoC = 86~100% while CAN Alive
▪ Front camera connected while BLTN_CAM_Prk_Oprable_Time is updating</t>
  </si>
  <si>
    <t>Rear camera removal during supplementary operation</t>
  </si>
  <si>
    <t>▪ [ICU_10_200ms] ICU_BS2SoC = 70~85%
▪ Start parking recording by turning KEY OFF
▪ Update to ICU_BS2SoC = 86~100% while CAN Alive
▪ Rear camera removed while BLTN_CAM_Prk_Oprable_Time is updating</t>
  </si>
  <si>
    <t>Rear camera connection during supplementary operation</t>
  </si>
  <si>
    <t>▪ [ICU_10_200ms] ICU_BS2SoC = 70~85%
▪ Start parking recording by removing rear camera and turning KEY OFF
▪ Update to ICU_BS2SoC = 86~100% while CAN Alive
▪ Rear camera connected while BLTN_CAM_Prk_Oprable_Time is updating</t>
  </si>
  <si>
    <t>Removal of front/rear cameras during supplementary operation</t>
  </si>
  <si>
    <t>▪ [ICU_10_200ms] ICU_BS2SoC = 70~85%
▪ Start parking recording by turning KEY OFF
▪ Update to ICU_BS2SoC = 86~100% while CAN Alive
▪ Front/rear camera removed while BLTN_CAM_Prk_Oprable_Time is updating</t>
  </si>
  <si>
    <t>Front/rear camera connection during supplementary operation</t>
  </si>
  <si>
    <t>▪ [ICU_10_200ms] ICU_BS2SoC = 70~85%
▪ Start parking recording by removing front/rear cameras and turning KEY OFF
▪ Update to ICU_BS2SoC = 86~100% while CAN Alive
▪ Front/rear cameras connected while BLTN_CAM_Prk_Oprable_Time is updating</t>
  </si>
  <si>
    <t>[Verification of SoC Update Impact After Parking Recording]
Receive 0x00(0%), Invalid(0x65~0xFE), or 0xFF(Error) values ​​10 times consecutively (transmit at least 10 times for approximately 2 seconds = 200ms).</t>
  </si>
  <si>
    <t>[eAGM Battery_Parking Recording Operation Specifications] - (10)
**eAGM Battery_Parking Recording Operation Specifications**</t>
  </si>
  <si>
    <t>Update SoC value after early termination of parking recording following SoC 0~65% reception during parking recording</t>
  </si>
  <si>
    <t>▪ Recording in progress
▪ Enter 0~65% of actual available parking recording time (check both Sleep and Alive states)
- [ICU_10_200ms] ICU_BS2SoC = 0~65%
▪ Stop parking recording
▪ [ICU_10_200ms] ICU_BS2SoC = 0x4D(77)</t>
  </si>
  <si>
    <t>▪ Recording does not proceed even after SoC is updated after parking recording ends</t>
  </si>
  <si>
    <t>Update SoC value after early termination of parking recording following SoC 0xFF reception during parking recording</t>
  </si>
  <si>
    <t>▪ Recording in progress
▪ Enter 0xFF for actual available parking recording time (check both Sleep and Alive states)
- [ICU_10_200ms] ICU_BS2SoC = 0xFF
▪ Stop parking recording
▪ [ICU_10_200ms] ICU_BS2SoC = 0x4D(77)</t>
  </si>
  <si>
    <t>After receiving SoC Invalid during parking recording, terminate parking recording early and update the SoC value.</t>
  </si>
  <si>
    <t>▪ Recording in progress
▪ Enter 0xFF for actual available parking recording time (check both Sleep and Alive states)
- [ICU_10_200ms] ICU_BS2SoC = 0x65~0xFE(Invalid)
▪ Stop parking recording
▪ [ICU_10_200ms] ICU_BS2SoC = 0x4D(77)</t>
  </si>
  <si>
    <t>Update SoC value after parking recording operation is complete</t>
  </si>
  <si>
    <t>▪ Set parking recording time (BLTN_CAM_Set_PrkTime) to 1~20 hours
▪ [ICU_10_200ms] ICU_BS2SoC = 87~%
▪ Turn KEY OFF to start parking recording
▪ Parking recording 20H completed
▪ [ICU_10_200ms] ICU_BS2SoC = 0x4D(77)</t>
  </si>
  <si>
    <t>(1) When ACC/IGN is turned off, check the P-LBM and eAGM battery SOCs to determine if parking recording is possible.
(2-2) If the P-LBM battery SOC is insufficient and only the eAGM battery SOC is available, use the eAGM battery power.
(2-3) If both the P-LBM and eAGM battery SOCs are insufficient, do not perform parking recording.
(2-1) If both the P-LBM and eAGM battery SOCs are available, use the P-LBM battery power first.
① When ACC &amp; IGN are turned off, check the P-LBM &amp; eAGM SOCs to determine if parking recording is possible and start parking recording.</t>
  </si>
  <si>
    <t>[eAGM+P-LBM Specifications] SOC Comparison at Start of Recording</t>
  </si>
  <si>
    <t>(1-1) eAGM: Recording performed if 0 hours (0%), P-LBM: 1 hour or more</t>
  </si>
  <si>
    <t>▪ 120-hour recording setting OFF
▪ BLTN_CAM_Set_Prk_Time = 0x14(20Hr)
▪ [ICU_10_200ms] ICU_BS2SoC = 0%
▪ [BMS_DATA_INFO_02] BAT_SOC_for_BLTN_CAM = 5%(1 hour)
▪ KEY OFF</t>
  </si>
  <si>
    <t>▪ BLTN_CAM_Prk_Oprable_Time = 0x14(20Hr)
: Outputs based on Set Time</t>
  </si>
  <si>
    <t>▪ Check parking recording status
▪ Check power supply</t>
  </si>
  <si>
    <t>▪ Stop Parking Recording
▪ P-LBM &amp; eAGM(B+) Current Consumption Less than 0.5mA</t>
  </si>
  <si>
    <t>(1-2) eAGM: Recording performed if 0 hours (65% or less), P-LBM: 1 hour or more</t>
  </si>
  <si>
    <t>▪ 120-hour recording setting OFF
▪ BLTN_CAM_Set_Prk_Time = 0x14(20Hr)
▪ [ICU_10_200ms] ICU_BS2SoC = 65% enabled
▪ [BMS_DATA_INFO_02] BAT_SOC_for_BLTN_CAM
= 5%(1 hour) enabled
▪ KEY OFF</t>
  </si>
  <si>
    <t>(1-3) eAGM: Recording performed if 0 hours (66%~69%), P-LBM: 1 hour or more</t>
  </si>
  <si>
    <t>▪ 120-hour recording setting OFF
▪ BLTN_CAM_Set_Prk_Time = 0x14(20Hr)
▪ [ICU_10_200ms] ICU_BS2SoC = 69% Enabled
▪ [BMS_DATA_INFO_02] BAT_SOC_for_BLTN_CAM = 5%(1 hour) Enabled
▪ KEY OFF</t>
  </si>
  <si>
    <t>▪ [BMS_OPERATION_CONTROL] BAT_Charge_Control = 0x2(Discharging start)
▪ Parking recording in progress via P-LBM power
▪ F/R-CAM_INDI = Blinking (0.5Hz)
▪ In Network Alive state, BLTN_CAM_RecSta_OWP = 0x1(Recording) output</t>
  </si>
  <si>
    <t>(2-2) Recording performed when eAGM is 1 hour or more, and P-LBM is 0 hours</t>
  </si>
  <si>
    <t>▪ 120-hour recording setting OFF
▪ BLTN_CAM_Set_Prk_Time = 0x14(20Hr)
▪ [ICU_10_200ms] ICU_BS2SoC = 70% Enabled(1 hour)
▪ [BMS_DATA_INFO_02] BAT_SOC_for_BLTN_CAM = 4%(0 hours) Enabled
▪ KEY OFF</t>
  </si>
  <si>
    <t>▪ Parking recording in progress via eAGM power
▪ F/R-CAM_INDI = Blinking (0.5Hz)
▪ In Network Alive state, BLTN_CAM_RecSta_OWP = 0x1 (Recording) output</t>
  </si>
  <si>
    <t>(2-3) eAGM, P-LBM: Recording not performed if hours are 0</t>
  </si>
  <si>
    <t>▪ 120-hour recording setting OFF
▪ BLTN_CAM_Set_Prk_Time = 0x14(20Hr)
▪ [ICU_10_200ms] ICU_BS2SoC = 69%(0 hours) Enabled
▪ [BMS_DATA_INFO_02] BAT_SOC_for_BLTN_CAM = 4%(0 hours) Enabled
▪ KEY OFF</t>
  </si>
  <si>
    <t>▪ Parking recording not performed
▪ F/R-CAM_INDI = OFF
▪ Output BLTN_CAM_RecSta_OWP = 0x0(OFF) when Network Alive is active</t>
  </si>
  <si>
    <t>(2-1) If eAGM and P-LBM are 1 hour or longer, use P-LBM first.</t>
  </si>
  <si>
    <t>▪ 120-hour recording setting OFF
▪ BLTN_CAM_Set_Prk_Time = 0x14(20Hr)
▪ [ICU_10_200ms] ICU_BS2SoC = 70%(1 hour)
▪ [BMS_DATA_INFO_02] BAT_SOC_for_BLTN_CAM = 5%(1 hour)
▪ KEY OFF</t>
  </si>
  <si>
    <t>P-LBM SOC Undefined Value (0xFF) Receive Condition</t>
  </si>
  <si>
    <t>▪ 120-hour recording setting OFF
▪ BLTN_CAM_Set_Prk_Time = 0x14(20Hr)
▪ [ICU_10_200ms] ICU_BS2SoC = 70% Enabled(1 hour)
▪ [BMS_DATA_INFO_02] BAT_SOC_for_BLTN_CAM = 255%(ERROR) Enabled
▪ KEY OFF</t>
  </si>
  <si>
    <t>e-AGM SOC Undefined Value (0xFF) Reception Condition</t>
  </si>
  <si>
    <t>▪ 120-hour recording setting OFF
▪ BLTN_CAM_Set_Prk_Time = 0x14(20Hr)
▪ [ICU_10_200ms] Is ICU_BS2SoC = 255%(ERROR)?
▪ [BMS_DATA_INFO_02] Is BAT_SOC_for_BLTN_CAM = 5%(1 hour)?
▪ KEY OFF</t>
  </si>
  <si>
    <t>eAGM SOC value timeout condition</t>
  </si>
  <si>
    <t>▪ 120-hour recording setting OFF
▪ BLTN_CAM_Set_Prk_Time = 0x14(20Hr)
▪ [ICU_10_200ms] ICU_BS2SoC = 70% enabled(1 hour)
▪ [ICU_10_200ms] ICU_BS2SoC transmission stopped
▪ [BMS_DATA_INFO_02] BAT_SOC_for_BLTN_CAM = 4%(0 hours) enabled
▪ KEY OFF</t>
  </si>
  <si>
    <t>P-LBM SOC value timeout condition</t>
  </si>
  <si>
    <t>▪ 120-hour recording setting OFF
▪ BLTN_CAM_Set_Prk_Time = 0x14(20Hr)
▪ [ICU_10_200ms] ICU_BS2SoC = 70% enabled(1 hour)
▪ [BMS_DATA_INFO_02] BAT_SOC_for_BLTN_CAM = 5%(1 hour) enabled
▪ [BMS_DATA_INFO_02] BAT_SOC_for_BLTN_CAM transmission stopped
▪ KEY OFF</t>
  </si>
  <si>
    <t>Operation verification and specifications verification required</t>
  </si>
  <si>
    <t>P-LBM unrecognizable conditions</t>
  </si>
  <si>
    <t>▪ 120-hour recording setting OFF
▪ BLTN_CAM_Set_Prk_Time = 0x14(20Hr)
▪ [ICU_10_200ms] ICU_BS2SoC = 70% enabled(1 hour)
▪ P-LBM removed
▪ KEY OFF</t>
  </si>
  <si>
    <t>▪ Parking recording in progress via eAGM power
▪ F/R-CAM_INDI = Blinking (0.5Hz)
▪ Enter Network Sleep
▪ If Network Alive is active, BLTN_CAM_RecSta_OWP = 0x1 (Recording) output</t>
  </si>
  <si>
    <t>[eAGM+P-LBM Specifications] SOC Comparison at Recording Start (Parking Motion Recording)</t>
  </si>
  <si>
    <t>▪ Check whether parking motion recording is being performed
▪ Check power usage</t>
  </si>
  <si>
    <t>▪ Entering parking motion standby state</t>
  </si>
  <si>
    <t>▪ Motion authorization</t>
  </si>
  <si>
    <t>▪ Parking motion recording via P-LBM power
▪ F/R-CAM_INDI = Blinking (0.5Hz)
▪ In Network Alive state, BLTN_CAM_RecSta_PMD = 0x1 (Recording) output</t>
  </si>
  <si>
    <t>(1-3) eAGM: Recording performed when recording is 0 hours (66%~69%), P-LBM: 1 hour or more</t>
  </si>
  <si>
    <t>(2-2) Recording not performed if eAGM is 1 hour or more, or P-LBM is 0 hours</t>
  </si>
  <si>
    <t>▪ Parking motion recording terminated
▪ P-LBM &amp; eAGM(B+) current consumption less than 0.5mA</t>
  </si>
  <si>
    <t>P-LBM SOC Receive condition for undefined value (0x00, 0xFF)</t>
  </si>
  <si>
    <t>e-AGM SOC Undefined Value (0xFF) Receive Condition</t>
  </si>
  <si>
    <t>▪ Parking motion recording terminated
▪ P-LBM &amp; eAGM(B+) current consumption less than 0.5mA
(Parking motion recording is possible only with P-LBM)</t>
  </si>
  <si>
    <t>BAT_048</t>
  </si>
  <si>
    <t>[eAGM+P-LBM Specifications] SOC Comparison During P-LBM Recording (Voluntary Wake-up)</t>
  </si>
  <si>
    <t>Wake up 5 minutes before end with P-LBM, if P-LBM is available</t>
  </si>
  <si>
    <t>▪ 120-hour recording setting OFF
▪ BLTN_CAM_Set_Prk_Time = 0x14(20Hr)
▪ [ICU_10_200ms] ICU_BS2SoC = 70% Enabled(1 hour)
▪ [BMS_DATA_INFO_02] BAT_SOC_for_BLTN_CAM = 5%(1 hour)
▪ KEY OFF</t>
  </si>
  <si>
    <t>▪ Enter the following value in the panel to prepare for Network Wake-up
: P-LBM = 5% (1 hour)
▪ 55-minute standby</t>
  </si>
  <si>
    <t>▪ LIN Network Wake up
▪ CAN Network Do not wake up</t>
  </si>
  <si>
    <t>▪ Enter LIN Network Sleep</t>
  </si>
  <si>
    <t>▪ Maintain parking recording via P-LBM power
: F/R-CAM_INDI = Flashing (0.5Hz)</t>
  </si>
  <si>
    <t>▪5-minute wait</t>
  </si>
  <si>
    <t>Wake up 5 minutes before end with P-LBM, if P-LBM is unavailable</t>
  </si>
  <si>
    <t>▪ Enter the following values ​​in the panel to prepare for Network Wake-up
: eAGM = 70% (1 hour), P-LBM = 4% (0 hours)
▪ 55-minute standby</t>
  </si>
  <si>
    <t>▪ LIN Network Wake up
▪ CAN Network Wake up
▪ P-LBM → Maintain parking recording via eAGM power
: F/R-CAM_INDI = Blinking (0.5Hz)
▪ BLTN_CAM_RecSta_OWP = Output 0x1 (Recording)</t>
  </si>
  <si>
    <t>▪Enter Network Sleep</t>
  </si>
  <si>
    <t>▪ Maintain parking recording via eAGM power
: F/R-CAM_INDI = Flashing (0.5Hz)</t>
  </si>
  <si>
    <t>Wake up (stop recording) 5 minutes before the end is impossible with P-LBM
→ Cases where the recording goes straight to Sleep without a backup.</t>
  </si>
  <si>
    <t>▪ Enter the following values ​​in the panel to prepare for Network Wake-up
: eAGM = 69%(0 hours), P-LBM = 4%(0 hours)
▪ 55-minute standby</t>
  </si>
  <si>
    <t>▪ LIN Network Wake up</t>
  </si>
  <si>
    <t>▪ CAN Network Wake up
▪ P-LBM → Maintain parking recording via eAGM power
: F/R-CAM_INDI = Blinking (0.5Hz)
▪ BLTN_CAM_RecSta_OWP = 0x1 (Recording) output</t>
  </si>
  <si>
    <t>▪ Enter Network Sleep</t>
  </si>
  <si>
    <t>[eAGM+P-LBM Specifications] SOC Comparison During P-LBM Recording (Voluntary Wake-up) - When Network Alive is Maintained</t>
  </si>
  <si>
    <t>With P-LBM, Wake up (stop recording) 5 minutes before the end is completely impossible
→ No backup and Network Ailve remains active</t>
  </si>
  <si>
    <t>▪ 120-hour recording setting OFF
▪ BLTN_CAM_Set_Prk_Time = 0x14(20Hr)
▪ [ICU_10_200ms] ICU_BS2SoC = 70% (1 hour)
▪ [BMS_DATA_INFO_02] BAT_SOC_for_BLTN_CAM = 5%(1 hour)
▪ KEY OFF
▪ Enter the following values ​​on the panel to prepare for Network Wake-up:
: eAGM = 69%(0 hours), P-LBM = 4%(0 hours)
▪ 55-minute standby
▪ Inject CGM_NM to maintain Alive when Network Alive occurs:
: eAGM = 69%(0 hours), P-LBM = 4%(0 hours)</t>
  </si>
  <si>
    <t>With P-LBM, Wake up (stop recording) is not possible 5 minutes before the end.
→ Reload is enabled and Network Ailve is maintained.</t>
  </si>
  <si>
    <t>▪ 120-hour recording setting OFF
▪ BLTN_CAM_Set_Prk_Time = 0x14(20Hr)
▪ [ICU_10_200ms] ICU_BS2SoC = 70% (1 hour)
▪ [BMS_DATA_INFO_02] BAT_SOC_for_BLTN_CAM = 5%(1 hour)
▪ KEY OFF
▪ Enter the following values ​​on the panel to prepare for Network Wake-up:
: eAGM = 69%(0 hours), P-LBM = 4%(0 hours)
▪ 55-minute standby
▪ Once Network Alive, inject CGM_NM to maintain Alive
▪ eAGM = 70%(1 hour), P-LBM = 4%(0 hours)</t>
  </si>
  <si>
    <t>▪ Stop CGM_NM infusion</t>
  </si>
  <si>
    <t>▪ Enter Network Sleep
▪ Maintain Parking Recording via eAGM Power
: F/R-CAM_INDI = Blinking (0.5Hz)</t>
  </si>
  <si>
    <t>Wake up (stop recording) 5 minutes before end is impossible with P-LBM
→ When recharge occurs + P-LBM is also recharged and Network Alive is maintained</t>
  </si>
  <si>
    <t>▪ 120-hour recording setting OFF
▪ BLTN_CAM_Set_Prk_Time = 0x14(20Hr)
▪ [ICU_10_200ms] ICU_BS2SoC = 70% (1 hour)
▪ [BMS_DATA_INFO_02] BAT_SOC_for_BLTN_CAM = 5%(1 hour)
▪ KEY OFF
▪ Enter the following values ​​on the panel to prepare for Network Wake-up:
: eAGM = 69%(0 hours), P-LBM = 4%(0 hours)
▪ 55-minute standby
▪ Once Network Alive, inject CGM_NM to keep it alive
▪ eAGM = 70%(1 hour), P-LBM = 5%(1 hour)</t>
  </si>
  <si>
    <t>▪ Enter Network Sleep
▪ [BMS_OPERATION_CONTROL] BAT_Charge_Control = 0x2(Discharging start)
▪ Maintain parking recording via eAGM → P-LBM power
: F/R-CAM_INDI = Blinking(0.5Hz)</t>
  </si>
  <si>
    <t>▪ 120-hour recording setting OFF
▪ BLTN_CAM_Set_Prk_Time = 0x14(20Hr)
▪ [ICU_10_200ms] ICU_BS2SoC = 70% (1 hour)
▪ [BMS_DATA_INFO_02] BAT_SOC_for_BLTN_CAM = 5%(1 hour)
▪ KEY OFF
▪ Enter the following values ​​on the panel to prepare for Network Wake-up:
: eAGM = 69%(0 hours), P-LBM = 10%(2 hours)
▪ 55-minute standby
▪ Once Network Alive, inject CGM_NM to maintain Alive</t>
  </si>
  <si>
    <t>▪ CAN Network Wake Up
▪ P-LBM → Maintain Parking Recording via eAGM Power
: F/R-CAM_INDI = Blinking (0.5Hz)
▪ BLTN_CAM_RecSta_OWP = Output 0x1 (Recording)
▪ Timer Recording Time Upward Update
: MCU CTRL] RESET 1 -&gt; P-LBM 2 (Timer upward update can be verified via Journal Log, DLT Log)</t>
  </si>
  <si>
    <t>▪ Enter Network Sleep
▪ [BMS_OPERATION_CONTROL] BAT_Charge_Control = 0x2(Discharging start)
▪ Maintain Parking Recording via eAGM → P-LBM Power
: F/R-CAM_INDI = Blinking (0.5Hz)
: [MCU EVT] MCU_SLEEP 1 1 (This log is recorded when Parking Recording proceeds via P-LBM power)</t>
  </si>
  <si>
    <t>[eAGM+P-LBM Specifications] SOC Comparison During P-LBM Recording (Remote Wake Up)</t>
  </si>
  <si>
    <t>Remote Wake-up (P-LBM maintenance) is possible while recording with P-LBM.</t>
  </si>
  <si>
    <t>▪ CAN Network Wake up
: eAGM = 70% (1 hour), P-LBM = 5% (1 hour)</t>
  </si>
  <si>
    <t>▪ P-LBM → eAGM Power Switch
▪ F/R-CAM_INDI = Keep blinking (0.5Hz)
▪ BLTN_CAM_RecSta_OWP = 0x1 (Recording) output</t>
  </si>
  <si>
    <t>▪ [BMS_OPERATION_CONTROL] BAT_Charge_Control = 0x2(Discharging start)
▪ Switch eAGM → P-LBM power
▪ F/R-CAM_INDI = Keep blinking (0.5Hz)</t>
  </si>
  <si>
    <t>Remote Wake up (Maintain P-LBM) while recording with P-LBM eAGM 0 hours</t>
  </si>
  <si>
    <t>▪ CAN Network Wake up
: eAGM = 69% (0 hours), P-LBM = 5% (1 hour)</t>
  </si>
  <si>
    <t>▪ CAN Network Wake up
: eAGM = 65% (0 hours), P-LBM = 5% (1 hour)</t>
  </si>
  <si>
    <t>Remote Wake up while recording with P-LBM (eAGM switch) P-LBM 0 hours</t>
  </si>
  <si>
    <t>▪ Network remote wake up by authorizing CGM_NM
: eAGM = 70% (1 hour), P-LBM = 4% (0 hours)</t>
  </si>
  <si>
    <t>▪ [BMS_OPERATION_CONTROL] BAT_Charge_Control = 0x0(Stop)
▪ eAGM Power On, Parking Recording On
▪ F/R-CAM_INDI = Keep Flashing (0.5Hz) On</t>
  </si>
  <si>
    <t>Remove P-LBM after remote wake-up while recording with P-LBM</t>
  </si>
  <si>
    <t>▪ 120-hour recording setting OFF
▪ BLTN_CAM_Set_Prk_Time = 0x14(20Hr)
▪ [ICU_10_200ms] ICU_BS2SoC = 70% Enabled(1 hour)
▪ [BMS_DATA_INFO_02] BAT_SOC_for_BLTN_CAM = 100%(20 hours)
▪ KEY OFF</t>
  </si>
  <si>
    <t>▪ Network remote wake up by authorizing CGM_NM
: eAGM = 70% (1 hour), P-LBM = 100% (20 hours)</t>
  </si>
  <si>
    <t>▪ P-LBM removal ▪ CGM_NM suspension</t>
  </si>
  <si>
    <t>▪ eAGM Power On, Parking Recording On
▪ F/R-CAM_INDI = Keep Blinking (0.5Hz) On
▪ Enter Network SLEEP</t>
  </si>
  <si>
    <t>Remote Wake Up after removing eAGM while recording with P-LBM</t>
  </si>
  <si>
    <t>▪ Remove eAGM battery
▪ Enable CGM_NM to remotely wake up</t>
  </si>
  <si>
    <t>▪ Stop Parking Recording
▪ Output BLTN_CAM_PrkOp_Termiate_Info = 0x3 (internal error) -&gt; Requires specification verification</t>
  </si>
  <si>
    <t>▪ CGM_NM discontinued</t>
  </si>
  <si>
    <t>▪ Enter Network SLEEP</t>
  </si>
  <si>
    <t>Remote Wake Up (Stop) is not possible while recording with P-LBM</t>
  </si>
  <si>
    <t>▪ CAN Network Wake up
: eAGM = 69%(0 hours), P-LBM = 4%(0 hours)</t>
  </si>
  <si>
    <t>▪ [BMS_OPERATION_CONTROL] BAT_Charge_Control = 0x0(Stop)
▪ Stop Parking Recording
▪ P-LBM &amp; eAGM(B+) Current Consumption Less than 0.5mA</t>
  </si>
  <si>
    <t>[eAGM+P-LBM Specifications] SOC Comparison During P-LBM Recording (Remote Wake Up)
(Parking Motion Recording)</t>
  </si>
  <si>
    <t>▪ P-LBM → eAGM Power Switch
▪ F/R-CAM_INDI = Keep blinking (1Hz) (0.5Hz when motion is standby)
▪ BLTN_CAM_RecSta_PMD = Output 0x1 (Recording) (when motion is applied)</t>
  </si>
  <si>
    <t>Remote Wake up (Maintain P-LBM) eAGM 0 hours while recording with P-LBM
( eAGM = 66%~69% )</t>
  </si>
  <si>
    <t>Remote Wake up (Maintain P-LBM) eAGM 0 hours while recording with P-LBM
( eAGM = 65% or less )</t>
  </si>
  <si>
    <t>Remote Wake-up P-LBM, eAGM less than 1 hour after parking recording ends due to low battery</t>
  </si>
  <si>
    <t>▪ CAN Network Wake up
: eAGM = 69%(0 hours), P-LBM = 4%(1 hour)</t>
  </si>
  <si>
    <t>▪ CAN Network Wake up
: eAGM = 70% (0 hours), P-LBM = 5% (1 hour)
▪ Enter Network Sleep</t>
  </si>
  <si>
    <t>▪ Parking motion recording terminated
▪ P-LBM &amp; eAGM(B+) current consumption less than 0.5mA
(Parking recording is not possible until key reset)</t>
  </si>
  <si>
    <t>Remote Wake up (Maintain P-LBM) while recording with P-LBM
Receive P-LBM SOC undefined value (0x00, 0xFF) condition</t>
  </si>
  <si>
    <t>▪ Network remote wake up by authorizing CGM_NM
: eAGM = 70% (1 hour), P-LBM = 255% (ERROR)</t>
  </si>
  <si>
    <t>▪ F/R-CAM_INDI = Blink (1Hz) hold (0.5Hz when motion is idle)
▪ BLTN_CAM_RecSta_PMD = Output 0x1(Recording) (when motion is applied)</t>
  </si>
  <si>
    <t>Remote Wake up (Maintain P-LBM) while recording with P-LBM e-AGM SOC Undefined value (0xFF) reception condition</t>
  </si>
  <si>
    <t>▪ CAN Network Wake up
: eAGM = %(0 hours), P-LBM =5%(1 hour)</t>
  </si>
  <si>
    <t>(4-1) When CAN communication wakes up while recording with eAGM power, monitor the P-LBM charging status. (BMS_INFO_03)
(4-2) When CAN communication goes to sleep, check the P-LBM battery SOC and determine whether parking recording is possible.
(4-3) If the parking recording time with P-LBM power is 1 hour or more, switch power to P-LBM and continue parking recording for the duration of the recording time.</t>
  </si>
  <si>
    <t>[eAGM+P-LBM Specifications] SOC Comparison During eAGM Recording (Remote Wake Up)</t>
  </si>
  <si>
    <t>eAGM remote wake-up (P-LBM switch) while power is on</t>
  </si>
  <si>
    <t>▪ 120-hour recording setting OFF
▪ BLTN_CAM_Set_Prk_Time = 0x14(20Hr)
▪ [ICU_10_200ms] ICU_BS2SoC = 70%(1 hour) Enabled
▪ [BMS_DATA_INFO_02] BAT_SOC_for_BLTN_CAM = 4%(0 hours) Enabled
▪ KEY OFF</t>
  </si>
  <si>
    <t>▪ Network remote wake up by authorizing CGM_NM
: eAGM = 70% (1 hour), P-LBM = 5% (1 hour)</t>
  </si>
  <si>
    <t>▪ Switch eAGM → P-LBM power at Sleep time, maintain parking recording
▪ F/R-CAM_INDI = Maintain blinking (0.5Hz)</t>
  </si>
  <si>
    <t>remote Wake up (keep eAGM) while eAGM is powered on</t>
  </si>
  <si>
    <t>▪ 120-hour recording setting OFF
▪ BLTN_CAM_Set_Prk_Time = 0x14(20Hr)
▪ [ICU_10_200ms] ICU_BS2SoC = 70%(1 hour) Enabled
▪ [BMS_DATA_INFO_02] BAT_SOC_for_BLTN_CAM = 5%(1 hour) Enabled
▪ KEY OFF</t>
  </si>
  <si>
    <t>▪ Maintain parking recording via eAGM power
▪ BLTN_CAM_Prk_Oprable_Time = 0x0(0Hr)
▪ BLTN_CAM_RecSta_OWP = 0x1(Recording) output</t>
  </si>
  <si>
    <t>▪ Is eAGM = 80% (12 hours), P-LBM = 4% (0 hours) correct?</t>
  </si>
  <si>
    <t>▪ Maintain parking recording via eAGM power
▪ Increase timer recording duration
: [MCU CTRL] RESET 1 -&gt; eagm 12 (Verify increased timer duration via journal log and DLT log)</t>
  </si>
  <si>
    <t>▪ Stop CGM_NM to enter Network SLEEP</t>
  </si>
  <si>
    <t>▪ Maintain parking recording via eAGM power
▪ F/R-CAM_INDI = Keep blinking (0.5Hz)
: MCU EVT] MCU_SLEEP 1 2 (This log is recorded when parking recording is performed via e-agm power)</t>
  </si>
  <si>
    <t>Emergency forced power cut logic activated while eAGM power is in use
-&gt; P-LBM parking recording enabled</t>
  </si>
  <si>
    <t>▪ Authorize CGM_NM to maintain network wake-up state
▪ Authorize ICU_BattAutoCutPreWrng = 0x01 (Warning)</t>
  </si>
  <si>
    <t>▪ Switch eAGM -&gt; P-LBM power, maintain parking recording
▪ F/R-CAM_INDI = Maintain blinking (0.5Hz)
▪ BLTN_CAM_RecSta_OWP = Output 0x1 (Recording)</t>
  </si>
  <si>
    <t>▪ Enter Network Sleep
▪ Maintain Parking Recording via P-LBM Power
: F/R-CAM_INDI = Blinking (0.5Hz)</t>
  </si>
  <si>
    <t>Network wake up via connected service while emergency forced power cut logic is running</t>
  </si>
  <si>
    <t>▪ 120-hour recording setting OFF
▪ Parking impact notification setting ON
▪ BLTN_CAM_Set_Prk_Time = 0x14(20Hr)
▪ [ICU_10_200ms] ICU_BS2SoC = 70%(1 hour) Enabled
▪ [BMS_DATA_INFO_02] BAT_SOC_for_BLTN_CAM = 100%(20 hours) Enabled
▪ KEY OFF</t>
  </si>
  <si>
    <t>▪ Is BAlarm_BglrAlrm_CurrentSta = 0x2 (Arm)
▪ Is it a shock event</t>
  </si>
  <si>
    <t>Specifications need verification 1) Does CCS operate using p-lbm power?
2) Switch to eAGM power?</t>
  </si>
  <si>
    <t>(4-4) If the situation where replenishment power is not possible persists and the P-LBM SOC is not at a level sufficient for recording, continue recording with eAGM power for the eAGM parking recording time confirmed in (3-1), and check the P-LBM SOC 5 minutes (TBD) before the parking recording time calculated in (3-1) ends.
(4-5) If parking recording is possible with P-LBM power, switch power to P-LBM and continue parking recording for the possible time.</t>
  </si>
  <si>
    <t>BAT_052</t>
  </si>
  <si>
    <t>[eAGM+P-LBM Specifications] If supplementary power is not restored during eAGM recording (Voluntary Wake-up)</t>
  </si>
  <si>
    <t>If eAGM power cannot be recharged while eAGM is in use (when P-LBM is unavailable)</t>
  </si>
  <si>
    <t>▪ 120-hour recording setting OFF
▪ BLTN_CAM_Set_Prk_Time = 0x14(20Hr)
▪ [ICU_10_200ms] ICU_BS2SoC = 70% Enabled(1 hour)
▪ [BMS_DATA_INFO_02] BAT_SOC_for_BLTN_CAM = 4%(0 hours)
▪ KEY OFF</t>
  </si>
  <si>
    <t>▪ LIN Network Wake up after 55 minutes
: ICU_BS2SoC = 69%(0 hours), P-LBM = 4%(0 hours)</t>
  </si>
  <si>
    <t>▪ BLTN_CAM_Prk_Oprable_Time = 0x13(19Hr)
: 5 minutes remaining to record in eAGM</t>
  </si>
  <si>
    <t>If eAGM power cannot be recharged while eAGM is in use (when P-LBM is available)</t>
  </si>
  <si>
    <t>▪ LIN Network Wake up after 55 minutes
: P-LBM = 5% enabled state</t>
  </si>
  <si>
    <t>▪ BLTN_CAM_Prk_Oprable_Time = 0x2(2Hr)
: eAGM 5 min + P-LBM 1 hour
▪ CAN Do not wake up</t>
  </si>
  <si>
    <t>※ Execution Procedure: Based on 120 hours of actual RG3 KV vehicle recording
PLBM 17 hours + eAGM 5 hours (1 hour charging) recording, repeating in a 22-hour cycle
(5-1) For continuous operation, repeat process (3)/(4) to record for the ‘Parking Recording Set Time’ and then terminate.
(5-2) Record only up to the maximum ‘Parking Recording Set Time’ and then terminate the recording.
② The available parking recording time is calculated as BLTN_CAM_Set_PrkTime – BLTN_CAM_Prk_Oped_Time when the Key is Off.
③ If the network wakes up after ACC&amp;IGN Off network sleep, due to a request to update vehicle status information from the CCS app, etc., update and transmit the ‘Available Parking Recording Time’. - Transmit the remaining recording time value by excluding the parking recording elapsed time (BLTN_CAM_P_Oped_Time) from the parking recording setting time (BLTN_CAM_Set_PrkTime).</t>
  </si>
  <si>
    <t>[eAGM+P-LBM Specifications] 120 hours of recording</t>
  </si>
  <si>
    <t>Recording performed by repeatedly switching between P-LBM and eAGM for 120 hours</t>
  </si>
  <si>
    <t>▪ 120-hour recording setting ON
▪ BLTN_CAM_Set_Prk_Time = 0x14(20Hr)
▪ [ICU_10_200ms] ICU_BS2SoC = 88% enabled
▪ [BMS_DATA_INFO_02] BAT_SOC_for_BLTN_CAM = 87% enabled
▪ KEY OFF</t>
  </si>
  <si>
    <t>▪ BLTN_CAM_Prk_Oprable_Time = 0x78(120Hr)</t>
  </si>
  <si>
    <t>▪ Input signal interruption, waiting to enter Network Sleep</t>
  </si>
  <si>
    <t>▪ [LIN] BMS_OPERATION_CONTROL
- Send BAT_Charge_Control = 0x2 (Start Discharging)
▪ Switch to auxiliary battery power</t>
  </si>
  <si>
    <t>▪ Network Wake-up confirmed 16 hours and 55 minutes after the start time
(Voluntary wake-up by built-in cam 5 minutes before PLBM availability time)</t>
  </si>
  <si>
    <t>▪ LIN Network Wake up (PLBM SOC verification)</t>
  </si>
  <si>
    <t>▪ CAN Network Wake up (eAGM SOC verification)</t>
  </si>
  <si>
    <t>▪ [ICU_10_200ms] ICU_BS2SoC = 88% enabled
▪ [BMS_DATA_INFO_02] BAT_SOC_for_BLTN_CAM = 4% enabled</t>
  </si>
  <si>
    <t>▪ [LIN] BMS_OPERATION_CONTROL
- Send BAT_Charge_Control = 0x0 (Stop charging/discharging)
▪ Switch to eAGM power</t>
  </si>
  <si>
    <t>▪ BLTN_CAM_RecSta_OWP = 0x1(Recording)
 ▪ BLTN_CAM_Prk_Oprable_Time = 0x67(103Hr)</t>
  </si>
  <si>
    <t>▪ Wait until Network Sleep is entered</t>
  </si>
  <si>
    <t>▪ Start replenishment for 1 hour after 21 hours have elapsed from the start time (CAN Wake up)
▪ [ICU_10_200ms] ICU_BS2SoC = 80% → 88% (1%/450s)
▪ [BMS_DATA_INFO_02] BAT_SOC_for_BLTN_CAM = 3% → 87%(1%/42s)</t>
  </si>
  <si>
    <t>▪ BLTN_CAM_RecSta_OWP = 0x1(Recording)
 ▪ BLTN_CAM_Prk_Oprable_Time = 0x62(98Hr)</t>
  </si>
  <si>
    <t>▪ Reload completed (takes 1 hour)
▪ Input signal interrupted, waiting to enter Network Sleep</t>
  </si>
  <si>
    <t>▪ Repeat the above process (22 hours) until 120 hours are completed
▪ Check for the recording end notification signal</t>
  </si>
  <si>
    <t>▪ CAN Network Wake up</t>
  </si>
  <si>
    <t>▪ BLTN_CAM_RecSta_OWP = 0x1(Recording) → 0x0(OFF)</t>
  </si>
  <si>
    <t>▪ BLTN_CAM_Prk_Oprable_Time = 0x0</t>
  </si>
  <si>
    <t>▪ BLTN_CAM_PrkOp_Termiate_Info = 0x6 : Park operation terminates on time which user set.
(Enters Network Sleep after transmitting for 30 seconds)</t>
  </si>
  <si>
    <t>② The available parking recording time (BLTN_CAM_Prk_Oprable_Time) is the same as BLTN_CAM_Set_PrkTime when the Key is turned on.</t>
  </si>
  <si>
    <t>[eAGM+P-LBM Specifications] Recording Settings</t>
  </si>
  <si>
    <t>Recording settings and setting time</t>
  </si>
  <si>
    <t>▪ Turn on High Voltage Battery Recording in Built-in Cam Mode
(This menu is not available for models with the continuous recording setting)</t>
  </si>
  <si>
    <t>▪ One-time setting vehicle types: BLTN_CAM_Set_EV_RecMaxTime = 0x2(ON)
▪ Continuous setting vehicle types: BLTN_CAM_Set_EV_RecMaxTime = 0x0(Default)
(Outputs 0x0 to disable GUI display while enabling 120-hour recording)
▪ BLTN_CAM_Prk_Oprable_Time = 0x78(120Hr)</t>
  </si>
  <si>
    <t>▪ (Vehicles with continuous recording) Set recording time to 10–120 hours (in 10-hour increments)</t>
  </si>
  <si>
    <t>▪ BLTN_CAM_Prk_Oprable_Time = 10Hr, 20Hr ~ 120Hr output</t>
  </si>
  <si>
    <t>[M-LBM Battery_Parking Recording Operation Specifications]
Parking Recording Specifications Based on SOC Value
※ For M-LBM vehicles, recording is performed for a user-set duration when an SOC value of 31% or higher is received.</t>
  </si>
  <si>
    <t>[M-LBM Compatible Vehicles] Recording Operation Specifications -1</t>
  </si>
  <si>
    <t>When MainLBM_SocVal = input exceeding 30%</t>
  </si>
  <si>
    <t>▪ Parking Recording Setting ON
▪ [LBM_FD_02_100ms] MainLBM_SocVal = 31%
▪ Key Off</t>
  </si>
  <si>
    <t>▪ BLTN_CAM_Prk_Oprable_Time = BLTN_CAM_Set_PrkTIme
▪ BLTN_CAM_RecSta_OWP = 0X1 (ON)
▪ Verify normal operation of parking recording</t>
  </si>
  <si>
    <t>When MainLBM_SocVal = 30% or less</t>
  </si>
  <si>
    <t>▪ KEY ON
▪ [LBM_FD_02_100ms] MainLBM_SocVal = 30% ▪ Key Off</t>
  </si>
  <si>
    <t>▪ BLTN_CAM_Prk_Oprable_Time = 0x0
▪ BLTN_CAM_RecSta_OWP = 0X0 (OFF)
▪ Parking recording not entered</t>
  </si>
  <si>
    <t>30% 이하-&gt;30%미만 변경</t>
  </si>
  <si>
    <t>When MainLBM_SocVal = 30% or less is entered after KEY OFF</t>
  </si>
  <si>
    <t>▪ KEY ON
▪ [LBM_FD_02_100ms] MainLBM_SocVal = 31% 
▪ Key Off &amp; Network wake up state maintained
▪ [LBM_FD_02_100ms] MainLBM_SocVal = 30% 
▪ Network sleep</t>
  </si>
  <si>
    <t>▪ Stop parking recording after Sleep
▪ BLTN_CAM_Prk_Oprable_Time = 0x0
▪ BLTN_CAM_RecSta_OWP = 0X0 (OFF)
▪ BLTN_CAM_PrkOP_Terminate_Info = 0x1</t>
  </si>
  <si>
    <t>Check parking recording for the set time</t>
  </si>
  <si>
    <t>▪ KEY ON ▪ [LBM_FD_02_100ms] MainLBM_SocVal = Enable 31% or higher ▪ BLTN_CAM_Set_PrkTime = 20H ▪ Key Off</t>
  </si>
  <si>
    <t>▪ BLTN_CAM_Prk_Oprable_Time = 20H
▪ Verify normal operation of parking recording for the set time
▪ BLTN_CAM_PrkOp_Termiate_Info = 0x6:Park operation terminate on time which user set</t>
  </si>
  <si>
    <t>Check M-BLM 120H Operation Specifications
※ Not applicable to M-LBM vehicle models</t>
  </si>
  <si>
    <t>▪ KEY ON
▪ [LBM_FD_02_100ms] MainLBM_SocVal = 31% or higher enabled
▪ Set parking recording time to 120H
▪ Verify parking recording and sleep entry after Key Off
▪ 120-hour standby</t>
  </si>
  <si>
    <t>▪ Confirmed normal operation of 120-hour (5-day) week recording
▪ BLTN_CAM_Prk_Oprable_Time = BLTN_CAM_Set_PrkTime - BLTN_CAM_Prk_Oped_Time</t>
  </si>
  <si>
    <t>[M-LBM Battery_Parking Recording Operation Specifications]
Motion Recording Specifications Based on SOC Value</t>
  </si>
  <si>
    <t>[M-LBM Compatible Vehicles] Recording Operation Specifications -2</t>
  </si>
  <si>
    <t>▪ Motion Recording Settings ON
▪ [LBM_FD_02_100ms] MainLBM_SocVal = 31% Enable
▪ Enable Motion After Key Off</t>
  </si>
  <si>
    <t>▪ BLTN_CAM_Prk_Oprable_Time = 120H
▪ BLTN_CAM_RecSta_PMD = 0X1 (ON)
▪ Verify normal operation of motion recording</t>
  </si>
  <si>
    <t>▪ BLTN_CAM_Prk_Oprable_Time = 0x0
▪ BLTN_CAM_RecSta_PMD = 0X0 (OFF)
▪ Motion recording not entered</t>
  </si>
  <si>
    <t>▪ Stop motion recording after Sleep
▪ BLTN_CAM_Prk_Oprable_Time = 0x0
▪ BLTN_CAM_RecSta_PMD = 0X0 (OFF)
▪ BLTN_CAM_PrkOP_Terminate_Info = 0x6</t>
  </si>
  <si>
    <t>[M-LBM Battery_Parking Recording Operation Specifications]
Check Parking Recording Termination Conditions</t>
  </si>
  <si>
    <t>[M-LBM Compatible Vehicles] Recording Operation Specifications -3</t>
  </si>
  <si>
    <t>Received MainLBM_SocVal = 0x00 value 1 to 9 times consecutively during parking recording</t>
  </si>
  <si>
    <t>▪ Enable MainLBM_SocVal = 31% or higher
▪ Turn off Key to enter Parking Recording
▪ While CAN Alive, transmit MainLBM_SocVal = 0X00 message 1 to 9 times at 200ms intervals</t>
  </si>
  <si>
    <t>When MainLBM_SocVal = 0X00 is received 10 times consecutively during parking recording</t>
  </si>
  <si>
    <t>▪ Enable MainLBM_SocVal = 31% or higher
▪ Turn off Key to enter Parking Recording
▪ [LBM_FD_02_100ms] Enable MainLBM_SocVal = 0X00 10 consecutive times (within 2s)</t>
  </si>
  <si>
    <t>▪ Terminates parking recording after 10 consecutive authorizations
▪ BLTN_CAM_PrkOp_Termiate_Info = 0x1:Park operation terminated earlier than user set because of Bat. SoC output</t>
  </si>
  <si>
    <t>Received MainLBM_SocVal = 0xFF value 1 to 9 times consecutively during parking recording</t>
  </si>
  <si>
    <t>▪ Enable MainLBM_SocVal = 31% or higher
▪ Turn off Key to enter Parking Recording
▪ While CAN Alive, transmit MainLBM_SocVal = 0XFF message 1 to 9 times at 200ms intervals</t>
  </si>
  <si>
    <t>When MainLBM_SocVal = 0XFF is received 10 times consecutively during parking recording</t>
  </si>
  <si>
    <t>▪ Enable MainLBM_SocVal = 31% or higher
▪ Turn off Key to enter Parking Recording
▪ [LBM_FD_02_100ms] Enable MainLBM_SocVal = 0XFF 10 consecutive times (within 2s)</t>
  </si>
  <si>
    <t>▪ Terminates parking recording after 10 consecutive authorizations
▪ BLTN_CAM_PrkOp_Termiate_Info = 0x1:Park operation terminated earlier than user set because of Bat. SoC output(30s)</t>
  </si>
  <si>
    <t>During parking recording, MainLBM_SocVal = 0x65~0xFE received 1~9 consecutive times</t>
  </si>
  <si>
    <t>▪ Enable MainLBM_SocVal = 31% or higher
▪ Turn off Key to enter Parking Recording
▪ MainLBM_SocVal = Transmit values ​​0X65~0XFE 1~9 times at 200ms intervals</t>
  </si>
  <si>
    <t>▪ Parking recording will not stop
▪ Verify normal operation of parking recording</t>
  </si>
  <si>
    <t>When MainLBM_SocVal = 0x65~0xFE is received 10 times consecutively during parking recording</t>
  </si>
  <si>
    <t>▪ Enable MainLBM_SocVal = 31% or higher
▪ Turn off Key to enter Parking Recording
▪ Enable MainLBM_SocVal = 0X65~0XFE Invalid value 10 times consecutively (within 2 seconds)</t>
  </si>
  <si>
    <t>▪ Terminate Parking Recording
▪ BLTN_CAM_PrkOp_Termiate_Info = 0x1:Park operation terminated earlier than user set because of Bat. SoC Output</t>
  </si>
  <si>
    <t>When receiving an SOC value of less than 25% during parking recording</t>
  </si>
  <si>
    <t>▪ Enable MainLBM_SocVal = 31% or higher
▪ Turn off Key to enter Parking Recording
▪ After entering Sleep, enable MainLBM_SocVal = 24%</t>
  </si>
  <si>
    <t>▪ Terminate Parking Recording
▪ BLTN_CAM_PrkOp_Termiate_Info = 0x2:Park operation terminated earlier than user set because of Bat. SoC Output</t>
  </si>
  <si>
    <t>When receiving 25% SOC value during parking recording</t>
  </si>
  <si>
    <t>▪ Enable MainLBM_SocVal = 31% or higher
▪ Turn off Key to enter Parking Recording
▪ After entering Sleep, enable MainLBM_SocVal = 25%</t>
  </si>
  <si>
    <t>[M-LBM Battery_Parking Recording Operation Specifications] Check Motion Recording Termination Conditions
**</t>
  </si>
  <si>
    <t>[M-LBM Compatible Vehicles] Recording Operation Specifications -4</t>
  </si>
  <si>
    <t>Received MainLBM_SocVal = 0x00 value 1 to 9 times consecutively during motion recording</t>
  </si>
  <si>
    <t>▪ Enable MainLBM_SocVal = 31% or higher
▪ Turn off Key to enter motion recording
▪ While CAN Alive, send MainLBM_SocVal = 0X00 message 1 to 9 times at 200ms intervals</t>
  </si>
  <si>
    <t>▪ Verify normal operation of motion recording</t>
  </si>
  <si>
    <t>When MainLBM_SocVal = 0X00 is received 10 times consecutively during motion recording</t>
  </si>
  <si>
    <t>▪ Enable MainLBM_SocVal = 31% or higher
▪ Turn off Key to enter motion recording
▪ [LBM_FD_02_100ms] Enable MainLBM_SocVal = 0X00 10 consecutive times (within 2s)</t>
  </si>
  <si>
    <t>▪ Terminate motion recording after 10 consecutive authorizations
▪ BLTN_CAM_PrkOp_Termiate_Info = 0x6:Park operation terminate on time which user set</t>
  </si>
  <si>
    <t>Receive MainLBM_SocVal = 0xFF value 1 to 9 times consecutively during motion recording</t>
  </si>
  <si>
    <t>▪ Enable MainLBM_SocVal = 31% or higher
▪ Turn off Key to enter motion recording
▪ While CAN Alive, send MainLBM_SocVal = 0XFF message 1 to 9 times at 200ms intervals</t>
  </si>
  <si>
    <t>When MainLBM_SocVal = 0XFF is received 10 times consecutively during motion recording</t>
  </si>
  <si>
    <t>▪ Enable MainLBM_SocVal = 31% or higher
▪ Enter motion recording by turning off the key
▪ [LBM_FD_02_100ms] Enable MainLBM_SocVal = 0XFF 10 consecutive times (within 2s)</t>
  </si>
  <si>
    <t>During motion recording, MainLBM_SocVal = 0x65~0xFE receives 1~9 consecutive times</t>
  </si>
  <si>
    <t>▪ Enable MainLBM_SocVal = 31% or higher
▪ Turn off Key to enter motion recording
▪ MainLBM_SocVal = Transmit values ​​0X65~0XFE 1~9 times at 200ms intervals</t>
  </si>
  <si>
    <t>▪ End Motion Recording
▪ BLTN_CAM_PrkOp_Termiate_Info = 0x6:Park operation terminate on time which user set</t>
  </si>
  <si>
    <t>When MainLBM_SocVal = 0x65~0xFE is received 10 times consecutively during motion recording</t>
  </si>
  <si>
    <t>▪ Enable MainLBM_SocVal = 31% or higher
▪ Turn off Key to enter motion recording
▪ Enable MainLBM_SocVal = 0X65~0XFE Invalid value 10 times consecutively (within 2 seconds)</t>
  </si>
  <si>
    <t>When receiving an SOC value of less than 25% during motion recording</t>
  </si>
  <si>
    <t>▪ Enable MainLBM_SocVal = 31% or higher
▪ Turn off Key to enter motion recording
▪ After entering Sleep, enable MainLBM_SocVal = 24%</t>
  </si>
  <si>
    <t>When receiving 25% SOC value during motion recording</t>
  </si>
  <si>
    <t>▪ Enable MainLBM_SocVal = 31% or higher
▪ Turn off Key to enter motion recording
▪ After entering Sleep, enable MainLBM_SocVal = 25%</t>
  </si>
  <si>
    <t>▪ Recording will not stop
▪ Verify normal operation of motion recording</t>
  </si>
  <si>
    <t>메모</t>
  </si>
  <si>
    <t>수행절차</t>
  </si>
  <si>
    <t>FPS_RearCamera</t>
  </si>
  <si>
    <t>FPS_DCM_Output</t>
  </si>
  <si>
    <t>Center_offset_Width</t>
  </si>
  <si>
    <t>Center_offset_Height</t>
  </si>
  <si>
    <t>[BLTN_CAM-Function-013] Cluster Fault Light</t>
  </si>
  <si>
    <t>[Display and Connected]
: Signal Output
- Built-in Cam Status
- Parking Recording Time
(Check parking-related signals in the Parking Recording tab)</t>
  </si>
  <si>
    <t>IND_001</t>
  </si>
  <si>
    <t>[Built-in Cam Status Info] BLTN_CAM_State</t>
  </si>
  <si>
    <t>BLTN_CAM_State: BLTN_CAM normal operation</t>
  </si>
  <si>
    <t>▪ All conditions normal
▪ Front/Rear Camera Connection</t>
  </si>
  <si>
    <t>▪ [BLTN_CAM_STAT_PE_00_200ms]
 - BLTN_CAM_State: 0x0 (BLTN_CAM Valid)</t>
  </si>
  <si>
    <t>BLTN_CAM_State: Front camera recording disabled</t>
  </si>
  <si>
    <t>▪ Fault Input
- Front Camera Removal</t>
  </si>
  <si>
    <t>▪ [BLTN_CAM_STAT_PE_00_200ms]
 - BLTN_CAM_State: 0x1 (BLTN_CAM Front Camera Invalid)</t>
  </si>
  <si>
    <t>BLTN_CAM_State: Rear camera recording unavailable</t>
  </si>
  <si>
    <t>▪ Fault Input
- Rearview Camera Removal</t>
  </si>
  <si>
    <t>▪ [BLTN_CAM_STAT_PE_00_200ms]
 - BLTN_CAM_State: 0x2 (BLTN_CAM Rear Camera Invalid)</t>
  </si>
  <si>
    <t>BLTN_CAM_State: Front/rear camera recording disabled</t>
  </si>
  <si>
    <t>▪ Fault Input
- Front/Rear Camera Removal</t>
  </si>
  <si>
    <t>▪ [BLTN_CAM_STAT_PE_00_200ms]
 - BLTN_CAM_State: 0x3 (Front/Rear Camera Invalid)</t>
  </si>
  <si>
    <t>BLTN_CAM_State: Recording Unavailable</t>
  </si>
  <si>
    <t>▪</t>
  </si>
  <si>
    <t>▪ [BLTN_CAM_STAT_PE_00_200ms]
- BLTN_CAM_State : 0x4 (BLTN_CAM Record Invalid)
(No referenced value)</t>
  </si>
  <si>
    <t>BLTN_CAM_State: Reserved</t>
  </si>
  <si>
    <t>▪ [BLTN_CAM_STAT_PE_00_200ms]
 - BLTN_CAM_State: 0x5 ~ 0xE (Reserved)</t>
  </si>
  <si>
    <t>BLTN_CAM_State: Unable to operate due to internal BLTN_CAM error. Recording/AVN integration GUI unavailable.</t>
  </si>
  <si>
    <t>▪ [BLTN_CAM_STAT_PE_00_200ms]
- BLTN_CAM_State : 0xF (invalid)
(Unused signal)</t>
  </si>
  <si>
    <t>[BLTN_CAM-Function-014] SD Card Status Notification Signal</t>
  </si>
  <si>
    <t>Popup/OSD notification while built-in cam is operating</t>
  </si>
  <si>
    <t>[ccNC Popup Request] BLTN_CAM_PopUp_Req</t>
  </si>
  <si>
    <t>Manual recording start notification</t>
  </si>
  <si>
    <t>▪ BLTN_CAM_PopUp_Req = 0x1
 ▪ BLTN_CAM_RecSta_MAR = 0x1(Recording)</t>
  </si>
  <si>
    <t>Time-lapse recording start notification</t>
  </si>
  <si>
    <t>▪ Start Time-lapse Recording (Long-press Event Switch)
▪ Check Recording Status Signal</t>
  </si>
  <si>
    <t>▪ BLTN_CAM_PopUp_Req = 0x2
 ▪ BLTN_CAM_RecSta_TML = 0x1(Recording)</t>
  </si>
  <si>
    <t>Time-lapse recording end notification</t>
  </si>
  <si>
    <t>▪ End time-lapse with event switch (long press)
▪ Check recording status signal</t>
  </si>
  <si>
    <t>▪ BLTN_CAM_PopUp_Req = 0x3
 ▪ BLTN_CAM_RecSta_TML = 0x0(OFF)</t>
  </si>
  <si>
    <t>SD card recognition notification</t>
  </si>
  <si>
    <t>▪ Insert SD card</t>
  </si>
  <si>
    <t>▪ BLTN_CAM_PopUp_Req = 0x4</t>
  </si>
  <si>
    <t>과거차문제
PASTI-348
SD 카드 인식 불가 문구 표출</t>
  </si>
  <si>
    <t>SD card not recognized notification</t>
  </si>
  <si>
    <t>▪ SD card removal</t>
  </si>
  <si>
    <t>▪ BLTN_CAM_PopUp_Req = 0x5</t>
  </si>
  <si>
    <t>Error on SD memory (requires formatting or replacement)</t>
  </si>
  <si>
    <t>▪ Insert an SD card that has been formatted unusable</t>
  </si>
  <si>
    <t>▪ BLTN_CAM_PopUp_Req = 0x6</t>
  </si>
  <si>
    <t>Parking recording start notification</t>
  </si>
  <si>
    <t>▪ Turn KEY OFF to start parking recording</t>
  </si>
  <si>
    <t>▪ BLTN_CAM_PopUp_Req = 0x7 (Transmit within 1 second after KEY OFF)</t>
  </si>
  <si>
    <t>Parking motion recording unavailable notification (if there are issues such as parking motion setting on, SD not inserted)</t>
  </si>
  <si>
    <t>▪ Attempt parking recording with the KEY OFF and no SD card installed</t>
  </si>
  <si>
    <t>▪ BLTN_CAM_PopUp_Req = 0x8</t>
  </si>
  <si>
    <t>Notification that manual recording is unavailable</t>
  </si>
  <si>
    <t>▪ Manual event switch input without SD card</t>
  </si>
  <si>
    <t>▪ BLTN_CAM_PopUp_Req = 0x9</t>
  </si>
  <si>
    <t>Time-lapse recording unavailable notification</t>
  </si>
  <si>
    <t>▪ Input Time-lapse Event Switch with SD Card Out</t>
  </si>
  <si>
    <t>Performance recording unavailable notification</t>
  </si>
  <si>
    <t>▪ Start performance recording without SD card</t>
  </si>
  <si>
    <t>Request to remove SD card</t>
  </si>
  <si>
    <t>▪ Enter BLTN_CAM mode and access the Settings menu
▪ Click the Safely Remove SD Card button</t>
  </si>
  <si>
    <t>▪ BLTN_CAM_PopUp_Req = 0xA (SD Card Unmounted)</t>
  </si>
  <si>
    <t>[SD Card Status Information]
[Storage Memory and File Management]
MEM_020 Identical Test Case</t>
  </si>
  <si>
    <t>IND_003</t>
  </si>
  <si>
    <t>[SD Card Status Info] BLTN_CAM_SD_Card_State</t>
  </si>
  <si>
    <t>Normal insertion status</t>
  </si>
  <si>
    <t>▪ Memory available for normal use (0~98%)
▪ Check BLTN_CAM_SD_Card_State signal value</t>
  </si>
  <si>
    <t>▪ 0x0:Good, SD card is OK.(Green State)</t>
  </si>
  <si>
    <t>SD card lifespan nearing end</t>
  </si>
  <si>
    <t>▪ Memory is in a usable state, but is in a condition to indicate preparation for memory replacement as its lifespan is expected to end within approximately 1 month (99%)
▪ Check BLTN_CAM_SD_Card_State signal value</t>
  </si>
  <si>
    <t>▪ 0x1:SD card replacement recommendation.(Yallow State)</t>
  </si>
  <si>
    <t>SD card lifespan ended</t>
  </si>
  <si>
    <t>▪ Memory is operational, but requires replacement as warranty life has expired (100%)
▪ Check BLTN_CAM_SD_Card_State signal value</t>
  </si>
  <si>
    <t>▪ 0x2:SD card replacement required (Red State)</t>
  </si>
  <si>
    <t>SD card not recognized</t>
  </si>
  <si>
    <t>▪ SD memory card not recognized due to failure/removal, etc. (No recording)
▪ Check BLTN_CAM_SD_Card_State signal value</t>
  </si>
  <si>
    <t>▪ 0x3:SD card unrecognizable or No SD card found.</t>
  </si>
  <si>
    <t>Insufficient SD card capacity</t>
  </si>
  <si>
    <t>▪ Memory is recognized, but unusable due to insufficient capacity (SD card under 64GB inserted)
▪ Check BLTN_CAM_SD_Card_State signal value</t>
  </si>
  <si>
    <t>▪ 0x4:SD card total capacity spec less than 64GByte (Built-in Cam Support 64GByte or higher)</t>
  </si>
  <si>
    <t>SD card memory unsupported format</t>
  </si>
  <si>
    <t>▪ If the SD memory file format is different
▪ Check BLTN_CAM_SD_Card_State signal value</t>
  </si>
  <si>
    <t>▪ 0x5: SD card file system is not for Built-in Cam (Built-in CAM only supports exFAT filesystem) Cannot be used because the SD card's file system is not supported – Can be used after formatting the SD card in the built-in cam.
▪ Do not auto-format (The feature allowing the built-in cam to automatically format the SD card has been removed)</t>
  </si>
  <si>
    <t>Excessive SD card dummy files</t>
  </si>
  <si>
    <t>▪ Memory of 64GB or more, but insufficient capacity for the built-in cam due to other files being stored
▪ Check BLTN_CAM_SD_Card_State signal value</t>
  </si>
  <si>
    <t>▪ 0x6: SD card not enough free space, need more free space for built-in Cam (less than 32 GByte, must be 32 GByte or higher) Insufficient capacity for the built-in cam's available SD card.
▪ Do not auto-format (The feature allowing the built-in cam to automatically format the SD card has been removed)</t>
  </si>
  <si>
    <t>Lifespan information unavailable when using aftermarket SD cards</t>
  </si>
  <si>
    <t>▪ When using A/M SD memory, a message is needed to distinguish the situation where the recording function is normal but memory life information cannot be displayed.
▪ Check BLTN_CAM_SD_Card_State signal value</t>
  </si>
  <si>
    <t>▪ 0x7: SD card recognized but Health State is not available (Gray State)</t>
  </si>
  <si>
    <t>Safely remove SD card</t>
  </si>
  <si>
    <t>▪ Unmounted state for safe SD card removal
▪ Check BLTN_CAM_SD_Card_State signal value</t>
  </si>
  <si>
    <t>▪ 0x8: SD card Unmounted</t>
  </si>
  <si>
    <t>▪ SD card not recognized
▪ Check BLTN_CAM_SD_Card_State signal value</t>
  </si>
  <si>
    <t>▪ 0x9~0xE:Reserved 
 ▪ 0xF:Invalid(Red State)</t>
  </si>
  <si>
    <t>[BLTN_CAM-Function-015] SD Card Indicator</t>
  </si>
  <si>
    <t>CAN messages related to built-in cam recording operation and SD card notifications</t>
  </si>
  <si>
    <t>[Built-in Cam Indicator Notification] BLTN_CAM_Ind_Req</t>
  </si>
  <si>
    <t>Default</t>
  </si>
  <si>
    <t>▪ BLTN_CAM_Ind_Req = 0x00: Default</t>
  </si>
  <si>
    <t>Built-in Cam System Error</t>
  </si>
  <si>
    <t>▪ B16E0 (BLTN_CAM Internal Error) Current Failure
※ When applying 3 bytes: B16E0-04</t>
  </si>
  <si>
    <t>▪ BLTN_CAM_Ind_Req = 0x01: Built-in Cam System or Camera Error</t>
  </si>
  <si>
    <t>▪ B16E3 (Camera Power Line Error) Current Failure
※ When applying 3 bytes: B16E0-1C</t>
  </si>
  <si>
    <t>▪ B16E4 (BLTN_CAM Front Camera Input Error) Current Failure
※ When applying 3 bytes: B16E3-93</t>
  </si>
  <si>
    <t>▪ B16E5 (BLTN_CAM Rear Camera Input Error) Current Failure
※ When applying 3 bytes: B16E4-93</t>
  </si>
  <si>
    <t>▪ B16EA (Built-in cam WIFI Module Error) Current Failure
※ When applying 3 bytes: B16EA-00</t>
  </si>
  <si>
    <t>▪ B16EC-9A (Built-in Cam Auxiliary Battery Connection Error) Current Failure
※ When applying 3 bytes: B16E1-00</t>
  </si>
  <si>
    <t>▪ B16ED-09 (Built-in Cam Front Radar Error) Currently Faulty
※ When applying 3 bytes: B16E3-94</t>
  </si>
  <si>
    <t>▪ B16EE-09 (Built-in Cam Rear Radar Error) Currently Faulty
※ When applying 3 bytes: B16E4-94</t>
  </si>
  <si>
    <t>Manual recording event or impact detection recording in progress</t>
  </si>
  <si>
    <t>▪ Proceed with manual recording or impact recording</t>
  </si>
  <si>
    <t>▪ BLTN_CAM_Ind_Req = 0x02: Manual Recording or Event Recording</t>
  </si>
  <si>
    <t>▪ Time-lapse recording in progress</t>
  </si>
  <si>
    <t>▪ BLTN_CAM_Ind_Req = 0x03: Time-lapse Recording</t>
  </si>
  <si>
    <t>SD card warnings (replacement, error, not inserted, etc.)</t>
  </si>
  <si>
    <t>▪ BLTN_CAM_Ind_Req = 0x04: Built-in Cam SD Card Replace Warning or SD Card Error</t>
  </si>
  <si>
    <t>Continuous recording while driving</t>
  </si>
  <si>
    <t>▪ Continuous recording while driving</t>
  </si>
  <si>
    <t>▪ BLTN_CAM_Ind_Req = 0x05 :On while Driving Recording</t>
  </si>
  <si>
    <t>Parking recording in progress</t>
  </si>
  <si>
    <t>▪ Continuous parking recording</t>
  </si>
  <si>
    <t>▪ BLTN_CAM_Ind_Req = 0x06: On while Parked Recording</t>
  </si>
  <si>
    <t>Smartphone app connecting to Wi-Fi</t>
  </si>
  <si>
    <t>▪ Wi-Fi connection</t>
  </si>
  <si>
    <t>▪ BLTN_CAM_Ind_Req = 0x07 : Smartphone Connected</t>
  </si>
  <si>
    <t>▪ Parking motion recording in progress</t>
  </si>
  <si>
    <t>Reserved</t>
  </si>
  <si>
    <t>▪ BLTN_CAM_Ind_Req = 0x08 ~ 0x1E: Reserved</t>
  </si>
  <si>
    <t>Invalid</t>
  </si>
  <si>
    <t>▪ BLTN_CAM_Ind_Req = 0x1F: Invalid</t>
  </si>
  <si>
    <t>During performance recording</t>
  </si>
  <si>
    <t>▪ Performance recording in progress</t>
  </si>
  <si>
    <t>▪ BLTN_CAM_Ind_Req = 0x8: Built-in CAM Performance Recording</t>
  </si>
  <si>
    <t>[BLTN_CAM-Function-016] Parking Recording Event Count Signal</t>
  </si>
  <si>
    <t>[Number of impact events saved while parked]
- BLTN_CAM_Prk_EV_Cnt 
- BLTN_CAM_PEV_Count</t>
  </si>
  <si>
    <t>[Number of impact events saved while parked]</t>
  </si>
  <si>
    <t>Check parking event count signal operation</t>
  </si>
  <si>
    <t>▪ Turn ON Parking Continuous and Event Recording Settings
▪ Start Parking Recording after KEY OFF
▪ 5 Impact Events</t>
  </si>
  <si>
    <t>▪ BLTN_CAM_Prk_EV_Cnt = Output from 0x1 to 0x5
▪ BLTN_CAM_PEV_Count = Output from 0x1 to 0x5</t>
  </si>
  <si>
    <t>Reset when entering Built-in Cam mode</t>
  </si>
  <si>
    <t>▪ Enter Built-in Cam Mode after Turning Key On</t>
  </si>
  <si>
    <t>▪ Initialize BLTN_CAM_Prk_EV_Cnt to 0x0
▪ Initialize BLTN_CAM_PEV_Count to 0x0</t>
  </si>
  <si>
    <t>Reset on next parking recording</t>
  </si>
  <si>
    <t>▪ Turn ON Parking Continuous and Event Recording Settings
▪ Start Parking Recording after KEY OFF
▪ 5 Impact Events
▪ Turn KEY ON</t>
  </si>
  <si>
    <t>▪ BLTN_CAM_Prk_EV_Cnt = 0x5
 ▪ BLTN_CAM_PEV_Count = 0x5</t>
  </si>
  <si>
    <t>▪ Turn the KEY OFF again without entering Built-in Cam mode</t>
  </si>
  <si>
    <t>▪ BLTN_CAM_Prk_EV_Cnt = Updated from 0x5 to 0x0
▪ BLTN_CAM_PEV_Count = Updated from 0x5 to 0x0</t>
  </si>
  <si>
    <t>When parking recording is not possible</t>
  </si>
  <si>
    <t>▪ Turn ON Parking Continuous and Event Recording Settings
▪ Remove Auxiliary Battery</t>
  </si>
  <si>
    <t>▪ BLTN_CAM_Prk_EV_Cnt = 0x00 Output
▪ BLTN_CAM_PEV_Count = 0xFE (Parking data saving not working)
※ BLTN_CAM_Prk_EV_Cnt
: 0XFD, 0XFE, 0XFF → 0x00 (Specification changed)</t>
  </si>
  <si>
    <t>Parking recording not supported (RUS style)</t>
  </si>
  <si>
    <t>▪ Vehicle models that do not support parking recording (RUS variant)
▪ Check BLTN_CAM_Prk_EV_Cnt signal
▪ Check BLTN_CAM_PEV_Count value</t>
  </si>
  <si>
    <t>Detect over 200 parking impact events</t>
  </si>
  <si>
    <t>▪ 201 impact events during parking recording</t>
  </si>
  <si>
    <t>▪ BLTN_CAM_Prk_EV_Cnt = 0xFC (Detected 200 or more times)
▪ BLTN_CAM_PEV_Count = 0xFD (Detected 200 or more times)</t>
  </si>
  <si>
    <t>▪ Check BLTN_CAM_PEV_Count value after KEY ON</t>
  </si>
  <si>
    <t>[BLTN_CAM-Function-017] Parking Recording Operation Time Signal</t>
  </si>
  <si>
    <t>0x0: : Park Mode was not Executed</t>
  </si>
  <si>
    <t>▪ BLTN_CAM_RecSet_OWP = 0x2(ON)
▪ Check signal in continuous driving recording mode</t>
  </si>
  <si>
    <t>▪ BLTN_CAM_Prk_Oped_Time = 0x0: Park Mode was not Excuted</t>
  </si>
  <si>
    <t>0x01~0xFB: the hours of Park Mode Operated (operates within 1 hour)</t>
  </si>
  <si>
    <t>▪ Continuous parking recording (20-hour setting and SoC capable of 20 hours)
▪ Sleep and turn KEY ON after 10 minutes to check the corresponding signal</t>
  </si>
  <si>
    <t>▪ BLTN_CAM_Prk_Oped_Time = 1 Hr</t>
  </si>
  <si>
    <t>0x01~0xFB: the hours of Park Mode Operated (10 hours in progress)</t>
  </si>
  <si>
    <t>▪ Continuous parking recording in progress (20-hour setting and SoC capable of 20 hours)
▪ Turn KEY ON after 10 hours to check the corresponding signal</t>
  </si>
  <si>
    <t>▪ BLTN_CAM_Prk_Oped_Time = 10 Hr</t>
  </si>
  <si>
    <t>0x01~0xFB: the hours of Park Mode Operated (20 hours in progress)</t>
  </si>
  <si>
    <t>▪ Continuous parking recording in progress (20-hour setting and SoC capable of 20 hours)
▪ After 20 hours have elapsed and parking recording has finished, turn the KEY ON to check the corresponding signal.</t>
  </si>
  <si>
    <t>▪ BLTN_CAM_Prk_Oped_Time = 20 Hr</t>
  </si>
  <si>
    <t>[BLTN_CAM-Function-018] Recording Operation Information Signal</t>
  </si>
  <si>
    <t>It is located in the Driving and Parking Recording tab, but can also be checked in the Display Services tab.</t>
  </si>
  <si>
    <t>Recording operation status signal</t>
  </si>
  <si>
    <t>Check driving continuous recording status information</t>
  </si>
  <si>
    <t>▪ Check for non-operation signal when recording settings are OFF</t>
  </si>
  <si>
    <t>▪ Recording setting ON, driving recording in progress, and check operation signal</t>
  </si>
  <si>
    <t>Check driving event recording status information</t>
  </si>
  <si>
    <t>▪ Recording setting ON, when there is no impact event</t>
  </si>
  <si>
    <t>▪ When a shock event is authorized</t>
  </si>
  <si>
    <t>Check time-lapse recording status information</t>
  </si>
  <si>
    <t>▪ If time-lapse recording is not performed</t>
  </si>
  <si>
    <t>▪ When recording a time-lapse</t>
  </si>
  <si>
    <t>Check parking continuous recording status information</t>
  </si>
  <si>
    <t>▪ Recording setting ON, check parking recording in progress and operation signal</t>
  </si>
  <si>
    <t>▪ BLTN_CAM_RecSta_OWP = 0x1(Recording)</t>
  </si>
  <si>
    <t>Check parking event recording status information</t>
  </si>
  <si>
    <t>▪ BLTN_CAM_RecSta_PEV = 0x1(Recording)</t>
  </si>
  <si>
    <t>Check manual event recording status information (driving)</t>
  </si>
  <si>
    <t>▪ When there is no event input during driving recording</t>
  </si>
  <si>
    <t>▪ When the event switch is pressed during driving recording</t>
  </si>
  <si>
    <t>Check manual event recording status information (parking)</t>
  </si>
  <si>
    <t>▪ When there is no event input during parking recording</t>
  </si>
  <si>
    <t>▪ When the event switch is pressed during parking recording</t>
  </si>
  <si>
    <t>Check performance recording status information</t>
  </si>
  <si>
    <t>▪ When conducting performance recording</t>
  </si>
  <si>
    <t>▪ If performance recording is not conducted</t>
  </si>
  <si>
    <t>▪ BLTN_CAM_RecSta_BPR = 0x0(OFF)</t>
  </si>
  <si>
    <t>Check ultra-low power recording status information</t>
  </si>
  <si>
    <t>▪ When ultra-low power recording is in progress</t>
  </si>
  <si>
    <t>▪ BLTN_CAM_RecSta_LPE = 0x1(Recording)</t>
  </si>
  <si>
    <t>검증필요</t>
  </si>
  <si>
    <t>▪ When ultra-low power recording is not in progress</t>
  </si>
  <si>
    <t>▪ BLTN_CAM_RecSta_LPE = 0x0(OFF)</t>
  </si>
  <si>
    <t>[BLTN_CAM-Function-019] Setting Initialization Signal</t>
  </si>
  <si>
    <t>[Initialization] : BLTN_CAM_USMReset</t>
  </si>
  <si>
    <t>IND_008</t>
  </si>
  <si>
    <t>BLTN_CAM_USMReset Initialization (Guest)</t>
  </si>
  <si>
    <t>▪ CF_AVN_ProfileIDRValue = 0x1(Guest)
▪ HU_UI_Mode = 0x1(Built-In Cam Mode)
▪ Customize Built-in Cam Settings
- Driving Continuous Recording and Event Recording Settings
- Parking Continuous Recording and Event Recording Settings
- Driving Data (Impact Detection Level, Gear, Position, Speed, Time, Turn Signal)
- Voice Recording
- Recording Time (Parking Continuous, Time-lapse, Event Recording Bfr/Aft)
- Driving/Parking Event Detection Sensitivity
- Front/Rear Camera Angle
- Parking Impact Detection Notification Function
- WiFi Password Setting
▪ CF_AVN_BLTN_CAM_USMReset = 0x1(Built-in Cam USM Reset)</t>
  </si>
  <si>
    <t>▪ All settings reset
- Driving Continuous and Event Recording Settings
- Parking Continuous and Event Recording Settings
- Driving Data (Impact Detection Level, Gear, Position, Speed, Time, Turn Signal)
- Voice Recording
- Recording Time (Parking Continuous, Time-lapse, Event Recording Bfr/Aft)
- Driving/Parking Event Detection Sensitivity
- Front/Rear Camera Angle
- Parking Impact Detection Notification Function
- WiFi Password Setting</t>
  </si>
  <si>
    <t>BLTN_CAM_USMReset Initialization(Profile1)</t>
  </si>
  <si>
    <t>▪ CF_AVN_ProfileIDRValue = 0x2(Profile1)
▪ Arbitrarily set Built-in Cam settings
▪ CF_AVN_BLTN_CAM_USMReset = 0x1(Built-in Cam USM Reset)</t>
  </si>
  <si>
    <t>▪ All settings reset</t>
  </si>
  <si>
    <t>BLTN_CAM_USMReset Initialization(Profile2)</t>
  </si>
  <si>
    <t>▪ CF_AVN_ProfileIDRValue = 0x3(Profile2)
▪ Arbitrarily set Built-in Cam settings
▪ CF_AVN_BLTN_CAM_USMReset = 0x1(Built-in Cam USM Reset)</t>
  </si>
  <si>
    <t>[Initialization] : CF_AVN_CluUSMReset</t>
  </si>
  <si>
    <t>IND_009</t>
  </si>
  <si>
    <t>CF_AVN_CluUSMReset Initialization (Guest)</t>
  </si>
  <si>
    <t>▪ CF_AVN_ProfileIDRValue = 0x1(Guest)
▪ HU_UI_Mode = 0x1(Built-In Cam Mode)
▪ Customize Built-In Cam Settings
- Driving Continuous Recording and Event Recording Settings
- Parking Continuous Recording and Event Recording Settings
- Driving Data (Impact Detection Level, Gear, Position, Speed, Time, Turn Signal)
- Voice Recording
- Recording Time (Parking Continuous, Time-lapse, Event Recording Bfr/Aft)
- Driving/Parking Event Detection Sensitivity
- Front/Rear Camera Angle
- Parking Impact Detection Notification Function
- WiFi Password Setting
▪ CF_AVN_CluUSMReset = 0x1(USM Reset)</t>
  </si>
  <si>
    <t>Initialize CF_AVN_CluUSMReset(Profile1)</t>
  </si>
  <si>
    <t>▪ CF_AVN_ProfileIDRValue = 0x2(Profile1)
▪ Arbitrarily set built-in cam settings
▪ CF_AVN_CluUSMReset = 0x1(USM Reset)</t>
  </si>
  <si>
    <t>Initialize CF_AVN_CluUSMReset(Profile2)</t>
  </si>
  <si>
    <t>▪ CF_AVN_ProfileIDRValue = 0x3(Profile2)
▪ Arbitrarily set built-in cam settings
▪ CF_AVN_CluUSMReset = 0x1(USM Reset)</t>
  </si>
  <si>
    <t>[Initialization] :CF_AVN_BLTN_CAM_RecReset</t>
  </si>
  <si>
    <t>[Initialization] : CF_AVN_BLTN_CAM_RecReset</t>
  </si>
  <si>
    <t>Initialize with CF_AVN_BLTN_CAM_RecReset</t>
  </si>
  <si>
    <t>▪ CF_AVN_BLTN_CAM_RecReset=0x1(Record Data Reset)
▪ Check whether to reset the always-on storage box while driving</t>
  </si>
  <si>
    <t>▪ Contents of the corresponding folder on the SD card have been deleted
▪ The corresponding video list in CCNC is empty</t>
  </si>
  <si>
    <t>↑
▪ Check if event storage is reset while driving</t>
  </si>
  <si>
    <t>↑
▪ Check whether the permanent storage locker is reset while parked</t>
  </si>
  <si>
    <t>↑
▪ Check if Event Storage is reset while parked</t>
  </si>
  <si>
    <t>↑
▪ Check manual recording reset status</t>
  </si>
  <si>
    <t>↑
▪ Check if inventory has been reset</t>
  </si>
  <si>
    <t>↑
▪ Check if Time-lapse Library has been reset</t>
  </si>
  <si>
    <t>↑
▪ Check if Performance Storage has been reset</t>
  </si>
  <si>
    <t>[Reset]HU_MasterProfile_ResetIndex
※CONNECT HU Applicable (JG1/GN7FL/MX5PE models)</t>
  </si>
  <si>
    <t>IND_015</t>
  </si>
  <si>
    <t>[Initialization] : HU_MasterProfile_ResetIndex</t>
  </si>
  <si>
    <t>Reset HU_MasterProfile_ResetIndex
Delete via Master Profile
※ Applicable only to CONNECT HU specifications: JG1 / GN7FL / MX5PE</t>
  </si>
  <si>
    <t>▪ CF_AVN_ProfileIDRValue = 0x2(Profile1)
▪ HU_UI_Mode = 0x1(Built-In Cam Mode)
▪ Customize Built-In Cam Settings
- Driving Continuous Recording and Event Recording Settings
- Parking Continuous Recording and Event Recording Settings
- Driving Data (Impact Detection Level, Gear, Position, Speed, Time, Turn Signal)
- Voice Recording
- Recording Time (Parking Continuous, Time-lapse, Event Recording Bfr/Aft)
- Driving/Parking Event Detection Sensitivity
- Front/Rear Camera Angle
- Parking Impact Detection Notification Function
- WiFi Password Setting
▪ Reset Profile 1 from Profile 2 State
▪ HU_MasterProfile_ResetIndex = 0x2 (Profile1)
▪ Confirm Profile 1 Reset</t>
  </si>
  <si>
    <t>※ CONNECT HU 사양만 해당 : JG1 / GN7FL / MX5PE</t>
  </si>
  <si>
    <t>▪ CF_AVN_ProfileIDRValue = 0x3(Profile2)
▪ Arbitrarily set built-in cam settings
▪ Reset Profile 2 from Profile 3 state
▪ HU_MasterProfile_ResetIndex = 0x3 (Profile2)
▪ Verify Profile 2 reset</t>
  </si>
  <si>
    <t>▪ CF_AVN_ProfileIDRValue = 0x4(Profile3)
▪ Arbitrarily set built-in cam settings
▪ Reset Profile 3 from Profile 1 state
▪ HU_MasterProfile_ResetIndex = 0x4 (Profile3)
▪ Confirm Profile 3 reset</t>
  </si>
  <si>
    <t>[BLTN_CAM-Function-020] Version Information Signal</t>
  </si>
  <si>
    <t>[BLTN_CAM_STAT_PE_01_200ms] BLTN_CAM_SwVer
Specification Added (v2.0)
Table 5.1.47 Controller SW Information: Specification Added for Built-in Cam Deployment Area Classification</t>
  </si>
  <si>
    <t>[Version Info Signal] BLTN_CAM_SwVer</t>
  </si>
  <si>
    <t>Check BLTN_CAM_SWVerMajor output status</t>
  </si>
  <si>
    <t>▪ Check corresponding signal output
- Major : 0x41 (HEX) -&gt; ASCII CODE : ‘A’
- Separator : 0x2E (HEX) -&gt; ASCII CODE : ‘.’
- Minor1 : 0x30 (HEX) -&gt; ASCII CODE : ‘0’
- Minor2 : 0x33 (HEX) -&gt; ASCII CODE : ‘3</t>
  </si>
  <si>
    <t>▪ [BLTN_CAM_STAT_PE_01_200ms] BLTN_CAM_SWVerMajor = Output current version value</t>
  </si>
  <si>
    <t>Check BLTN_CAM_SWVerMinor3 output status</t>
  </si>
  <si>
    <t>▪ Check the corresponding signal output</t>
  </si>
  <si>
    <t>▪ [BLTN_CAM_STAT_PE_01_200ms] BLTN_CAM_SWVerMinor3 = Output current version value</t>
  </si>
  <si>
    <t>Check BLTN_CAM_SWVerMinor2 output status</t>
  </si>
  <si>
    <t>▪ [BLTN_CAM_STAT_PE_01_200ms] BLTN_CAM_SWVerMinor2 = Output current version value
Check signal values ​​by region (Decimal)
Domestic 00 ~ 09
Japan 10 ~ 19
Middle East 30 ~ 39
Europe 40 ~ 49
Australia 50 ~ 59
North America 70 ~ 79
China 80 ~ 89
Russia 90 ~ 99</t>
  </si>
  <si>
    <t>Check BLTN_CAM_SWVerMinor1 output status</t>
  </si>
  <si>
    <t>▪ [BLTN_CAM_STAT_PE_01_200ms] BLTN_CAM_SWVerMinor1 = Output current version value</t>
  </si>
  <si>
    <t>Check BLTN_CAM_SD_Card_Manufacturer output status</t>
  </si>
  <si>
    <t>▪ Output the value corresponding to the installed SD card</t>
  </si>
  <si>
    <t>Check BLTN_CAM_SD_Card_Cap_Class output status</t>
  </si>
  <si>
    <t>[BLTN_CAM-Function-] Camera Lens Contamination Warning Settings</t>
  </si>
  <si>
    <t>※ 3rd Generation Newly Added
BLTN_CAM_FD_02_200ms(0x3BC)
BLTN_CAM_Set_Pollution_Warn</t>
  </si>
  <si>
    <t>Camera Lens Contamination Warning Settings</t>
  </si>
  <si>
    <t>Check if BLTN_CAM_Set_Pollution_Warn is set</t>
  </si>
  <si>
    <t>▪ Check Lens Contamination Warning Setting ON/OFF</t>
  </si>
  <si>
    <t>▪ BLTN_CAM_Set_Pollution_Warn ON/OFF Output</t>
  </si>
  <si>
    <t>3rd Generation Specifications
[Display and Connected]
: Signal Output</t>
  </si>
  <si>
    <t>BLTN_CAM_State: Left camera recording disabled</t>
  </si>
  <si>
    <t>▪ Fault Input
- Left camera removed</t>
  </si>
  <si>
    <t>▪ No current signal specifications</t>
  </si>
  <si>
    <t>BLTN_CAM_State: Right camera recording disabled</t>
  </si>
  <si>
    <t>▪ Fault Input
- Right camera removal</t>
  </si>
  <si>
    <t>BLTN_CAM_State: Left/Right camera recording disabled</t>
  </si>
  <si>
    <t>▪ Fault Input
- Left/Right Camera Removal</t>
  </si>
  <si>
    <t>3rd Generation Specifications
Check Side Camera (Left/Right) Status</t>
  </si>
  <si>
    <t>Camera Status Information - Side Camera</t>
  </si>
  <si>
    <t>Check CamSta_Left status</t>
  </si>
  <si>
    <t>▪ BLTN_CAM_CamSta_Left output</t>
  </si>
  <si>
    <t>Check CamSta_Right status</t>
  </si>
  <si>
    <t>▪ BLTN_CAM_CamSta_Right output</t>
  </si>
  <si>
    <t>Check I2CMasterSta_Left status</t>
  </si>
  <si>
    <t>▪ BLTN_CAM_I2CMasterSta_Left output</t>
  </si>
  <si>
    <t>Check I2CMasterSta_Right status</t>
  </si>
  <si>
    <t>▪ BLTN_CAM_I2CMasterSta_Right output</t>
  </si>
  <si>
    <t>[BLTN_CAM-Function-021] Built-in Cam Information Transmission (SOME/IP)</t>
  </si>
  <si>
    <t>CCS_001</t>
  </si>
  <si>
    <t>SOME/IP related to built-in cam information transmission while driving</t>
  </si>
  <si>
    <t>Check BLTN_CAM ↔ CCU SOME/IP connection status</t>
  </si>
  <si>
    <t>▪ IGN ON
▪ Enter Built-in Cam Mode
▪ Play Random Driving Continuous Video</t>
  </si>
  <si>
    <t>▪ Built-in Cam → Transmits CCU SwInfo, Status information
(Verified by checking SOME/IP communication status)
: Video list displayed normally, recorded video plays normally</t>
  </si>
  <si>
    <t>[BLTN_CAM-Function-022] Parking Impact Detection Storage Notification</t>
  </si>
  <si>
    <t>Since there is a relevant function in the auxiliary battery linkage function item, perform the corresponding TestCase.</t>
  </si>
  <si>
    <t>CCS_002</t>
  </si>
  <si>
    <t>▪ Power Bank Linkage Function Tab T/C: BAT_013 Execute</t>
  </si>
  <si>
    <t>▪ T/C: BAT_013 Satisfied with expected results</t>
  </si>
  <si>
    <t>CCS_003</t>
  </si>
  <si>
    <t>▪ Power Bank Linkage Function Tab T/C: BAT_014 Execute</t>
  </si>
  <si>
    <t>▪ T/C: BAT_014 Satisfied with expected results</t>
  </si>
  <si>
    <t>CCS_004</t>
  </si>
  <si>
    <t>Check available parking recording time via the CCS app</t>
  </si>
  <si>
    <t>▪ Power Bank Linkage Function Tab T/C: BAT_015 Execute</t>
  </si>
  <si>
    <t>▪ T/C: BAT_015 Satisfied with expected results</t>
  </si>
  <si>
    <t>[Parking Event Impact Recording] CCS Function (Vehicle Verification)
Built-in cam parking impact detection, storage, notification, and file transfer service</t>
  </si>
  <si>
    <t>[Parking Event Impact Recording] CCS Function (Vehicle Verification)</t>
  </si>
  <si>
    <t>Check BLTN_CAM_PEV_Recorded signal</t>
  </si>
  <si>
    <t>▪ Built-in Cam Main Screen
▪ [Settings] - [Recording] - [Recording While Parked] - Turn on Parking Event and Event Notification Settings
▪ Set Parking Event Sensitivity to 3 (Medium)
▪ Enter Parking Recording
▪ Balarm_BglrAlrmCurrentSta = 0x2(Arm)
▪ Enable Impact Event</t>
  </si>
  <si>
    <t>▪ From the time recording is complete until video information transmission is complete (max. 5 minutes)
: BLTN_CAM_PEV_Recorded = 0x02 (Park Event Recorded)</t>
  </si>
  <si>
    <t>Check if to wake up when proceeding from sleep state</t>
  </si>
  <si>
    <t>↑
▪ Enter Network Sleep
▪ Authorize Shock Event</t>
  </si>
  <si>
    <t>▪ From the time recording is complete until video information transmission is complete (max. 5 minutes)
: BLTN_CAM_PEV_Recorded = 0x02 (Park Event Recorded)
▪ Enter network sleep after completion</t>
  </si>
  <si>
    <t>Confirm transmission of impact recording video via BlueLink app</t>
  </si>
  <si>
    <t>↑
▪ Check notifications in the BlueLink app</t>
  </si>
  <si>
    <t>▪ BlueLink app push notification triggered
▪ Downloaded video plays normally
(Additionally confirmed impact count, SD card status displayed as good, and available parking recording time displayed correctly)</t>
  </si>
  <si>
    <t>[Impact recording during parking motion recording] CCS function (Vehicle verification)</t>
  </si>
  <si>
    <t>▪ Built-in Cam Main Screen
▪ [Settings] - [Recording] - [Recording While Parked] - Turn ON Parking Motion, Parking Event, and Event Notification Settings
▪ Set Parking Event Sensitivity to 3 (Medium)
▪ KEY OFF → Enter Parking Motion Recording
▪ Balarm_BglrAlrmCurrentSta = 0x2(Arm)
▪ Enable Impact Event</t>
  </si>
  <si>
    <t>[Recording Event Impact While Parked] (4) : Event CCS Notification 1</t>
  </si>
  <si>
    <t>[Recording Event Impact While Parked] : Event CCS Notification 1</t>
  </si>
  <si>
    <t>Verify Event CCS Notification Function Operation
- Wake Up
- Trigger Signal
- Enter Sleep after Event CCS Notification Function Terminates</t>
  </si>
  <si>
    <t>▪ Built-in Cam Main Screen
▪ [Settings] - [Recording] - [Recording While Parked] - Turn on Parking Event and Event Notification Settings
▪ Set Parking Event Sensitivity to 3 (Medium)
▪ Balarm_BglrAlrmCurrentSta = 0x2(Arm)
▪ ACC &amp; IGN OFF, Communication Sleep (ccNC power off) → Switch to Auxiliary Battery Power
▪ Check if Wake Up 10 seconds after Impact Event is triggered
(Since the May SV1 update, Wake Up 5 seconds after the event is triggered)</t>
  </si>
  <si>
    <t>▪ Wake Up at the end of recording
▪ Switch from auxiliary battery power to B+ power (CAN Alive state)</t>
  </si>
  <si>
    <t>▪ Verify trigger signal output from the time of Wake Up
(Wake Up 5 seconds after event authorization starting from the May SV1 update)</t>
  </si>
  <si>
    <t>▪ BLTN_CAM_RecSta_PEV = 0x1 from the time recording is complete
(Wake Up 5 seconds after event authorization since the May SV1 update)
: Retained while CCS file transfer is complete (Time out: 5 minutes)
▪ BLTN_CAM_RecSta_PEV = 0x1 occurs</t>
  </si>
  <si>
    <t>▪ Verify entry into Sleep after trigger signal output ends</t>
  </si>
  <si>
    <t>▪ Enter Communication Sleep
▪ Switch to Auxiliary Battery Power</t>
  </si>
  <si>
    <t>Verify 5 occurrences of Event CCS notification signal (after communication Sleep)</t>
  </si>
  <si>
    <t>▪ Enter Communication Sleep
▪ Authorize a shock event and verify that WakeUp occurs a total of 5 times</t>
  </si>
  <si>
    <t>▪ BLTN_CAM_RecSet_PEV = 0x1 (Recording), check if recording occurs at the rising edge
▪ BLTN_CAM_PEV_Recorded = 0x0 (OFF) → 0x2 (Park Event Recorded) → 0x0
: Maintains 0x2 for 15 seconds from the time recording is complete, then returns to 0x0</t>
  </si>
  <si>
    <t>▪ Repeat 5 times</t>
  </si>
  <si>
    <t>Confirmed non-operation starting from 6 Event CCS notification signals</t>
  </si>
  <si>
    <t>▪ Authorize shock events and check if WakeUp does not work after 6 or more.</t>
  </si>
  <si>
    <t>▪ WakeUp not working from the 6th time (B+ power not used)</t>
  </si>
  <si>
    <t>Confirmation that no trigger signal occurs when Event CCS notification function is OFF</t>
  </si>
  <si>
    <t>▪ Built-in Cam Main Screen
▪ [Settings] - [Recording] - [Recording While Parked] - Parking Event Notification OFF
▪ ACC &amp; IGN OFF
▪ Enable Impact Event</t>
  </si>
  <si>
    <t>Verify CrashCount update upon KEY ON after 6 or more event authorizations
- Check for correlation between the event CCS notification function ON/OFF and the count
※ [BLTN_CAM_HU_PE] BLTN_CAM_PEV_Count</t>
  </si>
  <si>
    <t>▪ Turn on Parking Event Recording &amp; Turn off Event CCS Notification
▪ Set Parking Event Sensitivity to 3 (Medium)
▪ Turn KEY OFF to enter Parking Recording
▪ Turn KEY ON after triggering 6 or more impact events</t>
  </si>
  <si>
    <t>Regardless of the event CCS notification function, BLTN_CAM_PEV_Count = value is updated according to the number of impacts at the time of KEY ON.</t>
  </si>
  <si>
    <t>▪ Turn on Parking Event Recording &amp; Turn on Event CCS Notification
▪ Set Parking Event Sensitivity to 3 (Medium)
▪ Turn KEY OFF to enter Parking Recording
▪ Turn KEY ON after triggering 6 or more impact events</t>
  </si>
  <si>
    <t>Check if it works regardless of sensitivity 1 to 5</t>
  </si>
  <si>
    <t>▪ Turn on Parking Event Recording &amp; Turn on Event CCS Notification
▪ Set Parking Event Sensitivity to 1
▪ Enter Parking Recording for each setting and check if Impact Notification is active</t>
  </si>
  <si>
    <t>▪ BLTN_CAM_PEV_Recorded = 0x1(OFF) → 0x2(Park Event Recorded)
: Retained while CCS file transfer is complete (Timeout: 5 minutes)</t>
  </si>
  <si>
    <t>▪ Reconfirm after setting parking event sensitivity to 2</t>
  </si>
  <si>
    <t>▪ BLTN_CAM_PEV_Recorded = 0x1(OFF) → 0x2(Park Event Recorded)</t>
  </si>
  <si>
    <t>▪ Reconfirm after setting parking event sensitivity to 3</t>
  </si>
  <si>
    <t>▪ Reconfirm after setting parking event sensitivity to 4</t>
  </si>
  <si>
    <t>▪ Reconfirm after setting parking event sensitivity to 5</t>
  </si>
  <si>
    <t>Event CCS notification function occurred 2 consecutive times</t>
  </si>
  <si>
    <t>▪ Built-in Cam Settings - Enable Event Notifications While Parked
▪ Enter Parking Recording
▪ Enter Sleep Mode
▪ Impact Occurs
▪ Another impact occurs within 3 seconds after the first impact recording ends</t>
  </si>
  <si>
    <t>▪ BLTN_CAM_RecSta_PEV signal is On for 10 seconds
(PEV signal is ON for 5 seconds starting from the May SV1 maintenance,
limited to CAN Wake Up situations caused by impact application while in Sleep state)</t>
  </si>
  <si>
    <t>▪ Parking alert triggered (CAN WakeUp)
▪ BLTN_CAM_PEV_Count signal is +1</t>
  </si>
  <si>
    <t>Set Event CCS notification function to ON, set event recording time to -10s to +10s, and authorize continuous parking events.</t>
  </si>
  <si>
    <t>▪ Impact detected at 2-second intervals for 1 minute under parking event recording conditions</t>
  </si>
  <si>
    <t>▪ No slowdowns, no reboots, and no missing recording files
▪ Impact count values ​​match the recorded video</t>
  </si>
  <si>
    <t>Set Event CCS notification function to ON, set event recording time to -15s to +15s, and authorize continuous parking events.</t>
  </si>
  <si>
    <t>Set Event CCS notification function to ON, change event recording time to -20s to +20s, and authorize continuous parking events.</t>
  </si>
  <si>
    <t>[Parking Event Impact Recording] (5) : Event CCS Notification 2
- Verification of Event CCS Notification function operation based on Balarm_BglrAlrmCurrentSta signal status
※ Specifications
- Event CCS Notification function active: 0x2, 0x6, 0x9, 0xF
- Event CCS Notification function not active: 0x1, 0x3, 0x4, 0x5,
0x7, 0x8, 0xB
- Event CCS Notification function Don't Care (Maintain previous signal value):
: 0x0, 0xA, 0xC, 0xD, 0xE
- When a Balarm_BglrAlrmCurrentSta signal Timeout occurs (including CAN Sleep), the parking impact detection notification and file transfer functions are activated regardless of the last signal value. (If user settings are configured)</t>
  </si>
  <si>
    <t>CCS_007</t>
  </si>
  <si>
    <t>[Recording Event Impact While Parked] : Event CCS Notification 2</t>
  </si>
  <si>
    <t>0x2(Arm)</t>
  </si>
  <si>
    <t>▪ Parking Continuous Recording Setting On, Event Notification Setting On
▪ ACC&amp;IGN Off - Enter Parking Recording Mode
▪ Balarm_BglrAlrmCurrentSta = 0x2(Arm)
▪ Enable Impact Event</t>
  </si>
  <si>
    <t>0x2(Arm) → Timeout</t>
  </si>
  <si>
    <t>▪ Balarm_BglrAlrmCurrentSta = 0x2(Arm) → Timeout
▪ Shock Event Authorization</t>
  </si>
  <si>
    <t>0x6(ReArm)</t>
  </si>
  <si>
    <t>▪ Balarm_BglrAlrmCurrentSta = 0x6(ReArm)
▪ Shock Event Authorization</t>
  </si>
  <si>
    <t>0x6(ReArm) → Timeout</t>
  </si>
  <si>
    <t>▪ Balarm_BglrAlrmCurrentSta = 0x6(ReArm) → Timeout
▪ Shock Event Authorization</t>
  </si>
  <si>
    <t>0x9(Alarm)</t>
  </si>
  <si>
    <t>▪ Balarm_BglrAlrmCurrentSta = 0x9(Alarm)
▪ Authorize shock event after event recording caused by the above signal has finished</t>
  </si>
  <si>
    <t>0x9(Alarm) → Timeout</t>
  </si>
  <si>
    <t>▪ Balarm_BglrAlrmCurrentSta = 0x9(Alarm) → Timeout
▪ Shock Event Authorization</t>
  </si>
  <si>
    <t>0xF(Error Indicator)</t>
  </si>
  <si>
    <t>▪ Balarm_BglrAlrmCurrentSta = 0xF(Error Indicator)
▪ Enable Shock Event</t>
  </si>
  <si>
    <t>0xF(Error Indicator) → Timeout</t>
  </si>
  <si>
    <t>0x0(Off)
(Verified as output value after initialization)</t>
  </si>
  <si>
    <t>▪ Balarm_BglrAlrmCurrentSta = 0x0(Off)
▪ Shock Event Authorization</t>
  </si>
  <si>
    <t>▪ BLTN_CAM_PEV_Recorded = 0x0(OFF)</t>
  </si>
  <si>
    <t>0x0(Off) → Timeout</t>
  </si>
  <si>
    <t>▪ Balarm_BglrAlrmCurrentSta = 0x0(Off) → Timeout
▪ Enable shock event</t>
  </si>
  <si>
    <t>0x1(DisArm)
(Verified as output value after initialization)</t>
  </si>
  <si>
    <t>▪ Balarm_BglrAlrmCurrentSta = 0x1(DisArm)
▪ Shock Event Authorization</t>
  </si>
  <si>
    <t>0x1(DisArm) → Timeout</t>
  </si>
  <si>
    <t>▪ Balarm_BglrAlrmCurrentSta = 0x1(DisArm) → Timeout
▪ Enable shock event</t>
  </si>
  <si>
    <t>0x3(PreArm)
(Verified as output value after initialization)</t>
  </si>
  <si>
    <t>▪ Balarm_BglrAlrmCurrentSta = 0x3(PreArm)
▪ Shock Event Authorization</t>
  </si>
  <si>
    <t>0x3(PreArm) → Timeout</t>
  </si>
  <si>
    <t>▪ Balarm_BglrAlrmCurrentSta = 0x3(PreArm) → Timeout
▪ Enable shock event</t>
  </si>
  <si>
    <t>0x4(ArmWait)
(Verified as output value after initialization)</t>
  </si>
  <si>
    <t>▪ Balarm_BglrAlrmCurrentSta = 0x4(ArmWait)
▪ Shock Event Authorization</t>
  </si>
  <si>
    <t>0x4(ArmWait) → Timeout</t>
  </si>
  <si>
    <t>▪ Balarm_BglrAlrmCurrentSta = 0x4(ArmWait) → Timeout
▪ Shock Event Authorization</t>
  </si>
  <si>
    <t>[Recording Event Impact While Parked] (5) : Event CCS Notification 3</t>
  </si>
  <si>
    <t>CCS_008</t>
  </si>
  <si>
    <t>[Recording Event Impact While Parked] : Event CCS Notification 3</t>
  </si>
  <si>
    <t>0x5(ArmHold(Trunk))
(Verify as output value after initialization)</t>
  </si>
  <si>
    <t>▪ Balarm_BglrAlrmCurrentSta = 0x5(ArmHold(Trunk))
▪ Shock Event</t>
  </si>
  <si>
    <t>0x5(ArmHold(Trunk)) → Timeout</t>
  </si>
  <si>
    <t>▪ Balarm_BglrAlrmCurrentSta = 0x5(ArmHold(Trunk)) → Timeout
▪ Shock Event</t>
  </si>
  <si>
    <t>0x7(AutoLockTimer1)
(Verify as output value after initialization)</t>
  </si>
  <si>
    <t>▪ Balarm_BglrAlrmCurrentSta = 0x7(AutoLockTimer1)
▪ Enable shock event</t>
  </si>
  <si>
    <t>0x7(AutoLockTimer1) → Timeout</t>
  </si>
  <si>
    <t>▪ Balarm_BglrAlrmCurrentSta = 0x7(AutoLockTimer1) → Timeout
▪ Enable shock event</t>
  </si>
  <si>
    <t>0x8(AutoLockTimer2)
(Verify as output value after initialization)</t>
  </si>
  <si>
    <t>▪ Balarm_BglrAlrmCurrentSta = 0x8(AutoLockTimer2)
▪ Enable shock event</t>
  </si>
  <si>
    <t>0x8(AutoLockTimer2) → Timeout</t>
  </si>
  <si>
    <t>▪ Balarm_BglrAlrmCurrentSta = 0x8(AutoLockTimer2) → Timeout
▪ Enable shock event</t>
  </si>
  <si>
    <t>0xA(Default)
(Verified as output value after initialization)</t>
  </si>
  <si>
    <t>▪ Balarm_BglrAlrmCurrentSta = 0xA(Default)
▪ Enable Shock Event</t>
  </si>
  <si>
    <t>0xA(Default) → Timeout</t>
  </si>
  <si>
    <t>▪ Balarm_BglrAlrmCurrentSta = 0xA(Default) → Timeout
▪ Enable Shock Event</t>
  </si>
  <si>
    <t>0xB(AutoLockTimer3)
(Verify as output value after initialization)</t>
  </si>
  <si>
    <t>▪ Balarm_BglrAlrmCurrentSta = 0xB(AutoLockTimer3)
▪ Check for shock event</t>
  </si>
  <si>
    <t>0xB(AutoLockTimer3) → Timeout</t>
  </si>
  <si>
    <t>▪ Balarm_BglrAlrmCurrentSta = 0xB(AutoLockTimer3) → Timeout
▪ Enable shock event</t>
  </si>
  <si>
    <t>0xC(Reserved)
(Verified as output value after initialization)</t>
  </si>
  <si>
    <t>▪ Balarm_BglrAlrmCurrentSta = 0xC(Reserved)
▪ Shock Event Authorization</t>
  </si>
  <si>
    <t>0xC(Reserved) → Timeout</t>
  </si>
  <si>
    <t>▪ Balarm_BglrAlrmCurrentSta = 0xC(Reserved) → Timeout
▪ Shock Event Authorization</t>
  </si>
  <si>
    <t>0xD(Reserved)
(Verified as output value after initialization)</t>
  </si>
  <si>
    <t>▪ Balarm_BglrAlrmCurrentSta = 0xD(Reserved)
▪ Shock Event Authorization</t>
  </si>
  <si>
    <t>0xD(Reserved) → Timeout</t>
  </si>
  <si>
    <t>▪ Balarm_BglrAlrmCurrentSta = 0xD(Reserved) → Timeout
▪ Shock Event Authorization</t>
  </si>
  <si>
    <t>0xE(Not Used)
(Verified as output value after initialization)</t>
  </si>
  <si>
    <t>▪ Balarm_BglrAlrmCurrentSta = 0xE(Not Used)
▪ Shock Event Authorization</t>
  </si>
  <si>
    <t>0xE(Not Used) → Timeout</t>
  </si>
  <si>
    <t>▪ Balarm_BglrAlrmCurrentSta = 0xE(Not Used) → Timeout
▪ Shock Event Authorization</t>
  </si>
  <si>
    <t>[Recording Event Impact While Parked] (5) : Event CCS Notification 4</t>
  </si>
  <si>
    <t>CCS_009</t>
  </si>
  <si>
    <t>[Recording Event Impact While Parked] : Event CCS Notification 4</t>
  </si>
  <si>
    <t>Event Notification Signal Transmission: Check Don't Care Condition
Verify operation after inputting 0x0 (Off) → 0x2 (Arm) → 0x0 (Off)
(Verify with transmitted value after initialization)</t>
  </si>
  <si>
    <t>▪ Balarm_BglrAlrmCurrentSta = 0x0(Off) → 0x2(Arm) → 0x0(Off)
▪ Enable Shock Event</t>
  </si>
  <si>
    <t>Verify Don't Care condition for sending event notification signal
Verify operation after entering '0xA(Default) → 0x2(Arm) → 0xA(Default)'
(Verify with the sent value after initialization)</t>
  </si>
  <si>
    <t>▪ Balarm_BglrAlrmCurrentSta = 0xA(Default) → 0x2(Arm) → 0xA(Default)
▪ Enable Shock Event</t>
  </si>
  <si>
    <t>Send Event Notification Signal Check Don't Care Condition
Verify operation after entering '0xC(Reserved) → 0x2(Arm) → 0xC(Reserved)'
(Verify with the sent value after initialization)</t>
  </si>
  <si>
    <t>▪ Balarm_BglrAlrmCurrentSta = 0xC(Reserved) → 0x2(Arm) → 0xC(Reserved)
▪ Shock Event Authorization</t>
  </si>
  <si>
    <t>Send Event Notification Signal Check Don't Care Condition
Verify operation after entering '0xD(Reserved) → 0x2(Arm) → 0xD(Reserved)'
(Verify with the sent value after initialization)</t>
  </si>
  <si>
    <t>▪ Balarm_BglrAlrmCurrentSta = 0xD(Reserved) → 0x2(Arm) → 0xD(Reserved)
▪ Shock Event Authorization</t>
  </si>
  <si>
    <t>Send Event Notification Signal Check Don't Care Condition
Verify operation after entering '0xE(Not Used) → 0x2(Arm) → 0xE(Not Used)'
(Verify with the sent value after initialization)</t>
  </si>
  <si>
    <t>▪ Balarm_BglrAlrmCurrentSta = 0xE(Not Used) → 0x2(Arm) → 0xE(Not Used)
▪ Enable Shock Event</t>
  </si>
  <si>
    <t>Send Event Notification Signal Check Don't Care Condition
Verify operation after entering '0x0(Not Used) → 0x1(DisArm) → 0xA'
(Verify with the sent value after initialization)</t>
  </si>
  <si>
    <t>▪ Balarm_BglrAlrmCurrentSta = 0x0(Not Used) → 0x1(DisArm) → 0xE(Not Used)
▪ Enable Shock Event</t>
  </si>
  <si>
    <t>[Recording Event Impact While Parked] (5) : Event CCS Notification 5</t>
  </si>
  <si>
    <t>CCS_010</t>
  </si>
  <si>
    <t>[Recording Event Impact While Parked] : Event CCS Notification 5</t>
  </si>
  <si>
    <t>Shock Event Occurs Upon Received Burgler Alarm Signal
- Upon Received Signal
- Upon Received Signal After Shock
- Upon Received Signal After Shock</t>
  </si>
  <si>
    <t>▪ Parking Recording in Progress (All Recording Settings ON)
▪ C_BAlarmState = 0x09 or Balarm_BglrAlrmCurrentSta = 0x09
Enable Signal</t>
  </si>
  <si>
    <t>▪ BLTN_CAM_RecSta_PEV = 0x1(ON)
Time measurement: 10 seconds (JW, RS4, CE: 15 seconds)</t>
  </si>
  <si>
    <t>▪ BLTN_CAM_PEV_Count = value updated
 ▪ BLTN_CAM_PEV_Recorded = 0x2(Park Event Recorded)</t>
  </si>
  <si>
    <t>▪ Parking Recording in Progress (All Recording Settings ON)
▪ Enable BLTN_CAM Impact Event 5 times at 11-second intervals
▪ C_BAlarmState = 0x09 or Balarm_BglrAlrmCurrentSta = 0x09
Enable Signal</t>
  </si>
  <si>
    <t>▪ BLTN_CAM_PEV_Recorded = 0x1(Off) maintained
▪ BLTN_CAM_PEV_Count = value updated</t>
  </si>
  <si>
    <t>▪ Parking Recording in Progress (All Recording Settings ON)
▪ C_BAlarmState = 0x09 or Balarm_BglrAlrmCurrentSta = 0x09
Wait 10 seconds after applying signal
▪ Apply BLTN_CAM impact event 5 times at 11-second intervals</t>
  </si>
  <si>
    <t>▪ BLTN_CAM_PEV_Recorded = 0x2(Park Event Recorded)
: For 10 seconds from the time recording is complete (up to 5 times)
▪ When the last impact event is triggered
▪ BLTN_CAM_PEV_Recorded = 0x1(Off) is maintained
▪ BLTN_CAM_PEV_Count = value is updated</t>
  </si>
  <si>
    <t>Turn KEY ON immediately after the event CCS notification function starts.</t>
  </si>
  <si>
    <t>▪ Parking Event Recording Settings ON &amp; Event CCS Notification Function ON
▪ Set Parking Event Sensitivity to 3 (Medium)
▪ ACC &amp; IGN OFF
▪ Turn ACC &amp; IGN ON immediately after impact event is triggered (immediately after Event LED starts flashing)</t>
  </si>
  <si>
    <t>Verify normal output of BLTN_CAM_PEV_Count after turning the key ON.</t>
  </si>
  <si>
    <t>Turn KEY ON at the 1-second mark after the event CCS notification function starts.</t>
  </si>
  <si>
    <t>▪ Parking Event Recording Settings ON &amp; Event CCS Notification Function ON
▪ Set Parking Event Sensitivity to 3 (Medium)
▪ Balarm_BglrAlrmCurrentSta = 0x2(Arm)
▪ ACC &amp; IGN OFF
▪ Turn ACC &amp; IGN ON 1 second after impact event occurs</t>
  </si>
  <si>
    <t>Turn KEY ON at the 9-second mark after the event CCS notification function starts.</t>
  </si>
  <si>
    <t>▪ Parking Event Recording Settings ON &amp; Event CCS Notification Function ON
▪ Set Parking Event Sensitivity to 3 (Medium)
▪ Balarm_BglrAlrmCurrentSta = 0x2(Arm)
▪ ACC &amp; IGN OFF
▪ Turn ACC &amp; IGN ON at 9 seconds after impact event occurs</t>
  </si>
  <si>
    <t>Turn KEY ON at the 10-second mark after the event CCS notification function starts.</t>
  </si>
  <si>
    <t>▪ Parking Event Recording Settings ON &amp; Event CCS Notification Function ON
▪ Set Parking Event Sensitivity to 3 (Medium)
▪ Balarm_BglrAlrmCurrentSta = 0x2(Arm)
▪ ACC &amp; IGN OFF
▪ Turn ACC &amp; IGN ON 10 seconds after impact event is triggered</t>
  </si>
  <si>
    <t>Turn KEY ON at the 11-second mark after the event CCS notification function starts.</t>
  </si>
  <si>
    <t>▪ Parking Event Recording Settings ON &amp; Event CCS Notification Function ON
▪ Set Parking Event Sensitivity to 3 (Medium)
▪ Balarm_BglrAlrmCurrentSta = 0x2(Arm)
▪ ACC &amp; IGN OFF
▪ Turn ACC &amp; IGN ON at 11 seconds after impact event occurs</t>
  </si>
  <si>
    <t>2nd generation and 2.5th generation have different resolutions</t>
  </si>
  <si>
    <t>[Check Video Storage Specifications] : CCS File Specifications</t>
  </si>
  <si>
    <t>Checking Event Video Storage Specifications for CCS While Parked</t>
  </si>
  <si>
    <t>▪ Key Off
▪ Continuous recording while parked (1 minute)
▪ Parking impact triggered
▪ After parking impact recording is complete and BLTN_CAM_PEV_Recorded = 0x2,
Connect via ADB and copy the mp4 file from the /mnt/data/video folder to the SD card.
▪ Remove the SD card and check the video.</t>
  </si>
  <si>
    <t>▪ Front/Rear Resolution: 1280 * 720
※ 2.5 Gen: 1490 * 720
▪ Save/Playback Frame Rate: 10 FPS
▪ 1.5 Mbytes or less per file (based on 20 seconds)
▪ 10 seconds before the event ~ 10 seconds after, total 20 seconds
▪ Confirm saving of OSD area within event video for CCS
- Date / Impact Intensity / GPS</t>
  </si>
  <si>
    <t>JG1 P2 단계 이후 차종
현재 적용 차종
- GN7 FL
- US4 KV(JAP) 
- DL3 PE2</t>
  </si>
  <si>
    <t>Check thumbnail file specifications for CCS while parked</t>
  </si>
  <si>
    <t>▪ Key Off
▪ Continuous recording while parked (1 minute)
▪ Parking impact triggered
▪ After parking impact recording is complete and BLTN_CAM_PEV_Recorded = 0x2,
Connect via ADB and copy the jpg file from the /mnt/data/video folder to the SD card.
▪ Remove the SD card and check the video.</t>
  </si>
  <si>
    <t>▪ Front/Rear Resolution: 640 * 480 (Updated January 24)
※ 2.5 Gen: 640 * 480
▪ Save/Playback Frame Rate: 10 FPS
▪ 90 Kbytes or less per file (based on 20 seconds)
▪ Confirmed saving of OSD area within event video for CCS
- Date / Impact Intensity / GPS</t>
  </si>
  <si>
    <t>[BLTN_CAM-Function-023] Parking Recording End Notification</t>
  </si>
  <si>
    <t>[SD Card Impact Check] BLTN_CAM_PrkOp_Termiate_Info</t>
  </si>
  <si>
    <t>Turn off the key with the SD card removed</t>
  </si>
  <si>
    <t>▪ Parking Continuous Recording Setting On
▪ KEY OFF with SD Card Removed</t>
  </si>
  <si>
    <t>▪ Enter Sleep (Satisfies the dark current condition of 2mA or less during parking recording)
: Consumes current in accordance with parking recording specifications to enable parking recording when an SD card is inserted.</t>
  </si>
  <si>
    <t>Insert SD card to start parking recording</t>
  </si>
  <si>
    <t>↑
▪ Insert SD card</t>
  </si>
  <si>
    <t>▪ Start continuous parking recording
▪ BLTN_CAM_PrkOp_Termiate_Info = 0x5 (Park operation started) - for 30 seconds
▪ Enter Sleep (Satisfies the dark current condition of 2mA or less during parking recording)</t>
  </si>
  <si>
    <t>SD card removal during parking recording</t>
  </si>
  <si>
    <t>↑
▪ Remove SD card</t>
  </si>
  <si>
    <t>▪ BLTN_CAM_PrkOp_Termiate_Info = 0x4 (Park operation terminated earlier) - for 30 seconds
▪ Enter Sleep (Satisfies the dark current condition of 2mA or less during parking recording)</t>
  </si>
  <si>
    <t>Reinsert SD card during parking recording</t>
  </si>
  <si>
    <t>Up
▪ Insert SD card (repeat insertion and removal 5 times to confirm)
▪ Wait until Network Sleep is enabled with the card inserted</t>
  </si>
  <si>
    <t>▪ Start continuous parking recording upon insertion / Stop upon removal
▪ BLTN_CAM_PrkOp_Termiate_Info = 0x5 (Park operation started) - for 30 seconds
= 0x4 (Park operation terminated earlier) - for 30 seconds
▪ Enter Sleep (Satisfies dark current condition of 2mA or less during parking recording)</t>
  </si>
  <si>
    <t>Parking recording successfully completed</t>
  </si>
  <si>
    <t>▪ Parking Continuous Recording Setting On
▪ KEY OFF</t>
  </si>
  <si>
    <t>▪ Transmit the following signal for 30 seconds at the end of recording (Network Wake up)
: BLTN_CAM_PrkOp_Termiate_Info = 0x6(Park operation terminated on time)
▪ Enter Sleep (Satisfies the dark current condition of 2mA or less during parking recording)</t>
  </si>
  <si>
    <t>Early termination due to SoC exhaustion during parking recording</t>
  </si>
  <si>
    <t>▪ Parking Continuous Recording Setting On
▪ KEY OFF
▪ During Parking Recording
Send [LIN] BLTN_CAM_END_Request = 0x1(BLTN_CAM_END)
EV) Send ICU_BS2SoC = 0 %
(When using a panel, [LIN] BLTN_CAM_END_Request = 0x1(BLTN_CAM_END)
After sending, a Lin wake-up is required.)</t>
  </si>
  <si>
    <t>▪ 0x1:Park operation terminated earlier than user set because of Bat. SoC</t>
  </si>
  <si>
    <t>▪ Key On
▪ Check Impact Count Value While Parked</t>
  </si>
  <si>
    <t>▪ Output value corresponding to event count
BLTN_CAM_HU_PE] Check BLTN_CAM_PEV_Count</t>
  </si>
  <si>
    <t>Early termination due to an issue with the SD card memory</t>
  </si>
  <si>
    <t>▪ Insert an SD card with a different format during recording</t>
  </si>
  <si>
    <t>▪ 0x2:Park operation terminated earlier than user set because of SD Card Problem</t>
  </si>
  <si>
    <t>Early termination due to internal built-in cam failure</t>
  </si>
  <si>
    <t>▪ Start parking recording after turning KEY OFF
▪ Enter Sleep mode after disconnecting the LIN cable while Network Alive</t>
  </si>
  <si>
    <t>▪ 0x3:Park operation terminated earlier than user set because of Built-in Cam internal Error</t>
  </si>
  <si>
    <t>Confirm motion detection termination</t>
  </si>
  <si>
    <t>▪ Parking Motion Recording Setting On
▪ KEY OFF
▪ Start Parking Motion Recording</t>
  </si>
  <si>
    <t>▪ Transmit the following signal for 30 seconds at the end of recording (Network Wake up)
: BLTN_CAM_PrkOp_Termiate_Info = 0x6(Park operation terminated on time)</t>
  </si>
  <si>
    <t>Check CCS event notification settings by region</t>
  </si>
  <si>
    <t>[CCS Function - Parking Impact Detection Storage] Check BLTN_CAM_Set_PEV_AppNoti signal</t>
  </si>
  <si>
    <t>CCS Function - Check Parking Impact Detection Storage Activation
(Domestic/Europe/Japan)</t>
  </si>
  <si>
    <t>▪ Built-in Cam Settings - Event Notification Settings ON</t>
  </si>
  <si>
    <t>▪ BLTN_CAM_Set_PEV_AppNoti = 0x2 (ON)</t>
  </si>
  <si>
    <t>CCS Function - Check to Disable Parking Impact Detection Storage
(Middle East/North America/Russia)</t>
  </si>
  <si>
    <t>▪ BLTN_CAM_Set_PEV_AppNoti = 0x0 (Default)</t>
  </si>
  <si>
    <t>Confirmation of the impact of the CAN Wake Up change at the start of parking impact</t>
  </si>
  <si>
    <t>[Recording Event Impacts While Parked] : Event CCS Notification 6
- Applied starting from the May SV1 update</t>
  </si>
  <si>
    <t>Before Park (Always Parked)
Check BLTN_CAM_PEV_Recorded signal</t>
  </si>
  <si>
    <t>▪ Parking Continuous Recording Setting On, Event Notification Setting On
▪ Set the recording time for the corresponding event on the Built-in Cam settings screen
(Bfr -10s, Aft +10s)
▪ Enter Parking Continuous Recording after turning KEY OFF
▪ Impact triggered</t>
  </si>
  <si>
    <t>▪ 5 seconds after impact is applied
▪ BLTN_CAM_RecSta_PEV = 0x1
▪ BLTN_CAM_PEV_Recorded = 0x2
▪ BLTN_CAM_PEV_Count = 0x1 increment</t>
  </si>
  <si>
    <t>▪↑
▪Wait for transition to BLTN_CAM_PEV_Recorded = 0x0</t>
  </si>
  <si>
    <t>▪Time Out after 5 minutes with BLTN_CAM_PEV_Recorded = 0x0 (Single unit)
▪BLTN_CAM_PEV_Recorded = 0x0 after video transmission is complete (Actual vehicle)</t>
  </si>
  <si>
    <t>Next Park (Always Parked)
Check BLTN_CAM_PEV_Recorded signal</t>
  </si>
  <si>
    <t>▪Enter continuous parking recording after KEY OFF
▪Confirm Sleep entry
▪Impact input</t>
  </si>
  <si>
    <t>Before Park (Parking Motion)
Check BLTN_CAM_PEV_Recorded signal</t>
  </si>
  <si>
    <t>▪ Parking Motion Recording Setting On, Event Notification Setting On
▪ Set the corresponding event recording time on the Built-in Cam settings screen
(Bfr -10s, Aft +10s)
▪ Enter continuous parking recording after turning KEY OFF
▪ Impact triggered</t>
  </si>
  <si>
    <t>Next Park (Parking Motion)
Check BLTN_CAM_PEV_Recorded signal</t>
  </si>
  <si>
    <t>▪KEY OFF ▪Enter motion recording standby after Sleep
▪Impact applied</t>
  </si>
  <si>
    <t>▪ 5 seconds after impact is applied
▪ BLTN_CAM_RecSta_PEV = 0x1
▪ BLTN_CAM_PEV_Recorded = 0x2
▪ BLTN_CAM_PEV_Count increase</t>
  </si>
  <si>
    <t>[Recording Event Impacts While Parked] : Event CCS Notification 7
- Applied starting from the May SV1 update</t>
  </si>
  <si>
    <t>▪ Parking Continuous Recording Setting On, Event Notification Setting On
▪ Set the recording time for the corresponding event on the Built-in Cam settings screen
(Bfr -20s, Aft +20s)
▪ Enter Parking Continuous Recording after turning KEY OFF
▪ Impact triggered</t>
  </si>
  <si>
    <t>▪ Parking Motion Recording Setting On, Event Notification Setting On
▪ Set the corresponding event recording time on the Built-in Cam settings screen
(Bfr -20s, Aft +20s)
▪ Enter continuous parking recording after turning KEY OFF
▪ Impact triggered</t>
  </si>
  <si>
    <t>[Parking Event Impact Recording] : Event CCS Notification 8
- Confirmation of impact alarm based on Burgler signal
- Applied starting from the May SV1 update</t>
  </si>
  <si>
    <t>Balarm_BglrAlrmCurrentSta = 0x1(Disarm)</t>
  </si>
  <si>
    <t>▪Parking Continuous Recording Setting On, Event Notification Setting On
▪KEY OFF
▪Enter Parking Recording Mode
▪Balarm_BglrAlrmCurrentSta = 0x1(Disarm)
▪Enable Impact Event</t>
  </si>
  <si>
    <t>▪BLTN_CAM_RecSta_PEV = 0x1
▪BLTN_CAM_PEV_Recorded = 0x0 (No parking event notifications sent)</t>
  </si>
  <si>
    <t>Balarm_BglrAlrmCurrentSta = 0x2(Arm)</t>
  </si>
  <si>
    <t>▪ ↑
▪Balarm_BglrAlrmCurrentSta = 0x2(Arm) 
▪Impose shock event</t>
  </si>
  <si>
    <t>▪BLTN_CAM_RecSta_PEV = 0x1
▪BLTN_CAM_PEV_Recorded = 0x2(Weekly event notification sent O)</t>
  </si>
  <si>
    <t>Balarm_BglrAlrmCurrentSta = 0x3(Prearm)</t>
  </si>
  <si>
    <t>▪ ↑
▪Balarm_BglrAlrmCurrentSta = 0x3(Prearm)
▪Impose shock event</t>
  </si>
  <si>
    <t>Balarm_BglrAlrmCurrentSta = 0x4(Armwait)</t>
  </si>
  <si>
    <t>▪ ↑
▪Balarm_BglrAlrmCurrentSta = 0x4(Armwait) 
▪Impose shock event</t>
  </si>
  <si>
    <t>Balarm_BglrAlrmCurrentSta = 0x5(Armhold)</t>
  </si>
  <si>
    <t>▪ ↑
▪Balarm_BglrAlrmCurrentSta = 0x4(Armhold) 
▪Impose shock event</t>
  </si>
  <si>
    <t>Balarm_BglrAlrmCurrentSta = 0x6(Rearm)</t>
  </si>
  <si>
    <t>▪ ↑
▪Balarm_BglrAlrmCurrentSta = 0x6(Rearm)
▪Impose shock event</t>
  </si>
  <si>
    <t>Balarm_BglrAlrmCurrentSta = 0x7(AutoLockTimer1)</t>
  </si>
  <si>
    <t>▪ ↑
▪Balarm_BglrAlrmCurrentSta = 0x7(AutoLockTimer1) 
▪Enable shock event</t>
  </si>
  <si>
    <t>Balarm_BglrAlrmCurrentSta = 0x8(AutoLockTimer2)</t>
  </si>
  <si>
    <t>▪ ↑
▪Balarm_BglrAlrmCurrentSta = 0x8(AutoLockTimer2) 
▪Enable shock event</t>
  </si>
  <si>
    <t>Balarm_BglrAlrmCurrentSta = 0x9(Alarm)</t>
  </si>
  <si>
    <t>▪↑
▪Balarm_BglrAlrmCurrentSta = 0x9(Alarm)</t>
  </si>
  <si>
    <t>▪↑
▪After 5 minutes BLTN_CAM_PEV_Recorded = 0x0 (Single unit)
▪Impact notification and video transmitted to mobile phone (Actual vehicle)</t>
  </si>
  <si>
    <t>▪↑
▪BLTN_CAM_PEV_Recorded = 0x2 Maintain state
▪KEY ON</t>
  </si>
  <si>
    <t>▪BLTN_CAM_PEV_Recorded = 0x0</t>
  </si>
  <si>
    <t>Balarm_BglrAlrmCurrentSta = 0xB(AutoLockTimer3)</t>
  </si>
  <si>
    <t>▪ ↑
▪Balarm_BglrAlrmCurrentSta = 0x8(AutoLockTimer3) 
▪Enable shock event</t>
  </si>
  <si>
    <t>[Parking Event Impact Recording] : Event CCS Notification 9
- Impact when impact recording is in progress during Burgler signal change
- Applied starting from the May SV1 update</t>
  </si>
  <si>
    <t>Balarm_BglrAlrmCurrentSta = Armwait -&gt; Arm</t>
  </si>
  <si>
    <t>▪Parking Continuous Recording Setting On, Event Notification Setting On
▪KEY OFF
▪Enter Parking Recording Mode
▪Balarm_BglrAlrmCurrentSta = 0x4(Armwait)
▪Enable Impact Event
▪Confirm BLTN_CAM_RecSta_PEV = 0x1
▪Enable Balarm_BglrAlrmCurrentSta = 0x2(Arm) within 2 seconds</t>
  </si>
  <si>
    <t>▪↑
▪Subsequently, is it a shock, or is it 4 or more times in a row?</t>
  </si>
  <si>
    <t>▪ The BLTN_CAM_Resta_PEV signal must terminate normally after each impact
▪ Parking recording must not be interrupted
▪ Verify that all parking impact event videos are generated successfully</t>
  </si>
  <si>
    <t>Balarm_BglrAlrmCurrentSta = Arm -&gt; Disarm</t>
  </si>
  <si>
    <t>▪Balarm_BglrAlrmCurrentSta = 0x2(Arm)
▪Enable impact event
▪Check BLTN_CAM_RecSta_PEV = 0x1
▪Enable Balarm_BglrAlrmCurrentSta = 0x1(Disarm) within 2 seconds</t>
  </si>
  <si>
    <t>Balarm_BglrAlrmCurrentSta = Arm -&gt; Impact -&gt; Alarm</t>
  </si>
  <si>
    <t>▪Balarm_BglrAlrmCurrentSta = 0x2(Arm)
▪Enable shock event
▪Check BLTN_CAM_RecSta_PEV = 0x1
▪Enable Balarm_BglrAlrmCurrentSta = 0x9(Alarm) after 5 minutes</t>
  </si>
  <si>
    <t>▪ After Burgler alarm triggered: Balarm_BglrAlrmCurrentSta = 0x1(Disarm)
▪ Balarm_BglrAlrmCurrentSta = 0x4(Armwait)
▪ After 30 seconds: Balarm_BglrAlrmCurrentSta = 0x2(Arm)
▪ Impact applied</t>
  </si>
  <si>
    <t>Check the impact of changing the impact notification to the parking impact start time.</t>
  </si>
  <si>
    <t>Check Shock Alert Conditions
- Reflected from May SV1 Regularization onwards</t>
  </si>
  <si>
    <t>Confirm impact notification when starting parking impact recording</t>
  </si>
  <si>
    <t>▪Parking Continuous Recording Setting On, Event Notification Setting On
▪Enter Parking Continuous Recording after KEY OFF - Before Park
▪Impact Detected</t>
  </si>
  <si>
    <t>(Actual Vehicle)
▪Point where BLTN_CAM_RecSta_PEV changes to 0x1
: Whether to send impact notification to mobile phone</t>
  </si>
  <si>
    <t>When shock detection occurs continuously during CCS transmission</t>
  </si>
  <si>
    <t>▪Enter continuous parking recording after turning KEY OFF
▪Confirm entry into Sleep mode
▪Apply impact
▪Apply impact again 20 seconds after impact recording starts (at the point after the previous impact recording ended)</t>
  </si>
  <si>
    <t>▪ Maintain BLTN_CAM_PEV_Recorded = 0x2
▪ Maintain 0x0 for 1 second after transmission is complete
▪ Then transition to BLTN_CAM_PEV_Recorded = 0x2
: Send second impact notification at that point</t>
  </si>
  <si>
    <t>KEY ON while transmitting impact video</t>
  </si>
  <si>
    <t>▪Parking Continuous Recording Setting On, Event Notification Setting On
▪Enter Parking Continuous Recording after KEY OFF - Before Park
▪Impact detected
▪Turn KEY ON after approximately 1 minute</t>
  </si>
  <si>
    <t>(Actual Vehicle)
▪ Successful transmission of the relevant impact recording video</t>
  </si>
  <si>
    <t>▪Enter continuous parking recording after turning KEY OFF
▪Confirm Sleep mode entry - Next Park
▪Impact detected
▪Turn KEY ON after approximately 1 minute</t>
  </si>
  <si>
    <t>KEY ON during continuous transmission of impact video</t>
  </si>
  <si>
    <t>▪Parking Continuous Recording Setting On, Event Notification Setting On
▪Enter Parking Continuous Recording after KEY OFF - Before Park
▪Impact triggered
▪Check BLTN_CAM_PEV_Recorded = 0x2
▪Trigger impact again 20 seconds after impact recording starts
: Point in time after previous impact recording ended
▪Turn KEY ON after BLTN_CAM_RecSta_PEV = 0x1</t>
  </si>
  <si>
    <t>(Actual Vehicle)
▪ Transmits only impact footage up to the point of KEY ON
: Before transmitting BLTN_CAM_PEV_Recorded = 0x2(Park Event Recorded)
When KEY ON, only the footage currently being transmitted is sent, and subsequent footage is not transmitted</t>
  </si>
  <si>
    <t>▪Parking Continuous Recording Setting On, Event Notification Setting On
▪Enter Parking Continuous Recording after KEY OFF
▪Confirm Sleep Entry
▪Apply Impact
▪Confirm BLTN_CAM_PEV_Recorded = 0x2
▪Apply Impact Again 20 seconds after Impact Recording Starts
: Point in time after previous impact recording ended
▪Enter KEY ON after BLTN_CAM_RecSta_PEV = 0x1</t>
  </si>
  <si>
    <t>(Actual Vehicle)
▪Confirmed transmission of impact footage up to the point of KEY ON
: Before transmitting BLTN_CAM_PEV_Recorded = 0x2(Park Event Recorded)
Upon KEY ON, only the footage currently being transmitted is sent, and subsequent footage is not transmitted.</t>
  </si>
  <si>
    <t>Verification of the impact of changes in the timing at which information for recording files for CCS transmission is populated</t>
  </si>
  <si>
    <t>Confirmation of CCU Impact
- Reflected starting from SV1 regularization in May</t>
  </si>
  <si>
    <t>Check file information at the time parking recording is completed</t>
  </si>
  <si>
    <t>▪Parking Continuous Recording Setting On, Event Notification Setting On
▪Enter Parking Continuous Recording after KEY OFF
▪Confirm Sleep Entry
▪Impact Detected
▪Confirm Impact Video Transmission</t>
  </si>
  <si>
    <t>(Actual Vehicle)
After CCS operation is complete, verify consistency of front/rear file names, sizes, etc. in the files
▪ Verify front/rear video dates (corresponding date and time)
▪ Verify front/rear video sizes (1.5 Mbyte or less)</t>
  </si>
  <si>
    <t>Check file information at the time of parking recording completion (continuous)</t>
  </si>
  <si>
    <t>13V</t>
  </si>
  <si>
    <t>▪↑
▪ Re-apply shock 1 minute after the initial shock
▪ After transmission is complete, maintain BLTN_CAM_PEV_Recorded = 0x0 for 1 second
▪ Then transition back to BLTN_CAM_PEV_Recorded = 0x2
▪ Repeat this process 4 times (total 5 shocks)</t>
  </si>
  <si>
    <t>(Actual Vehicle)
After CCS operation is complete, verify consistency of front and rear file names, sizes, etc. in the files
▪ Verify the date of each front and rear video (corresponding date and time)
▪ Verify the size of each front and rear video (1.6 Mbyte or less)</t>
  </si>
  <si>
    <t>Verification of the impact of disabling notification signals in the event of parking impact recording failure after wake-up</t>
  </si>
  <si>
    <t>CCS_020</t>
  </si>
  <si>
    <t>Check Recording Failure Conditions
- Applied starting from the May SV1 update</t>
  </si>
  <si>
    <t>Apply impact after removing the SD card following entry into parking recording</t>
  </si>
  <si>
    <t>▪Parking Continuous Recording Setting On, Event Notification Setting On
▪Enter Parking Continuous Recording after KEY OFF - Before Park
▪Remove SD card within 2 seconds
▪Impact applied</t>
  </si>
  <si>
    <t>(Actual Vehicle)
▪ No impact notification sent
▪ Enters Sleep (Satisfies dark current condition of 2mA or less during parking recording)</t>
  </si>
  <si>
    <t>▪Parking Continuous Recording Setting On, Event Notification Setting On
▪KEY OFF
▪Enter Sleep mode, then enter Parking Continuous Recording
▪Remove SD card within 2 seconds
▪Apply impact</t>
  </si>
  <si>
    <t>When removing the SD card after CAN Wake Up</t>
  </si>
  <si>
    <t>▪Parking Continuous Recording Setting On, Event Notification Setting On
▪KEY OFF
▪Enter Parking Continuous Recording after Sleep
▪Impact Received
▪SD Card Removed 15 seconds after CAN Wake Up
: SOME/IP Communication Timing After CCU Boot</t>
  </si>
  <si>
    <t>(Actual Vehicle)
▪ Video will not be transmitted
(Text notifications may be sent depending on the timing)
▪ Enter Sleep mode (Satisfies the dark current condition of 2mA or less during parking recording)</t>
  </si>
  <si>
    <t>▪↑
▪Reinsert SD card</t>
  </si>
  <si>
    <t>(Actual Vehicle)
▪ Resume Parking Recording
▪ Enter Sleep (Satisfies dark current condition of 2mA or less during parking recording)</t>
  </si>
  <si>
    <t>▪↑
▪Impact after entering Sleep</t>
  </si>
  <si>
    <t>▪BLTN_CAM_PEV_Recorded = 0x2
▪Confirmation of successful impact video transmission</t>
  </si>
  <si>
    <t>▪ Enters Sleep after transmitting impact video (satisfies dark current condition of 2mA or less during parking recording)</t>
  </si>
  <si>
    <t>Turn the key on within 2 seconds of starting impact recording</t>
  </si>
  <si>
    <t>▪Parking Continuous Recording Setting On, Event Notification Setting On
▪Enter Parking Continuous Recording after KEY OFF - Before Park
▪Continuous impact detected from the moment parking recording enters
▪KEY ON within 2 seconds</t>
  </si>
  <si>
    <t>▪BLTN_CAM_Recsta_PEV = 0x1
▪BLTN_CAM_PEV_Recorded = 0x0</t>
  </si>
  <si>
    <t>▪↑
▪ Enter Built-in Cam Mode after KEY ON
▪ Confirm creation of video files for continuous recording while parked and events while parked</t>
  </si>
  <si>
    <t>▪ Create continuous recording files while parked
▪ Create event recording files while parked</t>
  </si>
  <si>
    <t>[Evil Conditions] Quickly turn the key ON/OFF 20 times, then turn it OFF</t>
  </si>
  <si>
    <t>▪ Quickly repeat KEY RESET 20 times (in 1-second intervals) then OFF
(Quickly press the actual vehicle engine start button)
▪ Apply shock</t>
  </si>
  <si>
    <t>▪Parking Recording Entered Normally
▪BLTN_CAM_Recsta_PEV = 0x1
▪BLTN_CAM_PEV_Recorded = 0x2</t>
  </si>
  <si>
    <t>▪ Confirmed that only 1 continuous parking recording file and 1 parking impact event were generated.</t>
  </si>
  <si>
    <t>When downloading a link while waking up</t>
  </si>
  <si>
    <t>▪Parking Continuous Recording Setting On, Event Notification Setting On
▪Enter Parking Continuous Recording after KEY OFF
▪Confirm Sleep Entry
▪Impact Detected
▪CAN Wake Up
▪Eth Link Down</t>
  </si>
  <si>
    <t>(Actual Vehicle)
▪Confirmation of video transmission failure</t>
  </si>
  <si>
    <t>Internal failure</t>
  </si>
  <si>
    <t>▪Parking Continuous Recording Setting On, Event Notification Setting On
▪Enter Parking Continuous Recording after KEY OFF
▪Confirm Sleep Entry
▪Impact Received
▪CAN Wake Up
▪Built-in Cam Internal Malfunction
※ Requires verification of how to trigger the internal malfunction error</t>
  </si>
  <si>
    <t>▪Verification of video transmission failure
▪Continuous recording file not generated while parked
▪Event recording file not generated while parked</t>
  </si>
  <si>
    <t>Insert non-genuine SD card</t>
  </si>
  <si>
    <t>▪Parking Continuous Recording Setting On, Event Notification Setting On
▪Enter Parking Continuous Recording after KEY OFF
▪Impact Detected</t>
  </si>
  <si>
    <t>▪ Within 5 seconds of impact application
▪ BLTN_CAM_RecSta_PEV = 0x1
▪ BLTN_CAM_PEV_Recorded = 0x2
▪ BLTN_CAM_PEV_Count = Increase by 0x1</t>
  </si>
  <si>
    <t>Change in voltage conditions</t>
  </si>
  <si>
    <t>▪ Start Parking Recording, Enter Network Sleep
▪ Auxiliary Battery Power Input: 12V → 6V (eAGM specification uses B+ voltage)
(Condition: High voltage interruption during parking recording is impossible)
▪ Impact applied</t>
  </si>
  <si>
    <t>▪ Stop parking recording (6.5V or lower)
▪ Do not perform impact recording</t>
  </si>
  <si>
    <t>▪ Start parking recording, enter network sleep
▪ Impact applied
▪ Verify CAN Wake Up and BLTN_CAM_PEV_Recorded = 0x2
▪ Auxiliary battery power input: 12V → 6V (eAGM specification uses B+ voltage)
(Condition: High voltage interruption during parking recording cannot occur)</t>
  </si>
  <si>
    <t>▪ Stop parking recording (6.5V or lower)
▪ Confirm video transmission interruption (actual vehicle)</t>
  </si>
  <si>
    <t>When a shock is detected while entering Sleep</t>
  </si>
  <si>
    <t>▪Parking Continuous Recording Setting On, Event Notification Setting On
▪Entering Parking Continuous Recording after KEY OFF
▪Timing of entering Sleep mode (the moment Event Ind is briefly OFF)
▪Impact detected</t>
  </si>
  <si>
    <t>▪Do not perform impact recording
▪BLTN_CAM_Recsta_PEV = 0x0
▪BLTN_CAM_PEV_Recorded = 0x0</t>
  </si>
  <si>
    <t>Confirmation of impact when shock is applied during OTA</t>
  </si>
  <si>
    <t>[Update] : When shock recording occurs during the update</t>
  </si>
  <si>
    <t>Is shock recording enabled during BG update?</t>
  </si>
  <si>
    <t>▪USB update in progress (immediately after BG update starts)
▪KEY OFF 
▪Balarm_BglrAlrmCurrentSta = 0x2(Arm) 
▪Impact applied</t>
  </si>
  <si>
    <t>▪BLTN_CAM_RecSta_PEV = 0x1
▪BLTN_CAM_PEV_Recorded = 0x2
▪USB update will not be interrupted</t>
  </si>
  <si>
    <t>HU_OTA 차종</t>
  </si>
  <si>
    <t>▪USB Update in Progress (Later part of BG Update)
- Verify via Real-time Log (Before Boot Sector SWAP)
▪KEY OFF 
▪Balarm_BglrAlrmCurrentSta = 0x2(Arm) 
▪Impact Applied</t>
  </si>
  <si>
    <t>Enable shock recording during FG update</t>
  </si>
  <si>
    <t>▪ Verify that the "Update in progress" message is displayed when KEY OFF after BG is complete
▪ KEY OFF
▪ Balarm_BglrAlrmCurrentSta = 0x2(Arm) 
▪ Impact enabled
▪ Touch "Install Now" popup</t>
  </si>
  <si>
    <t>▪Check CAN Wake Up during the latter part of FG
▪Apply ICU_BS2SoC = 70% or higher
▪Balarm_BglrAlrmCurrentSta = 0x2(Arm)
▪Apply shock</t>
  </si>
  <si>
    <t>[BLTN_CAM-Function-024] Driving Information Storage Function</t>
  </si>
  <si>
    <t>Only check whether the function operates according to the settings</t>
  </si>
  <si>
    <t>[Check driving information recording function operation based on settings]</t>
  </si>
  <si>
    <t>Date and time</t>
  </si>
  <si>
    <t>▪ BLTN_CAM_Tme_Stm_NvalueSet = 0x1(OFF)</t>
  </si>
  <si>
    <t>▪ BLTN_CAM_Set_Tim_Stm = 0x1(OFF)</t>
  </si>
  <si>
    <t>▪ Video playback after recording driving footage</t>
  </si>
  <si>
    <t>▪ Corresponding OSD information is not displayed at the top of the CCNC playback screen</t>
  </si>
  <si>
    <t>▪ BLTN_CAM_Time_Stm_NvalueSet = 0x2(ON)</t>
  </si>
  <si>
    <t>▪ BLTN_CAM_Set_Tim_Stm = 0x2(ON)</t>
  </si>
  <si>
    <t>▪ Display corresponding OSD information at the top of the CCNC playback screen</t>
  </si>
  <si>
    <t>speed</t>
  </si>
  <si>
    <t>▪ BLTN_CAM_Spd_Stm_NvalueSet = 0x1(OFF)</t>
  </si>
  <si>
    <t>▪ BLTN_CAM_Set_Spd_Stm = 0x1(OFF)</t>
  </si>
  <si>
    <t>▪ BLTN_CAM_Spd_Stm_NvalueSet = 0x2(ON)</t>
  </si>
  <si>
    <t>▪ BLTN_CAM_Set_Spd_Stm = 0x2(ON)</t>
  </si>
  <si>
    <t>gear</t>
  </si>
  <si>
    <t>▪ BLTN_CAM_GearPos_Stm_NvalueSet = 0x1(OFF)</t>
  </si>
  <si>
    <t>▪ BLTN_CAM_Set_GearPos_Stm = 0x1(OFF)</t>
  </si>
  <si>
    <t>▪ BLTN_CAM_GearPos_Stm_NvalueSet = 0x2(ON)</t>
  </si>
  <si>
    <t>▪ BLTN_CAM_Set_GearPos_Stm = 0x2(ON)</t>
  </si>
  <si>
    <t>turn signal</t>
  </si>
  <si>
    <t>▪ BLTN_CAM_TrnSig_Stm_NvalueSet = 0x1(OFF)</t>
  </si>
  <si>
    <t>▪ BLTN_CAM_Set_TrnSig_Stm = 0x1(OFF)</t>
  </si>
  <si>
    <t>▪ BLTN_CAM_TrnSig_Stm_NvalueSet = 0x2(ON)</t>
  </si>
  <si>
    <t>▪ BLTN_CAM_Set_TrnSig_Stm = 0x2(ON)</t>
  </si>
  <si>
    <t>Detected impact intensity, impact detection status</t>
  </si>
  <si>
    <t>▪ BLTN_CAM_EVSen_Stm_NvalueSet = 0x1(OFF)</t>
  </si>
  <si>
    <t>▪ BLTN_CAM_Set_EVSen_Stm = 0x1(OFF)</t>
  </si>
  <si>
    <t>▪ BLTN_CAM_EVSen_Stm_NvalueSet = 0x2(ON)</t>
  </si>
  <si>
    <t>▪ BLTN_CAM_Set_EVSen_Stm = 0x2(ON)</t>
  </si>
  <si>
    <t>GPS location</t>
  </si>
  <si>
    <t>▪ BLTN_CAM_Locatn_Stm_NvalueSet = 0x1(OFF)</t>
  </si>
  <si>
    <t>▪ BLTN_CAM_Set_Locatn_Stm = 0x1(OFF)</t>
  </si>
  <si>
    <t>▪ BLTN_CAM_Locatn_Stm_NvalueSet = 0x2(ON)</t>
  </si>
  <si>
    <t>▪ BLTN_CAM_Set_Locatn_Stm = 0x2(ON)</t>
  </si>
  <si>
    <t>Check for OSD display on MP4 files
Refer to System Specifications [Table 5.4.1 Stamping Information Specification]</t>
  </si>
  <si>
    <t>[Check MP4 OSD Display by Recording Type]</t>
  </si>
  <si>
    <t>Always while driving</t>
  </si>
  <si>
    <t>▪ [Settings] - [Recording] - Display Information Stamp - Speed, Gear, Turn Signals, Event Detection Sensitivity, Location On
▪ After creating a recorded video, play the mp4 file on a PC to check the display of information other than the time on the top-left OSD.</t>
  </si>
  <si>
    <t>▪ Time, speed, gear, turn signals, event detection sensitivity, location information - displayed on a single line (refer to specifications)</t>
  </si>
  <si>
    <t>Always while parked</t>
  </si>
  <si>
    <t>▪ OSD Time, Recording Impact Intensity, GPS Display</t>
  </si>
  <si>
    <t>Impact event while driving</t>
  </si>
  <si>
    <t>Shock event while parked</t>
  </si>
  <si>
    <t>Switch event while driving</t>
  </si>
  <si>
    <t>Switch event while parked</t>
  </si>
  <si>
    <t>Time-lapse (not supported)</t>
  </si>
  <si>
    <t>▪ No OSD display</t>
  </si>
  <si>
    <t>Parking motion detection storage</t>
  </si>
  <si>
    <t>Performance recording (not supported)</t>
  </si>
  <si>
    <t>▪ [Settings] - [Recording] - Display Information Stamp
▪ Speed, Gear, Turn Signals, Event Detection Sensitivity, Location On
▪ Check the UI at the top of the recorded video
▪ After creating a recorded video, play the mp4 file on a PC to verify that information other than the time is displayed on the OSD in the top left corner.</t>
  </si>
  <si>
    <t>▪ No OSD display
▪ UI displayed at the top of the recorded video
(Steering wheel, lateral acceleration, gear, vehicle speed, brake/accelerator pressure, circuit map, lap time)</t>
  </si>
  <si>
    <t>x</t>
  </si>
  <si>
    <t>Check thumbnail file</t>
  </si>
  <si>
    <t>[Check Recording File Size] Thumbnail</t>
  </si>
  <si>
    <t>Constant driving</t>
  </si>
  <si>
    <t>Storage Memory and File Management tab T/C ID: MEM_005 Execute</t>
  </si>
  <si>
    <t>T/C ID: MEM_005 Expected Results Satisfied (No Thumbnail OSD)</t>
  </si>
  <si>
    <t>Driving shock event</t>
  </si>
  <si>
    <t>Driving manual event</t>
  </si>
  <si>
    <t>Always parking</t>
  </si>
  <si>
    <t>Parking Shock Event</t>
  </si>
  <si>
    <t>Parking manual event</t>
  </si>
  <si>
    <t>Time-lapse</t>
  </si>
  <si>
    <t>Performance recording</t>
  </si>
  <si>
    <t>[Verification of Driving Information OSD Record Consistency] : Constant Driving</t>
  </si>
  <si>
    <t>INF_004</t>
  </si>
  <si>
    <t>[Check Driving Information OSD Record Delay] : Constant Driving</t>
  </si>
  <si>
    <t>▪ Start driving recording
▪ Point front/rear cameras at the PC monitor
▪ Run the 'Driving Data Test' code in CANoe Pro
▪ Check the driving recording file after completion
: Verify both the AVN screen and the OSD display of the mp4 file</t>
  </si>
  <si>
    <t>▪ Delay time between signal input and OSD record time
: Error between input signal and OSD display within 100ms
▪ No missing display (- display)</t>
  </si>
  <si>
    <t>Detected impact intensity (0~5)</t>
  </si>
  <si>
    <t>▪ Continuous driving recording
▪ Apply impact so that the moment of impact is visible on the camera
: Monitor G-Sensor log data and apply impacts corresponding to impact levels 1–5
▪ Check driving recording files
: Verify both the AVN screen and the OSD display of the mp4 file</t>
  </si>
  <si>
    <t>▪ Gauge operates from 1 to 5 depending on the applied impact intensity
▪ Delay time between signal input and OSD recording time
: Error between input signal and OSD display within 100ms
▪ No missing display (- display)</t>
  </si>
  <si>
    <t>Shock detection status</t>
  </si>
  <si>
    <t>▪ Continuous driving recording in progress
▪ Apply impact so that the moment of impact is visible on the camera
▪ Check driving recording files
: Verify both the AVN screen and the OSD display of the mp4 file</t>
  </si>
  <si>
    <t>▪ Impact detection icon displays at the moment of impact detection
▪ Delay between signal input and OSD recording time
: Error between input signal and OSD display within 100ms
▪ No missing display (- display)</t>
  </si>
  <si>
    <t>※ Verify in actual vehicle
▪ Check driving video and map location changes</t>
  </si>
  <si>
    <t>▪ Driving video and map data match
▪ Location data will not be missing</t>
  </si>
  <si>
    <t>GPS impact location</t>
  </si>
  <si>
    <t>※ Verification in actual vehicle
▪ Confirmation of impact event during driving recording
▪ Verification of location change between driving video and map</t>
  </si>
  <si>
    <t>Apply Last value when GPS signal is not received</t>
  </si>
  <si>
    <t>▪ Start driving recording after turning on the KEY while no GPS data is being received</t>
  </si>
  <si>
    <t>▪ Display OSD with previously received value</t>
  </si>
  <si>
    <t>Check OSD records at the time of recording start after booting</t>
  </si>
  <si>
    <t>▪ Start driving recording after turning the KEY ON</t>
  </si>
  <si>
    <t>▪ All OSD data is displayed correctly even at the start.</t>
  </si>
  <si>
    <t>[Verification of Driving Information OSD Record Consistency] : Driving Event</t>
  </si>
  <si>
    <t>INF_005</t>
  </si>
  <si>
    <t>▪ Start recording driving events
▪ Focus front/rear cameras on PC monitor
▪ Check recording files after executing CAPL code (maintain Busload at 60%)</t>
  </si>
  <si>
    <t>▪ Check the delay between signal input time and OSD record time
: Input signal and OSD display error within 100ms</t>
  </si>
  <si>
    <t>▪ Check the delay between the signal input time and the OSD record time
: Input signal and OSD display error within 100ms
※ Verify separately for ICE/HEV/EV</t>
  </si>
  <si>
    <t>▪ Start recording driving events
▪ Apply impact so that the moment of impact is visible on the camera
: Apply impacts above/below the set impact detection sensitivity multiple times
▪ Check recording files</t>
  </si>
  <si>
    <t>▪ When checking OSD on the ccNC screen and OSD information at the top of the .mp4 file:
: Values ​​from 0 to 5 are recorded depending on the authorized impact sensitivity.</t>
  </si>
  <si>
    <t>▪ When checking OSD on the ccNC screen and OSD information at the top of the .mp4 file
- Shock detection occurs only when an impact exceeding the set sensitivity is detected
- Timing of the impact occurrence and OSD recording time match (within 1 second)</t>
  </si>
  <si>
    <t>▪ Verify in actual vehicle (Check map consistency on the right side of the playback screen)</t>
  </si>
  <si>
    <t>▪ There should be no discrepancy between the driving video and the map display location.
▪ Location data should not be missing.</t>
  </si>
  <si>
    <t>▪ There should be no discrepancy between the driving video and the map display location.
▪ Location data should not be missing, and there should be no duplicate display.</t>
  </si>
  <si>
    <t>[Verification of Driving Information OSD Record Consistency] : Always Parked</t>
  </si>
  <si>
    <t>INF_006</t>
  </si>
  <si>
    <t>▪ Start parking recording
▪ Point front/rear cameras at PC monitor
▪ Execute CAPL code (maintain Busload at 60%), then check recording file</t>
  </si>
  <si>
    <t>▪ Start parking recording
▪ Point front/rear cameras at PC monitor
▪ Execute CAPL code (maintain Busload at 61%), then check recording files</t>
  </si>
  <si>
    <t>▪ Unrecorded</t>
  </si>
  <si>
    <t>▪ Start parking recording
▪ Point front/rear cameras at PC monitor
▪ Execute CAPL code (maintain Busload at 62%), then check recording files</t>
  </si>
  <si>
    <t>▪ Not recorded
※ Check ICE/HEV/EV separately</t>
  </si>
  <si>
    <t>▪ Start parking recording
▪ Point front/rear cameras at PC monitor
▪ Execute CAPL code (maintain Busload at 65%), then check recording files</t>
  </si>
  <si>
    <t>▪ Continuous parking recording in progress
▪ Apply impact so that the moment of impact is visible on the camera
: Monitors G-Sensor log data and applies impacts corresponding to impact levels 1–5
▪ Check driving recording files
: Verify both the AVN screen and the OSD display of the mp4 file</t>
  </si>
  <si>
    <t>▪ Start continuous parking recording
▪ Apply impact so that the moment of impact is visible on the camera
: Apply impacts above or below the set impact detection sensitivity multiple times
▪ Check recording files
▪ Repeat verification 5 times with varying impact intensities</t>
  </si>
  <si>
    <t>▪ No change in GPS coordinates</t>
  </si>
  <si>
    <t>▪ No change in GPS coordinates (map location)</t>
  </si>
  <si>
    <t>[Verification of Driving Information OSD Record Consistency] : Always in Parking Mode (Auxiliary Battery Power)</t>
  </si>
  <si>
    <t>INF_007</t>
  </si>
  <si>
    <t>[Verification of Driving Information OSD Record Consistency] : Always-on Parking (Auxiliary Battery)</t>
  </si>
  <si>
    <t>▪ Parking recording in progress
▪ Enter Network Sleep and switch power input to auxiliary battery
▪ Check recording files</t>
  </si>
  <si>
    <t>▪ The time does not shift at the moment the power switches to the auxiliary battery or after the switch.</t>
  </si>
  <si>
    <t>▪ Parking Recording in Progress
▪ Apply Impact at the point of Network Sleep entry and thereafter
: Apply impacts above or below the configured impact detection sensitivity multiple times
▪ Check Recording Files
▪ Repeat verification 5 times with varying impact intensities</t>
  </si>
  <si>
    <t>A value from 0 to 5 is recorded at the top of the .mp4 file depending on the applied impact sensitivity.</t>
  </si>
  <si>
    <t>▪ Continuous Parking Recording
▪ Applying Impact at the time of Network Sleep entry and thereafter
: Applying impacts above or below the set impact detection sensitivity multiple times
▪ Checking Recording Files
▪ Repeating verification 5 times with varying impact intensities</t>
  </si>
  <si>
    <t>▪ Shock detection occurs only when an impact exceeding the set sensitivity is detected
▪ Timing of the shock occurrence time and the OSD recording time is aligned (within 1 second)</t>
  </si>
  <si>
    <t>▪ No change in GPS coordinates at the time of power switch or after switch</t>
  </si>
  <si>
    <t>▪ No change in GPS coordinates at the time of power switch and after switch (map location)</t>
  </si>
  <si>
    <t>[Verification of Driving Information OSD Record Consistency] : Parking Event</t>
  </si>
  <si>
    <t>INF_008</t>
  </si>
  <si>
    <t>▪ Start recording parking event
▪ Point front/rear cameras at PC monitor
▪ Execute CAPL code (maintain Busload at 60%), then check recording file</t>
  </si>
  <si>
    <t>▪ Start recording parking event
▪ Point front/rear cameras at PC monitor
▪ Execute CAPL code (maintain Busload at 61%), then check recording file</t>
  </si>
  <si>
    <t>▪ Start recording parking event
▪ Point front/rear cameras at PC monitor
▪ Execute CAPL code (maintain Busload at 62%), then check recording file</t>
  </si>
  <si>
    <t>▪ Start recording parking event
▪ Point front/rear cameras at PC monitor
▪ Execute CAPL code (maintain Busload at 65%), then check recording file</t>
  </si>
  <si>
    <t>▪ Start parking recording
▪ Apply impact so that the moment of impact is visible on the camera
: Apply impacts above or below the set impact detection sensitivity multiple times
▪ Check recording files
▪ Repeat verification 5 times with varying impact intensities</t>
  </si>
  <si>
    <t>[Verification of Driving Information OSD Record Consistency] : Driving/Parking Manual Events
※ Driving Information Specifications When Manual Event Recording is Activated While Parked
- Vehicle Speed: 0 km/h
- Gear: P</t>
  </si>
  <si>
    <t>[Verification of Driving Information OSD Record Consistency] : Driving/Parking Manual Events</t>
  </si>
  <si>
    <t>▪ Proceed with manual driving/parking event recording
▪ Focus front/rear cameras on PC monitor
▪ Check recording files after executing CAPL code (maintain Busload at 60%)</t>
  </si>
  <si>
    <t>▪ Proceed with manual driving/parking event recording
▪ Focus front/rear cameras on PC monitor
▪ Check recording files after executing CAPL code (maintain Busload at 61%)</t>
  </si>
  <si>
    <t>▪ Check the delay between the signal input time and the OSD recording time
: Error between input signal and OSD display within 100ms
▪ Record time-out or invalid value according to specifications
- Speed ​​displayed as 0 when manual parking recording is in progress</t>
  </si>
  <si>
    <t>▪ Proceed with manual driving/parking event recording
▪ Focus front/rear cameras on PC monitor
▪ Check recording files after executing CAPL code (maintain Busload at 62%)</t>
  </si>
  <si>
    <t>▪ The corresponding value is recorded on the OSD
▪ Does not overlap with other characters
▪ Recorded according to specifications in case of time-out or invalid value
- Indicated as P when manual parking recording is in progress
※ Check for ICE/HEV/EV respectively</t>
  </si>
  <si>
    <t>▪ Manual event recording in progress (driving/parking)
▪ Apply an impact so that the moment of impact is visible on the camera
: Apply impacts above or below the set impact detection sensitivity multiple times
▪ Check recording files
▪ Repeat verification 5 times with varying impact intensities</t>
  </si>
  <si>
    <t>[Verification of Driving Information OSD Record Consistency] : Parking Motion Detection Storage</t>
  </si>
  <si>
    <t>[Verification of Driving Information OSD Record Consistency] : Parking Event
(Saving Parking Motion Detection)</t>
  </si>
  <si>
    <t>[Verification of Driving Information OSD Record Consistency] : Parking Event (Storage of Parking Motion Detection)</t>
  </si>
  <si>
    <t>[Verify consistency of driving information OSD record] : Check recording start time</t>
  </si>
  <si>
    <t>INF_010</t>
  </si>
  <si>
    <t>▪ All driving data is recorded normally on the OSD from the start of recording
(e.g., GPS data will not be recorded as 0 temporarily)</t>
  </si>
  <si>
    <t>▪ Start parking recording after turning off the key</t>
  </si>
  <si>
    <t>[Vehicle Driving Data Storage]
: Turn Signal</t>
  </si>
  <si>
    <t>[Vehicle Driving Data Consistency Verification] : Turn Signal
(Vehicles equipped with Electronic Body E2.0 Architecture)</t>
  </si>
  <si>
    <t>[ICU_04_200ms] Lamp_TrnSigLmpLftOnReq (Length: 2bit)
 : Turn signal Left</t>
  </si>
  <si>
    <t>▪ Execute CANoe CAPL code during driving recording
▪ Lamp_TrnSigLmpLftOnReq = 0x0:Inactive</t>
  </si>
  <si>
    <t>▪ The corresponding value is recorded in the OSD
▪ Does not overlap with other characters</t>
  </si>
  <si>
    <t>↑
 ▪ Lamp_TrnSigLmpLftOnReq = 0x1:Active Off(Flasher Off)</t>
  </si>
  <si>
    <t>↑
 ▪ Lamp_TrnSigLmpLftOnReq = 0x2:Active On(Flasher On)</t>
  </si>
  <si>
    <t>↑
 ▪ Lamp_TrnSigLmpLftOnReq = 0x3:reserved</t>
  </si>
  <si>
    <t>↑
▪ Signal reception status → Signal not received</t>
  </si>
  <si>
    <t>↑
▪ Signal not received → Signal received</t>
  </si>
  <si>
    <t>[ICU_04_200ms] Lamp_TrnSigLmpRtOnReq (Length: 2bit)
 : Turn signal right</t>
  </si>
  <si>
    <t>▪ Execute CANoe CAPL code during driving recording
▪ Lamp_TrnSigLmpRtOnReq = 0x0:Inactive</t>
  </si>
  <si>
    <t>↑
 ▪ Lamp_TrnSigLmpRtOnReq = 0x1:Active Off(Flasher Off)</t>
  </si>
  <si>
    <t>↑
 ▪ Lamp_TrnSigLmpRtOnReq = 0x2:Active On(Flasher On)</t>
  </si>
  <si>
    <t>↑
 ▪ Lamp_TrnSigLmpRtOnReq = 0x3:reserved</t>
  </si>
  <si>
    <t>[PDC_FD_04_200ms )Lamp_TrnSigLmpLftOnReq
: Turn signal Left</t>
  </si>
  <si>
    <t>▪ Transmit the corresponding signal during driving recording
- [PDC_FD_04_200ms )Lamp_TrnSigLmpLftOnReq</t>
  </si>
  <si>
    <t>[PDC_FD_04_200ms ) Lamp_TrnSigLmpRtOnReq
: Turn signal Right</t>
  </si>
  <si>
    <t>▪ Transmit the corresponding signal during driving recording
-[PDC_FD_04_200ms ) Lamp_TrnSigLmpRtOnReq</t>
  </si>
  <si>
    <t>[BDC_FD_05_200ms ) Lamp_LftTmLmpCmd
: Turn signal Left</t>
  </si>
  <si>
    <t>▪ Transmit the corresponding signal during driving recording
- [BDC_FD_05_200ms )Lamp_LftTmLmpCmd</t>
  </si>
  <si>
    <t>SV1 차종 해당</t>
  </si>
  <si>
    <t>[PDC_FD_05_200ms ) Lamp_RtTmLmpCmd
: Turn signal Right</t>
  </si>
  <si>
    <t>▪ Transmit the corresponding signal during driving recording
- [PDC_FD_05_200ms ) Lamp_RtTmLmpCmd</t>
  </si>
  <si>
    <t>LX3 PE 차종 해당</t>
  </si>
  <si>
    <t>[Vehicle Driving Data Consistency Verification] : Turn Signals
(Vehicles equipped with Electronic Body E3.0 Architecture)</t>
  </si>
  <si>
    <t>[BDC_FD_05_200ms) Lamp_LftTrnLmpCmd
: Turn signal Left</t>
  </si>
  <si>
    <t>▪ Lamp_LftTrnLmpCmd = 0x0:Inactive</t>
  </si>
  <si>
    <t>↑
 ▪ Lamp_LftTrnLmpCmd = 0x1:BlinkingOFF
    (Flasher Off)</t>
  </si>
  <si>
    <t>↑
 ▪ Lamp_LftTrnLmpCmd = 0x2:BlinkingON
    (Flasher On)</t>
  </si>
  <si>
    <t>↑
 ▪ Lamp_LftTrnLmpCmdq = 0x3:Error Indicator</t>
  </si>
  <si>
    <t>[BDC_FD_05_200ms) Lamp_RtTrnLmpCmd
: Turn signal Right</t>
  </si>
  <si>
    <t>▪ Lamp_RtTrnLmpCmd = 0x0:Inactive</t>
  </si>
  <si>
    <t>↑
 ▪ Lamp_RtTrnLmpCmd = 0x1:BlinkingOFF
    (Flasher Off)</t>
  </si>
  <si>
    <t>↑
 ▪ Lamp_RtTrnLmpCmd = 0x2:BlinkingON
    (Flasher On)</t>
  </si>
  <si>
    <t>↑
 ▪ Lamp_RtTrnLmpCmd = 0x3:Error Indicator</t>
  </si>
  <si>
    <t>▪ Transmit the corresponding signal during driving recording
-[BDC_FD_05_200ms) Lamp_LftTrnLmpCmd</t>
  </si>
  <si>
    <t>▪ Transmit the corresponding signal during driving recording
-[BDC_FD_05_200ms) Lamp_RtTrnLmpCmd</t>
  </si>
  <si>
    <t>[Vehicle Driving Data Storage]
: ICE Gear</t>
  </si>
  <si>
    <t>INF_012</t>
  </si>
  <si>
    <t>[Verification of Vehicle Driving Data Consistency] : ICE Gear</t>
  </si>
  <si>
    <t>[TCU_01_10ms] TCU_GearSlctDis (Length: 4bit)
 : Gear stage ICE</t>
  </si>
  <si>
    <t>▪ TCU_GearSlctDis = 0x5:D
▪ Signal not received</t>
  </si>
  <si>
    <t>▪ The corresponding value is written to the OSD (Display: D): Retains the previous value
▪ Does not overlap with other characters</t>
  </si>
  <si>
    <t>▪ Signal not received
▪ TCU_GearSlctDis = 0x5:D</t>
  </si>
  <si>
    <t>▪ The corresponding value is written to the OSD (Display: D)
▪ Does not overlap with other characters</t>
  </si>
  <si>
    <t>▪ Execute CANoe CAPL code during driving recording
▪ TCU_GearSlctDis = 0x0:P</t>
  </si>
  <si>
    <t>▪ The corresponding value is written to the OSD (Display: P)
▪ Does not overlap with other characters</t>
  </si>
  <si>
    <t>▪ TCU_GearSlctDis = 0x1:L</t>
  </si>
  <si>
    <t>▪ The corresponding value is written to the OSD (Display: L)
▪ Does not overlap with other characters</t>
  </si>
  <si>
    <t>▪ TCU_GearSlctDis = 0x2:2</t>
  </si>
  <si>
    <t>▪ The corresponding value is written to the OSD (Display: 2)
▪ Does not overlap with other characters</t>
  </si>
  <si>
    <t>▪ TCU_GearSlctDis = 0x3:3</t>
  </si>
  <si>
    <t>▪ The corresponding value is written to the OSD (Display: 3)
▪ Does not overlap with other characters</t>
  </si>
  <si>
    <t>▪ TCU_GearSlctDis = 0x4:DS Mode</t>
  </si>
  <si>
    <t>▪ The corresponding value is written to the OSD (Display: S)
▪ Does not overlap with other characters</t>
  </si>
  <si>
    <t>▪ TCU_GearSlctDis = 0x5:D</t>
  </si>
  <si>
    <t>▪ TCU_GearSlctDis = 0x6:N</t>
  </si>
  <si>
    <t>▪ The corresponding value is written to the OSD (Display: N)
▪ Does not overlap with other characters</t>
  </si>
  <si>
    <t>▪ TCU_GearSlctDis = 0x7:R</t>
  </si>
  <si>
    <t>▪ The corresponding value is written to the OSD (Display: R)
▪ Does not overlap with other characters</t>
  </si>
  <si>
    <t>▪ TCU_GearSlctDis = 0x8:sports mode / manual shift / paddle shift</t>
  </si>
  <si>
    <t>▪ TCU_GearSlctDis = 0x9:Not Display at Cluster</t>
  </si>
  <si>
    <t>▪ The corresponding value is written to the OSD (Display: -)
▪ Does not overlap with other characters</t>
  </si>
  <si>
    <t>▪ TCU_GearSlctDis = 0xA:Sub-Rom Communication</t>
  </si>
  <si>
    <t>▪ TCU_GearSlctDis = 0xB:Sub-Rom Communication Error</t>
  </si>
  <si>
    <t>▪ TCU_GearSlctDis = 0xC:Paddle shift (D-position)</t>
  </si>
  <si>
    <t>▪ TCU_GearSlctDis = 0xD:Reserved</t>
  </si>
  <si>
    <t>▪ The corresponding value is recorded in the OSD
(Display: Previous value D, hold for 2 seconds, then -)
▪ Does not overlap with other characters</t>
  </si>
  <si>
    <t>▪ TCU_GearSlctDis = 0x5:D
 ▪ TCU_GearSlctDis = 0xE:Intermediate Position</t>
  </si>
  <si>
    <t>▪ The corresponding value is written to the OSD (Display: Retains previous value D)
▪ Does not overlap with other characters</t>
  </si>
  <si>
    <t>▪ TCU_GearSlctDis = 0xF:fault</t>
  </si>
  <si>
    <t>▪ TCU_GearSlctDis = Timeout</t>
  </si>
  <si>
    <t>[Vehicle Driving Data Storage]
: Gear HEV (HTCU)
Specification Added (v2.0)
Table 5.4.25 Addition of CAN Vehicle 'Small HEV' Related to Vehicle Driving Data</t>
  </si>
  <si>
    <t>[Verification of Vehicle Driving Data Consistency] : Gear ICE (HTCU) - N Line, Small HEV</t>
  </si>
  <si>
    <t>[HTCU_05_10ms] HDCT_GearSelDis (Length: 4bit)
: Gear ICE(HTCU) - N Line, Small HEV</t>
  </si>
  <si>
    <t>▪ HDCT_GearSelDis = 0x5:D
▪ Signal not received</t>
  </si>
  <si>
    <t>▪ Signal not received
▪ HDCT_GearSelDis = 0x5:D</t>
  </si>
  <si>
    <t>▪ Execute CANoe CAPL code during driving recording
▪ HDCT_GearSelDis = 0x0:P</t>
  </si>
  <si>
    <t>▪ HDCT_GearSelDis = 0x1:L</t>
  </si>
  <si>
    <t>▪ HDCT_GearSelDis = 0x2:2</t>
  </si>
  <si>
    <t>▪ HDCT_GearSelDis = 0x3:3</t>
  </si>
  <si>
    <t>▪ HDCT_GearSelDis = 0x4:DS Mode</t>
  </si>
  <si>
    <t>▪ HDCT_GearSelDis = 0x5:D</t>
  </si>
  <si>
    <t>▪ HDCT_GearSelDis = 0x6:N</t>
  </si>
  <si>
    <t>▪ HDCT_GearSelDis = 0x7:R</t>
  </si>
  <si>
    <t>▪ HDCT_GearSelDis = 0x8:sports mode / manual shift / paddle shift</t>
  </si>
  <si>
    <t>▪ HDCT_GearSlctDis = 0x9:Not Display at Cluster</t>
  </si>
  <si>
    <t>▪ HDCT_GearSelDis = 0xA:Sub-Rom Communication</t>
  </si>
  <si>
    <t>▪ HDCT_GearSelDis = 0xB:Sub-Rom Communication Error</t>
  </si>
  <si>
    <t>▪ HDCT_GearSelDis = 0xC:Paddle shift (D-position)</t>
  </si>
  <si>
    <t>▪ HDCT_GearSelDis = 0xD:Reserved</t>
  </si>
  <si>
    <t>▪ HDCT_GearSelDis = 0x5:D
 ▪ HDCT_GearSelDis = 0xE:Intermediate Position</t>
  </si>
  <si>
    <t>▪ HDCT_GearSelDis = 0xF:fault</t>
  </si>
  <si>
    <t>▪ HDCT_GearSelDis = Timeout</t>
  </si>
  <si>
    <t>[Vehicle Driving Data Storage]
: Gear HEV (HTCU)</t>
  </si>
  <si>
    <t>INF_014</t>
  </si>
  <si>
    <t>[Verification of Vehicle Driving Data Consistency] : Gear HEV (HTCU)</t>
  </si>
  <si>
    <t>[HTCU_04_10ms] HTCU_GearSlctrDis (Length: 4bit)
 : Gear stage HEV</t>
  </si>
  <si>
    <t>▪ HTCU_GearSlctDis = 0x5:D
▪ Signal not received</t>
  </si>
  <si>
    <t>▪ Signal not received
▪ HTCU_GearSlctDis = 0x5:D</t>
  </si>
  <si>
    <t>▪ Execute CANoe CAPL code during driving recording
▪ HTCU_GearSlctDis = 0x0:P</t>
  </si>
  <si>
    <t>▪ HTCU_GearSlctDis = 0x1:L</t>
  </si>
  <si>
    <t>▪ HTCU_GearSlctDis = 0x2:2</t>
  </si>
  <si>
    <t>▪ HTCU_GearSlctDis = 0x3:3</t>
  </si>
  <si>
    <t>▪ HTCU_GearSlctDis = 0x4:DS Mode</t>
  </si>
  <si>
    <t>▪ HTCU_GearSlctDis = 0x5:D</t>
  </si>
  <si>
    <t>▪ HTCU_GearSlctDis = 0x6:N</t>
  </si>
  <si>
    <t>▪ HTCU_GearSlctDis = 0x7:R</t>
  </si>
  <si>
    <t>▪ HTCU_GearSlctDis = 0x8:sports mode / manual shift / paddle shift</t>
  </si>
  <si>
    <t>▪ HTCU_GearSlctDis = 0x9:Not Display at Cluster</t>
  </si>
  <si>
    <t>▪ HTCU_GearSlctDis = 0xA:Sub-Rom Communication</t>
  </si>
  <si>
    <t>▪ HTCU_GearSlctDis = 0xB:Sub-Rom Communication Error</t>
  </si>
  <si>
    <t>▪ HTCU_GearSlctDis = 0xC:Paddle shift (D-position)</t>
  </si>
  <si>
    <t>▪ HTCU_GearSlctDis = 0xD:Reserved</t>
  </si>
  <si>
    <t>▪ HTCU_GearSlctDis = 0x5:D
 ▪ HTCU_GearSlctDis = 0xE:Intermediate Position</t>
  </si>
  <si>
    <t>▪ HTCU_GearSlctDis = 0xF:fault</t>
  </si>
  <si>
    <t>▪ HTCU_GearSlctDis = Timeout</t>
  </si>
  <si>
    <t>[Vehicle Driving Data Storage]
: Gear EV (VCU)</t>
  </si>
  <si>
    <t>INF_015</t>
  </si>
  <si>
    <t>[Vehicle Driving Data Consistency Verification] : Gear Level EV (VCU)</t>
  </si>
  <si>
    <t>[VCU_01_10ms] VCU_GearPosSta (Length: 4bit)
 : Gear stage HEV</t>
  </si>
  <si>
    <t>▪ VCU_GearPosSta = 0x5:D
▪ Signal not received</t>
  </si>
  <si>
    <t>▪ No signal received
▪ VCU_GearPosSta = 0x5:D</t>
  </si>
  <si>
    <t>▪ Execute CANoe CAPL code during driving recording
▪ VCU_GearPosSta = 0x0:P</t>
  </si>
  <si>
    <t>▪ VCU_GearPosSta = 0x1:B</t>
  </si>
  <si>
    <t>▪ VCU_GearPosSta = 0x2:Not Used</t>
  </si>
  <si>
    <t>▪ VCU_GearPosSta = 0x3:Not Used</t>
  </si>
  <si>
    <t>▪ VCU_GearPosSta = 0x4:Not Used</t>
  </si>
  <si>
    <t>▪ VCU_GearPosSta = 0x5:D</t>
  </si>
  <si>
    <t>▪ VCU_GearPosSta = 0x6:N</t>
  </si>
  <si>
    <t>▪ VCU_GearPosSta = 0x7:R</t>
  </si>
  <si>
    <t>▪ VCU_GearPosSta = 0x8:Not Used</t>
  </si>
  <si>
    <t>▪ VCU_GearPosSta = 0x9:Not Display at Cluster</t>
  </si>
  <si>
    <t>▪ VCU_GearPosSta = 0xA:Reserved</t>
  </si>
  <si>
    <t>▪ VCU_GearPosSta = 0xB:Reserved</t>
  </si>
  <si>
    <t>▪ VCU_GearPosSta = 0xC:Manual Shift Mode on Retromode</t>
  </si>
  <si>
    <t>▪ VCU_GearPosSta = 0xD:Reserved</t>
  </si>
  <si>
    <t>▪ VCU_GearPosSta = 0xE:Intermediate Position</t>
  </si>
  <si>
    <t>▪ VTCU_GearSlctrDis = 0xF:Fault</t>
  </si>
  <si>
    <t>▪ VTCU_GearSlctDis = Timeout</t>
  </si>
  <si>
    <t>[Save Vehicle Driving Data]
: Vehicle Speed</t>
  </si>
  <si>
    <t>[Verification of Vehicle Driving Data Consistency] : Vehicle Speed</t>
  </si>
  <si>
    <t>[CLU_01_20ms_1] CLU_DisSpdVal (Length: 10bit)
 : Vehicle speed ICE, HEV, EV, FCEV</t>
  </si>
  <si>
    <t>▪ CLU_DisSpdVal = 0xF:Fault</t>
  </si>
  <si>
    <t>▪ Execute CANoe CAPL code during driving recording
▪ CLU_DisSpdVal = 0~400
▪ No signal received</t>
  </si>
  <si>
    <t>▪ The corresponding value is written to the OSD (Previous value displayed: 400)
▪ Does not overlap with other characters</t>
  </si>
  <si>
    <t>▪ Signal not received
▪ CLU_DisSpdVal = 0x64: 0~400</t>
  </si>
  <si>
    <t>▪ The corresponding value is recorded on the OSD (Display: 0~400)
▪ Does not overlap with other characters</t>
  </si>
  <si>
    <t>▪ CLU_DisSpdVal = 0x3FF:Error</t>
  </si>
  <si>
    <t>[CLU_01_20ms_1] CLU_SpdUnitTyp (Length: 2bit)
 : Vehicle speed ICE, HEV, EV, FCEV</t>
  </si>
  <si>
    <t>▪ No signal received
▪ CLU_SpdUnitTyp = 0x0:km/h
▪ CLU_DisSpdVal = 0~400</t>
  </si>
  <si>
    <t>▪ The corresponding value is recorded on the OSD (Display: 0~400km/h)
▪ Does not overlap with other characters</t>
  </si>
  <si>
    <t>▪ CLU_SpdUnitTyp = 0x0:km/h
▪ CLU_DisSpdVal = 0~400
▪ Signal not received</t>
  </si>
  <si>
    <t>▪ The corresponding value is recorded on the OSD
(Previous value displayed: 400km/h)
▪ Does not overlap with other characters</t>
  </si>
  <si>
    <t>▪ Execute CANoe CAPL code during driving recording
▪ CLU_SpdUnitTyp = 0x0:km/h
▪ CLU_DisSpdVal = 0~400</t>
  </si>
  <si>
    <t>▪ CLU_SpdUnitTyp = 0x1:MPH
 ▪ CLU_DisSpdVal = 0~400</t>
  </si>
  <si>
    <t>▪ The corresponding value is recorded on the OSD (Display: 0~400MPH)
▪ Does not overlap with other characters</t>
  </si>
  <si>
    <t>▪ CLU_SpdUnitTyp = 0x2:Not used
 ▪ CLU_DisSpdVal = 0~400</t>
  </si>
  <si>
    <t>▪ The corresponding value is recorded in the OSD (not displayed)
▪ Does not overlap with other characters</t>
  </si>
  <si>
    <t>▪ CLU_SpdUnitTyp = 0x3:Error Indocator
 ▪ CLU_DisSpdVal = 0~400</t>
  </si>
  <si>
    <t>[CLU_01_20ms_1] CLU_SpdUnitTyp
: Stores the last received CAN value</t>
  </si>
  <si>
    <t>▪ CLU_SpdUnitTyp = 0x0:km/h → time-out
▪ Manual event recording after ACC, IGN OFF
▪ Check vehicle speed unit displayed in saved manual event video</t>
  </si>
  <si>
    <t>▪ Verify normal km/h output</t>
  </si>
  <si>
    <t>BICIM2-3213</t>
  </si>
  <si>
    <t>▪ CLU_SpdUnitTyp = 0x1:mi/h → time-out
▪ Manual event recording after ACC, IGN OFF
▪ Check vehicle speed unit displayed in saved manual event video</t>
  </si>
  <si>
    <t>▪ Verify normal mi/h output</t>
  </si>
  <si>
    <t>[Verification of Driving Information OSD Record Consistency] : Performance Record
EV Standard
[Steering] SAS_Angle = 0~900
[Lateral Acceleration] IMU_LatAccelVal = Adjust Phys Value
[Longitudinal Acceleration] IMU_LongAccelVal = Adjust Phys Value
[Gear] VCU_VgsVirGearStep = 1gear ~ 8gear
[RPM] VCU_VgsVirEngSpdRpmVal = Arbitrary Value
[Speed]
WHL_SpdFLVal = 0~1000 (0km/h ~ 128km/h)
WHL_SpdFRVal = 0~1000 (0km/h ~ 128km/h)
WHL_SpdRLVal = 0~1000 (0km/h ~ 128km/h)
WHL_SpdRRVal = 0~1000 (0km/h ~ 128 km/h)
[Brake Pressure]
(EV Standard) IEB_StrkDpthPcVal = Random Value
[Accelerator Pressure]
(EV Standard) VCU_AccPedDepVal = Random Value</t>
  </si>
  <si>
    <t>[Verification of Driving Information OSD Record Consistency] : Performance</t>
  </si>
  <si>
    <t>Steering wheel angle</t>
  </si>
  <si>
    <t>▪ Start Performance Recording
▪ Input Steering Wheel Angle
▪ SAS_Angle = 0~900
▪ Check Real-time Steering Angle Changes in Driving Video</t>
  </si>
  <si>
    <t>▪ Delay time between signal input and OSD record time
: Error between input signal and OSD display within 100ms
▪ No delay in real-time changes</t>
  </si>
  <si>
    <t>Operation criteria for two lateral acceleration signals</t>
  </si>
  <si>
    <t>▪ Performance Recording in Progress
▪ Adjust IMU_LatAccelVal = Phys Value
IMU_LongAccelVal = Adjust Phys Value
▪ Check Real-time Changes in Longitudinal/Lateral Acceleration in Driving Video</t>
  </si>
  <si>
    <t>Gear operation criteria (manual)</t>
  </si>
  <si>
    <t>▪ Start performance recording
▪ VCU_VgsVirGearStep = Enter gear value 1~8,
(N-e means Shift ON)
▪ Playback after performance recording ends</t>
  </si>
  <si>
    <t>▪ Delay time between signal input and OSD recording time
: Error between input signal and OSD display within 100ms
▪ No delay in real-time changes
▪ Gear 1~8 displayed during performance video playback
※ N e-Shift ON : P-R-N-1-2-3-4-5-6-7-8</t>
  </si>
  <si>
    <t>▪ Start performance recording
▪ Enter gear values ​​for VCU_VgsVirGearStep = 1~8
▪ Enter P(0x0), N(0x6), R(0x7) for VCU_GearPosStaDisp =
▪ Playback after performance recording ends</t>
  </si>
  <si>
    <t>▪ Delay time between signal input and OSD recording time
: Error between input signal and display within 100ms
▪ No delay in real-time changes
▪ P, N, R are displayed during performance video playback
※ N e-Shift ON : P-R-N-1-2-3-4-5-6-7-8</t>
  </si>
  <si>
    <t>▪ Start performance recording
▪ VCU_VgsVirGearStep = Enter gear values ​​1~8
▪ VCU_GearPosStaDisp = Enter 0x1 ~ 0x5, 0x8 ~
▪ Playback after performance recording ends</t>
  </si>
  <si>
    <t>Gear operation criteria (automatic)</t>
  </si>
  <si>
    <t>▪ Enter VCU_VgsVirGearStep = 0X0 (Not Used)
(N-e means Shift off)
▪ Enter VCU_GearPosStaDisp = P,R,N,D
▪ Start performance recording
▪ Check real-time gear changes in driving video</t>
  </si>
  <si>
    <t>▪ Delay time between signal input and OSD recording time
: Error between input signal and OSD display within 100ms
▪ No delay in real-time changes
▪ P/R/N/D are displayed during performance video playback
※ Text is displayed in red for the R position
※ Text is displayed in white for the P/N/D positions
※ N e-Shift OFF: P-R-N-D</t>
  </si>
  <si>
    <t>RPM</t>
  </si>
  <si>
    <t>▪ Performance Recording in Progress
▪ Verify RPM Display When N-e Shift is On
Verify No Display Information in Area When N-e Shift is Off
▪ VCU_VgsVirEngSpdRpmVal: Arbitrary Value
※ EV Standard VCU_VgsVirEngSpdRpmVal
▪ Check Real-time RPM Changes in Driving Video</t>
  </si>
  <si>
    <t>▪ N-e Shift On: RPM will be displayed
N-e Shift Off: No area display information will be displayed
▪ Delay time between signal input time and OSD record time
: Error between input signal and OSD display within 100ms
▪ No delay in real-time changes</t>
  </si>
  <si>
    <t>▪ Start Performance Recording
▪ Enter Vehicle Speed ​​Values
WHL_SpdFLVal = 0~1000 (0km/h ~ 128km/h)
WHL_SpdFRVal = 0~1000 (0km/h ~ 128km/h)
WHL_SpdRLVal = 0~1000 (0km/h ~ 128km/h)
WHL_SpdRRVal = 0~1000 (0km/h ~ 128km/h)
▪ Check Real-time Speed ​​Changes in Driving Video</t>
  </si>
  <si>
    <t>▪ Delay time between signal input and OSD recording time
: Error between input signal and OSD display within 100ms
▪ No delay in real-time changes
※ Specification: Vehicle speed is entered as the average value obtained by dividing the sum of FL, FR, RL, and RR by 4</t>
  </si>
  <si>
    <t>▪ CLU_DisSpdVal = 0~100
▪ Check real-time changes in N-mode display</t>
  </si>
  <si>
    <t>▪ Delay time between signal input and OSD record time
: Error between input signal and display within 100ms
▪ No delay in real-time changes</t>
  </si>
  <si>
    <t>Brake pressure</t>
  </si>
  <si>
    <t>※ Verified on actual vehicle, when Dedect in RACE mode
▪ Performance recording begins
▪ Enter brake pressure value
▪ (EV 기준) IEB_StrkDpthPcVal = Arbitrary value
▪ Check real-time pressure changes in driving video</t>
  </si>
  <si>
    <t>▪ Check real-time changes in N-mode display</t>
  </si>
  <si>
    <t>Accelerator pressure</t>
  </si>
  <si>
    <t>※ Verified on actual vehicle, when Dect in RACE mode
▪ Performance recording begins
▪ Enter brake pressure value
▪ (EV 기준) VCU_AccPedDepVal = Arbitrary value
▪ Check real-time pressure value changes in driving video</t>
  </si>
  <si>
    <t>Circuit Map</t>
  </si>
  <si>
    <t>※ Verified in actual vehicle, when Dect in RACE mode
▪ Performance recording begins
▪ Playback after performance recording ends
▪ Check driving footage and map location changes</t>
  </si>
  <si>
    <t>▪ The circuit name will be recorded
▪ Location data will not be omitted</t>
  </si>
  <si>
    <t>Circuit Location</t>
  </si>
  <si>
    <t>※ Verified in actual vehicle, when Dect in RACE mode
▪ Check changes in vehicle position on the circuit map</t>
  </si>
  <si>
    <t>▪ Updated once per second (1Hz)
▪ Location data will not be lost</t>
  </si>
  <si>
    <t>Current Lap time</t>
  </si>
  <si>
    <t>※ Verified on actual vehicle, when Dect in RACE mode
▪ Verify lap time information updates during performance recording
▪ Verify display of Lap Count, Best Lap, and Prev Lap
▪ Verify display of lap time timer</t>
  </si>
  <si>
    <t>▪ Lap time update information will be updated
▪ Lap count, Best Lap, and Prev Lap will be updated
▪ Lap times will be displayed correctly (mm:ss.ms)
(ex: 1:54.2)</t>
  </si>
  <si>
    <t>Best Lap time</t>
  </si>
  <si>
    <t>※ Verified in actual vehicle, when Dect in RACE mode
▪ Check for updates on the fastest lap time among completed laps</t>
  </si>
  <si>
    <t>▪ Best Lap Time Information Will Be Updated</t>
  </si>
  <si>
    <t>Prev Lap time</t>
  </si>
  <si>
    <t>※ Verified in actual vehicle, when Dedect in RACE mode
▪ Check for updates to previous lap time information
(Delta +/- relative to best lap)</t>
  </si>
  <si>
    <t>▪ Previous lap time information will be displayed</t>
  </si>
  <si>
    <t>Lap Count</t>
  </si>
  <si>
    <t>※ Verified in actual vehicle, when Dedect in RACE mode
▪ Check current lap count update
▪ Current Lap time from the moment the lap count starts
Check re-counting from 0:00.0</t>
  </si>
  <si>
    <t>▪ Lap count will be updated
▪ Lap times will be recounted when the lap count increases</t>
  </si>
  <si>
    <t>Not Dedect</t>
  </si>
  <si>
    <t>(RACE Mode, Not Dedect)
▪ Performance recording in progress
▪ Playback after performance recording ends</t>
  </si>
  <si>
    <t>▪ Accelerator/Brake/Map not displayed
▪ Lap time "-" output
▪ Gear manual/automatic output</t>
  </si>
  <si>
    <t>[BLTN_CAM-Function-025] File System and File Information</t>
  </si>
  <si>
    <t>[Check Recording Archive]
※ File Order
- In Video List: Sort by creation date
- In Archive: Sort by time</t>
  </si>
  <si>
    <t>[Check Recorded Video Archive] : Archive and Video List</t>
  </si>
  <si>
    <t>Built-in Cam Mode Main Confirmation</t>
  </si>
  <si>
    <t>▪ Built-in Cam Main Screen
▪ Check [Saved Video List]</t>
  </si>
  <si>
    <t>▪ Display Saved Video List
- [Always On While Driving]
- [Driving Events]
- [Always On While Parked]
- [Parking Events]
- [Parking Motion Detection]</t>
  </si>
  <si>
    <t>Check the list of continuous recordings while driving</t>
  </si>
  <si>
    <t>▪ Built-in Cam Main Screen
▪ Enter [Always On While Driving]
▪ Check [Always On While Driving] Video List Thumbnails</t>
  </si>
  <si>
    <t>▪ Display Video List: Check Front/Rear Thumbnails (Thumbnail images displayed correctly)</t>
  </si>
  <si>
    <t>▪ Check video list filename (date)</t>
  </si>
  <si>
    <t>▪ Verify that recording start and end times are displayed correctly
▪ During playback, the time at the top of the screen, timestamp, and progress bar time match each other correctly</t>
  </si>
  <si>
    <t>Check the list of continuous recordings while parked</t>
  </si>
  <si>
    <t>▪ Built-in Cam Main Screen
▪ Enter [Always On While Parked]
▪ Check [Always On While Parked] Video List Thumbnails</t>
  </si>
  <si>
    <t>Check the list of recorded events while driving</t>
  </si>
  <si>
    <t>▪ Built-in Cam Main Screen
▪ Enter [Driving Events]
▪ Check [Driving Events] Video List Thumbnails</t>
  </si>
  <si>
    <t>Check parking event recording list</t>
  </si>
  <si>
    <t>▪ Built-in Cam Main Screen
▪ Enter [Parking Events]
▪ Check [Parking Events] Video List Thumbnails</t>
  </si>
  <si>
    <t>Check Parking Motion Detection Recording List</t>
  </si>
  <si>
    <t>▪ Built-in Cam Main Screen
▪ Enter [Parking Motion Detection Save]
▪ Check [Parking Motion Detection Save] Video List Thumbnail</t>
  </si>
  <si>
    <t>Check manual recording list</t>
  </si>
  <si>
    <t>▪ Built-in Cam Main Screen
▪ Enter [Manual Recording]
▪ Check [Manual Recording] Video List Thumbnails</t>
  </si>
  <si>
    <t>Check time-lapse recording list</t>
  </si>
  <si>
    <t>▪ Built-in Cam Main Screen
▪ Enter [Timelapse]
▪ Check [Timelapse] Video List Thumbnails</t>
  </si>
  <si>
    <t>▪ Display video list: Check front thumbnail (thumbnail image displayed normally)</t>
  </si>
  <si>
    <t>Check the storage list</t>
  </si>
  <si>
    <t>▪ Built-in Cam Main Screen
▪ Enter [Library]
▪ Check [Library] Video List Thumbnails</t>
  </si>
  <si>
    <t>[Check recording quality]</t>
  </si>
  <si>
    <t>▪ Play the recorded file on a PC</t>
  </si>
  <si>
    <t>▪ No issues with video glitches, black screens, noise, or color reproduction.</t>
  </si>
  <si>
    <t>Parking motion detection</t>
  </si>
  <si>
    <t>[Check Recording File FPS]
: Driving Recording</t>
  </si>
  <si>
    <t>FIL_003</t>
  </si>
  <si>
    <t>[Check Recording File FPS] : Driving Recording</t>
  </si>
  <si>
    <t>▪ Play FPS Test Video (MOBIS_FPS_TEST_HD.avi) on PC &amp; Start Stopwatch)
▪ Focus on PC Monitor with Built-in Cam Camera →</t>
  </si>
  <si>
    <t>▪ Check for missing frames when playing continuous driving footage (no missing numbers in the middle)
※ In VLC Player, press the 'e' key to play one frame at a time.
▪ Right-click the recording file [Properties] - [Details] - Frame rate 30 FPS</t>
  </si>
  <si>
    <t>After recording the manual driving event</t>
  </si>
  <si>
    <t>↑
▪ Manual event recording in progress
▪ Continue with continuous driving recording</t>
  </si>
  <si>
    <t>▪ Checked for missing frames during continuous driving video playback (no missing numbers in the middle)
▪ File information: 30 FPS
▪ Event recording file verified in the same way (30 FPS)</t>
  </si>
  <si>
    <t>After recording the driving impact event</t>
  </si>
  <si>
    <t>↑
▪ Impact event recording in progress
▪ Continued continuous driving recording</t>
  </si>
  <si>
    <t>After the time-lapse recording</t>
  </si>
  <si>
    <t>↑
▪ Time-lapse recording runs for 1 minute and ends (1 FPS)
▪ Continues continuous driving recording immediately afterward</t>
  </si>
  <si>
    <t>▪ Check the stopwatch screen for missing frames
▪ File information: 30 FPS
▪ Verify the time-lapse recording file in the same way (Recording: 1 FPS, Playback: 15 FPS)</t>
  </si>
  <si>
    <t>After parking recording</t>
  </si>
  <si>
    <t>↑
▪ Turn KEY OFF to start parking recording
▪ Turn KEY ON to start driving recording</t>
  </si>
  <si>
    <t>▪ Check for missing frames during continuous driving video playback (no missing numbers in the middle)
※ Check both videos recorded before and after parking recording
▪ File information: 30 FPS</t>
  </si>
  <si>
    <t>[Check Recording File FPS]
: Parking Recording</t>
  </si>
  <si>
    <t>FIL_004</t>
  </si>
  <si>
    <t>[Check Recording File FPS] : Parking Recording</t>
  </si>
  <si>
    <t>▪ Check the stopwatch screen for missing frames
※ In VLC Player, press the 'e' key to play back frame by frame.
▪ Right-click the recording file [Properties] - [Details] - Frame Rate 2 FPS</t>
  </si>
  <si>
    <t>After recording the manual parking event</t>
  </si>
  <si>
    <t>↑
▪ Manual event recording in progress
▪ Continue with continuous parking recording</t>
  </si>
  <si>
    <t>▪ Checked for missing frames during continuous parking video playback (no missing numbers in the middle)
▪ File information: 2 FPS
▪ Event recording file verified in the same way (10 FPS)</t>
  </si>
  <si>
    <t>After recording the parking impact event</t>
  </si>
  <si>
    <t>↑
▪ Shock event recording in progress
▪ Continued parking continuous recording</t>
  </si>
  <si>
    <t>[Check Recording File FPS]
: Parking Motion Recording</t>
  </si>
  <si>
    <t>[Check Recording File FPS] : Parking Motion Recording</t>
  </si>
  <si>
    <t>Parking motion recording</t>
  </si>
  <si>
    <t>↑
▪ Turn on Parking Motion Recording
▪ Turn off the key to start Parking Motion Recording
▪ Turn on the key to start Driving Recording</t>
  </si>
  <si>
    <t>▪ Check the stopwatch screen for missing frames
※ In VLC Player, press the 'e' key to play back frame by frame.
▪ Right-click the recording file [Properties] - [Details] - Frame Rate 5 FPS</t>
  </si>
  <si>
    <t>↑
▪ Shock event recording in progress
▪ Parking motion recording in progress followed by</t>
  </si>
  <si>
    <t>▪ Checked for missing frames during parking motion video playback (no missing numbers in the middle)
▪ File information: 5 FPS
▪ Event recording file verified in the same way (10 FPS)</t>
  </si>
  <si>
    <t>[Check Recording File FPS]
: Ultra-low Power Recording - 3rd Generation</t>
  </si>
  <si>
    <t>[Check Recording FPS] : Ultra-low Power Recording</t>
  </si>
  <si>
    <t>Ultra-low power recording</t>
  </si>
  <si>
    <t>↑
▪ Turn on Ultra-low Power Recording Setting
▪ Turn off the key to start Ultra-low Power Recording
▪ Turn on the key to proceed with driving recording</t>
  </si>
  <si>
    <t>▪ Check the stopwatch screen for missing frames
※ In VLC Player, press the 'e' key to play back frame by frame.
▪ Right-click the recording file [Properties] - [Details] - Frame Rate 10 FPS</t>
  </si>
  <si>
    <t>↑
▪ Shock event recording in progress
▪ Subsequently, ultra-low power recording in progress</t>
  </si>
  <si>
    <t>▪ Checked for missing frames during parking motion video playback (no missing numbers in the middle)
▪ File information: 10 FPS
▪ Event recording file verified in the same way (10 FPS)</t>
  </si>
  <si>
    <t>[Check Recording FPS]
: Performance Recording</t>
  </si>
  <si>
    <t>[Check Recording FPS] : Performance Recording</t>
  </si>
  <si>
    <t>↑
▪ Performance Recording Settings ON</t>
  </si>
  <si>
    <t>▪ Check for missing frames when playing the performance video (no missing numbers in the middle)
※ In VLC Player, press the 'e' key to play one frame at a time.
▪ Right-click the recording file [Properties] - [Details] - Frame rate 30 FPS</t>
  </si>
  <si>
    <t>[Voice Function]
: Check audio within the video
※ 3rd Generation Feature: Ultra-low power recording</t>
  </si>
  <si>
    <t>Voice recording function</t>
  </si>
  <si>
    <t>Check audio sync in continuous recording video while driving</t>
  </si>
  <si>
    <t>▪ Stand in front of the video camera to check audio sync
▪ Continuous video recording while driving
▪ Check videos on the SD card</t>
  </si>
  <si>
    <t>▪ Video and audio sync error within 100ms (HILS equipment)
▪ No audiovisual discrepancy felt when played on a PC</t>
  </si>
  <si>
    <t>Check audio sync in recorded video of driving events (impacts).</t>
  </si>
  <si>
    <t>▪ Stand in front of the video camera to check audio sync
▪ Record video of impact events while driving
▪ Check video on SD card</t>
  </si>
  <si>
    <t>Check audio sync in recorded video of driving events (switch).</t>
  </si>
  <si>
    <t>▪ Stand in front of the video camera to check audio sync
▪ Manual event video recording while driving
▪ Check videos on the SD card</t>
  </si>
  <si>
    <t>Check for sync misalignment when a manual event occurs during driving recording</t>
  </si>
  <si>
    <t>▪ Check for sync misalignment when a manual event occurs during driving recording</t>
  </si>
  <si>
    <t>Check for sync misalignment when an impact event occurs during driving recording</t>
  </si>
  <si>
    <t>▪ Check for sync misalignment when an impact event occurs during driving recording</t>
  </si>
  <si>
    <t>Confirmed sync misalignment when repeatedly entering and exiting Built-in Cam Mode during driving recording</t>
  </si>
  <si>
    <t>▪ Confirmed sync misalignment when repeatedly entering and exiting Built-in Cam Mode during driving recording</t>
  </si>
  <si>
    <t>Check for sync misalignment when repeatedly switching between driving/parking recording modes</t>
  </si>
  <si>
    <t>▪ Check for sync misalignment when repeatedly switching between driving/parking recording modes</t>
  </si>
  <si>
    <t>Confirmation that audio from continuously recorded video during parking is not saved</t>
  </si>
  <si>
    <t>▪ Confirmation that audio from continuously recorded video is not saved while parked</t>
  </si>
  <si>
    <t>▪ Confirm no voice saved</t>
  </si>
  <si>
    <t>Check audio sync in parked event (impact) recorded video</t>
  </si>
  <si>
    <t>▪ Stand in front of the video camera to check audio sync
▪ Record video of impact events while parked
▪ Check video on SD card</t>
  </si>
  <si>
    <t>Check audio sync in recorded video of parking event (switch)</t>
  </si>
  <si>
    <t>▪ Stand in front of the video camera to check audio sync
▪ Manual event video recording while parked
▪ Check video on SD card</t>
  </si>
  <si>
    <t>Check audio sync in parked event (motion) recorded video</t>
  </si>
  <si>
    <t>Check audio sync in ultra-low power recorded video</t>
  </si>
  <si>
    <t>▪ Standby in front of the video camera to check audio sync
▪ Ultra-low power video recording
▪ Check video on SD card</t>
  </si>
  <si>
    <t>Enter AVN mode after turning on voice recording settings.</t>
  </si>
  <si>
    <t>▪ Built-in Cam - Settings - Recording Tab - Voice Recording Settings On
▪ Enter AVN Mode
▪ Activate Continuous Driving Recording
▪ Check Continuous Driving Video/Audio</t>
  </si>
  <si>
    <t>Enter AVN mode after turning off voice recording settings</t>
  </si>
  <si>
    <t>▪ Built-in Cam - Settings - Recording Tab - Voice Recording Settings Off
▪ Enter AVN Mode
▪ Activate Continuous Driving Recording
▪ Check Continuous Driving Video/Audio</t>
  </si>
  <si>
    <t>Check voice recording after repeating the two actions above.</t>
  </si>
  <si>
    <t>▪ Built-in Cam - Settings - Recording Tab - Voice Recording Off
▪ Enter AVN Mode and activate Continuous Driving Recording
▪ Built-in Cam - Settings - Recording Tab - Voice Recording On
▪ Enter AVN Mode and activate Continuous Driving Recording
▪ Repeat the above steps 10 times</t>
  </si>
  <si>
    <t>▪ No audio recording at the beginning of the video when recording setting is Off
▪ No audio recording sync or discrepancy at the beginning of the video when recording setting is On</t>
  </si>
  <si>
    <t>Voice recording file - Check maximum volume operation</t>
  </si>
  <si>
    <t>▪ Built-in Cam - Settings - Recording Tab - Voice Recording Settings On
▪ Enter AVN Mode and activate Continuous Driving Recording
▪ Check Continuous Driving Video/Audio with the volume turned up to maximum</t>
  </si>
  <si>
    <t>▪ No white noise (dense noise)
▪ No shot noise (snap noise)</t>
  </si>
  <si>
    <t>Check voice recording after resetting profile during driving recording</t>
  </si>
  <si>
    <t>▪ Voice recording OFF, Driving recording in progress
▪ ccNC Settings - General - Reset - System Reset
▪ After resetting driving recording and restarting, wait 2 minutes, then check the generated files.</t>
  </si>
  <si>
    <t>▪ Reset Recording Settings (ON)
: BLTN_CAM_AudRec_Set = 0x1:OFF → 0x2:ON
▪ Check the recording file to see if audio was recorded after turning recording settings ON</t>
  </si>
  <si>
    <t>Check audio sync in performance recording video</t>
  </si>
  <si>
    <t>▪ Stand in front of a video camera where audio sync can be checked
▪ Performance recording
▪ Check video on SD card</t>
  </si>
  <si>
    <t>▪ Built-in Cam - Settings - Recording Tab - Voice Recording Settings On
▪ Enter AVN Mode
▪ Start Performance Recording
▪ Check Performance Video/Audio</t>
  </si>
  <si>
    <t>▪ Built-in Cam - Settings - Recording Tab - Turn Voice Recording Off
▪ Enter AVN Mode
▪ Start Performance Recording
▪ Check Performance Video/Audio</t>
  </si>
  <si>
    <t>[BLTN_CAM-Function-026] File Deletion/Copy Function</t>
  </si>
  <si>
    <t>SOMEIP specification compliance is verified by whether deletion and copying are possible.</t>
  </si>
  <si>
    <t>FIL_006</t>
  </si>
  <si>
    <t>File deletion/copy SOMEIP specifications</t>
  </si>
  <si>
    <t>Copy to Recorded Video Archive (1 copy)</t>
  </si>
  <si>
    <t>▪ Driving Video List - Menu Button - Copy to Library</t>
  </si>
  <si>
    <t>▪ Copied to the corresponding video library</t>
  </si>
  <si>
    <t>Delete recorded video</t>
  </si>
  <si>
    <t>▪ Driving Video List - Menu Button - Delete</t>
  </si>
  <si>
    <t>▪ The video has been deleted</t>
  </si>
  <si>
    <t>[BLTN_CAM-Function-027] Delete File</t>
  </si>
  <si>
    <t>[Recorded Video Deletion Function]</t>
  </si>
  <si>
    <t>▪ Menu button - Delete</t>
  </si>
  <si>
    <t>▪ BLTN_CAM_FILE_LIST_RENEW Update
▪ 0x3(invalid) → 0x1(the file list and storage space are renewed) → 0x3(invalid)
▪ Normal output of video list</t>
  </si>
  <si>
    <t>Delete recorded video (multiple selection)</t>
  </si>
  <si>
    <t>▪ Menu Button - Delete (Multiple Selection)</t>
  </si>
  <si>
    <t>Initialize SD memory</t>
  </si>
  <si>
    <t>▪ Built-in Cam Settings - Initialize SD Memory</t>
  </si>
  <si>
    <t>▪ Driving/Parking recording files deleted
▪ Driving/Parking thumbnail images deleted
▪ Recording files in the Archive folder deleted
▪ Thumbnail images in the Archive folder deleted</t>
  </si>
  <si>
    <t>Delete middle video from group playlist</t>
  </si>
  <si>
    <t>▪ Always enter Driving mode
▪ Menu button - Delete
▪ Delete middle video among grouped videos</t>
  </si>
  <si>
    <t>▪ When playing grouped videos, deleted sections are skipped.
▪ Check OSD display</t>
  </si>
  <si>
    <t>Check data speed</t>
  </si>
  <si>
    <t>▪ Measure the time taken to copy 6 files of 150MB each (900MB) to the library</t>
  </si>
  <si>
    <t>▪ Copying 900MB will take approximately 19 seconds (Specifications: 480Mbps)</t>
  </si>
  <si>
    <t>Delete all recorded videos (#23307)
- SD card removed</t>
  </si>
  <si>
    <t>▪ Remove SD Card
▪ Menu - Erase All</t>
  </si>
  <si>
    <t>▪ Confirm completion without the popup persisting</t>
  </si>
  <si>
    <t>Delete performance recording</t>
  </si>
  <si>
    <t>[BLTN_CAM-Function-028] Copy to Archive</t>
  </si>
  <si>
    <t>[Recorded Video Copy Function]</t>
  </si>
  <si>
    <t>▪ Menu Button - Copy to Library
- Copy each video to the library one by one for viewing
(Driving Continuous/Impact, Parking Continuous/Impact/Motion, Manual, Time-lapse)</t>
  </si>
  <si>
    <t>▪ BLTN_CAM_FILE_LIST_RENEW Update
▪ 0x3(invalid) → 0x1(the file list and storage space are renewed) → 0x3(invalid)
▪ Video list displayed normally
▪ Confirmed that videos are displayed sorted in chronological order</t>
  </si>
  <si>
    <t>Copy to Recorded Videos Archive (Multiple Selection)</t>
  </si>
  <si>
    <t>▪ Menu Button - Copy to Library (Multiple Selection)
- Copy 1~2 of each video to the library for viewing
(Driving Continuous/Impact, Parking Continuous/Impact/Motion, Manual, Time-lapse)</t>
  </si>
  <si>
    <t>Copy directly to the recorded video archive folder</t>
  </si>
  <si>
    <t>▪ Copy videos exceeding the allocated capacity to the MVD folder
- Enter Built-in Cam and check the library list</t>
  </si>
  <si>
    <t>▪ Copied video output works normally
- Cannot add or copy files to the library from the built-in cam menu</t>
  </si>
  <si>
    <t>Copy to performance recording archive</t>
  </si>
  <si>
    <t>▪ Menu Button - Copy to Library
- Copy performance video to library to view</t>
  </si>
  <si>
    <t>▪ Performance recording library will not be copied</t>
  </si>
  <si>
    <t>[BLTN_CAM-Function-029] Save File Format</t>
  </si>
  <si>
    <t>[Save File Format]
(※MP4 Reader Program)</t>
  </si>
  <si>
    <t>[Save File Format]</t>
  </si>
  <si>
    <t>ftyp(0X66747970)
- Check file compatibility (file type box)</t>
  </si>
  <si>
    <t>▪ Download the driving recording file to check the file information</t>
  </si>
  <si>
    <t>▪ Major brand (32bits): mp42 (0X6D703432)</t>
  </si>
  <si>
    <t>▪ minor version(32bits): 0 (0X00000000)</t>
  </si>
  <si>
    <t>▪ compatible brands(32bits * n): mp42 (0X6D703432), mp41 (0X6D703431), isom (0X69736F6D), iso2 (0X69736F32)</t>
  </si>
  <si>
    <t>mdat (0X6D646174)
- Media data box that stores actual media
(media data box)</t>
  </si>
  <si>
    <t>▪ Data(8 bits * n) : Variable data (H.265 encoded video data)</t>
  </si>
  <si>
    <t>moov - mvhd (0X6D766864)
- Movie header box</t>
  </si>
  <si>
    <t>▪ Creation-time(32 bits) : (e.g.) 2017/09/13 14:10:08(0xD5DEECC0) - Recording time (UTC time)</t>
  </si>
  <si>
    <t>▪ Modification-time(32 bits) : (e.g.) 2017/09/13 14:10:08(0xD5DEECC0) - Modification time (UTC time)</t>
  </si>
  <si>
    <t>▪ Time scale (32 bits) : (e.g.) 1800 (0x00000708) - Time scale</t>
  </si>
  <si>
    <t>▪ Duration(32 bits) : (e.g.) 108180(0x0001A694) - Playback time(Duration/Time scale)</t>
  </si>
  <si>
    <t>▪ Rate(32bits) : 0x00010000 - Playback rate</t>
  </si>
  <si>
    <t>▪ Volume(16bits) : 0x0100 - Playback volume</t>
  </si>
  <si>
    <t>▪ Next track id(32bits) : 2 (0x00000002) - Next track ID</t>
  </si>
  <si>
    <t>moov-trak-tkhd (0X746B6864)
- Video track value (track metadata value)</t>
  </si>
  <si>
    <t>▪ Check Recording File Resolution
(2nd Gen)
Width(2560) : 2560 / Height(1440): 1440
(2.5 Gen/2.6 Gen)
Width(2980) : 2980 / Height(1440): 1440
(3rd Gen)
Width(3840) : 3840 / Height(2160): 2160</t>
  </si>
  <si>
    <t>moov-trak-media-minf-stbl-mp4a
- Audio track value (audio track codec information)</t>
  </si>
  <si>
    <t>▪ Check audio track codec information
data-reference-index: 1 (0X0001)
Reserved : 0 (0000000000)
Reserved : 0 (0000000000)
Channel count: 1 (0X0001)
Sample Size : 16 (0X0010)
Pre-defined : 0 (000000)
Reserved : 0 (000000)
Time Scale : 44,100 (0XAC44)
Reserved : 0 (000000)</t>
  </si>
  <si>
    <t>moov-trak-media-minf-stbl-mp4a-esds
- Includes details about the audio</t>
  </si>
  <si>
    <t>▪Check Audio Details
*Max BitRate and Avg. BitRate varies from file to file
-- ES Descriptor --
Tag: 3 (0X03)
Tag Size: 25 (0X19)
ES_ID: 2 (0X0002)
StreamDependFlag: 0 (0 B)
URL Flag: 0 (0 B)
Reserved: 0 (0 B)
StreamPriority: 0 (00000 B)
-- Decoder Config Descriptor --
Tag: 4 (0X04)
Tag Size: 17 (0X11)
objectTypeIndication: MPEG-4 audio
Stream Type: 5 (000101 B)
UpStream : 0 (0 B) Reserved : 1 (1 B)
Buffer Size: 0 (00000000)
Max BitRate: 104,048 (0X00019670)
Avg. BitRate: 67,244 (0X000106AC)
-- Dec-Specific Info Descriptor --
Tag: 5 (0X05)
Tag Size: 2 (0X02)
skip(2)
-- Sync Layer Config Descriptor --
Tag: 6 (0X06)
Tag Size: 1 (0X01)
PreDefined: 2 (0X02)</t>
  </si>
  <si>
    <t>[BLTN_CAM-Function-030] Storage Memory Related Functions</t>
  </si>
  <si>
    <t>[Storage]
: Check Archive List</t>
  </si>
  <si>
    <t>[Storage] : Check Archive List</t>
  </si>
  <si>
    <t>[Check Saved Video List]: Continuous Recording</t>
  </si>
  <si>
    <t>▪ Enter Built-in Cam Screen
▪ Check Always-On Video List (Library List)</t>
  </si>
  <si>
    <t>▪ Display Saved Video List
- [Always on while driving]
- [Always on while parked]</t>
  </si>
  <si>
    <t>[Saved Video List] Confirm: Shock Recording</t>
  </si>
  <si>
    <t>▪ Enter Built-in Cam Screen
▪ Check Impact Video List (Archive List)</t>
  </si>
  <si>
    <t>▪ Display Saved Video List
- [Impact while Driving]
- [Impact while Parked]
- [Motion Detection while Parking]</t>
  </si>
  <si>
    <t>[Check Saved Video List]: Manual Recording, Time-lapse, Library</t>
  </si>
  <si>
    <t>▪ Enter Built-in Cam Screen
▪ Check Event Video List (Library List)</t>
  </si>
  <si>
    <t>▪ Show Saved Video List
- [Manual Recording]
- [Timelapse]
- [Library]</t>
  </si>
  <si>
    <t>[Check Saved Video List]: Performance</t>
  </si>
  <si>
    <t>▪ Enter Built-in Cam Screen
▪ Check Performance Recording Videos (Library List)</t>
  </si>
  <si>
    <t>▪ Saved video list will not be displayed
- [N Race Cam]</t>
  </si>
  <si>
    <t>File Naming</t>
  </si>
  <si>
    <t>[File Naming]</t>
  </si>
  <si>
    <t>Recording method: Driving recording</t>
  </si>
  <si>
    <t>▪ [Settings] - [Recording] - Turn on Display Recording Time Information
▪ Remove SD card and check the recorded files on the SD card</t>
  </si>
  <si>
    <t>▪ Example: OWD_20201209_001711_F.mp4
- Always-on Driving Recording: OWD
- Driving Impact Detection: DEV
- Switch: MAR
- Always-on Parking Recording: OWP
- Parking Impact Detection: PEV
- Time-lapse: TML
- Parking Motion Detection: PMD
- Performance: N (N_20250407_200815_F.mp4)
Folder creation naming is PER
- Archive: MVD
- Thumbnail: thumb
- Year/Month/Day/Hour/Minute/Second
- Front (F), Rear®
- 1st Generation: T (Presence of Timestamp) was present but has been removed. T should not be present.</t>
  </si>
  <si>
    <t>▪ Check the recorded files on the SD card after removing it.</t>
  </si>
  <si>
    <t>▪ TIL_20201209_014518_F.mp4(No recording video indication (T) at the end)</t>
  </si>
  <si>
    <t>[Verify consistency between recorded video filename and OSD]</t>
  </si>
  <si>
    <t>▪ [Settings] - [Recording] - Display Info Stamp - Date &amp; Time On
▪ After creating a recorded video, check the time display on the OSD at the top left of the head unit.</t>
  </si>
  <si>
    <t>▪ YYYY-MM-DD HH:MM:SS PM(AM) - Displayed on a single line
▪ OSD Time Display - Verify match with actual recording time
▪ Time in video list, first OSD time displayed during playback, and time in mp4 filenames match</t>
  </si>
  <si>
    <t>▪ YYYY-MM-DD HH:MM:SS PM(AM) - Displayed on a single line
▪ OSD Time Display - Verify match with actual recording time
▪ Time in video list, OSD time display at event point during playback, and time in mp4 filenames match</t>
  </si>
  <si>
    <t>▪ OSD not generated in recorded video
▪ Verify that filename time matches actual recording time</t>
  </si>
  <si>
    <t>▪ OSD not created
▪ Verify filename time matches actual recording time</t>
  </si>
  <si>
    <t>Motion detection event while parked</t>
  </si>
  <si>
    <t>▪ YYYY-MM-DD HH:MM:SS PM(AM) - Display on a single line
▪ OSD Time Display - Verify match with actual recording time
▪ Time in video list, OSD time display at event point during playback, and time in mp4 filename match
※ [Past Issue during Development], #23294
MP4 file playback time must be identical to the playback time in ccNC</t>
  </si>
  <si>
    <t>[Folder Naming (Folder Structure)]</t>
  </si>
  <si>
    <t>Always-on driving storage: OWD</t>
  </si>
  <si>
    <t>/mnt/data/sdcard/data/OWD</t>
  </si>
  <si>
    <t>Driving Shock Detection: DEV</t>
  </si>
  <si>
    <t>/mnt/data/sdcard/data/DEV</t>
  </si>
  <si>
    <t>Switch: MAR</t>
  </si>
  <si>
    <t>/mnt/data/sdcard/data/MAR</t>
  </si>
  <si>
    <t>Always save parking: OWP</t>
  </si>
  <si>
    <t>/mnt/data/sdcard/data/OWP</t>
  </si>
  <si>
    <t>Parking Impact Detection: PEV</t>
  </si>
  <si>
    <t>/mnt/data/sdcard/data/PEV</t>
  </si>
  <si>
    <t>Time-lapse: TML</t>
  </si>
  <si>
    <t>/mnt/data/sdcard/data/TML</t>
  </si>
  <si>
    <t>Motion Detection While Parking: PMD</t>
  </si>
  <si>
    <t>/mnt/data/sdcard/data/PMD</t>
  </si>
  <si>
    <t>Performance Recording: PER</t>
  </si>
  <si>
    <t>/mnt/data/sdcard/data/PER</t>
  </si>
  <si>
    <t>Storage: MVD</t>
  </si>
  <si>
    <t>/mnt/data/sdcard/data/MVD</t>
  </si>
  <si>
    <t>Thumbnail : thumb</t>
  </si>
  <si>
    <t>/mnt/data/sdcard/data/thumb</t>
  </si>
  <si>
    <t>Check the number</t>
  </si>
  <si>
    <t>The number of downloaded files must match the number of files verified on the PC.</t>
  </si>
  <si>
    <t>[Check Size] Thumbnail Image</t>
  </si>
  <si>
    <t>▪ Check the thumbnail file generated after recording the video</t>
  </si>
  <si>
    <t>▪ Resolution: 640*480 (Same for 2nd and 2.5th gens)
▪ Size: 90KB or less
▪ .jpg extension
▪ Stamp area not visible</t>
  </si>
  <si>
    <t>Motion detection while parking</t>
  </si>
  <si>
    <t>▪ Resolution: 640*480
▪ Size: 90KB or less
▪ .jpg extension
▪ Stamp area not visible</t>
  </si>
  <si>
    <t>[Check recording file size]</t>
  </si>
  <si>
    <t>[Check Capacity] Recorded Video</t>
  </si>
  <si>
    <t>▪ Forward: 80 MB, Rear: Within 80 MB
▪ Playback Length: 60 sec (Error -1 sec)</t>
  </si>
  <si>
    <t>▪ Forward: 95 MB, Rear: Within 95 MB
▪ Playback length: 30 min (error -1 sec)</t>
  </si>
  <si>
    <t>▪ Playback length: 20 sec (error -1 sec) / Forward: 26.7 MB, Rear: within 26.7 MB
▪ Playback length: 40 sec (error -1 sec) / Forward: 53.4 MB, Rear: within 53.4 MB</t>
  </si>
  <si>
    <t>▪ Playback length: 20 sec (error -1 sec) / Forward: 8.9 MB, Rear: within 8.9 MB
▪ Playback length: 40 sec (error -1 sec) / Forward: 17.8 MB, Rear: within 17.8 MB</t>
  </si>
  <si>
    <t>▪ Front: Within 245 MB
▪ Playback Length: 20 min
(1200 frames, Tolerance: ±2 frames)</t>
  </si>
  <si>
    <t>▪ Playback length: 20 sec (error -1 sec) / Forward: 14 MB, Rear: Within 14 MB</t>
  </si>
  <si>
    <t>▪ Playback length up to 1 hour (error -1 sec) / Previous: 4.8 Gbyte</t>
  </si>
  <si>
    <t>There is some overlap with the Driving/Parking Recording tab.</t>
  </si>
  <si>
    <t>[Check Recording File Storage Specifications]</t>
  </si>
  <si>
    <t>▪ Turn Key On
▪ Continuous recording while driving (1 minute)
▪ Check video after removing SD card</t>
  </si>
  <si>
    <t>▪ Front/Rear Resolution
- 2.0 Gen) Width: 2560, Height: 1440
- 2.5 Gen) Width: 2980, Height: 1440
▪ Save/Playback Frame Rate: 30±1 FPS
▪ Recording Enabled (When Recording Setting is On)
▪ Rear Video Left/Right Inversion Not Enabled</t>
  </si>
  <si>
    <t>▪ Key Off
▪ Continuous recording while parked (1 minute)
▪ Check video after removing SD card</t>
  </si>
  <si>
    <t>▪ Front/Rear Resolution
- 2.0 Gen) Width: 2560, Height: 1440
- 2.5 Gen) Width: 2980, Height: 1440
▪ Save/Playback Frame Rate: 2 FPS
▪ Recording X (When Recording is On)
▪ Rear Video Left/Right Inversion X</t>
  </si>
  <si>
    <t>▪ Turn Key On
▪ Continuous recording while driving
▪ Impact detected
▪ Check video after removing SD card</t>
  </si>
  <si>
    <t>▪ Key Off
▪ Continuous recording while parked (1 minute)
▪ Impact detected
▪ Check video after removing SD card</t>
  </si>
  <si>
    <t>▪ Front/Rear Resolution
- 2.0 Gen) Width: 2560, Height: 1440
- 2.5 Gen) Width: 2980, Height: 1440
▪ Save/Playback Frame Rate: 10 FPS
▪ Recording Enabled (When Recording is On)
▪ Rear Video Left/Right Inversion Not Enabled</t>
  </si>
  <si>
    <t>▪ Turn Key On
▪ Continuous recording while driving
▪ Enable Switch Event
▪ Check video after removing SD card</t>
  </si>
  <si>
    <t>▪ Key Off
▪ Continuous recording while parked (1 minute)
▪ Enable Switch Event
▪ Check video after removing SD card</t>
  </si>
  <si>
    <t>▪ Key Off
▪ Motion impact detected while parked
▪ Check video after removing SD card</t>
  </si>
  <si>
    <t>▪ Front/Rear Resolution
- 2.0 Gen) Width: 2560, Height: 1440
- 2.5 Gen) Width: 2980, Height: 1440
▪ Save/Playback Frame Rate: 5 FPS
▪ Recording Enabled (When Recording is On)
▪ Rear Video Left/Right Inversion Not Enabled</t>
  </si>
  <si>
    <t>▪ Turn Key ON
▪ Start performance recording while driving
▪ Check video after removing SD card</t>
  </si>
  <si>
    <t>▪ Front Resolution (Rear video recording disabled)
- Width: 1920, Height: 1080
▪ Save/Playback Frame Rate: 30 FPS
▪ Recording Enabled (When Recording is On)</t>
  </si>
  <si>
    <t>Check audio storage specifications</t>
  </si>
  <si>
    <t>[Check Audio Storage Specifications]</t>
  </si>
  <si>
    <t>▪ Check the .mp4 file generated after recording the video</t>
  </si>
  <si>
    <t>▪ Sample Rate : 44100 Hz
▪ Bits per sample : 16 bits
▪ Bit rate : 705.6 kbps or less
(Max 44100 Hz * 1 ch * 16 bit / 1000 = 705.6 kbps)
▪ Channel : 1</t>
  </si>
  <si>
    <t>▪Sample Rate, Bits per sample, Bit rate value X
(Recording function X)</t>
  </si>
  <si>
    <t>[Storage Space]
: Maximum number of saved videos
※ Check storage space for each 64GB and 128GB SD card</t>
  </si>
  <si>
    <t>[Storage Space] : Maximum number of saved videos
64GB SD card</t>
  </si>
  <si>
    <t>▪ Create and verify up to the maximum number of recording files.</t>
  </si>
  <si>
    <t>▪ 61.83% of total available SD card capacity
▪ 37.5GB (38,400 Mbyte)</t>
  </si>
  <si>
    <t>▪ 24.87% of total available SD card capacity
▪ 14.8GB (15,200 Mbyte)</t>
  </si>
  <si>
    <t>Continuous recording while parked + Motion detection recording while parked specifications</t>
  </si>
  <si>
    <t>Switch recording</t>
  </si>
  <si>
    <t>▪ 3.495% of total available SD card capacity
▪ 2.08GB (2,136 Mbyte)</t>
  </si>
  <si>
    <t>Recording of impact while driving</t>
  </si>
  <si>
    <t>Impact recording while parked</t>
  </si>
  <si>
    <t>▪ 1.165% of the total available capacity of the SD card
▪ 0.69GB (712 Mbyte)</t>
  </si>
  <si>
    <t>▪ 1.841% of total available SD card capacity
▪ 1.19GB (1,225 Mbyte)</t>
  </si>
  <si>
    <t>Storage box</t>
  </si>
  <si>
    <t>▪ Copy as much data as possible to the storage and check</t>
  </si>
  <si>
    <t>▪ 2.301% of total available SD card capacity
▪ 1.17GB (1,206 Mbyte)</t>
  </si>
  <si>
    <t>Check Inventory Capacity GUI</t>
  </si>
  <si>
    <t>▪ Attempting to copy when the library is full</t>
  </si>
  <si>
    <t>▪ Check if the capacity information at the bottom left of ccNC is correct</t>
  </si>
  <si>
    <t>[Storage Space] : Maximum number of saved videos
(Phison 128GB)
BICIM2-2933</t>
  </si>
  <si>
    <t>▪ 48.46% of total available SD card capacity
▪ 57.6GB (57,603 Mbyte)</t>
  </si>
  <si>
    <t>▪ 38.37% of total available SD card capacity
▪ 44.5GB (45,601 Mbyte)</t>
  </si>
  <si>
    <t>▪ 3.6% of total available SD card capacity
▪ 4.27GB (4,279 Mbyte)</t>
  </si>
  <si>
    <t>▪ 1.2% of the total available capacity of the SD card
▪ 1.42GB (1,426 Mbyte)</t>
  </si>
  <si>
    <t>▪ 2.07% of the total available capacity of the SD card
▪ 2.45GB (2,450 Mbyte)</t>
  </si>
  <si>
    <t>▪ 2.65% of the total available capacity of the SD card
▪ 3.15GB (3,150 Mbyte)</t>
  </si>
  <si>
    <t>[Storage Space]
: Overwrite when full</t>
  </si>
  <si>
    <t>MEM_010</t>
  </si>
  <si>
    <t>[Storage] : Overwrite when full</t>
  </si>
  <si>
    <t>▪ Check capacity retention when recording file storage is full</t>
  </si>
  <si>
    <t>▪ Maintain 61.83% of the total available SD card capacity</t>
  </si>
  <si>
    <t>▪ Confirm overwriting when recording file storage is full</t>
  </si>
  <si>
    <t>▪ Delete the oldest file (the file created first, not based on the date and time specified in the filename)</t>
  </si>
  <si>
    <t>Always active while parked
(Motion detection not applied while parked)</t>
  </si>
  <si>
    <t>▪ Maintain 24.87% of the total available SD card capacity</t>
  </si>
  <si>
    <t>Always Recording While Parked + Motion Detection While Parked
( Specifications with Motion Detection Recording While Parked)</t>
  </si>
  <si>
    <t>Switch Event (Driving + Parking)</t>
  </si>
  <si>
    <t>▪ Maintain 3.495% of the total available SD card capacity</t>
  </si>
  <si>
    <t>▪ Maintain 1.165% of the total available SD card capacity</t>
  </si>
  <si>
    <t>▪ Maintains 1.841% of the total available SD card capacity</t>
  </si>
  <si>
    <t>※ Performance Recording Supported/Non-supported Specifications
Applicable only to specialized models equipped with the Performance Record function, such as the CE1 N.
- Applicable Specifications: BLTN_CAM_BPR_Spprt_Info ==0x1(Support)
- Non-applicable Specifications: BLTN_CAM_BPR_Spprt_Info ==0x0</t>
  </si>
  <si>
    <t>[Storage] : Maximum number of images, overwrite when full</t>
  </si>
  <si>
    <t>▪ Creates and verifies up to the maximum number of recording files
(8 files created when saving up to 1 hour)</t>
  </si>
  <si>
    <t>▪ 61.83% of total available SD card capacity (including constant driving)</t>
  </si>
  <si>
    <t>▪ Maintains 61.83% of total available SD card capacity (including constant driving)</t>
  </si>
  <si>
    <t>[Storage] Maximum number of saved videos
Specifications where parking recording is not applied (e.g., Russia)
※ Parking recording applied as an exception for JG1 RUS</t>
  </si>
  <si>
    <t>[Storage Space] Maximum number of saved videos (parking recording not applied)</t>
  </si>
  <si>
    <t>▪ 86.70% of the total available capacity of the SD card</t>
  </si>
  <si>
    <t>사양 #21359 (주차 녹화 미적용 차량 저장 메모리 분배 사양 변경)</t>
  </si>
  <si>
    <t>▪ 86.70% of the total available SD card capacity
(For performance recording, including continuous driving)</t>
  </si>
  <si>
    <t>▪ 3.495% of the total available capacity of the SD card</t>
  </si>
  <si>
    <t>▪ 4.66% of the total available capacity of the SD card</t>
  </si>
  <si>
    <t>▪ 1.841% of the total available capacity of the SD card</t>
  </si>
  <si>
    <t>▪ 2.301% of the total available capacity of the SD card</t>
  </si>
  <si>
    <t>[Storage Space]: Overwrite when full (Parking Recording Not Applied)
Specifications without parking recording applied, such as in Russia
※ Parking recording applied as an exception for JG1 RUS</t>
  </si>
  <si>
    <t>[Storage Space] : Overwrite when full (Parking recording not applied)</t>
  </si>
  <si>
    <t>▪ Maintain 86.70% of the total available SD card capacity</t>
  </si>
  <si>
    <t>▪ Maintains 86.70% of the total available SD card capacity (including during continuous driving)</t>
  </si>
  <si>
    <t>▪ Maintain 4.66% of the total available SD card capacity</t>
  </si>
  <si>
    <t>SD card terminal lighting specifications</t>
  </si>
  <si>
    <t>MEM_013</t>
  </si>
  <si>
    <t>[SD Card Terminal] Check Lighting Voltage Output</t>
  </si>
  <si>
    <t>Check output voltage</t>
  </si>
  <si>
    <t>▪ Freq: 200Hz
 ▪ Duty: 100%, 12V</t>
  </si>
  <si>
    <t>[SD Card Terminal] Check lighting operation</t>
  </si>
  <si>
    <t>When removing the SD card</t>
  </si>
  <si>
    <t>▪ Remove SD card in AVN mode</t>
  </si>
  <si>
    <t>▪ Freq: 200Hz
▪ Duty: 100%, 12V
- SD Slot LED 2Hz Flashing</t>
  </si>
  <si>
    <t>When inserting the SD card</t>
  </si>
  <si>
    <t>▪ Insert SD card in AVN mode</t>
  </si>
  <si>
    <t>Repeatedly remove and insert the SD card</t>
  </si>
  <si>
    <t>▪ Repeat SD card insertion/removal in AVN mode
KEY ON / KEY OFF / Enter/Exit Built-in Cam Mode
Verify repeat 10 times for each mode</t>
  </si>
  <si>
    <t>▪ When removed: 2Hz blinking
▪ When inserted: Remains ON
※ The blinking operation must completely turn ON/OFF (it must not turn ON with a dim brightness during the OFF timing)</t>
  </si>
  <si>
    <t>MEM_015</t>
  </si>
  <si>
    <t>[SD Card Connector] Type 1 (Non-exposed)</t>
  </si>
  <si>
    <t>Type 1 (External Non-exposure) KEY OFF</t>
  </si>
  <si>
    <t>▪ Check SD slot terminal unit LED</t>
  </si>
  <si>
    <t>▪ SD Slot Terminal Unit LED
: OFF</t>
  </si>
  <si>
    <t>uSD모듈 조명_Type1</t>
  </si>
  <si>
    <t>Type 1 (External Non-exposed) ACC ON</t>
  </si>
  <si>
    <t>▪ ACC ON
▪ Check SD Slot Terminal Unit LED</t>
  </si>
  <si>
    <t>▪ SD Slot Terminal Unit LED
: ON</t>
  </si>
  <si>
    <t>Type1 (External Non-exposure) IGN ON</t>
  </si>
  <si>
    <t>▪ ACC &amp; IGN ON
▪ Check SD Slot Terminal Unit LED</t>
  </si>
  <si>
    <t>Type 1 (External Non-exposed) Remote Start Conditions</t>
  </si>
  <si>
    <t>▪ External communication signal reception status
▪ IGN ON (ACC OFF)
▪ Check SD slot terminal unit LED</t>
  </si>
  <si>
    <t>MEM_016</t>
  </si>
  <si>
    <t>[SD Card Connector] Type 2 (Light Leak)</t>
  </si>
  <si>
    <t>Type 2 (Light Leak) KEY OFF</t>
  </si>
  <si>
    <t>uSD모듈 조명_Type2</t>
  </si>
  <si>
    <t>Type 2 (Light Leak) Enter Built-in Cam Mode (ACC)</t>
  </si>
  <si>
    <t>▪ AVN mode → BLTN_CAM Mode → Popup mode → BLTN_CAM Mode
▪ Check SD slot terminal unit LED</t>
  </si>
  <si>
    <t>▪ SD Slot Unit LED
: OFF → ON → ON → ON</t>
  </si>
  <si>
    <t>▪ AVN mode → BLTN_CAM Mode → Popup mode → AVN mode
▪ Check SD slot terminal unit LED</t>
  </si>
  <si>
    <t>▪ SD Slot Unit LED
: OFF → ON → ON → OFF</t>
  </si>
  <si>
    <t>▪ AVN mode → BLTN_CAM Mode → AVN mode
▪ Check SD slot terminal unit LED</t>
  </si>
  <si>
    <t>▪ SD Slot Unit LED
: OFF → ON → OFF</t>
  </si>
  <si>
    <t>Enter Type 2 (Light Leak) Built-in Cam Mode (IGN)</t>
  </si>
  <si>
    <t>Type 2 (Light Leak) Remote Start Conditions</t>
  </si>
  <si>
    <t>MEM_017</t>
  </si>
  <si>
    <t>[SD Card Connector] Type 3 (Exposed)</t>
  </si>
  <si>
    <t>Type3 (Exposure) KEY OFF</t>
  </si>
  <si>
    <t>uSD모듈 조명_Type3</t>
  </si>
  <si>
    <t>Type3(Exposure) IGN ON &amp; ExtrnlTailLmpSta = 0x1(ON)</t>
  </si>
  <si>
    <t>▪ ACC &amp; IGN ON
▪ Check SD Slot Terminal Unit LED
▪ Lamp_ExtrnlTailLmpOnReq = 0x1(ON)
▪ CLU_RhstaLvlSta = 0x0E</t>
  </si>
  <si>
    <t>Type3(Exposure) IGN ON &amp; ExtrnlTailLmpSta = 0x0(OFF)</t>
  </si>
  <si>
    <t>▪ ACC &amp; IGN ON
▪ Check SD Slot Terminal Unit LED
▪ Lamp_ExtrnlTailLmpOnReq = 0x0(OFF)</t>
  </si>
  <si>
    <t>Enter Type 3 (Exposure) Built-in Cam Mode (ACC)</t>
  </si>
  <si>
    <t>▪ Enter Built-in Cam Mode
▪ Check SD Slot Unit LED</t>
  </si>
  <si>
    <t>Enter Type 3 (Exposure) Built-in Cam Mode (IGN)</t>
  </si>
  <si>
    <t>Check the specifications in the SD module package status PPT document within the Y Cloud 2nd Generation Specifications folder.</t>
  </si>
  <si>
    <t>[Check LHD/RHD distinction signal] DriveTypeOption(Check SD module image output)</t>
  </si>
  <si>
    <t>▪ [ICU_08_200ms(0x418)] Drive Type Option = Enter Left Handle Drive Type
▪ Enter SD Card Settings menu in Built-in Cam Settings</t>
  </si>
  <si>
    <t>▪ Display image of SD card module location for the left driver's seat
(Check the image on the Redmine Wiki board)</t>
  </si>
  <si>
    <t>과거차문제
PASTI-359
SD카드 모듈 위치 이미지 미적용</t>
  </si>
  <si>
    <t>운전석 위치_좌</t>
  </si>
  <si>
    <t>DriveTypeOption' Right Handle (Country Only)</t>
  </si>
  <si>
    <t>▪[ICU_08_200ms(0x418)] Drive Type Option = Right Handle Drive Type
▪ Enter SD Card Settings menu in Built-in Cam Settings</t>
  </si>
  <si>
    <t>▪ Display image of SD card module location for the right driver's seat
- For vehicles that only support LHD, the LHD image is retained as there is no RHD image available.
(Please check the image on the Redmine Wiki board)</t>
  </si>
  <si>
    <t>운전석 위치_우</t>
  </si>
  <si>
    <t>GL3 PE</t>
  </si>
  <si>
    <t>Vehicle Schedule: 2024-06-03(P2), Check Image</t>
  </si>
  <si>
    <t>Please attach an actual verification image to the measurement value.</t>
  </si>
  <si>
    <t>GL3 PE HEV</t>
  </si>
  <si>
    <t>RG3 EV PE</t>
  </si>
  <si>
    <t>Vehicle Schedule: 2024-05-15(P2), Check Image</t>
  </si>
  <si>
    <t>JK1 EV PE</t>
  </si>
  <si>
    <t>Vehicle Schedule: 2024-07-01(P2), Check Image</t>
  </si>
  <si>
    <t>ME</t>
  </si>
  <si>
    <t>Vehicle Schedule: 2024-05-01(P2), Check Image</t>
  </si>
  <si>
    <t>LX3</t>
  </si>
  <si>
    <t>Vehicle Schedule: 2024-09-15(P2), Check Image</t>
  </si>
  <si>
    <t>LX3 HEV</t>
  </si>
  <si>
    <t>MV GT (26MY)</t>
  </si>
  <si>
    <t>Vehicle Schedule: 2024-10-15 (P2), Check Image</t>
  </si>
  <si>
    <t>RG3 25MY</t>
  </si>
  <si>
    <t>Vehicle Schedule: 2024-11-15(P1), Check Image</t>
  </si>
  <si>
    <t>JW1 PE</t>
  </si>
  <si>
    <t>Vehicle Schedule: 2024-11-01(P2), Check Image</t>
  </si>
  <si>
    <t>NQ5 PE</t>
  </si>
  <si>
    <t>Vehicle Schedule: 2024-09-01(P2), Check Image</t>
  </si>
  <si>
    <t>CT1</t>
  </si>
  <si>
    <t>Vehicle Schedule: 2024-12-01(P1), Check Image</t>
  </si>
  <si>
    <t>NH2</t>
  </si>
  <si>
    <t>Vehicle Schedule: 2025-02-15(P2), Check Image</t>
  </si>
  <si>
    <t>CE PE</t>
  </si>
  <si>
    <t>Vehicle Schedule: 2025-02-01(P2), Check Image</t>
  </si>
  <si>
    <t>CE PE N</t>
  </si>
  <si>
    <t>US4 PE</t>
  </si>
  <si>
    <t>Vehicle Schedule: 2025-08-15(P2), Check Image</t>
  </si>
  <si>
    <t>NH2 (RHD)</t>
  </si>
  <si>
    <t>Vehicle Schedule: 2025-01-01(P1), Check Image</t>
  </si>
  <si>
    <t>US4 PE HEV</t>
  </si>
  <si>
    <t>SG2 PE</t>
  </si>
  <si>
    <t>Vehicle Schedule: 2024-07-15(P2), Check Image</t>
  </si>
  <si>
    <t>US4 PE EV</t>
  </si>
  <si>
    <t>Vehicle Schedule: 2025-11-01(P2), Check Image</t>
  </si>
  <si>
    <t>RX</t>
  </si>
  <si>
    <t>Undecided</t>
  </si>
  <si>
    <t>JG1 ※ Connect specifications: Check both Black and White themes</t>
  </si>
  <si>
    <t>Vehicle Schedule: 2025-10-28(P1), Check Image</t>
  </si>
  <si>
    <t>GL3 24MY</t>
  </si>
  <si>
    <t>RS4 PE</t>
  </si>
  <si>
    <t>RS4 25MY</t>
  </si>
  <si>
    <t>NQ5 25MY</t>
  </si>
  <si>
    <t>GN7 FL ※ Connect specifications: Check both Black and White themes</t>
  </si>
  <si>
    <t>Vehicle Schedule: 2025-11-06(P1), Check Image</t>
  </si>
  <si>
    <t>MX5 FL ※ Connect specifications: Check both Black and White themes</t>
  </si>
  <si>
    <t>Vehicle Schedule: 2026-02-20(P1), Check Image</t>
  </si>
  <si>
    <t>DL3 PE2 ※ Connect specifications: Check both Black and White themes</t>
  </si>
  <si>
    <t>Unmount SD card</t>
  </si>
  <si>
    <t>[Safely Remove SD Card]</t>
  </si>
  <si>
    <t>Perform connection disconnection function</t>
  </si>
  <si>
    <t>▪ Built-in Cam Menu - Settings - Disconnect SD Card</t>
  </si>
  <si>
    <t>▪ Output BLTN_CAM_SD_Card_UnMt_Mt_Req = 0x1 (Unmount Request)
▪ Output BLTN_CAM_PopUp_Req = 0xA (SD card Unmounted)
▪ Output BLTN_CAM_SD_Card_State = 0x8 (SD card Unmounted)
▪ SD card slot LED blinks at 2Hz
▪ No video list output upon disconnection</t>
  </si>
  <si>
    <t>Perform connection</t>
  </si>
  <si>
    <t>▪ Connect SD card</t>
  </si>
  <si>
    <t>▪ Output BLTN_CAM_PopUp_Req = 0x4 (micro SD card inserted)
▪ Output BLTN_CAM_SD_Card_State = 0x0 (GOOD, SD card is OK)
▪ SD card slot LED always ON
▪ Video list should be displayed normally upon reconnection
▪ No video list should be displayed upon disconnection</t>
  </si>
  <si>
    <t>Repeat disconnect/insert</t>
  </si>
  <si>
    <t>▪ Built-in Cam Menu - Settings - Disconnect SD Card
▪ Connect SD Card
▪ Repeat the above steps</t>
  </si>
  <si>
    <t>▪ Repeat output of the above signal operation
▪ No video list output upon disconnection</t>
  </si>
  <si>
    <t>Confirmed normal recognition in CCNC mode after disconnecting</t>
  </si>
  <si>
    <t>▪ Built-in Cam Menu - Settings - Disconnect SD Card
: BLTN_CAM_SD_Card_UnMt_Mt_Req = 0x1(UnMount Request)
▪ Enter CCNC Mode</t>
  </si>
  <si>
    <t>▪ BLTN_CAM_PopUp_Req = 0xA (SD card Unmounted)
▪ BLTN_CAM_SD_Card_State 0x8 (SD card Unmounted)
▪ No video list output upon disconnection</t>
  </si>
  <si>
    <t>Disconnect the SD card after changing the voice recording settings.</t>
  </si>
  <si>
    <t>▪ Built-in Cam Menu - Settings - Voice Recording Settings Off→On
▪ Select Disconnect SD Card
▪ Enter AVN Mode and verify driving recording operation
▪ Enter Built-in Cam and check the driving recording video</t>
  </si>
  <si>
    <t>▪ SD card should be disconnected
▪ No video list should be displayed when SD card is disconnected
▪ Driving recording video should be displayed normally and audio recording should be unaffected</t>
  </si>
  <si>
    <t>Disconnect when SD is not recognized</t>
  </si>
  <si>
    <t>▪ Connect an SD card with insufficient available capacity
▪ Built-in Cam Menu - Settings - Disconnect SD card
▪ Switch to AVN mode
( ※ Disconnect button is enabled only when SD_CARD_STATE = 0X0, 0X1, 0X2, or 0X7)</t>
  </si>
  <si>
    <t>▪ SD card slot LED should blink
▪ BLTN_CAM_SD_Card_State = 0x8</t>
  </si>
  <si>
    <t>[SD Card Status Information]
[Display Related Services]
IND_003 Same Test Case</t>
  </si>
  <si>
    <t>MEM_020</t>
  </si>
  <si>
    <t>[SD Card Status Information]</t>
  </si>
  <si>
    <t>▪ 0x0: Good, SD card is OK. (Green State)
※ [Display Related Service] IND_003 Same Test Case</t>
  </si>
  <si>
    <t>▪ 0x1: SD card replacement recommend.(Yellow State)
※ [Display Related Service] IND_003 Same Test Case</t>
  </si>
  <si>
    <t>▪ 0x2: SD card replacement required (Red State)
※ [Display Related Service] IND_003 Same Test Case</t>
  </si>
  <si>
    <t>▪ 0x3: SD card unrecognizable or No SD card found.
※ [Display-related service] IND_003 Same test case</t>
  </si>
  <si>
    <t>▪ 0x4: SD card total capacity spec less than 64GByte (Built-in Cam Supports 64GByte or higher)
※ [Display Related Service] IND_003 Identical Test Case</t>
  </si>
  <si>
    <t>▪ 0x5: SD card file system is not for Built-in Cam (Built-in CAM only supports exFAT filesystem) Unable to use because the SD card's file system is not supported – Can be used after formatting the SD card in the built-in cam.
▪ Do not auto-format (The feature allowing the built-in cam to automatically format the SD card has been removed)
※ [Display Related Service] IND_003 Same Test Case</t>
  </si>
  <si>
    <t>▪ 0x6: SD card not enough free space, need more free space for built-in Cam (less than 32GByte, must be 32GByte or higher) Insufficient capacity for the built-in cam's available SD card.
▪ Do not auto-format (The feature allowing the built-in cam to automatically format the SD card has been removed)
※ [Display Related Service] IND_003 Same Test Case</t>
  </si>
  <si>
    <t>▪ 0x7: SD card recognized but Health State is not available (Gray State)
※ [Display Related Service] IND_003 Same Test Case</t>
  </si>
  <si>
    <t>▪ 0x8: SD card Unmounted
※ [Display Related Service] IND_003 Same Test Case</t>
  </si>
  <si>
    <t>▪ 0x9~0xE:Reserved
▪ 0xF:Invalid(Red State)
※ [Display-related Service] IND_003 Identical Test Case</t>
  </si>
  <si>
    <t>Recording conditions based on SD card capacity</t>
  </si>
  <si>
    <t>MEM_021</t>
  </si>
  <si>
    <t>[Recording conditions based on SD card capacity]</t>
  </si>
  <si>
    <t>Available SD card capacity (64GB or more)</t>
  </si>
  <si>
    <t>▪ Install an SD card with an available capacity of 64GB or more
▪ Start driving recording</t>
  </si>
  <si>
    <t>▪ Perform recording if the available SD card capacity is 64GB or more</t>
  </si>
  <si>
    <t>SD card available capacity (less than 32GB)</t>
  </si>
  <si>
    <t>▪ Install an SD card with an available capacity of less than 32GB
▪ Start driving recording</t>
  </si>
  <si>
    <t>▪ Stop recording if the available SD card capacity is less than 32GB</t>
  </si>
  <si>
    <t>[July 2023 Business Operation] SD card not recognized</t>
  </si>
  <si>
    <t>MEM_022</t>
  </si>
  <si>
    <t>[July 2023 Regular Operation] SD card not recognized</t>
  </si>
  <si>
    <t>Verify that recording standby is maintained when inserting an SD card with insufficient available capacity.</t>
  </si>
  <si>
    <t>▪ Start Parking Recording
▪ Replace with an SD card with less than 32GB of available capacity
▪ Check if Parking Recording ends and the device enters Sleep mode</t>
  </si>
  <si>
    <t>▪ End of parking recording
▪ Enter Sleep normally</t>
  </si>
  <si>
    <t>Check SD/Wifi module fault codes when low voltage is applied</t>
  </si>
  <si>
    <t>▪ Continuous driving recording status
▪ Power applied in sequence: 12V → 5.4V → 12V
▪ Check DTCs</t>
  </si>
  <si>
    <t>▪ Faulty SD card jack socket and Wi-Fi module; no failures currently occurring</t>
  </si>
  <si>
    <t>[If DB information is missing] (When replacing the SD card)</t>
  </si>
  <si>
    <t>MEM_023</t>
  </si>
  <si>
    <t>File list information is provided, but metadata is not.</t>
  </si>
  <si>
    <t>▪ Replace the existing SD card containing driving/parking recording files with a different SD card
▪ Check driving/parking video list</t>
  </si>
  <si>
    <t>▪ OSD information not displayed in the top left corner of the video</t>
  </si>
  <si>
    <t>Continuous recording groups are grouped into 2-hour units.</t>
  </si>
  <si>
    <t>▪ Replace the existing SD card containing driving/parking recording files recorded continuously for 2 hours or more with a different SD card
▪ Play driving/parking videos</t>
  </si>
  <si>
    <t>▪ Video groups that were previously a single group have been grouped into 2-hour units.</t>
  </si>
  <si>
    <t>[SD Card Compatibility] (1) : File System</t>
  </si>
  <si>
    <t>MEM_024</t>
  </si>
  <si>
    <t>NTFS format</t>
  </si>
  <si>
    <t>▪ Recording not in progress, BLTN_CAM_PopUp_Req = 0x6(SD card issue)
▪</t>
  </si>
  <si>
    <t>exFAT format</t>
  </si>
  <si>
    <t>▪ Confirm that recorded video is saved on SD card</t>
  </si>
  <si>
    <t>[SD Card Compatibility] (2): Check by SD Card Capacity</t>
  </si>
  <si>
    <t>32GB</t>
  </si>
  <si>
    <t>▪ Insert 32GB SD card</t>
  </si>
  <si>
    <t>▪ SD card not recognized (Recognized if capacity is 64GB or larger)
- BLTN_CAM_PopUp_Req = 0x5 (Removed) -&gt; 0x6 (Problem with SD card)
- BLTN_CAM_Ind_Req = 0x4 (SD card error or replacement recommended)
- BLTN_CAM_SD_Card_State = 0x3 (Not inserted)
→ 0x4 (Requires use of SD card 64GB or larger)
- SD slot LED blinks at 2Hz</t>
  </si>
  <si>
    <t>64GB</t>
  </si>
  <si>
    <t>▪ Insert 64GB SD card</t>
  </si>
  <si>
    <t>▪ SD card recognized properly, recording files can be saved</t>
  </si>
  <si>
    <t>128GB</t>
  </si>
  <si>
    <t>▪ Insert 128GB SD card</t>
  </si>
  <si>
    <t>256GB</t>
  </si>
  <si>
    <t>▪ Insert 256GB SD card</t>
  </si>
  <si>
    <t>512GB</t>
  </si>
  <si>
    <t>▪ Insert 512GB SD card</t>
  </si>
  <si>
    <t>[July 2023 Official Operation] Confirmed normal operation of high-capacity (256, 512GB) non-genuine SD memory cards</t>
  </si>
  <si>
    <t>MEM_026</t>
  </si>
  <si>
    <t>Confirmed normal operation of 256GB non-genuine SD memory card</t>
  </si>
  <si>
    <t>▪ Insert 256GB SD card
▪ Perform long-term driving/parking recording
▪ Repeatedly enter/exit the built-in cam and check the footage</t>
  </si>
  <si>
    <t>▪ SD card recognized correctly, no issues with recorded files
▪ Built-in cam entry/exit function without issues</t>
  </si>
  <si>
    <t>Confirmed normal operation of 512GB non-genuine SD memory card</t>
  </si>
  <si>
    <t>[July 25 Update]
Check notification when using SD card in Write-Unavailable state
※BICIM2-403 , #22127</t>
  </si>
  <si>
    <t>[July 25 Regular Operation]
Check notification when using SD card in Write Disabled state</t>
  </si>
  <si>
    <t>Error notification when using a Write-Unable, Read-Only SD card
※ Verification using a defective SD card is required</t>
  </si>
  <si>
    <t>▪ Insert defective SD card (genuine 64GB)
▪ Wait for a certain period of time (within approximately 2 minutes)</t>
  </si>
  <si>
    <t>▪ 0x4: SD card total capacity spec less than 64GByte (Built-in Cam Supports 64GByte or higher)
▪ No issues with built-in cam entry/exit</t>
  </si>
  <si>
    <t>[Check by SD card manufacturer]</t>
  </si>
  <si>
    <t>Micron company</t>
  </si>
  <si>
    <t>▪ Insert the manufacturer's SD card
▪ Check the BLTN_CAM_SD_Card_State signal value and verify whether driving recording can be saved</t>
  </si>
  <si>
    <t>▪ 0x0: Good, SD card is OK. (Green State)
▪ Driving recording files can be saved</t>
  </si>
  <si>
    <t>▪ Check BLTN_CAM_SD_Card_Manufacturer signal value,</t>
  </si>
  <si>
    <t>▪ 0x1(Micron-Genuine part)</t>
  </si>
  <si>
    <t>PHISON company</t>
  </si>
  <si>
    <t>▪ 0x7: SD card recognized but Health State is not available (Gray State)
▪ 0x0: SD card is OK. (Green State) ※ Applied sequentially to development models
▪ Driving recording files can be saved</t>
  </si>
  <si>
    <t>▪ 0x2(PHISON-Genuine part)</t>
  </si>
  <si>
    <t>Transcedn company</t>
  </si>
  <si>
    <t>▪ 0x7: SD card recognized but Health State is not available (Gray State)
▪ Driving recording file saving possible</t>
  </si>
  <si>
    <t>ADATA company</t>
  </si>
  <si>
    <t>SanDisk Corporation</t>
  </si>
  <si>
    <t>SP company</t>
  </si>
  <si>
    <t>Western Digital</t>
  </si>
  <si>
    <t>Lexar</t>
  </si>
  <si>
    <t>SAMSUNG Company</t>
  </si>
  <si>
    <t>[Check Video Storage Specifications] (1)
: Continuous video during driving/parking</t>
  </si>
  <si>
    <t>MEM_028</t>
  </si>
  <si>
    <t>[Check Continuous Video Recording Specifications While Driving/Parking]</t>
  </si>
  <si>
    <t>Check specifications for continuous video recording while driving</t>
  </si>
  <si>
    <t>▪ Front/Rear Resolution - Width: 2560, Height: 1440
▪ Save/Playback Frame Rate: 30±1 FPS
▪ Recording Enabled (When Recording Setting is On)
▪ QHD Resolution (1440p), Rear Video Left/Right Inversion X</t>
  </si>
  <si>
    <t>Check specifications for continuous video recording while parked</t>
  </si>
  <si>
    <t>▪ Front/Rear Resolution - Width: 2560, Height: 1440
▪ Save/Playback Frame Rate: 2 FPS
▪ Recording Disabled (When Recording is On)
▪ QHD Resolution (1440p), Rear Video Left/Right Inversion Not Enabled</t>
  </si>
  <si>
    <t>[Check Video Storage Specifications] (2)
: Video of Impact Events While Driving/Parking</t>
  </si>
  <si>
    <t>MEM_029</t>
  </si>
  <si>
    <t>[Check specifications for saving impact event videos while driving/parking]</t>
  </si>
  <si>
    <t>Check driving impact event video saving specifications</t>
  </si>
  <si>
    <t>Check parking impact event video saving specifications</t>
  </si>
  <si>
    <t>▪ Front/Rear Resolution - Width: 2560, Height: 1440
▪ Save/Playback Frame Rate: 10 FPS
▪ Recording Enabled (When Recording Setting is On)
▪ QHD Resolution (1440p), Rear Video Left/Right Inversion X</t>
  </si>
  <si>
    <t>[Check Video Storage Specifications] (3)
: Switch Event Video During Driving/Parking</t>
  </si>
  <si>
    <t>MEM_030</t>
  </si>
  <si>
    <t>[Check specifications for saving switch event videos while driving/parking]</t>
  </si>
  <si>
    <t>Check driving switch event video saving specifications</t>
  </si>
  <si>
    <t>Check specifications for saving Switch event videos while parked</t>
  </si>
  <si>
    <t>[Check Video Storage Specifications] (4)
: HU Event Video</t>
  </si>
  <si>
    <t>MEM_031</t>
  </si>
  <si>
    <t>[Check HU Event Video Storage Specifications]</t>
  </si>
  <si>
    <t>Check driving HU event video saving specifications</t>
  </si>
  <si>
    <t>▪ Key On
▪ Continuous recording while driving
▪ HU transmits [HU_BLTN_CAM_E_01] MEV_Rec_Req = 0x1(On)
▪ Check video after removing SD card</t>
  </si>
  <si>
    <t>Check HU event video saving specifications while parked</t>
  </si>
  <si>
    <t>▪ Key Off
▪ Continuous recording while parked (1 minute)
▪ HU transmits [HU_BLTN_CAM_E_01] MEV_Rec_Req = 0x1(On)
▪ Check video after removing SD card</t>
  </si>
  <si>
    <t>[Check Video Storage Specifications] (5)
: Burgler Input Event Video</t>
  </si>
  <si>
    <t>MEM_032</t>
  </si>
  <si>
    <t>[Check Burgler Event Video Storage Specifications]</t>
  </si>
  <si>
    <t>Check specifications for saving video of burgler input events while parked</t>
  </si>
  <si>
    <t>▪ Key Off
▪ Continuous recording while parked (1 minute)
▪ Burglar alarm signal 0x0 → 0x9 (Rising Edge) enabled
▪ Check video after removing SD card</t>
  </si>
  <si>
    <t>[Check Video Storage Specifications] (6)
: Burgler Input Performance Recording Video</t>
  </si>
  <si>
    <t>[Check performance recording video when entering Burgler]</t>
  </si>
  <si>
    <t>Check video saving specifications when inputting Burgler during performance recording</t>
  </si>
  <si>
    <t>▪ Turn Key ON
▪ Start Performance Recording (1 min)
▪ Turn Burgler Alarm Signal 0x0 → 0x9 (Alarm)
▪ Remove SD Card and Check Video</t>
  </si>
  <si>
    <t>▪ Performance recording will not stop
▪ Front/Rear Resolution - Width: 1920, Height: 1080
▪ Save/Playback Frame Rate: 30 FPS
▪ Recording On (When Recording Setting is On)
▪ Front Video Horizontal Flip X</t>
  </si>
  <si>
    <t>2.5th generation specifications</t>
  </si>
  <si>
    <t>MEM_033</t>
  </si>
  <si>
    <t>[Check specifications for continuous video recording while driving/parking](2.5th generation)</t>
  </si>
  <si>
    <t>▪ Front/Rear Resolution - Width: 2980, Height: 1440
▪ Save/Playback Frame Rate: 30±1 FPS
▪ Recording Enabled (When Recording Setting is On)
▪ Rear Video Horizontal Flip Not Enabled</t>
  </si>
  <si>
    <t>▪ Front/Rear Resolution - Width: 2980, Height: 1440
▪ Save/Playback Frame Rate: 2 FPS
▪ Recording X (When Recording is On)
▪ Rear Video Left/Right Flip X</t>
  </si>
  <si>
    <t>MEM_034</t>
  </si>
  <si>
    <t>[Check specifications for saving impact event video while driving/parking](2.5th generation)</t>
  </si>
  <si>
    <t>▪ Front/Rear Resolution - Width: 2980, Height: 1440
▪ Save/Playback Frame Rate: 10 FPS
▪ Recording Enabled (When Recording Setting is On)
▪ Rear Video Horizontal Flip Not Enabled</t>
  </si>
  <si>
    <t>MEM_035</t>
  </si>
  <si>
    <t>[Check specifications for saving switch event videos while driving/parking](2.5th generation)</t>
  </si>
  <si>
    <t>MEM_036</t>
  </si>
  <si>
    <t>[Check HU Event Video Storage Specifications](2.5th Generation)</t>
  </si>
  <si>
    <t>MEM_037</t>
  </si>
  <si>
    <t>[Check Burgler Event Video Saving Specifications](2.5th Generation)</t>
  </si>
  <si>
    <t>[Check Performance Video Specifications](2.5th Generation)</t>
  </si>
  <si>
    <t>Check performance recording video storage specifications</t>
  </si>
  <si>
    <t>▪ Turn Key ON
▪ Start Performance Recording (1 minute)
▪ Remove SD Card and Check Video</t>
  </si>
  <si>
    <t>▪ Front Resolution - Width: 1920, Height: 1080
▪ Save/Playback Frame Rate: 30 FPS
▪ Recording On (When Recording Setting is On)
▪ Front Video Horizontal Flip X</t>
  </si>
  <si>
    <t>3rd generation specifications</t>
  </si>
  <si>
    <t>[Check specifications for continuous video recording while driving/parking] (3rd Generation)</t>
  </si>
  <si>
    <t>▪ Front/Rear Resolution - Width: 3840, Height: 2160
▪ Side Resolution - Width: 1280, Height: 1440
▪ Save/Playback Frame Rate: 30±1 FPS
▪ Recording Enabled (When Recording Setting is On)
▪ Rear Video Left/Right Inversion Not Enabled</t>
  </si>
  <si>
    <t>▪ Front/Rear Resolution - Width: 3840, Height: 2160
▪ Side Resolution - Width: 1280, Height: 1440
▪ Save/Playback Frame Rate: 2 FPS
▪ Recording X (When Recording is On)
▪ Rear Video Left/Right Inversion X</t>
  </si>
  <si>
    <t>[Check specifications for saving impact event videos while driving/parking]
(3rd Generation)</t>
  </si>
  <si>
    <t>▪ Front/Rear Resolution - Width: 3840, Height: 2160
▪ Side Resolution - Width: 1280, Height: 1440
▪ Save/Playback Frame Rate: 10 FPS
▪ Recording Enabled (When Recording Setting is On)
▪ Rear Video Left/Right Inversion Not Enabled</t>
  </si>
  <si>
    <t>[Check specifications for saving switch event videos while driving/parking]
(3rd Generation)</t>
  </si>
  <si>
    <t>[Low-power recording and motion recording while parked
Check storage specifications]
(3rd Generation)</t>
  </si>
  <si>
    <t>Check low-power recording video storage specifications while parked</t>
  </si>
  <si>
    <t>▪ Turn Key On
▪ Low-power recording in progress while parked (1 minute)
▪ Check video after removing SD card</t>
  </si>
  <si>
    <t>Check parking motion recording video storage specifications</t>
  </si>
  <si>
    <t>▪ Turn Key On
▪ Motion recording in progress while parked (1 minute)
▪ Check video after removing SD card</t>
  </si>
  <si>
    <t>▪ Front/Rear Resolution - Width: 3840, Height: 2160
▪ Side Resolution - Width: 1280, Height: 1440
▪ Save/Playback Frame Rate: 5 FPS
▪ Recording Enabled (When Recording Setting is On)
▪ Rear Video Left/Right Inversion Not Enabled</t>
  </si>
  <si>
    <t>[Check HU Event Video Storage Specifications](3rd Generation)</t>
  </si>
  <si>
    <t>[Check Burgler Event Video Save Specifications](3rd Generation)</t>
  </si>
  <si>
    <t>Remove and reinsert the SD card immediately after formatting the uSD card.</t>
  </si>
  <si>
    <t>[SD Card User Conditions] (1)</t>
  </si>
  <si>
    <t>Reinsert the SD card immediately after initializing it in the built-in cam settings.</t>
  </si>
  <si>
    <t>▪ [Built-in Cam Settings] - [SD Memory] - [Initialize SD Memory]
▪ Remove SD immediately after initialization - Reinsert</t>
  </si>
  <si>
    <t>▪ SD card recognized correctly</t>
  </si>
  <si>
    <t>When replacing the built-in cam controller</t>
  </si>
  <si>
    <t>If the version is the same when replacing with a new controller</t>
  </si>
  <si>
    <t>▪ Replace with a controller equipped with the same version of SW
▪ Play back recorded files on the SD card and proceed with driving recording</t>
  </si>
  <si>
    <t>▪ Recording function operating normally
▪ Built-in cam launches normally and SD card is recognized normally
▪ No DB information available</t>
  </si>
  <si>
    <t>If the version is different when replacing the controller (to the latest version)</t>
  </si>
  <si>
    <t>▪ Replace with a controller equipped with the latest version of the software.
▪ Play back recorded files on the SD card and proceed with driving recording.</t>
  </si>
  <si>
    <t>If the version is different when replacing with a new controller (to the previous version)</t>
  </si>
  <si>
    <t>▪ Replace with a controller equipped with an older version of the software.
▪ Play back recorded files on the SD card and proceed with driving recording.</t>
  </si>
  <si>
    <t>When changing vehicle models</t>
  </si>
  <si>
    <t>Insert the SD card used in vehicle model A into vehicle model B.</t>
  </si>
  <si>
    <t>▪ Insert the SD card used in vehicle model A into vehicle model B</t>
  </si>
  <si>
    <t>▪ Video list for Vehicle Model A plays normally on Vehicle Model B
▪ Recording is saved normally to the SD card even when recorded on Vehicle Model B
▪ No DB information</t>
  </si>
  <si>
    <t>When replacing with another SD card (1)</t>
  </si>
  <si>
    <t>When replacing with a new SD card, if the capacity and file system are the same</t>
  </si>
  <si>
    <t>▪ Replace with an SD card of the same capacity and file system
▪ Proceed with driving recording and enter Built-in Cam</t>
  </si>
  <si>
    <t>▪ Recording function operating normally
▪ Built-in cam launches normally and SD card is recognized normally</t>
  </si>
  <si>
    <t>If the capacity is different when replacing with a new SD card (to the larger capacity)</t>
  </si>
  <si>
    <t>▪ Replaced with a larger capacity SD card (64GB -&gt; 128GB)
▪ Started driving recording and entered Built-in Cam</t>
  </si>
  <si>
    <t>▪ Recording function operating normally
▪ Built-in cam launches normally and SD card is recognized normally
- LVDS video output switching time within 2 seconds
(Approximately +1 second can be expected as CCNC generates the GUI)
▪ No DB information available</t>
  </si>
  <si>
    <t>If the capacity is different when replacing with a new SD card (to the smaller capacity)</t>
  </si>
  <si>
    <t>▪ Replace with smaller capacity SD card (128GB -&gt; 64GB)
▪ Start driving recording and enter Built-in Cam</t>
  </si>
  <si>
    <t>If the capacity is small (less than 64GB) when replacing with a new SD card</t>
  </si>
  <si>
    <t>▪ Replace with an SD card under 64GB (10GB, 32GB)
▪ Proceed with driving recording and enter Built-in Cam</t>
  </si>
  <si>
    <t>▪ SD card not recognized
- BLTN_CAM_PopUp_Req = 0x4
- SD slot LED blinking at 2Hz</t>
  </si>
  <si>
    <t>If the file system is not supported when replacing with a new SD card</t>
  </si>
  <si>
    <t>▪ Replace with an SD card using an unsupported file system (NTFS)
▪ Proceed with driving recording and enter Built-in Cam</t>
  </si>
  <si>
    <t>▪ SD card error notification occurred (HU)
- BLTN_CAM_SD_Card_State = 0x5</t>
  </si>
  <si>
    <t>In the case of a factory-reset genuine 128GB SD card
(Vehicle model reflecting the new 128GB ratio: BICIM2-2192)</t>
  </si>
  <si>
    <t>▪ Replace with a reset original 128GB SD card
▪ Remove SD card</t>
  </si>
  <si>
    <t>▪Verify creation of dummy.flag file in SD card top-level folder
▪Verify application of "NEW 128GB mode (DRV: 48.46%, PRK: 38.37%)" in DLT log</t>
  </si>
  <si>
    <t>If a new SD card is not genuine
(Definition of Non-genuine: SD card manufacturers and model numbers not sold by Built-in Cam)</t>
  </si>
  <si>
    <t>▪ Replace with a non-genuine SD card
▪ Must be 64GB and have a satisfactory file system
▪ Proceed with driving recording and enter Built-in Cam</t>
  </si>
  <si>
    <t>▪ Parking Continuous Recording ON
▪ Replace with a non-genuine SD card during driving recording
▪ Must meet 64GB requirements and file system requirements
▪ Parking Continuous Recording proceeds after KEY OFF</t>
  </si>
  <si>
    <t>▪ Confirmed normal operation of continuous parking recording
▪ Normal entry of built-in cam and normal recognition of SD card
▪ Confirmed normal creation of recorded video</t>
  </si>
  <si>
    <t>▪ Parking Motion Recording ON
▪ Replace with a non-genuine SD card during driving recording
▪ Must meet 64GB requirements and file system requirements
▪ Continuous parking recording begins after turning KEY OFF</t>
  </si>
  <si>
    <t>▪ Replace with a non-genuine SD card while in continuous parking recording mode
▪ Must satisfy 64GB capacity and file system requirements
▪ Verify resumption of continuous parking recording
▪ Verify entry into Built-in Cam after turning KEY ON</t>
  </si>
  <si>
    <t>▪ Recording function operating normally
▪ Confirmed normal operation of continuous parking recording
▪ Built-in cam access and SD card recognized normally
▪ Confirmed normal creation of recorded video</t>
  </si>
  <si>
    <t>▪ Replace with a non-genuine SD card during parking motion recording
▪ Must satisfy 64GB capacity and file system requirements
▪ Verify resumption of parking motion recording
▪ Verify entry into Built-in Cam after turning KEY ON</t>
  </si>
  <si>
    <t>▪ Recording function operating normally
▪ Confirmed normal operation of parking motion recording
▪ Built-in cam access and SD card recognized normally
▪ Confirmed normal creation of recorded video</t>
  </si>
  <si>
    <t>▪ Key On
▪ Replaced with a reset non-genuine 128GB SD card (Vehicle model reflecting the new 128GB ratio: BICIM2-2192)
▪ SD card removed</t>
  </si>
  <si>
    <t>If the SD card is not recognized after replacement (if there are bad sectors)</t>
  </si>
  <si>
    <t>▪ Replace with the SD card that is not recognized (if there are bad sectors)
▪ Proceed with driving recording and enter Built-in Cam</t>
  </si>
  <si>
    <t>▪ Displays a relevant popup if there is an SD card issue (Built-in Cam Popup)
▪ Built-in Cam Settings - SD Card - Status Information Output is Normal
▪ Check the signals below (Do not output conflicting values)
- BLTN_CAM_SD_Card_State
- BLTN_CAM_Ind_Req</t>
  </si>
  <si>
    <t>If the video files are identical when replacing with a new SD card</t>
  </si>
  <si>
    <t>▪ Add the same video to two SD cards
▪ Repeat swapping SD cards</t>
  </si>
  <si>
    <t>If you replace it with an SD card containing update files</t>
  </si>
  <si>
    <t>▪ Enter Built-in Cam Mode
▪ Replace with the SD card containing the update file
▪ Repeat swapping with the previous SD card</t>
  </si>
  <si>
    <t>▪ If an update is available, the update proceeds normally.
▪ If an update is not available, the built-in cam operates normally and does not reboot.</t>
  </si>
  <si>
    <t>When inserting the SD card after manipulation</t>
  </si>
  <si>
    <t>Check for impact on other files on the SD card when accessing the built-in cam.</t>
  </si>
  <si>
    <t>▪ Save any file with a specific extension (jpg, txt, pptx) or any file with a name longer than 200 characters to the SD card, then insert it into the built-in cam.
▪ Enter the built-in cam.</t>
  </si>
  <si>
    <t>▪ Verify successful entry into Built-in Cam and proper recognition of SD card
▪ Ensure files by extension are retained without being deleted
▪ Verify successful creation of recorded video</t>
  </si>
  <si>
    <t>If the SD card is running out of space because unrelated files exist</t>
  </si>
  <si>
    <t>▪ Save any file with a specific extension (jpg, txt, pptx) to the SD card (32GB or larger) and insert it into the built-in cam.
▪ Enter the built-in cam.</t>
  </si>
  <si>
    <t>▪ Built-in Cam launches normally
▪ Retains files by extension without deleting them
▪ Recording function unavailable
- BLTN_CAM_SD_Card_State = 0x6 (Insufficient memory)
▪ Existing video playback works normally</t>
  </si>
  <si>
    <t>If you change an arbitrary file to .mp4 and mount it on the SD card</t>
  </si>
  <si>
    <t>▪ Change the file extension to .mp4, save it to the SD card, and insert it into the built-in cam.
▪ Enter the built-in cam</t>
  </si>
  <si>
    <t>▪ Built-in cam launches successfully and SD card is recognized properly
▪ Confirm deletion of any random MP4 file
▪ Existing files will play and will not be deleted</t>
  </si>
  <si>
    <t>When adding past videos to the SD card</t>
  </si>
  <si>
    <t>▪ Save past driving footage to the SD card and insert it into the built-in cam</t>
  </si>
  <si>
    <t>▪ Built-in cam access and SD card recognition
▪ View past driving video list (List not sorted by date, new DB created)</t>
  </si>
  <si>
    <t>과거차문제
PASTI-367
썸네일 재생성 오류</t>
  </si>
  <si>
    <t>When converting an OWD file to an OWP</t>
  </si>
  <si>
    <t>▪ Rename the OWD file to OWP and insert it into the built-in cam</t>
  </si>
  <si>
    <t>▪ Built-in cam enters successfully and SD card is recognized correctly
▪ No footage in the driving constant recording list
▪ No footage in the parking constant recording list</t>
  </si>
  <si>
    <t>When inserting the SD card after deleting .mp4 video files
(If thumbnails remain)</t>
  </si>
  <si>
    <t>▪ Delete only .mp4 video files from the SD card on the PC
▪ Mount on the built-in cam with thumbnails remaining</t>
  </si>
  <si>
    <t>▪ If there are no video files and only thumbnails exist,
Check if thumbnail files are deleted when an SD card is inserted into the built-in cam</t>
  </si>
  <si>
    <t>If you change the OWD file to N</t>
  </si>
  <si>
    <t>▪ Rename the OWD file to N and insert it into the built-in cam</t>
  </si>
  <si>
    <t>▪ No recorded videos with renamed files in the recorded video list</t>
  </si>
  <si>
    <t>Restore filenames to original state</t>
  </si>
  <si>
    <t>▪ Restore the changed file name and insert into the built-in cam</t>
  </si>
  <si>
    <t>▪ Recorded video file save list restored to original state</t>
  </si>
  <si>
    <t>When inserted after deleting thumbnail files from the SD card
(.mp4 video files remain)</t>
  </si>
  <si>
    <t>▪ Delete only thumbnail files from the SD card on the PC
▪ Mount into the built-in cam while leaving the .mp4 videos intact</t>
  </si>
  <si>
    <t>▪ Verify that thumbnail files are regenerated and the saved thumbnail file list is restored to its original state when an SD card is inserted into the built-in cam.
▪ Verify normal entry/exit of the built-in cam and normal output of recorded video.</t>
  </si>
  <si>
    <t>When removing the SD card while it is in use</t>
  </si>
  <si>
    <t>[SD Card User Conditions] (2)</t>
  </si>
  <si>
    <t>When removing the SD card from the built-in cam main screen and settings screen</t>
  </si>
  <si>
    <t>▪ Access Built-in Cam
▪ Remove SD Card</t>
  </si>
  <si>
    <t>▪ Built-in Cam Operating Normally
- BLTN_CAM_PopUp_Req = 0x5 (Removed)
- BLTN_CAM_Ind_Req 0x4 (Not Inserted)
- BLTN_CAM_SD_Card_State 0x3 (Not Inserted)
- SD Slot LED Blinking at 2Hz</t>
  </si>
  <si>
    <t>If you remove the SD card while video is playing on the built-in cam screen</t>
  </si>
  <si>
    <t>▪ Continuous video playback while driving
▪ SD card removal during video playback</t>
  </si>
  <si>
    <t>▪ Playback Screen -&gt; Output [No saved video files.]
- BLTN_CAM_PopUp_Req = 0x5 (Removed)
- BLTN_CAM_Ind_Req 0x4 (Not inserted)
- BLTN_CAM_SD_Card_State 0x3 (Not inserted)
- SD Slot LED blinks at 2Hz</t>
  </si>
  <si>
    <t>When removing the SD card during continuous driving &amp; impact, manual event &amp; time-lapse recording</t>
  </si>
  <si>
    <t>▪ Start continuous recording while driving
▪ Start time-lapse with event switch (long press)
▪ Mandate driving event (manual) immediately after triggering impact event
▪ Remove SD card while recording is in progress</t>
  </si>
  <si>
    <t>▪ Recording stopped
- BLTN_CAM_PopUp_Req = 0x5 (Removed)
- BLTN_CAM_Ind_Req 0x4 (Not inserted)
- BLTN_CAM_SD_Card_State 0x3 (Not inserted)
- SD slot LED blinking at 2Hz</t>
  </si>
  <si>
    <t>└If you reinsert the SD card next</t>
  </si>
  <si>
    <t>▪ Reinsert SD card</t>
  </si>
  <si>
    <t>When removing and reinserting the SD card while recording continuously while driving</t>
  </si>
  <si>
    <t>▪ Start continuous recording while driving
▪ Remove and reinsert SD card</t>
  </si>
  <si>
    <t>▪ Recording stopped
- BLTN_CAM_PopUp_Req = 0x5 (Removed)
- BLTN_CAM_Ind_Req 0x4 (Not inserted)
- BLTN_CAM_SD_Card_State 0x3 (Not inserted)
- SD slot LED blinking 2Hz
▪ Continuous driving recording resumes after reinserting the SD card</t>
  </si>
  <si>
    <t>▪ Start continuous recording while driving
▪ Remove and reinsert SD card (repeat 10 times)</t>
  </si>
  <si>
    <t>When removing the SD card during continuous parking, impact, or manual event recording</t>
  </si>
  <si>
    <t>▪ Start continuous recording while parked
▪ Manual event authorization immediately after impact event authorization
▪ Remove SD card while recording is in progress</t>
  </si>
  <si>
    <t>If you remove the SD card while recording parking motion &amp; impact</t>
  </si>
  <si>
    <t>▪ Turn on Parking Motion and Parking Impact Settings
▪ Start Motion Recording While Parked
▪ Enable Impact Event Immediately After Motion Recording Starts
▪ Remove SD Card During Recording</t>
  </si>
  <si>
    <t>▪ Recording stopped
- BLTN_CAM_PopUp_Req = 0x5 (Removed) → 0x8 (Parking recording unavailable) continuously occurring
- BLTN_CAM_Ind_Req 0x4 (Not inserted)
- BLTN_CAM_SD_Card_State 0x3 (Not inserted)
- SD slot LED blinking at 2Hz</t>
  </si>
  <si>
    <t>If you remove the SD card while recording a parking impact</t>
  </si>
  <si>
    <t>▪ Set Parking Impact Recording Only to ON
▪ KEY OFF, Start Parking Mode Entry
▪ Authorize Impact Event
▪ Remove SD Card While Recording Is In Progress</t>
  </si>
  <si>
    <t>If you remove the SD card while recording parking motion</t>
  </si>
  <si>
    <t>▪ Start parking motion recording
▪ Remove SD card while recording is in progress</t>
  </si>
  <si>
    <t>If the SD card is removed and reinserted while parking impact recording is in progress (1 time)</t>
  </si>
  <si>
    <t>▪ Enter Parking Mode → Motion Recording in Progress
▪ Remove and Reinsert SD Card</t>
  </si>
  <si>
    <t>▪ Proceed with parking motion recording
▪ Remove and reinsert SD card (repeat 10 times)</t>
  </si>
  <si>
    <t>▪ Menu button → Copy to Library
▪ Remove SD card while copying is in progress</t>
  </si>
  <si>
    <t>▪ Built-in cam operating normally</t>
  </si>
  <si>
    <t>If the SD card is removed and reinserted while continuous parking recording is in progress (1 time)</t>
  </si>
  <si>
    <t>▪ Continuous recording while parked
▪ Remove and reinsert SD card</t>
  </si>
  <si>
    <t>▪ Continuous recording while parked
▪ Remove and reinsert SD card (repeat 10 times)</t>
  </si>
  <si>
    <t>If the SD card is removed and reinserted during parking motion recording (1 time)</t>
  </si>
  <si>
    <t>If the SD card is removed and reinserted at the time of generating the parking impact recording thumbnail
(Parking Always + Parking Event)</t>
  </si>
  <si>
    <t>▪ Parking Continuous Recording, Parking Impact Recording ON
▪ KEY OFF
▪ Parking Continuous Recording In Progress
▪ Parking Impact Activated
▪ Remove SD Card After 5 Seconds
(Thumbnail Generation Time: 5 Seconds)
▪ Reinsert SD Card
▪ Enter Built-in Cam After Turning KEY ON</t>
  </si>
  <si>
    <t>▪ Built-in cam launches successfully and SD card is recognized correctly
▪ Confirmed normal output of parking continuous video list and playback
▪ Confirmed normal output of parking event video list and playback</t>
  </si>
  <si>
    <t>If the SD card is removed and reinserted at the time of generating the parking impact recording thumbnail
(Parking Motion + Parking Event)</t>
  </si>
  <si>
    <t>▪ Parking Motion, Parking Impact Settings ON
▪ KEY OFF
▪ Enable Parking Impact
▪ Remove SD Card after 5 seconds
(Thumbnail generation time: 5 seconds)
▪ Reinsert SD Card
▪ Enter Built-in Cam after turning KEY ON</t>
  </si>
  <si>
    <t>If you remove the SD card during time-lapse recording
- Time-lapse recording settings: 1-second intervals for 20 minutes</t>
  </si>
  <si>
    <t>▪ Start time-lapse recording
▪ Wait 5 seconds
▪ Remove SD card</t>
  </si>
  <si>
    <t>▪ Start time-lapse recording
▪ Wait 15 seconds
▪ Remove SD card</t>
  </si>
  <si>
    <t>▪ Reinsert SD card
▪ Re-enter Built-in Cam mode</t>
  </si>
  <si>
    <t>▪ Recording function operates normally upon reinserting the SD card
▪ Built-in cam access works normally and the SD card is recognized correctly
▪ No video list when accessing the built-in cam</t>
  </si>
  <si>
    <t>▪ Start time-lapse recording
▪ Wait 5 minutes
▪ Remove SD card</t>
  </si>
  <si>
    <t>When SD card is not inserted</t>
  </si>
  <si>
    <t>[SD Card User Conditions] (3)</t>
  </si>
  <si>
    <t>Entering Built-in Cam with SD card not inserted</t>
  </si>
  <si>
    <t>▪ Enter Built-in Cam with SD card not inserted</t>
  </si>
  <si>
    <t>When driving mode is ON, event mode is OFF, and SD card is not inserted</t>
  </si>
  <si>
    <t>▪ Remove SD card
▪ Always Driving Setting ON, Event Setting OFF</t>
  </si>
  <si>
    <t>▪ BLTN_CAM_RecSet_OWD = 0x2(ON)
▪ BLTN_CAM_RecSet_DEV = 0x1(OFF)
▪ Recording is not supported when SD card is not inserted</t>
  </si>
  <si>
    <t>When Parking Always On, Event Settings Off, SD Card Not Inserted</t>
  </si>
  <si>
    <t>▪ Remove SD card
▪ Always-on Parking Settings ON, Event Settings OFF
▪ Turn off KEY</t>
  </si>
  <si>
    <t>▪ BLTN_CAM_RecSet_OWP = 0x2(ON)
▪ BLTN_CAM_RecSet_PEV = 0x1(OFF)
▪ Recording is not supported when SD card is not inserted
▪ Check in Parking Continuous Recording Standby</t>
  </si>
  <si>
    <t>▪ Confirm continuous parking recording in progress</t>
  </si>
  <si>
    <t>Parking motion recording setting ON, parking impact recording setting OFF, when SD card is not inserted</t>
  </si>
  <si>
    <t>▪ Remove SD card
▪ Parking Motion Setting ON, Parking Impact Setting OFF
▪ KEY OFF</t>
  </si>
  <si>
    <t>▪ BLTN_CAM_Set_PMD = 0x2(ON)
▪ BLTN_CAM_RecSet_DEV = 0x1(OFF)
▪ Operates regardless of whether an SD card is inserted (specs compromise)</t>
  </si>
  <si>
    <t>▪ Insert SD card
▪ Enable parking motion</t>
  </si>
  <si>
    <t>▪ Check parking motion recording progress</t>
  </si>
  <si>
    <t>Parking motion recording setting ON, parking impact recording setting ON, when SD card is not inserted</t>
  </si>
  <si>
    <t>▪ Remove SD card
▪ Parking Motion Setting ON, Parking Impact Setting ON
▪ KEY OFF</t>
  </si>
  <si>
    <t>▪ BLTN_CAM_Set_PMD = 0x2(ON)
▪ BLTN_CAM_RecSet_PEV = 0x2(ON)
▪ Operates regardless of whether an SD card is inserted (specs compromise)</t>
  </si>
  <si>
    <t>▪ Insert SD card
▪ Enable parking motion, impact event</t>
  </si>
  <si>
    <t>▪ Check Parking Motion Recording Progress
▪ Check Parking Impact Recording Progress</t>
  </si>
  <si>
    <t>Parking Impact Recording ON, when SD card is not inserted</t>
  </si>
  <si>
    <t>▪ Remove SD card
▪ Turn on Parking Impact Setting
▪ Turn off KEY</t>
  </si>
  <si>
    <t>▪ BLTN_CAM_RecSet_PEV = 0x2(ON)
▪ Recording is not supported when SD card is not inserted
▪ Check in Parking Motion Recording Standby</t>
  </si>
  <si>
    <t>Checking the impact of Sleep &amp; Wake Up</t>
  </si>
  <si>
    <t>When removing or reinserting the SD card while the built-in cam is powered off</t>
  </si>
  <si>
    <t>▪ All recording settings OFF
▪ KEY OFF
▪ Measure B+ quiescent current after removing SD card
▪ Measure B+ quiescent current after reinserting SD card</t>
  </si>
  <si>
    <t>▪ BLTN_CAM OFF 0.5mA or less</t>
  </si>
  <si>
    <t>When removing/reinserting the SD card while the built-in cam is in Ready Sleep mode (recording OFF)</t>
  </si>
  <si>
    <t>▪ All recording settings OFF
▪ Normal Operation state
▪ Maintain PN message injection via Packet Sender
- Address: 10.0.0.32
- Port: 13800
- Period: 500ms
- Data: C8 40 00 00 01 00 00 00 00 00 10 00 00 00 00 00 00 00 00 00 00 00 00 00 00 00 00 00 00 00 00 00 00 00
▪ KEY OFF
▪ SD card removed
▪ SD card reinserted</t>
  </si>
  <si>
    <t>▪ EthNM Msg not printed
▪ Application Msg (SOME/IP Msg) printed
: Dst IP: 244.244.24.245
※ Check Ready Sleep status in logs
: journalctl -f -o cat -u vrs | grep dmw
▪</t>
  </si>
  <si>
    <t>When removing/reinserting the SD card while the built-in cam is in Prepare Sleep mode (recording OFF)</t>
  </si>
  <si>
    <t>▪ Ready Sleep State
▪ KEY OFF
▪ Stop PN Message Injection
▪ Remove SD Card
▪ Reinsert SD Card</t>
  </si>
  <si>
    <t>▪ EthNM Msg not printed
▪ Application Msg (SOME/IP Msg) not printed
: Dst IP: 244.244.24.245
※ Check Prepare Bus Sleep status in log
: journalctl -f -o cat -u vrs | grep dmw
▪</t>
  </si>
  <si>
    <t>SD card removal</t>
  </si>
  <si>
    <t>SD card removal while entering Built-in Cam</t>
  </si>
  <si>
    <t>▪ Remove and insert the SD card immediately after attempting to access the built-in cam.</t>
  </si>
  <si>
    <t>▪ Built-in cam launches successfully and SD card is recognized correctly
▪ Video list is displayed correctly</t>
  </si>
  <si>
    <t>Remove immediately after turning the key off</t>
  </si>
  <si>
    <t>▪ Always ON while parked
▪ Remove SD card immediately after KEY OFF</t>
  </si>
  <si>
    <t>▪ Continuous recording not performed while parked</t>
  </si>
  <si>
    <t>Insert immediately after turning the key off</t>
  </si>
  <si>
    <t>▪ Always ON while parked
▪ Insert SD card immediately after KEY OFF</t>
  </si>
  <si>
    <t>▪ Continuous recording begins while parked after SD card is recognized
▪ Video list is displayed normally</t>
  </si>
  <si>
    <t>After turning on the key, immediately remove the SD card and attempt to enter.</t>
  </si>
  <si>
    <t>▪ Insert SD card during parking recording
▪ Remove SD card immediately after turning KEY ON
▪ Then immediately enter built-in cam mode</t>
  </si>
  <si>
    <t>▪ Built-in cam successfully entered
▪ No video list output</t>
  </si>
  <si>
    <t>Insert the SD card immediately after turning the key on and attempt to enter.</t>
  </si>
  <si>
    <t>▪ Remove SD card during parking recording
▪ Insert SD card immediately after turning KEY ON
▪ Then immediately enter built-in cam mode</t>
  </si>
  <si>
    <t>▪ Built-in cam enters normally
▪ Video list outputs normally</t>
  </si>
  <si>
    <t>Quickly remove and insert the SD card while recording continuously while driving</t>
  </si>
  <si>
    <t>▪ Enter AVN mode
▪ Confirm start of continuous driving recording (check CAN signal, event switch LED)
▪ Quickly insert/remove SD card</t>
  </si>
  <si>
    <t>▪ SD card recognized successfully
▪ Built-in cam enters successfully
▪ Video verification</t>
  </si>
  <si>
    <t>Quickly remove and insert the SD card while recording driving events.</t>
  </si>
  <si>
    <t>▪ Enter AVN mode
▪ Confirm driving event recording starts by applying an impact (check CAN signal, event switch LED)
▪ Quickly insert and remove the SD card</t>
  </si>
  <si>
    <t>Quickly insert and remove the SD card while recording manual driving/parking events.</t>
  </si>
  <si>
    <t>▪ Enter AVN Mode
▪ Confirm manual recording start using the manual switch (check CAN signal, Event Switch LED)
▪ Quickly insert and remove the SD card</t>
  </si>
  <si>
    <t>Quickly insert and remove the SD card while recording continuously in parking mode</t>
  </si>
  <si>
    <t>▪ Turn KEY OFF to enter Parking Mode
▪ Confirm that continuous parking recording has started (check CAN signal and Event Switch LED)
▪ Quickly insert and remove the SD card</t>
  </si>
  <si>
    <t>Quickly insert and remove the SD card while recording a parking event.</t>
  </si>
  <si>
    <t>▪ Turn KEY OFF to enter Parking Mode
▪ Apply impact to confirm parking event recording starts (check CAN signal, Event Switch LED)
▪ Quickly insert and remove the SD card</t>
  </si>
  <si>
    <t>Remove before starting time-lapse recording</t>
  </si>
  <si>
    <t>▪ Start time-lapse recording immediately after removing the SD card by pressing and holding the event switch.</t>
  </si>
  <si>
    <t>▪ Time-lapse recording not performed</t>
  </si>
  <si>
    <t>Removed immediately after starting time-lapse recording</t>
  </si>
  <si>
    <t>▪ Remove SD card immediately after starting time-lapse recording with the event switch (long press)</t>
  </si>
  <si>
    <t>▪ Time-lapse recording stopped
▪ Built-in cam enters normal mode</t>
  </si>
  <si>
    <t>Detach 5 minutes after starting time-lapse recording.</t>
  </si>
  <si>
    <t>▪ Start time-lapse recording by holding down the event switch.
▪ Remove and insert the SD card after waiting 5 minutes.</t>
  </si>
  <si>
    <t>Insert SD card and start time-lapse</t>
  </si>
  <si>
    <t>▪ Start time-lapse recording immediately after inserting the SD card by pressing the event switch (long press).</t>
  </si>
  <si>
    <t>▪ Time-lapse recording proceeds normally
▪ Built-in cam enters normally during recording</t>
  </si>
  <si>
    <t>Remove SD card after turning off B+</t>
  </si>
  <si>
    <t>▪ Remove SD card after turning B+ OFF
▪ Turn B+, ACC, and IGN ON
▪ Check if driving recording is in progress
▪ Enter Built-in Cam mode</t>
  </si>
  <si>
    <t>▪ SD card not recognized → Driving recording proceeds after recognition
▪ Built-in cam enters normally</t>
  </si>
  <si>
    <t>Remove and insert the SD card 2 to 3 times, then turn off the key.</t>
  </si>
  <si>
    <t>▪ Turn on Continuous Recording while Driving/Parking
▪ In AVN/Built-in Cam mode, insert the SD card and repeat the process 2–3 times.
▪ Then, immediately turn the key off.</t>
  </si>
  <si>
    <t>▪ SD card recognized successfully
▪ Continuous recording while parked</t>
  </si>
  <si>
    <t>Remove and insert the SD card 2 to 3 times, then turn the key on</t>
  </si>
  <si>
    <t>▪ Turn on continuous recording while driving/parking
▪ During parking recording, insert the SD card 2 to 3 times
▪ Then immediately turn the key off</t>
  </si>
  <si>
    <t>Insert/Remove SD card while entering UI mode</t>
  </si>
  <si>
    <t>MEM_041</t>
  </si>
  <si>
    <t>[SD Card User Conditions] (4)</t>
  </si>
  <si>
    <t>Remove SD card after attempting to access built-in cam</t>
  </si>
  <si>
    <t>▪ Remove SD card after attempting to access built-in cam</t>
  </si>
  <si>
    <t>▪ Built-in cam successfully entered</t>
  </si>
  <si>
    <t>Insert SD card after attempting to enter</t>
  </si>
  <si>
    <t>▪ Insert SD card after attempting to access the built-in cam.</t>
  </si>
  <si>
    <t>Attempt to enter after removing the SD card</t>
  </si>
  <si>
    <t>▪ Enter Built-in Cam after removing SD card
- Check both Driving Recording On and Off status</t>
  </si>
  <si>
    <t>▪ Successful entry into Built-in Cam
▪ Confirmation of normal video list output</t>
  </si>
  <si>
    <t>Attempt to enter after inserting the SD card</t>
  </si>
  <si>
    <t>▪ Enter Built-in Cam after inserting the SD card</t>
  </si>
  <si>
    <t>▪ Built-in cam successfully entered
▪ Check recorded footage
- There should be no footage recorded in black in the front or rear cameras</t>
  </si>
  <si>
    <t>Simultaneous attempt at entry and SD card removal</t>
  </si>
  <si>
    <t>▪ Simultaneous attempt to access the built-in cam and remove the SD card</t>
  </si>
  <si>
    <t>Simultaneous entry attempt and SD card insertion</t>
  </si>
  <si>
    <t>▪ Simultaneous attempt to access built-in cam and insert SD card</t>
  </si>
  <si>
    <t>When removing the SD card during booting</t>
  </si>
  <si>
    <t>Remove the SD card after booting starts (after 2 seconds of booting)</t>
  </si>
  <si>
    <t>▪ B+ Reset
▪ Remove SD card after 2 seconds</t>
  </si>
  <si>
    <t>▪ Built-in cam launches normally and SD card is recognized normally
▪ Built-in cam should launch normally
▪ Recording function operates normally</t>
  </si>
  <si>
    <t>Remove the SD card after booting starts (after 4 seconds of booting)</t>
  </si>
  <si>
    <t>▪ B+ Reset
▪ Remove SD card after 4 seconds</t>
  </si>
  <si>
    <t>Remove the SD card after booting starts (after 6 seconds of booting)</t>
  </si>
  <si>
    <t>▪ B+ Reset
▪ Remove SD card after 6 seconds</t>
  </si>
  <si>
    <t>Remove the SD card after booting starts (after 8 seconds of booting)</t>
  </si>
  <si>
    <t>▪ B+ Reset
▪ Remove SD card after 8 seconds</t>
  </si>
  <si>
    <t>Remove the SD card after booting starts (after 10 seconds of booting)</t>
  </si>
  <si>
    <t>▪ B+ Reset
▪ Remove SD card after 10 seconds</t>
  </si>
  <si>
    <t>Remove the SD card after booting starts (after 12 seconds of booting)</t>
  </si>
  <si>
    <t>▪ B+ Reset
▪ Remove SD card after 12 seconds</t>
  </si>
  <si>
    <t>Insert SD card after boot starts (after 2 seconds of booting)</t>
  </si>
  <si>
    <t>▪ ACC ON &amp; IGN OFF
▪ Insert SD card 2 seconds after boot starts</t>
  </si>
  <si>
    <t>▪ Built-in cam launches normally and SD card is recognized normally
▪ Recording function operates normally</t>
  </si>
  <si>
    <t>▪ Confirm built-in cam entry
▪ Check recorded video</t>
  </si>
  <si>
    <t>▪ The built-in cam should engage normally
▪ Check recorded footage
(1) There should be no recorded footage after the built-in cam engages
(2) There should be no blackout footage in the front or rear views</t>
  </si>
  <si>
    <t>Insert SD card after boot starts (4 seconds after boot)</t>
  </si>
  <si>
    <t>▪ ACC ON &amp; IGN OFF
▪ Insert SD card 4 seconds after boot starts</t>
  </si>
  <si>
    <t>Insert SD card after boot starts (6 seconds after boot)</t>
  </si>
  <si>
    <t>▪ ACC ON &amp; IGN OFF
▪ Insert SD card 6 seconds after boot starts</t>
  </si>
  <si>
    <t>Insert SD card after boot starts (after 8 seconds of booting)</t>
  </si>
  <si>
    <t>▪ ACC ON &amp; IGN OFF
▪ Insert SD card 8 seconds after boot starts</t>
  </si>
  <si>
    <t>Insert SD card after boot starts (after 10 seconds)</t>
  </si>
  <si>
    <t>▪ ACC ON &amp; IGN OFF
▪ Insert SD card 10 seconds after boot start</t>
  </si>
  <si>
    <t>Insert SD card after boot starts (after 12 seconds)</t>
  </si>
  <si>
    <t>▪ ACC ON &amp; IGN OFF
▪ Insert SD card 12 seconds after boot start</t>
  </si>
  <si>
    <t>MEM_042</t>
  </si>
  <si>
    <t>[SD Card User Conditions] (5)</t>
  </si>
  <si>
    <t>Remove the SD card 2 seconds after boot starts, then reinsert the SD card after booting.</t>
  </si>
  <si>
    <t>▪ Remove the SD card 2 seconds after boot starts, then reinsert the SD card after booting.</t>
  </si>
  <si>
    <t>Remove the SD card 4 seconds after boot starts, then reinsert the SD card after booting.</t>
  </si>
  <si>
    <t>▪ Remove the SD card 4 seconds after boot starts, then reinsert the SD card after booting.</t>
  </si>
  <si>
    <t>Remove the SD card 6 seconds after booting, then reinsert the SD card after booting.</t>
  </si>
  <si>
    <t>▪ Remove the SD card 6 seconds after boot starts, then reinsert the SD card after booting.</t>
  </si>
  <si>
    <t>Remove the SD card 8 seconds after booting, then reinsert the SD card after booting.</t>
  </si>
  <si>
    <t>▪ Remove the SD card 8 seconds after boot starts, then reinsert the SD card after booting.</t>
  </si>
  <si>
    <t>Remove the SD card 10 seconds after booting, then reinsert the SD card after booting.</t>
  </si>
  <si>
    <t>▪ Remove the SD card 10 seconds after booting, then reinsert the SD card after booting.</t>
  </si>
  <si>
    <t>Remove the SD card 12 seconds after booting, then reinsert the SD card after booting.</t>
  </si>
  <si>
    <t>▪ Remove the SD card 12 seconds after boot starts, then reinsert the SD card after booting.</t>
  </si>
  <si>
    <t>▪ ACC ON &amp; IGN ON
▪ Insert SD card 2 seconds after boot starts</t>
  </si>
  <si>
    <t>▪ ACC ON &amp; IGN ON
▪ Insert SD card 4 seconds after boot starts</t>
  </si>
  <si>
    <t>▪ Built-in cam launches normally and SD card is recognized normally
▪ Built-in cam should launch normally</t>
  </si>
  <si>
    <t>▪ ACC ON &amp; IGN ON
▪ Insert SD card 6 seconds after boot starts</t>
  </si>
  <si>
    <t>▪ ACC ON &amp; IGN ON
▪ Insert SD card 8 seconds after boot starts</t>
  </si>
  <si>
    <t>▪ ACC ON &amp; IGN ON
▪ Insert SD card 10 seconds after boot starts</t>
  </si>
  <si>
    <t>▪ ACC ON &amp; IGN ON
▪ Insert SD card 12 seconds after boot start</t>
  </si>
  <si>
    <t>Evil performance</t>
  </si>
  <si>
    <t>MEM_043</t>
  </si>
  <si>
    <t>[SD Card User Conditions] (6)</t>
  </si>
  <si>
    <t>Verify normal operation after repeating removal/insertion 30 times continuously.</t>
  </si>
  <si>
    <t>▪ Quick SD card insertion/removal (30 times)</t>
  </si>
  <si>
    <t>Driving recording in progress + Start manual recording, quickly insert and remove SD card</t>
  </si>
  <si>
    <t>▪ Start continuous recording while driving
▪ Enable driving events (manual)
▪ Quickly insert and remove SD card</t>
  </si>
  <si>
    <t>▪ Recording operating normally</t>
  </si>
  <si>
    <t>Driving recording in progress + Time-lapse recording in progress, quickly insert and remove SD card</t>
  </si>
  <si>
    <t>▪ Start continuous recording while driving
▪ Start time-lapse recording with the event switch (long press)
▪ Quickly insert and remove SD card</t>
  </si>
  <si>
    <t>Removing the SD card from the slot while using the SD card</t>
  </si>
  <si>
    <t>Removal of SD slot during driving recording</t>
  </si>
  <si>
    <t>▪ Start continuous recording while driving
▪ Remove SD slot</t>
  </si>
  <si>
    <t>▪ SD slot installed</t>
  </si>
  <si>
    <t>▪ SD card recognized correctly
▪ When inserted into the SD slot, the SD slot LED blinks at 2Hz, then turns On after the SD card is recognized.
▪ Recording operates normally</t>
  </si>
  <si>
    <t>SD slot removed during driving recording + time-lapse recording in progress</t>
  </si>
  <si>
    <t>▪ Start continuous + time-lapse recording while driving
▪ Remove SD slot</t>
  </si>
  <si>
    <t>▪ SD card recognized correctly
: BLTN_CAM_SD_Card_State = 0x0(GOOD, SD card is OK)</t>
  </si>
  <si>
    <t>▪ When an SD card is inserted, the SD slot LED blinks at 2Hz, then stays on after the SD card is recognized.</t>
  </si>
  <si>
    <t>Confirmed normal operation after removing and reinserting the SD card during video playback</t>
  </si>
  <si>
    <t>▪ Continuous video playback while driving
▪ SD card attachment/removal</t>
  </si>
  <si>
    <t>▪ SD Card Recognition
: BLTN_CAM_SD_Card_State = 0x0(GOOD, SD card is OK)</t>
  </si>
  <si>
    <t>▪ Resume continuous recording while driving
: BLTN_CAM_RecSta_OWD = 0x2(Recording)</t>
  </si>
  <si>
    <t>▪ The recording file can be played normally</t>
  </si>
  <si>
    <t>Check for storage capacity update when replacing SD card while in Built-in Cam mode</t>
  </si>
  <si>
    <t>▪ Enter Built-in Cam Mode
▪ Replace and insert with a different SD card you used.</t>
  </si>
  <si>
    <t>▪ Touch the Save button in the Storage section of the continuous driving video list.</t>
  </si>
  <si>
    <t>▪ Storage capacity information updated</t>
  </si>
  <si>
    <t>▪ Archive copy completed successfully</t>
  </si>
  <si>
    <t>When removing SD card while in use
: Performance recording</t>
  </si>
  <si>
    <t>[Performance Recording] - SD Card User Requirements (1)</t>
  </si>
  <si>
    <t>If you remove the SD card while playing a performance video on the built-in cam screen</t>
  </si>
  <si>
    <t>▪ Performance Video Playback
▪ SD Card Removal During Video Playback</t>
  </si>
  <si>
    <t>If you remove the SD card during performance recording</t>
  </si>
  <si>
    <t>▪ Start performance recording
▪ Remove SD card during recording</t>
  </si>
  <si>
    <t>If you remove and reinsert the SD card during performance recording</t>
  </si>
  <si>
    <t>▪ Start performance recording
▪ Remove and reinsert SD card</t>
  </si>
  <si>
    <t>▪ Recording stopped
- BLTN_CAM_PopUp_Req = 0x5 (Removed)
- BLTN_CAM_Ind_Req 0x4 (Not inserted)
- BLTN_CAM_SD_Card_State 0x3 (Not inserted)
- SD slot LED blinking 2Hz
▪ Recording proceeds when performance recording is started after reinserting the SD card</t>
  </si>
  <si>
    <t>▪ Start performance recording
▪ Remove and reinsert SD card (repeat 10 times)</t>
  </si>
  <si>
    <t>When SD card is not inserted or removed
: Performance recording</t>
  </si>
  <si>
    <t>[Performance Recording] - SD Card User Requirements (2)</t>
  </si>
  <si>
    <t>Enter N Mode with SD card not inserted</t>
  </si>
  <si>
    <t>▪ Enter N Mode with SD card not inserted</t>
  </si>
  <si>
    <t>▪ Do not exit N Mode
▪ Built-in cam operates normally</t>
  </si>
  <si>
    <t>When driving recording is ON, event recording is OFF, and the SD card is removed during performance recording</t>
  </si>
  <si>
    <t>▪ Always Driving Setting ON, Event Setting OFF
▪ Remove SD card during performance recording</t>
  </si>
  <si>
    <t>▪ BLTN_CAM_RecSet_OWD = 0x2(ON)
▪ BLTN_CAM_RecSet_DEV = 0x1(OFF)
▪ Recording is not supported when the SD card is removed</t>
  </si>
  <si>
    <t>Parking Info ON, Event Info OFF, When SD card is removed during Performance Recording
(KEY OFF)</t>
  </si>
  <si>
    <t>▪ Always Parking Recording ON, Event Recording OFF
▪ Remove SD Card During Performance Recording
▪ KEY OFF</t>
  </si>
  <si>
    <t>▪ BLTN_CAM_RecSet_OWP = 0x2(ON)
▪ BLTN_CAM_RecSet_PEV = 0x1(OFF)
▪ Recording is not supported when the SD card is removed
▪ Check in Parking Continuous Recording Standby</t>
  </si>
  <si>
    <t>Parking Motion Recording ON, Parking Impact Recording OFF, When SD card is removed during Performance Recording</t>
  </si>
  <si>
    <t>▪ Parking Motion Setting ON, Parking Impact Setting OFF
▪ Remove SD Card During Performance Recording
▪ KEY OFF</t>
  </si>
  <si>
    <t>▪ BLTN_CAM_Set_PMD = 0x2(ON)
▪ BLTN_CAM_RecSet_PEV = 0x1(OFF)
▪ Operates regardless of SD card insertion (specs compromise)</t>
  </si>
  <si>
    <t>Parking Motion Recording ON, Parking Impact Recording ON, Performance Recording in progress
When SD card is removed</t>
  </si>
  <si>
    <t>▪ Parking Motion Setting ON, Parking Impact Setting ON
▪ Remove SD Card During Performance Recording
▪ KEY OFF</t>
  </si>
  <si>
    <t>Insert/Remove SD card while entering N mode</t>
  </si>
  <si>
    <t>▪ Enter N Mode and SD card is recognized normally
▪ Performance recording will proceed normally</t>
  </si>
  <si>
    <t>N Mode - SD card removal while entering Built-in Cam</t>
  </si>
  <si>
    <t>▪ Tap Performance Options after entering N Mode
▪ Tap N Race Cam and select File
▪ Detach/Attach SD Cart while in Built-in Cam mode</t>
  </si>
  <si>
    <t>Quickly insert and remove the SD card during performance recording</t>
  </si>
  <si>
    <t>▪ Enter N Mode
▪ Confirm Performance Recording Start (Check CAN Signal, Event Switch LED)
▪ Quickly Insert/Remove SD Card</t>
  </si>
  <si>
    <t>Remove before starting performance recording</t>
  </si>
  <si>
    <t>▪ Remove SD card before starting performance recording</t>
  </si>
  <si>
    <t>▪ Performance recording not conducted</t>
  </si>
  <si>
    <t>Removed immediately after performance recording starts</t>
  </si>
  <si>
    <t>▪ Remove SD card immediately after starting performance recording</t>
  </si>
  <si>
    <t>▪ Performance recording halted</t>
  </si>
  <si>
    <t>Detach 1 minute after starting performance recording.</t>
  </si>
  <si>
    <t>▪ Start performance recording
▪ Wait 1 minute, then remove SD card</t>
  </si>
  <si>
    <t>Repeat removing and inserting the SD card (10 times)</t>
  </si>
  <si>
    <t>▪ Start recording after inserting and removing the SD card 10 times.</t>
  </si>
  <si>
    <t>▪ Performance recording proceeding as scheduled</t>
  </si>
  <si>
    <t>Evil Performance
: Performance Recording</t>
  </si>
  <si>
    <t>[Performance Recording] - SD Card User Requirements (3)</t>
  </si>
  <si>
    <t>▪ Entering N Mode in AVN and properly recognizing the SD card
▪ Performance recording operates normally</t>
  </si>
  <si>
    <t>▪ Start performance recording
▪ Quickly insert and remove SD card</t>
  </si>
  <si>
    <t>▪ Performance recording operating normally</t>
  </si>
  <si>
    <t>Removing SD card from slot while SD card is in use
: Performance recording</t>
  </si>
  <si>
    <t>SD slot removal during performance recording</t>
  </si>
  <si>
    <t>▪ Start performance recording
▪ Remove SD slot</t>
  </si>
  <si>
    <t>▪ Insert SD card into slot
▪ Enter N mode and start performance recording</t>
  </si>
  <si>
    <t>When removing SD card while in use
: Ultra-low power recording</t>
  </si>
  <si>
    <t>MEM_055</t>
  </si>
  <si>
    <t>[Ultra-low Power Recording] - SD Card User Requirements (1)</t>
  </si>
  <si>
    <t>If you remove the SD card during ultra-low power recording</t>
  </si>
  <si>
    <t>▪ Start ultra-low power recording
▪ Remove SD card during recording</t>
  </si>
  <si>
    <t>▪ Ultra-low power recording in progress</t>
  </si>
  <si>
    <t>When removing and reinserting the SD card during ultra-low power recording</t>
  </si>
  <si>
    <t>▪ Start ultra-low power recording
▪ Remove and reinsert SD card</t>
  </si>
  <si>
    <t>▪ Recording stopped
- BLTN_CAM_PopUp_Req = 0x5 (Removed)
- BLTN_CAM_Ind_Req 0x4 (Not inserted)
- BLTN_CAM_SD_Card_State 0x3 (Not inserted)
- SD slot LED blinking 2Hz
▪ Recording proceeds when ultra-low power recording starts after reinserting the SD card</t>
  </si>
  <si>
    <t>▪ Start ultra-low power recording
▪ Remove and reinsert SD card (repeat 10 times)</t>
  </si>
  <si>
    <t>When SD card is not inserted or removed
: Ultra-low power recording</t>
  </si>
  <si>
    <t>MEM_056</t>
  </si>
  <si>
    <t>[Ultra-low Power Recording] - SD Card User Requirements (2)</t>
  </si>
  <si>
    <t>▪ Enter with SD card not inserted</t>
  </si>
  <si>
    <t>When removing the SD card during ultra-low power recording, Always Parking Setting ON, Event Setting OFF.</t>
  </si>
  <si>
    <t>▪ Always-on Parking Setting ON, Parking Event Setting OFF
▪ Remove SD card during ultra-low power recording</t>
  </si>
  <si>
    <t>▪ BLTN_CAM_RecSet_OWP = 0x2(ON)
▪ BLTN_CAM_RecSet_PEV = 0x1(OFF)
▪ Recording is not supported when the SD card is removed</t>
  </si>
  <si>
    <t>When Parking Info ON, Event Info ON, SD card removed during Performance Recording
(KEY OFF)</t>
  </si>
  <si>
    <t>▪ Always-on Parking Setting ON, Parking Event Setting ON
▪ Remove SD card during ultra-low power recording
▪ KEY OFF</t>
  </si>
  <si>
    <t>▪ BLTN_CAM_RecSet_OWP = 0x2(ON)
▪ BLTN_CAM_RecSet_PEV = 0x1(ON)
▪ Recording operation is not supported when SD card is removed
▪ Check in Parking Continuous Recording Standby</t>
  </si>
  <si>
    <t>Parking Motion Recording ON, Parking Impact Recording OFF, When SD card is removed during Ultra-Low Power Recording</t>
  </si>
  <si>
    <t>▪ Parking Motion Setting ON, Parking Impact Setting OFF
▪ Remove SD Card During Ultra-Low Power Recording
▪ KEY OFF</t>
  </si>
  <si>
    <t>▪ BLTN_CAM_Set_PMD = 0x2(ON)
▪ BLTN_CAM_RecSet_PEV = 0x1(OFF)
▪ Operates regardless of SD card insertion (subject to specifications)
3rd generation specifications need verification and confirmation required</t>
  </si>
  <si>
    <t>Parking Motion Recording ON, Parking Impact Recording ON, Ultra-low Power Recording in Progress
When SD Card is Removed</t>
  </si>
  <si>
    <t>▪ Parking Motion Setting ON, Parking Impact Setting ON
▪ Remove SD card during ultra-low power recording
▪ KEY OFF</t>
  </si>
  <si>
    <t>▪ BLTN_CAM_Set_PMD = 0x2(ON)
▪ BLTN_CAM_RecSet_PEV = 0x2(ON)
▪ Operates regardless of SD card insertion (subject to specifications)
3rd generation specifications need verification and validation required</t>
  </si>
  <si>
    <t>Quickly insert and remove the SD card during ultra-low power recording.</t>
  </si>
  <si>
    <t>▪ Confirm ultra-low power recording start (check CAN signal, event switch LED)
▪ Quickly insert and remove SD card</t>
  </si>
  <si>
    <t>Remove before starting ultra-low power recording</t>
  </si>
  <si>
    <t>▪ Remove SD card before starting ultra-low power recording</t>
  </si>
  <si>
    <t>▪ Ultra-low power recording not in progress
▪ BLTN_CAM_RecSta_LPE : Recording</t>
  </si>
  <si>
    <t>Remove immediately after starting ultra-low power recording</t>
  </si>
  <si>
    <t>▪ Remove SD card immediately after starting ultra-low power recording</t>
  </si>
  <si>
    <t>▪ Stop ultra-low power recording
▪ BLTN_CAM_RecSta_LPE : Off</t>
  </si>
  <si>
    <t>Detach after 1 minute has elapsed since starting ultra-low power recording.</t>
  </si>
  <si>
    <t>▪ Start ultra-low power recording
▪ Remove SD card after 1 minute wait</t>
  </si>
  <si>
    <t>▪ Ultra-low power recording proceeding normally
▪ BLTN_CAM_RecSta_LPE : Recording</t>
  </si>
  <si>
    <t>Evil Performance
: Ultra-low power recording</t>
  </si>
  <si>
    <t>MEM_057</t>
  </si>
  <si>
    <t>[Ultra-low Power Recording] - SD Card User Requirements (3)</t>
  </si>
  <si>
    <t>▪ Start ultra-low power recording
▪ Quickly insert and remove SD card</t>
  </si>
  <si>
    <t>Removing SD card from slot while SD card is in use
: Ultra-low power recording</t>
  </si>
  <si>
    <t>SD slot removal during ultra-low power recording</t>
  </si>
  <si>
    <t>▪ Start ultra-low power recording
▪ Remove SD slot</t>
  </si>
  <si>
    <t>▪ SD slot installed
▪ Enters N mode and starts ultra-low power recording</t>
  </si>
  <si>
    <t>Check OHCL images (White/Black Theme)
※ CS/CW only</t>
  </si>
  <si>
    <t>MEM_058</t>
  </si>
  <si>
    <t>[Check OHCL Image] - Connect Specifications (CS/CW)</t>
  </si>
  <si>
    <t>Check OHCL White Theme Images</t>
  </si>
  <si>
    <t>▪ Apply White Theme in HU Settings
▪ Enter Built-in Cam Menu
▪ Enter Manual Recording/Time-lapse Library and check OHCL Images (There should be no recorded files)
※ The path within the Built-in Cam is /mnt/data/share/hu/img</t>
  </si>
  <si>
    <t>▪ Apply OHCL image matching the white theme
(Refer to Built-in Cam Wiki image)</t>
  </si>
  <si>
    <t>Check OHCL Black Theme Images</t>
  </si>
  <si>
    <t>▪ Apply Black Theme in HU Settings
▪ Enter Built-in Cam Menu
▪ Enter Manual Recording/Time-lapse Library and check OHCL Images (There should be no recorded files)
※ The path within the Built-in Cam is /mnt/data/share/hu/img</t>
  </si>
  <si>
    <t>▪ Apply OHCL image matching the Black theme
(Refer to Built-in Cam Wiki image)</t>
  </si>
  <si>
    <t>[BLTN_CAM-Function-031] Engineering Mode</t>
  </si>
  <si>
    <t>[Engineer Mode]</t>
  </si>
  <si>
    <t>BAS_001</t>
  </si>
  <si>
    <t>Verify video output in engineer mode</t>
  </si>
  <si>
    <t>▪ BLTN_CAM_LVDS_Mode_Cmd = 0x2:Built-In Cam Engineer Mode
: Confirm by repeating 10 times
(Entry method from head unit: Quickly tap Auto Recording tab 5 times, Manual Recording, Real-time Screen, and Phone Connection tabs 1 time each)</t>
  </si>
  <si>
    <t>▪ BLTN_CAM_LVDS_Mode_State = 0x2:Built-In Cam Engineer Mode</t>
  </si>
  <si>
    <t>Verify connection after entering the engineer mode password.</t>
  </si>
  <si>
    <t>▪ Enter password while on the password input screen in Engineer Mode</t>
  </si>
  <si>
    <t>▪ BLTN_CAM_LVDS_Mode_State = 0x2:Built-In Cam Engineer Mode
▪ Enter password to complete connection to Engineer Mode</t>
  </si>
  <si>
    <t>[Engineer Mode Touch CAN Signal]</t>
  </si>
  <si>
    <t>BAS_002</t>
  </si>
  <si>
    <t>Verify coordinate value output when touching in Engineer Mode</t>
  </si>
  <si>
    <t>▪ Enter password after entering Engineer Mode
- HU_BLTN_CAM_Disp_Touch_Pos_X, _Y displayed</t>
  </si>
  <si>
    <t>▪Keyboard input activated based on X, Y coordinate values ​​received from the head unit, password successfully entered</t>
  </si>
  <si>
    <t>[Engineer Mode] Built-in Cam Info</t>
  </si>
  <si>
    <t>Version</t>
  </si>
  <si>
    <t>▪ Check S/W, F/W, and ISP versions</t>
  </si>
  <si>
    <t>▪ The corresponding version outputs correctly</t>
  </si>
  <si>
    <t>Impact detection criteria while driving</t>
  </si>
  <si>
    <t>▪ Check driving impact detection standards (Lv1 ~ Lv5) for the relevant vehicle model</t>
  </si>
  <si>
    <t>▪ Matches detection threshold values ​​for the corresponding vehicle model</t>
  </si>
  <si>
    <t>Impact detection criteria while parked</t>
  </si>
  <si>
    <t>▪ Check parking impact detection standards (Lv1 ~ Lv5) for the relevant vehicle model</t>
  </si>
  <si>
    <t>[BLTN_CAM-Function-032] Update</t>
  </si>
  <si>
    <t>[Update Scenario] SAVE_POINT1(TRANS_STAGE)
: Background Download)
&lt;Proceed with Built-in Cam Update in CCNC Engineer Mode&gt;</t>
  </si>
  <si>
    <t>BAS_004</t>
  </si>
  <si>
    <t>[Update Scenario] - BG Download</t>
  </si>
  <si>
    <t>Start package transfer (ccNC → BLTN_CAM)</t>
  </si>
  <si>
    <t>▪ Received PKG_TRANS_ACTIVATE
▪ Background Download in progress
: (Log) sftp ~~ .zip is recorded and takes approximately 20 seconds</t>
  </si>
  <si>
    <t>▪ Background Download in progress</t>
  </si>
  <si>
    <t>과거차문제
PASTI-343
OTA 백그라운드 다운로드 중 빌트인 캠 ↔ AVN 진출입 반복 시 백그라운드 다운로드 실패</t>
  </si>
  <si>
    <t>Package transfer in progress</t>
  </si>
  <si>
    <t>▪ Check download status log</t>
  </si>
  <si>
    <t>▪ Download in progress
: (Log) ===== Trans =====</t>
  </si>
  <si>
    <t>Transmission of TRANS_FINISHED</t>
  </si>
  <si>
    <t>▪ Transmit TRANS_FINISHED</t>
  </si>
  <si>
    <t>▪ Send TRANS_FINISHED after completion</t>
  </si>
  <si>
    <t>Save SAVE_POINT2(FUSING_STAGE)</t>
  </si>
  <si>
    <t>▪ Receive PKG_TRANS_FINISHED
▪ Save LastStage = SAVE_POINT2(FUSING_STAGE)</t>
  </si>
  <si>
    <t>▪ LastStage = SAVE_POINT2(FUSING_STAGE) Save</t>
  </si>
  <si>
    <t>[Update Scenario] SAVE_POINT2(FUSING_STAGE)
: Background Update</t>
  </si>
  <si>
    <t>BAS_005</t>
  </si>
  <si>
    <t>[Update Scenario] - BG Update</t>
  </si>
  <si>
    <t>Check package integrity</t>
  </si>
  <si>
    <t>▪ Send PKG_VERIFY(0% progress) after verifying .zip integrity&lt;period = 1s&gt;</t>
  </si>
  <si>
    <t>Unzip package</t>
  </si>
  <si>
    <t>▪ PKG_EXTRACT(Progress n%) Transmit&lt;period = 1s&gt;</t>
  </si>
  <si>
    <t>Background Update in progress</t>
  </si>
  <si>
    <t>▪ Send IMG_FUSING (Progress n%)
▪ Background Update in progress (CPU Write)
▪ Send IMG_FUSING (Progress 100%)
▪ Send FG_IMG_FUSING (Progress 0%) (FG Update Ready)</t>
  </si>
  <si>
    <t>Save SAVE_POINT3(SWAP_STAGE)</t>
  </si>
  <si>
    <t>▪ LastStage = SAVE_POINT3(SWAP_STAGE) Save</t>
  </si>
  <si>
    <t>[Update Scenario] SAVE_POINT3(SWAP_STAGE)
: Boot area swap</t>
  </si>
  <si>
    <t>BAS_006</t>
  </si>
  <si>
    <t>[Update Scenario] - FG Update</t>
  </si>
  <si>
    <t>Foreground Update in progress (ISP Update)</t>
  </si>
  <si>
    <t>▪ Turn KEY OFF, touch [Install Now] to proceed with the update
▪ Receive NEW_VERSION_ACTIVATE
▪ Send FG_IMG_FUSING(Progress n%) &lt;period = 1s&gt;
▪ Foreground Update in progress (ISP update)</t>
  </si>
  <si>
    <t>▪ FG_IMG_FUSING(Progress n%) Transmitted &lt;period = 1s&gt;
▪ Foreground Update in progress (ISP update)</t>
  </si>
  <si>
    <t>Foreground Update in progress (MCU update): Takes about 1 minute</t>
  </si>
  <si>
    <t>▪ Foreground Update in progress (MCU Update)
▪ Send FG_IMG_FUSING (Progress 100%)</t>
  </si>
  <si>
    <t>Update complete after reboot</t>
  </si>
  <si>
    <t>▪ (Log) SWAP_NEXT_CPU -&gt; SWAP_NEXT_REBOOT -&gt; FUSING DONE -&gt; Reboot after REBOOT
▪ (Log) ===UPDATE FINISHED=== recorded after reboot</t>
  </si>
  <si>
    <t>▪ (Log) FUSING DONE recorded, REBOOT recorded, and reboot
▪ (Log) UPDATE FINISHED recorded</t>
  </si>
  <si>
    <t>[Update Scenario] Confirm Update Complete</t>
  </si>
  <si>
    <t>[Update Scenario] - Update Complete</t>
  </si>
  <si>
    <t>Confirm update complete</t>
  </si>
  <si>
    <t>▪ Wait briefly after CCNC finishes booting → Update complete popup appears
▪ Check if built-in cam is functioning properly, check version information</t>
  </si>
  <si>
    <t>Verify that parking recording resumes after the update is complete.</t>
  </si>
  <si>
    <t>▪ Proceed to 'SAVE_POINT3(SWAP_STAGE)'
▪ Turn KEY OFF to start parking recording
▪ Continue with the update starting from Foreground Update and complete</t>
  </si>
  <si>
    <t>▪ Continue parking recording after the update is complete and the system reboots.
: BLTN_CAM_RecSta_OWP = ON signal output</t>
  </si>
  <si>
    <t>Check fault codes after the update is complete</t>
  </si>
  <si>
    <t>▪ Check for fault codes</t>
  </si>
  <si>
    <t>▪ No fault codes (past, present)</t>
  </si>
  <si>
    <t>Check the version signal after the update is complete.</t>
  </si>
  <si>
    <t>▪ Check BLTN_CAM_STAT_PE_01_200ms signal
: Check BLTN_CAM_SWVerMajor', Minor1 ~ 3 signals</t>
  </si>
  <si>
    <t>▪ Output CAN signal to target version</t>
  </si>
  <si>
    <t>After the update is complete, check for ISP version update (2.5 generation)</t>
  </si>
  <si>
    <t>▪ Check ISP version update</t>
  </si>
  <si>
    <t>▪ ISP update completed to target version</t>
  </si>
  <si>
    <t>After the update is complete, check for ISP and RADAR version updates (2.5 generation)</t>
  </si>
  <si>
    <t>▪ Do not proceed with updates if ISP or RADAR target versions are the same or lower.</t>
  </si>
  <si>
    <t>▪ Confirm keeping previous version</t>
  </si>
  <si>
    <t>[Update] Profile Comparison Before and After Update</t>
  </si>
  <si>
    <t>BAS_008</t>
  </si>
  <si>
    <t>Update in progress</t>
  </si>
  <si>
    <t>▪ User Profile Settings
1) Guest
- Impact Sensitivity while driving: Set to 1
- Impact Sensitivity while parked: Set to 1
- Disable all recording functions
- Time-lapse recording settings: 1-second intervals
- Display recording video time information OFF
2) Profile 1: Set each item differently
3) Profile 2: Set each item differently
▪ Insert the USB memory stick containing the update file into the ccNC USB port
▪ Confirm popup and proceed with update</t>
  </si>
  <si>
    <t>▪ Complete after the update progress icon appears at the top right of ccNC (Ready for Update)</t>
  </si>
  <si>
    <t>▪ Touch the [Install Now] button that appears when the KEY is OFF</t>
  </si>
  <si>
    <t>▪ FG update in progress, update complete after reboot</t>
  </si>
  <si>
    <t>Update complete: Confirm user profile settings are maintained</t>
  </si>
  <si>
    <t>▪ Verify retention of user-specific settings</t>
  </si>
  <si>
    <t>▪ Verify that the setting values ​​are identical to the user profile created in Step 1</t>
  </si>
  <si>
    <t>[Update] : Check recorded video during update</t>
  </si>
  <si>
    <t>Play recorded video during update</t>
  </si>
  <si>
    <t>▪ USB update in progress (BG update in progress)
▪ Play recorded video from the continuous driving video list</t>
  </si>
  <si>
    <t>▪ Recorded video plays without errors (no stuttering or slowdown)
▪ No errors when navigating the progress bar
▪ BG update completed successfully</t>
  </si>
  <si>
    <t>Copy recorded video during update</t>
  </si>
  <si>
    <t>▪ USB update in progress (BG update in progress)
▪ Copy 2 randomly recorded videos from the continuous driving video list to the library</t>
  </si>
  <si>
    <t>▪ Recorded video copied without errors (no slowdowns or copy failures)
▪ BG update completed successfully
▪ Copied recorded video plays normally</t>
  </si>
  <si>
    <t>Delete recorded video during update</t>
  </si>
  <si>
    <t>▪ USB update in progress (BG update in progress)
▪ Delete 2 randomly recorded videos from the continuous driving video list</t>
  </si>
  <si>
    <t>▪ Recorded video deleted without errors (no slowdowns, no deletion failures)
▪ BG update completed successfully</t>
  </si>
  <si>
    <t>Multiple recordings during update</t>
  </si>
  <si>
    <t>▪ USB Update in Progress (BG Update in Progress)
▪ Multiple authorizations for Shock, Manual, and Time-lapse recording</t>
  </si>
  <si>
    <t>▪ Impact, Manual, Time-lapse recorded
▪ BG update completed successfully</t>
  </si>
  <si>
    <t>Update
(Remove USB)</t>
  </si>
  <si>
    <t>BAS_010</t>
  </si>
  <si>
    <t>[Update] : USB removal</t>
  </si>
  <si>
    <t>Remove USB while transferring update files</t>
  </si>
  <si>
    <t>▪ Insert the USB memory stick containing the previous version update file into the CCNC USB port.
▪ Proceed with the update when the update progress pop-up appears.
▪ Remove the USB within 5 seconds of the progress bar appearing.</t>
  </si>
  <si>
    <t>▪ Keep current version (Cancel update)</t>
  </si>
  <si>
    <t>과거차문제
PASTI-342
[SVM 사양] .img 파일로 업데이트 완료 후 빌트인 캠 진입 시 블랙화면</t>
  </si>
  <si>
    <t>Removed during BG update</t>
  </si>
  <si>
    <t>▪ Save update files to USB and install BLTN_CAM
▪ Proceed with the update
▪ Remove during the BG update, turn the KEY OFF, and perform the FG update.</t>
  </si>
  <si>
    <t>▪ Update continues
▪ Update complete</t>
  </si>
  <si>
    <t>Removal during FG update</t>
  </si>
  <si>
    <t>▪ Save update file to USB and install BLTN_CAM
▪ Proceed with update
▪ Remove FG during update</t>
  </si>
  <si>
    <t>[Update] : Power Condition Manipulation</t>
  </si>
  <si>
    <t>Key OFF during BG update</t>
  </si>
  <si>
    <t>▪ Save the update file to a USB memory stick and insert it.
▪ Proceed with the BG update.</t>
  </si>
  <si>
    <t>▪ Update in progress</t>
  </si>
  <si>
    <t>과거차문제
PASTI-342
[SVM 사양] .img 파일로 업데이트 완료 후 빌트인 캠 진입 시 블랙화면
과거차문제
PASTI-316
MCU 업데이트 중 시동 On/Off 시 간혈적으로 비정상 업데이트 됨
과거차문제
PASTI-372
OTA 업데이트 중 전원 Off 시 간헐적으로 공통 영역 손상되어 빌트인캠 모드 진입 안됨</t>
  </si>
  <si>
    <t>▪ Left idle until Sleep after turning off the key during an update</t>
  </si>
  <si>
    <t>▪ Enters normal sleep after BG update is complete</t>
  </si>
  <si>
    <t>▪ Turn Key On after 1 minute to configure CCNC - Go to General Menu
▪ Confirm the message indicating that an update will be performed upon parking.</t>
  </si>
  <si>
    <t>▪ Check Update (FG Update) Standby Status</t>
  </si>
  <si>
    <t>▪ Touch [Install Now] popup</t>
  </si>
  <si>
    <t>▪ Update complete (BLTN_CAM_SWVerMajor', Minor1 ~ 3 signals)</t>
  </si>
  <si>
    <t>Key ON during FG update</t>
  </si>
  <si>
    <t>▪ BG Update Complete</t>
  </si>
  <si>
    <t>▪ KEY OFF
▪ Touch [Install Now] popup</t>
  </si>
  <si>
    <t>▪ Update (FG Update) in progress</t>
  </si>
  <si>
    <t>▪ Turn KEY ON while FG update is in progress</t>
  </si>
  <si>
    <t>▪ Maintain update progress (progress bar screen)</t>
  </si>
  <si>
    <t>▪ Confirm update complete</t>
  </si>
  <si>
    <t>B+ Reset during update (File Transfer Phase)</t>
  </si>
  <si>
    <t>▪ Insert the USB memory stick containing the update file into the ccNC USB port.
▪ Proceed with the update when the update progress popup appears.
▪ Reset B+ when the progress bar reaches 40%.</t>
  </si>
  <si>
    <t>▪ Reset B+ and continue with the update to complete</t>
  </si>
  <si>
    <t>B+ Reset during update (BG Update phase)</t>
  </si>
  <si>
    <t>▪ Insert the USB memory stick containing the update file into the ccNC USB port.
▪ Proceed with the update when the update progress popup appears.
▪ Reset B+ when the second progress bar reaches 80%.</t>
  </si>
  <si>
    <t>B+ Reset during update (Camera Update)</t>
  </si>
  <si>
    <t>▪ Insert the USB memory stick containing the update file into the ccNC USB port.
▪ Proceed with the update when the update progress popup appears.
▪ Check the ADB log and perform a B+ Reset while the camera is updating.
[saveDLT:53] INFO Current update device... [ Front radar ] Perform a B+ Reset at this point.</t>
  </si>
  <si>
    <t>▪ Reset B+ and continue the update to complete
▪ Check Radar/ISP version</t>
  </si>
  <si>
    <t>[Update] Manipulating Update Files</t>
  </si>
  <si>
    <t>BAS_012</t>
  </si>
  <si>
    <t>Attempt to update to the previous version</t>
  </si>
  <si>
    <t>▪ Insert the USB memory stick containing the previous version update file into the ccNC USB port.
▪ Proceed with the update when the update progress popup appears.</t>
  </si>
  <si>
    <t>▪ Maintain current version (cannot update)</t>
  </si>
  <si>
    <t>Attempt to update to the same version</t>
  </si>
  <si>
    <t>▪ Insert a USB memory stick containing the update file of the same version into the ccNC USB port.
▪ Proceed with the update when the update progress popup appears.</t>
  </si>
  <si>
    <t>▪ Maintain current version (re-perform update)</t>
  </si>
  <si>
    <t>Attempting to update with a file from a different car model</t>
  </si>
  <si>
    <t>▪ Change the update filename for other vehicle models to match the corresponding model.
▪ Insert the USB memory stick containing the update files into the ccNC USB port.
▪ Proceed with the update when the update progress popup appears.</t>
  </si>
  <si>
    <t>Variation of normal update file extension</t>
  </si>
  <si>
    <t>▪ Change the file extension of the update file for the corresponding vehicle model on the USB memory stick
▪ Proceed with the update</t>
  </si>
  <si>
    <t>▪ Will not proceed with the update</t>
  </si>
  <si>
    <t>When there is an integrated update file for the relevant vehicle model &amp; an integrated update file for other vehicle models</t>
  </si>
  <si>
    <t>▪ Save update files for the corresponding model &amp; other models to USB
▪ Proceed with update</t>
  </si>
  <si>
    <t>▪ Successfully updated to the corresponding vehicle model
▪ Update complete popup displayed normally</t>
  </si>
  <si>
    <t>Attempting to update with abnormal files</t>
  </si>
  <si>
    <t>▪ Rename the MP4 file to match the update file name for the corresponding vehicle model.
▪ Insert the USB memory stick containing the update file into the CCNC USB port.
▪ Proceed with the update when the update progress popup appears.</t>
  </si>
  <si>
    <t>No file</t>
  </si>
  <si>
    <t>▪ Insert USB memory (No update file)
▪ Enter [Built-in Cam Software Info]
▪ Touch [Update]</t>
  </si>
  <si>
    <t>▪ [Popup Message]
: Update file not found. Please check the USB memory.</t>
  </si>
  <si>
    <t>Abnormal file</t>
  </si>
  <si>
    <t>▪ Insert USB memory (contains abnormal update file)
- Change the name/extension of an arbitrary .txt file as follows and insert it
NE.BLTN_CAM.KOR.01.00_m00.00_c00.00_201230.img
▪ Enter [Built-in Cam Software Info]
▪ Touch [System Update]</t>
  </si>
  <si>
    <t>▪ [Popup Message]
: The built-in cam update file is corrupted or does not exist.</t>
  </si>
  <si>
    <t>Perform update with corrupted data</t>
  </si>
  <si>
    <t>▪ Open the update file with HxD software and arbitrarily modify the data.
▪ Insert the USB memory stick containing the update file into the ccNC USB port.
▪ Proceed with the update when the update progress popup appears.</t>
  </si>
  <si>
    <t>[Update] Ken Bu-boo-shi Update</t>
  </si>
  <si>
    <t>Impact of Can Load Status Update</t>
  </si>
  <si>
    <t>Verify update operation under CAN load (CAN Bus load 60% or higher)</t>
  </si>
  <si>
    <t>▪ Maintain CAN bus load above 60%
(※ Transmit NM signal; maintain bus load above 60% by adjusting the signal cycle and transmitting)
▪ Proceed with H-OTA normal version update (Proceed with HU OTA USB update for specific vehicle models)
▪ During the FG update phase, turn off the key to proceed with parking recording
▪ Verify update progress</t>
  </si>
  <si>
    <t>▪ Verify that the update has been successfully completed
▪ Resume parking recording normally
▪ BLTN_CAM_RecSta_OWP = 0x1(Recording)</t>
  </si>
  <si>
    <t>▪ ↑
▪ Parking recording in progress
▪ Enters Sleep after signal transmission stops
▪ Impact applied</t>
  </si>
  <si>
    <t>▪ Verify BLTN_CAM_RecSta_OWP = 0x1(Recording)
▪ Verify BLTN_CAM_RecSta_PEV = 0x1(Recording)
▪ Verify BLTN_CAM_PEV_Recorded = 0x2(Recorded)</t>
  </si>
  <si>
    <t>[BLTN_CAM-Function-033] Video Output, Vehicle Mode, etc.</t>
  </si>
  <si>
    <t>[Check rearview camera inversion]</t>
  </si>
  <si>
    <t>Check MV1 rear camera inversion</t>
  </si>
  <si>
    <t>▪ Check after creating the continuous driving recording file
▪ Check real-time video</t>
  </si>
  <si>
    <t>▪ The rear view will be inverted vertically</t>
  </si>
  <si>
    <t>NE N Rear Camera Vertical Inversion Check</t>
  </si>
  <si>
    <t>KA4 PE Rear Camera Vertical Inversion Check</t>
  </si>
  <si>
    <t>ME Rearview Camera Vertical Inversion Check</t>
  </si>
  <si>
    <t>[SD Card Format Function Signal] BLTN_CAM_SD_Format_Op_State</t>
  </si>
  <si>
    <t>BAS_014</t>
  </si>
  <si>
    <t>Check SD card format status signal default value</t>
  </si>
  <si>
    <t>▪ CF_AVN_BLTN_CAM_RecReset = 0x0:Default</t>
  </si>
  <si>
    <t>▪ BLTN_CAM_SD_Format_Op_State = 0x0:Default</t>
  </si>
  <si>
    <t>Check the progress status signal after requesting SD card formatting in AVN</t>
  </si>
  <si>
    <t>▪ CF_AVN_BLTN_CAM_RecReset = 0x1:Record Data Reset(format)</t>
  </si>
  <si>
    <t>▪ BLTN_CAM_SD_Format_Op_State = 0x1:Formatting</t>
  </si>
  <si>
    <t>Verify signal transmission after SD card formatting is complete</t>
  </si>
  <si>
    <t>▪ Check signal at the time formatting is complete</t>
  </si>
  <si>
    <t>▪ BLTN_CAM_SD_Format_Op_State = 0x2:Format Complete.</t>
  </si>
  <si>
    <t>Verify return to default values ​​after SD card formatting</t>
  </si>
  <si>
    <t>▪ Check signal after formatting is complete</t>
  </si>
  <si>
    <t>Check for malfunction with undefined value (0x2:Reserved)</t>
  </si>
  <si>
    <t>▪ CF_AVN_BLTN_CAM_RecReset = 0x2:Reserved</t>
  </si>
  <si>
    <t>▪ Retain previous value (default value)</t>
  </si>
  <si>
    <t>▪ CF_AVN_BLTN_CAM_RecReset = 0x3:Invalid</t>
  </si>
  <si>
    <t>[Recording Settings and Options Message] HU_BLTN_CAM_E_00</t>
  </si>
  <si>
    <t>Continuous Driving Recording Setting ON/OFF ON/OFF</t>
  </si>
  <si>
    <t>▪ BLTN_CAM_Rec_OWD_NvalueSet = 0x2:ON ↔ 0x1:OFF(Check for switching repetition)</t>
  </si>
  <si>
    <t>▪ BLTN_CAM_RecSet_OWD = 0x2:ON ↔ 0x1:OFF(Verify switching repetition)</t>
  </si>
  <si>
    <t>Driving Event Recording Settings ON/OFF</t>
  </si>
  <si>
    <t>▪ BLTN_CAM_Rec_DEV_NvalueSet = 0x2:ON ↔ 0x1:OFF(Verify switching repetition)</t>
  </si>
  <si>
    <t>▪ BLTN_CAM_RecSet_DEV = 0x2:ON ↔ 0x1:OFF(Verify switching repetition)</t>
  </si>
  <si>
    <t>Parking Continuous Recording Setting ON/OFF</t>
  </si>
  <si>
    <t>▪ BLTN_CAM_Rec_OWP_NvalueSet = 0x2:ON ↔ 0x1:OFF(Check switching repetition)</t>
  </si>
  <si>
    <t>▪ BLTN_CAM_RecSet_OWP = 0x2:ON ↔ 0x1:OFF(Verify switching repetition)</t>
  </si>
  <si>
    <t>Parking Event Recording Settings ON/OFF</t>
  </si>
  <si>
    <t>▪ BLTN_CAM_Rec_PEV_NvalueSet = 0x2:ON ↔ 0x1:OFF(Verify switching repetition)</t>
  </si>
  <si>
    <t>▪ BLTN_CAM_RecSet_PEV = 0x2:ON ↔ 0x1:OFF(Verify switching repetition)</t>
  </si>
  <si>
    <t>Parking Motion Recording Settings ON/OFF</t>
  </si>
  <si>
    <t>▪ BLTN_CAM_PMD_NvalueSet = 0x2:ON ↔ 0x1:OFF(Verify switching repetition)</t>
  </si>
  <si>
    <t>▪ BLTN_CAM_Set_PMD = 0x2:ON ↔ 0x1:OFF(Verify switching repetition)</t>
  </si>
  <si>
    <t>Domestic/Japan/Russia Recording Settings ON/OFF</t>
  </si>
  <si>
    <t>▪ BLTN_CAM_AudRec_NvalueSet = 0x2:ON ↔ 0x1:OFF(Verify switching repetition)</t>
  </si>
  <si>
    <t>▪ BLTN_CAM_AudRec_Set = 0x2:ON ↔ 0x1:OFF(Verify switching repetition)</t>
  </si>
  <si>
    <t>North America/Europe/Middle East recording settings OFF</t>
  </si>
  <si>
    <t>▪ BLTN_CAM_AudRec_Set = 0x0 : Default(Confirm to keep)
※ North American version</t>
  </si>
  <si>
    <t>Speed ​​Stamp Setting ON/OFF</t>
  </si>
  <si>
    <t>▪ BLTN_CAM_Spd_Stm_NvalueSet = 0x2:ON ↔ 0x1:OFF(Verify switching repetition)</t>
  </si>
  <si>
    <t>▪ BLTN_CAM_Set_Spd_stm = 0x2:ON ↔ 0x1:OFF(Verify switching repetition)</t>
  </si>
  <si>
    <t>Location Stamp Settings ON/OFF</t>
  </si>
  <si>
    <t>▪ BLTN_CAM_Locatn_Stm_NvalueSet = 0x2:ON ↔ 0x1:OFF(Verify switching repetition)</t>
  </si>
  <si>
    <t>▪ BLTN_CAM_Set_Locatn_stm = 0x2:ON ↔ 0x1:OFF(Verify switching repetition)</t>
  </si>
  <si>
    <t>Turn Signal Stamp Setting ON/OFF</t>
  </si>
  <si>
    <t>▪ BLTN_CAM_TrnSig_Stm_NvalueSet = 0x2:ON ↔ 0x1:OFF(Verify switching repetition)</t>
  </si>
  <si>
    <t>▪ BLTN_CAM_Set_TrnSig_stm = 0x2:ON ↔ 0x1:OFF(Verify switching repetition)</t>
  </si>
  <si>
    <t>Gear Position Stamp Setting ON/OFF</t>
  </si>
  <si>
    <t>▪ BLTN_CAM_GearPos_Stm_NvalueSet = 0x2:ON ↔ 0x1:OFF(Verify switching repetition)</t>
  </si>
  <si>
    <t>▪ BLTN_CAM_Set_GearPos_stm = 0x2:ON ↔ 0x1:OFF(Verify switching repetition)</t>
  </si>
  <si>
    <t>Event Sensitivity Stamp Setting ON/OFF</t>
  </si>
  <si>
    <t>▪ BLTN_CAM_EVSen_Stm_NvalueSet = 0x2:ON ↔ 0x1:OFF(Verify switching repetition)</t>
  </si>
  <si>
    <t>▪ BLTN_CAM_Set_EVSen_stm = 0x2:ON ↔ 0x1:OFF(Verify switching repetition)</t>
  </si>
  <si>
    <t>[Factory Reset] (2)
: Vehicle Mode
※ Factory / Dealer / Customer Mode
- GW_HU_PE_09(std type1 DN8~)
- ICU_08_200ms(std type2 NX4~)</t>
  </si>
  <si>
    <t>BAS_016</t>
  </si>
  <si>
    <t>[Reset] : Vehicle Mode</t>
  </si>
  <si>
    <t>0x0: Factory Mode
- Delete entire video</t>
  </si>
  <si>
    <t>▪ ICUPowerAutoCutMode = 0x0(Factory mode)
▪ Create recorded video, change recording settings
▪ ACC &amp; IGN OFF → ON
▪ Check whether saved video has been deleted</t>
  </si>
  <si>
    <t>▪ All saved videos will be deleted
- Factory reset,</t>
  </si>
  <si>
    <t>▪ Reset settings</t>
  </si>
  <si>
    <t>▪ Parking recording is not available in Factory/Transport mode. Message displayed</t>
  </si>
  <si>
    <t>0x1: Dealer Mode
- Delete entire video</t>
  </si>
  <si>
    <t>▪ ICUPowerAutoCutMode = 0x1(Dealer mode)
▪ Create recorded video, change recording settings
▪ ACC &amp; IGN OFF → ON
▪ Check whether saved video has been deleted</t>
  </si>
  <si>
    <t>0x2: Customer Mode
- Video not deleted</t>
  </si>
  <si>
    <t>▪ ICUPowerAutoCutMode = 0x2(Customer mode)
▪ Create recorded video, change recording settings
▪ ACC &amp; IGN OFF → ON
▪ Check whether saved video has been deleted</t>
  </si>
  <si>
    <t>▪ Maintain saved video</t>
  </si>
  <si>
    <t>[Initialization] : Vehicle Mode (time-out, Error)</t>
  </si>
  <si>
    <t>0x0: Factory Mode → No signal received (Time Out)</t>
  </si>
  <si>
    <t>▪ ICUPowerAutoCutMode = 0x0(Factory mode) → Time Out
▪ Create recorded video, change recording settings
▪ ACC &amp; IGN OFF → ON
▪ Check whether saved video has been deleted</t>
  </si>
  <si>
    <t>▪ All saved videos will be deleted
- Factory reset</t>
  </si>
  <si>
    <t>0x1: Dealer Mode → No signal received (Time Out)</t>
  </si>
  <si>
    <t>▪ ICUPowerAutoCutMode = 0x1(Dealer mode) → Time Out
▪ Create recorded video, change recording settings
▪ ACC &amp; IGN OFF → ON
▪ Check whether saved video has been deleted</t>
  </si>
  <si>
    <t>0x2: Customer Mode → No Signal Received (Time Out)</t>
  </si>
  <si>
    <t>▪ ICUPowerAutoCutMode = 0x2(Customer mode) → Time Out
▪ Create recorded video, change recording settings
▪ ACC &amp; IGN OFF → ON
▪ Check whether saved video has been deleted</t>
  </si>
  <si>
    <t>0x0: Factory Mode → Receive other values</t>
  </si>
  <si>
    <t>▪ ICUPowerAutoCutMode = 0x0(Factory mode) → Error Indicator
▪ Create recorded video, change recording settings
▪ ACC &amp; IGN OFF → ON
▪ Check whether saved video has been deleted</t>
  </si>
  <si>
    <t>0x1: Dealer Mode → Receive other values</t>
  </si>
  <si>
    <t>▪ ICUPowerAutoCutMode = 0x1(Dealer mode) → Error Indicator
▪ Create recorded video, change recording settings
▪ ACC &amp; IGN OFF → ON
▪ Check whether saved video has been deleted</t>
  </si>
  <si>
    <t>0x2: Customer Mode → Receive other values</t>
  </si>
  <si>
    <t>▪ ICUPowerAutoCutMode = 0x2(Customer mode) → Error Indicator
▪ Create recorded video, change recording settings
▪ ACC &amp; IGN OFF → ON
▪ Check whether saved video has been deleted</t>
  </si>
  <si>
    <t>▪ Keep settings</t>
  </si>
  <si>
    <t>[Operational Performance] PER_031 Identical test case</t>
  </si>
  <si>
    <t>BAS_018</t>
  </si>
  <si>
    <t>[Initialization] : Vehicle Mode Complex Conditions</t>
  </si>
  <si>
    <t>0x0: Factory Mode → 0x2: Customer Mode
- Delete all videos</t>
  </si>
  <si>
    <t>▪ ICUPowerAutoCutMode = 0x0: Factory Mode
▪ Create recorded video, change recording settings
▪ ICUPowerAutoCutMode = 0x2: Customer Mode</t>
  </si>
  <si>
    <t>▪ Delete all saved videos</t>
  </si>
  <si>
    <t>0x1: Dealer Mode → 0x2: Customer Mode
- Delete entire video</t>
  </si>
  <si>
    <t>▪ ICUPowerAutoCutMode = 0x1: Dealer Mode
▪ Create recorded video, change recording settings
▪ ICUPowerAutoCutMode = 0x2: Customer Mode</t>
  </si>
  <si>
    <t>With power condition B+,
0x0: Factory Mode → 0x2: Customer Mode
- Delete entire video</t>
  </si>
  <si>
    <t>▪ ICUPowerAutoCutMode = 0x2(Customer mode)
▪ ACC &amp; IGN OFF
▪ ICUPowerAutoCutMode = 0x0: Factory Mode
▪ Wait for 3 seconds or more after turning ACC &amp; IGN ON
▪ 0x0: Factory Mode → 0x2: Customer Mode
▪ Check whether saved footage has been deleted</t>
  </si>
  <si>
    <t>With power condition B+
0x1: Dealer Mode → 0x2: Customer Mode
- Delete entire video</t>
  </si>
  <si>
    <t>▪ ICUPowerAutoCutMode = 0x2(Customer mode)
▪ ACC &amp; IGN OFF
▪ ICUPowerAutoCutMode = 0x1: Dealer Mode
▪ Wait for at least 3 seconds after turning ACC &amp; IGN ON
▪ 0x1: Dealer Mode → 0x2: Customer Mode
▪ Check whether saved video has been deleted</t>
  </si>
  <si>
    <t>Filtering 3 seconds after IGN ON
- 0x0: Factory Mode → 0x2: Customer Mode
- 0x1: Dealer Mode → 0x2: Customer Mode</t>
  </si>
  <si>
    <t>▪ ICUPowerAutoCutMode = 0x2: Customer Mode
▪ ACC &amp; IGN OFF
▪ ICUPowerAutoCutMode = 0x0: Factory Mode
▪ Before 3 seconds after ACC &amp; IGN ON
▪ 0x0: Factory Mode → 0x2: Customer Mode
▪ Check whether saved footage has been deleted</t>
  </si>
  <si>
    <t>▪ ICUPowerAutoCutMode = 0x2: Customer Mode
▪ ACC &amp; IGN OFF
▪ ICUPowerAutoCutMode = 0x1: Dealer Mode
▪ Before 3 seconds after ACC &amp; IGN ON
▪ 0x1: Dealer Mode → 0x2: Customer Mode
▪ Check whether saved video has been deleted</t>
  </si>
  <si>
    <t>Filtering 3 seconds after ACC ON
- 0x0: Factory Mode → 0x2: Customer Mode
- 0x1: Dealer Mode → 0x2: Customer Mode</t>
  </si>
  <si>
    <t>▪ ICUPowerAutoCutMode = 0x2: Customer Mode
▪ ACC &amp; IGN OFF
▪ ICUPowerAutoCutMode = 0x0: Factory Mode
▪ Before 3 seconds after ACC is turned on
▪ 0x0: Factory Mode → 0x2: Customer Mode
▪ Check whether saved footage has been deleted</t>
  </si>
  <si>
    <t>▪ ICUPowerAutoCutMode = 0x2: Customer Mode
▪ ACC &amp; IGN OFF
▪ ICUPowerAutoCutMode = 0x1: Dealer Mode
▪ Before 3 seconds after ACC is turned on
▪ 0x1: Dealer Mode → 0x2: Customer Mode
▪ Check whether saved footage has been deleted</t>
  </si>
  <si>
    <t>If the failure occurs during the camera update, output version Z.00.
- After resetting B+ while a DTC is active, check for a camera re-update when the power remains on for at least 5 seconds with IGN.
- After resetting the USM, check if the camera is re-updated (check the camera version during the built-in cam version check process).</t>
  </si>
  <si>
    <t>Camera Recovery Update Operation
※ When 3-byte is applied
- Front camera input error fault code: B16E3-93
- Rear camera input error fault code: B16E4-93</t>
  </si>
  <si>
    <t>Proceeding in customer mode. Camera version Z.00 due to camera update failure.
Front/rear camera DTC status, check for camera update.</t>
  </si>
  <si>
    <t>▪ Force update failure by removing the camera while ADB update is in progress -&gt; Verify camera version Z.00
(Recovery operation if the camera version differs from the controller's camera version)
▪ Request Read DTC Information
- Front camera input error fault code (B16E4-00): Check for past faults
- Rear camera input error fault code (B16E5-00): Check for past faults
▪ KEY OFF
▪ Vehicle network sleep (can + eth)
▪ Check for camera re-update (takes approximately 5 minutes)</t>
  </si>
  <si>
    <t>▪ Check camera re-update (Check recovery operation)
(BICIM2-1026)</t>
  </si>
  <si>
    <t>Proceeding in customer mode. Camera version Z.00 due to camera update failure.
Check if camera re-updates after USM reset.</t>
  </si>
  <si>
    <t>▪ Force update failure by removing the camera while ADB update is in progress -&gt; Verify camera version Z.00
(Recovery operation if the camera version differs from the controller's camera version)
▪ Request Read DTC Information
- Front camera input error fault code (B16E4-00): Check for past faults
- Rear camera input error fault code (B16E5-00): Check for past faults
▪ CF_AVN_BLTN_CAM_USMReset = 0x1 (Built-in Cam USM Reset)
▪ KEY OFF
▪ Vehicle network sleep (can + eth)
▪ Check camera re-update (takes approximately 5 minutes)</t>
  </si>
  <si>
    <t>▪ Check camera re-update (Check recovery operation)</t>
  </si>
  <si>
    <t>Proceeding in customer mode. Camera version Z.00 due to camera update failure.
Disconnect vehicle power and check if the camera is re-updated.</t>
  </si>
  <si>
    <t>▪ Force update failure by removing the camera while ADB update is in progress -&gt; Verify camera version Z.00
(Recovery operation if the camera version differs from the controller's camera version)
▪ Request Read DTC Information
- Front camera input error fault code (B16E4-00): Check for past faults
- Rear camera input error fault code (B16E5-00): Check for past faults
▪ Reset B+
▪ KEY OFF
▪ Vehicle network sleep (can + eth)
▪ Verify camera re-update (takes approximately 5 minutes)</t>
  </si>
  <si>
    <t>Check for camera updates in factory mode
- Camera Update X</t>
  </si>
  <si>
    <t>▪ Force update failure by removing the camera while ADB update is in progress -&gt; Verify camera version Z.00
(Recovery operation if the camera version differs from the controller's camera version)
▪ Request Read DTC Information
- Front camera input error fault code (B16E4-00): Check for past faults
- Rear camera input error fault code (B16E5-00): Check for past faults
▪ [ICU_08_200ms] ICU_PowerAutoCutModSta = 0x00(Factory Mode)
▪ Reset B+
▪ KEY OFF
▪ Vehicle network sleep (can + eth)
▪ Check for camera re-update (takes approximately 5 minutes)</t>
  </si>
  <si>
    <t>▪ Check Camera Version Z.00
▪ Check for Camera DTCs
▪ Front/Rear Camera Update Not Performed</t>
  </si>
  <si>
    <t>Saving NSS built-in cam logs</t>
  </si>
  <si>
    <t>BAS_021</t>
  </si>
  <si>
    <t>Check NSS log files</t>
  </si>
  <si>
    <t>▪ ADB Connection (Authorized)
▪ Check dvrs log file
sudo -u nss ls -l /mnt/data/share/nss/log/dvrs</t>
  </si>
  <si>
    <t>▪ Check DVRs log file list
Example) dvrs_1_202500827_125509.dlt</t>
  </si>
  <si>
    <t>▪Check sys log files
sudo -u nss ls -l /mnt/data/share/nss/log/sys</t>
  </si>
  <si>
    <t>▪ Check sys log file list
Example) dvrs_1_202500827_125509.dlt</t>
  </si>
  <si>
    <t>▪Check AIS log file
sudo -u nss ls -l /mnt/data/share/nss/log/ais</t>
  </si>
  <si>
    <t>▪ Check AIS log file list
Example) dvrs_1_202500827_125509.it</t>
  </si>
  <si>
    <t>▪Copy log to another path
sudo -u nss cp -r /mnt/data/share/nss/log /home/nss
▪Extract dlt file with filename nss_log
adb pull /home/nss nss_log
▪Open log file with DltViewerSDK</t>
  </si>
  <si>
    <t>▪Logs will be saved successfully</t>
  </si>
  <si>
    <t>NSS connection/disconnection verification</t>
  </si>
  <si>
    <t>BAS_022</t>
  </si>
  <si>
    <t>NSS connection/disconnection via Built-in Cam B+ power</t>
  </si>
  <si>
    <t>▪ADB Connection (Authorized)
▪Real-time Journal Log Output
journalctl -f | grep "CCS"
▪Built-in Cam B+/ACC/IGN OFF</t>
  </si>
  <si>
    <t>▪Verify NSS release log output
NSS Release : SOMEIP CSS] Success umount</t>
  </si>
  <si>
    <t>▪Built-in Cam B+/ACC/IGN ON</t>
  </si>
  <si>
    <t>▪Check NSS connection log output
NSS Connection: SOMEIP CSS] Success mount</t>
  </si>
  <si>
    <t>NSS connection/disconnection via Ethernet connection</t>
  </si>
  <si>
    <t>▪ Disconnect Ethernet cable</t>
  </si>
  <si>
    <t>▪ Connect Ethernet cable</t>
  </si>
  <si>
    <t>[BLTN_CAM-OperationPerformance-001]</t>
  </si>
  <si>
    <t>Measurement of power consumption and power-off quiescent current during driving and parking recording</t>
  </si>
  <si>
    <t>[Power Consumption Measurement]</t>
  </si>
  <si>
    <t>Power consumption during driving recording</t>
  </si>
  <si>
    <t>▪ All recording settings ON (OSD functions ON)
▪ AVN mode
▪ Recording in full motion + Switch/Impact events + Time-lapse
▪ Power consumption measurement</t>
  </si>
  <si>
    <t>■ Vehicles with 30 FPS rearview camera
▪ 10.32 Watt or less (860 mA @ 12 V)
■ Vehicles with 60 FPS rearview camera
▪ 12.36 Watt or less (1.03 A @ 12 V)</t>
  </si>
  <si>
    <t>측정 전력 기록
: mA * V = .W</t>
  </si>
  <si>
    <t>Checking for dark current during parking recording</t>
  </si>
  <si>
    <t>(Applicable only to models using an auxiliary battery)
▪ Text notification function OFF
▪ KEY OFF
▪ Enter Sleep
▪ Always-on Parking + Switch/Impact Event
▪ B+ Dark Current Measurement</t>
  </si>
  <si>
    <t>▪ Auxiliary Battery Specifications: B+ Current Consumption 2mA or less (@12V)</t>
  </si>
  <si>
    <t xml:space="preserve">(보조배터리 사양)
측정 값 기록
: .mA, V
</t>
  </si>
  <si>
    <t>Power consumption during parking recording</t>
  </si>
  <si>
    <t>▪ Parking recording in progress
▪ Waiting until Sleep mode is activated
▪ Power consumption measurement
: Vehicles using auxiliary battery 11-pin (LBM_PWR)
Vehicles using eAGM (B+) 1-pin (B+)</t>
  </si>
  <si>
    <t>▪ Power Bank Specifications: 6.48W or less (540mA @ 12V)
▪ eAGM Battery Specifications: 6.84W or less (570mA @ 12V)</t>
  </si>
  <si>
    <t>(보조배터리 사양)
측정 전력 기록
: mA * .V = .W
(eAGM 배터리 사양)
측정 전력 기록
: mA * V = .W</t>
  </si>
  <si>
    <t>Power consumption during parking recording (communication alive status)</t>
  </si>
  <si>
    <t>▪ Parking recording in progress
▪ Waiting until Sleep mode is entered
▪ Maintains Alive status after communication wakes up
▪ Power consumption measurement
: Vehicles using auxiliary battery 11-pin (LBM_PWR)
Vehicles using eAGM (B+) 1-pin (B+)</t>
  </si>
  <si>
    <t>Power Off Check Dark Current</t>
  </si>
  <si>
    <t>▪ All recording settings OFF
▪ KEY OFF
▪ B+ Dark current measurement</t>
  </si>
  <si>
    <t>측정 값 기록
: .mA, V</t>
  </si>
  <si>
    <t>(2.5th Generation)
Motion Detection Recording Standby Power Consumption</t>
  </si>
  <si>
    <t>▪ Motion Detection Recording Setting ON
▪ KEY OFF
▪ Motion Detection Recording Standby State
▪ Power Consumption Measurement of Auxiliary Battery</t>
  </si>
  <si>
    <t>▪ Power Bank Specifications: 0.9W or less (75mA@12V)
(SuperCap Charging Off Condition)
▪ eAGM Battery Specifications: 80mA or less</t>
  </si>
  <si>
    <t>(보조배터리 사양)
측정 전력 기록
: mA * V = .W
(eAGM 배터리 사양)
측정 값 기록
: mA, V</t>
  </si>
  <si>
    <t>(2.5th Generation)
Motion Detection Recording Power Consumption</t>
  </si>
  <si>
    <t>▪ Motion Detection Recording Setting ON
▪ KEY OFF
▪ Motion Detection Recording Operation
▪ Repeats 20 seconds of motion detection followed by 40 seconds of pause for 1 hour
▪ Power Bank Power Consumption Measurement</t>
  </si>
  <si>
    <t>■ Front/Rear Camera 10FPS Vehicle Models
▪ Auxiliary Battery Specifications: 7.02W or less (585mA@12V)
▪ eAGM Battery Specifications: 7.44W or less (620mA@12V)
■ Rear Camera 30FPS Vehicle Models
▪ Auxiliary Battery Specifications: 7.74W or less (645mA@12V)
▪ eAGM Battery Specifications: 8.28W or less (690mA@12V)
■ Rear Camera 60FPS Vehicle Models
▪ Auxiliary Battery Specifications: 8.4W or less (700mA@12V)
▪ eAGM Battery Specifications: 9W or less (750mA@12V)</t>
  </si>
  <si>
    <t>(보조배터리 사양)
측정 전력 기록
: mA * V = .W
(eAGM 배터리 사양)
측정 값 기록
: mA * V = .W</t>
  </si>
  <si>
    <t>(2.5th Generation)
Performance Recording Power Consumption</t>
  </si>
  <si>
    <t>▪ Start Performance Recording
▪ N mode
▪ Performance Recording Status
▪ Power Consumption Measurement</t>
  </si>
  <si>
    <t>▪ 10.32 Watt or less (860mA@12V)
(Specifications undetermined, current power consumption measurement record)</t>
  </si>
  <si>
    <t>[BLTN_CAM-OperationPerformance-002]</t>
  </si>
  <si>
    <t>[Operation Modes by Power Condition]</t>
  </si>
  <si>
    <t>ACC ON (Driving Recording Operation Mode)</t>
  </si>
  <si>
    <t>▪ ACC ON
▪ Check Application message output (Driving recording in progress)</t>
  </si>
  <si>
    <t>BLTN_CAM_RecSta_OWD = 0x1(Recording)</t>
  </si>
  <si>
    <t>▪Check NM_BLTN_CAM message output</t>
  </si>
  <si>
    <t>Output of NM_BLTN_CAM and Application messages</t>
  </si>
  <si>
    <t>IGN ON (Driving Recording Operation Mode)</t>
  </si>
  <si>
    <t>▪ ACC, IGN ON
▪ Check Application message output (During driving recording)</t>
  </si>
  <si>
    <t>KEY OFF (Parking Recording Mode)</t>
  </si>
  <si>
    <t>▪ ACC &amp; IGN OFF
▪ No messages received
▪ Check Network Sleep status</t>
  </si>
  <si>
    <t>Stop CAN and Ethernet message output</t>
  </si>
  <si>
    <t>▪ Check B+ power consumption</t>
  </si>
  <si>
    <t>Dark current less than 2mA</t>
  </si>
  <si>
    <t>[Check ACC ON/OFF Recognition]
Use a 2-channel power supply, maintain B+ at 12V</t>
  </si>
  <si>
    <t>[ACC Power Input]</t>
  </si>
  <si>
    <t>Check ACC ON recognition</t>
  </si>
  <si>
    <t>▪ Continuous recording setting while driving
※ Using 2-channel power supply, B+ maintained at 12V
▪ Communication Alive
▪ ACC ON</t>
  </si>
  <si>
    <t>▪ Start continuous recording while driving ▪ Confirm Normal, NM Tx signal transmission</t>
  </si>
  <si>
    <t>▪ Check if the operating current is within the normal range</t>
  </si>
  <si>
    <t>Check ACC OFF filtering time (100ms)</t>
  </si>
  <si>
    <t>▪ Continuous driving recording in progress, Communication Alive status
▪ ACC OFF → ACC ON within 100ms</t>
  </si>
  <si>
    <t>▪ Continuous recording while driving (uninterrupted)</t>
  </si>
  <si>
    <t>▪ Two files are not created when checking the recording files.</t>
  </si>
  <si>
    <t>[Check ACC Recognition Voltage]
Specifications: 7.8V (ON), 7.1V (OFF)</t>
  </si>
  <si>
    <t>[Check ACC Recognition Voltage]</t>
  </si>
  <si>
    <t>Check ACC OFF recognition voltage (7.1V)</t>
  </si>
  <si>
    <t>▪ Driving/Parking Continuous Recording Setting ON
▪ No Rx Signal
▪ Power Input: B+ = 12V, ACC = 12V → 7V</t>
  </si>
  <si>
    <t>▪ End driving recording at ACC = 7.1(±0.2)V
(Start parking recording)
▪ Enter Sleep mode when no external signal is received</t>
  </si>
  <si>
    <t>ACC OFF 전압 기록
 : .V</t>
  </si>
  <si>
    <t>Check ACC ON recognition voltage (7.8V)</t>
  </si>
  <si>
    <t>▪ Continuous Parking Recording
▪ Power Input: B+ = 12V, ACC = 7V → 12V</t>
  </si>
  <si>
    <t>▪ Start driving recording at ACC = 7.8(±0.2)V
▪ Communication Wake up</t>
  </si>
  <si>
    <t>ACC ON 전압 기록
 : .V</t>
  </si>
  <si>
    <t>[IGN ON/OFF Recognition Check]
Use a 2-channel power supply, maintain B+ at 12V
**Verification of IGN ON/OFF Recognition**</t>
  </si>
  <si>
    <t>[IGNITION Power Input]</t>
  </si>
  <si>
    <t>IGN ON recognition confirmation</t>
  </si>
  <si>
    <t>※ Using a 2-channel power supply, maintain B+ = 12V
▪ CAN Alive (Continuous driving recording setting ON)
▪ IGN ON</t>
  </si>
  <si>
    <t>▪ Start continuous recording while driving</t>
  </si>
  <si>
    <t>Check IGN OFF filtering time (100ms)</t>
  </si>
  <si>
    <t>▪ Continuous recording setting while parked
▪ IGN ON
▪ Communication Alive status while driving and recording continuously
▪ IGN ON within 100ms after IGN OFF</t>
  </si>
  <si>
    <t>▪ Maintain driving recording status</t>
  </si>
  <si>
    <t>[Check IGN Recognition Voltage]
Specifications: 7.1V(ON), 7.8V(OFF)</t>
  </si>
  <si>
    <t>Check IGN OFF recognition voltage (7.1V)</t>
  </si>
  <si>
    <t>▪ Driving/Parking Continuous Recording Setting ON
▪ Power Input: B+ = 12V, IGN = 12V → 7.0V</t>
  </si>
  <si>
    <t>▪ Stop driving recording at IGN = 7.1(±0.2)V
(Start parking recording)
▪ Enter Sleep mode when no external signal is received</t>
  </si>
  <si>
    <t>IGN OFF 전압 기록
: .V</t>
  </si>
  <si>
    <t>Check IGN ON recognition voltage (7.8V)</t>
  </si>
  <si>
    <t>▪ Continuous Parking Recording in Progress (Specifications supporting parking recording)
▪ Communication Alive
▪ Power Input: B+ = 12V, IGN = 7.0V → 12V</t>
  </si>
  <si>
    <t>▪ Start driving recording at IGN = 7.8(±0.2)V
▪ Communication Wake up</t>
  </si>
  <si>
    <t>IGN ON 전압 기록
: .V</t>
  </si>
  <si>
    <t>[BLTN_CAM-Operation Performance-003]</t>
  </si>
  <si>
    <t>Diagnostic DTC Record Stabilization Conditions (CAN Specification)
: B+ &amp; IGN = 9.5V ~ 15.5V</t>
  </si>
  <si>
    <t>[Fault Diagnosis] Conditions for Stabilizing Diagnostic DTC Records
※When applying 3 bytes: B16E3-93</t>
  </si>
  <si>
    <t>Outside the 9.5V~15.5V range (faults below 9.5V not recorded)</t>
  </si>
  <si>
    <t>10 V</t>
  </si>
  <si>
    <t>▪ Front camera removal</t>
  </si>
  <si>
    <t>▪ Front camera input error fault code (B16E4-00): Current fault</t>
  </si>
  <si>
    <t>9.4 V</t>
  </si>
  <si>
    <t>▪ Voltage drop of 100mV/3s to 9.4 V</t>
  </si>
  <si>
    <t>▪ From 9.5V: Current fault code → Past fault code</t>
  </si>
  <si>
    <t>. V</t>
  </si>
  <si>
    <t>9.6 V</t>
  </si>
  <si>
    <t>▪ Voltage rise to 9.6 V at 100mV/3s</t>
  </si>
  <si>
    <t>▪ From 9.6V: Past fault codes → Current fault codes</t>
  </si>
  <si>
    <t>Outside the 9.5V~15.5V range (faults exceeding 15.5V not recorded)</t>
  </si>
  <si>
    <t>15 V</t>
  </si>
  <si>
    <t>15.6 V</t>
  </si>
  <si>
    <t>▪ Voltage rise of 100mV/3s to 15.6 V</t>
  </si>
  <si>
    <t>▪ From 15.5V: Current fault code → Past fault code</t>
  </si>
  <si>
    <t>15.4 V</t>
  </si>
  <si>
    <t>▪ Voltage drop of 100mV/3s to 15.4 V</t>
  </si>
  <si>
    <t>▪ From 15.6V: Past fault codes → Current fault codes</t>
  </si>
  <si>
    <t>[BLTN_CAM-OperationPerformance-004 ~ 008]</t>
  </si>
  <si>
    <t>Checking CAN Communication Operating Voltage Range
※ Voltage Operating Range Specifications:
1) CAN Operating Specifications: 7.0V ~ 18V (Hysterisis 0.3V applied)
2) MCU Operating Specifications: 7V~18V (Hysterisis 0.5V applied)
3) CPU Operating Specifications: 8.5V~18V (Hysterisis 0.5V applied)</t>
  </si>
  <si>
    <t>PER_007</t>
  </si>
  <si>
    <t>[Communication Operating Voltage] - CAN</t>
  </si>
  <si>
    <t>Communication impossible (low voltage)</t>
  </si>
  <si>
    <t>0V</t>
  </si>
  <si>
    <t>▪ Power Input: 0V → 7V (0.1V/1s)
※ Test with no active Rx signal</t>
  </si>
  <si>
    <t>▪ Communication unavailable</t>
  </si>
  <si>
    <t>Communication started (voltage rise)</t>
  </si>
  <si>
    <t>6.8 V</t>
  </si>
  <si>
    <t>▪ Power Input: 6.8V → 7.1V(0.1V/1s)</t>
  </si>
  <si>
    <t>▪ Start communication (7.1V ±0.2)</t>
  </si>
  <si>
    <t>통신 시작 전압 기록
 : .V</t>
  </si>
  <si>
    <t>Communication interruption (low voltage drop)</t>
  </si>
  <si>
    <t>7.1 V</t>
  </si>
  <si>
    <t>▪ Power Input: 7.1V → 6.8V (0.1V/1s)</t>
  </si>
  <si>
    <t>▪ Communication interruption (6.8V ±0.2)</t>
  </si>
  <si>
    <t>통신 중단 전압 기록
 : .V</t>
  </si>
  <si>
    <t>Within the communication range</t>
  </si>
  <si>
    <t>▪ Power Input: 7.1V → 18.5V (0.1V/1s)</t>
  </si>
  <si>
    <t>▪ Maintaining communication</t>
  </si>
  <si>
    <t>Communication impossible (high voltage)</t>
  </si>
  <si>
    <t>18.5 V</t>
  </si>
  <si>
    <t>▪ Power Input: 18.0 → 18.6V(0.1V/1s)</t>
  </si>
  <si>
    <t>▪ Communication interruption (18.5V) *Error margin of up to +0.5V allowed</t>
  </si>
  <si>
    <t>Communication start (voltage drop)</t>
  </si>
  <si>
    <t>18.6 V</t>
  </si>
  <si>
    <t>▪ Power Input: 18.6V → 18.0V(0.1V/1s)</t>
  </si>
  <si>
    <t>▪ Resumption of communication (18.0V) *Error margin of up to +0.5V allowed</t>
  </si>
  <si>
    <t>Check Ethernet Communication Operating Voltage Range
※ Ethernet Operating Specifications: 6.5V~18V (Hysteresis 0.5V applied) - Same as 3rd Generation</t>
  </si>
  <si>
    <t>PER_008</t>
  </si>
  <si>
    <t>[Communication Operating Voltage] - Ethernet</t>
  </si>
  <si>
    <t>0 V</t>
  </si>
  <si>
    <t>▪ Power Input: 0V → 6.4V (0.1V/1s)
※ Test with no Rx signal active</t>
  </si>
  <si>
    <t>6.4 V</t>
  </si>
  <si>
    <t>▪ Power Input: 6.4V → 7.0V (0.1V/1s)</t>
  </si>
  <si>
    <t>▪ Booting and communication begin at 6.5V
※ The voltage must be raised by approximately 0.3~4V to prevent the power from shutting off due to boot load.
(Precise measurement is not possible)</t>
  </si>
  <si>
    <t>7 V</t>
  </si>
  <si>
    <t>▪ Power Input: 7.0V → 6.0V (0.1V/1s)</t>
  </si>
  <si>
    <t>▪ Communication interruption (6.0V ±0.2)</t>
  </si>
  <si>
    <t>6.5 V</t>
  </si>
  <si>
    <t>▪ Power Input: 6.5V → 18.0V(0.1V/1s)</t>
  </si>
  <si>
    <t>[BLTN_CAM-OperationPerformance-010 ~ 012]</t>
  </si>
  <si>
    <t>[Sleep Entry Confirmed]
: Parking Recording OFF - 1</t>
  </si>
  <si>
    <t>[Sleep Entry Confirmed] Parking Recording OFF - 1</t>
  </si>
  <si>
    <t>Current Status: IG OFF while entering BLTN_CAM mode</t>
  </si>
  <si>
    <t>▪ Entering BLTN_CAM
→ IG OFF</t>
  </si>
  <si>
    <t>▪ Communication Sleep entry, dark current specifications satisfied (25℃)
: 0.5mA↓ when parking recording is not operating (2mA↓ when operating)</t>
  </si>
  <si>
    <t>Previous Status: IG OFF in BLTN_CAM mode</t>
  </si>
  <si>
    <t>▪ BLTN_CAM Entry State
→ IG OFF</t>
  </si>
  <si>
    <t>Current Status: In BLTN_CAM Mode
Moving to Home, IG OFF</t>
  </si>
  <si>
    <t>Moving to Home after entering BLTN_CAM
→ IG OFF</t>
  </si>
  <si>
    <t>Current Status: IG OFF while driving video is playing</t>
  </si>
  <si>
    <t>▪ Continuous video playback while driving
→ IG OFF</t>
  </si>
  <si>
    <t>Current Status: Turn off IG after driving video playback is complete</t>
  </si>
  <si>
    <t>▪ Continuous video playback completed while driving
→ IG OFF</t>
  </si>
  <si>
    <t>Current Status: IG OFF while displaying real-time video</t>
  </si>
  <si>
    <t>▪ Real-time Video (Front) Display Status
→ IG OFF</t>
  </si>
  <si>
    <t>Current Status: IG OFF while entering N mode</t>
  </si>
  <si>
    <t>▪ Entering N Mode
→ IG OFF</t>
  </si>
  <si>
    <t>Previous State: IG OFF in N Mode Entry State</t>
  </si>
  <si>
    <t>▪ N Mode Entry State
→ IG OFF</t>
  </si>
  <si>
    <t>Previous Status: In N Mode
Moving to Home IG OFF</t>
  </si>
  <si>
    <t>▪ Moving to Home after entering N Mode
→ IG OFF</t>
  </si>
  <si>
    <t>Jeon Sang-tae: IG OFF while playing performance video</t>
  </si>
  <si>
    <t>▪ Performance recording video playing
→ IG OFF</t>
  </si>
  <si>
    <t>Current Status: IG OFF after performance video playback is complete</t>
  </si>
  <si>
    <t>▪ Performance recording video playback complete
→ IG OFF</t>
  </si>
  <si>
    <t>[Sleep Entry Confirmed]
: Parking Recording OFF - 2</t>
  </si>
  <si>
    <t>[Sleep Entry Confirmed] Parking Recording OFF - 2</t>
  </si>
  <si>
    <t>Previous Status: Time-lapse entered as a manual event
ID OFF IG after recording is complete</t>
  </si>
  <si>
    <t>▪ Time-lapse recording completed via manual event
→ IG OFF</t>
  </si>
  <si>
    <t>Current Status: Time-lapse entered via manual event
IG OFF while recording</t>
  </si>
  <si>
    <t>▪ Time-lapse recording entered as a manual event
→ IG OFF</t>
  </si>
  <si>
    <t>Current Status: IG OFF after manual event recording is complete</t>
  </si>
  <si>
    <t>▪ Manual event recording complete
→ IG OFF</t>
  </si>
  <si>
    <t>Current Status: Manual Event Recording in Progress, IG OFF</t>
  </si>
  <si>
    <t>▪ Manual Event Recording in Progress
→ IG OFF</t>
  </si>
  <si>
    <t>Current Status: Moving files in the archive, IG OFF</t>
  </si>
  <si>
    <t>▪ Moving to the always-on video archive while driving
→ IG OFF</t>
  </si>
  <si>
    <t>Previous Status: IG OFF after file transfer to archive is complete</t>
  </si>
  <si>
    <t>▪ Moved to Always-On Video Archive While Driving
→ IG OFF</t>
  </si>
  <si>
    <t>Current Status: IG OFF while connected to smartphone (Wifi)</t>
  </si>
  <si>
    <t>▪ Smartphone Connection (WiFi) Status
→ IG OFF</t>
  </si>
  <si>
    <t>Jeon Sang-tae: Downloading video linked to smartphone
IG OFF</t>
  </si>
  <si>
    <t>▪ Smartphone connected, continuous video downloading while driving
→ IG OFF</t>
  </si>
  <si>
    <t>Previous Status: After setting change is complete
IG OFF</t>
  </si>
  <si>
    <t>▪ Driving Recording Settings OFF
→ IG OFF</t>
  </si>
  <si>
    <t>Previous Status: Moment all saved videos are deleted
IG OFF</t>
  </si>
  <si>
    <t>Current Status: IG OFF during performance recording after manual event input</t>
  </si>
  <si>
    <t>▪ Performance recording in progress after manual event input
→ IG OFF</t>
  </si>
  <si>
    <t>Current Status: IG OFF during performance recording after time-lapse input</t>
  </si>
  <si>
    <t>▪ Performance recording in progress after time-lapse input
→ IG OFF</t>
  </si>
  <si>
    <t>Current Status: IG OFF after performance recording is complete</t>
  </si>
  <si>
    <t>▪ After 1 hour of performance recording is complete
→ IG OFF</t>
  </si>
  <si>
    <t>Current Status: After touching the Performance Recording Stop button
IG OFF</t>
  </si>
  <si>
    <t>▪ End performance recording
→ IG OFF</t>
  </si>
  <si>
    <t>Jeon Sang-tae: Moment of deleting performance recording video
IG OFF</t>
  </si>
  <si>
    <t>[Sleep Entry Confirmed]
: Parking Recording OFF - 3</t>
  </si>
  <si>
    <t>[Sleep Entry Confirmed] Parking Recording OFF - 3</t>
  </si>
  <si>
    <t>Current Status: AVN Mode (Driving Continuous Recording OFF)</t>
  </si>
  <si>
    <t>▪ Disable Driving Continuous Recording
▪ Disable Parking Continuous Recording
▪ AVN Mode
▪ IG OFF</t>
  </si>
  <si>
    <t>Full Status: Continuous recording while driving</t>
  </si>
  <si>
    <t>▪ Continuous recording while driving
▪ Disable continuous recording while parked
▪ IG OFF</t>
  </si>
  <si>
    <t>Full Status: Recording of driving impact events</t>
  </si>
  <si>
    <t>▪ Continuous driving recording in progress
▪ Recording driving impact events in progress
▪ IG OFF</t>
  </si>
  <si>
    <t>Current Status: Manual Driving Event Recording</t>
  </si>
  <si>
    <t>▪ Continuous driving recording in progress
▪ Manual driving event recording in progress
▪ IG OFF</t>
  </si>
  <si>
    <t>Current Status: Manual Driving / Impact Event Recording</t>
  </si>
  <si>
    <t>▪ Continuous driving recording in progress
▪ Manual driving event recording in progress
▪ Driving impact event recording in progress
▪ IG OFF</t>
  </si>
  <si>
    <t>Jeon Sang-tae: Time-lapse recording</t>
  </si>
  <si>
    <t>▪ Disable continuous driving recording
▪ Time-lapse recording in progress
▪ IG OFF</t>
  </si>
  <si>
    <t>Current Status: Always Driving / Time-lapse Recording</t>
  </si>
  <si>
    <t>▪ Continuous recording while driving
▪ Time-lapse recording in progress
▪ IG OFF</t>
  </si>
  <si>
    <t>Current Status: Always Driving / Manual Event
/ Time-lapse Recording</t>
  </si>
  <si>
    <t>▪ Continuous driving recording in progress
▪ Manual driving event recording in progress
▪ Time-lapse recording in progress
▪ IG OFF</t>
  </si>
  <si>
    <t>Current Status: Always Driving / Manual Event
/ Impact Event / Time-lapse Recording</t>
  </si>
  <si>
    <t>▪ Continuous driving recording in progress
▪ Manual driving event recording in progress
▪ Driving impact event recording in progress
▪ Time-lapse recording in progress
▪ IG OFF</t>
  </si>
  <si>
    <t>Current Status: N Mode (Continuous Driving Recording OFF)</t>
  </si>
  <si>
    <t>▪ Driving Continuous Recording Setting OFF
▪ Parking Continuous Recording Setting OFF
▪ N Mode
▪ IG OFF</t>
  </si>
  <si>
    <t>Jeon Sang-tae: Performance Recording</t>
  </si>
  <si>
    <t>▪ Driving Continuous Recording ON
▪ Parking Continuous Recording Disabled
▪ Performance Recording In Progress
▪ IG OFF</t>
  </si>
  <si>
    <t>Current Status: Driving Impact Event Recording / Performance Recording</t>
  </si>
  <si>
    <t>▪ Parking Continuous Recording OFF
▪ Driving Continuous Recording In Progress
▪ Driving Impact Event Recording In Progress
▪ Performance Recording Started
▪ IG OFF</t>
  </si>
  <si>
    <t>▪ When performance recording starts, continuous driving and driving impact event recording will terminate.
▪ Communication Sleep enters, dark current specifications satisfied (25℃)
: 0.5mA↓ when parking recording is not operating (2mA↓ when operating)</t>
  </si>
  <si>
    <t>Current Status: Manual Driving Event Recording / Performance Recording</t>
  </si>
  <si>
    <t>▪ Parking Continuous Recording OFF
▪ Driving Continuous Recording In Progress
▪ Driving Manual Event Recording In Progress
▪ Performance Recording Started
▪ IG OFF</t>
  </si>
  <si>
    <t>▪ When performance recording starts, driving continuous and manual event recording will terminate.
▪ Communication enters Sleep mode, satisfying dark current specifications (25℃)
: 0.5mA↓ when parking recording is not active (2mA↓ when active)</t>
  </si>
  <si>
    <t>Current Status: Manual Driving / Impact Event Recording / Performance Recording</t>
  </si>
  <si>
    <t>▪ Parking Continuous Recording OFF
▪ Driving Continuous Recording In Progress
▪ Driving Manual Event Recording In Progress
▪ Driving Impact Event Recording In Progress
▪ Performance Recording Started
▪ IG OFF</t>
  </si>
  <si>
    <t>▪ When performance recording starts, recording will terminate for driving continuous, manual events, and impact events.
▪ Communication Sleep mode is entered, and quiescent current specifications are satisfied (25℃).
: 0.5mA↓ when parking recording is not active (2mA↓ when active)</t>
  </si>
  <si>
    <t>Jeon Sang-tae: Time-lapse recording / Performance recording</t>
  </si>
  <si>
    <t>▪ Parking Continuous Recording OFF
▪ Driving Continuous Recording Disabled
▪ Time-lapse Recording In Progress
▪ Performance Recording Started
▪ IG OFF</t>
  </si>
  <si>
    <t>▪ Time-lapse recording will end when performance recording starts
▪ Communication Sleep enters, dark current specifications satisfied (25℃)
: 0.5mA↓ when parking recording is not operating (2mA↓ when operating)</t>
  </si>
  <si>
    <t>All Status: Always Driving / Time-lapse Recording / Performance Recording</t>
  </si>
  <si>
    <t>▪ Parking Continuous Recording OFF
▪ Driving Continuous Recording In Progress
▪ Time-lapse Recording In Progress
▪ Performance Recording Started
▪ IG OFF</t>
  </si>
  <si>
    <t>▪ When performance recording starts, continuous driving and time-lapse recording will end.
▪ Communication Sleep enters, satisfying dark current specifications (25℃)
: 0.5mA↓ when parking recording is not active (2mA↓ when active)</t>
  </si>
  <si>
    <t>Current Status: Always Driving / Manual Event
/ Time-lapse Recording / Performance Recording</t>
  </si>
  <si>
    <t>▪ Parking Continuous Recording OFF
▪ Driving Continuous Recording In Progress
▪ Driving Manual Event Recording In Progress
▪ Time-lapse Recording In Progress
▪ Performance Recording Started
▪ IG OFF</t>
  </si>
  <si>
    <t>▪ When performance recording starts, continuous driving, manual events, impact events, and time-lapse recording will be terminated.
▪ Communication Sleep is entered, satisfying dark current specifications (25℃).
: 0.5mA↓ when parking recording is not operating (2mA↓ when operating)</t>
  </si>
  <si>
    <t>[Sleep Entry Confirmed]
: Parking Recording ON - 1</t>
  </si>
  <si>
    <t>[Sleep Entry Confirmed] Parking Recording ON - 1</t>
  </si>
  <si>
    <t>Previous Status: In parking recording settings</t>
  </si>
  <si>
    <t>▪ Parking Recording Settings ON
▪ IG OFF</t>
  </si>
  <si>
    <t>▪ When Parking Recording is Off: 0.5mA↓
▪ When Parking Recording is On:
- Auxiliary Battery Specification: 2mA↓
- eAGM Specification: 6.84W↓ (7W specification under discussion)
▪ When Parking Motion Recording is On:
- Auxiliary Battery Specification: 7.74W or less (645mA@12V)
- eAGM Battery Specification: 8.22W or less (685mA@12V)</t>
  </si>
  <si>
    <t>Previous Status: After entering BLTN_CAM mode in the parking recording settings.</t>
  </si>
  <si>
    <t>▪ Enter BLTN_CAM mode
▪ IG OFF</t>
  </si>
  <si>
    <t>Current Status: Entering BLTN_CAM mode in Parking Recording Settings</t>
  </si>
  <si>
    <t>▪ Entering BLTN_CAM mode → IG OFF</t>
  </si>
  <si>
    <t>Current Status: Recording in full motion while driving &amp; manual/impact events
: Start Time-lapse recording</t>
  </si>
  <si>
    <t>▪ Recording Continuous Driving &amp; Manual/Impact Events
▪ Recording Time-lapse
▪ IG OFF</t>
  </si>
  <si>
    <t>Current Status: Recording during driving &amp; manual/impact events
: After time-lapse recording is complete</t>
  </si>
  <si>
    <t>▪ Recording in full motion while driving &amp; manual/impact events
▪ Time-lapse recording complete
▪ IG OFF</t>
  </si>
  <si>
    <t>Current Status: Recording in full motion while driving &amp; manual/impact events
: Start recording with time-lapse long press</t>
  </si>
  <si>
    <t>▪ Recording in continuous driving &amp; manual/impact events
▪ Recording time-lapse via manual switch
▪ IG OFF</t>
  </si>
  <si>
    <t>Previous Status: Start performance recording in parking recording settings</t>
  </si>
  <si>
    <t>▪ Parking Recording ON
▪ Performance Recording in Progress
▪ IG OFF</t>
  </si>
  <si>
    <t>Previous Status: After entering N mode from the parking recording settings.</t>
  </si>
  <si>
    <t>▪ Turn on Parking Recording
▪ Enter N Mode
▪ Turn off IG</t>
  </si>
  <si>
    <t>Current Status: Entering N Mode in Parking Recording Settings</t>
  </si>
  <si>
    <t>▪ Parking Recording Settings ON
▪ Entering N Mode → IG OFF</t>
  </si>
  <si>
    <t>Current Status: Recording in Full Driving &amp; Manual/Impact Event/Time-lapse
: Start Performance Recording</t>
  </si>
  <si>
    <t>▪ Recording in Full Continuous Driving &amp; Manual/Impact Event/Time-lapse
▪ Recording in Performance
▪ IG OFF</t>
  </si>
  <si>
    <t>▪ When performance recording starts, continuous driving, manual/impact events, and time-lapse recording will stop.
▪ When parking recording is not active: 0.5mA↓
▪ When parking recording is active:
- Auxiliary battery specifications: 2mA↓
- eAGM specifications: 6.84W↓ (7W specifications under discussion)
▪ When parking motion recording is active:
- Auxiliary battery specifications: 7.74W or less (645mA@12V)
- eAGM battery specifications: 8.22W or less (685mA@12V)</t>
  </si>
  <si>
    <t>Current Status: Recording in Full Driving &amp; Manual/Impact Event/Time-lapse
: After Performance Recording is Complete</t>
  </si>
  <si>
    <t>▪ During Continuous Driving &amp; Manual/Impact Event/Time-lapse Recording
▪ After Performance Recording is Complete
▪ IG OFF</t>
  </si>
  <si>
    <t># Sleep Entry Confirmation
After Remote Parking</t>
  </si>
  <si>
    <t>[Sleep Entry Confirmed] After Remote Parking
- Continuous Parking Recording</t>
  </si>
  <si>
    <t>Previous State: After remote parking</t>
  </si>
  <si>
    <t>※ Current Status: BLTN_CAM Remote Start (B+, IGN ON)
▪ IGN OFF</t>
  </si>
  <si>
    <t>▪ Communication Sleep input, dark current specifications satisfied (25℃)
: 0.5mA↓ when parking recording is not active (2mA↓ when active)
▪ Start parking recording</t>
  </si>
  <si>
    <t>Current Status: Repeat remote parking ignition ON/OFF</t>
  </si>
  <si>
    <t>B+
↕
B+ON
ACC OFF
IGN ON</t>
  </si>
  <si>
    <t>※ Current Status: BLTN_CAM Remote Start (B+, IGN ON)
▪ IGN OFF
▪ Enter Sleep
▪ B+, IGN ON
▪ Repeat the above process 10 times to verify parking recording operation</t>
  </si>
  <si>
    <t>▪ Switches between driving and parking recording
▪ Meets dark current specifications at last OFF (25℃)</t>
  </si>
  <si>
    <t>Current State: Remote Parking Ignition ON/OFF Repeat
Low Voltage State</t>
  </si>
  <si>
    <t>8.5V</t>
  </si>
  <si>
    <t>[Sleep Entry Confirmed] After Remote Parking
- Parking Motion Recording</t>
  </si>
  <si>
    <t>Current Status: Parking Motion Recording Setting ON &amp; After Remote Parking</t>
  </si>
  <si>
    <t>▪ Communication Sleep Entry, Dark Current Specifications Satisfied (25℃)
: 0.5mA↓ when Parking Motion Recording is Not Operating (2mA↓ when Operating)
▪ Parking Motion Recording Start</t>
  </si>
  <si>
    <t>Current Status: Parking Motion Recording Setting ON &amp; Repeat Remote Parking Start ON/OFF</t>
  </si>
  <si>
    <t>※ Current Status: BLTN_CAM Remote Start (B+, IGN ON)
▪ IGN OFF
▪ Enter Sleep
▪ B+, IGN ON
▪ Repeat the above process 10 times to verify parking motion recording operation</t>
  </si>
  <si>
    <t>▪ Switches between driving recording and parking motion recording
▪ Meets dark current specifications at last OFF (25℃)</t>
  </si>
  <si>
    <t>Current Status: Parking Motion Recording Setting ON &amp; Remote Parking Ignition ON/OFF Repeat
Low Voltage State</t>
  </si>
  <si>
    <t>Impact of Controller Sleep on Camera Removal</t>
  </si>
  <si>
    <t>[Impact of Controller Sleep When Camera is Removed]</t>
  </si>
  <si>
    <t>Remove front camera before entering parking recording</t>
  </si>
  <si>
    <t>▪ Remove front camera
▪ Enter parking recording
▪ Enter controller sleep</t>
  </si>
  <si>
    <t>Entering parking recording and removing the front camera during recording</t>
  </si>
  <si>
    <t>▪ Enter Parking Recording
▪ Remove Front Camera
▪ Enter Controller Sleep</t>
  </si>
  <si>
    <t>Remove rear camera before entering parking recording</t>
  </si>
  <si>
    <t>▪ Remove rear camera
▪ Enter parking recording
▪ Enter controller sleep</t>
  </si>
  <si>
    <t>Entering parking recording and removing the rear camera during recording</t>
  </si>
  <si>
    <t>▪ Enter Parking Recording
▪ Remove Rear Camera
▪ Enter Controller Sleep</t>
  </si>
  <si>
    <t>Front camera removal during performance recording before entering parking recording</t>
  </si>
  <si>
    <t>▪ Enter Performance Recording
▪ Remove Front Camera
▪ Enter Parking Recording
▪ Enter Controller Sleep</t>
  </si>
  <si>
    <t>Checking the Impact of Camera Removal on Performance Recording</t>
  </si>
  <si>
    <t>[Impact on Recording When Camera is Removed]</t>
  </si>
  <si>
    <t>Remove front camera before entering performance recording</t>
  </si>
  <si>
    <t>▪ Front camera removal
▪ Enter performance recording</t>
  </si>
  <si>
    <t>▪ Performance recording will not end</t>
  </si>
  <si>
    <t>Remove rear camera before entering performance recording</t>
  </si>
  <si>
    <t>▪ Rear camera removal
▪ Enter performance recording</t>
  </si>
  <si>
    <t>▪ Performance recording will not end
(Rear camera does not record, but impact verified)</t>
  </si>
  <si>
    <t>Remove front/rear cameras before starting performance recording</t>
  </si>
  <si>
    <t>▪ Front/Rear Camera Removal
▪ Performance Recording Initiation</t>
  </si>
  <si>
    <t>Remove front camera after entering performance recording</t>
  </si>
  <si>
    <t>▪ Enter Performance Recording
▪ Front Camera Removal</t>
  </si>
  <si>
    <t>Remove rear camera after entering performance recording</t>
  </si>
  <si>
    <t>▪ Enter Performance Recording
▪ Rear Camera Removal</t>
  </si>
  <si>
    <t>Remove front/rear cameras after entering performance recording</t>
  </si>
  <si>
    <t>▪ Enter Performance Recording
▪ Front/Rear Camera Removal</t>
  </si>
  <si>
    <t>Checking the Impact of Ultra-Low Power Recording When Removing the Camera</t>
  </si>
  <si>
    <t>Remove front camera before entering ultra-low power recording</t>
  </si>
  <si>
    <t>▪ Front camera removal
▪ Enter ultra-low power recording</t>
  </si>
  <si>
    <t>▪ Ultra-low power recording will not end</t>
  </si>
  <si>
    <t>Remove rear camera before entering ultra-low power recording</t>
  </si>
  <si>
    <t>▪ Rear camera removal
▪ Enter ultra-low power recording</t>
  </si>
  <si>
    <t>Remove front/rear cameras before entering ultra-low power recording</t>
  </si>
  <si>
    <t>▪ Front/Rear Camera Removal
▪ Activation of Ultra-Low Power Recording</t>
  </si>
  <si>
    <t>Remove left side camera before entering ultra-low power recording</t>
  </si>
  <si>
    <t>▪ Remove left side camera
▪ Enter ultra-low power recording</t>
  </si>
  <si>
    <t>Remove right side camera before entering ultra-low power recording</t>
  </si>
  <si>
    <t>▪ Remove right side camera
▪ Enter ultra-low power recording</t>
  </si>
  <si>
    <t>Remove left/right side cameras before starting ultra-low power recording</t>
  </si>
  <si>
    <t>▪ Remove left/right side cameras
▪ Activate ultra-low power recording</t>
  </si>
  <si>
    <t>Remove front/rear/side (left/right) cameras before entering ultra-low power recording</t>
  </si>
  <si>
    <t>▪ Remove Front/Rear/Left/Right Cameras
▪ Enter Ultra-Low Power Recording</t>
  </si>
  <si>
    <t>Remove front camera after entering ultra-low power recording</t>
  </si>
  <si>
    <t>▪ Enter ultra-low power recording
▪ Front camera removal</t>
  </si>
  <si>
    <t>Remove rear camera after entering ultra-low power recording</t>
  </si>
  <si>
    <t>▪ Enter ultra-low power recording
▪ Rear camera removal</t>
  </si>
  <si>
    <t>Remove front/rear cameras after entering ultra-low power recording</t>
  </si>
  <si>
    <t>▪ Enter ultra-low power recording
▪ Front/rear camera removal</t>
  </si>
  <si>
    <t>Remove the left side camera after entering ultra-low power recording.</t>
  </si>
  <si>
    <t>▪ Enter ultra-low power recording
▪ Remove left side camera</t>
  </si>
  <si>
    <t>Remove the right side camera after entering ultra-low power recording.</t>
  </si>
  <si>
    <t>▪ Enter ultra-low power recording
▪ Remove right side camera</t>
  </si>
  <si>
    <t>Remove left/right side cameras after entering ultra-low power recording</t>
  </si>
  <si>
    <t>▪ Enter ultra-low power recording
▪ Remove left/right side cameras</t>
  </si>
  <si>
    <t>Remove front/rear/side (left/right) cameras after entering ultra-low power recording</t>
  </si>
  <si>
    <t>▪ Enter Ultra-Low Power Recording
▪ Remove Front/Rear/Left/Right Cameras</t>
  </si>
  <si>
    <t>[Regarding Diagnostic Services]</t>
  </si>
  <si>
    <t>PER_015</t>
  </si>
  <si>
    <t>After TesterPresent while in Sleep state
Verify re-entering Sleep</t>
  </si>
  <si>
    <t>▪ Controller enters Sleep
▪ TesterPresent On
▪ TesterPresent Off
▪ Controller enters Sleep</t>
  </si>
  <si>
    <t>과거차문제
PASTI-318
선행양산 이벤트 빌트인캠 인라인 진단 미응답</t>
  </si>
  <si>
    <t>[Check Wake Up] (1)
: Power Conditions</t>
  </si>
  <si>
    <t>[Check Wake Up] (1): Power Conditions</t>
  </si>
  <si>
    <t>Battery Wake Up
: Parking Recording OFF</t>
  </si>
  <si>
    <t>B+ OFF
↓
B+</t>
  </si>
  <si>
    <t>(Previous State: BLTN_CAM Sleep State)
▪ Maintain B+ OFF state for at least 1 minute
▪ B+ ON</t>
  </si>
  <si>
    <t>▪ Sleep → Wake Up(10s) → Sleep</t>
  </si>
  <si>
    <t>▪ Satisfies dark current specifications (25℃)
: 0.5mA↓ when parking recording is not operating (2mA↓ when operating)</t>
  </si>
  <si>
    <t>ACC ON
: Parking Recording OFF</t>
  </si>
  <si>
    <t>(Previous State: BLTN_CAM Sleep State)
▪ ACC ON → OFF</t>
  </si>
  <si>
    <t>ACC ON
: Parking recording in progress</t>
  </si>
  <si>
    <t>(Previous Status: BLTN_CAM Sleep Status)
- Parking Recording Setting ON
▪ ACC ON → OFF</t>
  </si>
  <si>
    <t>ACC ON in parking impact event recording mode</t>
  </si>
  <si>
    <t>(Current Status: BLTN_CAM Sleep)
- Parking Continuous Recording
- Parking Impact Event Recording
▪ ACC ON → OFF</t>
  </si>
  <si>
    <t>ACC ON in parking manual event recording state</t>
  </si>
  <si>
    <t>(Current Status: BLTN_CAM Sleep)
- Parking Continuous Recording in Progress
- Parking Manual Event Recording in Progress
▪ ACC ON → OFF</t>
  </si>
  <si>
    <t>▪ Sleep → Wake Up(10s) → Sleep\</t>
  </si>
  <si>
    <t>ACC ON in Parking Impact &amp; Manual Event state</t>
  </si>
  <si>
    <t>(Current Status: BLTN_CAM Sleep)
- Parking Continuous Recording
- Parking Impact Event Recording
- Parking Manual Event Recording
▪ ACC ON → OFF</t>
  </si>
  <si>
    <t>ACC ON
: Parking motion recording in progress</t>
  </si>
  <si>
    <t>(Previous Status: BLTN_CAM Sleep Status)
- Parking Motion Recording Setting ON
▪ ACC ON → OFF</t>
  </si>
  <si>
    <t>▪ Sleep → Maintain Sleep during motion recording</t>
  </si>
  <si>
    <t>Parking Motion Off, ACC ON during Impact Event Recording</t>
  </si>
  <si>
    <t>(Previous Status: BLTN_CAM Sleep)
- Parking Motion Recording: Recording disabled
- Parking Impact Event Recording in progress
▪ ACC ON → OFF</t>
  </si>
  <si>
    <t>ACC ON during Parking Motion &amp; Impact Event Recording</t>
  </si>
  <si>
    <t>(Current Status: BLTN_CAM Sleep)
- Parking Motion Recording in Progress
- Parking Impact Event Recording in Progress
▪ ACC ON → OFF</t>
  </si>
  <si>
    <t>[Wake Up Confirmation] (2)
: Message Authorization (Remote)</t>
  </si>
  <si>
    <t>PER_017</t>
  </si>
  <si>
    <t>[Non-Wake Up Check] (1): Voltage Fluctuation Conditions</t>
  </si>
  <si>
    <t>Msg Remote: Turn off parking recording</t>
  </si>
  <si>
    <t>(Previous Status: BLTN_CAM Sleep Parking Recording OFF)
▪ Authorize Random Message</t>
  </si>
  <si>
    <t>▪ Sleep → Wake Up (10s) → Sleep
▪ Satisfies dark current specifications (25℃)
: 0.5mA↓ when parking recording is not operating (2mA↓ when operating)</t>
  </si>
  <si>
    <t>Msg Remote: Parking recording in progress</t>
  </si>
  <si>
    <t>(Current Status: BLTN_CAM Sleep Parking Recording in Progress)
▪ Authorize Random Message</t>
  </si>
  <si>
    <t>[Non-Wake Up Check] (1)
: Voltage Fluctuation Conditions</t>
  </si>
  <si>
    <t>PER_018</t>
  </si>
  <si>
    <t>[Non Wake Up Confirmation] (2): Shock Event Confirmation</t>
  </si>
  <si>
    <t>When low voltage occurs in Sleep mode
- Parking mode setting OFF</t>
  </si>
  <si>
    <t>12V
↓
8V</t>
  </si>
  <si>
    <t>(Previous state: BLTN_CAM Sleep state)</t>
  </si>
  <si>
    <t>▪ BLTN_CAM Non Wake Up
- Maintain previous state</t>
  </si>
  <si>
    <t>When overvoltage occurs in Sleep mode
- Parking mode setting OFF</t>
  </si>
  <si>
    <t>12V
↓
19V</t>
  </si>
  <si>
    <t>[Non Wake Up Confirmation] (2)
: Shock Event</t>
  </si>
  <si>
    <t>PER_019</t>
  </si>
  <si>
    <t>[Non-Wake Up Confirmation] (2): Manual Event Occurrence</t>
  </si>
  <si>
    <t>When an impact occurs while in Sleep mode
- Parking mode setting OFF</t>
  </si>
  <si>
    <t>(Previous State: BLTN_CAM Sleep State)
▪ Impact Event Input</t>
  </si>
  <si>
    <t>When an impact occurs while in Sleep mode
- Parking mode ON
- Parking impact notification OFF
- Parking recording in progress</t>
  </si>
  <si>
    <t>[Non-Wake Up Confirmation] (2)
: Manual Event Occurrence</t>
  </si>
  <si>
    <t>PER_020</t>
  </si>
  <si>
    <t>[Sleep&amp;WakeUp Conditions of Evil]</t>
  </si>
  <si>
    <t>When a switch event occurs while in Sleep mode
- Parking mode setting OFF</t>
  </si>
  <si>
    <t>(Previous State: BLTN_CAM Sleep State)
▪ EVENT SW Input</t>
  </si>
  <si>
    <t>When a switch event occurs while in Sleep mode
- Parking mode setting ON
- Parking recording in progress</t>
  </si>
  <si>
    <t>Long press while in Sleep mode
- Parking Mode ON
- Parking Recording in progress
- Long press</t>
  </si>
  <si>
    <t>(Previous State: BLTN_CAM Sleep State)
▪ EVENT SW Input (3 seconds)</t>
  </si>
  <si>
    <t># Check Wake Up
Remote Start Status</t>
  </si>
  <si>
    <t>PER_021</t>
  </si>
  <si>
    <t>[Wake Up Confirmation] Remote Start Status</t>
  </si>
  <si>
    <t>Remote Start (Sleep → Wakeup)</t>
  </si>
  <si>
    <t>B+ON
ACC OFF
IGN ON</t>
  </si>
  <si>
    <t>※ Current Status : BLTN_CAM Sleep
▪ [NM_CGW] Send Message (period: 200ms)
: NMCommandCode_CGW = 0x2(Ring)
▪ B+, IGN ON (Remote Start Power Condition)</t>
  </si>
  <si>
    <t>▪ Communication Sleep → Wake up
▪ Enter remote start mode (start driving recording)</t>
  </si>
  <si>
    <t>▪ Repeat KEY ON/OFF 20 times (no external signal input)</t>
  </si>
  <si>
    <t>▪ Sleep → Wake Up (10s) → Repeat Sleep 20 times
▪ Dark current specifications satisfied (25℃)
: 0.5mA↓ when Parking/Parking Motion Recording is not active (2mA↓ when active)
▪ Normal front/rear video output confirmed upon Key Turning</t>
  </si>
  <si>
    <t>Verify SLEEP entry after diagnostic reprogramming command</t>
  </si>
  <si>
    <t>(Entering Extended Session)
▪ [Diagnosis] Request Communication Control Disable
If communication is interrupted, request Enable to resume communication
▪ Stop Test Present and turn off IGN</t>
  </si>
  <si>
    <t>▪ Communication Sleep entered, quiescent current specifications satisfied (25℃)
: 0.5mA↓ when Parking/Parking Motion Recording is not active (2mA↓ when active)
▪ Normal front/rear video output confirmed upon Key On thereafter</t>
  </si>
  <si>
    <t>Remove connector after diagnostic reprogramming command</t>
  </si>
  <si>
    <t>(Extended Session Entry)
▪ [Diagnosis] Request Communication Control Disable
▪ Disconnect communication line and turn IGN OFF</t>
  </si>
  <si>
    <t>Sleep after removing the front camera during driving recording</t>
  </si>
  <si>
    <t>(Driving Recording Status)
▪ Turn off IG after removing front camera</t>
  </si>
  <si>
    <t>Sleep after removing the front camera during performance recording</t>
  </si>
  <si>
    <t>(Performance Recording Status)
▪ Turn off IG after removing front camera</t>
  </si>
  <si>
    <t>Remove auxiliary battery, turn KEY OFF, Sleep</t>
  </si>
  <si>
    <t>▪ Remove power bank
▪ Wait 20 seconds until power bank authentication is deactivated
▪ KEY OFF
▪ Confirm Sleep mode is activated</t>
  </si>
  <si>
    <t>▪ Communication Sleep entered, dark current specifications satisfied (25℃)
: Parking/Parking Motion Recording not operating, 0.5mA↓
▪ Subsequently, normal front/rear video output confirmed upon Key On</t>
  </si>
  <si>
    <t>Sleep after removing auxiliary battery during parking recording</t>
  </si>
  <si>
    <t>(Parking Recording In Progress)
▪ Remove Auxiliary Battery
▪ Confirm Sleep Mode In Progress</t>
  </si>
  <si>
    <t>▪ Sleep → Wake Up (10s) → Repeat Sleep 20 times
▪ Dark current specifications satisfied (25℃)
: 0.5mA↓ when parking recording is not active (2mA↓ when active)
▪ Confirm normal front/rear video output upon Key Turning on</t>
  </si>
  <si>
    <t>Sleep after repeatedly attaching and detaching the auxiliary battery during parking recording</t>
  </si>
  <si>
    <t>(Parking Recording Entered)
▪ Remove auxiliary battery after repeating removal/installation 5 times
▪ Confirm Sleep mode entry</t>
  </si>
  <si>
    <t>Sleep after removing auxiliary battery during parking motion recording</t>
  </si>
  <si>
    <t>(Parking Motion Recording In Progress)
▪ Remove Auxiliary Battery
▪ Confirm Sleep Input</t>
  </si>
  <si>
    <t>▪ Sleep → Wake Up (10s) → Repeat Sleep 20 times
▪ Dark current specifications satisfied (25℃)
: 0.5mA↓ when Parking Motion Recording is not active (2mA↓ when active)
▪ Confirm normal front/rear video output upon Key Turning on</t>
  </si>
  <si>
    <t>Sleep after repeatedly attaching and detaching the auxiliary battery during parking motion recording</t>
  </si>
  <si>
    <t>(Entering Parking Motion Recording)
▪ Remove auxiliary battery after repeating removal/installation 5 times
▪ Confirm Sleep mode entry</t>
  </si>
  <si>
    <t>Verification of Sleep &amp; Wake-Up operation via CAN signal during continuous parking recording
- Verification of Msg Remote operation</t>
  </si>
  <si>
    <t>▪ (BLTN_CAM ON)
▪ IGN → B+ → (Wait 10s), Enter Sleep
▪ Authorize random CAN message once
▪ Enter Sleep and verify parking recording operation</t>
  </si>
  <si>
    <t>▪ Sleep → Wake Up (10s) → Repeat Sleep 20 times
▪ Dark current specifications satisfied (25℃)
: 0.5mA↓ when continuous parking recording is not active (2mA↓ when active)
▪ Verify normal front/rear video output upon Key Turning on thereafter</t>
  </si>
  <si>
    <t>Verify Sleep &amp; Wake-Up operation via CAN signal during continuous parking recording
- Repeat Msg Remote 20 times</t>
  </si>
  <si>
    <t>▪ (BLTN_CAM ON)
▪ IGN → B+ → (10s wait)
▪ Authorize random CAN messages 20 times at 11-second intervals
▪ Enter Sleep and verify parking recording operation</t>
  </si>
  <si>
    <t>▪ Repeat Sleep → Wake Up (10s) → Sleep 20 times
▪ Dark current specifications satisfied (25℃)
▪ Verification of parking recording operation
: 0.5mA decrease when continuous parking recording is not active (2mA decrease when active)
▪ Verification of normal front/rear video output upon Key Turning</t>
  </si>
  <si>
    <t>Verification of Sleep &amp; Wake_Up operation via LIN signal while waiting for parking motion
- Verification of Msg Remote operation</t>
  </si>
  <si>
    <t>▪ (BLTN_CAM ON)
▪ IGN → B+ → (Wait 10s), Enter Sleep
▪ Authorize a random LIN message once
▪ Verify motion recording operation after confirming Sleep entry</t>
  </si>
  <si>
    <t>▪ Sleep → Wake Up (10s) → Repeat Sleep 20 times
▪ Dark current specifications satisfied (25℃)
▪ Parking motion recording, entering parking motion standby, dark current verification
: 0.5mA when parking motion recording is not active
▪ Subsequently, confirm normal front/rear video output upon Key On</t>
  </si>
  <si>
    <t>과거차문제PASTI-371
LIN Rx에 의한 Wakeup 후 Suspend 모드 미진입</t>
  </si>
  <si>
    <t>Verify Sleep &amp; Wake_Up operation via LIN signal while waiting for parking motion
- Repeat Msg Remote 20 times</t>
  </si>
  <si>
    <t>▪ (BLTN_CAM ON)
▪ IGN → B+ → (Wait 10s)
▪ Authorize random LIN messages 20 times at 11-second intervals
▪ Verify motion recording operation after confirming Sleep entry</t>
  </si>
  <si>
    <t>Turn off the key after disconnecting the communication cable (CAN or Ethernet).</t>
  </si>
  <si>
    <t>▪ Communication Cable (CAN or Ethernet)
▪ IGN → B+ (Parking Recording ON)</t>
  </si>
  <si>
    <t>Disconnect the communication cable (CAN or Ethernet) after turning the key off.</t>
  </si>
  <si>
    <t>▪ IGN → B+(Parking Recording ON)
▪ Communication Cable (CAN or Ethernet)</t>
  </si>
  <si>
    <t>[BLTN_CAM-OperationPerformance-013]</t>
  </si>
  <si>
    <t>PER_023</t>
  </si>
  <si>
    <t>[ACC, IGN Filtering]</t>
  </si>
  <si>
    <t>PER_024</t>
  </si>
  <si>
    <t>[Event Switch] Filtering time</t>
  </si>
  <si>
    <t>When the event switch filtering time is satisfied</t>
  </si>
  <si>
    <t>▪ EVENT SW 
- OFF(High) → ON(Low) → OFF(High) [90ms]</t>
  </si>
  <si>
    <t>▪ EVNET_SW_IND = ON
  -Duty: 100%
  - Sensitivity: 100%
 ▪ BLTN_CAM_RecSta_MAR = 0x0(OFF)</t>
  </si>
  <si>
    <t>When the event switch filtering time is unsatisfactory</t>
  </si>
  <si>
    <t>▪ EVENT SW 
- OFF(High) → ON(Low) → OFF(High) [100ms]</t>
  </si>
  <si>
    <t>▪ EVNET_SW_IND
- Flashing Cycle : 1Hz
- Duty : 50%
- Light Depth : 100%
▪ BLTN_CAM_RecSta_MAR = 0x1(Recording)</t>
  </si>
  <si>
    <t>[Event Switch] Voltage</t>
  </si>
  <si>
    <t>Check event switch voltage</t>
  </si>
  <si>
    <t>▪ Pin 9 Voltage Measurement</t>
  </si>
  <si>
    <t>▪ pin. 9 = 9±0.5V (7±0.5V)</t>
  </si>
  <si>
    <t>Check event switch indicator output voltage</t>
  </si>
  <si>
    <t>▪ Event switch indicator ON state, pin 8 voltage measurement</t>
  </si>
  <si>
    <t>▪ Pin 8 = 12V</t>
  </si>
  <si>
    <t>[Event Switch] Voltage Judgment Level</t>
  </si>
  <si>
    <t>Check ON judgment voltage</t>
  </si>
  <si>
    <t>▪ EVENT SW ON, Voltage Measurement</t>
  </si>
  <si>
    <t>▪ Less than 1.0V (Active Low)</t>
  </si>
  <si>
    <t>Check OFF judgment voltage</t>
  </si>
  <si>
    <t>▪ EVENT SW OFF, Voltage Measurement</t>
  </si>
  <si>
    <t>▪ Over 2.4V</t>
  </si>
  <si>
    <t>[Event Switch] Check Indicator Output</t>
  </si>
  <si>
    <t>Check Event Switch Indicator Output (Continuous Driving Recording)</t>
  </si>
  <si>
    <t>▪ Driving Recording Status
▪ Check Event Switch Indicator Output</t>
  </si>
  <si>
    <t>▪ EVNET_SW_IND = ON
- Duty : 100%
- Photosensitive : 100%
▪ Output Voltage Mean Value 4V~12V(Duty 100%)</t>
  </si>
  <si>
    <t>Check Event Switch Indicator Output (Driving Event Recording)</t>
  </si>
  <si>
    <t>▪ Driving Event Recording Status
▪ Check Event Switch Indicator Output</t>
  </si>
  <si>
    <t>▪ EVNET_SW_IND
- Flashing Cycle: 1Hz
- Duty: 50%
- Light Dimming: 100%
▪ Output Voltage Mean Value 4V~12V(Duty 100%)</t>
  </si>
  <si>
    <t>Check Event Switch Indicator Output (Performance Recording)</t>
  </si>
  <si>
    <t>▪ Performance Recording Status
▪ Check Event Switch Indicator Output</t>
  </si>
  <si>
    <t>▪ EVNET_SW_IND = ON</t>
  </si>
  <si>
    <t>Check Event Switch Indicator Output (Time-lapse)</t>
  </si>
  <si>
    <t>▪ Time-lapse recording status
▪ Check event switch indicator output</t>
  </si>
  <si>
    <t>▪ EVNET_SW_IND
- Flashing Cycle: 0.5Hz
- Duty: 50%
- Light Difference: 100%
▪ Output Voltage Mean Value 4V~12V(Duty 100%)</t>
  </si>
  <si>
    <t>Check Event Switch Indicator Output (Continuous Parking Recording)</t>
  </si>
  <si>
    <t>▪ Parking Recording Status
▪ Check Event Switch Indicator Output</t>
  </si>
  <si>
    <t>Check Event Switch Indicator Output (Parking Event Recording)</t>
  </si>
  <si>
    <t>▪ Parking Event Recording Status
▪ Check Event Switch Indicator Output</t>
  </si>
  <si>
    <t>[Event Switch] Check indicator output (low voltage, high voltage)</t>
  </si>
  <si>
    <t>Check event switch indicator output (low voltage)</t>
  </si>
  <si>
    <t>8.5 V</t>
  </si>
  <si>
    <t>Check Event Switch Indicator Output (High Voltage)</t>
  </si>
  <si>
    <t>16.5 V</t>
  </si>
  <si>
    <t>[Event Switch] Check Indicator OFF</t>
  </si>
  <si>
    <t>Check Event Switch Indicator OFF (KEY OFF)</t>
  </si>
  <si>
    <t>▪ Continuous recording OFF, Event recording ON</t>
  </si>
  <si>
    <t>▪ EVNET_SW_IND = OFF</t>
  </si>
  <si>
    <t>Check Event Switch Indicator OFF (KEY ON)</t>
  </si>
  <si>
    <t>[BLTN_CAM-OperationPerformance-014]</t>
  </si>
  <si>
    <t>[Basic functions other than recording] BAS_018 Identical test case</t>
  </si>
  <si>
    <t>PER_031</t>
  </si>
  <si>
    <t>▪ Delete all saved videos
※ [Basic functions other than recording] Same as BAS_018</t>
  </si>
  <si>
    <t>▪ Retain saved video
※ [Basic functions other than recording] Same as BAS_018</t>
  </si>
  <si>
    <t>[BLTN_CAM-OperationPerformance-015, 028]</t>
  </si>
  <si>
    <t>[Verify Communication Initialization] Ethernet</t>
  </si>
  <si>
    <t>PER_032</t>
  </si>
  <si>
    <t>Check communication start after power on (B+)</t>
  </si>
  <si>
    <t>▪ Apply B+ 12V
▪ Check for NM message output</t>
  </si>
  <si>
    <t>▪ EthNM Msg Start communication
: Within 2000ms after booting</t>
  </si>
  <si>
    <t>▪ Check if Normal message is displayed</t>
  </si>
  <si>
    <t>▪ Normal Msg Start Communication
(CAN, SOME/IP)</t>
  </si>
  <si>
    <t>Verify that communication has started after turning on ACC.</t>
  </si>
  <si>
    <t>▪ Sleep state
▪ ACC ON
▪ Check NM message output status</t>
  </si>
  <si>
    <t>▪ EthNM Msg Start communication
: Within 500ms after booting</t>
  </si>
  <si>
    <t>Confirm communication start after remote start</t>
  </si>
  <si>
    <t>▪ Sleep State
▪ IGN ON (ACC OFF)
▪ Check NM message output status</t>
  </si>
  <si>
    <t>ACC OFF → Link down immediately → Link up</t>
  </si>
  <si>
    <t>▪ ACC OFF
▪ Wait briefly, then immediately turn ACC ON after Link Down</t>
  </si>
  <si>
    <t>▪ EthNM Msg Start communication
: Within 5000ms after booting</t>
  </si>
  <si>
    <t>[Check BLTN_CAM output message]</t>
  </si>
  <si>
    <t>PER_033</t>
  </si>
  <si>
    <t>BLTN_CAM_E_00(0xAB) ID, DLC, Check Cycle</t>
  </si>
  <si>
    <t>▪ Check if the relevant message is displayed (Check ID, DLC)</t>
  </si>
  <si>
    <t>▪ ID: 0xAB
 ▪ Cycle Time: Event Signal
 ▪ DLC: 8</t>
  </si>
  <si>
    <t>BLTN_CAM_HU_PE_00_200ms(0x3EA) ID, DLC, Check Cycle</t>
  </si>
  <si>
    <t>▪ ID: 0x3EA
 ▪ Cycle Time: 200ms
 ▪ DLC: 8</t>
  </si>
  <si>
    <t>BLTN_CAM_PE_00_200ms(0x3B7) ID, DLC, Check Cycle</t>
  </si>
  <si>
    <t>▪ ID: 0x3B7
 ▪ Cycle Time: 200ms
 ▪ DLC: 8</t>
  </si>
  <si>
    <t>BLTN_CAM_PE_01_200ms(0x3B8) ID, DLC, Check Cycle</t>
  </si>
  <si>
    <t>▪ ID: 0x3B8
 ▪ Cycle Time: 200ms
 ▪ DLC: 8</t>
  </si>
  <si>
    <t>BLTN_CAM_STAT_PE_00_200ms(0x3B6) ID, DLC, Check Cycle</t>
  </si>
  <si>
    <t>▪ ID: 0x3B6
 ▪ Cycle Time: 200ms
 ▪ DLC: 8</t>
  </si>
  <si>
    <t>BLTN_CAM_STAT_PE_01_200ms(0x3D7) ID, DLC, Check Cycle</t>
  </si>
  <si>
    <t>▪ ID: 0x3D7
 ▪ Cycle Time: 200ms
 ▪ DLC: 8</t>
  </si>
  <si>
    <t>NM_BLTN_CAM(0x548) ID, DLC, Check Cycle</t>
  </si>
  <si>
    <t>▪ ID: 0x548
 ▪ Cycle Time: 200ms
 ▪ DLC: 8</t>
  </si>
  <si>
    <t>[BLTN_CAM-OperationPerformance-016]</t>
  </si>
  <si>
    <t>past difference issue</t>
  </si>
  <si>
    <t>PER_034</t>
  </si>
  <si>
    <t>Performance recording issue</t>
  </si>
  <si>
    <t>Issue where the recording button cannot be touched when Key is ON during CAN Alive, ETH BUS Sleep</t>
  </si>
  <si>
    <t>▪ Always Driving, Motion, Parking Event ON
▪ Start - End Performance Recording
▪ KEY OFF
▪ Turn KEY ON while in CAN Alive or ETH Bus Sleep state
▪ Enter N Mode and Start Performance Recording</t>
  </si>
  <si>
    <t>▪ Start recording when the REC button is touched</t>
  </si>
  <si>
    <t>[BLTN_CAM-OperationPerformance-017]</t>
  </si>
  <si>
    <t>[Check message initial transmission time]</t>
  </si>
  <si>
    <t>PER_035</t>
  </si>
  <si>
    <t>BLTN_CAM_HU_PE_00_200ms(0x3EA) Initial transmission time</t>
  </si>
  <si>
    <t>▪ IGN ON
▪ Check message initial transmission time</t>
  </si>
  <si>
    <t>▪ Transmit within 2,000 ms</t>
  </si>
  <si>
    <t>BLTN_CAM_PE_00_200ms(0x3B7) Initial transmission time</t>
  </si>
  <si>
    <t>BLTN_CAM_PE_01_200ms(0x3B8) Initial transmission time</t>
  </si>
  <si>
    <t>BLTN_CAM_STAT_PE_00_200ms(0x3B6) Initial transmission time</t>
  </si>
  <si>
    <t>BLTN_CAM_STAT_PE_01_200ms(0x3D7) Initial transmission time</t>
  </si>
  <si>
    <t>NM_BLTN_CAM(0x548) Initial transmission time</t>
  </si>
  <si>
    <t>NM_BLTN_CAM(0x548) Initial transmission time (Link up)</t>
  </si>
  <si>
    <t>▪ Link Down → Link Up
▪ Check message initial transmission time</t>
  </si>
  <si>
    <t>▪ Transmit within 5000ms</t>
  </si>
  <si>
    <t>[Check Message Initial Transmission Time_CANFD]</t>
  </si>
  <si>
    <t>BLTN_CAM_FD_01_00ms(0xC1) Initial transmission time</t>
  </si>
  <si>
    <t>BLTN_CAM_FD_02_200ms(0x3BC) Initial transmission time</t>
  </si>
  <si>
    <t>BLTN_CAM_FD_HU_01_200ms(0x3BB) Initial transmission time</t>
  </si>
  <si>
    <t>BLTN_CAM_FD_STAT_01_200ms(0x3BD) Initial transmission time</t>
  </si>
  <si>
    <t>NM_BLTN_CAM_FD(0x17FC00C8) Initial transmission time</t>
  </si>
  <si>
    <t>▪ Transmit within 500ms</t>
  </si>
  <si>
    <t>[BLTN_CAM-OperationPerformance-019]</t>
  </si>
  <si>
    <t>PER_037</t>
  </si>
  <si>
    <t>[Sleep Entry Confirmed] Parking Recording OFF - 4</t>
  </si>
  <si>
    <t>Voltage: 7V</t>
  </si>
  <si>
    <t>▪ Continuous recording while driving
▪ 7V voltage drop
▪ IG OFF</t>
  </si>
  <si>
    <t>Voltage: 8V</t>
  </si>
  <si>
    <t>▪ Continuous recording while driving
▪ 8V voltage drop
▪ IG OFF</t>
  </si>
  <si>
    <t>Voltage: 18.5V</t>
  </si>
  <si>
    <t>▪ Continuous recording while driving
▪ Voltage rises to 18.5V
▪ IG OFF</t>
  </si>
  <si>
    <t>[Sleep Entry Confirmed]
: Parking Recording ON - 2</t>
  </si>
  <si>
    <t>PER_038</t>
  </si>
  <si>
    <t>[Sleep Entry Confirmed] Parking Recording ON - 2</t>
  </si>
  <si>
    <t>Voltage: 6.9V</t>
  </si>
  <si>
    <t>6.9V</t>
  </si>
  <si>
    <t>▪ Driving continuous recording disabled
▪ 20-second standby (20-second standby until auxiliary battery authentication is de-authenticated)
▪ IG OFF</t>
  </si>
  <si>
    <t>Voltage: 8.2V</t>
  </si>
  <si>
    <t>8.2V</t>
  </si>
  <si>
    <t>▪ Continuous recording while driving
▪ IG OFF</t>
  </si>
  <si>
    <t>18.5V</t>
  </si>
  <si>
    <t>Voltage: 12 → 19 → 12 V</t>
  </si>
  <si>
    <t>▪ Continuous recording while driving
▪ Voltage: IG OFF after fluctuating from 12 → 19 → 12 V</t>
  </si>
  <si>
    <t>Voltage: 12 → 5.9 → 12 V</t>
  </si>
  <si>
    <t>▪ Continuous recording while driving
▪ Voltage: IG OFF after fluctuating from 12 → 5.9 → 12 V</t>
  </si>
  <si>
    <t>Voltage: After removing and reinserting the battery once</t>
  </si>
  <si>
    <t>▪ Continuous recording while driving
▪ Confirm Sleep mode after disconnecting/removing the battery (-) terminal once</t>
  </si>
  <si>
    <t>Voltage: After 10 battery removals</t>
  </si>
  <si>
    <t>▪ Continuous recording while driving
▪ Confirm Sleep mode entered after disconnecting and reconnecting the battery (-) terminal 10 times</t>
  </si>
  <si>
    <t>IG ON/OFF 10 times</t>
  </si>
  <si>
    <t>▪ Continuous recording while driving
▪ Confirm Sleep entry after 10 IG ON/OFF cycles</t>
  </si>
  <si>
    <t>CAN H&amp;L + GND = Short</t>
  </si>
  <si>
    <t>(Previous State: BLTN_CAM Sleep State)
▪ CAN H&amp;L + GND = Short State
▪ Apply Arbitrary Message</t>
  </si>
  <si>
    <t>CAN H&amp;L + B+ = Short</t>
  </si>
  <si>
    <t>(Previous State: BLTN_CAM Sleep State)
▪ CAN H&amp;L + B+ = Short State
▪ Apply Arbitrary Message</t>
  </si>
  <si>
    <t>[BLTN_CAM-Operation Performance-020]</t>
  </si>
  <si>
    <t>ex) BDC: Satisfies CPU Load Average 70% or less, Max 90% or less * Evaluated prioritizing each controller's Spec.</t>
  </si>
  <si>
    <t>Real-time guarantee through MCU or AP Load and Task Slack Time settings</t>
  </si>
  <si>
    <t>Video Design Team Confirmation</t>
  </si>
  <si>
    <t>[BLTN_CAM-OperationPerformance-021]</t>
  </si>
  <si>
    <t>ex) BDC: Satisfies the settings of Task Time: 10ms / Usage: Less than 10% / Execution Time: Less than 500us under Worst conditions * Evaluated prioritizing each controller's Spec.</t>
  </si>
  <si>
    <t>Check MCU or AP speed / utilization / execution time</t>
  </si>
  <si>
    <t>[BLTN_CAM-OperationPerformance-022]</t>
  </si>
  <si>
    <t>ex) BDC: Operating at IPT 2ms, CET 10ms, RT 5ms, ST 2ms based on ASIL A under Worst conditions (considering Overhead values) * Evaluated prioritizing each controller's Spec.</t>
  </si>
  <si>
    <t>Task Time: Initial Pending / Core Execution / Total Execution / Response / Idle Time</t>
  </si>
  <si>
    <t>[BLTN_CAM-Operation Performance-023]</t>
  </si>
  <si>
    <t>ex) BDC: Satisfies the setting to execute with a Task Time cycle of 10ms * Evaluated prioritizing each controller's Spec.</t>
  </si>
  <si>
    <t>Task Execution Request Period</t>
  </si>
  <si>
    <t>[BLTN_CAM-OperationPerformance-024]</t>
  </si>
  <si>
    <t>ex) BDC: Satisfies settings of memory size 426kB/2MB and occupancy rate less than 25% * Evaluate prioritizing each controller's Spec.</t>
  </si>
  <si>
    <t>Check Memory Size and Usage: AP / MCU / DSP / GPU, etc.</t>
  </si>
  <si>
    <t>[BLTN_CAM-OperationPerformance-025]</t>
  </si>
  <si>
    <t>ex) BDC: Stack setpoint 4096-bit satisfied * Evaluated prioritizing each controller's Spec.</t>
  </si>
  <si>
    <t>Memory usage based on Stack settings</t>
  </si>
  <si>
    <t>[BLTN_CAM-OperationPerformance-026]</t>
  </si>
  <si>
    <t>ex) BDC: Satisfy MCU ROM/RAM usage of 80% or less * Evaluate prioritizing each controller's Spec.</t>
  </si>
  <si>
    <t>ROM / RAM Usage: MCU / ASIC / DSP / GPU, etc.</t>
  </si>
  <si>
    <t>[BLTN_CAM-OperationPerformance-027]</t>
  </si>
  <si>
    <t>PER_039</t>
  </si>
  <si>
    <t>[Event Switch] Responsiveness</t>
  </si>
  <si>
    <t>Responsiveness of starting recording after event switch input</t>
  </si>
  <si>
    <t>▪ BLTN_CAM_RecSta_MAR = 0x1(Recording)
: No response time specification.</t>
  </si>
  <si>
    <t>[BLTN_CAM-OperationPerformance-029]</t>
  </si>
  <si>
    <t>[Verify EthNM message operation]</t>
  </si>
  <si>
    <t>PER_040</t>
  </si>
  <si>
    <t>EthNM IPv4 header information</t>
  </si>
  <si>
    <t>▪ Check EthNM IPv4 header information in WireShark
(Verify by connecting the Technica Media Gateway device)</t>
  </si>
  <si>
    <t>▪ Protocol: UDP
 ▪ Port: 13800
 ▪ Source IP Address: 10.0.0.32
 ▪ Dst MAC Address: 01:00:5E:00:7F:FF
 ▪ Dst IP Address: 239.0.127.255</t>
  </si>
  <si>
    <t>과거차문제
PASTI-319
주차녹화 시간 틀어지는 문제</t>
  </si>
  <si>
    <t>Check Repeat Message and Active Time-Out</t>
  </si>
  <si>
    <t>OFF</t>
  </si>
  <si>
    <t>▪ B+ ON
▪ Verify the following message output in WireShark
: EthNM Msg</t>
  </si>
  <si>
    <t>▪ Start EthNM Msg Tx after B+ power is applied
1) Output 5 times at 50ms (±5) intervals (Repeat)
2) Maintain output at 500ms intervals
3) Ethernet Sleep after CAN Bus Sleep (Stop EthNM Tx)
(Active Time-Out Time: 5 sec, WaitBusSleep: 1.5 sec)</t>
  </si>
  <si>
    <t>Check Normal Operation Status (1): ACC ON</t>
  </si>
  <si>
    <t>▪ ACC ON
▪ Verify the following message output in WireShark
: EthNM Msg, Application Msg</t>
  </si>
  <si>
    <t>▪ EthNM Msg output 5 times at 50ms intervals (Repeat)
→ Maintain output at 500ms intervals
▪ Application Msg (SOME/IP Msg) output
: Dst IP: 244.244.24.245</t>
  </si>
  <si>
    <t>Check Normal Operation Status (2): ACC &amp; IGN ON</t>
  </si>
  <si>
    <t>▪ ACC &amp; IGN ON
▪ Verify the following message output in WireShark
: EthNM Msg, Application Msg</t>
  </si>
  <si>
    <t>Check Normal Operation status (3): IGN ON</t>
  </si>
  <si>
    <t>▪ IGN ON
▪ Verify the following message output in WireShark
: EthNM Msg, Application Msg</t>
  </si>
  <si>
    <t>Check Normal Operation Status (4): CAN Bus Alive</t>
  </si>
  <si>
    <t>▪ Normal Operation State
▪ KEY OFF
▪ Maintain CAN Bus Alive State (Arbitrary CAN signal input)</t>
  </si>
  <si>
    <t>▪ EthNM Msg output maintained at 500ms intervals
▪ Application Msg (SOME/IP Msg) output
: Dst IP: 244.244.24.245</t>
  </si>
  <si>
    <t>Ethernet Sleep, CAN Alive in Before Park
Check CCS operation when impact recording occurs - 1</t>
  </si>
  <si>
    <t>▪ BLTN_CAM_Set_PEV_AppNoti = 0x2 (ON)
▪ Normal Operation State
▪ KEY OFF
▪ Maintain CAN Bus Alive state (Arbitrary CAN signal input)</t>
  </si>
  <si>
    <t>▪ Ethernet link down
▪ EthNM Msg
: Destination IP: 239.0.127.255 Not displayed
▪ Application Msg (SOME/IP Msg) Not displayed
: Dst IP: 244.244.24.245
※ Check Prepare Bus Sleep status via log
: journalctl -f -o cat -u vrs | grep NM</t>
  </si>
  <si>
    <t>Ethernet Sleep, CAN Alive in Before Park
Checking CCS Operation When Impact Recording Occurs - 2</t>
  </si>
  <si>
    <t>↑
▪ Is it a shock event while parked?</t>
  </si>
  <si>
    <t>▪ EthNM Msg Output
: Destination IP: 239.0.127.255
▪ Application Msg (SOME/IP Msg) Output
: Dst IP: 244.244.24.245
※ Check Ready Sleep status via log
: journalctl -f -o cat -u vrs | grep dmw
▪ BLTN_CAM_PEV_Recorded = 0x02 (Park Event Recorded)
→ Maintained for 5 minutes</t>
  </si>
  <si>
    <t>Ethernet sleep, CAN Alive in Before park
Check Park_recorded signal retention time when impact recording occurs (Standalone)</t>
  </si>
  <si>
    <t>▪ CAN Bus Sleep
▪ Wait after transitioning to Ready Sleep state
↑ ▪ Authorize impact event while parked</t>
  </si>
  <si>
    <t>▪ EthNM Msg output
: Destination IP: 239.0.127.255
▪ Application Msg (SOME/IP Msg) not output
: Dst IP: 244.244.24.245
※ Check Prepare Bus Sleep status via log
: journalctl -f -o cat -u vrs | grep dmw
▪ BLTN_CAM_PEV_Recorded = 0x02 (Park Event Recorded)
→ Maintained for 5 minutes</t>
  </si>
  <si>
    <t>Measurement of the time it takes for Ethernet to go to sleep first after CAN &amp; Ethernet wake up upon impact recording - 1</t>
  </si>
  <si>
    <t>▪ Normal Operation Status
▪ KEY OFF
▪ Enable Impact Event While Parked (CAN &amp; Ethernet Wake Up)</t>
  </si>
  <si>
    <t>▪ Communication Wake Up During Parking Recording
▪ BLTN_CAM_PEV_Recorded = 0x02 (Park Event Recorded)
▪ EthNM Msg Output
▪ Impact Event: Push Notification Activated in BlueLink App (Actual Vehicle)</t>
  </si>
  <si>
    <t>Measurement of the time it takes for Ethernet to go to sleep first after CAN &amp; Ethernet wake up during impact recording - 2</t>
  </si>
  <si>
    <t>▪ Measure time to enter Sleep after waiting 5 minutes</t>
  </si>
  <si>
    <t>▪ From the time recording is complete until video information transmission is complete (max. 5 minutes)
: BLTN_CAM_PEV_Recorded = 0x02 (Park Event Recorded)
▪ CAN Bus Sleep after 5 minutes
▪ Ethernet Sleep after approximately 15 seconds (EthNM Tx interrupted)</t>
  </si>
  <si>
    <t>In Before Park, verify that the file is successfully generated after 5 authorizations at 11-second intervals, and then check if the Park_Recorded signal 0x2 is not issued.</t>
  </si>
  <si>
    <t>▪ Normal Operation State
▪ KEY OFF
▪ Maintain CAN Bus Alive state (Arbitrary CAN signal input)
▪ Apply Parking Impact Event 5 times at 11-second intervals
▪ Apply Parking Impact Event after waiting approximately 6 minutes
▪ Verify BLTN_CAM_PEV_Recorded signal output</t>
  </si>
  <si>
    <t>▪ BLTN_CAM_PEV_Recorded = 0x02 No output</t>
  </si>
  <si>
    <t>Verify that the file is successfully generated with 5 authorizations at 11-second intervals in Next Park, and subsequently check if the Park_Recorded signal is not 0x2.</t>
  </si>
  <si>
    <t>▪ Normal Operation Status
▪ KEY OFF
▪ Enter CAN &amp; Ethernet Sleep
▪ Approve Parking Impact Event 5 times at 11-second intervals
▪ Approve Parking Impact Event after waiting approximately 6 minutes
▪ Verify BLTN_CAM_PEV_Recorded signal output</t>
  </si>
  <si>
    <t>Wake up the moment it enters Sleep</t>
  </si>
  <si>
    <t>▪ Wait after KEY OFF until just before entering Sleep
▪ Turn off CCU and ccNC and wait
▪ Wake up during the brief timing before entering Sleep
: Ethernet link up (CCU, ccNC Power On)
▪ Since the Sleep entry time is approximately 300ms, verify repeatedly.</t>
  </si>
  <si>
    <t>▪ Enter Sleep mode when CCU and ccNC are turned OFF again
: Dark current condition must be satisfied</t>
  </si>
  <si>
    <t>[Check PNI bit]</t>
  </si>
  <si>
    <t>PER_042</t>
  </si>
  <si>
    <t>Cluster PN request with built-in cam (Alive)</t>
  </si>
  <si>
    <t>▪ KEY OFF, Start Parking Recording, Enter Sleep
※ Disconnect Ethernet cable - Technica does not support TC10, so the link does not disconnect while connected.
※ Cannot be verified in Power Off state (Cannot wake up via Ethernet)
▪ Inject and maintain PN message via Packet Sender
- Address: 10.0.0.32
- Port: 13800
- Period: 500ms
- Data: C8 40 00 00 01 00 00 00 00 00 00 00 00 00 00 00 00 00 00 00 00 00 00 00 00 00 00 00 00 00 00 00 00 00 00 00 00</t>
  </si>
  <si>
    <t>▪ Prints EthNM Msg 5 times at 50ms intervals (Repeat), then stops
▪ Maintains Ready Sleep state
▪ Prints Application Msg (SOME/IP Msg)
: Dst IP: 244.244.24.245
※ Ready Sleep state can be verified via logs
: journalctl -f -o cat -u vrs | grep dmw</t>
  </si>
  <si>
    <t>[Byte #0] SNI  = 0xC8
[Byte #1] CBV 필드 = 0x40(PN기능을 지원함 가르킴)
[Byte #4] PNI 필드 = 0x01(빌트인캠이 포함된 클러스터(그룹) PN요청)
[Byte #10] PNI 필드 = 0x01(빌트인캠 PN요청)</t>
  </si>
  <si>
    <t>Request PN to built-in cam (Alive)</t>
  </si>
  <si>
    <t>▪ KEY OFF, Start Parking Recording, Enter Sleep
※ Disconnect Ethernet cable - Technica does not support TC10, so the link does not disconnect while connected.
※ Cannot be checked in Power Off state (Cannot wake up via Ethernet)
▪ Inject and maintain PN message via Packet Sender
- Data: C8 40 00 00 00 00 00 00 00 10 00 00 00 00 00 00 00 00 00 00 00 00 00 00 00 00 00 00 00 00 00 00 00 00</t>
  </si>
  <si>
    <t>Cluster with built-in cam &amp; Built-in cam PN request (Alive)</t>
  </si>
  <si>
    <t>▪ KEY OFF, Start Parking Recording, Enter Sleep
※ Disconnect Ethernet cable - Technica does not support TC10, so the link does not disconnect while connected.
※ Cannot be checked in Power Off state (Cannot wake up via Ethernet)
▪ Inject and maintain PN message via Packet Sender
- Data: C8 40 00 00 01 00 00 00 00 00 10 00 00 00 00 00 00 00 00 00 00 00 00 00 00 00 00 00 00 00 00 00 00 00 00 00</t>
  </si>
  <si>
    <t>Message injection (Sleep) that does not support PN</t>
  </si>
  <si>
    <t>▪ KEY OFF, Start Parking Recording, Enter Sleep
※ Disconnect Ethernet cable - Technica does not support TC10, so the link does not disconnect while connected.
※ Cannot be checked in Power Off state (Cannot wake up via Ethernet)
▪ Inject and maintain PN message via Packet Sender
- Data: C8 00 00 00 01 00 00 00 00 00 10 00 00 00 00 00 00 00 00 00 00 00 00 00 00 00 00 00 00 00 00 00 00 00 00 00</t>
  </si>
  <si>
    <t>▪ EthNM Msg not printed
※ Prepare Sleep status can be verified via log
: journalctl -f -o cat -u vrs | grep dmw</t>
  </si>
  <si>
    <t>Injecting a message where all PNI bits are 0</t>
  </si>
  <si>
    <t>▪ KEY OFF, Start Parking Recording, Enter Sleep
※ Disconnect Ethernet cable - Technica does not support TC10, so the link does not disconnect while connected.
※ Cannot be checked in Power Off state (Cannot wake up via Ethernet)
▪ Inject and maintain PN message via Packet Sender
- Data: C8 40 00 00 00 00 00 00 00 00 00 00 00 00 00 00 00 00 00 00 00 00 00 00 00 00 00 00 00 00 00 00 00 00 00 00 00 00</t>
  </si>
  <si>
    <t>If the non-applicable PNI bit is 1</t>
  </si>
  <si>
    <t>▪ KEY OFF, Start Parking Recording, Enter Sleep
※ Disconnect Ethernet cable - Technica does not support TC10, so the link does not disconnect while connected.
※ Cannot be checked in Power Off state (Cannot wake up via Ethernet)
▪ Inject and maintain PN message via Packet Sender
- Data: C8 00 00 00 00 00 00 00 00 00 00 00 00 00 00 00 00 00 00 00 00 00 00 00 00 00 00 00 01 00 00 01 00 00</t>
  </si>
  <si>
    <t>Confirmation that it does not wake up even if EthPN is received while Power Off</t>
  </si>
  <si>
    <t>▪ KEY OFF, Enter Sleep (Parking Recording Settings OFF, Power Off)
※ Disconnect Ethernet cable - Technica does not support TC10, so the link does not disconnect while connected.
※ Cannot be verified in Power Off state (Cannot wake up via Ethernet)
▪ Inject and maintain PN message via Packet Sender
- Data: C8 40 00 00 01 00 00 00 00 00 10 00 00 00 00 00 00 00 00 00 00 00 00 00 00 00 00 00 00 00 00 00 00 00 00 00</t>
  </si>
  <si>
    <t>▪ Maintain Ethernet, CAN communication sleep</t>
  </si>
  <si>
    <t>[BLTN_CAM-OperationPerformance-030]</t>
  </si>
  <si>
    <t>ex) BDC: Satisfies input signal processing at 500us and application of an incoming signal monitoring cycle of 10ms. * Evaluation prioritizes each controller's Spec.</t>
  </si>
  <si>
    <t>Check input signal processing cycle</t>
  </si>
  <si>
    <t>[BLTN_CAM-OperationPerformance-031]</t>
  </si>
  <si>
    <t>ex) BDC: Normal operation of overcurrent sensing and component burnout protection logic due to overcurrent or overvoltage * Evaluated prioritizing each controller's Spec.</t>
  </si>
  <si>
    <t>Component burnout protection and recovery logic operation</t>
  </si>
  <si>
    <t>[BLTN_CAM-OperationPerformance-032]</t>
  </si>
  <si>
    <t>ex) BDC: System reset processing by applying a 200ms timeout for infinite loops or stuck states caused by software errors. * Evaluated prioritizing each controller's Spec.</t>
  </si>
  <si>
    <t>MCU internal watchdog and separate external watchdog logic operation</t>
  </si>
  <si>
    <t>[BLTN_CAM-OperationPerformance-033]</t>
  </si>
  <si>
    <t>ex) BDC: Satisfies RF receive sensitivity -84dBm (±1dB), occupied bandwidth within 5MHz, transmit modulation depth 75~100%, standby mode leakage power -54dBm or less. * Evaluation prioritizes each controller's Spec.</t>
  </si>
  <si>
    <t>Verification of frequency performance against required performance standards: LF/RF, sensitivity, deviation, modulation, occupied bandwidth, leakage power, etc.</t>
  </si>
  <si>
    <t>[BLTN_CAM-OperationPerformance-034]</t>
  </si>
  <si>
    <t>ex) BDC: Satisfies the Register value setting when configuring MCAL for microcontroller/memory drivers, CAN communication, I/O drivers, etc. * Evaluated prioritizing each controller's Spec.</t>
  </si>
  <si>
    <t>Check Register Value Setting</t>
  </si>
  <si>
    <t>[BLTN_CAM-OperationPerformance-035]</t>
  </si>
  <si>
    <t>ex) BDC: Verify mapping between each PIN MAP and SW variables * Evaluate prioritizing each controller's Spec.</t>
  </si>
  <si>
    <t>Check Hardware/Software Interface</t>
  </si>
  <si>
    <t>[BLTN_CAM-OperationPerformance-036]</t>
  </si>
  <si>
    <t>[Vehicle Unit Reset]
* Check the Knowledge Base for Verification Mine Evaluation Methods
* Refer to Redmine Specification #22725
* PDC_ResetReqForOthers does not operate for HW reset target controllers; therefore, the BLTN_CAM_ResetOpSta signal retains its default value</t>
  </si>
  <si>
    <t>Vehicle Unit Reset Operation Verification
[2.5th Generation]</t>
  </si>
  <si>
    <t>Check preconditions</t>
  </si>
  <si>
    <t>▪ Check BLTN_CAM_ResetOpSta default value</t>
  </si>
  <si>
    <t>▪ BLTN_CAM_ResetOpSta = 0x0 (Normal)</t>
  </si>
  <si>
    <t>▪ Gear: Hold in P
TCU_GearSlctDis = 0x0 (Gear ICE)
HTCU_GearSlctrDis = 0x0 (Gear HEV)
VCU_GearPosSta = 0x0 (Gear EV)
▪ Vehicle Speed: Hold at 0 (CLU_DisSpdVal = 0.0)
▪ Power: Hold at B+ 9V or higher
▪ Transmit [PDC_FD_15_300ms]
- PDC_ResetPreWrngForOthers = 0x0(No Warning)
- PDC_FD_AlvCntWrngForCCU = 0x0 (No Warning)
- PDC_FD_Crc15Val = CRC Calculation Value
※ Refer to Verification Mine &gt; Knowledge Base &gt; New Features &gt; Vehicle Unit Reset</t>
  </si>
  <si>
    <t>▪ BLTN_CAM_ResetOpSta = 0x0 (Normal)
▪ BLTN_CAM_RecSta_OWD = 0X1 (Recording)</t>
  </si>
  <si>
    <t>Vehicle Unit Reset Function (Driving)
: When a Warning signal is received for a vehicle subject to HW reset
Recording ends and standby state is reached</t>
  </si>
  <si>
    <t>▪ Always Driving, Driving Event ON
▪ Always Driving, Time-lapse, Manual, Impact Recording in Progress
▪ Transmit [PDC_FD_15_300ms]
- PDC_ResetPreWrngForOthers = 0x1(Warning)
- PDC_FD_AlvCntWrngForCCU = Increase Raw Value by 1
- PDC_FD_Crc15Val = CRC Calculation Value</t>
  </si>
  <si>
    <t>▪ BLTN_CAM_ResetOpSta = 0x0 (Normal)
▪ Verify progress of Driving Continuous, Time-lapse, Manual, and Impact recording
(Modified to operate ignoring vehicle-level reset signals)</t>
  </si>
  <si>
    <t>[MCU Reset]
* Refer to BICIM2-2430
* Issue where Overflow occurred during CAN Time Out Task 2</t>
  </si>
  <si>
    <t>Check recording function [Conditions of Malice]</t>
  </si>
  <si>
    <t>Check parking recording operation reset</t>
  </si>
  <si>
    <t>[Standalone Conditions]
▪ BLTN_CAM_RecSet_OWP = 0x2 (ON)
▪ BLTN_CAM_RecSet_PEV = 0x2 (ON)
▪ Enter parking continuous recording after KEY OFF (Before Park)
▪ Time Out after PDC_FD_15_300ms signal is applied
▪ Wait for 3 minutes or more to check parking continuous recording results</t>
  </si>
  <si>
    <t>▪ Parking continuous recording will proceed normally without rebooting</t>
  </si>
  <si>
    <t>과거차문제PASTI-364
빌트인 캠 MCU 간헐적 Reset 발생</t>
  </si>
  <si>
    <t>[Real Vehicle Conditions]
▪ BLTN_CAM_RecSet_OWP = 0x2 (ON)
▪ BLTN_CAM_RecSet_PEV = 0x2 (ON)
▪ Enter parking continuous recording after KEY OFF
▪ Enter Sleep
▪ Apply PDC_FD_15_300ms signal
▪ Transmit CGW_NM signal to maintain MCU Wake Up
▪ PDC_FD_15_300ms Frame Time Out
▪ Wait for at least 3 minutes and check parking continuous recording results</t>
  </si>
  <si>
    <t>▪ ↑ ▪ 5 consecutive impact recordings in continuous parking mode</t>
  </si>
  <si>
    <t>▪ ↑ ▪ Manual recording performed 5 consecutive times in continuous parking mode</t>
  </si>
  <si>
    <t>Check operation reset during driving recording</t>
  </si>
  <si>
    <t>▪ ↑ ▪ KEY ON to start continuous recording while driving
▪ Time Out after PDC_FD_15_300ms signal is applied
▪ Wait for 3 minutes or more to check the results of the continuous driving recording</t>
  </si>
  <si>
    <t>▪ Continuous recording while driving will proceed normally without rebooting</t>
  </si>
  <si>
    <t>▪ ↑ 
▪ Multi-recording in progress while driving (Continuous, Event, Manual, Time-lapse)
▪ Time Out after PDC_FD_15_300ms signal is applied
▪ Wait for 3 minutes or more to check multi-recording results</t>
  </si>
  <si>
    <t>▪ Multiple recording will proceed normally without rebooting</t>
  </si>
  <si>
    <t>▪ ↑ ▪ Enter AR Navigation
▪ Time Out after PDC_FD_15_300ms signal is applied
▪ Wait for 3 minutes or more to check continuous driving recording results</t>
  </si>
  <si>
    <t>▪ ↑ 
▪ Perform multi-recording on AR navigation screen (Continuous, Event, Manual, Time-lapse)
▪ Time Out after PDC_FD_15_300ms signal is applied
▪ Wait for 3 minutes or more to check multi-recording results</t>
  </si>
  <si>
    <t>[BLTN_CAM-Non-functional and others]</t>
  </si>
  <si>
    <t>Fail/Safe Signal Define(SMK_TrmnlCtrlGrpStaBDC)
: Normal Value
(Recognizes IGN status based on an "OR" condition with the IGN pin input)</t>
  </si>
  <si>
    <t>ETC_001</t>
  </si>
  <si>
    <t>[IGNITION Recognition by BDC Signal] - 1</t>
  </si>
  <si>
    <t>▪ Driving Recording Setting ON
▪ SMK_TrmnlCtrlGrpStaBDC = 0 :OFF(Init Value)</t>
  </si>
  <si>
    <t>▪ Driving recording not in progress (IGN OFF detected)</t>
  </si>
  <si>
    <t>ME 차종 이전</t>
  </si>
  <si>
    <t>▪ SMK_TrmnlCtrlGrpStaBDC = 4 :Engine Running
 ▪ SMK_TrmnlCtrlGrpStaBDC = 0 :OFF(Init Value)</t>
  </si>
  <si>
    <t>▪ SMK_TrmnlCtrlGrpStaBDC = 4 :Engine Running
 ▪ SMK_TrmnlCtrlGrpStaBDC = 5 or 6 :Reserved</t>
  </si>
  <si>
    <t>▪ SMK_TrmnlCtrlGrpStaBDC = 4: Engine Running
 ▪ SMK_TrmnlCtrlGrpStaBDC = Time-out</t>
  </si>
  <si>
    <t>Fail/Safe Signal Define(SMK_TrmnlCtrlGrpStaBDCEV: ME_Vehicle_Model~)
(Recognizes IGN status with an "OR" condition with IGN pin input)</t>
  </si>
  <si>
    <t>ETC_002</t>
  </si>
  <si>
    <t>[IGNITION Recognition by BDC Signal] - 2</t>
  </si>
  <si>
    <t>▪ Driving Recording Setting ON
▪ SMK_TrmnlCtrlGrpStaBDCEV = 0 :OFF(Init Value)</t>
  </si>
  <si>
    <t>ME 차종부터 적용</t>
  </si>
  <si>
    <t>▪ SMK_TrmnlCtrlGrpStaBDCEV = 1 :Standby</t>
  </si>
  <si>
    <t>▪ SMK_TrmnlCtrlGrpStaBDCEV = 3 :Ready
 ▪ SMK_TrmnlCtrlGrpStaBDCEV = 0 :OFF</t>
  </si>
  <si>
    <t>▪ SMK_TrmnlCtrlGrpStaBDCEV = 3 :Ready
 ▪ SMK_TrmnlCtrlGrpStaBDCEV = 4 or 6 :Reserved</t>
  </si>
  <si>
    <t>▪ SMK_TrmnlCtrlGrpStaBDCEV = 3 :Ready
 ▪ SMK_TrmnlCtrlGrpStaBDCEV = 7 :Error Indicator</t>
  </si>
  <si>
    <t>▪ SMK_TrmnlCtrlGrpStaBDCEV = 3 :Ready
 ▪ SMK_TrmnlCtrlGrpStaBDCEV = Time-out</t>
  </si>
  <si>
    <t>ETC_003</t>
  </si>
  <si>
    <t>[Recording Operation Voltage] Parking Recording Stop Voltage</t>
  </si>
  <si>
    <t>12V → 6V Check Parking Recording Stop (Low Voltage)</t>
  </si>
  <si>
    <t>▪ Start Parking Recording, Enter Network Sleep
▪ Auxiliary Battery Power Input: 12V → 6V (eAGM specification uses B+ voltage)
※ Method for Auxiliary Battery Low Voltage Input: In Sleep mode, manually input a CAN signal to switch the Wake-up power input from Sub Battery to B+, then connect the auxiliary battery B+ pin to the power supply.</t>
  </si>
  <si>
    <t>▪ Stop parking recording (6.5V or lower)</t>
  </si>
  <si>
    <t>주차녹화 고전압은 발생불가 조건으로 평가항목에서 제외했음</t>
  </si>
  <si>
    <t>[Recording Operating Voltage] - Driving Recording</t>
  </si>
  <si>
    <t>0V → 12V Driving Recording Start Confirmation</t>
  </si>
  <si>
    <t>▪ Power Input: 6V → 12V
▪ Key On</t>
  </si>
  <si>
    <t>▪ Driving recording functioning normally</t>
  </si>
  <si>
    <t>12V → 19V Check Parking Recording Stop (High Voltage)</t>
  </si>
  <si>
    <t>▪ Key Off
▪ Power Input: 12V → 19V</t>
  </si>
  <si>
    <t>▪ Stop parking recording (18.6V ±0.2)</t>
  </si>
  <si>
    <t>Confirmation of resumption of driving recording from 19V to 12V</t>
  </si>
  <si>
    <t>19 V</t>
  </si>
  <si>
    <t>▪ Power Input: 19V → 12V
▪ Key On</t>
  </si>
  <si>
    <t>12V → 6V Check for driving recording stoppage (low voltage)</t>
  </si>
  <si>
    <t>▪ Power Input: 12V → 6V
▪ Key On</t>
  </si>
  <si>
    <t>▪ Stop driving recording (6.5V or lower)</t>
  </si>
  <si>
    <t>[Recording Operation Voltage] - Undervoltage Overvoltage</t>
  </si>
  <si>
    <t>Low Voltage
: Shock and Manual Events, Time-lapse Recording Confirmation</t>
  </si>
  <si>
    <t>9V</t>
  </si>
  <si>
    <t>▪ Power Input: 9V
▪ Impact Input
▪ EVENT SW Input less than 1.3s
▪ EVENT SW Input 1.3s or more</t>
  </si>
  <si>
    <t>▪ Impact events, manual events, and time-lapses function normally
▪ Video saving works normally</t>
  </si>
  <si>
    <t>Overvoltage
: Shock and manual events, time-lapse recording confirmation</t>
  </si>
  <si>
    <t>16V</t>
  </si>
  <si>
    <t>▪ Power Input: 16V
▪ Impact Input
▪ EVENT SW Input less than 1.3s
▪ EVENT SW Input 1.3s or more</t>
  </si>
  <si>
    <t>Pin Map</t>
  </si>
  <si>
    <t>[Camera Indicator]</t>
  </si>
  <si>
    <t>Check front/rear camera indicator output (always on while driving)</t>
  </si>
  <si>
    <t>▪ F/R-CAM_INDI = ON
- Flash Period : 0.5Hz
- Flash Duty : 50%
- Light Dimming : 100%</t>
  </si>
  <si>
    <t>Check front/rear camera indicator output (driving event)</t>
  </si>
  <si>
    <t>▪ Recording events while driving</t>
  </si>
  <si>
    <t>▪ F/R-CAM_INDI = ON
- Flashing Cycle : 1Hz
- Duty : 50%
- Light Dimming : 100%</t>
  </si>
  <si>
    <t>Front/Rear Camera Indicator Output Verification (Time-lapse)</t>
  </si>
  <si>
    <t>▪ Recording time-lapse</t>
  </si>
  <si>
    <t>▪ F/R-CAM_INDI = ON
- Flashing Cycle : 0.25Hz
- Duty : 50%
- Light Dimming : 100%</t>
  </si>
  <si>
    <t>Check Front/Rear Camera Indicator Output (Always On during Parking)</t>
  </si>
  <si>
    <t>▪ Continuous recording while parked</t>
  </si>
  <si>
    <t>▪ F/R-CAM_INDI = ON
- Flashing Cycle : 0.5Hz
- Duty : 50%
- Light Dimming : 100%</t>
  </si>
  <si>
    <t>Check Front/Rear Camera Indicator Output (Parking Event)</t>
  </si>
  <si>
    <t>▪ Event recording in progress while parked</t>
  </si>
  <si>
    <t>Front/Rear Camera Indicator Output Verification (Performance)</t>
  </si>
  <si>
    <t>▪ During performance recording</t>
  </si>
  <si>
    <t>ETC_007</t>
  </si>
  <si>
    <t>[Camera Indicator] Voltage</t>
  </si>
  <si>
    <t>Check front/rear camera indicator voltage output</t>
  </si>
  <si>
    <t>▪ Driving Recording Status
▪ Check Front/Rear Camera Indicator Output</t>
  </si>
  <si>
    <t>[Camera Indicator] Low voltage, High voltage</t>
  </si>
  <si>
    <t>Check front/rear camera indicator voltage output (low voltage)</t>
  </si>
  <si>
    <t>Check Front/Rear Camera Indicator Voltage Output (High Voltage)</t>
  </si>
  <si>
    <t>[Camera Indicator] Check OFF</t>
  </si>
  <si>
    <t>Check Front/Rear Camera Indicator OFF (KEY OFF)</t>
  </si>
  <si>
    <t>▪ Recording settings OFF, check front/rear camera indicator output</t>
  </si>
  <si>
    <t>Check Front/Rear Camera Indicator OFF (KEY ON)</t>
  </si>
  <si>
    <t>ETC_010</t>
  </si>
  <si>
    <t>[Optical conditions for driving recording power]</t>
  </si>
  <si>
    <t>Repeat B+ reset in B+ power state</t>
  </si>
  <si>
    <t>▪ Turn on B+ power after repeating reset 30 times at 1-second intervals</t>
  </si>
  <si>
    <t>▪ Driving recording proceeding normally
▪ No fault codes generated</t>
  </si>
  <si>
    <t>Repeat B+ reset while IGN ON</t>
  </si>
  <si>
    <t>▪ B+ Power Reset 30 times at 1-second intervals</t>
  </si>
  <si>
    <t>Repeated low voltage application</t>
  </si>
  <si>
    <t>▪ 12V ↔ 5V switching repeated 30 times, then 12V</t>
  </si>
  <si>
    <t>▪ Driving recording proceeding normally
▪ Past low voltage faults
▪ No fault codes generated (excluding past low voltage faults)</t>
  </si>
  <si>
    <t>Repeated application of high voltage</t>
  </si>
  <si>
    <t>▪ Repeat 12V ↔ 19V switching 30 times, then 12V</t>
  </si>
  <si>
    <t>▪ Driving recording proceeding normally
▪ Past high voltage fault
▪ No fault codes generated (except for past high voltage faults)</t>
  </si>
  <si>
    <t>Verification of Influence of Start Voltage Waveform
※ Using a Programmable Power Supply
(Verification of Normal Built-in Cam Operation After Inputting Start Voltage)</t>
  </si>
  <si>
    <t>ETC_011</t>
  </si>
  <si>
    <t>[Driving Recording Start Voltage Waveform Application]</t>
  </si>
  <si>
    <t>Voltage Fluctuation: Startup Waveform 1</t>
  </si>
  <si>
    <t>▪ Verify normal operation status of the built-in cam
▪ Input startup waveform 1 using a power supply device</t>
  </si>
  <si>
    <t>▪ Verify normal operation of the built-in cam after inputting the ignition waveform
▪ Check front/rear camera output
▪ No fault codes will occur</t>
  </si>
  <si>
    <t>과거차문제
PASTI-325
시동 크래킹 시 빌트인 캠 진입 불가</t>
  </si>
  <si>
    <t>Voltage Fluctuation: Startup Waveform 2</t>
  </si>
  <si>
    <t>▪ Verify normal operation status of the built-in cam
▪ Input startup waveform 2 using a power supply device</t>
  </si>
  <si>
    <t>▪ ↑</t>
  </si>
  <si>
    <t>Voltage Fluctuation: Startup Waveform 3</t>
  </si>
  <si>
    <t>▪ Verify normal operation status of the built-in cam
▪ Input startup waveform 3 using a power supply device</t>
  </si>
  <si>
    <t>Voltage Fluctuation: Startup Waveform 4</t>
  </si>
  <si>
    <t>▪ Verify normal operation status of the built-in cam
▪ Input startup waveform 4 using a power supply device</t>
  </si>
  <si>
    <t>Voltage Fluctuation: Startup Waveform 5</t>
  </si>
  <si>
    <t>▪ Verify normal operation status of the built-in cam
▪ Input startup waveform 5 using a power supply device</t>
  </si>
  <si>
    <t>Voltage Fluctuation: Startup Waveform 6</t>
  </si>
  <si>
    <t>▪ Verify normal operation status of the built-in cam
▪ Input startup waveform 6 using a power supply device</t>
  </si>
  <si>
    <t>Voltage Fluctuation: Startup Waveform 7</t>
  </si>
  <si>
    <t>▪ Verify normal operation status of the built-in cam
▪ Input startup waveform 7 using a power supply device</t>
  </si>
  <si>
    <t>Voltage Fluctuation: Startup Waveform 8</t>
  </si>
  <si>
    <t>▪ Verify normal operation status of the built-in cam
▪ Input startup waveform 8 using power supply equipment</t>
  </si>
  <si>
    <t>Voltage Fluctuation: Startup Waveform 9</t>
  </si>
  <si>
    <t>▪ Verify normal operation status of the built-in cam
▪ Input startup waveform 9 using a power supply device</t>
  </si>
  <si>
    <t>Voltage Fluctuation: Startup Waveform 10</t>
  </si>
  <si>
    <t>▪ Verify normal operation status of the built-in cam
▪ Input startup waveform 10 using power supply equipment</t>
  </si>
  <si>
    <t>Voltage Fluctuation: Startup Waveform 11</t>
  </si>
  <si>
    <t>▪ Verify normal operation status of the built-in cam
▪ Input startup waveform 11 using power supply equipment</t>
  </si>
  <si>
    <t>Voltage Fluctuation: Startup Waveform 12</t>
  </si>
  <si>
    <t>▪ Verify normal operation status of the built-in cam
▪ Input startup waveform 12 using power supply equipment</t>
  </si>
  <si>
    <t>Voltage Fluctuation: Startup Waveform 13</t>
  </si>
  <si>
    <t>▪ Verify normal operation status of the built-in cam
▪ Input startup waveform 13 using power supply equipment</t>
  </si>
  <si>
    <t>Voltage Fluctuation: Startup Waveform 14</t>
  </si>
  <si>
    <t>▪ Verify normal operation status of the built-in cam
▪ Input startup waveform 14 using power supply equipment</t>
  </si>
  <si>
    <t>Voltage Fluctuation: Startup Waveform 15</t>
  </si>
  <si>
    <t>▪ Verify normal operation status of the built-in cam
▪ Input startup waveform 15 using power supply equipment</t>
  </si>
  <si>
    <t>Voltage Fluctuation: Startup Waveform 16</t>
  </si>
  <si>
    <t>▪ Verify normal operation status of the built-in cam
▪ Input startup waveform 16 using power supply equipment</t>
  </si>
  <si>
    <t>Voltage Fluctuation: Startup Waveform 17</t>
  </si>
  <si>
    <t>▪ Verify normal operation status of the built-in cam
▪ Input startup waveform 17 using power supply equipment</t>
  </si>
  <si>
    <t>Voltage Fluctuation: Startup Waveform 18</t>
  </si>
  <si>
    <t>▪ Verify normal operation status of the built-in cam
▪ Input startup waveform 18 using power supply equipment</t>
  </si>
  <si>
    <t>Voltage Fluctuation: Startup Waveform 19</t>
  </si>
  <si>
    <t>▪ Verify normal operation status of the built-in cam
▪ Input startup waveform 19 using power supply equipment</t>
  </si>
  <si>
    <t>Voltage Fluctuation: Startup Waveform 20</t>
  </si>
  <si>
    <t>▪ Verify normal operation status of the built-in cam
▪ Input startup waveform 20 using power supply equipment</t>
  </si>
  <si>
    <t>Voltage Fluctuation: Startup Waveform 21</t>
  </si>
  <si>
    <t>▪ Verify normal operation status of the built-in cam
▪ Input startup waveform 21 using a power supply device</t>
  </si>
  <si>
    <t>[Check Signal Output Status by CAN Message]
: BLTN_CAM_E_00</t>
  </si>
  <si>
    <t>ETC_012</t>
  </si>
  <si>
    <t>[Checking Signal Output Status by CAN Message] - 1</t>
  </si>
  <si>
    <t>Check if 'BLTN_CAM_UI_Mode_Tmt_Req' is displayed</t>
  </si>
  <si>
    <t>▪ Check whether the corresponding signal is output</t>
  </si>
  <si>
    <t>▪ BLTN_CAM_UI_Mode_Tmt_Req output</t>
  </si>
  <si>
    <t>Check if 'BLTN_CAM_Dis_Touch_BeepSound' is output</t>
  </si>
  <si>
    <t>▪ BLTN_CAM_Dis_Touch_BeepSound output</t>
  </si>
  <si>
    <t>Check if 'BLTN_CAM_PopUp_Req' is displayed</t>
  </si>
  <si>
    <t>▪ BLTN_CAM_PopUp_Req output</t>
  </si>
  <si>
    <t>Check whether 'BLTN_CAM_File_List_Renew' is printed</t>
  </si>
  <si>
    <t>▪ BLTN_CAM_File_List_Renew output</t>
  </si>
  <si>
    <t>Check if 'BLTN_CAM_Wifi_Pwd_Chg_State' is displayed</t>
  </si>
  <si>
    <t>▪ BLTN_CAM_Wifi_Pwd_Chg_State output</t>
  </si>
  <si>
    <t>[Check Signal Output Status by CAN Message]
: BLTN_CAM_HU_PE_00_200ms</t>
  </si>
  <si>
    <t>[Checking Signal Output Status by CAN Message] - 2</t>
  </si>
  <si>
    <t>Check if 'BLTN_CAM_HU_UI_Mode' is displayed</t>
  </si>
  <si>
    <t>▪ BLTN_CAM_HU_UI_Mode output</t>
  </si>
  <si>
    <t>Check whether 'BLTN_CAM_SD_Format_Op_State' is output</t>
  </si>
  <si>
    <t>▪ BLTN_CAM_SD_Format_Op_State output</t>
  </si>
  <si>
    <t>Check if 'BLTN_CAM_PEV_Recorded' is output</t>
  </si>
  <si>
    <t>▪ BLTN_CAM_PEV_Recorded output</t>
  </si>
  <si>
    <t>Check if 'BLTN_CAM_LVDS_Mode_State' is displayed</t>
  </si>
  <si>
    <t>▪ BLTN_CAM_LVDS_Mode_State output</t>
  </si>
  <si>
    <t>Check 'BLTN_CAM_Display' output status</t>
  </si>
  <si>
    <t>▪ BLTN_CAM_Display output</t>
  </si>
  <si>
    <t>Check if 'BLTN_CAM_WiFi_State' is output</t>
  </si>
  <si>
    <t>▪ BLTN_CAM_WiFi_State output</t>
  </si>
  <si>
    <t>Check if 'BLTN_CAM_Ind_Req' is output</t>
  </si>
  <si>
    <t>▪ BLTN_CAM_Ind_Req output</t>
  </si>
  <si>
    <t>Check if 'BLTN_CAM_PEV_Count' is displayed</t>
  </si>
  <si>
    <t>▪ BLTN_CAM_PEV_Count Output</t>
  </si>
  <si>
    <t>Check whether 'BLTN_CAM_PrkOp_Termiate_Info' is displayed</t>
  </si>
  <si>
    <t>▪ BLTN_CAM_PrkOp_Termiate_Info output</t>
  </si>
  <si>
    <t>Check BLTN_CAM_DEV_Count output status</t>
  </si>
  <si>
    <t>▪ BLTN_CAM_DEV_Count Output</t>
  </si>
  <si>
    <t>Check BLTN_CAM_DEV_Recorded output status</t>
  </si>
  <si>
    <t>▪ BLTN_CAM_DEV_Recorded output</t>
  </si>
  <si>
    <t>Check if HU_SSHFS_StrictHostKeyCheck1 is displayed</t>
  </si>
  <si>
    <t>▪ HU_SSHFS_StrictHostKeyCheck1t output</t>
  </si>
  <si>
    <t>[Check Signal Output Status by CAN Message]
: BLTN_CAM_PE_00_200ms</t>
  </si>
  <si>
    <t>[Checking Signal Output by CAN Message] - 3</t>
  </si>
  <si>
    <t>Check if 'BLTN_CAM_RecSet_OWD' is output</t>
  </si>
  <si>
    <t>▪ BLTN_CAM_RecSet_OWD output</t>
  </si>
  <si>
    <t>Check if 'BLTN_CAM_Set_Tim_Stm' is output</t>
  </si>
  <si>
    <t>▪ BLTN_CAM_Set_Tim_Stm output</t>
  </si>
  <si>
    <t>Check if 'BLTN_CAM_Set_Spd_Stm' is output</t>
  </si>
  <si>
    <t>▪ BLTN_CAM_Set_Spd_Stm output</t>
  </si>
  <si>
    <t>Check if 'BLTN_CAM_Set_Locatn_Stm' is output</t>
  </si>
  <si>
    <t>▪ BLTN_CAM_Set_Locatn_Stm output</t>
  </si>
  <si>
    <t>Check if 'BLTN_CAM_Set_TrnSig_Stm' is output</t>
  </si>
  <si>
    <t>▪ BLTN_CAM_Set_TrnSig_Stm output</t>
  </si>
  <si>
    <t>Check if 'BLTN_CAM_Set_AclBrk_Stm' is output</t>
  </si>
  <si>
    <t>▪ BLTN_CAM_Set_AclBrk_Stm output</t>
  </si>
  <si>
    <t>Check if 'BLTN_CAM_RecSet_DEV' is output</t>
  </si>
  <si>
    <t>▪ BLTN_CAM_RecSet_DEV output</t>
  </si>
  <si>
    <t>Check if 'BLTN_CAM_Set_GearPos_Stm' is output</t>
  </si>
  <si>
    <t>▪ BLTN_CAM_Set_GearPos_Stm output</t>
  </si>
  <si>
    <t>Check if 'BLTN_CAM_Set_EVSen_Stm' is output</t>
  </si>
  <si>
    <t>▪ BLTN_CAM_Set_EVSen_Stm output</t>
  </si>
  <si>
    <t>Check if 'BLTN_CAM_Set_StrAngl_Stm' is output</t>
  </si>
  <si>
    <t>▪ BLTN_CAM_Set_StrAngl_Stm output</t>
  </si>
  <si>
    <t>Check if 'BLTN_CAM_RecSet_OWP' is output</t>
  </si>
  <si>
    <t>▪ BLTN_CAM_RecSet_OWP output</t>
  </si>
  <si>
    <t>Check if 'BLTN_CAM_Set_Drv_TML_Int' is output</t>
  </si>
  <si>
    <t>▪ BLTN_CAM_Set_Drv_TML_Int output</t>
  </si>
  <si>
    <t>Check if 'BLTN_CAM_SenSet_DEV' is output</t>
  </si>
  <si>
    <t>▪ BLTN_CAM_SenSet_DEV output</t>
  </si>
  <si>
    <t>Check if 'BLTN_CAM_SenSet_PEV' is output</t>
  </si>
  <si>
    <t>▪ BLTN_CAM_SenSet_PEV output</t>
  </si>
  <si>
    <t>Check if 'BLTN_CAM_RecSet_PEV' is output</t>
  </si>
  <si>
    <t>▪ BLTN_CAM_RecSet_PEV output</t>
  </si>
  <si>
    <t>Check if 'BLTN_CAM_AudRec_Set' is output</t>
  </si>
  <si>
    <t>▪ BLTN_CAM_AudRec_Set output</t>
  </si>
  <si>
    <t>Check if 'BLTN_CAM_Set_EV_BfrTime' is output</t>
  </si>
  <si>
    <t>▪ BLTN_CAM_Set_EV_BfrTime output</t>
  </si>
  <si>
    <t>Check if 'BLTN_CAM_Set_EV_AftTime' is output</t>
  </si>
  <si>
    <t>▪ BLTN_CAM_Set_EV_AftTime output</t>
  </si>
  <si>
    <t>Check if 'BLTN_CAM_Set_PrkTime' is output</t>
  </si>
  <si>
    <t>▪ BLTN_CAM_Set_PrkTime output</t>
  </si>
  <si>
    <t>Check BLTN_CAM_Set_EV_RecMaxTime output status</t>
  </si>
  <si>
    <t>▪ BLTN_CAM_Set_EV_RecMaxTime output</t>
  </si>
  <si>
    <t>Check BLTN_CAM_RecSet_STRM output status</t>
  </si>
  <si>
    <t>▪ BLTN_CAM_RecSet_STRM output</t>
  </si>
  <si>
    <t>[Check Signal Output Status by CAN Message]
: BLTN_CAM_PE_01_200ms</t>
  </si>
  <si>
    <t>[Checking Signal Output Status by CAN Message] - 4</t>
  </si>
  <si>
    <t>Check if 'BLTN_CAM_Set_PEV_AppNoti' is displayed</t>
  </si>
  <si>
    <t>▪ BLTN_CAM_Set_PEV_AppNoti output</t>
  </si>
  <si>
    <t>Check 'BLTN_CAM_Set_WiFi_AutoOn' output status</t>
  </si>
  <si>
    <t>▪ BLTN_CAM_Set_WiFi_AutoOn output</t>
  </si>
  <si>
    <t>Check if 'BLTN_CAM_StrgPropSet' is output</t>
  </si>
  <si>
    <t>▪ BLTN_CAM_StrgPropSet Output</t>
  </si>
  <si>
    <t>Check whether 'BLTN_CAM_File_DEL_CPY_Op_State' is output</t>
  </si>
  <si>
    <t>▪ BLTN_CAM_File_DEL_CPY_Op_State output</t>
  </si>
  <si>
    <t>Check if 'BLTN_CAM_Set_FR_Ver_Pos' is output</t>
  </si>
  <si>
    <t>▪ BLTN_CAM_Set_FR_Ver_Pos output</t>
  </si>
  <si>
    <t>Check if 'BLTN_CAM_Set_RR_Ver_Pos' is output</t>
  </si>
  <si>
    <t>▪ BLTN_CAM_Set_RR_Ver_Pos output</t>
  </si>
  <si>
    <t>Check if 'BLTN_CAM_File_DEL_CPY_NumTot' is printed</t>
  </si>
  <si>
    <t>▪ BLTN_CAM_File_DEL_CPY_NumTot output</t>
  </si>
  <si>
    <t>Check if 'BLTN_CAM_File_DEL_CPYed_Num' is printed</t>
  </si>
  <si>
    <t>▪ BLTN_CAM_File_DEL_CPYed_Num output</t>
  </si>
  <si>
    <t>VAPI_BltnCamInsideSwEnable_Get</t>
  </si>
  <si>
    <t>▪ VAPI_BltnCamInsideSwEnable_Get output</t>
  </si>
  <si>
    <t>미사용</t>
  </si>
  <si>
    <t>[Check Signal Output Status by CAN Message]
: BLTN_CAM_STAT_PE_00_200ms</t>
  </si>
  <si>
    <t>ETC_016</t>
  </si>
  <si>
    <t>[Checking Signal Output Status by CAN Message] - 5</t>
  </si>
  <si>
    <t>Check if 'BLTN_CAM_State' is displayed</t>
  </si>
  <si>
    <t>▪ BLTN_CAM_State output</t>
  </si>
  <si>
    <t>Check if 'BLTN_CAM_RecSta_DEV' is output</t>
  </si>
  <si>
    <t>▪ BLTN_CAM_RecSta_DEV output</t>
  </si>
  <si>
    <t>Check if 'BLTN_CAM_RecSta_MAR' is printed</t>
  </si>
  <si>
    <t>▪ BLTN_CAM_RecSta_MAR output</t>
  </si>
  <si>
    <t>Check if 'BLTN_CAM_RecSta_TML' is output</t>
  </si>
  <si>
    <t>▪ BLTN_CAM_RecSta_TML output</t>
  </si>
  <si>
    <t>Check if 'BLTN_CAM_RecSta_OWP' is output</t>
  </si>
  <si>
    <t>▪ BLTN_CAM_RecSta_OWP output</t>
  </si>
  <si>
    <t>Check if 'BLTN_CAM_RecSta_PEV' is output</t>
  </si>
  <si>
    <t>▪ BLTN_CAM_RecSta_PEV output</t>
  </si>
  <si>
    <t>Check if 'BLTN_CAM_SD_Card_State' is displayed</t>
  </si>
  <si>
    <t>▪ BLTN_CAM_SD_Card_State output</t>
  </si>
  <si>
    <t>Check if 'BLTN_CAM_RecSta_OWD' is output</t>
  </si>
  <si>
    <t>▪ BLTN_CAM_RecSta_OWD output</t>
  </si>
  <si>
    <t>Check if 'BLTN_CAM_AuxBat_CapPer' is output</t>
  </si>
  <si>
    <t>▪ BLTN_CAM_AuxBat_CapPer output</t>
  </si>
  <si>
    <t>Check if 'BLTN_CAM_Prk_EV_Cnt' is output</t>
  </si>
  <si>
    <t>▪ BLTN_CAM_Prk_EV_Cnt output</t>
  </si>
  <si>
    <t>Check if 'BLTN_CAM_Prk_Oped_Time' is output</t>
  </si>
  <si>
    <t>▪ BLTN_CAM_Prk_Oped_Time output</t>
  </si>
  <si>
    <t>Check if 'BLTN_CAM_Prk_Oprable_Time' is displayed</t>
  </si>
  <si>
    <t>▪ BLTN_CAM_Prk_Oprable_Time output</t>
  </si>
  <si>
    <t>Check if 'BLTN_CAM_Prk_Oprable_Time_Max' is displayed</t>
  </si>
  <si>
    <t>▪ BLTN_CAM_Prk_Oprable_Time_Max output</t>
  </si>
  <si>
    <t>Check if 'BLTN_CAM_AuxBat_Conn_State' is output</t>
  </si>
  <si>
    <t>▪ BLTN_CAM_AuxBat_Conn_State output</t>
  </si>
  <si>
    <t>[Check Signal Output Status by CAN Message]
: NM_BLTN_CAM</t>
  </si>
  <si>
    <t>ETC_017</t>
  </si>
  <si>
    <t>[Checking Signal Output Status by CAN Message] - 7</t>
  </si>
  <si>
    <t>Check if 'NMCmmandCode_BLTN_CAM' is output</t>
  </si>
  <si>
    <t>▪ Output the corresponding signal
▪ Output the value corresponding to the version</t>
  </si>
  <si>
    <t>Check if 'NMSleepFlag_BLTN_CAM' is displayed</t>
  </si>
  <si>
    <t>Check if 'Destination_BLTN_CAM' is displayed</t>
  </si>
  <si>
    <t>[Checking Signal Output Status by CANFD Message]</t>
  </si>
  <si>
    <t>BLTN_CAM_FD_01_00ms(0xC1) ID, DLC, Check Cycle</t>
  </si>
  <si>
    <t>▪ ID: 0xC1
 ▪ Cycle Time: Event Signal
 ▪ DLC: 10</t>
  </si>
  <si>
    <t>BLTN_CAM_FD_02_200ms(0x3BC) ID, DLC, Check Cycle</t>
  </si>
  <si>
    <t>▪ ID: 0x3BC
 ▪ Cycle Time: 200ms
 ▪ DLC: 12</t>
  </si>
  <si>
    <t>BLTN_CAM_FD_HU_01_200ms(0x3BB) ID, DLC, Check Cycle</t>
  </si>
  <si>
    <t>▪ ID: 0x3BB
 ▪ Cycle Time: 200ms
 ▪ DLC: 10</t>
  </si>
  <si>
    <t>BLTN_CAM_FD_STAT_01_200ms(0x3BD) ID, DLC, Check Cycle</t>
  </si>
  <si>
    <t>▪ ID: 0x3BD
 ▪ Cycle Time: 200ms
 ▪ DLC: 12</t>
  </si>
  <si>
    <t>NM_BLTN_CAM_FD(0x17FC00C8) ID, DLC, Check Cycle</t>
  </si>
  <si>
    <t>▪ ID: 0x17FC00C8
 ▪ Cycle Time: 100ms
 ▪ DLC: 13</t>
  </si>
  <si>
    <t>[Check signal output status by CANFD message]:
BLTN_CAM_FD_01_00ms(0xC1)</t>
  </si>
  <si>
    <t>ETC_019</t>
  </si>
  <si>
    <t>[Checking Signal Output Status by CANFD Message] - 1</t>
  </si>
  <si>
    <t>BLTN_CAM_Dis_Touch_BeepSound</t>
  </si>
  <si>
    <t>BLTN_CAM_Dis_Touch_BeepSound output</t>
  </si>
  <si>
    <t>BLTN_CAM_FD_AlvCnt1Val</t>
  </si>
  <si>
    <t>BLTN_CAM_FD_AlvCnt1Val output</t>
  </si>
  <si>
    <t>BLTN_CAM_FD_Crc1Val</t>
  </si>
  <si>
    <t>BLTN_CAM_FD_Crc1Val output</t>
  </si>
  <si>
    <t>BLTN_CAM_File_List_Renew</t>
  </si>
  <si>
    <t>BLTN_CAM_File_List_Renew output</t>
  </si>
  <si>
    <t>BLTN_CAM_PopUp_Req</t>
  </si>
  <si>
    <t>BLTN_CAM_PopUp_Req output</t>
  </si>
  <si>
    <t>BLTN_CAM_UI_Mode_Tmt_Req</t>
  </si>
  <si>
    <t>BLTN_CAM_UI_Mode_Tmt_Req output</t>
  </si>
  <si>
    <t>BLTN_CAM_Wifi_Pwd_Chg_State</t>
  </si>
  <si>
    <t>BLTN_CAM_Wifi_Pwd_Chg_State output</t>
  </si>
  <si>
    <t>[Check signal output status by CANFD message]:
BLTN_CAM_FD_02_200ms(0x3BC)</t>
  </si>
  <si>
    <t>[Checking Signal Output Status by CANFD Message] - 2</t>
  </si>
  <si>
    <t>BLTN_CAM_AudRec_Set</t>
  </si>
  <si>
    <t>BLTN_CAM_AudRec_Set output</t>
  </si>
  <si>
    <t>BLTN_CAM_FD_AlvCnt2Val</t>
  </si>
  <si>
    <t>BLTN_CAM_FD_AlvCnt2Val output</t>
  </si>
  <si>
    <t>BLTN_CAM_FD_Crc2Val</t>
  </si>
  <si>
    <t>BLTN_CAM_FD_Crc2Val output</t>
  </si>
  <si>
    <t>BLTN_CAM_File_DEL_CPY_NumTot</t>
  </si>
  <si>
    <t>BLTN_CAM_File_DEL_CPY_NumTot output</t>
  </si>
  <si>
    <t>BLTN_CAM_File_DEL_CPY_Op_State</t>
  </si>
  <si>
    <t>BLTN_CAM_File_DEL_CPY_Op_State output</t>
  </si>
  <si>
    <t>BLTN_CAM_File_DEL_CPYed_Num</t>
  </si>
  <si>
    <t>BLTN_CAM_File_DEL_CPYed_Num output</t>
  </si>
  <si>
    <t>BLTN_CAM_RecSet_DEV</t>
  </si>
  <si>
    <t>BLTN_CAM_RecSet_DEV output</t>
  </si>
  <si>
    <t>BLTN_CAM_RecSet_OWD</t>
  </si>
  <si>
    <t>BLTN_CAM_RecSet_OWD output</t>
  </si>
  <si>
    <t>BLTN_CAM_RecSet_OWP</t>
  </si>
  <si>
    <t>BLTN_CAM_RecSet_OWP output</t>
  </si>
  <si>
    <t>BLTN_CAM_RecSet_PEV</t>
  </si>
  <si>
    <t>BLTN_CAM_RecSet_PEV output</t>
  </si>
  <si>
    <t>BLTN_CAM_SenSet_DEV</t>
  </si>
  <si>
    <t>BLTN_CAM_SenSet_DEV output</t>
  </si>
  <si>
    <t>BLTN_CAM_SenSet_PEV</t>
  </si>
  <si>
    <t>BLTN_CAM_SenSet_PEV output</t>
  </si>
  <si>
    <t>BLTN_CAM_Set_AclBrk_Stm</t>
  </si>
  <si>
    <t>BLTN_CAM_Set_AclBrk_Stm output</t>
  </si>
  <si>
    <t>BLTN_CAM_Set_Drv_TML_Int</t>
  </si>
  <si>
    <t>BLTN_CAM_Set_Drv_TML_Int output</t>
  </si>
  <si>
    <t>BLTN_CAM_Set_EV_AftTime</t>
  </si>
  <si>
    <t>BLTN_CAM_Set_EV_AftTime output</t>
  </si>
  <si>
    <t>BLTN_CAM_Set_EV_BfrTime</t>
  </si>
  <si>
    <t>BLTN_CAM_Set_EV_BfrTime output</t>
  </si>
  <si>
    <t>BLTN_CAM_Set_EVSen_Stm</t>
  </si>
  <si>
    <t>BLTN_CAM_Set_EVSen_Stm output</t>
  </si>
  <si>
    <t>BLTN_CAM_Set_FR_Ver_Pos</t>
  </si>
  <si>
    <t>BLTN_CAM_Set_FR_Ver_Pos output</t>
  </si>
  <si>
    <t>BLTN_CAM_Set_GearPos_Stm</t>
  </si>
  <si>
    <t>BLTN_CAM_Set_GearPos_Stm output</t>
  </si>
  <si>
    <t>BLTN_CAM_Set_Locatn_Stm</t>
  </si>
  <si>
    <t>BLTN_CAM_Set_Locatn_Stm output</t>
  </si>
  <si>
    <t>BLTN_CAM_Set_PEV_AppNoti</t>
  </si>
  <si>
    <t>BLTN_CAM_Set_PEV_AppNoti output</t>
  </si>
  <si>
    <t>BLTN_CAM_Set_PrkTime</t>
  </si>
  <si>
    <t>BLTN_CAM_Set_PrkTime output</t>
  </si>
  <si>
    <t>BLTN_CAM_Set_RR_Ver_Pos</t>
  </si>
  <si>
    <t>BLTN_CAM_Set_RR_Ver_Pos output</t>
  </si>
  <si>
    <t>BLTN_CAM_Set_Spd_Stm</t>
  </si>
  <si>
    <t>BLTN_CAM_Set_Spd_Stm output</t>
  </si>
  <si>
    <t>BLTN_CAM_Set_StrAngl_Stm</t>
  </si>
  <si>
    <t>BLTN_CAM_Set_StrAngl_Stm output</t>
  </si>
  <si>
    <t>BLTN_CAM_Set_Tim_Stm</t>
  </si>
  <si>
    <t>BLTN_CAM_Set_Tim_Stm output</t>
  </si>
  <si>
    <t>BLTN_CAM_Set_EV_RecMaxTime</t>
  </si>
  <si>
    <t>BLTN_CAM_Set_EV_RecMaxTime output</t>
  </si>
  <si>
    <t>BLTN_CAM_Set_WiFi_AutoOn</t>
  </si>
  <si>
    <t>BLTN_CAM_Set_WiFi_AutoOn output</t>
  </si>
  <si>
    <t>BLTN_CAM_StrgPropSet</t>
  </si>
  <si>
    <t>BLTN_CAM_StrgPropSet output</t>
  </si>
  <si>
    <t>BLTN_CAM_MaxRanSet_PMDR</t>
  </si>
  <si>
    <t>BLTN_CAM_MaxRanSet_PMDR output</t>
  </si>
  <si>
    <t>BLTN_CAM_RanSet_PMDR</t>
  </si>
  <si>
    <t>BLTN_CAM_RanSet_PMDR output</t>
  </si>
  <si>
    <t>BLTN_CAM_Set_PMD</t>
  </si>
  <si>
    <t>BLTN_CAM_Set_PMD output</t>
  </si>
  <si>
    <t>BLTN_CAM_Set_PMDEV</t>
  </si>
  <si>
    <t>BLTN_CAM_Set_PMDEV output</t>
  </si>
  <si>
    <t>BLTN_CAM_Set_PMDTim</t>
  </si>
  <si>
    <t>BLTN_CAM_Set_PMDTim output</t>
  </si>
  <si>
    <t>BLTN_CAM_BPR_AutRec_Set</t>
  </si>
  <si>
    <t>BLTN_CAM_BPR_AutRec_Set output</t>
  </si>
  <si>
    <t>BLTN_CAM_BPR_SndRec_Set</t>
  </si>
  <si>
    <t>BLTN_CAM_BPR_SndRec_Set output</t>
  </si>
  <si>
    <t>BLTN_CAM_Set_BPR_RE</t>
  </si>
  <si>
    <t>BLTN_CAM_Set_BPR_RE output</t>
  </si>
  <si>
    <t>BLTN_CAM_Set_BPR_TM</t>
  </si>
  <si>
    <t>BLTN_CAM_Set_BPR_TM output</t>
  </si>
  <si>
    <t>BLTN_CAM_RecSet_LPE</t>
  </si>
  <si>
    <t>BLTN_CAM_RecSet_LPE output</t>
  </si>
  <si>
    <t>BLTN_CAM_Set_Crash_Pos</t>
  </si>
  <si>
    <t>BLTN_CAM_Set_Crash_Pos output</t>
  </si>
  <si>
    <t>BLTN_CAM_Set_Distort_Correct</t>
  </si>
  <si>
    <t>BLTN_CAM_Set_Distort_Correct output</t>
  </si>
  <si>
    <t>BLTN_CAM_Set_Pollution_Warn</t>
  </si>
  <si>
    <t>BLTN_CAM_Set_Pollution_Warn output</t>
  </si>
  <si>
    <t>BLTN_CAM_Stm_all</t>
  </si>
  <si>
    <t>BLTN_CAM_Stm_all output</t>
  </si>
  <si>
    <t>BLTN_CAM_Set_TrnSig_Stm</t>
  </si>
  <si>
    <t>BLTN_CAM_Set_TrnSig_Stm output</t>
  </si>
  <si>
    <t>BLTN_CAM_RecSet_STRM</t>
  </si>
  <si>
    <t>BLTN_CAM_RecSet_STRM output</t>
  </si>
  <si>
    <t>VAPI_BltnCamInsideSwEnable_Get output</t>
  </si>
  <si>
    <t>[Check signal output status by CANFD message]:
BLTN_CAM_FD_HU_01_200ms(0x3BB)</t>
  </si>
  <si>
    <t>[Checking Signal Output Status by CANFD Message] - 3</t>
  </si>
  <si>
    <t>BLTN_CAM_Display</t>
  </si>
  <si>
    <t>BLTN_CAM_Display output</t>
  </si>
  <si>
    <t>BLTN_CAM_FD_HU_AlvCnt1Val</t>
  </si>
  <si>
    <t>BLTN_CAM_FD_HU_AlvCnt1Val output</t>
  </si>
  <si>
    <t>BLTN_CAM_FD_HU_Crc1Val</t>
  </si>
  <si>
    <t>BLTN_CAM_FD_HU_Crc1Val output</t>
  </si>
  <si>
    <t>BLTN_CAM_HU_UI_Mode</t>
  </si>
  <si>
    <t>BLTN_CAM_HU_UI_Mode output</t>
  </si>
  <si>
    <t>BLTN_CAM_Ind_Req</t>
  </si>
  <si>
    <t>BLTN_CAM_Ind_Req output</t>
  </si>
  <si>
    <t>BLTN_CAM_LVDS_Mode_State</t>
  </si>
  <si>
    <t>BLTN_CAM_LVDS_Mode_State output</t>
  </si>
  <si>
    <t>BLTN_CAM_PEV_Count</t>
  </si>
  <si>
    <t>BLTN_CAM_PEV_Count output</t>
  </si>
  <si>
    <t>BLTN_CAM_PEV_Recorded</t>
  </si>
  <si>
    <t>BLTN_CAM_PEV_Recorded output</t>
  </si>
  <si>
    <t>BLTN_CAM_PrkOp_Termiate_Info</t>
  </si>
  <si>
    <t>BLTN_CAM_PrkOp_Termiate_Info output</t>
  </si>
  <si>
    <t>BLTN_CAM_SD_Format_Op_State</t>
  </si>
  <si>
    <t>BLTN_CAM_SD_Format_Op_State output</t>
  </si>
  <si>
    <t>BLTN_CAM_WiFi_State</t>
  </si>
  <si>
    <t>BLTN_CAM_WiFi_State output</t>
  </si>
  <si>
    <t>BLTN_CAM_PMD_Count</t>
  </si>
  <si>
    <t>BLTN_CAM_PMD_Count output</t>
  </si>
  <si>
    <t>BLTN_CAM_CamSta_Left</t>
  </si>
  <si>
    <t>BLTN_CAM_CamSta_Left output</t>
  </si>
  <si>
    <t>BLTN_CAM_CamSta_Right</t>
  </si>
  <si>
    <t>BLTN_CAM_CamSta_Right output</t>
  </si>
  <si>
    <t>BLTN_CAM_I2CMasterSta_Left</t>
  </si>
  <si>
    <t>BLTN_CAM_I2CMasterSta_Left output</t>
  </si>
  <si>
    <t>BLTN_CAM_I2CMasterSta_Right</t>
  </si>
  <si>
    <t>BLTN_CAM_Set_Rear_Flip</t>
  </si>
  <si>
    <t>BLTN_CAM_Set_Rear_Flip output</t>
  </si>
  <si>
    <t>MAR_SoftKeyEnable</t>
  </si>
  <si>
    <t>MAR_SoftKeyEnable output</t>
  </si>
  <si>
    <t>TML_SoftKeyEnable</t>
  </si>
  <si>
    <t>TML_SoftKeyEnable output</t>
  </si>
  <si>
    <t>MAR_SoftKeySystemFailStatus</t>
  </si>
  <si>
    <t>MAR_SoftKeySystemFailStatus output</t>
  </si>
  <si>
    <t>TML_SoftKeySystemFailStatus</t>
  </si>
  <si>
    <t>TML_SoftKeySystemFailStatus output</t>
  </si>
  <si>
    <t>BLTN_CAM_DEV_Recorded</t>
  </si>
  <si>
    <t>BLTN_CAM_DEV_Recorded output</t>
  </si>
  <si>
    <t>BLTN_CAM_DEV_Count</t>
  </si>
  <si>
    <t>BLTN_CAM_DEV_Count output</t>
  </si>
  <si>
    <t>HU_SSFS_StrictHostKeyCheck1 output</t>
  </si>
  <si>
    <t>BLTN_CAM_Pollution_Rear</t>
  </si>
  <si>
    <t>BLTN_CAM_Pollution_Rear output</t>
  </si>
  <si>
    <t>BLTN_CAM_Pollution_Left</t>
  </si>
  <si>
    <t>BLTN_CAM_Pollution_Left output</t>
  </si>
  <si>
    <t>BLTN_CAM_Pollution_Right</t>
  </si>
  <si>
    <t>BLTN_CAM_Pollution_Right output</t>
  </si>
  <si>
    <t>[Check signal output status by CANFD message]:
BLTN_CAM_FD_STAT_01_200ms(0x3BD)</t>
  </si>
  <si>
    <t>[Checking Signal Output Status by CANFD Message] - 4</t>
  </si>
  <si>
    <t>BLTN_CAM_AuxBat_CapPer</t>
  </si>
  <si>
    <t>BLTN_CAM_AuxBat_CapPer output</t>
  </si>
  <si>
    <t>BLTN_CAM_AuxBat_Conn_State</t>
  </si>
  <si>
    <t>BLTN_CAM_AuxBat_Conn_State output</t>
  </si>
  <si>
    <t>BLTN_CAM_FD_STAT_AlvCnt1Val</t>
  </si>
  <si>
    <t>BLTN_CAM_FD_STAT_AlvCnt1Val output</t>
  </si>
  <si>
    <t>BLTN_CAM_FD_STAT_Crc1Val</t>
  </si>
  <si>
    <t>BLTN_CAM_FD_STAT_Crc1Val output</t>
  </si>
  <si>
    <t>BLTN_CAM_Prk_EV_Cnt</t>
  </si>
  <si>
    <t>BLTN_CAM_Prk_EV_Cnt output</t>
  </si>
  <si>
    <t>BLTN_CAM_Prk_Oped_Time</t>
  </si>
  <si>
    <t>BLTN_CAM_Prk_Oped_Time output</t>
  </si>
  <si>
    <t>BLTN_CAM_Prk_Oprable_Time</t>
  </si>
  <si>
    <t>BLTN_CAM_Prk_Oprable_Time output</t>
  </si>
  <si>
    <t>BLTN_CAM_Prk_Oprable_Time_Max</t>
  </si>
  <si>
    <t>BLTN_CAM_Prk_Oprable_Time_Max output</t>
  </si>
  <si>
    <t>BLTN_CAM_RecSta_DEV</t>
  </si>
  <si>
    <t>BLTN_CAM_RecSta_DEV output</t>
  </si>
  <si>
    <t>BLTN_CAM_RecSta_MAR</t>
  </si>
  <si>
    <t>BLTN_CAM_RecSta_MAR output</t>
  </si>
  <si>
    <t>BLTN_CAM_RecSta_OWD</t>
  </si>
  <si>
    <t>BLTN_CAM_RecSta_OWD output</t>
  </si>
  <si>
    <t>BLTN_CAM_RecSta_OWP</t>
  </si>
  <si>
    <t>BLTN_CAM_RecSta_OWP output</t>
  </si>
  <si>
    <t>BLTN_CAM_RecSta_PEV</t>
  </si>
  <si>
    <t>BLTN_CAM_RecSta_PEV output</t>
  </si>
  <si>
    <t>BLTN_CAM_RecSta_TML</t>
  </si>
  <si>
    <t>BLTN_CAM_RecSta_TML output</t>
  </si>
  <si>
    <t>BLTN_CAM_SD_Card_Cap_Class</t>
  </si>
  <si>
    <t>BLTN_CAM_SD_Card_Cap_Class output</t>
  </si>
  <si>
    <t>BLTN_CAM_SD_Card_Manufacturer</t>
  </si>
  <si>
    <t>BLTN_CAM_SD_Card_Manufacturer output</t>
  </si>
  <si>
    <t>BLTN_CAM_SD_Card_State</t>
  </si>
  <si>
    <t>BLTN_CAM_SD_Card_State output</t>
  </si>
  <si>
    <t>BLTN_CAM_State</t>
  </si>
  <si>
    <t>BLTN_CAM_State output</t>
  </si>
  <si>
    <t>BLTN_CAM_SWVerMajor</t>
  </si>
  <si>
    <t>BLTN_CAM_SWVerMajor output</t>
  </si>
  <si>
    <t>BLTN_CAM_SWVerMinor1</t>
  </si>
  <si>
    <t>BLTN_CAM_SWVerMinor1 output</t>
  </si>
  <si>
    <t>BLTN_CAM_SWVerMinor2</t>
  </si>
  <si>
    <t>BLTN_CAM_SWVerMinor2 output</t>
  </si>
  <si>
    <t>BLTN_CAM_SWVerMinor3</t>
  </si>
  <si>
    <t>BLTN_CAM_SWVerMinor3 output</t>
  </si>
  <si>
    <t>BLTN_CAM_PMD_Oprable_Time</t>
  </si>
  <si>
    <t>BLTN_CAM_PMD_Oprable_Time output</t>
  </si>
  <si>
    <t>BLTN_CAM_PMD_Oprable_Time_Max</t>
  </si>
  <si>
    <t>BLTN_CAM_PMD_Oprable_Time_Max output</t>
  </si>
  <si>
    <t>BLTN_CAM_RecSta_PMD</t>
  </si>
  <si>
    <t>BLTN_CAM_RecSta_PMD output</t>
  </si>
  <si>
    <t>BLTN_CAM_ResetOpSta</t>
  </si>
  <si>
    <t>BLTN_CAM_ResetOpSta output</t>
  </si>
  <si>
    <t>BLTN_CAM_RecSta_BPR</t>
  </si>
  <si>
    <t>BLTN_CAM_RecSta_BPR output</t>
  </si>
  <si>
    <t>BLTN_CAM_BPR_Spprt_Info</t>
  </si>
  <si>
    <t>BLTN_CAM_BPR_Spprt_Info output</t>
  </si>
  <si>
    <t>BLTN_CAM_RecSta_LPE</t>
  </si>
  <si>
    <t>BLTN_CAM_RecSta_LPE output</t>
  </si>
  <si>
    <t>BLTN_CAM_DistributeInfo output</t>
  </si>
  <si>
    <t>BLTN_CAMCHInfo</t>
  </si>
  <si>
    <t>BLTN_CAMCHInfo output</t>
  </si>
  <si>
    <t>BLTN_CAM_DistributeInfo1</t>
  </si>
  <si>
    <t>BLTN_CAM_DistributeInfo1 output</t>
  </si>
  <si>
    <t>BLTN_CAM_FoDInfo</t>
  </si>
  <si>
    <t>BLTN_CAM_FoDInfo output</t>
  </si>
  <si>
    <t>BLTN_CAM_LPE_Option</t>
  </si>
  <si>
    <t>BLTN_CAM_LPE_Option output</t>
  </si>
  <si>
    <t>BLTN_CAM_PDC_Reset_Opt</t>
  </si>
  <si>
    <t>BLTN_CAM_PDC_Reset_Opt output</t>
  </si>
  <si>
    <t>BLTN_CAM_Sta_STRM</t>
  </si>
  <si>
    <t>BLTN_CAM_Sta_STRM output</t>
  </si>
  <si>
    <t>BLTN_CAM_WiFi_Info_IP</t>
  </si>
  <si>
    <t>BLTN_CAM_WiFi_Info_IP output</t>
  </si>
  <si>
    <t>BLTN_CAM_WifFi_Info_QR</t>
  </si>
  <si>
    <t>BLTN_CAM_WifFi_Info_QR output</t>
  </si>
  <si>
    <t>BltnCamPlatformStatus</t>
  </si>
  <si>
    <t>BltnCamPlatformStatus output</t>
  </si>
  <si>
    <t>BltnCamSTRM_ServiceStatus</t>
  </si>
  <si>
    <t>BltnCamSTRM_ServiceStatus output</t>
  </si>
  <si>
    <t>[Check signal output status by CANFD message]:
NM_BLTN_CAM_FD(0x17FC00C8)</t>
  </si>
  <si>
    <t>ETC_023</t>
  </si>
  <si>
    <t>[Checking Signal Output Status by CANFD Message] - 5</t>
  </si>
  <si>
    <t>CBV_AWB_BLTN_CAM_FD</t>
  </si>
  <si>
    <t>CBV_AWB_BLTN_CAM_FD output</t>
  </si>
  <si>
    <t>CBV_NMColD_BLTN_CAM_FD</t>
  </si>
  <si>
    <t>CBV_NMColD_BLTN_CAM_FD output</t>
  </si>
  <si>
    <t>CBV_NMCoSRB_BLTN_CAM_FD</t>
  </si>
  <si>
    <t>CBV_NMCoSRB_BLTN_CAM_FD output</t>
  </si>
  <si>
    <t>CBV_PNIB_BLTN_CAM_FD</t>
  </si>
  <si>
    <t>CBV_PNIB_BLTN_CAM_FD output</t>
  </si>
  <si>
    <t>CBV_RMR_BLTN_CAM_FD</t>
  </si>
  <si>
    <t>CBV_RMR_BLTN_CAM_FD output</t>
  </si>
  <si>
    <t>NM_State_BLTN_CAM_FD</t>
  </si>
  <si>
    <t>NM_State_BLTN_CAM_FD output</t>
  </si>
  <si>
    <t>NRR_BLTN_CAM_FD</t>
  </si>
  <si>
    <t>NRR_BLTN_CAM_FD output</t>
  </si>
  <si>
    <t>PNI_BLTN_CAM_FD</t>
  </si>
  <si>
    <t>PNI_BLTN_CAM_FD output</t>
  </si>
  <si>
    <t>PNI_BLTN_CAM_FD_1</t>
  </si>
  <si>
    <t>PNI_BLTN_CAM_FD_1 output</t>
  </si>
  <si>
    <t>PNI_BLTN_CAM_FD_2</t>
  </si>
  <si>
    <t>PNI_BLTN_CAM_FD_2 output</t>
  </si>
  <si>
    <t>PNI_BLTN_CAM_FD_3</t>
  </si>
  <si>
    <t>PNI_BLTN_CAM_FD_3 output</t>
  </si>
  <si>
    <t>SNI_BLTN_CAM_FD</t>
  </si>
  <si>
    <t>SNI_BLTN_CAM_FD output</t>
  </si>
  <si>
    <t>[Check signal output status by CANFD message]:
BLTN_CAM_WU_01_500ms(0x1E87A801)</t>
  </si>
  <si>
    <t>[Checking Signal Output Status by CANFD Message] - 6</t>
  </si>
  <si>
    <t>BLTN_CAM_WU_AlvCnt1Val</t>
  </si>
  <si>
    <t>BLTN_CAM_WU_AlvCnt1Val output</t>
  </si>
  <si>
    <t>BLTN_CAM_WU_Crc1Val</t>
  </si>
  <si>
    <t>BLTN_CAM_WU_Crc1Val output</t>
  </si>
  <si>
    <t>BLTN_CAM_WU_L_ParkEvent</t>
  </si>
  <si>
    <t>BLTN_CAM_WU_L_ParkEvent output</t>
  </si>
  <si>
    <t>BLTN_CAM_WU_L_RecStpByBattEmpty</t>
  </si>
  <si>
    <t>BLTN_CAM_WU_L_RecStpByBattEmpty output</t>
  </si>
  <si>
    <t>BLTN_CAM_WU_L_RecStpByBLTNCAMErr</t>
  </si>
  <si>
    <t>BLTN_CAM_WU_L_RecStpByBLTNCAMErr output</t>
  </si>
  <si>
    <t>BLTN_CAM_WU_L_RecStpBySDCardEject</t>
  </si>
  <si>
    <t>BLTN_CAM_WU_L_RecStpBySDCardEject output</t>
  </si>
  <si>
    <t>BLTN_CAM_WU_L_RecStpBySDCardErr</t>
  </si>
  <si>
    <t>BLTN_CAM_WU_L_RecStpBySDCardErr output</t>
  </si>
  <si>
    <t>BLTN_CAM_WU_L_RecStpByUsrSetting</t>
  </si>
  <si>
    <t>BLTN_CAM_WU_L_RecStpByUsrSetting output</t>
  </si>
  <si>
    <t>BLTN_CAM_WU_NM_B2</t>
  </si>
  <si>
    <t>BLTN_CAM_WU_NM_B2 output</t>
  </si>
  <si>
    <t>※ DCM Specifications
[Check Signal Output Status per CANFD Message]:
BLTN_CAM_FD_DCM_00_1000ms</t>
  </si>
  <si>
    <t>[Checking Signal Output Status by CANFD Message] - 7</t>
  </si>
  <si>
    <t>BLTN_CAM_HW_Platform_Ver_Major'</t>
  </si>
  <si>
    <t>▪ Check whether the corresponding signal and value are output</t>
  </si>
  <si>
    <t>BLTN_CAM_HW_Platform_Ver_Minor'</t>
  </si>
  <si>
    <t>RearCamera_HW_Ver_Major'</t>
  </si>
  <si>
    <t>RearCamera_HW_Ver_Minor'</t>
  </si>
  <si>
    <t>RearCamera_SW_Ver_Major'</t>
  </si>
  <si>
    <t>RearCamera_SW_Ver_Minor'</t>
  </si>
  <si>
    <t>RearCamera_ISP_Ver0'</t>
  </si>
  <si>
    <t>RearCamera_ISP_Ver1'</t>
  </si>
  <si>
    <t>RearCamera_ISP_Ver2'</t>
  </si>
  <si>
    <t>RearCamera_ISP_Ver3'</t>
  </si>
  <si>
    <t>DCM_Output_Color_Fromat'</t>
  </si>
  <si>
    <t>DCM_Output_Color_bit_Num'</t>
  </si>
  <si>
    <t>※ DCM Specifications
[Check Signal Output Status per CANFD Message]:
DCM_FD_BLTN_CAM_01_1000ms</t>
  </si>
  <si>
    <t>[Checking Signal Output Status by CANFD Message] - 11</t>
  </si>
  <si>
    <t>DCM_HW_Ver_Major</t>
  </si>
  <si>
    <t>DCM_HW_Ver_Minor</t>
  </si>
  <si>
    <t>DCM_SW_Ver_1st_Digit</t>
  </si>
  <si>
    <t>DCM_SW_Ver_2nd_Digit</t>
  </si>
  <si>
    <t>DCM_SW_Ver_3rd_Digit</t>
  </si>
  <si>
    <t>DCM_SW_Ver_4th_Digit</t>
  </si>
  <si>
    <t>※ DCM Specifications
[Check Signal Output Status by CANFD Message]:
BLTN_CAM_FD_DCM_01_500ms</t>
  </si>
  <si>
    <t>[Checking Signal Output Status by CANFD Message] - 9</t>
  </si>
  <si>
    <t>BLTN_CAM_DCM_Status</t>
  </si>
  <si>
    <t>RearCamera_Input_Status</t>
  </si>
  <si>
    <t>DCM_Output_Resolution_Width</t>
  </si>
  <si>
    <t>DCM_Output_Resolution_Height</t>
  </si>
  <si>
    <t>RearCamera_EmbeddedData0</t>
  </si>
  <si>
    <t>RearCamera_EmbeddedData1</t>
  </si>
  <si>
    <t>RearCamera_EmbeddedData2</t>
  </si>
  <si>
    <t>RearCamera_EmbeddedData3</t>
  </si>
  <si>
    <t>BLTN_CAM_DCM_SER_I2C_Master</t>
  </si>
  <si>
    <t>※ DCM Specifications
[Check signal output status per CANFD message]:
DCM_FD_BLTN_CAM_00_00ms</t>
  </si>
  <si>
    <t>[Checking Signal Output Status by CANFD Message] - 10</t>
  </si>
  <si>
    <t>DCM_Output_Reset_Req</t>
  </si>
  <si>
    <t>Resolution_Req_Width</t>
  </si>
  <si>
    <t>Resolution_Req_Height</t>
  </si>
  <si>
    <t>Center_offset_Width_set</t>
  </si>
  <si>
    <t>Center_offset_Height_set</t>
  </si>
  <si>
    <t>DCM_FPS_Change</t>
  </si>
  <si>
    <t>[Check signal output status by CANFD message]:
BLTN_CAM_ADAS_PRK_00_500ms</t>
  </si>
  <si>
    <t>BLTN_CAM_ADAS_PRK_Crc0Val</t>
  </si>
  <si>
    <t>BLTN_CAM_ADAS_PRK_Crc0Val output</t>
  </si>
  <si>
    <t>BLTN_CAM_ADAS_PRK_AlvCnt0Val</t>
  </si>
  <si>
    <t>BLTN_CAM_ADAS_PRK_AlvCnt0Val output</t>
  </si>
  <si>
    <t>BLTN_CAM_I2CMasterSta_Right output</t>
  </si>
  <si>
    <t>item</t>
  </si>
  <si>
    <t>[BLTN_CAM-Diagnostic Service]</t>
  </si>
  <si>
    <t>BLTN_CAM Internal Error (B16B0-00)
(Check Watchdog operation status)</t>
  </si>
  <si>
    <t>DIA_001</t>
  </si>
  <si>
    <t>[Troubleshooting] BLTN_CAM Input Voltage High (B16E000)
※When using 3 bytes: B16E004</t>
  </si>
  <si>
    <t>When the MCU fails</t>
  </si>
  <si>
    <t>▪ Maintain short state at the corresponding TP point on the SubBoard
▪ Request Read DTC Information</t>
  </si>
  <si>
    <t>▪ When detected 3 consecutive times
▪ Internal fault code (B16E0-00): Current fault</t>
  </si>
  <si>
    <t>MCU failure unlocking</t>
  </si>
  <si>
    <t>▪ Release short state of corresponding TP point on SubBoard
▪ Request Read DTC Information</t>
  </si>
  <si>
    <t>▪ Internal Fault Code (B16E0-00): Current Fault → Past Fault</t>
  </si>
  <si>
    <t>When the CPU fails</t>
  </si>
  <si>
    <t>▪ Maintain short on the corresponding TP point on the MainBoard
▪ B+ ON/OFF
▪ Request Read DTC Information</t>
  </si>
  <si>
    <t>CPU failure unlocking</t>
  </si>
  <si>
    <t>▪ Unshort the corresponding TP point on the MainBoard
▪ B+ ON/OFF
▪ Request Read DTC Information</t>
  </si>
  <si>
    <t>When the G-Sensor fails</t>
  </si>
  <si>
    <t>▪ Clock pin - Ground shorted
▪ Request Read DTC Information</t>
  </si>
  <si>
    <t>▪ Upon 100 consecutive detections
▪ Internal fault code (B16E0-00): Current fault</t>
  </si>
  <si>
    <t>G-Sensor Fault Removal</t>
  </si>
  <si>
    <t>▪ Release Clock pin - Ground short
▪ Request Read DTC Information</t>
  </si>
  <si>
    <t>BLTN_CAM Input Voltage High (B16E1-00)</t>
  </si>
  <si>
    <t>[Troubleshooting] BLTN_CAM Input Voltage High (B16E100)
※When using 3 bytes: B16E017</t>
  </si>
  <si>
    <t>Overvoltage current fault</t>
  </si>
  <si>
    <t>▪ Input voltage gradually rises to 16.1V
▪ Request to Read DTC Information</t>
  </si>
  <si>
    <t>▪ B+ = Overvoltage fault code (B16E1-00) detected after 3 seconds exceeding 16V
: No record → Current fault</t>
  </si>
  <si>
    <t>오차범위 ±0.2V 이내 허용</t>
  </si>
  <si>
    <t>No other fault codes recorded during overvoltage fault condition</t>
  </si>
  <si>
    <t>16.1V</t>
  </si>
  <si>
    <t>▪ Fault code (B16E4-00) not recorded
※ When 3 bytes are applied: B16E3-93</t>
  </si>
  <si>
    <t>Past records during overvoltage while other fault codes are recorded</t>
  </si>
  <si>
    <t>▪ Remove front camera
▪ Input voltage gradually rises to 16.1V</t>
  </si>
  <si>
    <t>▪ Front Camera Input Error Fault Code (B16E4-00): Current Fault → Past Fault
※ When applying 3 bytes: B16E3-93
▪ Install front camera after verification</t>
  </si>
  <si>
    <t>Overvoltage fault clear (past fault)</t>
  </si>
  <si>
    <t>▪ Input voltage gradually drops to 15.4V
▪ Request to Read DTC Information</t>
  </si>
  <si>
    <t>▪ B+ = Overvoltage fault code (B16E1-00) cleared after 3 seconds of detecting 15.5V or lower
: Current fault → Past fault</t>
  </si>
  <si>
    <t>BLTN_CAM Input Voltage Low (B16E2-00)</t>
  </si>
  <si>
    <t>DIA_003</t>
  </si>
  <si>
    <t>[Troubleshooting] BLTN_CAM Input Voltage Low (B16E200)
※When using 3 bytes: B16E016</t>
  </si>
  <si>
    <t>Low voltage current fault</t>
  </si>
  <si>
    <t>▪ Input voltage gradually drops to 8.9V
▪ Request to Read DTC Information</t>
  </si>
  <si>
    <t>▪ B+ = Low voltage fault code (B16E2-00) detected after 3 seconds below 9V
: No record → Current fault</t>
  </si>
  <si>
    <t>No other fault codes recorded in the current low voltage fault condition</t>
  </si>
  <si>
    <t>8.9V</t>
  </si>
  <si>
    <t>▪ Fault code (B16E4-00) not recorded</t>
  </si>
  <si>
    <t>Past records during low voltage while other fault codes are recorded</t>
  </si>
  <si>
    <t>▪ Front camera removal
▪ Input voltage gradually drops to 8.9V</t>
  </si>
  <si>
    <t>▪ Front Camera Input Error Fault Code (B16E4-00): Current Fault → Past Fault
▪ Install front camera after verification</t>
  </si>
  <si>
    <t>Low voltage fault clearing</t>
  </si>
  <si>
    <t>▪ Input voltage gradually rises to 9.6V
▪ Request to Read DTC Information</t>
  </si>
  <si>
    <t>▪ B+ = Detects 9.5V or higher, then clears undervoltage fault code (B16E2-00) after 3 seconds
: Current fault → Past fault</t>
  </si>
  <si>
    <t>Front Camera Input Error (B16E4-00)</t>
  </si>
  <si>
    <t>DIA_004</t>
  </si>
  <si>
    <t>[Troubleshooting] Front Camera Input Error (B16E400)
※When using 3 bytes: B16E393</t>
  </si>
  <si>
    <t>Front camera removal</t>
  </si>
  <si>
    <t>▪ Front Camera Removal
▪ Request to Read DTC Information</t>
  </si>
  <si>
    <t>▪ Front Camera Input Error Fault Code (B16E4-00): Current Fault
▪ Fault Detection Time: 10s</t>
  </si>
  <si>
    <t>Front camera installed</t>
  </si>
  <si>
    <t>▪ Reinstall front camera
▪ Request to Read DTC Information</t>
  </si>
  <si>
    <t>▪ Front Camera Input Error Fault Code (B16E4-00): Past Fault
▪ No abnormalities in front real-time video</t>
  </si>
  <si>
    <t>Rear Camera Input Error (B16E5-00)</t>
  </si>
  <si>
    <t>DIA_005</t>
  </si>
  <si>
    <t>[Troubleshooting] Rear Camera Input Error (B16E500)
※When using 3 bytes: B16E493</t>
  </si>
  <si>
    <t>Rear camera removal</t>
  </si>
  <si>
    <t>▪ Rearview Camera Removal
▪ Request to Read DTC Information</t>
  </si>
  <si>
    <t>▪ Rear Camera Input Error Fault Code (B16E5-00): Current Fault
▪ Fault Detection Time: 10s</t>
  </si>
  <si>
    <t>Rear camera installed</t>
  </si>
  <si>
    <t>▪ Rearview Camera Reinstallation
▪ Request to Read DTC Information</t>
  </si>
  <si>
    <t>▪ Rear camera input error fault code (B16E5-00): Past fault
▪ No issues with real-time rear view video</t>
  </si>
  <si>
    <t>Manual Switch Error (B16E6-00)</t>
  </si>
  <si>
    <t>DIA_006</t>
  </si>
  <si>
    <t>[Troubleshooting] Manual Switch Error (B16E600)
※When using 3 bytes: B16E29E</t>
  </si>
  <si>
    <t>Hold the event switch for 30 seconds</t>
  </si>
  <si>
    <t>▪ EVENT_SW = OFF → ON (Hold for 30 seconds)
▪ Request Read DTC Information</t>
  </si>
  <si>
    <t>▪ Manual Recording Switch Error Fault Code (B16E6-00): Current Fault
▪ Fault Diagnosis Time: 30 seconds</t>
  </si>
  <si>
    <t>Release Event Switch hold for 30 seconds</t>
  </si>
  <si>
    <t>▪ EVENT_SW = ON → OFF (Hold for 10 seconds)
▪ Request Read DTC Information</t>
  </si>
  <si>
    <t>▪ Manual Recording Switch Error Fault Code (B16E6-00): Past Fault
▪ Fault Clearance Determination Time: 10 seconds</t>
  </si>
  <si>
    <t>External Memory Jack ASSY Error 
(B16E9-00)</t>
  </si>
  <si>
    <t>[Troubleshooting] External Memory Jack ASSY Error (B16E900)
※When using 3 bytes: B16E093</t>
  </si>
  <si>
    <t>SD card module failure</t>
  </si>
  <si>
    <t>▪ Remove SD card module</t>
  </si>
  <si>
    <t>▪ SD card module not recognized Fault Code (B16E9-00): Current Fault
▪ Fault diagnosis time: 3 seconds</t>
  </si>
  <si>
    <t>SD card module failure resolution</t>
  </si>
  <si>
    <t>▪ Install SD card module</t>
  </si>
  <si>
    <t>▪ SD card module not recognized fault code (B16E9-00): Past fault
▪ Fault clearing time: 1 second</t>
  </si>
  <si>
    <t>Built-in cam WIFI Module Error
(B16EA-00)</t>
  </si>
  <si>
    <t>DIA_008</t>
  </si>
  <si>
    <t>[Troubleshooting] Built-in cam WIFI Module Error (B16EA00)
※When applying 3 bytes: B16EA00</t>
  </si>
  <si>
    <t>WiFi module failure occurred</t>
  </si>
  <si>
    <t>▪ Causes WiFi Module Failure
※ Refer to Connect Specifications for WiFi Failure: BICIM2-1409 (Filename needs to be changed using the mv command)</t>
  </si>
  <si>
    <t>▪ WiFi Module Error Fault Code (B16EA-00): Current Fault
▪ Fault Diagnosis Time: 10 seconds</t>
  </si>
  <si>
    <t>WiFi Module Failure Removal</t>
  </si>
  <si>
    <t>▪ WiFi Module Troubleshooting</t>
  </si>
  <si>
    <t>▪ WiFi Module Error Fault Code (B16EA-00): Past Fault
▪ Fault Clearance Determination Time: 3 seconds</t>
  </si>
  <si>
    <t>B_CAN Bus Off (B1603-00)</t>
  </si>
  <si>
    <t>DIA_009</t>
  </si>
  <si>
    <t>[Troubleshooting] B_CAN Bus Off (B160300)
※When using 3 bytes: U008088</t>
  </si>
  <si>
    <t>B_CAN Bus Off(High, Low)</t>
  </si>
  <si>
    <t>▪ B_CAN High &amp; Low Short
▪ Request Read DTC Information</t>
  </si>
  <si>
    <t>▪ CAN communication unavailable
▪ B_CAN Bus Off Fault Code (B1603-00): Current Fault
: Since diagnostic communication is performed via the corresponding CAN channel, actual verification is impossible.</t>
  </si>
  <si>
    <t>B_CAN Bus Off(High, Low, B+)</t>
  </si>
  <si>
    <t>▪ B_CAN High &amp; Low &amp; B+ Short
▪ Request Read DTC Information</t>
  </si>
  <si>
    <t>B_CAN Bus Off(High, Low, GND)</t>
  </si>
  <si>
    <t>▪ B_CAN High &amp; Low &amp; GND Short
▪ Request to Read DTC Information</t>
  </si>
  <si>
    <t>Uncheck B_CAN Bus Off</t>
  </si>
  <si>
    <t>▪ Unshort B_CAN high &amp; Low
▪ Request Read DTC Information</t>
  </si>
  <si>
    <t>▪ B_CAN Bus Off Fault Code (B1603-00): Past Fault
▪ CAN Communication Restored</t>
  </si>
  <si>
    <t>Auxiliary battery connection error (B16EC-9A)</t>
  </si>
  <si>
    <t>[Troubleshooting] Auxiliary Battery Connection Error
※When using 3 bytes: B16E100</t>
  </si>
  <si>
    <t>Unable to communicate with auxiliary battery (P-LBM) (Authenticity authentication failed)</t>
  </si>
  <si>
    <t>▪ Disconnect LIN
▪ Request Read DTC Information</t>
  </si>
  <si>
    <t>▪ Activation failed 5 times (Sampling Time: 10s / Qual Time: 5 times)
▪ Auxiliary battery connection error fault code (B16EC-00): Current malfunction
※ Specifications apply only to 2.5th generation built-in cameras on LX3 P1 and later</t>
  </si>
  <si>
    <t>If the auxiliary battery (P-LBM) is permanently broken</t>
  </si>
  <si>
    <t>▪ Permanent Failure of Auxiliary Battery (P-LBM)
- BMS_INFO_03 @ BAT_Fault_Info
: Temperature Sensor Failure (BAT_Fault_Info = 0x4(Temp Sensor Fail)) or
Cell Deviation Fault (BAT_Fault_Info = 0x8(Cell Deviation Fault) or
Discharge Open Fault (IPS Open Fault) or
Pre-charge Timeout Warning
(BAT_Fault_Info = 0x20(Pre-charge Timeout Fault)) or
Pre-charge Current Fault Warning
(BAT_Fault_Info = 0x40(Pre-charge Current Fault))
▪ Request to Read DTC Information</t>
  </si>
  <si>
    <t>▪ Permanent Auxiliary Battery Failure
▪ Auxiliary Battery Connection Error Fault Code (B16EC-9A): Current Failure
※ Specifications apply only to 2.5th generation built-in cams from LX3 P1 onwards</t>
  </si>
  <si>
    <t>Power bank malfunction unlock</t>
  </si>
  <si>
    <t>▪ Reconnect LIN communication
▪ Request Read DTC Information</t>
  </si>
  <si>
    <t>▪ Authenticity Activation Successful
▪ Auxiliary Battery Connection Error Fault Code (B16EC-9A): Past Fault
※ Specifications apply only to 2.5th generation built-in cams from LX3 P1 onwards</t>
  </si>
  <si>
    <t>Built-in Cam Front Radar Error (B16ED-09)</t>
  </si>
  <si>
    <t>[Troubleshooting] Forward Radar Error
※When using 3 bytes: B16E394</t>
  </si>
  <si>
    <t>Forward radar failure occurred</t>
  </si>
  <si>
    <t>▪ Parking Motion Detection Recording Mode ON
▪ KEY OFF
▪ Radar register setting failed due to front camera I2C communication error
(Sampling Time: 10ms, Qual. Time: Occurred 10 times consecutively)
▪ Request to Read DTC Information</t>
  </si>
  <si>
    <t>▪ Forward Radar Fault Code (B16ED-09): Current Fault</t>
  </si>
  <si>
    <t>Unlocking the faulty radar</t>
  </si>
  <si>
    <t>↓
▪ Front Camera I2C Communication Error Removal
▪ Request to Read DTC Information</t>
  </si>
  <si>
    <t>▪ Forward Radar Fault Code (B16ED-09): Past Fault</t>
  </si>
  <si>
    <t>Front radar failure occurred
※ IGN occurrence conditions: Applicable to JW1 PE models</t>
  </si>
  <si>
    <t>▪ Received ICUPowerAutoCutMode = 0x0 (Factory mode)
▪ B+ Reboot
▪ No camera radar version information available under conditions where the camera is properly attached
▪ Request to Read DTC Information</t>
  </si>
  <si>
    <t>Front Radar Failure Removal
※ IGN Removal Condition: Applicable to JW1 PE models</t>
  </si>
  <si>
    <t>▪ Forward Radar Fault Code (B16ED-09): Current Fault
▪ Received ICUPowerAutoCutMode = 0x0 (Factory mode)
▪ Normal Camera Connected
▪ Request to Read DTC Information</t>
  </si>
  <si>
    <t>Built-in Cam Rear Radar Error (B16EE-09)</t>
  </si>
  <si>
    <t>[Troubleshooting] Rear Radar Error
※When using 3 bytes: B16E494</t>
  </si>
  <si>
    <t>Rear radar malfunction</t>
  </si>
  <si>
    <t>▪ Parking Motion Detection Recording Mode ON
▪ KEY OFF
▪ Radar register setting failed due to rear camera I2C communication error
(Sampling Time: 10ms, Qual. Time: Occurred 10 times consecutively)
▪ Request to Read DTC Information</t>
  </si>
  <si>
    <t>▪ Rear radar fault code (B16EE-09): Current fault</t>
  </si>
  <si>
    <t>Rear radar malfunction cleared</t>
  </si>
  <si>
    <t>↓
▪ Rear Camera I2C Communication Error Removal
▪ Request to Read DTC Information</t>
  </si>
  <si>
    <t>▪ Rear radar fault code (B16EE-09): Past failure</t>
  </si>
  <si>
    <t>Rear radar failure occurred
※ IGN occurrence conditions: Applicable to JW1 PE models</t>
  </si>
  <si>
    <t>▪ Rear radar fault code (B16ED-09): Current fault</t>
  </si>
  <si>
    <t>Rear Radar Failure Removal
※ IGN Removal Condition: Applicable to JW1 PE models</t>
  </si>
  <si>
    <t>▪ Rear radar fault code (B16ED-09): Past failure</t>
  </si>
  <si>
    <t>Check tolerance correction fault codes in Factory mode</t>
  </si>
  <si>
    <t>DIA_010</t>
  </si>
  <si>
    <t>[Troubleshooting] BLTN_CAM Front Camera Calibration Required (B16EB00)
※When applying 3 bytes: B16E354</t>
  </si>
  <si>
    <t>Tolerance correction measurement value not performed status</t>
  </si>
  <si>
    <t>(Precondition: No tolerance correction performed)
▪ Receive status: ICUPowerAutoCutMode = 0x0 (Factory mode)
▪ Request to Read DTC Information</t>
  </si>
  <si>
    <t>▪ Fault Code (B16EB-00) Current Fault Occurred</t>
  </si>
  <si>
    <t>Confirmation of recurrence after requesting DTC Clear</t>
  </si>
  <si>
    <t>▪ Fault Code (B16EB-00) Current Fault Status (Factory mode)
▪ Request Read DTC Information after requesting Clear DTC Information</t>
  </si>
  <si>
    <t>▪ Current fault code (B16EB-00) reoccurs after DTC Clear response</t>
  </si>
  <si>
    <t>Verify that the fault condition persists even after repeating IGN Reset 30 times.</t>
  </si>
  <si>
    <t>▪ Fault Code (B16EB-00) Current Fault Status (Factory mode)
▪ Request Read DTC Information after repeating IGN ON/OFF 30 times</t>
  </si>
  <si>
    <t>▪ Fault Code (B16EB-00) Maintain Current Fault</t>
  </si>
  <si>
    <t>Check tolerance correction fault codes in Dealer mode</t>
  </si>
  <si>
    <t>(Precondition: No tolerance correction performed)
▪ Received ICUPowerAutoCutMode = 0x1 (Dealer mode)
▪ Request to Read DTC Information</t>
  </si>
  <si>
    <t>▪ Fault Code (B16EB-00) Current Fault Status (Dealer mode)
▪ Request Read DTC Information after requesting Clear DTC Information</t>
  </si>
  <si>
    <t>▪ Fault Code (B16EB-00) Current Fault Status (Dealer mode)
▪ Request Read DTC Information after repeating IGN ON/OFF 30 times</t>
  </si>
  <si>
    <t>Check tolerance correction fault codes in Customer mode</t>
  </si>
  <si>
    <t>(Precondition: No tolerance correction performed)
▪ Received ICUPowerAutoCutMode = 0x2 (Customer mode)
▪ Request to Read DTC Information</t>
  </si>
  <si>
    <t>▪ Fault Code (B16EB-00) Current Fault Status (Customer mode)
▪ Request Read DTC Information after requesting Clear DTC Information</t>
  </si>
  <si>
    <t>Confirm Clear after repeating IGN Reset 30 times</t>
  </si>
  <si>
    <t>▪ Fault Code (B16EB-00) Current Fault Status (Customer mode)
▪ Request Read DTC Information after repeating IGN ON/OFF 30 times</t>
  </si>
  <si>
    <t>▪ Fault Code (B16EB-00) Clear</t>
  </si>
  <si>
    <t>Verify that the Clear state is maintained when power conditions change after repeating IGN Reset 30 times and the state becomes Clear.</t>
  </si>
  <si>
    <t>▪ No fault code (B16EB-00)
▪ ACC&amp;IGN Reset
▪ B+ Reset
▪ Request Read DTC Information</t>
  </si>
  <si>
    <t>▪ Fault code (B16EB-00) did not occur</t>
  </si>
  <si>
    <t>Check for DTC recurrence when changing vehicle mode in Clear state (Factory mode)</t>
  </si>
  <si>
    <t>(DTC Clear status due to IGN 30ghl Reset)
▪ Received ICUPowerAutoCutMode = 0x0 (Factory mode)
▪ Request to Read DTC Information</t>
  </si>
  <si>
    <t>Check for DTC recurrence when changing vehicle mode in Clear state (Dealer mode)</t>
  </si>
  <si>
    <t>(DTC Clear status due to IGN 30ghl Reset)
▪ Received ICUPowerAutoCutMode = 0x1 (Dealer mode)
▪ Request to Read DTC Information</t>
  </si>
  <si>
    <t>DIA_013</t>
  </si>
  <si>
    <t>[Retain fault log after power reset]</t>
  </si>
  <si>
    <t>B16E100 (Overvoltage)
※ When applying 3 bytes: B16E0-17</t>
  </si>
  <si>
    <t>▪ B16E1-00 (Overvoltage) Past Fault Status
▪ Request Read DTC Information after B+ Reset</t>
  </si>
  <si>
    <t>▪ Maintain fault records</t>
  </si>
  <si>
    <t>B16E200 (Low Voltage)
※ When applying 3 bytes: B16E0-16</t>
  </si>
  <si>
    <t>▪ B16E2-00 (Low Voltage) Past Fault Status
▪ Request Read DTC Information after B+ Reset</t>
  </si>
  <si>
    <t>B16E400 (Front camera malfunction)
※When applying 3 bytes: B16E3-93</t>
  </si>
  <si>
    <t>▪ B16E4-00 (Front Camera Failure) Past Failure Status
▪ Request Read DTC Information after B+ Reset</t>
  </si>
  <si>
    <t>B16E500 (Rear camera malfunction)
※When applying 3 bytes: B16E4-93</t>
  </si>
  <si>
    <t>▪ B16E5-00 (Rear Camera Failure) Past Failure Status
▪ Request Read DTC Information after B+ Reset</t>
  </si>
  <si>
    <t>B16E600 (Event Switch Failure)
※ When applying 3 bytes: B16E2-9E</t>
  </si>
  <si>
    <t>▪ B16E6-00 (Event Switch Failure) Past Fault Status
▪ Request Read DTC Information after B+ Reset</t>
  </si>
  <si>
    <t>B16E9-00 (SD card module failure)
※When applying 3 bytes: B16E0-93</t>
  </si>
  <si>
    <t>▪ B16E9-00 (SD Card Jack Socket) Past Fault Status
▪ Request Read DTC Information after B+ Reset</t>
  </si>
  <si>
    <t>B160300(B_CAN Bus Off)
※When applying 3 bytes: U0080-88</t>
  </si>
  <si>
    <t>▪ B1603-00 (B_CAN Bus Off) Past Fault Status
▪ Request Read DTC Information after B+ Reset</t>
  </si>
  <si>
    <t>B16EC9A (Auxiliary Battery Connection Error)
※When applying 3 bytes: B16E1-00</t>
  </si>
  <si>
    <t>▪ B16EC-9A (Auxiliary Battery Connection Error) Past Fault Status
▪ Request Read DTC Information after B+ Reset</t>
  </si>
  <si>
    <t>B16ED09 (Forward Radar Error)
※When applying 3 bytes: B16E3-94</t>
  </si>
  <si>
    <t>▪ B16ED-09 (Forward Radar Error) Past Fault Status
▪ Request Read DTC Information after B+ Reset</t>
  </si>
  <si>
    <t>B16EE09 (Rear Radar Error)
※When applying 3 bytes: B16E4-94</t>
  </si>
  <si>
    <t>▪ B16EE-09 (Rear Radar Error) Past Fault Status
▪ Request Read DTC Information after B+ Reset</t>
  </si>
  <si>
    <t>▪ B16E1-00 (Overvoltage) Past Fault Status
▪ Request Read DTC Information after requesting Clear DTC Information</t>
  </si>
  <si>
    <t>▪ Delete fault record</t>
  </si>
  <si>
    <t>▪ B16E2-00 (Low Voltage) Past Fault Status
▪ Request Read DTC Information after requesting Clear DTC Information</t>
  </si>
  <si>
    <t>▪ B16E4-00 (Front Camera Failure) Past Failure Status
▪ Request Read DTC Information after requesting Clear DTC Information</t>
  </si>
  <si>
    <t>▪ B16E5-00 (Rear Camera Failure) Past Failure Status
▪ Request Read DTC Information after requesting Clear DTC Information</t>
  </si>
  <si>
    <t>▪ B16E6-00 (Event Switch Failure) Past Failure Status
▪ Request Read DTC Information after requesting Clear DTC Information</t>
  </si>
  <si>
    <t>▪ B16E9-00 (SD Card Jack Socket) Past Fault Status
▪ Request Read DTC Information after requesting Clear DTC Information</t>
  </si>
  <si>
    <t>▪ B1603-00 (B_CAN Bus Off) Past Fault Status
▪ Request Read DTC Information after requesting Clear DTC Information</t>
  </si>
  <si>
    <t>▪ B16EC-9A (Auxiliary Battery Connection Error) Past Fault Status
▪ Request Read DTC Information after requesting Clear DTC Information</t>
  </si>
  <si>
    <t>▪ B16ED-09 (Forward Radar Error) Past Fault Status
▪ Request Read DTC Information after requesting Clear DTC Information</t>
  </si>
  <si>
    <t>▪ B16EE-09 (Rear Radar Error) Past Fault Status
▪ Request Read DTC Information after requesting Clear DTC Information</t>
  </si>
  <si>
    <t>[Clear DTC Information]
 : IGN RESET 30 times</t>
  </si>
  <si>
    <t>[Clear DTC Information] : IGN RESET 30 times</t>
  </si>
  <si>
    <t>▪ B16E1-00 (Overvoltage) Past Fault Condition
▪ Request Read DTC Information after IGN ON/OFF (repeat 30 times)</t>
  </si>
  <si>
    <t>▪ B16E2-00 (Low Voltage) Past Fault Condition
▪ Request Read DTC Information after IGN ON/OFF (repeat 30 times)</t>
  </si>
  <si>
    <t>▪ B16E4-00 (Front Camera Failure) Past Failure Status
▪ Request Read DTC Information after IGN ON/OFF (Repeat 30 times)</t>
  </si>
  <si>
    <t>▪ B16E5-00 (Rear Camera Failure) Past Failure Status
▪ Request Read DTC Information after IGN ON/OFF (Repeat 30 times)</t>
  </si>
  <si>
    <t>▪ B16E6-00 (Event Switch Failure) Past Fault Status
▪ Request Read DTC Information after IGN ON/OFF (Repeat 30 times)</t>
  </si>
  <si>
    <t>▪ B16E9-00 (SD Card Jack Socket) Past Fault Status
▪ Request Read DTC Information after IGN ON/OFF (Repeat 30 times)</t>
  </si>
  <si>
    <t>▪ B1603-00 (B_CAN Bus Off) Past Fault Status
▪ Request Read DTC Information after IGN ON/OFF (repeat 30 times)</t>
  </si>
  <si>
    <t>▪ B16EC-9A (Auxiliary Battery Connection Error) Past Fault Status
▪ Request Read DTC Information after IGN ON/OFF (Repeat 30 times)</t>
  </si>
  <si>
    <t>▪ B16ED-09 (Forward Radar Error) Past Fault Status
▪ Request Read DTC Information after IGN ON/OFF (Repeat 30 times)</t>
  </si>
  <si>
    <t>▪ B16EE-09 (Rear Radar Error) Past Fault Status
▪ Request Read DTC Information after IGN ON/OFF (Repeat 30 times)</t>
  </si>
  <si>
    <t>SID 22 [$B101] Input Output Record ID(Byte) (1)
: Check PID and voltage</t>
  </si>
  <si>
    <t>DIA_017</t>
  </si>
  <si>
    <t>SID 22 [$B101] Service Request</t>
  </si>
  <si>
    <t>▪ 03 22 B1 01 Request</t>
  </si>
  <si>
    <t>▪ Confirmation of Positive Response
- Byte #1~#3: 62 B1 01
- Byte #4~#15: Check in TC below</t>
  </si>
  <si>
    <t>Supported PID Byte #0</t>
  </si>
  <si>
    <t>▪ Check Byte #4 value</t>
  </si>
  <si>
    <t>▪ value =0xFF</t>
  </si>
  <si>
    <t>Supported PID Byte #1</t>
  </si>
  <si>
    <t>▪ Check Byte #5 value</t>
  </si>
  <si>
    <t>▪ value =0x00</t>
  </si>
  <si>
    <t>Supported PID Byte #2</t>
  </si>
  <si>
    <t>▪ Check Byte #6 value</t>
  </si>
  <si>
    <t>Supported PID Byte #3</t>
  </si>
  <si>
    <t>▪ Check Byte #7 value</t>
  </si>
  <si>
    <t>B+ voltage</t>
  </si>
  <si>
    <t>▪ Input Voltage: 9V, 12V, 16V
▪ Check response value (Byte #8) for each voltage</t>
  </si>
  <si>
    <t>▪ B+ Input voltage and response value match
= Value * 0.1 [V]</t>
  </si>
  <si>
    <t>ACC voltage</t>
  </si>
  <si>
    <t>▪ Input Voltage: 9V, 12V, 16V
▪ Check response value (Byte #9) for each voltage</t>
  </si>
  <si>
    <t>▪ Matches ACC input voltage and response value
= Value * 0.1 [V]</t>
  </si>
  <si>
    <t>IGN voltage</t>
  </si>
  <si>
    <t>▪ Input Voltage: 9V, 12V, 16V
▪ Check response value (Byte #10) for each voltage</t>
  </si>
  <si>
    <t>▪ Match IGN input voltage and response value
= Value * 0.1 [V]</t>
  </si>
  <si>
    <t>CAM voltage</t>
  </si>
  <si>
    <t>▪ Check Byte #11 value</t>
  </si>
  <si>
    <t>▪ F-CAM Current Voltage Match
= Value * 0.1 [V]</t>
  </si>
  <si>
    <t>SID 22 [$B101] Input Output Record ID(Byte) (2)
: Check current fault status</t>
  </si>
  <si>
    <t>DIA_018</t>
  </si>
  <si>
    <t>Current Failure: Rear camera input failure</t>
  </si>
  <si>
    <t>▪ Check Byte #12 - Bit 0 in the current failure status of the relevant item</t>
  </si>
  <si>
    <t>▪ value = 1(current failure) or 0</t>
  </si>
  <si>
    <t>Current Failure: Front Camera Input Failure</t>
  </si>
  <si>
    <t>▪ Check Byte #12 - Bit 1 in the current failure status of the relevant item</t>
  </si>
  <si>
    <t>Current malfunction: Camera power failure</t>
  </si>
  <si>
    <t>▪ Check Byte #12 - Bit 2 in the current failure status of the relevant item</t>
  </si>
  <si>
    <t>Current fault: Low voltage</t>
  </si>
  <si>
    <t>▪ Check Byte #12 - Bit 3 in the current failure status of the relevant item</t>
  </si>
  <si>
    <t>Current Fault: Overvoltage</t>
  </si>
  <si>
    <t>▪ Check Byte #12 - Bit 4 in the current failure status of the relevant item</t>
  </si>
  <si>
    <t>Current Failure: GSensor Failure</t>
  </si>
  <si>
    <t>▪ Check Byte #12 - Bit 5 in the current failure status of the relevant item</t>
  </si>
  <si>
    <t>Current Failure: CPU Failure</t>
  </si>
  <si>
    <t>▪ Check Byte #12 - Bit 6 in the current failure status of the relevant item</t>
  </si>
  <si>
    <t>Current Failure: MCU Failure</t>
  </si>
  <si>
    <t>▪ Check Byte #12 - Bit 7 in the current failure status of the relevant item</t>
  </si>
  <si>
    <t>Current fault: External Memory Jack ASSY Error</t>
  </si>
  <si>
    <t>▪ Check Byte #13 - Bit 0 in the current failure status of the relevant item</t>
  </si>
  <si>
    <t>Current Failure: WIFI Module Error</t>
  </si>
  <si>
    <t>▪ Check Byte #13 - Bit 1 in the current failure status of the relevant item</t>
  </si>
  <si>
    <t>Current fault: Front Camera Calibration Required</t>
  </si>
  <si>
    <t>▪ Check Byte #13 - Bit 2 in the current failure status of the relevant item</t>
  </si>
  <si>
    <t>Current Failure: BCAN BUS OFF</t>
  </si>
  <si>
    <t>▪ Check Byte #13 - Bit 3 in the current failure status of the relevant item</t>
  </si>
  <si>
    <t>Current fault: Event Switch Continuous ON Error</t>
  </si>
  <si>
    <t>▪ Check Byte #13 - Bit 4 in the current failure status of the relevant item</t>
  </si>
  <si>
    <t>Current fault: Auxiliary battery connection Error</t>
  </si>
  <si>
    <t>▪ Check Byte #13 - Bit 5 in the current failure status of the relevant item</t>
  </si>
  <si>
    <t>Current Failure: BLTN_CAM Front Radar Error</t>
  </si>
  <si>
    <t>▪ Check Byte #13 - Bit 6 in the current failure status of the relevant item</t>
  </si>
  <si>
    <t>Current Failure: BLTN_CAM Rear Radar Error</t>
  </si>
  <si>
    <t>▪ Check Byte #13 - Bit 7 in the current failure status of the relevant item</t>
  </si>
  <si>
    <t>Check after releasing the fault condition</t>
  </si>
  <si>
    <t>▪ Request 03 22 B1 02 in no current faults</t>
  </si>
  <si>
    <t>▪ Byte #12, #13 = 0x00</t>
  </si>
  <si>
    <t>Check for normal operation after KEY Reset</t>
  </si>
  <si>
    <t>▪ KEY OFF → ON
▪ Request 03 22 B1 02 to verify, on behalf of the representative, that only undervoltage and overvoltage are functioning normally.</t>
  </si>
  <si>
    <t>▪ Check current overvoltage/undervoltage fault status
▪ Verify fault status release after DTC Clear</t>
  </si>
  <si>
    <t>SID 22 [$B101] Input Output Record ID(Byte) (3)
: Check past fault status</t>
  </si>
  <si>
    <t>DIA_019</t>
  </si>
  <si>
    <t>Past failure: Rear camera input failure</t>
  </si>
  <si>
    <t>▪ value = 1(past failure) or 0</t>
  </si>
  <si>
    <t>Past failure: Front camera input failure</t>
  </si>
  <si>
    <t>Past failure: Camera power failure</t>
  </si>
  <si>
    <t>Past failure: Low voltage</t>
  </si>
  <si>
    <t>Past Failure: Overvoltage</t>
  </si>
  <si>
    <t>Past failure: GSensor failure</t>
  </si>
  <si>
    <t>Past failure: CPU failure</t>
  </si>
  <si>
    <t>Past Failure: MCU Failure</t>
  </si>
  <si>
    <t>Past fault: External Memory Jack ASSY Error</t>
  </si>
  <si>
    <t>Past Failure: WIFI Module Error</t>
  </si>
  <si>
    <t>Past Failure: Front Camera Calibration Required</t>
  </si>
  <si>
    <t>Past Failure: BCAN BUS OFF</t>
  </si>
  <si>
    <t>Past fault: Event Switch Continuous ON Error</t>
  </si>
  <si>
    <t>Past fault: Auxiliary battery connection error</t>
  </si>
  <si>
    <t>Past Failure: BLTN_CAM Front Radar Error</t>
  </si>
  <si>
    <t>Past Failure: BLTN_CAM Rear Radar Error</t>
  </si>
  <si>
    <t>Check after clearing past errors</t>
  </si>
  <si>
    <t>▪ Request 04 14 FF FF FF [Clear Diag Information]
▪ Check Bytes #12, #13 after requesting 03 22 B1 02</t>
  </si>
  <si>
    <t>▪ Check past overvoltage/undervoltage fault states
▪ Verify fault state release after DTC Clear</t>
  </si>
  <si>
    <t>SID 22 [$B102] Input Output Record ID(Bit)</t>
  </si>
  <si>
    <t>DIA_020</t>
  </si>
  <si>
    <t>▪ value =0xF8</t>
  </si>
  <si>
    <t>▪ Byte #8 - Check Bit 1</t>
  </si>
  <si>
    <t>▪ Value = 1, 0 depending on recording status ON/OFF</t>
  </si>
  <si>
    <t>Shock event recording status</t>
  </si>
  <si>
    <t>▪ Byte #8 - Check Bit 2</t>
  </si>
  <si>
    <t>Manual event recording status</t>
  </si>
  <si>
    <t>▪ Byte #8 - Check Bit 3</t>
  </si>
  <si>
    <t>Time-lapse event recording status</t>
  </si>
  <si>
    <t>▪ Check Byte #8 - Bit 4</t>
  </si>
  <si>
    <t>B+ status</t>
  </si>
  <si>
    <t>▪ Check Byte #8 - Bit 5</t>
  </si>
  <si>
    <t>▪ value = 1 (OFF status cannot be verified)</t>
  </si>
  <si>
    <t>ACC status</t>
  </si>
  <si>
    <t>▪ Check Byte #8 - Bit 6</t>
  </si>
  <si>
    <t>▪ Value = 1, 0 depending on ON/OFF</t>
  </si>
  <si>
    <t>IGN status</t>
  </si>
  <si>
    <t>▪ Check Byte #8 - Bit 7</t>
  </si>
  <si>
    <t>GPIO status of front/rear camera indicator LED</t>
  </si>
  <si>
    <t>▪ Byte #8 - Check Bit 8</t>
  </si>
  <si>
    <t>Manual recording switch input status</t>
  </si>
  <si>
    <t>▪ Byte #9 - Check Bit 1</t>
  </si>
  <si>
    <t>Manual recording switch indicator status</t>
  </si>
  <si>
    <t>▪ Byte #9 - Check Bit 2</t>
  </si>
  <si>
    <t>Front camera input status</t>
  </si>
  <si>
    <t>▪ Byte #9 - Check Bit 3</t>
  </si>
  <si>
    <t>Rear camera input status</t>
  </si>
  <si>
    <t>▪ Check Byte #9 - Bit 4</t>
  </si>
  <si>
    <t>HU LVDS video output status</t>
  </si>
  <si>
    <t>▪ Byte #9 - Check Bit 5</t>
  </si>
  <si>
    <t>▪ Byte #9 - Check Bit 6</t>
  </si>
  <si>
    <t>▪ value = 0</t>
  </si>
  <si>
    <t>▪ Check Byte #9 - Bit 7</t>
  </si>
  <si>
    <t>▪ Check Byte #9 - Bit 8</t>
  </si>
  <si>
    <t>▪ KEY OFF → ON
▪ Check driving continuous, impact, and manual event recording status as a representative</t>
  </si>
  <si>
    <t>▪ Check the value corresponding to the status</t>
  </si>
  <si>
    <t>DIA_021</t>
  </si>
  <si>
    <t>SID 22 [$F175] Read BLTN_CAM CPUIVersion request</t>
  </si>
  <si>
    <t>▪ Verify the consistency of the response value after the relevant service request</t>
  </si>
  <si>
    <t>▪ Version information match
: ex) 01.00.01.02 → 0x30(0) 0x31(1) 0x2E(.) … . 0x32(2)</t>
  </si>
  <si>
    <t>SID 22 [$F176] Read BLTN_CAM MCUVersion request</t>
  </si>
  <si>
    <t>SID 22 [$F17D] Platform Hardware Version Request</t>
  </si>
  <si>
    <t>▪ Match 11-byte version information
: ex) 01.00.00.00 ① Platform type identification
① ② ③ ④ ② When changing active components
③ When changing passive components
④ When changing PCB patterns
(Refer to the screenshot on the right for detailed specifications)
※ Write at factory</t>
  </si>
  <si>
    <t>SID 22 [$F17E] Platform Software Version Request</t>
  </si>
  <si>
    <t>▪ Match 14-byte version information
: ex) 01.00.00.00.00 ① Platform specification (order) version
① ② ③ ④ ⑤ ② CAN (standard) version
③ LIN version
④ SOME/IP version
⑤ When updating to improve platform-specific software issues
(Refer to the screenshot on the right for detailed specifications)</t>
  </si>
  <si>
    <t>SID 22 [$F187] Vehicle Part Number Request</t>
  </si>
  <si>
    <t>▪ Part Number Match
: ex) 95720N1000 → 0x39(9) 0x35(5) … .. 0x30(0)
※ Write at Factory</t>
  </si>
  <si>
    <t>SID 22 [$F18B] Supplier H/W Manufacturing Date Request</t>
  </si>
  <si>
    <t>▪ Production Date Match
: ex) 2022.08.25 → 0x20220825 [Hex]
※ Write at Factory</t>
  </si>
  <si>
    <t>SID 22 [$F18C] Serial Number (ECU Serial Number) Request</t>
  </si>
  <si>
    <t>▪ Serial Number Response (A number for factory management; only verify response status)
※ Write at the factory</t>
  </si>
  <si>
    <t>SID 22 [$F191] Vehicle H/W Version Request</t>
  </si>
  <si>
    <t>▪ Version Information Match
: ex) 1.00 → 0x31(1) 0x2E(.) 0x30(0) 0x30(0)
※ Write at Factory</t>
  </si>
  <si>
    <t>SID 22 [$F193] Supplier H/W Version Request</t>
  </si>
  <si>
    <t>▪ Version information match
: ex) 1.00A → 0x31(1) 0x2E(.) 0x30(0) 0x30(0) 0x41(A)</t>
  </si>
  <si>
    <t>SID 22 [$F197] System Name Request</t>
  </si>
  <si>
    <t>▪ 0x42(B) 0x4C(L) 0x54(T) 0x4E(N) 0x5F(_) 0x43(C) 0x41(A) 0x4D(M)
 :BLTN_CAM</t>
  </si>
  <si>
    <t>SID 22 [$F1A0] Vehicle S/W Version Request</t>
  </si>
  <si>
    <t>SID 22 [$F1A1] System Supplier Code Request</t>
  </si>
  <si>
    <t>▪ 0x4C(L), 0x42(B), 0x37(7), 0x33(3)
: LB73(Yura Company Code)</t>
  </si>
  <si>
    <t>SID 22 [$F1B0] The Number of S/W Unit Request</t>
  </si>
  <si>
    <t>▪ 0x01 : 1 item</t>
  </si>
  <si>
    <t>SID 22 [$F1B1] S/W Unit1 Version Request</t>
  </si>
  <si>
    <t>▪ Version Information Match
: ex) 2451.0B.00.00.20
#1d~#2d Year (2 bytes) + #3d Month (1 byte) + #4d Serial (1 byte) + Built-in Cam SW Version</t>
  </si>
  <si>
    <t>SID 22 [$F100] B-CAN D/B Version Request</t>
  </si>
  <si>
    <t>▪ Production Date Match
: ex) 18.01.01 → 0x31(1) 0x38(8) 0x2E(.) … . 0x2E(.) 0x30(0) 0x31(1)</t>
  </si>
  <si>
    <t>SID 22 [$A101] Request to Read ECU Sensor Service (Driving Mode Sensitivity)</t>
  </si>
  <si>
    <t>▪ Verify whether the response value matches the vehicle model sensitivity specifications after requesting the relevant service.
: Note) You can verify this by connecting via ADB and entering the command below.
cat /mnt/data/systemfile/gsensor_sensiticity_config</t>
  </si>
  <si>
    <t>▪ Sensitivity Match
: ex) 0x01C4(4.52), 0X012C(3.00), 0X00A0(1.60), 0X0078(1.20), 0X0050(0.80)
*Redmine - Check if it matches the [Model-specific G-sensor impact detection values]</t>
  </si>
  <si>
    <t>SID 22 [$A102] Request to Read ECU Sensor Service (Parking Mode Sensitivity)</t>
  </si>
  <si>
    <t>SID 22 [$A210] Read Developer Mode Service Request</t>
  </si>
  <si>
    <t>▪ Check response status after requesting the relevant service</t>
  </si>
  <si>
    <t>▪ Positive response (only checks whether the response is positive for a service that is not actually used)</t>
  </si>
  <si>
    <t>SID 22 [$A260] CAR Info - Type, Project Name Request</t>
  </si>
  <si>
    <t>▪ request_0x795 = "A2 60"</t>
  </si>
  <si>
    <t>0x0:Nor, 0x1:HEV, 0x2:EV, 0x3:Merge(Version Unified)
▪ ex : 62 A2 60 03 67 6E 37 (0x3 g n7)</t>
  </si>
  <si>
    <t>SID 22 [$A240] Read Calibration Offset_YAW Axis Result Request</t>
  </si>
  <si>
    <t>▪ ex : 0x00 0x01 0xAF 0x78 (20.456 degrees)
▪ Output 0xFFFF if the tolerance correction value was not obtained or failed.</t>
  </si>
  <si>
    <t>SID 22 [$A241] Read Calibration Offset_ROLL Axis Result Request</t>
  </si>
  <si>
    <t>SID 22 [$A242] Read Calibration Result Offset_PITCH Axis Service Request</t>
  </si>
  <si>
    <t>SID 22 [$A243] Read Calibration Result Status Request</t>
  </si>
  <si>
    <t>▪ 0x00: Calibration complete
▪ 0x01: Calibration failed – Target not recognized during calibration attempt
▪ 0x02: Calibration failed - OUT OF RANGE (Camera mounting range exceeded)
▪ 0x03: Calibration failed - Other
▪ 0x04: Calibration not in progress (Product shipment status)</t>
  </si>
  <si>
    <t>SID 22 [$F1EF] LocalRXSWINDataIdentifier request</t>
  </si>
  <si>
    <t>▪ ex: For GN7 HEV) R155 GN7KH/1/0 R156 GN7KH/1/0
For JW1 PE) R10 JW1/1/0 R155 JW1/1/1 R156 JW1/1/1
※ Change Cybersecurity RXSWIN version after JW1 PE P1 stage</t>
  </si>
  <si>
    <t>SID 22 [$D001] Get Information Request
#1: Read Data By Identifier Positive Response Service ID</t>
  </si>
  <si>
    <t>▪ #1 : 62 (Read Data By Identifier Positive Response Service ID)</t>
  </si>
  <si>
    <t>#21099 2.5세대 Chip ID 반영</t>
  </si>
  <si>
    <t>#2~3: Get ECU Information</t>
  </si>
  <si>
    <t>▪ #2~#3: D001 (Get ECU Information)</t>
  </si>
  <si>
    <t>#4: Device ID</t>
  </si>
  <si>
    <t>▪ #4 : 0X01 (BLTN_CAM)</t>
  </si>
  <si>
    <t>#5: Channel Total Num</t>
  </si>
  <si>
    <t>▪ #5 : 0x03 (Total number of LVDS channels: 3)</t>
  </si>
  <si>
    <t>#6: Unique No</t>
  </si>
  <si>
    <t>▪ #6 : 0x01 (Front cam)</t>
  </si>
  <si>
    <t>#7: Chip ID</t>
  </si>
  <si>
    <t>▪ #7: 0x90 (MAX96756 (DES))</t>
  </si>
  <si>
    <t>#8: Connected Device ID</t>
  </si>
  <si>
    <t>▪ #8: 0x08 (FR_CMR_BLTN_CAM)</t>
  </si>
  <si>
    <t>#9: Connected Chip ID</t>
  </si>
  <si>
    <t>▪ #9: 0x9B (MAX9295E(SER))</t>
  </si>
  <si>
    <t>#10: Connected Channel No</t>
  </si>
  <si>
    <t>▪ #10 : 0X1</t>
  </si>
  <si>
    <t>#11: Operation Mode</t>
  </si>
  <si>
    <t>▪ #11: 0X01(STANDARD VER/GSML 1)</t>
  </si>
  <si>
    <t>#12: operation Device ID</t>
  </si>
  <si>
    <t>▪ #12 : 0X1(BLTN_CAM)</t>
  </si>
  <si>
    <t>#13: Unique No</t>
  </si>
  <si>
    <t>▪ #13 : 0X02 (Rear cam)</t>
  </si>
  <si>
    <t>#14: Chip ID</t>
  </si>
  <si>
    <t>▪ #14 : BLTN_CAM 2 : 0xC9 : MAX96714(DES)
※ BLTN_CAM 2.5 Gen/2.6 Gen : 0x90 : MAX96756 (DES)</t>
  </si>
  <si>
    <t>#15: Connected Device ID</t>
  </si>
  <si>
    <t>▪ #15: 0x14 (RR_CMR_BLTN_CAM)</t>
  </si>
  <si>
    <t>#16: Connected Chip ID</t>
  </si>
  <si>
    <t>▪ #16: 0xC8 (MAX96717F(SER))</t>
  </si>
  <si>
    <t>#17: Connected Channel No</t>
  </si>
  <si>
    <t>▪ #17: 0x1 (MAX96717F(SER))</t>
  </si>
  <si>
    <t>#18: Operation Mode</t>
  </si>
  <si>
    <t>▪ #18: 0x1 (STANDARD VER/GSML 1)</t>
  </si>
  <si>
    <t>#19: operation Device ID</t>
  </si>
  <si>
    <t>▪ #19 : 0x1 : BLTN_CAM</t>
  </si>
  <si>
    <t>#20: Unique No</t>
  </si>
  <si>
    <t>▪ #20 : 0x04 (CCNC_HU)</t>
  </si>
  <si>
    <t>#21: Chip ID</t>
  </si>
  <si>
    <t>▪ #21: 0x99 (MAX9283(SER))</t>
  </si>
  <si>
    <t>#22: Connected Device ID</t>
  </si>
  <si>
    <t>▪ #22: 0x00 (CCNC_HU, CCIC_HU)</t>
  </si>
  <si>
    <t>#23: Connected Chip ID</t>
  </si>
  <si>
    <t>▪ #23 :CCNC : 0xA3 - MAX96724F(DES)
            CCIC: 0xA0h - MAX96712(DES)</t>
  </si>
  <si>
    <t>#24: Connected Channel No</t>
  </si>
  <si>
    <t>▪ #24: 0x3 (CCNC_HU, CCIC_HU)</t>
  </si>
  <si>
    <t>#25: Operation Mode</t>
  </si>
  <si>
    <t>▪ #25: 0x11(Protocol type Short/GMSL1)</t>
  </si>
  <si>
    <t>#26: operation Device ID</t>
  </si>
  <si>
    <t>▪ #26 : 0x1 : BLTN_CAM</t>
  </si>
  <si>
    <t>SID 22 [$A220] Read OEM Sub Battery State Service
(Vehicle Models with Auxiliary Battery Specifications)
- (1.9ver) Sebang (HS-CAN) Models: A.03 Type
- (2.0ver and later) SL (HS-CAN, CANFD), Sebang (HS-CAN) Models: 24A1 (October 24, 1st batch) Type</t>
  </si>
  <si>
    <t>SID 22 [$A220] Read OEM Sub Battery State Service Request
#1: Read Data By Local Identifier Response Service ID (0x62)</t>
  </si>
  <si>
    <t>▪ Check the response value after requesting the relevant service</t>
  </si>
  <si>
    <t>▪ 0x62</t>
  </si>
  <si>
    <t>#2: Sub Battery State Read#(0xA2)</t>
  </si>
  <si>
    <t>▪ 0xA2</t>
  </si>
  <si>
    <t>#3: Sub Battery State Read#(0x20)</t>
  </si>
  <si>
    <t>▪ 0x20</t>
  </si>
  <si>
    <t>#4: BAT SW Version(Major/Year1)</t>
  </si>
  <si>
    <t>▪ ASCII: Output the corresponding version</t>
  </si>
  <si>
    <t>#5: BAT SW Version(Separator/Year2)</t>
  </si>
  <si>
    <t>▪ ASCII:
- Sebang (HS-CAN) Model: 0x2E '.'
- SL (HS-CAN, CANFD), Sebang (CANFD) Model: Output corresponding version</t>
  </si>
  <si>
    <t>#6: BAT SW Version(Minor1/Month)</t>
  </si>
  <si>
    <t>#7: BAT SW Version(Minor2/Number)</t>
  </si>
  <si>
    <t>#8: BAT HW Version(Major/Year1)</t>
  </si>
  <si>
    <t>#9: BAT HW Version(Separator/Year2)</t>
  </si>
  <si>
    <t>#10: BAT HW Version(Minor1/Month)</t>
  </si>
  <si>
    <t>#11: BAT HW Version(Minor2/Number)</t>
  </si>
  <si>
    <t>#12: BMS Certify Info</t>
  </si>
  <si>
    <t>▪ Auxiliary Battery Installation Status (Authenticity Verified) - Installed: 0x1</t>
  </si>
  <si>
    <t>#13: BAT Cell Type</t>
  </si>
  <si>
    <t>▪ Battery Cell Information - 0x1: NMC</t>
  </si>
  <si>
    <t>#14: BAT Option Type</t>
  </si>
  <si>
    <t>▪ Battery Option Information - 0x1: P-LBM</t>
  </si>
  <si>
    <t>#15: BAT Capa. for BLTN_CAM</t>
  </si>
  <si>
    <t>▪ Full auxiliary battery SoC</t>
  </si>
  <si>
    <t>#16: BAT SOH</t>
  </si>
  <si>
    <t>▪ Battery life</t>
  </si>
  <si>
    <t>#17: B+ VOLTAGE</t>
  </si>
  <si>
    <t>▪ B+ power connected to the power bank</t>
  </si>
  <si>
    <t>#18: IGN VOLTAGE</t>
  </si>
  <si>
    <t>▪ IGN power connected to the power bank</t>
  </si>
  <si>
    <t>#19: BAT Capa. Total(High)</t>
  </si>
  <si>
    <t>▪ 28.8Ah(0x01)</t>
  </si>
  <si>
    <t>#20: BAT Capa. Total(Low)</t>
  </si>
  <si>
    <t>▪ 28.8Ah(0x20)</t>
  </si>
  <si>
    <t>#21: BAT SOC for BLTN_CAM</t>
  </si>
  <si>
    <t>▪ Current charged SoC response (must match the value received via LIN)</t>
  </si>
  <si>
    <t>#22: BAT Volt</t>
  </si>
  <si>
    <t>▪ Power bank voltage</t>
  </si>
  <si>
    <t>#23: BAT Current(High)</t>
  </si>
  <si>
    <t>▪ Auxiliary battery current</t>
  </si>
  <si>
    <t>#24: BAT Current(Low)</t>
  </si>
  <si>
    <t>#25: BAT Temp(High)</t>
  </si>
  <si>
    <t>▪ Check the power bank temperature (X*0.1 - 50) offset</t>
  </si>
  <si>
    <t>#26: BAT Temp(Low)</t>
  </si>
  <si>
    <t>#27: BAT Status</t>
  </si>
  <si>
    <t>▪ Power Bank Status
(0x0: Standby, 0x1: Fully Charged, 0x2: Charging,
0x3: Discharging, 0x4: Failing)</t>
  </si>
  <si>
    <t>#28: BAT Volt Fault Info</t>
  </si>
  <si>
    <t>▪ Fault Information</t>
  </si>
  <si>
    <t>#29: BAT Temp Fault Info</t>
  </si>
  <si>
    <t>#30: BAT Current Fault Info</t>
  </si>
  <si>
    <t>#31: BAT Discharging Operable Info</t>
  </si>
  <si>
    <t>▪ Discharge time based on P-LBM SoC
: Time response corresponding to the SoC value received from P-LBM, regardless of the recording setting time</t>
  </si>
  <si>
    <t>사양 #17002</t>
  </si>
  <si>
    <t>#32: BLTN_CAM Current</t>
  </si>
  <si>
    <t>▪ Built-in Cam Input Current</t>
  </si>
  <si>
    <t>#33: LBM Max Discharge Info(P-LBM's scheduled full discharge declaration flag.)</t>
  </si>
  <si>
    <t>▪ P-LBM Max Discharge State</t>
  </si>
  <si>
    <t>#34: Total Charge Capa(High)</t>
  </si>
  <si>
    <t>#35: Total Charge Capa (Mid High)</t>
  </si>
  <si>
    <t>#36: Total Charge Capa (Mid Low)</t>
  </si>
  <si>
    <t>#37: Total Charge Capa(Low)</t>
  </si>
  <si>
    <t>#38: Cycle Index(High)</t>
  </si>
  <si>
    <t>▪ Periodic Index</t>
  </si>
  <si>
    <t>#39: Cycle Index(Low)</t>
  </si>
  <si>
    <t>SID 22 [$A220] Read OEM Sub Battery State Service
(eAGM Battery Spec Vehicle Model)</t>
  </si>
  <si>
    <t>SID 22 [$A220] Read OEM Sub Battery State Service
(eAGM and M-LBM Battery Spec Vehicle Models)</t>
  </si>
  <si>
    <t>SID 22 [$A220] Read OEM Sub Battery State Service Request</t>
  </si>
  <si>
    <t>▪ Check for negative responses (Redmine Spec #20576)</t>
  </si>
  <si>
    <t>SID 22 [$A230] Read MicroSD Card State Service Request
Byte #4 Micro SD Card Health State</t>
  </si>
  <si>
    <t>▪ Check Byte #4 value after requesting the relevant service</t>
  </si>
  <si>
    <t>▪ New: 0% (Increases as lifespan ends)</t>
  </si>
  <si>
    <t>Byte #5 MicroSD Card Manufacturer: Not recognized</t>
  </si>
  <si>
    <t>▪ SD card not inserted
▪ Check Byte #5 value after requesting the relevant service</t>
  </si>
  <si>
    <t>▪ 0x00 = SD Card not found</t>
  </si>
  <si>
    <t>Byte #5 MicroSD Card Manufacturer: Micron Insert SD card</t>
  </si>
  <si>
    <t>▪ Insert genuine SD card (Micron 64GB)
▪ Check Byte #5 value after requesting the service</t>
  </si>
  <si>
    <t>▪ 0x01 = Micron-Genuine part</t>
  </si>
  <si>
    <t>Byte #5 MicroSD Card Manufacturer: PHISON Insert SD card</t>
  </si>
  <si>
    <t>▪ Insert genuine SD card (PHISON 64GB)
▪ Check Byte #5 value after requesting the relevant service</t>
  </si>
  <si>
    <t>▪ 0x02 = PHISON-Genuine part</t>
  </si>
  <si>
    <t>Byte #5 MicroSD Card Manufacturer: Unknown Insert SD card</t>
  </si>
  <si>
    <t>▪ Insert unsupported SD card (Micron, PHISON 64GB, etc.)
▪ Check Byte #5 value after requesting the relevant service</t>
  </si>
  <si>
    <t>▪ 0xFC = Unknown
 ▪ 0xFF = Invalid</t>
  </si>
  <si>
    <t>Byte #6 MicroSD Card Capacity Class: Not recognized</t>
  </si>
  <si>
    <t>▪ SD card not inserted
▪ Check Byte #6 value</t>
  </si>
  <si>
    <t>Byte #6 MicroSD Card Capacity Class: Check by Capacity</t>
  </si>
  <si>
    <t>▪ Insert genuine SD card (Micron 32GB, 64GB, 128GB, 256GB … 2TB)
▪ Check Byte #6 value</t>
  </si>
  <si>
    <t>▪ 0x01 = 64Gbyte Class
 ▪ 0x02 = 128Gbyte Class
 ▪ 0x03 = 256Gbyte Class
 ▪ 0x04 = 512Gbyte Class
 ▪ 0x05 = 1Tbyte Class
 ▪ 0x06 = 2Tbyte Class</t>
  </si>
  <si>
    <t>Byte #6 MicroSD Card Capacity Class: Invalid</t>
  </si>
  <si>
    <t>SID 2F [$F01103] O_Drv Front &amp; Rear Indicate LED On/Off</t>
  </si>
  <si>
    <t>DIA_028</t>
  </si>
  <si>
    <t>SID 2F [$F011] O_Drv Front &amp; Rear Indicate LED On/Off</t>
  </si>
  <si>
    <t>SID 2F [$F01103] O_Drv Front &amp; Rear Indicate LED
Recording in progress (Indicator ON) Start request</t>
  </si>
  <si>
    <t>▪ Driving Recording in Progress (LED Flashing)
▪ Request O_Drv Front &amp; Rear Indicate LED Start</t>
  </si>
  <si>
    <t>▪ Camera Indi flashes for 10 seconds immediately upon request</t>
  </si>
  <si>
    <t>SID 2F [$F01103] O_Drv Front &amp; Rear Indicate LED
Recording in progress (Indicator ON) Stop request</t>
  </si>
  <si>
    <t>▪ Driving Recording in Progress (LED Flashing)
▪ O_Drv Front &amp; Rear Indicate LED Start Request, Wait 3 Seconds
▪ O_Drv Front &amp; Rear Indicate LED Stop Request</t>
  </si>
  <si>
    <t>▪ Camera Indi flashes for 10 seconds immediately upon request, turns off upon Stop request.</t>
  </si>
  <si>
    <t>SID 2F [$F01103] O_Drv Front &amp; Rear Indicate LED
Not recording (Indicator OFF) Start request</t>
  </si>
  <si>
    <t>▪ All recording settings OFF (LED OFF)
▪ Request O_Drv Front &amp; Rear Indicate LED Start</t>
  </si>
  <si>
    <t>SID 2F [$F01103] O_Drv Front &amp; Rear Indicate LED
Request Stop while not recording (Indicator OFF)</t>
  </si>
  <si>
    <t>▪ All recording settings OFF (LED OFF)
▪ Request O_Drv Front &amp; Rear Indicate LED Start, wait 3 seconds
▪ Request O_Drv Front &amp; Rear Indicate LED Stop</t>
  </si>
  <si>
    <t>SID 2F [$F01203] O_Drv Event Indicate LED On/Off</t>
  </si>
  <si>
    <t>DIA_029</t>
  </si>
  <si>
    <t>SID 2F [$F012] O_Drv Event Indicate LED On/Off</t>
  </si>
  <si>
    <t>SID 2F [$F012] O_Drv Event Indicate LED
Recording in progress (Indicator ON) Start request</t>
  </si>
  <si>
    <t>▪ Set Event Recording After Time to 20 seconds
▪ Switch Start Event Recording (Event Switch Indi blinking)
▪ Request O_Drv Front &amp; Rear Indicate LED Start</t>
  </si>
  <si>
    <t>▪ Switch Indi flashes for 10 seconds immediately upon request</t>
  </si>
  <si>
    <t>SID 2F [$F012] O_Drv Event Indicate LED
Recording in progress (Indicator ON) Stop request</t>
  </si>
  <si>
    <t>▪ Set Event Recording After Time to 20 seconds
▪ Switch Start Event Recording (Event Switch Indi blinking)
▪ Request O_Drv Front &amp; Rear Indicate LED Stop</t>
  </si>
  <si>
    <t>▪ Switch Indi blinks for 10 seconds immediately upon request, turns off upon Stop request.</t>
  </si>
  <si>
    <t>SID 2F [$F012] O_Drv Event Indicate LED
Not recording (Indicator OFF) Start request</t>
  </si>
  <si>
    <t>▪ Driving Continuous Recording Setting OFF (Switch Indi Off)
▪ Request O_Drv Front &amp; Rear Indicate LED Start</t>
  </si>
  <si>
    <t>SID 2F [$F012] O_Drv Event Indicate LED
Stop request while not recording (Indicator OFF)</t>
  </si>
  <si>
    <t>▪ Driving Continuous Recording Setting OFF (Switch Indi Off)
▪ O_Drv Front &amp; Rear Indicate LED Stop Request</t>
  </si>
  <si>
    <t>SID 2F [$F041] O_Drv System Reset etc</t>
  </si>
  <si>
    <t>DIA_030</t>
  </si>
  <si>
    <t>SID 2F [$F041] O_Drv System Reset Request</t>
  </si>
  <si>
    <t>▪ Request the relevant service
▪ Check if the built-in cam reboots based on current changes and recording status</t>
  </si>
  <si>
    <t>▪ Check if the built-in cam reboots based on current changes and recording status.</t>
  </si>
  <si>
    <t>SID 2F [$F042] O_Drv Erase All File Request</t>
  </si>
  <si>
    <t>▪ Request the relevant service
▪ Check if all recording files have been deleted</t>
  </si>
  <si>
    <t>▪ All recording files deleted</t>
  </si>
  <si>
    <t>SID 2F [$F043] O_Drv Factory Reset Request</t>
  </si>
  <si>
    <t>▪ Request the relevant service
▪ Check if all recording files have been deleted and if settings have been factory reset</t>
  </si>
  <si>
    <t>▪ All recording files deleted, all settings reset to default values</t>
  </si>
  <si>
    <t>SID 2F [$F044] O_Drv Manual Event Request</t>
  </si>
  <si>
    <t>▪ Request the relevant service
▪ Check whether manual event recording is in progress</t>
  </si>
  <si>
    <t>▪ Manual event recording performed</t>
  </si>
  <si>
    <t>SID 22 [$F1C1] ECUSoftwareUNIT1IVDDataIdentifier
: Check IVD DATA</t>
  </si>
  <si>
    <t>DIA_031</t>
  </si>
  <si>
    <t>SID 2F [$F1C1] ECUSoftwareUNIT1IVDDataIdentifier request</t>
  </si>
  <si>
    <t>▪ Default Session
▪ 22 F1 C1 Request</t>
  </si>
  <si>
    <t>▪ Confirmation of Positive Response
- Byte #1~#3: 62 F1 C1
- Byte #4~#35: 32-byte response value verified to match data value in IVD.sha256.txt
(Check IVD.sha256.txt file in the corresponding Redmine version file entry)</t>
  </si>
  <si>
    <t>Front Camera Removal
SID 2F [$F1C1] ECUSoftwareUNIT1IVDDataIdentifier Request</t>
  </si>
  <si>
    <t>▪ Default Session
 ▪ Extended Diagnostic Session
 ▪ 22 F1 C1 requests</t>
  </si>
  <si>
    <t>Rear Camera Removal
SID 2F [$F1C1] ECUSoftwareUNIT1IVDDataIdentifier Request</t>
  </si>
  <si>
    <t>Front/Rear Camera Removal
SID 2F [$F1C1] ECUSoftwareUNIT1IVDDataIdentifier Request</t>
  </si>
  <si>
    <t>[ERT Update]</t>
  </si>
  <si>
    <t>DIA_032</t>
  </si>
  <si>
    <t>&lt;Updating ERT in H-OTA Studio&gt;
Diagnostic Session Control (20)</t>
  </si>
  <si>
    <t>▪ Programming Session
 : [795] 10 02</t>
  </si>
  <si>
    <t>▪ [79D] 05 D9 50 02 00 32 01 F4</t>
  </si>
  <si>
    <t>Security Access (27) - Request Seed</t>
  </si>
  <si>
    <t>▪ Request Seed
 : [795] 27 11</t>
  </si>
  <si>
    <t>▪ [79D] 05 D9 67 11 &lt;SEED&gt;</t>
  </si>
  <si>
    <t>Security Access (27) - Send Key</t>
  </si>
  <si>
    <t>▪ Send Key
 : [795] 27 12 XX XX ~ XX XX</t>
  </si>
  <si>
    <t>▪ [79D] 05 D9 67 12</t>
  </si>
  <si>
    <t>Routine Control (31)</t>
  </si>
  <si>
    <t>▪ [795] 31 01 FF 00 F1 B1</t>
  </si>
  <si>
    <t>▪ [79D] 05 D9 71 01 FF 00</t>
  </si>
  <si>
    <t>Request Download (34)</t>
  </si>
  <si>
    <t>▪ Data Format ID 
 : [795] 34 00 44 00 00 ~ 00 00 60 CF 80</t>
  </si>
  <si>
    <t>▪ [79D] 05 D9 74 00 44 00</t>
  </si>
  <si>
    <t>Transfer Data (36)</t>
  </si>
  <si>
    <t>▪ [795] 36 01 &lt;DATA&gt;</t>
  </si>
  <si>
    <t>▪ [79D] 05 D9 76 &lt;DATA Num&gt;</t>
  </si>
  <si>
    <t>Request Transfer Exit (37)</t>
  </si>
  <si>
    <t>▪ Request Seed
: [795] 37</t>
  </si>
  <si>
    <t>▪ [79D] 05 D9 77</t>
  </si>
  <si>
    <t>▪ [795] 31 01 FF 01 F1 B1</t>
  </si>
  <si>
    <t>▪ [79D] 05 D9 7F 31 78 (60 seconds)
▪ [79D] 05 D9 97 71 01 FF 01 00 F1 B1</t>
  </si>
  <si>
    <t>ECU Reset (11)</t>
  </si>
  <si>
    <t>▪ ECU Reset
: [795] 11 01</t>
  </si>
  <si>
    <t>▪ [79D] 05 D9 51 01</t>
  </si>
  <si>
    <t>ReadDataByIdentifier (22)</t>
  </si>
  <si>
    <t>▪ ECUSoftwareUNITVersionDataIdentifier
 : [795] 22 F1 B1</t>
  </si>
  <si>
    <t>▪ [79D] 05 D9 62 F1 B1 &lt;Version&gt;</t>
  </si>
  <si>
    <t>[ERT Update Failure Scenario]</t>
  </si>
  <si>
    <t>Stop ERT execution at the Transfer Data stage</t>
  </si>
  <si>
    <t>▪ During driving recording
▪ ERT scenario in progress at H-OTA Studio
▪ Interrupted during Data Transfer</t>
  </si>
  <si>
    <t>▪ Maintain current version
: Maintain version, continue driving recording</t>
  </si>
  <si>
    <t>Network Condition = OFF &amp;&amp; ECU Specific Condition = OFF</t>
  </si>
  <si>
    <t>▪ Parking Recording Setting ON
▪ Wait 30 minutes after KEY OFF
▪ [795] 22 ED 90</t>
  </si>
  <si>
    <t>▪ [79D] 62 ED 90 00 00 00 00 00 00
 #NetworkCondition = 0
 # ECU Specific = 0</t>
  </si>
  <si>
    <t>Network condition = OFF &amp;&amp; SD Card status change</t>
  </si>
  <si>
    <t>↓
▪ Remove SD card
▪ [795] 22 ED 90</t>
  </si>
  <si>
    <t>▪ [79D] 62 ED 90 04 02 00 00 00
 #NetworkCondition = 0
 # ECU Specific = 1
 # SD CARD Status change = 1</t>
  </si>
  <si>
    <t>Network condition = OFF &amp;&amp; BLTN_CAM_PrkOp_Terminate_Info 0x2</t>
  </si>
  <si>
    <t>↓
▪ Insert NTFS formatted SD card
▪ [795] 22 ED 90 (Keep LINK UP)</t>
  </si>
  <si>
    <t>▪ [79D] 62 ED 90 04 10 00 00 00 00
 #NetworkCondition = 0
 # ECU Specific = 1
 # BLTN_CAM_PrkOp_Terminate_Info_0x2= 1</t>
  </si>
  <si>
    <t>↓
▪ LINK DOWN
▪ [795] 22 ED 90</t>
  </si>
  <si>
    <t>#NetworkCondition = 0
 # ECU Specific = 0
 # BLTN_CAM_PrkOp_Terminate_Info_0x2= 0</t>
  </si>
  <si>
    <t>Network condition = OFF &amp;&amp; BLTN_CAM_PrkOp_Terminate_Info 0x3</t>
  </si>
  <si>
    <t>↓
▪ Internal Failure Error
▪ [795] 22 ED 90
※ Requires verification of how to trigger the internal failure error</t>
  </si>
  <si>
    <t>▪ [79D] 62 ED 90 04 20 00 00 00 00
 #NetworkCondition = 0
 # ECU Specific = 1
 # BLTN_CAM_PrkOp_Terminate_Info_0x3= 1</t>
  </si>
  <si>
    <t>#NetworkCondition = 0
 # ECU Specific = 0
 # BLTN_CAM_PrkOp_Terminate_Info_0x3= 0</t>
  </si>
  <si>
    <t>Network condition = OFF &amp;&amp; park event recording send</t>
  </si>
  <si>
    <t>↓
▪ Parking Impact Recording
▪ [795] 22 ED 90</t>
  </si>
  <si>
    <t>▪ [79D] 62 ED 90 04 04 00 00 00 00
 #NetworkCondition = 0
 # ECU Specific = 1
 # BLTN_CAM_RecSta_PEV = 0x1</t>
  </si>
  <si>
    <t>Network condition = OFF &amp;&amp; BLTN_CAM_PrkOp_Terminate_Info 0x1</t>
  </si>
  <si>
    <t>↓
▪ Shut down earlier than user-set time due to insufficient battery charge
▪ [795] 22 ED 90</t>
  </si>
  <si>
    <t>▪ [79D] 62 ED 90 04 08 00 00 00 00
 #NetworkCondition = 0
 # ECU Specific = 1
 # BLTN_CAM_PrkOp_Terminate_Info_0x1= 1</t>
  </si>
  <si>
    <t>Network Condition = OFF &amp;&amp; BLTN_CAM_PrkOp_Terminate_Info 0x6</t>
  </si>
  <si>
    <t>↓
▪ Normal shutdown for user-set time
▪ [795] 22 ED 90</t>
  </si>
  <si>
    <t>▪ [79D] 62 ED 90 04 40 00 00 00 00
 #NetworkCondition = 0
 # ECU Specific = 1
 # BLTN_CAM_PrkOp_Terminate_Info_0x6= 1</t>
  </si>
  <si>
    <t>Network condition = OFF &amp;&amp; Diag Session (OTA Session)</t>
  </si>
  <si>
    <t>▪ FG Update
▪ KEY OFF
▪ BG Update in progress [795] 22 ED 90</t>
  </si>
  <si>
    <t>#NetworkCondition = 0
 # ECU Specific = 1
 # Diag Session = 1</t>
  </si>
  <si>
    <t>Network Condition = ON &amp;&amp; ECU Specific Condition = OFF</t>
  </si>
  <si>
    <t>▪ Parking Recording Setting ON
▪ KEY OFF
▪ 30-minute standby while transmitting NM_CGW_CCU &amp; PDC_FD_11_200ms signal
(Requires maintaining Network Wake-up state for 30 minutes starting from before Next Park due to other controller NM)
▪ [795] 22 ED 90</t>
  </si>
  <si>
    <t>▪ [79D] 62 ED 90 01 00 01 00 00 00
 #NetworkCondition = 1
 # ECU Specific = 0</t>
  </si>
  <si>
    <t>Network condition = ON &amp;&amp; SD Card status change</t>
  </si>
  <si>
    <t>▪ [79D] 62 ED 90 05 02 01 00 00 00
 #NetworkCondition = 1
 # ECU Specific = 1
 # SD CARD Status change = 1</t>
  </si>
  <si>
    <t>Network condition = ON &amp;&amp; BLTN_CAM_PrkOp_Terminate_Info 0x2</t>
  </si>
  <si>
    <t>▪ Insert NTFS formatted SD card
▪ [795] 22 ED 90</t>
  </si>
  <si>
    <t>▪ [79D] 62 ED 90 05 10 01 00 00 00
 #NetworkCondition = 1
 # ECU Specific = 1
 # SD CARD Status change = 1</t>
  </si>
  <si>
    <t>Network condition = ON &amp;&amp; BLTN_CAM_PrkOp_Terminate_Info 0x3</t>
  </si>
  <si>
    <t>▪ [79D] 62 ED 90 05 20 01 00 00 00
 #NetworkCondition = 1
 # ECU Specific = 1
 # SD CARD Status change = 1</t>
  </si>
  <si>
    <t>Network condition = ON &amp;&amp; park event recording send</t>
  </si>
  <si>
    <t>▪ [79D] 62 ED 90 05 04 01 00 00 00
 #NetworkCondition = 1
 # ECU Specific = 1
 # BLTN_CAM_RecSta_PEV = 0x1</t>
  </si>
  <si>
    <t>Network condition = ON &amp;&amp; BLTN_CAM_PrkOp_Terminate_Info 0x1</t>
  </si>
  <si>
    <t>▪ [79D] 62 ED 90 05 08 01 00 00 00
 #NetworkCondition = 0
 # ECU Specific = 1
 # BLTN_CAM_PrkOp_Terminate_Info_0x1= 1</t>
  </si>
  <si>
    <t>Network condition = ON &amp;&amp; BLTN_CAM_PrkOp_Terminate_Info 0x6</t>
  </si>
  <si>
    <t>▪ [79D] 62 ED 90 05 40 01 00 00 00
 #NetworkCondition = 0
 # ECU Specific = 1
 # BLTN_CAM_PrkOp_Terminate_Info_0x6= 1</t>
  </si>
  <si>
    <t>Network Condition = ON &amp;&amp; ECU Specific Condition = OFF
After Bus Sleep, retransmit NM to other controllers to verify NM detection</t>
  </si>
  <si>
    <t>▪ Parking Recording Settings ON
▪ KEY OFF
▪ Enter BUS Sleep (Next Park)
▪ Transmit NM_CGW_CCU &amp; PDC_FD_11_200ms signal while waiting for 30 minutes
(After Next Park, Network Wake-up state due to other controllers' NM needs to be maintained for 30 minutes)
▪ [795] 22 ED 90</t>
  </si>
  <si>
    <t>Network Condition = ON &amp;&amp; ECU Specific Condition = OFF
Check NM detection with Parking Continuous and Impact Recording Settings OFF</t>
  </si>
  <si>
    <t>▪ Parking Recording Settings OFF
▪ KEY OFF
▪ 30-minute standby while transmitting NM_CGW_CCU &amp; PDC_FD_11_200ms signal
(Requires maintaining Network Wake-up state for 30 minutes starting from before Next Park due to other controller NM)
▪ [795] 22 ED 90</t>
  </si>
  <si>
    <t>Network Condition = ON &amp;&amp; ECU Specific Condition = OFF
With Parking Continuous and Impact Recording Settings OFF, retransmit NM from another controller to verify NM detection.</t>
  </si>
  <si>
    <t>▪ Parking Recording Settings OFF
▪ KEY OFF
▪ Enter Power OFF
▪ Wait 30 minutes while transmitting NM_CGW_CCU &amp; PDC_FD_11_200ms signal
(Network Wake-up state due to other controller NM needs to be maintained for 30 minutes after Next Park)
▪ [795] 22 ED 90</t>
  </si>
  <si>
    <t>Confirm initialization upon KEY ON during non-slip detection</t>
  </si>
  <si>
    <t>▪ Parking Recording Settings ON
▪ KEY OFF
▪ 30-minute standby while transmitting NM_CGW_CCU &amp; PDC_FD_11_200ms signal
(Requires maintaining Network Wake-up state for 30 minutes due to other controller NM prior to Next Park)
▪ [795] 22 ED 90
▪ KEY ON
▪ [795] 22 ED 90</t>
  </si>
  <si>
    <t>▪ [79D] 62 ED 90 01 00 01 00 00 00
 #NetworkCondition = 1
 # ECU Specific = 0
▪ [79D] 62 ED 90 00 00 00 00 00 00</t>
  </si>
  <si>
    <t>OEUK SecurityAccess ($27)</t>
  </si>
  <si>
    <t>Request Seed OEUK SecurityAccess
Check default response</t>
  </si>
  <si>
    <t>Request Seed OEUK SecurityAccess (13) Req
- Default Session(01), 0x795</t>
  </si>
  <si>
    <t>▪ Enter default session
▪ Request Seed (OEUK)
 : [795] 27 13</t>
  </si>
  <si>
    <t>▪ Negative response 
  : [79D] 7F 27 7F</t>
  </si>
  <si>
    <t>Request Seed OEUK SecurityAccess (13) Req
- Programming Session(02), 0x795</t>
  </si>
  <si>
    <t>▪ Enter Programming Session
▪ Request Seed (OEUK)
 : [795] 27 13</t>
  </si>
  <si>
    <t>▪ [79D] 67 13 &lt;SEED&gt;</t>
  </si>
  <si>
    <t>Request Seed OEUK SecurityAccess (13) Req
- Extended Session(03), 0x795</t>
  </si>
  <si>
    <t>▪ Enter Extended Session
▪ Request Seed (OEUK)
 : [795] 27 13</t>
  </si>
  <si>
    <t>Request Seed OEUK SecurityAccess
+ SendKey OEUK SecurityAccess
Check default response</t>
  </si>
  <si>
    <t>Request Seed OEUK SecurityAccess + SendKey OEUK SecurityAccess
- Default Session, 0x795</t>
  </si>
  <si>
    <t>▪ Enter default session
▪ Request Seed (OEUK)
 : [795] 27 13
▶ Rx) [79D] 7F 27 7F
▪ Send Key (OEUK)
: [795] 27 14</t>
  </si>
  <si>
    <t>Request Seed OEUK SecurityAccess + SendKey OEUK SecurityAccess
- Programming Session, 0x795</t>
  </si>
  <si>
    <t>▪ Enter Programming Session
▪ Request Seed (OEUK)
 : [795] 27 13
▶ Rx) [79D] 67 13 &lt;SEED&gt;
▪ Send Key (OEUK)
: [795] 27 14</t>
  </si>
  <si>
    <t>▪ [79D] 67 14</t>
  </si>
  <si>
    <t>Request Seed OEUK SecurityAccess + SendKey OEUK SecurityAccess
- Extended Session, 0x795</t>
  </si>
  <si>
    <t>▪ Enter Extended Session
▪ Request Seed (OEUK)
 : [795] 27 13
▶ Rx) [79D] 67 13 &lt;SEED&gt;
▪ Send Key (OEUK)
: [795] 27 14</t>
  </si>
  <si>
    <t>SID 22 [$EDC0] 
Retrieved NML (Network Mode Log) data</t>
  </si>
  <si>
    <t>NML Data Acquisition Diagnostic Service ($EDC0)
Check default responses per session</t>
  </si>
  <si>
    <t>NML Data Acquisition Diagnostic Service ($EDC0) Req
- Default Session(01), 0x795</t>
  </si>
  <si>
    <t>▪ Default Session
▪ 22 ED C0 Request</t>
  </si>
  <si>
    <t>▪ Confirm positive response</t>
  </si>
  <si>
    <t>NML Data Acquisition Diagnostic Service ($EDC0) Req
- Programming Session(02), 0x795</t>
  </si>
  <si>
    <t>▪ Programming Session
▪ 22 ED C0 Request</t>
  </si>
  <si>
    <t>▪ Check for negative responses</t>
  </si>
  <si>
    <t>NML Data Acquisition Diagnostic Service ($EDC0) Req
- Extended Session(03), 0x795</t>
  </si>
  <si>
    <t>▪ Default Session
 ▪ Extended Diagnostic Session
 ▪ 22 ED C0 Request</t>
  </si>
  <si>
    <t>▪ Verify Positive Response
- Byte #1~ #3 : 62 ED C0
- Byte #4 ~ : 8-byte response value
Check if identical to the response value in the Default Session</t>
  </si>
  <si>
    <t>NML Data Acquisition Diagnostic Service ($EDC0)
Check the corresponding mapping value</t>
  </si>
  <si>
    <t>NML Data Acquisition Diagnostic Service ($EDC0) Req
- NML_START_PATTERN
: byte [0] ~ [3]</t>
  </si>
  <si>
    <t>▪ 22 ED C0 Request</t>
  </si>
  <si>
    <t>▪ Check response
- byte[0] ~ [3] : ED ED ED ED</t>
  </si>
  <si>
    <t>-NML_DATA_NML_VERSION 
: byte [14] ~ [17]
Nml_Version</t>
  </si>
  <si>
    <t>▪ Check response
- byte[14] ~ [17] : 02 02 00 03</t>
  </si>
  <si>
    <t>-NML_END_PATTERN
: byte [79] ~ [82]</t>
  </si>
  <si>
    <t>▪ Check response
- byte[79] ~ [82] : ED ED ED ED</t>
  </si>
  <si>
    <t>- NML_DATA_CH_NUM
: byte [83] Number of channels configured in the controller's ComM</t>
  </si>
  <si>
    <t>▪ Check response
- byte[83] : 02</t>
  </si>
  <si>
    <t>NML Data Acquisition Diagnostic Service ($EDC0)
Check Live Cycle</t>
  </si>
  <si>
    <t>-NML_DATA_ALIVE_CYCLE
: byte [4]~[5]
Record of Ecu Startup or Wakeup counts</t>
  </si>
  <si>
    <t>▪ ACC &amp; IGN On
▪ Parking Continuous Recording Setting ON, Event Setting OFF</t>
  </si>
  <si>
    <t>▪ BLTN_CAM_RecSet_OWP = 0x2(ON)
 ▪ BLTN_CAM_RecSet_PEV = 0x1(OFF)</t>
  </si>
  <si>
    <t>▪ Confirm positive response
- Byte #4~ #5 : Check 2-byte response value (initial value)</t>
  </si>
  <si>
    <t>▪ ACC &amp; IGN OFF
▪ Enter CAN Sleep
▪ 22 ED C0 Request</t>
  </si>
  <si>
    <t>▪ Confirmation of Positive Response
- Byte #4~ #5: Check 2-byte response value (same as initial value)</t>
  </si>
  <si>
    <t>▪ LINK DOWN -&gt; LINK UP
▪ 22 ED C0 Request</t>
  </si>
  <si>
    <t>▪ Confirm positive response
- Byte #4~ #5 : Check 2-byte response value (initial value + 1)</t>
  </si>
  <si>
    <t>▪ ACC &amp; IGN On
▪ 22 ED C0 Request</t>
  </si>
  <si>
    <t>▪ B+ reset
▪ 22 ED C0 request</t>
  </si>
  <si>
    <t>▪ Confirmation of Positive Response
- Byte #4~ #5: Check 2-byte response value (initial value)
- Alive Cycle initialized upon B+ Reset with NVM save function OFF</t>
  </si>
  <si>
    <t>NML Data Acquisition Diagnostic Service ($EDC0)
Identifying Log Occurrence Time</t>
  </si>
  <si>
    <t>- Nml_LibInternalTime
: byte [18] = Hour
byte [19] = min
byte [20] = sec
byte [21] = ms
Records how much time has passed since Wake up or Start up (generates time information at 100ms intervals)</t>
  </si>
  <si>
    <t>▪ Confirmation of Positive Response
- Byte #18~#21: Check 4-byte response value</t>
  </si>
  <si>
    <t>▪ Wait for a set amount of time
▪ 22 ED C0 Request</t>
  </si>
  <si>
    <t>▪ Confirmation of Positive Response
- Byte #18~#21: Check 4-byte response value
: Confirm that the response value above has been increased</t>
  </si>
  <si>
    <t>▪ Confirmation of Positive Response
- Bytes #18~#21: Check 4-byte response values
- Internal Time initialized upon B+ Reset with NVM save function OFF</t>
  </si>
  <si>
    <t>NML Data Acquisition Diagnostic Service ($EDC0)
Saves the last mode of the communication channel during Sleep/Shutdown</t>
  </si>
  <si>
    <t>- NML_DATA_LAST_CH_MODE
(Nml_LogLCMRamData)
: byte [84] ~ [107]
(For built-in cams, check only values ​​[84]~[86])
byte [84] = chMode
byte [85] = prevNMState
byte [86] = curNMState
Changes whenever the communication channel status value changes</t>
  </si>
  <si>
    <t>▪ Confirmation of positive response
- Byte #84~ #86: Check 3-byte response value
- chMode = FULL_COMMUNICATION (0x02)
- prevNMState = NM_STATE_REPEAT_MESSAGE (0x05)
- curNMState = NM_STATE_NORMAL_OPERATION (0x04)</t>
  </si>
  <si>
    <t>▪ Confirmation of positive response
- Byte #84~ #86: Check 3-byte response value
- chMode = NO_COMMUNICATION (0x00)
- prevNMState = NM_STATE_PREPARE_BUS_SLEEP (0x02)
- curNMState = NM_STATE_BUS_SLEEP (0x01)</t>
  </si>
  <si>
    <t>▪ CAN Wake up
▪ 22 ED C0 Request</t>
  </si>
  <si>
    <t>▪ Confirmation of positive response
- Byte #84~ #86: Check 3-byte response value
- chMode = FULL_COMMUNICATION (0x02)
- prevNMState = NM_STATE_REPEAT_MESSAGE (0x05)
- curNMState = NM_STATE_READY_SLEEP (0x03)</t>
  </si>
  <si>
    <t>▪ Wait for a set amount of time (10s)
▪ 22 ED C0 Request</t>
  </si>
  <si>
    <t>SID 22 [$A221] Acquire parking recording information</t>
  </si>
  <si>
    <t>$A221 (Acquire Parking Recording Information)
- Check Basic Response per Session</t>
  </si>
  <si>
    <t>Acquire Parking Recording Information [A221], Default Session, 0x795</t>
  </si>
  <si>
    <t>▪ Default Session
▪ 22 A2 21 Request</t>
  </si>
  <si>
    <t>Acquire Parking Recording Information [A221], Programming Session, 0x795</t>
  </si>
  <si>
    <t>▪Programming Session
▪ 22 A2 21 Request</t>
  </si>
  <si>
    <t>▪Check for negative responses</t>
  </si>
  <si>
    <t>Acquire Parking Recording Information [A221], Extended Session, 0x795</t>
  </si>
  <si>
    <t>▪Extended Session
▪ 22 A2 21 Request</t>
  </si>
  <si>
    <t>$A221 (Acquire Parking Recording Information)
- BLTN_CAM_Version</t>
  </si>
  <si>
    <t>byte [4] : Built-in cam platform version (2/2.5/3)</t>
  </si>
  <si>
    <t>▪ 22 A2 21 Request</t>
  </si>
  <si>
    <t>▪ Compare #4 byte value with BLTN_CAM_SWVerMinor3 value
- The above values ​​will match</t>
  </si>
  <si>
    <t>$A221 (Acquire Parking Recording Information)
- Parking Recording 1
- Cycle 1</t>
  </si>
  <si>
    <t>Weekly Recording 1 : Cycle 1
[Condition Settings]
- #20 Weekly Recording Setting OFF
- #17 Weekly Start Time SoC = (9H) 45% : 0x2D
- #18 Weekly End Time SoC = (8H) 40% : 0x28</t>
  </si>
  <si>
    <t>▪ Enter Built-in Cam
▪ Parking Continuous / Impact / Motion Recording Settings Off
▪ Parking Time Set to 9 Hours
(SoC = 45%, 0x2D)</t>
  </si>
  <si>
    <t>▪ Normal entry into Built-in Cam
▪ Verify Parking Continuous / Impact / Motion Recording Settings Off</t>
  </si>
  <si>
    <t>▪ Wait 30 minutes with parking recording not in progress</t>
  </si>
  <si>
    <t>▪ Maintain power off state</t>
  </si>
  <si>
    <t>▪ Key on Set parking availability time to 8 hours
(SoC = 40%, 0x28)
▪ Key on</t>
  </si>
  <si>
    <t>▪ Check oprabletime
▪ Verify normal boot</t>
  </si>
  <si>
    <t>▪ 22 A2 21 Request
▪ Check Parking Recording Data
- #09 ~ 12: Parking Start Time
- #13 ~ 16: Driving Start Time
- #17: SoC during Parking (PLBM)
- #18: SoC during Driving (PLBM)
- #19: Parking Recording Execution Time
- #20: Recording Settings
- #21: Impact Detection Save Count
- #22: Motion Detection Save Count
- #23: Parking Recording End Result
- #24: Ambient Temperature</t>
  </si>
  <si>
    <t>byte[9]~[12] 1_IGN Off Time (Parking start time)
(ex. 0x03190C12 = March 25, 12:18)</t>
  </si>
  <si>
    <t>▪ Verify consistency of parking recording information data acquisition values</t>
  </si>
  <si>
    <t>byte[13]~[16] 1_IGN On Time (Time of start of driving)
(ex. 0x03190C12 = March 25, 12:18)</t>
  </si>
  <si>
    <t>byte[17] 1_BAT SOC - Parking Start</t>
  </si>
  <si>
    <t>byte[18] 1_BAT SOC - Driving Start</t>
  </si>
  <si>
    <t>byte[19] 1_Parked Recording Time
Parking recording time (rounded to the nearest 30 minutes)</t>
  </si>
  <si>
    <t>byte[20] 1_Parked Recording Setting
Parking Recording Settings
0x0 : All settings off</t>
  </si>
  <si>
    <t>byte[21] 1_Number of Parked Event
Number of Parking Impact Detections Saved</t>
  </si>
  <si>
    <t>byte[22] 1_Number of Parked Motion Detection
Number of Parked Motion Detection Saved</t>
  </si>
  <si>
    <t>byte[23] 1_Parked Terminate Info
Parking recording termination result
0x0 : No notification, parking recording terminated by user startup condition</t>
  </si>
  <si>
    <t>byte[24] 1_Ambient temperature (TBD)</t>
  </si>
  <si>
    <t>▪ Verification of Cumulative Data Acquisition
- # 5 ~ 6: Cumulative Weekly Time
- # 7 ~ 8: Cumulative Weekly Recording Time
- # 57 ~ 58: Cumulative Number of Successful Weekly Recordings
- # 59 ~ 60: Cumulative Number of Failed Weekly Recordings</t>
  </si>
  <si>
    <t>byte[5]~[6] Total Parking Time
Accumulated Parking Time
#13~16 IGN On Time - #9~12 IGN Off Time = Value
Continuously accumulate</t>
  </si>
  <si>
    <t>byte[7]~[8] Total Parking Recording Time
Cumulative Parking Recording Time
#19 Accumulate Parked Recording time</t>
  </si>
  <si>
    <t>byte[57]~[58] Success count
Number of successful recordings up to the parking recording limit (cumulative)
BLTN_CAM_PrkOp_Terminate_Info 0x6 when transmitting</t>
  </si>
  <si>
    <t>byte[59]~[60] Number of failures
Number of recording failures until the parking recording time limit (cumulative)
BLTN_CAM_PrkOp_Terminate_Info 0x1 when transmitting</t>
  </si>
  <si>
    <t>Cycle 2</t>
  </si>
  <si>
    <t>Data not updated in Cycle 2</t>
  </si>
  <si>
    <t>▪Check for unupdated data in Cycle 2 area
- #25 ~ #40</t>
  </si>
  <si>
    <t>▪ Cycle 2 data will not be updated</t>
  </si>
  <si>
    <t>Cycle 3</t>
  </si>
  <si>
    <t>Data not updated in Cycle 3</t>
  </si>
  <si>
    <t>▪Check for unupdated data in Cycle 3 area
- #41 ~ #56</t>
  </si>
  <si>
    <t>▪ Cycle 3 data will not be updated</t>
  </si>
  <si>
    <t>$A221 (Acquire Parking Recording Information)
- Parking Recording 2
- Cycle 2</t>
  </si>
  <si>
    <t>Week Recording 2 : Cycle 2
[Condition Settings]
- #20 Week Continuous Recording Setting On (Only)
- #17 Week Start Time SoC = (15H) 74% : 0x4A
- #18 Week End Time SoC = (0H) 00% : 0x0
- #23 Shut down early due to insufficient battery charge</t>
  </si>
  <si>
    <t>▪ Enter Built-in Cam
▪ Turn On Parking Continuous Recording
▪ Set Parking Time to 15 Hours
(SoC = (15H) 74% : 0x4A)</t>
  </si>
  <si>
    <t>▪ Normal entry with built-in cam
▪ Confirm parking continuous recording setting is On</t>
  </si>
  <si>
    <t>▪ Performs 30 minutes of continuous parking recording</t>
  </si>
  <si>
    <t>▪ Parking continuous recording will operate normally</t>
  </si>
  <si>
    <t>▪ Set parking time to 0 hours
(SoC = (0H) 0% : 0x00)
▪ Stop parking recording</t>
  </si>
  <si>
    <t>▪ Check oprabletime
▪ Confirm that it terminated earlier than the set time due to insufficient charge
- BLTN_CAM_PrkOp_Termiate_Info = 0x1</t>
  </si>
  <si>
    <t>▪ Key on</t>
  </si>
  <si>
    <t>▪ Verify normal boot</t>
  </si>
  <si>
    <t>▪ 22 A2 21 Request
▪ Check Parking Recording Data
- #25 ~ 28: Parking Start Time
- #29 ~ 32: Driving Start Time
- #33: SoC during Parking (PLBM)
- #34: SoC during Driving (PLBM)
- #35: Parking Recording Execution Time
- #36: Recording Settings
- #37: Impact Detection Save Count
- #38: Motion Detection Save Count
- #39: Parking Recording End Result
- #40: Ambient Temperature</t>
  </si>
  <si>
    <t>byte[25]~[28] 1_IGN Off Time (Parking start time)
(ex. 0x03190C12 = March 25, 12:18)</t>
  </si>
  <si>
    <t>byte[29]~[32] 1_IGN On Time (Time of start of driving)
(ex. 0x03190C12 = March 25, 12:18)</t>
  </si>
  <si>
    <t>byte[33] 1_BAT SOC - Parking Start</t>
  </si>
  <si>
    <t>byte[34] 1_BAT SOC - Driving Start</t>
  </si>
  <si>
    <t>byte[35] 1_Parked Recording Time
Parking recording time (rounded to the nearest 30 minutes)</t>
  </si>
  <si>
    <t>byte[36] 1_Parked Recording Setting
Parking Recording Settings
0x1 : Parking Continuous Recording Setting On (Only)</t>
  </si>
  <si>
    <t>byte[37] 1_Number of Parked Event
Number of Parking Impact Detection Saved</t>
  </si>
  <si>
    <t>byte[38] 1_Number of Parked Motion Detection
Number of Parked Motion Detection Saved</t>
  </si>
  <si>
    <t>byte[39] 1_Parked Terminate Info
Parking recording termination result
0x1 : Terminated earlier than user-set time due to insufficient battery charge</t>
  </si>
  <si>
    <t>byte[40] 1_Ambient temperature (TBD)</t>
  </si>
  <si>
    <t>▪ Verification of match between accumulated parking recording data acquisition values</t>
  </si>
  <si>
    <t>Cycle 1</t>
  </si>
  <si>
    <t>Maintain Weekly Recording 1 Data for Cycle 1</t>
  </si>
  <si>
    <t>▪Verify data retention in Cycle 1 area
- #09 ~ #24</t>
  </si>
  <si>
    <t>▪ Cycle 1 data will be retained</t>
  </si>
  <si>
    <t>$A221 (Acquire Parking Recording Information)
- Parking Recording 3
- Cycle 3</t>
  </si>
  <si>
    <t>Parking Recording 3 : Cycle 3
[Condition Settings]
- #20 Parking Motion Detection Recording Setting On (Only)
- #17 Parking Start Time SoC = (17H) 84% : 0x54
- #18 Parking End Time SoC = (16H) 79% : 0x4F
- #23 No notification, end parking recording on user startup condition</t>
  </si>
  <si>
    <t>▪ Enter Built-in Cam
▪ Parking Motion Recording Settings On
▪ Set Parking Time to 17 Hours
(SoC = (17H) 84% : 0x54)</t>
  </si>
  <si>
    <t>▪ Built-in Cam Entry
▪ Verify Parking Motion Recording Setting is On</t>
  </si>
  <si>
    <t>▪ Perform 30 minutes of parking motion recording</t>
  </si>
  <si>
    <t>▪ Set parking time to 16 hours
(SoC = (16H) 79% : 0x4F)
▪ Key on</t>
  </si>
  <si>
    <t>▪ 22 A2 21 Request
▪ Check Parking Recording Data
- #41 ~ 44: Parking Start Time
- #45 ~ 48: Driving Start Time
- #49: SoC during Parking
- #50: SoC during Driving
- #51: Parking Recording Execution Time
- #52: Recording Settings
- #53: Impact Detection Save Count
- #54: Motion Detection Save Count
- #55: Parking Recording End Result
- #56: Ambient Temperature</t>
  </si>
  <si>
    <t>byte[41]~[44] 1_IGN Off Time (Parking start time)
(ex. 0x03190C12 = March 25, 12:18)</t>
  </si>
  <si>
    <t>byte[45]~[48] 1_IGN On Time (Time of start of driving)
(ex. 0x03190C12 = March 25, 12:18)</t>
  </si>
  <si>
    <t>byte[49] 1_BAT SOC - Parking Start</t>
  </si>
  <si>
    <t>byte[50] 1_BAT SOC - Driving Start</t>
  </si>
  <si>
    <t>byte[51] 1_Parked Recording Time
Parking recording time (rounded to the nearest 30 minutes)</t>
  </si>
  <si>
    <t>byte[52] 1_Parked Recording Setting
Parking Recording Settings
0x2 : Parking Motion Detection Recording Settings On (Only)</t>
  </si>
  <si>
    <t>byte[53] 1_Number of Parked Event
Number of Parking Impact Detection Saved</t>
  </si>
  <si>
    <t>byte[54] 1_Number of Parked Motion Detection
Number of Parked Motion Detection Saved</t>
  </si>
  <si>
    <t>byte[55] 1_Parked Terminate Info
Parking recording termination result
0x0 : No notification, parking recording terminated by user startup condition</t>
  </si>
  <si>
    <t>byte[56] 1_Ambient temperature (TBD)</t>
  </si>
  <si>
    <t>Maintain Cycle 2 Parking Recording 2 Data</t>
  </si>
  <si>
    <t>▪Verify data retention in Cycle 2 area
- #09 ~ #24</t>
  </si>
  <si>
    <t>▪ Cycle 2 data will be retained</t>
  </si>
  <si>
    <t>$A221 (Acquire Parking Recording Information)
[Prevention of Initialization] : No initialization condition using eMMC stored data</t>
  </si>
  <si>
    <t>B+ Reset</t>
  </si>
  <si>
    <t>(Before B+ reset)
▪ 22 A2 21 Request</t>
  </si>
  <si>
    <t>▪B+ reset
▪ 22 A2 21 Request
▪Compare data before/after B+ reset</t>
  </si>
  <si>
    <t>▪ Reboot
▪ Verify positive response
▪ Data should be identical before and after B+ reset</t>
  </si>
  <si>
    <t>BLTN_CAM_USMReset Reset (Guest)</t>
  </si>
  <si>
    <t>▪ Guest Mode Settings
(Before BLTN_CAM_USMReset)
▪ 22 A2 21 Request</t>
  </si>
  <si>
    <t>▪ Output CF_AVN_ProfileIDRValue = 0x1
▪ Confirm positive response</t>
  </si>
  <si>
    <t>▪BLTN_CAM_USMReset</t>
  </si>
  <si>
    <t>▪ Reset USM</t>
  </si>
  <si>
    <t>▪ 22 A2 21 Request Reset
▪ Compare data before/after reset</t>
  </si>
  <si>
    <t>▪ Confirm positive response
▪ Data should be identical before and after reset</t>
  </si>
  <si>
    <t>BLTN_CAM_USMReset Reset (Profile1)</t>
  </si>
  <si>
    <t>▪ Profile1 Mode Settings
(Before BLTN_CAM_USMReset)
▪ 22 A2 21 Request</t>
  </si>
  <si>
    <t>▪ Output CF_AVN_ProfileIDRValue = 0x2
▪ Confirm positive response</t>
  </si>
  <si>
    <t>BLTN_CAM_USMReset Reset (Profile2)</t>
  </si>
  <si>
    <t>▪ Profile2 Mode Setting
(Before BLTN_CAM_USMReset)
▪ 22 A2 21 Request</t>
  </si>
  <si>
    <t>▪ Output CF_AVN_ProfileIDRValue = 0x3
▪ Confirm positive response</t>
  </si>
  <si>
    <t>CF_AVN_CluUSMReset Reset (Guest)</t>
  </si>
  <si>
    <t>▪ Guest Mode Settings
(Before AVN_CluUSMReset)
▪ 22 A2 21 Request</t>
  </si>
  <si>
    <t>▪AVN_CluUSMReset</t>
  </si>
  <si>
    <t>CF_AVN_CluUSMReset Reset (Profile1)</t>
  </si>
  <si>
    <t>▪ Profile1 Mode Setting
(Before AVN_CluUSMReset)
▪ 22 A2 21 Request</t>
  </si>
  <si>
    <t>CF_AVN_CluUSMReset Reset (Profile2)</t>
  </si>
  <si>
    <t>▪ Profile2 Mode Setting
(Before AVN_CluUSMReset)
▪ 22 A2 21 Request</t>
  </si>
  <si>
    <t>Vehicle Mode: Factory Mode</t>
  </si>
  <si>
    <t>(Before factory reset)
▪ 22 A2 21 Request</t>
  </si>
  <si>
    <t>▪Proceed with Factory Reset : Factory-&gt;Customer</t>
  </si>
  <si>
    <t>▪ Perform a factory reset</t>
  </si>
  <si>
    <t>▪ 22 A2 21 Request Re-evaluation
▪ Data Comparison Before/After Factory Reset</t>
  </si>
  <si>
    <t>▪ Confirm positive response
▪ Data is identical before and after factory reset</t>
  </si>
  <si>
    <t>Vehicle Mode : Dealer Mode</t>
  </si>
  <si>
    <t>▪Proceed with Factory Reset : Dealer-&gt;Customer</t>
  </si>
  <si>
    <t>Initialize via diagnosis</t>
  </si>
  <si>
    <t>(Before diagnostic reset)
▪ 22 A2 21 Request</t>
  </si>
  <si>
    <t>▪Proceed with diagnostic reset</t>
  </si>
  <si>
    <t>▪ Reset diagnosis</t>
  </si>
  <si>
    <t>▪ 22 A2 21 Request Re-evaluation
▪ Comparison of data before/after diagnostic initialization</t>
  </si>
  <si>
    <t>▪ Confirmation of positive response
▪ Data must be identical before and after diagnostic reset</t>
  </si>
  <si>
    <t>$A221 (Acquisition of parking recording information)
: Storage conditions unsatisfactory</t>
  </si>
  <si>
    <t>Unsatisfactory storage conditions (cycle time less than 30 minutes)</t>
  </si>
  <si>
    <t>▪ Enter Built-in Cam
▪ Recording Settings
▪ 22 A2 21 Request</t>
  </si>
  <si>
    <t>▪ Settings Normal Output
- Parking Always On
- Impact and Motion Off
- Parking Recording Time: 13 Hours
▪ Confirm Positive Response</t>
  </si>
  <si>
    <t>▪ Perform 10-minute parking recording
▪ Key ON</t>
  </si>
  <si>
    <t>▪ Parking recording functioning normally
▪ Confirmed normal booting</t>
  </si>
  <si>
    <t>▪ 22 A2 21 Request
▪ Confirm Storage Conditions Unsatisfactory</t>
  </si>
  <si>
    <t>▪ Confirmation of positive response
▪ Confirmation that data is identical before and after parking recording</t>
  </si>
  <si>
    <t>SID 22 [$A223] 
Acquire Driving/Parking Event Recording Information</t>
  </si>
  <si>
    <t>$A223 (Acquire Driving/Parking Event Recording Information)
- Check Basic Response per Session</t>
  </si>
  <si>
    <t>Acquire Parking Recording Information [A223], Default Session, 0x795</t>
  </si>
  <si>
    <t>▪ Default Session
▪ 22 A2 23 Request</t>
  </si>
  <si>
    <t>Acquire Parking Recording Information [A223], Programming Session, 0x795</t>
  </si>
  <si>
    <t>▪Programming Session
▪ 22 A2 23 Request</t>
  </si>
  <si>
    <t>Acquire Parking Recording Information [A223], Extended Session, 0x795</t>
  </si>
  <si>
    <t>▪Extended Session
▪ 22 A2 23 Request</t>
  </si>
  <si>
    <t>$A223 (Acquire Driving/Parking Event Recording Information)
- Confirm Driving Event Recording Response After 3 Impacts</t>
  </si>
  <si>
    <t>After performing 3 OWD ON, DEV ON impacts
Check responses for cumulative number of driving impacts and cumulative number of driving impacts recorded (Previous value +3)</t>
  </si>
  <si>
    <t>▪ OWD ON, DEV ON
▪ [Check Previous Value] 22 A2 23 Request
▪ Camera Impact 3 times at 20s intervals
▪ [Check Subsequent Value] 22 A2 23 Request
▪ Check Driving Event Recording Data
- # 9, 10: Cumulative number of driving impacts (0x0000(0) ~ 0xFFFF(65,535))
- # 11, 12: Cumulative number of driving impact recordings (0x0000(0) ~ 0xFFFF(65,535))
- # 13: Cumulative driving impact recording success rate</t>
  </si>
  <si>
    <t>▪ Comparison of A223 response values ​​before/after driving impact recording
▪ #9, #10: Cumulative number of driving impacts +3
▪ #11, #12: Cumulative number of driving impact recordings +3
▪ #13: Cumulative driving impact recording success rate = (Cumulative number of driving impact recordings) / (Cumulative number of driving impacts) * 100</t>
  </si>
  <si>
    <t>$A223 (Acquisition of Driving/Parking Event Recording Information)
- Confirmation of driving event recording response after 3 impacts in DEV ON</t>
  </si>
  <si>
    <t>After performing 3 impacts with OWD OFF and DEV ON
Check responses for cumulative number of driving impacts and cumulative number of driving impacts recorded (Previous value +3)</t>
  </si>
  <si>
    <t>▪ OWD OFF, DEV ON
▪ [Check Previous Value] 22 A2 23 Request
▪ Camera Impact 3 times at 20s intervals
▪ [Check Next Value] 22 A2 23 Request
▪ Check Driving Event Recording Information Data
- # 9, 10: Cumulative number of driving impacts (0x0000(0) ~ 0xFFFF(65,535))
- # 11, 12: Cumulative number of driving impact recordings (0x0000(0) ~ 0xFFFF(65,535))
- # 13: Cumulative driving impact recording success rate</t>
  </si>
  <si>
    <t>$A223 (Acquisition of Driving/Parking Event Recording Information)
- DEV Storage Conditions Unsatisfactory</t>
  </si>
  <si>
    <t>Check A223 diagnostic value if DEV storage conditions are unsatisfactory after driving impact</t>
  </si>
  <si>
    <t>▪ DEV ON
▪ [Check Previous Value] 22 A2 23 Request
▪ Impact Authorization
▪ SD Card Removal During Impact Recording
▪ [Check Subsequent Value] 22 A2 23 Request
▪ Check Driving Event Recording Data
- # 9, 10: Cumulative Driving Impact Occurrence Count (0x0000(0) ~ 0xFFFF(65,535))
- # 11, 12: Cumulative Driving Impact Recording Count (0x0000(0) ~ 0xFFFF(65,535))
- # 13: Cumulative Driving Impact Recording Success Rate</t>
  </si>
  <si>
    <t>▪ Comparison of A223 Response Values ​​Before/After Driving Impact Recording
▪ #9, #10: Cumulative number of driving impacts +1
▪ #11, #12: Cumulative number of driving impact recordings remains the same as before (Count did not increase due to unsatisfactory storage conditions caused by SD card removal during DEV recording)
▪ #13: Cumulative driving impact recording success rate = (Cumulative number of driving impact recordings) / (Cumulative number of driving impacts) * 100</t>
  </si>
  <si>
    <t>$A223 (Acquire Driving/Parking Event Recording Information)
- Check Parking Event Recording Response</t>
  </si>
  <si>
    <t>After performing 3 parking event recordings with OWP ON and PEV ON
Check responses for cumulative parking impact occurrences and cumulative parking impact recordings</t>
  </si>
  <si>
    <t>▪ OWP ON, PEV ON, PMD OFF
▪ [Check previous value] 22 A2 23 Request
▪ Key off
▪ Camera impact 3 times at 20s intervals
▪ Key on
▪ [Check next value] 22 A2 23 Request
▪ Check parking event recording information data
- # 4, 5 : Cumulative number of parking impact occurrences (0x0000(0) ~ 0xFFFF(65,535))
- # 6, 7 : Cumulative number of parking impact recordings (0x0000(0) ~ 0xFFFF(65,535))
- # 8 : Cumulative parking impact recording success rate</t>
  </si>
  <si>
    <t>▪ Comparison of A223 response values ​​before/after parking impact recording
▪ #4, #5: Cumulative number of parking impacts +3
▪ #6, #7: Cumulative number of parking impact recordings +3
▪ #8: Cumulative parking impact recording success rate = (Cumulative number of parking impact recordings) / (Cumulative number of parking impacts) * 100</t>
  </si>
  <si>
    <t>After performing 3 parking event recordings with PEV ON and PMD ON
Check responses for cumulative parking impact occurrences and cumulative parking impact recordings</t>
  </si>
  <si>
    <t>▪ OWP OFF, PEV ON, PMD ON
▪ [Check previous value] 22 A2 23 Request
▪ Key off
▪ Camera impact 3 times at 20s intervals
▪ Key on
▪ [Check next value] 22 A2 23 Request
▪ Check parking event recording data
- # 4, 5 : Cumulative number of parking impact occurrences (0x0000(0) ~ 0xFFFF(65,535))
- # 6, 7 : Cumulative number of parking impact recordings (0x0000(0) ~ 0xFFFF(65,535))
- # 8 : Cumulative parking impact recording success rate</t>
  </si>
  <si>
    <t>After performing 3 parking event recordings with OWP OFF, PEV ON, and PMD OFF
Check responses for cumulative parking impact occurrences and cumulative parking impact recordings</t>
  </si>
  <si>
    <t>▪ OWP OFF, PEV ON, PMD OFF
▪ [Check previous value] 22 A2 23 Request
▪ Key off
▪ Camera impact 3 times at 20s intervals
▪ Key on
▪ [Check next value] 22 A2 23 Request
▪ Check parking event recording data
- # 4, 5 : Cumulative number of parking impacts (0x0000(0) ~ 0xFFFF(65,535))
- # 6, 7 : Cumulative number of parking impact recordings (0x0000(0) ~ 0xFFFF(65,535))
- # 8 : Cumulative parking impact recording success rate</t>
  </si>
  <si>
    <t>$A223 (Acquisition of Driving/Parking Event Recording Information)
- PEV Storage Conditions Unsatisfactory</t>
  </si>
  <si>
    <t>Check A223 diagnostic value if PEV storage conditions are unsatisfactory after driving impact</t>
  </si>
  <si>
    <t>▪ PEV ON
▪ [Check previous value] Request 22 A2 23
▪ Turn Key off to enter parking recording mode
▪ Apply impact
▪ Remove SD card during impact recording
▪ Turn Key on
▪ [Check subsequent value] Request 22 A2 23
▪ Check parking event recording data
- # 4, 5: Cumulative number of parking impacts (0x0000(0) ~ 0xFFFF(65,535))
- # 6, 7: Cumulative number of parking impact recordings (0x0000(0) ~ 0xFFFF(65,535))
- # 8: Cumulative parking impact recording success rate</t>
  </si>
  <si>
    <t>▪ Comparison of A223 Response Values ​​Before/After Parking Impact Recording
▪ #4, #5: Cumulative number of parking impacts +1
▪ #6, #7: Cumulative number of parking impact recordings remains the same as before (Count did not increase due to unsatisfactory storage conditions caused by SD card removal during PEV recording)
▪ #8: Cumulative parking impact recording success rate = (Cumulative number of parking impact recordings) / (Cumulative number of parking impacts) * 100</t>
  </si>
  <si>
    <t>$A223 (Acquisition of Driving/Parking Event Recording Information)
[Prevention of Initialization] : No initialization conditions using eMMC stored data</t>
  </si>
  <si>
    <t>(Before B+ reset)
▪ 22 A2 23 Request</t>
  </si>
  <si>
    <t>▪B+ reset</t>
  </si>
  <si>
    <t>▪Reboot</t>
  </si>
  <si>
    <t>▪ 22 A223 Request for Reconsideration</t>
  </si>
  <si>
    <t>▪ Guest Mode Settings</t>
  </si>
  <si>
    <t>▪ CF_AVN_ProfileIDRValue = 0x1 output</t>
  </si>
  <si>
    <t>(Before BLTN_CAM_USMReset)
▪ 22 A2 23 Request</t>
  </si>
  <si>
    <t>▪ Profile 1 Mode Settings</t>
  </si>
  <si>
    <t>▪ CF_AVN_ProfileIDRValue = 0x2 output</t>
  </si>
  <si>
    <t>▪ Profile 2 Mode Settings</t>
  </si>
  <si>
    <t>▪ Output CF_AVN_ProfileIDRValue = 0x3</t>
  </si>
  <si>
    <t>(Before AVN_CluUSMReset)
▪ 22 A2 23 Request</t>
  </si>
  <si>
    <t>(Before factory reset)
▪ 22 A2 23 Request</t>
  </si>
  <si>
    <t>▪Comparison of data before and after factory reset</t>
  </si>
  <si>
    <t>▪ Data should be identical before and after factory reset</t>
  </si>
  <si>
    <t>(Before diagnostic reset)
▪ 22 A2 23 Request</t>
  </si>
  <si>
    <t>▪Comparison of data before and after diagnostic reset</t>
  </si>
  <si>
    <t>▪ Data must be identical before and after diagnostic reset</t>
  </si>
  <si>
    <t>step</t>
  </si>
  <si>
    <t>검증항목</t>
  </si>
  <si>
    <t>기대값</t>
  </si>
  <si>
    <t>[BLTN_CAM-OTA-001] ~ [BLTN_CAM-OTA-041]</t>
  </si>
  <si>
    <t>[OTA 업데이트 시나리오]</t>
  </si>
  <si>
    <t>1001</t>
  </si>
  <si>
    <r>
      <rPr>
        <b/>
        <sz val="11"/>
        <color theme="1"/>
        <rFont val="Calibri"/>
        <family val="2"/>
      </rPr>
      <t xml:space="preserve">[OTA 업데이트 시나리오] SAVE_POINT0(FIRST_STAGE)
</t>
    </r>
    <r>
      <rPr>
        <sz val="11"/>
        <color theme="1"/>
        <rFont val="Calibri Light"/>
        <family val="2"/>
      </rPr>
      <t xml:space="preserve"> : OTA Download(ccNC가 서버로 부터 패키지 다운로드)</t>
    </r>
  </si>
  <si>
    <t>SAVE_POINT0(FIRST_STAGE) 저장</t>
  </si>
  <si>
    <t>▪ UpdateInformation(Status = INIT) 수신
 ▪ LastStage = SAVE_POINT0(FIRST_STAGE) 저장</t>
  </si>
  <si>
    <t>▪ LastStage = SAVE_POINT0(FIRST_STAGE) 저장</t>
  </si>
  <si>
    <t>InitUpdateStage(Unit Name, Part No, SWID, Current Version, Last Version) 송신</t>
  </si>
  <si>
    <t>▪ InitUpdateStage(Unit name, PartNo, SWID, 현재버전, 최신버전) 송신</t>
  </si>
  <si>
    <t>▪ Unit name, Part No, SWID, Current Version, Last Version 일치</t>
  </si>
  <si>
    <t>SAVE_POINT1(TRANS_STAGE) 저장</t>
  </si>
  <si>
    <t>▪ CHK_UPDATE_REQUIRED 수신 
 ▪ StartUpdate(Unit name, PartNo) 송신
 ▪ DM_DOWNLOAD_ACTIVATE 수신
 ▪ ccNC가 SUMS 서버로 부터 업데이트 패키지 파일 다운받음
 ▪ DM_DOWNLOAD_FINISHED 수신
 ▪ LastStage = SAVE_POINT1(TRANS_STAGE) 저장</t>
  </si>
  <si>
    <t>▪ LastStage = SAVE_POINT1(TRANS_STAGE) 저장</t>
  </si>
  <si>
    <r>
      <rPr>
        <b/>
        <sz val="11"/>
        <color theme="1"/>
        <rFont val="Calibri"/>
        <family val="2"/>
      </rPr>
      <t xml:space="preserve">[OTA 업데이트 시나리오] SAVE_POINT1(TRANS_STAGE)
</t>
    </r>
    <r>
      <rPr>
        <sz val="11"/>
        <color theme="1"/>
        <rFont val="Calibri Light"/>
        <family val="2"/>
      </rPr>
      <t xml:space="preserve"> : Background Download(ccNC가 빌트인캠에 패키지 파일 전송)</t>
    </r>
  </si>
  <si>
    <t>패키지 전송시작(ccNC → BLTN_CAM_)</t>
  </si>
  <si>
    <t>▪ PKG_TRANS_ACTIVATE 수신
 ▪ Background Download 진행됨
  : (로그) sftp ~~ .zip 이 기록되며 20초가량 소요됨</t>
  </si>
  <si>
    <t>▪ Background Download 진행</t>
  </si>
  <si>
    <t>패키지 전송 진행 중</t>
  </si>
  <si>
    <t>▪ 다운받는 중 상태 로그 확인</t>
  </si>
  <si>
    <t>▪ 다운로드 진행 중
 : (로그)  ===== Trans =====</t>
  </si>
  <si>
    <t>TRANS_FINISHED 송신</t>
  </si>
  <si>
    <t>▪ TRANS_FINISHED 송신</t>
  </si>
  <si>
    <t>▪ 완료 후 TRANS_FINISHED 송신</t>
  </si>
  <si>
    <t>SAVE_POINT2(FUSING_STAGE) 저장</t>
  </si>
  <si>
    <t>▪ PKG_TRANS_FINISHED 수신
 ▪ LastStage = SAVE_POINT2(FUSING_STAGE) 저장</t>
  </si>
  <si>
    <t>▪ LastStage = SAVE_POINT2(FUSING_STAGE) 저장</t>
  </si>
  <si>
    <r>
      <rPr>
        <b/>
        <sz val="11"/>
        <color theme="1"/>
        <rFont val="Calibri"/>
        <family val="2"/>
      </rPr>
      <t xml:space="preserve">[OTA 업데이트 시나리오] SAVE_POINT2(FUSING_STAGE)
</t>
    </r>
    <r>
      <rPr>
        <sz val="11"/>
        <color theme="1"/>
        <rFont val="Calibri Light"/>
        <family val="2"/>
      </rPr>
      <t xml:space="preserve"> : Background Update(비활성 CPU 영역에 Write)</t>
    </r>
  </si>
  <si>
    <t>패키지 무결성 확인</t>
  </si>
  <si>
    <t>▪ .zip 무결성 확인 후 PKG_VERIFY(진행률 0%) 송신&lt;period = 1s&gt;</t>
  </si>
  <si>
    <t>패키지 압축해제</t>
  </si>
  <si>
    <t>▪ PKG_EXTRACT(진행률 n%) 송신&lt;period = 1s&gt;</t>
  </si>
  <si>
    <t>Background Update 진행</t>
  </si>
  <si>
    <t>▪ IMG_FUSING (진행률 n%) 송신
 ▪ Background Update 진행됨(CPU Write)
 ▪ IMG_FUSING (진행률 100%) 송신
 ▪ FG_IMG_FUSING (진행률 0%) 송신 (FG Update Ready)</t>
  </si>
  <si>
    <t>Background Update 진행 중 전류소모 변화 확인</t>
  </si>
  <si>
    <t>▪ BG 업데이트 중 전류 소모 변화 확인</t>
  </si>
  <si>
    <t>▪ Background Update 에 의한 소모전류 변화 없음</t>
  </si>
  <si>
    <t>SAVE_POINT3(SWAP_STAGE) 저장</t>
  </si>
  <si>
    <t>▪ LastStage = SAVE_POINT3(SWAP_STAGE) 저장</t>
  </si>
  <si>
    <t>▪ LastStage = SAVE_POINT3(SWAP_STAGE) 저장
 ▪ 소요시간 약 80초</t>
  </si>
  <si>
    <t>업데이트 완료시간 확인</t>
  </si>
  <si>
    <t>▪ TRANS_STAGE + FUSING_STAGE 완료시간 확인</t>
  </si>
  <si>
    <t>▪ 약 80초 소요</t>
  </si>
  <si>
    <r>
      <rPr>
        <b/>
        <sz val="11"/>
        <color theme="1"/>
        <rFont val="Calibri"/>
        <family val="2"/>
      </rPr>
      <t xml:space="preserve">[OTA 업데이트 시나리오] SAVE_POINT3(SWAP_STAGE)
</t>
    </r>
    <r>
      <rPr>
        <sz val="10"/>
        <color theme="1"/>
        <rFont val="Calibri Light"/>
        <family val="2"/>
      </rPr>
      <t xml:space="preserve"> : 부팅영역 swap (빌트인캠은 IPS, MCU 업데이트를 위해 유일하게 Foregorund Update를 하는 제이기이므로 FG Update 후 swap 진행함)</t>
    </r>
  </si>
  <si>
    <t>Foreground Update 진행(ISP 업데이트)</t>
  </si>
  <si>
    <t>▪ KEY OFF(ACC&amp;IGN OFF)
 ▪ ccNC 화면의 팝업 [지금설치] 선택
 ▪ NEW_VERSION_ACTIVATE 수신
 ▪ FG_IMG_FUSING(진행률 n%) 송신 &lt;period = 1s&gt;
 ▪ Foreground Update 진행됨(ISP 업데이트)</t>
  </si>
  <si>
    <t>▪ FG_IMG_FUSING(진행률 n%) 송신 &lt;period = 1s&gt;
 ▪ Foreground Update 진행됨(ISP 업데이트)</t>
  </si>
  <si>
    <t>Foreground Update 진행 중 전류소모 변화 확인</t>
  </si>
  <si>
    <t>▪ FG 업데이트 중 전류 소모 변화 확인</t>
  </si>
  <si>
    <t>▪ Foreground Update 에 의한 소모전류 변화 없음</t>
  </si>
  <si>
    <t>Foreground Update 진행(MCU 업데이트)</t>
  </si>
  <si>
    <t>▪ Foreground Update 진행됨(MCU 업데이트)
 ▪ FG_IMG_FUSING(진행률 100%) 송신</t>
  </si>
  <si>
    <t>재부팅 후 업데이트 완료</t>
  </si>
  <si>
    <t>▪ (로그) SWAP_NEXT_CPU -&gt; SWAP_NEXT_REBOOT -&gt; FUSING DONE -&gt; REBOOT 기록 후 재부팅
 ▪ (로그) 재부팅 이후 ===UPDATE FINISHED=== 기록됨</t>
  </si>
  <si>
    <t>▪ (로그) FUSING DONE 기록되고 REBOOT 기록 후 재부팅
 ▪ (로그) UPDATE FINISHED 기록됨</t>
  </si>
  <si>
    <t>[OTA 업데이트 시나리오] 업데이트 완료 확인</t>
  </si>
  <si>
    <t>업데이트 완료 확인</t>
  </si>
  <si>
    <t>▪ KEY ON(ACC&amp;IGN ON)
 ▪ ccNC 부팅 완료 후 잠시 대기 → 업데이트 완료 팝업 발생
 ▪ 빌트인캠 정상동작 여부 확인, 버전정보 확인, 파트넘버 확인</t>
  </si>
  <si>
    <t>▪ ccNC 부팅 완료 후 잠시 대기 → 업데이트 완료 팝업 발생
 ▪ 빌트인캠 정상동작 여부 확인, 버전정보 확인, 파트넘버 확인</t>
  </si>
  <si>
    <t>▪ SAVE_POINT3(SWAP_STAGE) 소요시간 확인</t>
  </si>
  <si>
    <t>[OTA 업데이트 시나리오] 업데이트 완료 후  고장코드 확인</t>
  </si>
  <si>
    <t>업데이트 완료 후 고장코드 확인</t>
  </si>
  <si>
    <t>▪ 고장코드 발생여부 확인</t>
  </si>
  <si>
    <t>▪ 고장코드 없음(과거, 현재)</t>
  </si>
  <si>
    <t>[OTA 업데이트 시나리오] - 기타</t>
  </si>
  <si>
    <r>
      <rPr>
        <b/>
        <sz val="11"/>
        <color theme="1"/>
        <rFont val="Calibri"/>
        <family val="2"/>
      </rPr>
      <t xml:space="preserve">[OTA 사용조건 시나리오]
</t>
    </r>
    <r>
      <rPr>
        <sz val="11"/>
        <color theme="1"/>
        <rFont val="Calibri Light"/>
        <family val="2"/>
      </rPr>
      <t xml:space="preserve"> : Foreground Update 시작 즉시 KEY ON</t>
    </r>
  </si>
  <si>
    <t>Foreground Update 시작 즉시 KEY ON</t>
  </si>
  <si>
    <t>▪ Background Update 완료까지 진행
 ▪ KEY OFF(ACC&amp;IGN OFF)
 ▪ ccNC 화면의 팝업 [지금설치] 선택
 ▪ 즉시 KEY ON(ACC&amp;IGN ON)</t>
  </si>
  <si>
    <t>▪ Foreground Update 계속 진행 및 완료 됨
 ▪ ccNC 화면에서 프로그래스바 진행됨(진행률 % 매칭됨)</t>
  </si>
  <si>
    <t>1008</t>
  </si>
  <si>
    <t>[훼손된 롬파일로 업데이트]</t>
  </si>
  <si>
    <t>전자서명 영역이 훼손된 롬파일로 업데이트 시도</t>
  </si>
  <si>
    <t>▪ 전자서명 영역이 훼손된 롬파일로 업데이트 시도
 ▪ FIRST STAGE → TRANS STAGE → FUSING STAGE 까지 진행여부 확인</t>
  </si>
  <si>
    <t>▪  FUSING 진행 중 Fail
  (로그) Fail 기록</t>
  </si>
  <si>
    <t>데이터 영역이 훼손된 롬파일로 업데이트 시도</t>
  </si>
  <si>
    <t>[OTA 악의조건 시나리오] 진행 중 BLTN_CAM 탈거</t>
  </si>
  <si>
    <t>Background Download 중 제어기 탈거 후 재장착</t>
  </si>
  <si>
    <t>▪ TRANS STAGE 시작까지 대기
 ▪ PKG_TRANS_ACTIVATE 수신 후 10초 뒤 제어기 탈거
 ▪ 10초가량 대기 후 재장착</t>
  </si>
  <si>
    <t>▪ 해당 STAGE 부터 이어서 진행 후 업데이트 완료
 (로그) ===UPDATE FINISHED=== 기록</t>
  </si>
  <si>
    <t>Background Update 중 제어기 탈거 후 재장착</t>
  </si>
  <si>
    <t>▪ FUSING STAGE 시작까지 대기
 ▪ IMG_FUSING 송신 중 약 50% 일 때 제어기 탈거
 ▪ 10초가량 대기 후 재장착</t>
  </si>
  <si>
    <t>Foreground Update 중 제어기 탈거 후 재장착</t>
  </si>
  <si>
    <t>▪ SWAP STAGE 시작까지 대기
 ▪ FG_IMG_FUSING 송신 중 약 50% 일 때 제어기 탈거
 ▪ 10초가량 대기 후 재장착</t>
  </si>
  <si>
    <t>[OTA 악의조건 시나리오] 진행 중 BLTN_CAM 탈거(Time out)</t>
  </si>
  <si>
    <t>Background Download 중 제어기 탈거, 1분 타임아웃 이후 재장착</t>
  </si>
  <si>
    <t>▪ TRANS STAGE 시작까지 대기
 ▪ PKG_TRANS_ACTIVATE 수신 후 10초 뒤 제어기 탈거
 ▪ 70초가량 대기 후 재장착</t>
  </si>
  <si>
    <t>▪ B+ 리셋 시 업데이트 다시 진행됨</t>
  </si>
  <si>
    <t>Background Update 중 제어기 탈거, 1분 타임아웃 이후 재장착</t>
  </si>
  <si>
    <t>▪ FUSING STAGE 시작까지 대기
 ▪ IMG_FUSING 송신 중 약 50% 일 때 제어기 탈거
 ▪ 70초가량 대기 후 재장착</t>
  </si>
  <si>
    <t>Foreground Update 중 제어기 탈거, 1분 타임아웃 이후 재장착</t>
  </si>
  <si>
    <t>▪ SWAP STAGE 시작까지 대기
 ▪ FG_IMG_FUSING 송신 중 약 50% 일 때 제어기 탈거
 ▪ 70초가량 대기 후 재장착</t>
  </si>
  <si>
    <t>▪ 업데이트 취소됨
 (로그) ===UPDATE CANCEL=== 기록
 ▪ KEY ON 후 다시 처음부터 시작 함</t>
  </si>
  <si>
    <t>[OTA 악의조건 시나리오] 진행 중 ccNC 탈거</t>
  </si>
  <si>
    <t>▪ 업데이트 취소됨
 (로그) ===UPDATE CANCEL=== 기록</t>
  </si>
  <si>
    <t>[OTA 악의조건 시나리오] 진행 중 BLTN_CAM &amp; ccNC 탈거</t>
  </si>
  <si>
    <t>▪ 업데이트 다시 진행됨</t>
  </si>
  <si>
    <t>Background Update 완료 후 제어기 탈거 후 재장착</t>
  </si>
  <si>
    <t>▪ Backgorund Update 완료까지 진행
 ▪ 10초가량 대기 후 재장착</t>
  </si>
  <si>
    <t>▪ SWAP STAGE 시작까지 대기
 ▪ FG_IMG_FUSING 송신 중 약 50% 일 때 제어기 탈거
 ▪ 10초가량 대기 후 재장착
 ▪ 재개 안하면 ccNC로부터 INIT 받을 수 있도록 KEY ON</t>
  </si>
  <si>
    <t>▪ 해당 STAGE 부터 이어서 진행 후 업데이트 완료
 (로그) ===UPDATE FINISHED=== 기록
 ▪ KEY ON 했을 경우에는 ccNC에서 프로그래스바 진행됨</t>
  </si>
  <si>
    <t>[녹화기능 영향성]</t>
  </si>
  <si>
    <t>주행녹화 중 Background Update 시 영향성</t>
  </si>
  <si>
    <t>▪ 주행상시 녹화 정상적으로 진행 되는지 확인
 (녹화상태 유지여부, 프레임 누락여부 등)</t>
  </si>
  <si>
    <t>▪ 주행상시 녹화상태 유지됨
 ▪ 저장된 영상 프레임 누락 없음(프레임 확인용 동영상 촬영하여 확인)</t>
  </si>
  <si>
    <t>주차녹화 중 Foreground Update 시 영향성</t>
  </si>
  <si>
    <t>▪ 주차녹화 시작 후 업데이트 확인 팝업에서 [지금설치] 선택
 ▪ 주차상시 녹화 정상적으로 진행되는지 확인
 (녹화상태 유지여부, 프레임 누락여부 등)</t>
  </si>
  <si>
    <t>▪ 주차상시 녹화상태 유지됨
 ▪ 저장된 영상 프레임 누락 없음(프레임 확인용 동영상 촬영하여 확인)</t>
  </si>
  <si>
    <t>Foreground Update 완료 후 주차녹화 영향성</t>
  </si>
  <si>
    <t>▪ 주차녹화 시작 후 업데이트 확인 팝업에서 [지금설치] 선택
 ▪ Foreground Update 진행 시 녹화 중지되는지 확인
 ▪ 완료 후 주차상시 녹화 재개여부 확인</t>
  </si>
  <si>
    <t>▪ 주차상시 녹화상태 중지 되었다가 업데이트 완료 후 재개 함
 ▪ 저장된 영상 프레임 누락 없음(프레임 확인용 동영상 촬영하여 확인)</t>
  </si>
  <si>
    <t>▪ 업데이트 완료 및 주차상시 재개된 후 통신 Sleep 진입 여부 확인</t>
  </si>
  <si>
    <t>▪ 외부 신호 미수신 시 통신 Sleep 진입 됨</t>
  </si>
  <si>
    <t>▪ Sleep 진입 후 보조배터리 전원으로 전환여부 확인
 ▪ 암전류 확인</t>
  </si>
  <si>
    <t>▪ 보조배터리 전원으로 주차녹화 수행
 ▪ 암전류 2mA 미만</t>
  </si>
  <si>
    <t>Foreground Update 완료 후 통신 Sleep 진입여부 확인(주차녹화 설정 OFF)</t>
  </si>
  <si>
    <t>▪ 주차녹화 설정 OFF 상태로 OTA업데이트 진행
 ▪ 업데이트 완료 후 통신 Sleep 진입여부 확인</t>
  </si>
  <si>
    <t>[USB 업데이트 시나리오]</t>
  </si>
  <si>
    <t>[USB 업데이트 시나리오] SAVE_POINT1(TRANS_STAGE)
 : Background Download)
&lt;ccNC 엔지니어 모드에서 빌트인캠 업데이트 진행&gt;</t>
  </si>
  <si>
    <t>패키지 전송시작(ccNC → BLTN_CAM)</t>
  </si>
  <si>
    <t>[USB 업데이트 시나리오] SAVE_POINT2(FUSING_STAGE)
 : Background Update</t>
  </si>
  <si>
    <t>[USB 업데이트 시나리오] SAVE_POINT3(SWAP_STAGE)
 : 부팅영역 swap</t>
  </si>
  <si>
    <t>▪ NEW_VERSION_ACTIVATE 수신
 ▪ FG_IMG_FUSING(진행률 n%) 송신 &lt;period = 1s&gt;
 ▪ Foreground Update 진행됨(ISP 업데이트)</t>
  </si>
  <si>
    <t>Foreground Update 진행(MCU 업데이트): 1분정도 소요</t>
  </si>
  <si>
    <t>[USB 업데이트 시나리오] 업데이트 완료 확인</t>
  </si>
  <si>
    <t>▪ ccNC 부팅 완료 후 잠시 대기 → 업데이트 완료 팝업 발생
 ▪ 빌트인캠 정상동작 여부 확인, 버전정보 확인</t>
  </si>
  <si>
    <t>[USB 업데이트 시나리오] 업데이트 완료 후  고장코드 확인</t>
  </si>
  <si>
    <t>[USB 업데이트 시나리오] - 롤백시나리오</t>
  </si>
  <si>
    <t>ccNC Fail ROM &amp; 빌트인캠 정상 ROM 으로 업데이트 진행(롤백유도)</t>
  </si>
  <si>
    <t>▪ ccNC Fail ROM &amp; 빌트인캠 정상 ROM이 포함된 USB 삽입(ccNC USB)
 ▪ 업데이트 진행
 ▪ ADB 로그 확인</t>
  </si>
  <si>
    <t>▪ 빌트인캠 업데이트 완료됨
 ▪ 롤백 명령 수신 후 빌트인캠 롤백시나리오 동작(ADB 로그로 확인)</t>
  </si>
  <si>
    <t>재부팅 후 롤백 완료</t>
  </si>
  <si>
    <t>▪ 롤백시나리오 완료 마지막 단계 재부팅여부 확인</t>
  </si>
  <si>
    <t>▪ 롤백 시나리오 정상완료 확인(ADB 로그로 확인)</t>
  </si>
  <si>
    <t>CPU, MCU, ISP 버전 롤백여부 확인(LOG)</t>
  </si>
  <si>
    <t>▪ ADB 로 버전 확인</t>
  </si>
  <si>
    <t>▪ CPU, SWAP, MCU, ISP 버전 롤백 확인</t>
  </si>
  <si>
    <t>롤백 완료 후 녹화재개 확인</t>
  </si>
  <si>
    <t>▪ 완료 후 주행녹화 진행여부 확인</t>
  </si>
  <si>
    <t>▪ 이전버전으로 환원 후 주행녹화 진행</t>
  </si>
  <si>
    <t>[USB 업데이트 시나리오] 롤백 완료 후  고장코드 확인</t>
  </si>
  <si>
    <t>롤백 완료 후 고장코드 확인</t>
  </si>
  <si>
    <t>[USB 악의조건 시나리오] 진행 중 BLTN_CAM 탈거</t>
  </si>
  <si>
    <r>
      <rPr>
        <b/>
        <sz val="11"/>
        <color theme="1"/>
        <rFont val="Calibri"/>
        <family val="2"/>
      </rPr>
      <t xml:space="preserve">[USB 악의조건 시나리오] 진행 중 BLTN_CAM 탈거
</t>
    </r>
    <r>
      <rPr>
        <sz val="11"/>
        <color theme="1"/>
        <rFont val="Calibri"/>
        <family val="2"/>
      </rPr>
      <t xml:space="preserve"> : 제어기 재장착 시 업데이트 완료 or 취소 여부 확인</t>
    </r>
  </si>
  <si>
    <t>[USB 악의조건 시나리오] 진행 중 BLTN_CAM 탈거(Time out)</t>
  </si>
  <si>
    <r>
      <rPr>
        <b/>
        <sz val="11"/>
        <color theme="1"/>
        <rFont val="Calibri"/>
        <family val="2"/>
      </rPr>
      <t>[USB 악의조건 시나리오] 진행 중 BLTN_CAM 탈거(Time out)</t>
    </r>
    <r>
      <rPr>
        <sz val="11"/>
        <color theme="1"/>
        <rFont val="Calibri"/>
        <family val="2"/>
      </rPr>
      <t xml:space="preserve">
 : 제어기 재장착 시 업데이트 완료 or 취소 여부 확인</t>
    </r>
  </si>
  <si>
    <t>▪ ccNC 업데이트 실패화면 나옴
 ▪ B+ 리셋 시 업데이트 다시 진행됨</t>
  </si>
  <si>
    <t>[USB 악의조건 시나리오] 진행 중 ccNC 탈거</t>
  </si>
  <si>
    <r>
      <rPr>
        <b/>
        <sz val="11"/>
        <color theme="1"/>
        <rFont val="Calibri"/>
        <family val="2"/>
      </rPr>
      <t xml:space="preserve">[USB 악의조건 시나리오] 진행 중 ccNC 탈거
</t>
    </r>
    <r>
      <rPr>
        <sz val="11"/>
        <color theme="1"/>
        <rFont val="Calibri"/>
        <family val="2"/>
      </rPr>
      <t xml:space="preserve"> : 제어기 재장착 시 업데이트 완료 or 취소 여부 확인</t>
    </r>
  </si>
  <si>
    <t>[USB 악의조건 시나리오] 진행 중 BLTN_CAM &amp; ccNC 탈거</t>
  </si>
  <si>
    <r>
      <rPr>
        <b/>
        <sz val="11"/>
        <color theme="1"/>
        <rFont val="Calibri"/>
        <family val="2"/>
      </rPr>
      <t xml:space="preserve">[USB 악의조건 시나리오] 진행 중 BLTN_CAM &amp; ccNC 탈거
</t>
    </r>
    <r>
      <rPr>
        <sz val="11"/>
        <color theme="1"/>
        <rFont val="Calibri"/>
        <family val="2"/>
      </rPr>
      <t xml:space="preserve"> : 제어기 재장착 시 업데이트 완료 or 취소 여부 확인</t>
    </r>
  </si>
  <si>
    <t>[ERT 업데이트]</t>
  </si>
  <si>
    <t>Diagnostic Session Control (20)</t>
  </si>
  <si>
    <t>▪  [795] 31 01 FF 00 F1 B1</t>
  </si>
  <si>
    <t>▪ Data Format ID 
 : [795] 34 00 44 00 00  ~ 00 00 60 CF 80</t>
  </si>
  <si>
    <t>▪ Request Seed
 : [795] 37</t>
  </si>
  <si>
    <r>
      <rPr>
        <sz val="11"/>
        <color theme="1"/>
        <rFont val="Calibri"/>
        <family val="2"/>
      </rPr>
      <t>▪ [79D] 05 D9 7F 31 78 (60초간)
▪</t>
    </r>
    <r>
      <rPr>
        <sz val="11"/>
        <color theme="1"/>
        <rFont val="Calibri"/>
        <family val="2"/>
      </rPr>
      <t xml:space="preserve"> </t>
    </r>
    <r>
      <rPr>
        <sz val="11"/>
        <color theme="1"/>
        <rFont val="Calibri"/>
        <family val="2"/>
      </rPr>
      <t>[79D] 05 D9 97 71 01 FF 01 00 F1 B1</t>
    </r>
  </si>
  <si>
    <t>▪ ECU Reset
 : [795] 11 01</t>
  </si>
  <si>
    <t>[ERT 업데이트 실패 시나리오]</t>
  </si>
  <si>
    <t>Transfer Data 중 실패 시</t>
  </si>
  <si>
    <t>▪ 주행녹화 중
▪ H-OTA 스튜디오에서 ERT 시나리오 진행
▪ Transfer Data 중 중단</t>
  </si>
  <si>
    <t>▪ 현재버전 유지
 : 버전 유지, 주행녹화 이어서 진행</t>
  </si>
  <si>
    <t>Evidence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</si>
</sst>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5" formatCode="mm&quot;월&quot;\ dd&quot;일&quot;"/>
  </numFmts>
  <fonts count="40">
    <font>
      <sz val="11"/>
      <color theme="1"/>
      <name val="Calibri"/>
      <scheme val="minor"/>
    </font>
    <font>
      <sz val="11"/>
      <name val="Calibri"/>
      <family val="2"/>
    </font>
    <font>
      <sz val="10"/>
      <color rgb="FF000000"/>
      <name val="Malgun Gothic"/>
    </font>
    <font>
      <sz val="11"/>
      <color rgb="FF000000"/>
      <name val="Malgun Gothic"/>
    </font>
    <font>
      <sz val="11"/>
      <color theme="1"/>
      <name val="Malgun Gothic"/>
    </font>
    <font>
      <sz val="11"/>
      <color theme="1"/>
      <name val="Calibri"/>
      <family val="2"/>
      <scheme val="minor"/>
    </font>
    <font>
      <sz val="11"/>
      <color theme="1"/>
      <name val="Calibri"/>
      <family val="2"/>
    </font>
    <font>
      <b/>
      <sz val="11"/>
      <color theme="1"/>
      <name val="Calibri"/>
      <family val="2"/>
    </font>
    <font>
      <sz val="12"/>
      <color theme="1"/>
      <name val="Calibri"/>
      <family val="2"/>
    </font>
    <font>
      <b/>
      <sz val="14"/>
      <color theme="1"/>
      <name val="Calibri"/>
      <family val="2"/>
    </font>
    <font>
      <sz val="11"/>
      <color rgb="FF000000"/>
      <name val="Calibri"/>
      <family val="2"/>
    </font>
    <font>
      <strike/>
      <sz val="11"/>
      <color rgb="FF000000"/>
      <name val="Calibri"/>
      <family val="2"/>
    </font>
    <font>
      <sz val="11"/>
      <color rgb="FF808080"/>
      <name val="Calibri"/>
      <family val="2"/>
    </font>
    <font>
      <strike/>
      <sz val="11"/>
      <color theme="1"/>
      <name val="Calibri"/>
      <family val="2"/>
    </font>
    <font>
      <b/>
      <sz val="11"/>
      <color rgb="FF000000"/>
      <name val="Calibri"/>
      <family val="2"/>
    </font>
    <font>
      <sz val="10"/>
      <color rgb="FF000000"/>
      <name val="Calibri"/>
      <family val="2"/>
    </font>
    <font>
      <b/>
      <sz val="11"/>
      <color rgb="FF808080"/>
      <name val="Calibri"/>
      <family val="2"/>
    </font>
    <font>
      <sz val="10"/>
      <color theme="1"/>
      <name val="Calibri"/>
      <family val="2"/>
    </font>
    <font>
      <sz val="14"/>
      <color rgb="FF000000"/>
      <name val="Calibri"/>
      <family val="2"/>
    </font>
    <font>
      <sz val="14"/>
      <color theme="1"/>
      <name val="Calibri"/>
      <family val="2"/>
    </font>
    <font>
      <sz val="14"/>
      <color rgb="FF808080"/>
      <name val="Calibri"/>
      <family val="2"/>
    </font>
    <font>
      <b/>
      <sz val="10"/>
      <color rgb="FF000000"/>
      <name val="Calibri"/>
      <family val="2"/>
    </font>
    <font>
      <i/>
      <sz val="11"/>
      <color rgb="FF000000"/>
      <name val="Calibri"/>
      <family val="2"/>
    </font>
    <font>
      <i/>
      <sz val="11"/>
      <color rgb="FF808080"/>
      <name val="Calibri"/>
      <family val="2"/>
    </font>
    <font>
      <sz val="10"/>
      <color rgb="FF808080"/>
      <name val="Calibri"/>
      <family val="2"/>
    </font>
    <font>
      <b/>
      <sz val="10"/>
      <color theme="1"/>
      <name val="Calibri"/>
      <family val="2"/>
    </font>
    <font>
      <strike/>
      <sz val="11"/>
      <color rgb="FF808080"/>
      <name val="Calibri"/>
      <family val="2"/>
    </font>
    <font>
      <sz val="11"/>
      <color theme="1"/>
      <name val="Quattrocento Sans"/>
    </font>
    <font>
      <sz val="12"/>
      <color rgb="FF000000"/>
      <name val="Calibri"/>
      <family val="2"/>
    </font>
    <font>
      <sz val="11"/>
      <color rgb="FF0070C0"/>
      <name val="Calibri"/>
      <family val="2"/>
    </font>
    <font>
      <sz val="11"/>
      <color rgb="FF000000"/>
      <name val="Dotum"/>
    </font>
    <font>
      <b/>
      <sz val="11"/>
      <color rgb="FF0070C0"/>
      <name val="Calibri"/>
      <family val="2"/>
    </font>
    <font>
      <b/>
      <sz val="12"/>
      <color theme="1"/>
      <name val="Calibri"/>
      <family val="2"/>
    </font>
    <font>
      <b/>
      <sz val="9"/>
      <color rgb="FF000000"/>
      <name val="Calibri"/>
      <family val="2"/>
    </font>
    <font>
      <sz val="11"/>
      <color rgb="FF7F7F7F"/>
      <name val="Calibri"/>
      <family val="2"/>
    </font>
    <font>
      <b/>
      <sz val="11"/>
      <color rgb="FF7F7F7F"/>
      <name val="Calibri"/>
      <family val="2"/>
    </font>
    <font>
      <sz val="11"/>
      <color rgb="FF7F7F7F"/>
      <name val="Malgun Gothic"/>
    </font>
    <font>
      <sz val="9"/>
      <color theme="1"/>
      <name val="Calibri"/>
      <family val="2"/>
    </font>
    <font>
      <sz val="11"/>
      <color theme="1"/>
      <name val="Calibri Light"/>
      <family val="2"/>
    </font>
    <font>
      <sz val="10"/>
      <color theme="1"/>
      <name val="Calibri Light"/>
      <family val="2"/>
    </font>
  </fonts>
  <fills count="19">
    <fill>
      <patternFill patternType="none"/>
    </fill>
    <fill>
      <patternFill patternType="gray125"/>
    </fill>
    <fill>
      <patternFill patternType="solid">
        <fgColor rgb="FFD9E2F3"/>
        <bgColor rgb="FFD9E2F3"/>
      </patternFill>
    </fill>
    <fill>
      <patternFill patternType="solid">
        <fgColor theme="0"/>
        <bgColor theme="0"/>
      </patternFill>
    </fill>
    <fill>
      <patternFill patternType="solid">
        <fgColor rgb="FFFFFFFF"/>
        <bgColor rgb="FFFFFFFF"/>
      </patternFill>
    </fill>
    <fill>
      <patternFill patternType="solid">
        <fgColor rgb="FFF2F2F2"/>
        <bgColor rgb="FFF2F2F2"/>
      </patternFill>
    </fill>
    <fill>
      <patternFill patternType="solid">
        <fgColor rgb="FFFFFF00"/>
        <bgColor rgb="FFFFFF00"/>
      </patternFill>
    </fill>
    <fill>
      <patternFill patternType="solid">
        <fgColor rgb="FFD0CECE"/>
        <bgColor rgb="FFD0CECE"/>
      </patternFill>
    </fill>
    <fill>
      <patternFill patternType="solid">
        <fgColor rgb="FFDDEBF7"/>
        <bgColor rgb="FFDDEBF7"/>
      </patternFill>
    </fill>
    <fill>
      <patternFill patternType="solid">
        <fgColor rgb="FFECECEC"/>
        <bgColor rgb="FFECECEC"/>
      </patternFill>
    </fill>
    <fill>
      <patternFill patternType="solid">
        <fgColor rgb="FFEBEBEB"/>
        <bgColor rgb="FFEBEBEB"/>
      </patternFill>
    </fill>
    <fill>
      <patternFill patternType="solid">
        <fgColor rgb="FFC5E0B3"/>
        <bgColor rgb="FFC5E0B3"/>
      </patternFill>
    </fill>
    <fill>
      <patternFill patternType="solid">
        <fgColor rgb="FFB4C6E7"/>
        <bgColor rgb="FFB4C6E7"/>
      </patternFill>
    </fill>
    <fill>
      <patternFill patternType="solid">
        <fgColor rgb="FFE2EFD9"/>
        <bgColor rgb="FFE2EFD9"/>
      </patternFill>
    </fill>
    <fill>
      <patternFill patternType="solid">
        <fgColor rgb="FFD8D8D8"/>
        <bgColor rgb="FFD8D8D8"/>
      </patternFill>
    </fill>
    <fill>
      <patternFill patternType="solid">
        <fgColor rgb="FFBFBFBF"/>
        <bgColor rgb="FFBFBFBF"/>
      </patternFill>
    </fill>
    <fill>
      <patternFill patternType="solid">
        <fgColor rgb="FFEBEBEB"/>
        <bgColor indexed="64"/>
      </patternFill>
    </fill>
    <fill>
      <patternFill patternType="solid">
        <fgColor rgb="FFEBEBEB"/>
        <bgColor theme="0"/>
      </patternFill>
    </fill>
    <fill>
      <patternFill patternType="solid">
        <fgColor rgb="FFEBEBEB"/>
        <bgColor rgb="FFFFFF00"/>
      </patternFill>
    </fill>
  </fills>
  <borders count="28">
    <border>
      <left/>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right/>
      <top/>
      <bottom/>
      <diagonal/>
    </border>
    <border>
      <left/>
      <right style="thin">
        <color rgb="FF000000"/>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style="thin">
        <color rgb="FF000000"/>
      </left>
      <right/>
      <top/>
      <bottom style="thin">
        <color rgb="FF000000"/>
      </bottom>
      <diagonal/>
    </border>
    <border>
      <left style="thin">
        <color rgb="FF000000"/>
      </left>
      <right style="thin">
        <color rgb="FF000000"/>
      </right>
      <top/>
      <bottom/>
      <diagonal/>
    </border>
    <border>
      <left/>
      <right style="thin">
        <color rgb="FF000000"/>
      </right>
      <top style="thin">
        <color rgb="FF000000"/>
      </top>
      <bottom style="thin">
        <color rgb="FF000000"/>
      </bottom>
      <diagonal/>
    </border>
    <border>
      <left/>
      <right style="thin">
        <color rgb="FF000000"/>
      </right>
      <top/>
      <bottom/>
      <diagonal/>
    </border>
    <border>
      <left/>
      <right style="thin">
        <color rgb="FF000000"/>
      </right>
      <top style="thin">
        <color rgb="FF000000"/>
      </top>
      <bottom/>
      <diagonal/>
    </border>
    <border>
      <left style="thin">
        <color rgb="FF000000"/>
      </left>
      <right style="thin">
        <color rgb="FF000000"/>
      </right>
      <top style="thin">
        <color rgb="FF000000"/>
      </top>
      <bottom style="hair">
        <color rgb="FF000000"/>
      </bottom>
      <diagonal/>
    </border>
    <border>
      <left/>
      <right style="thin">
        <color rgb="FF000000"/>
      </right>
      <top style="thin">
        <color rgb="FF000000"/>
      </top>
      <bottom/>
      <diagonal/>
    </border>
  </borders>
  <cellStyleXfs count="1">
    <xf numFmtId="0" fontId="0" fillId="0" borderId="0"/>
  </cellStyleXfs>
  <cellXfs count="447">
    <xf numFmtId="0" fontId="0" fillId="0" borderId="0" xfId="0" applyFont="1" applyAlignment="1">
      <alignment vertical="center"/>
    </xf>
    <xf numFmtId="0" fontId="2" fillId="3" borderId="3" xfId="0" applyFont="1" applyFill="1" applyBorder="1" applyAlignment="1">
      <alignment horizontal="left" vertical="top" wrapText="1"/>
    </xf>
    <xf numFmtId="0" fontId="4" fillId="0" borderId="3" xfId="0" applyFont="1" applyBorder="1" applyAlignment="1">
      <alignment vertical="top" wrapText="1"/>
    </xf>
    <xf numFmtId="0" fontId="5" fillId="0" borderId="0" xfId="0" applyFont="1" applyAlignment="1">
      <alignment vertical="top" wrapText="1"/>
    </xf>
    <xf numFmtId="0" fontId="6" fillId="0" borderId="0" xfId="0" applyFont="1" applyAlignment="1">
      <alignment vertical="top" wrapText="1"/>
    </xf>
    <xf numFmtId="0" fontId="6" fillId="0" borderId="0" xfId="0" applyFont="1" applyAlignment="1">
      <alignment vertical="center"/>
    </xf>
    <xf numFmtId="0" fontId="6" fillId="0" borderId="3" xfId="0" applyFont="1" applyBorder="1" applyAlignment="1">
      <alignment horizontal="center" vertical="top" wrapText="1"/>
    </xf>
    <xf numFmtId="0" fontId="5" fillId="0" borderId="0" xfId="0" applyFont="1" applyAlignment="1">
      <alignment vertical="top" wrapText="1"/>
    </xf>
    <xf numFmtId="0" fontId="6" fillId="0" borderId="0" xfId="0" applyFont="1" applyAlignment="1">
      <alignment horizontal="center" vertical="top" wrapText="1"/>
    </xf>
    <xf numFmtId="0" fontId="6" fillId="0" borderId="0" xfId="0" applyFont="1" applyAlignment="1">
      <alignment horizontal="left" vertical="top" wrapText="1"/>
    </xf>
    <xf numFmtId="0" fontId="5" fillId="0" borderId="0" xfId="0" applyFont="1" applyAlignment="1">
      <alignment vertical="top" wrapText="1"/>
    </xf>
    <xf numFmtId="0" fontId="6" fillId="0" borderId="0" xfId="0" applyFont="1" applyAlignment="1">
      <alignment horizontal="center" vertical="top" wrapText="1"/>
    </xf>
    <xf numFmtId="0" fontId="7" fillId="0" borderId="3" xfId="0" applyFont="1" applyBorder="1" applyAlignment="1">
      <alignment horizontal="center" vertical="top" wrapText="1"/>
    </xf>
    <xf numFmtId="0" fontId="7" fillId="0" borderId="0" xfId="0" applyFont="1" applyAlignment="1">
      <alignment vertical="top" wrapText="1"/>
    </xf>
    <xf numFmtId="0" fontId="7" fillId="0" borderId="0" xfId="0" applyFont="1" applyAlignment="1">
      <alignment vertical="center"/>
    </xf>
    <xf numFmtId="0" fontId="9" fillId="8" borderId="3" xfId="0" applyFont="1" applyFill="1" applyBorder="1" applyAlignment="1">
      <alignment horizontal="left" vertical="top" wrapText="1"/>
    </xf>
    <xf numFmtId="0" fontId="6" fillId="8" borderId="3" xfId="0" applyFont="1" applyFill="1" applyBorder="1" applyAlignment="1">
      <alignment horizontal="center" vertical="top" wrapText="1"/>
    </xf>
    <xf numFmtId="0" fontId="9" fillId="8" borderId="3" xfId="0" applyFont="1" applyFill="1" applyBorder="1" applyAlignment="1">
      <alignment horizontal="left" vertical="top" wrapText="1"/>
    </xf>
    <xf numFmtId="0" fontId="6" fillId="8" borderId="3" xfId="0" applyFont="1" applyFill="1" applyBorder="1" applyAlignment="1">
      <alignment vertical="top" wrapText="1"/>
    </xf>
    <xf numFmtId="0" fontId="9" fillId="8" borderId="3" xfId="0" applyFont="1" applyFill="1" applyBorder="1" applyAlignment="1">
      <alignment horizontal="center" vertical="top" wrapText="1"/>
    </xf>
    <xf numFmtId="0" fontId="6" fillId="8" borderId="3" xfId="0" applyFont="1" applyFill="1" applyBorder="1" applyAlignment="1">
      <alignment horizontal="left" vertical="top" wrapText="1"/>
    </xf>
    <xf numFmtId="0" fontId="6" fillId="4" borderId="7" xfId="0" applyFont="1" applyFill="1" applyBorder="1" applyAlignment="1">
      <alignment horizontal="left" vertical="top" wrapText="1"/>
    </xf>
    <xf numFmtId="0" fontId="10" fillId="4" borderId="3" xfId="0" applyFont="1" applyFill="1" applyBorder="1" applyAlignment="1">
      <alignment horizontal="center" vertical="top" wrapText="1"/>
    </xf>
    <xf numFmtId="0" fontId="10" fillId="4" borderId="3" xfId="0" applyFont="1" applyFill="1" applyBorder="1" applyAlignment="1">
      <alignment horizontal="left" vertical="top" wrapText="1"/>
    </xf>
    <xf numFmtId="0" fontId="10" fillId="5" borderId="3" xfId="0" applyFont="1" applyFill="1" applyBorder="1" applyAlignment="1">
      <alignment horizontal="center" vertical="top" wrapText="1"/>
    </xf>
    <xf numFmtId="0" fontId="10" fillId="5" borderId="3" xfId="0" applyFont="1" applyFill="1" applyBorder="1" applyAlignment="1">
      <alignment horizontal="center" vertical="top" wrapText="1"/>
    </xf>
    <xf numFmtId="0" fontId="10" fillId="5" borderId="3" xfId="0" applyFont="1" applyFill="1" applyBorder="1" applyAlignment="1">
      <alignment horizontal="left" vertical="top" wrapText="1"/>
    </xf>
    <xf numFmtId="0" fontId="10" fillId="0" borderId="0" xfId="0" applyFont="1" applyAlignment="1">
      <alignment horizontal="left" vertical="top" wrapText="1"/>
    </xf>
    <xf numFmtId="0" fontId="8" fillId="5" borderId="3" xfId="0" applyFont="1" applyFill="1" applyBorder="1" applyAlignment="1">
      <alignment horizontal="center" vertical="top" wrapText="1"/>
    </xf>
    <xf numFmtId="0" fontId="6" fillId="9" borderId="3" xfId="0" applyFont="1" applyFill="1" applyBorder="1" applyAlignment="1">
      <alignment horizontal="center" vertical="top" wrapText="1"/>
    </xf>
    <xf numFmtId="0" fontId="11" fillId="0" borderId="0" xfId="0" applyFont="1" applyAlignment="1">
      <alignment vertical="center"/>
    </xf>
    <xf numFmtId="0" fontId="10" fillId="4" borderId="3" xfId="0" applyFont="1" applyFill="1" applyBorder="1" applyAlignment="1">
      <alignment horizontal="center" vertical="top" wrapText="1"/>
    </xf>
    <xf numFmtId="0" fontId="6" fillId="9" borderId="16" xfId="0" applyFont="1" applyFill="1" applyBorder="1" applyAlignment="1">
      <alignment horizontal="center" vertical="top" wrapText="1"/>
    </xf>
    <xf numFmtId="0" fontId="12" fillId="10" borderId="3" xfId="0" applyFont="1" applyFill="1" applyBorder="1" applyAlignment="1">
      <alignment horizontal="left" vertical="top" wrapText="1"/>
    </xf>
    <xf numFmtId="0" fontId="12" fillId="10" borderId="3" xfId="0" applyFont="1" applyFill="1" applyBorder="1" applyAlignment="1">
      <alignment horizontal="center" vertical="top" wrapText="1"/>
    </xf>
    <xf numFmtId="0" fontId="10" fillId="0" borderId="3" xfId="0" applyFont="1" applyBorder="1" applyAlignment="1">
      <alignment horizontal="left" vertical="top" wrapText="1"/>
    </xf>
    <xf numFmtId="0" fontId="12" fillId="10" borderId="7" xfId="0" applyFont="1" applyFill="1" applyBorder="1" applyAlignment="1">
      <alignment horizontal="left" vertical="top" wrapText="1"/>
    </xf>
    <xf numFmtId="0" fontId="10" fillId="4" borderId="7" xfId="0" applyFont="1" applyFill="1" applyBorder="1" applyAlignment="1">
      <alignment vertical="top" wrapText="1"/>
    </xf>
    <xf numFmtId="0" fontId="10" fillId="4" borderId="7" xfId="0" applyFont="1" applyFill="1" applyBorder="1" applyAlignment="1">
      <alignment horizontal="left" vertical="top" wrapText="1"/>
    </xf>
    <xf numFmtId="0" fontId="10" fillId="4" borderId="3" xfId="0" applyFont="1" applyFill="1" applyBorder="1" applyAlignment="1">
      <alignment vertical="top" wrapText="1"/>
    </xf>
    <xf numFmtId="0" fontId="6" fillId="11" borderId="3" xfId="0" applyFont="1" applyFill="1" applyBorder="1" applyAlignment="1">
      <alignment horizontal="center" vertical="top" wrapText="1"/>
    </xf>
    <xf numFmtId="0" fontId="6" fillId="4" borderId="3" xfId="0" applyFont="1" applyFill="1" applyBorder="1" applyAlignment="1">
      <alignment horizontal="center" vertical="top" wrapText="1"/>
    </xf>
    <xf numFmtId="0" fontId="12" fillId="10" borderId="7" xfId="0" applyFont="1" applyFill="1" applyBorder="1" applyAlignment="1">
      <alignment vertical="top" wrapText="1"/>
    </xf>
    <xf numFmtId="0" fontId="10" fillId="5" borderId="3" xfId="0" applyFont="1" applyFill="1" applyBorder="1" applyAlignment="1">
      <alignment vertical="top" wrapText="1"/>
    </xf>
    <xf numFmtId="0" fontId="6" fillId="0" borderId="7" xfId="0" applyFont="1" applyBorder="1" applyAlignment="1">
      <alignment horizontal="left" vertical="top" wrapText="1"/>
    </xf>
    <xf numFmtId="0" fontId="6" fillId="0" borderId="7" xfId="0" applyFont="1" applyBorder="1" applyAlignment="1">
      <alignment horizontal="center" vertical="top" wrapText="1"/>
    </xf>
    <xf numFmtId="0" fontId="10" fillId="0" borderId="3" xfId="0" applyFont="1" applyBorder="1" applyAlignment="1">
      <alignment horizontal="center" vertical="top" wrapText="1"/>
    </xf>
    <xf numFmtId="0" fontId="6" fillId="0" borderId="3" xfId="0" applyFont="1" applyBorder="1" applyAlignment="1">
      <alignment horizontal="left" vertical="top" wrapText="1"/>
    </xf>
    <xf numFmtId="0" fontId="6" fillId="5" borderId="3" xfId="0" applyFont="1" applyFill="1" applyBorder="1" applyAlignment="1">
      <alignment horizontal="left" vertical="top" wrapText="1"/>
    </xf>
    <xf numFmtId="0" fontId="6" fillId="0" borderId="0" xfId="0" applyFont="1" applyAlignment="1">
      <alignment horizontal="left" vertical="top" wrapText="1"/>
    </xf>
    <xf numFmtId="0" fontId="6" fillId="5" borderId="3" xfId="0" applyFont="1" applyFill="1" applyBorder="1" applyAlignment="1">
      <alignment horizontal="center" vertical="top" wrapText="1"/>
    </xf>
    <xf numFmtId="0" fontId="13" fillId="0" borderId="0" xfId="0" applyFont="1" applyAlignment="1">
      <alignment vertical="center"/>
    </xf>
    <xf numFmtId="0" fontId="12" fillId="10" borderId="8" xfId="0" applyFont="1" applyFill="1" applyBorder="1" applyAlignment="1">
      <alignment horizontal="left" vertical="top" wrapText="1"/>
    </xf>
    <xf numFmtId="0" fontId="12" fillId="10" borderId="18" xfId="0" applyFont="1" applyFill="1" applyBorder="1" applyAlignment="1">
      <alignment horizontal="center" vertical="top" wrapText="1"/>
    </xf>
    <xf numFmtId="0" fontId="12" fillId="10" borderId="3" xfId="0" applyFont="1" applyFill="1" applyBorder="1" applyAlignment="1">
      <alignment vertical="top" wrapText="1"/>
    </xf>
    <xf numFmtId="0" fontId="10" fillId="0" borderId="0" xfId="0" applyFont="1" applyAlignment="1">
      <alignment vertical="top" wrapText="1"/>
    </xf>
    <xf numFmtId="0" fontId="10" fillId="0" borderId="7" xfId="0" applyFont="1" applyBorder="1" applyAlignment="1">
      <alignment horizontal="left" vertical="top" wrapText="1"/>
    </xf>
    <xf numFmtId="0" fontId="14" fillId="5" borderId="3" xfId="0" applyFont="1" applyFill="1" applyBorder="1" applyAlignment="1">
      <alignment horizontal="center" vertical="top" wrapText="1"/>
    </xf>
    <xf numFmtId="0" fontId="6" fillId="4" borderId="3" xfId="0" applyFont="1" applyFill="1" applyBorder="1" applyAlignment="1">
      <alignment horizontal="left" vertical="top" wrapText="1"/>
    </xf>
    <xf numFmtId="0" fontId="12" fillId="10" borderId="8" xfId="0" applyFont="1" applyFill="1" applyBorder="1" applyAlignment="1">
      <alignment vertical="top" wrapText="1"/>
    </xf>
    <xf numFmtId="0" fontId="6" fillId="3" borderId="7" xfId="0" applyFont="1" applyFill="1" applyBorder="1" applyAlignment="1">
      <alignment horizontal="left" vertical="top" wrapText="1"/>
    </xf>
    <xf numFmtId="0" fontId="10" fillId="3" borderId="3" xfId="0" applyFont="1" applyFill="1" applyBorder="1" applyAlignment="1">
      <alignment horizontal="center" vertical="top" wrapText="1"/>
    </xf>
    <xf numFmtId="0" fontId="10" fillId="3" borderId="7" xfId="0" applyFont="1" applyFill="1" applyBorder="1" applyAlignment="1">
      <alignment horizontal="left" vertical="top" wrapText="1"/>
    </xf>
    <xf numFmtId="0" fontId="10" fillId="3" borderId="3" xfId="0" applyFont="1" applyFill="1" applyBorder="1" applyAlignment="1">
      <alignment horizontal="left" vertical="top" wrapText="1"/>
    </xf>
    <xf numFmtId="0" fontId="15" fillId="4" borderId="3" xfId="0" applyFont="1" applyFill="1" applyBorder="1" applyAlignment="1">
      <alignment horizontal="left" vertical="top" wrapText="1"/>
    </xf>
    <xf numFmtId="0" fontId="10" fillId="0" borderId="0" xfId="0" applyFont="1" applyAlignment="1">
      <alignment vertical="center"/>
    </xf>
    <xf numFmtId="0" fontId="6" fillId="5" borderId="3" xfId="0" applyFont="1" applyFill="1" applyBorder="1" applyAlignment="1">
      <alignment vertical="top" wrapText="1"/>
    </xf>
    <xf numFmtId="0" fontId="6" fillId="3" borderId="3" xfId="0" applyFont="1" applyFill="1" applyBorder="1" applyAlignment="1">
      <alignment horizontal="left" vertical="top" wrapText="1"/>
    </xf>
    <xf numFmtId="0" fontId="6" fillId="0" borderId="0" xfId="0" applyFont="1" applyAlignment="1">
      <alignment horizontal="center" vertical="center"/>
    </xf>
    <xf numFmtId="0" fontId="6" fillId="0" borderId="0" xfId="0" applyFont="1" applyAlignment="1">
      <alignment horizontal="left" vertical="center"/>
    </xf>
    <xf numFmtId="0" fontId="7" fillId="0" borderId="3" xfId="0" applyFont="1" applyBorder="1" applyAlignment="1">
      <alignment horizontal="center" vertical="top" wrapText="1"/>
    </xf>
    <xf numFmtId="0" fontId="17" fillId="8" borderId="3" xfId="0" applyFont="1" applyFill="1" applyBorder="1" applyAlignment="1">
      <alignment horizontal="left" vertical="top" wrapText="1"/>
    </xf>
    <xf numFmtId="0" fontId="10" fillId="0" borderId="7" xfId="0" applyFont="1" applyBorder="1" applyAlignment="1">
      <alignment horizontal="center" vertical="top" wrapText="1"/>
    </xf>
    <xf numFmtId="0" fontId="10" fillId="0" borderId="3" xfId="0" applyFont="1" applyBorder="1" applyAlignment="1">
      <alignment vertical="top" wrapText="1"/>
    </xf>
    <xf numFmtId="0" fontId="6" fillId="0" borderId="3" xfId="0" applyFont="1" applyBorder="1" applyAlignment="1">
      <alignment horizontal="center" vertical="top" wrapText="1"/>
    </xf>
    <xf numFmtId="0" fontId="6" fillId="0" borderId="7" xfId="0" applyFont="1" applyBorder="1" applyAlignment="1">
      <alignment vertical="top" wrapText="1"/>
    </xf>
    <xf numFmtId="0" fontId="11" fillId="0" borderId="0" xfId="0" applyFont="1" applyAlignment="1">
      <alignment vertical="top" wrapText="1"/>
    </xf>
    <xf numFmtId="0" fontId="6" fillId="0" borderId="8" xfId="0" applyFont="1" applyBorder="1" applyAlignment="1">
      <alignment horizontal="left" vertical="top" wrapText="1"/>
    </xf>
    <xf numFmtId="0" fontId="11" fillId="0" borderId="3" xfId="0" applyFont="1" applyBorder="1" applyAlignment="1">
      <alignment horizontal="left" vertical="top" wrapText="1"/>
    </xf>
    <xf numFmtId="0" fontId="10" fillId="0" borderId="3" xfId="0" applyFont="1" applyBorder="1" applyAlignment="1">
      <alignment vertical="top" wrapText="1"/>
    </xf>
    <xf numFmtId="0" fontId="6" fillId="0" borderId="3" xfId="0" applyFont="1" applyBorder="1" applyAlignment="1">
      <alignment vertical="top" wrapText="1"/>
    </xf>
    <xf numFmtId="0" fontId="6" fillId="0" borderId="9" xfId="0" applyFont="1" applyBorder="1" applyAlignment="1">
      <alignment horizontal="left" vertical="top" wrapText="1"/>
    </xf>
    <xf numFmtId="0" fontId="10" fillId="5" borderId="3" xfId="0" applyFont="1" applyFill="1" applyBorder="1" applyAlignment="1">
      <alignment horizontal="left" vertical="top" wrapText="1"/>
    </xf>
    <xf numFmtId="0" fontId="6" fillId="3" borderId="3" xfId="0" applyFont="1" applyFill="1" applyBorder="1" applyAlignment="1">
      <alignment vertical="top" wrapText="1"/>
    </xf>
    <xf numFmtId="0" fontId="6" fillId="0" borderId="3" xfId="0" applyFont="1" applyBorder="1" applyAlignment="1">
      <alignment vertical="top" wrapText="1"/>
    </xf>
    <xf numFmtId="0" fontId="6" fillId="0" borderId="9" xfId="0" applyFont="1" applyBorder="1" applyAlignment="1">
      <alignment horizontal="left" vertical="top" wrapText="1"/>
    </xf>
    <xf numFmtId="0" fontId="12" fillId="10" borderId="3" xfId="0" applyFont="1" applyFill="1" applyBorder="1" applyAlignment="1">
      <alignment horizontal="center" vertical="top" wrapText="1"/>
    </xf>
    <xf numFmtId="0" fontId="10" fillId="0" borderId="8" xfId="0" applyFont="1" applyBorder="1" applyAlignment="1">
      <alignment horizontal="center" vertical="top" wrapText="1"/>
    </xf>
    <xf numFmtId="0" fontId="10" fillId="0" borderId="8" xfId="0" applyFont="1" applyBorder="1" applyAlignment="1">
      <alignment horizontal="left" vertical="top" wrapText="1"/>
    </xf>
    <xf numFmtId="0" fontId="7" fillId="11" borderId="3" xfId="0" applyFont="1" applyFill="1" applyBorder="1" applyAlignment="1">
      <alignment horizontal="center" vertical="top" wrapText="1"/>
    </xf>
    <xf numFmtId="0" fontId="3" fillId="0" borderId="3" xfId="0" applyFont="1" applyBorder="1" applyAlignment="1">
      <alignment horizontal="left" vertical="top" wrapText="1"/>
    </xf>
    <xf numFmtId="0" fontId="10" fillId="6" borderId="3" xfId="0" applyFont="1" applyFill="1" applyBorder="1" applyAlignment="1">
      <alignment horizontal="left" vertical="top" wrapText="1"/>
    </xf>
    <xf numFmtId="0" fontId="10" fillId="6" borderId="3" xfId="0" applyFont="1" applyFill="1" applyBorder="1" applyAlignment="1">
      <alignment horizontal="center" vertical="top" wrapText="1"/>
    </xf>
    <xf numFmtId="0" fontId="11" fillId="4" borderId="3" xfId="0" applyFont="1" applyFill="1" applyBorder="1" applyAlignment="1">
      <alignment vertical="top" wrapText="1"/>
    </xf>
    <xf numFmtId="0" fontId="18" fillId="4" borderId="3" xfId="0" applyFont="1" applyFill="1" applyBorder="1" applyAlignment="1">
      <alignment horizontal="center" vertical="top" wrapText="1"/>
    </xf>
    <xf numFmtId="0" fontId="19" fillId="4" borderId="3" xfId="0" applyFont="1" applyFill="1" applyBorder="1" applyAlignment="1">
      <alignment horizontal="center" vertical="top" wrapText="1"/>
    </xf>
    <xf numFmtId="0" fontId="20" fillId="10" borderId="3" xfId="0" applyFont="1" applyFill="1" applyBorder="1" applyAlignment="1">
      <alignment horizontal="center" vertical="top" wrapText="1"/>
    </xf>
    <xf numFmtId="0" fontId="10" fillId="0" borderId="0" xfId="0" applyFont="1" applyAlignment="1">
      <alignment horizontal="center" vertical="top" wrapText="1"/>
    </xf>
    <xf numFmtId="0" fontId="18" fillId="0" borderId="3" xfId="0" applyFont="1" applyBorder="1" applyAlignment="1">
      <alignment horizontal="center" vertical="top" wrapText="1"/>
    </xf>
    <xf numFmtId="0" fontId="15" fillId="5" borderId="3" xfId="0" applyFont="1" applyFill="1" applyBorder="1" applyAlignment="1">
      <alignment horizontal="left" vertical="top" wrapText="1"/>
    </xf>
    <xf numFmtId="0" fontId="21" fillId="0" borderId="0" xfId="0" applyFont="1" applyAlignment="1">
      <alignment horizontal="left" vertical="top" wrapText="1"/>
    </xf>
    <xf numFmtId="0" fontId="11" fillId="5" borderId="3" xfId="0" applyFont="1" applyFill="1" applyBorder="1" applyAlignment="1">
      <alignment vertical="top" wrapText="1"/>
    </xf>
    <xf numFmtId="0" fontId="10" fillId="4" borderId="16" xfId="0" applyFont="1" applyFill="1" applyBorder="1" applyAlignment="1">
      <alignment horizontal="left" vertical="top" wrapText="1"/>
    </xf>
    <xf numFmtId="0" fontId="6" fillId="4" borderId="16" xfId="0" applyFont="1" applyFill="1" applyBorder="1" applyAlignment="1">
      <alignment horizontal="center" vertical="top" wrapText="1"/>
    </xf>
    <xf numFmtId="0" fontId="6" fillId="4" borderId="9" xfId="0" applyFont="1" applyFill="1" applyBorder="1" applyAlignment="1">
      <alignment vertical="top" wrapText="1"/>
    </xf>
    <xf numFmtId="0" fontId="10" fillId="0" borderId="7" xfId="0" applyFont="1" applyBorder="1" applyAlignment="1">
      <alignment vertical="top" wrapText="1"/>
    </xf>
    <xf numFmtId="0" fontId="10" fillId="6" borderId="16" xfId="0" applyFont="1" applyFill="1" applyBorder="1" applyAlignment="1">
      <alignment vertical="top" wrapText="1"/>
    </xf>
    <xf numFmtId="0" fontId="10" fillId="6" borderId="16" xfId="0" applyFont="1" applyFill="1" applyBorder="1" applyAlignment="1">
      <alignment horizontal="center" vertical="top" wrapText="1"/>
    </xf>
    <xf numFmtId="0" fontId="10" fillId="6" borderId="7" xfId="0" applyFont="1" applyFill="1" applyBorder="1" applyAlignment="1">
      <alignment horizontal="left" vertical="top" wrapText="1"/>
    </xf>
    <xf numFmtId="0" fontId="10" fillId="3" borderId="3" xfId="0" applyFont="1" applyFill="1" applyBorder="1" applyAlignment="1">
      <alignment vertical="top" wrapText="1"/>
    </xf>
    <xf numFmtId="0" fontId="10" fillId="5" borderId="16" xfId="0" applyFont="1" applyFill="1" applyBorder="1" applyAlignment="1">
      <alignment vertical="top" wrapText="1"/>
    </xf>
    <xf numFmtId="0" fontId="6" fillId="3" borderId="3" xfId="0" applyFont="1" applyFill="1" applyBorder="1" applyAlignment="1">
      <alignment horizontal="center" vertical="top" wrapText="1"/>
    </xf>
    <xf numFmtId="0" fontId="6" fillId="3" borderId="7" xfId="0" applyFont="1" applyFill="1" applyBorder="1" applyAlignment="1">
      <alignment vertical="top" wrapText="1"/>
    </xf>
    <xf numFmtId="0" fontId="6" fillId="3" borderId="10" xfId="0" applyFont="1" applyFill="1" applyBorder="1" applyAlignment="1">
      <alignment vertical="top" wrapText="1"/>
    </xf>
    <xf numFmtId="0" fontId="13" fillId="3" borderId="10" xfId="0" applyFont="1" applyFill="1" applyBorder="1" applyAlignment="1">
      <alignment vertical="center"/>
    </xf>
    <xf numFmtId="0" fontId="6" fillId="5" borderId="18" xfId="0" applyFont="1" applyFill="1" applyBorder="1" applyAlignment="1">
      <alignment vertical="top" wrapText="1"/>
    </xf>
    <xf numFmtId="0" fontId="7" fillId="12" borderId="18" xfId="0" applyFont="1" applyFill="1" applyBorder="1" applyAlignment="1">
      <alignment vertical="top" wrapText="1"/>
    </xf>
    <xf numFmtId="0" fontId="24" fillId="10" borderId="3" xfId="0" applyFont="1" applyFill="1" applyBorder="1" applyAlignment="1">
      <alignment horizontal="center" vertical="top" wrapText="1"/>
    </xf>
    <xf numFmtId="0" fontId="6" fillId="0" borderId="0" xfId="0" applyFont="1" applyAlignment="1">
      <alignment vertical="top" wrapText="1"/>
    </xf>
    <xf numFmtId="0" fontId="12" fillId="10" borderId="12" xfId="0" applyFont="1" applyFill="1" applyBorder="1" applyAlignment="1">
      <alignment horizontal="left" vertical="top" wrapText="1"/>
    </xf>
    <xf numFmtId="0" fontId="21" fillId="5" borderId="3" xfId="0" applyFont="1" applyFill="1" applyBorder="1" applyAlignment="1">
      <alignment horizontal="left" vertical="top" wrapText="1"/>
    </xf>
    <xf numFmtId="0" fontId="21" fillId="5" borderId="3" xfId="0" applyFont="1" applyFill="1" applyBorder="1" applyAlignment="1">
      <alignment vertical="top" wrapText="1"/>
    </xf>
    <xf numFmtId="0" fontId="21" fillId="0" borderId="0" xfId="0" applyFont="1" applyAlignment="1">
      <alignment vertical="top" wrapText="1"/>
    </xf>
    <xf numFmtId="0" fontId="25" fillId="5" borderId="3" xfId="0" applyFont="1" applyFill="1" applyBorder="1" applyAlignment="1">
      <alignment vertical="top" wrapText="1"/>
    </xf>
    <xf numFmtId="0" fontId="25" fillId="0" borderId="0" xfId="0" applyFont="1" applyAlignment="1">
      <alignment vertical="top" wrapText="1"/>
    </xf>
    <xf numFmtId="0" fontId="10" fillId="4" borderId="8" xfId="0" applyFont="1" applyFill="1" applyBorder="1" applyAlignment="1">
      <alignment horizontal="left" vertical="top" wrapText="1"/>
    </xf>
    <xf numFmtId="0" fontId="12" fillId="10" borderId="20" xfId="0" applyFont="1" applyFill="1" applyBorder="1" applyAlignment="1">
      <alignment horizontal="left" vertical="top" wrapText="1"/>
    </xf>
    <xf numFmtId="0" fontId="10" fillId="4" borderId="12" xfId="0" applyFont="1" applyFill="1" applyBorder="1" applyAlignment="1">
      <alignment horizontal="left" vertical="top" wrapText="1"/>
    </xf>
    <xf numFmtId="0" fontId="15" fillId="5" borderId="18" xfId="0" applyFont="1" applyFill="1" applyBorder="1" applyAlignment="1">
      <alignment horizontal="left" vertical="top" wrapText="1"/>
    </xf>
    <xf numFmtId="0" fontId="21" fillId="5" borderId="18" xfId="0" applyFont="1" applyFill="1" applyBorder="1" applyAlignment="1">
      <alignment vertical="top" wrapText="1"/>
    </xf>
    <xf numFmtId="0" fontId="21" fillId="5" borderId="18" xfId="0" applyFont="1" applyFill="1" applyBorder="1" applyAlignment="1">
      <alignment vertical="top" wrapText="1"/>
    </xf>
    <xf numFmtId="0" fontId="21" fillId="5" borderId="16" xfId="0" applyFont="1" applyFill="1" applyBorder="1" applyAlignment="1">
      <alignment vertical="top" wrapText="1"/>
    </xf>
    <xf numFmtId="0" fontId="10" fillId="5" borderId="18" xfId="0" applyFont="1" applyFill="1" applyBorder="1" applyAlignment="1">
      <alignment vertical="top" wrapText="1"/>
    </xf>
    <xf numFmtId="0" fontId="21" fillId="5" borderId="3" xfId="0" applyFont="1" applyFill="1" applyBorder="1" applyAlignment="1">
      <alignment horizontal="center" vertical="top" wrapText="1"/>
    </xf>
    <xf numFmtId="0" fontId="21" fillId="0" borderId="0" xfId="0" applyFont="1" applyAlignment="1">
      <alignment horizontal="center" vertical="top" wrapText="1"/>
    </xf>
    <xf numFmtId="0" fontId="6" fillId="0" borderId="12" xfId="0" applyFont="1" applyBorder="1" applyAlignment="1">
      <alignment horizontal="left" vertical="top" wrapText="1"/>
    </xf>
    <xf numFmtId="0" fontId="12" fillId="10" borderId="21" xfId="0" applyFont="1" applyFill="1" applyBorder="1" applyAlignment="1">
      <alignment horizontal="left" vertical="top" wrapText="1"/>
    </xf>
    <xf numFmtId="0" fontId="10" fillId="3" borderId="8" xfId="0" applyFont="1" applyFill="1" applyBorder="1" applyAlignment="1">
      <alignment horizontal="left" vertical="top" wrapText="1"/>
    </xf>
    <xf numFmtId="0" fontId="12" fillId="10" borderId="4" xfId="0" applyFont="1" applyFill="1" applyBorder="1" applyAlignment="1">
      <alignment horizontal="left" vertical="top" wrapText="1"/>
    </xf>
    <xf numFmtId="0" fontId="13" fillId="5" borderId="3" xfId="0" applyFont="1" applyFill="1" applyBorder="1" applyAlignment="1">
      <alignment vertical="top" wrapText="1"/>
    </xf>
    <xf numFmtId="0" fontId="26" fillId="10" borderId="3" xfId="0" applyFont="1" applyFill="1" applyBorder="1" applyAlignment="1">
      <alignment horizontal="left" vertical="top" wrapText="1"/>
    </xf>
    <xf numFmtId="0" fontId="26" fillId="10" borderId="3" xfId="0" applyFont="1" applyFill="1" applyBorder="1" applyAlignment="1">
      <alignment horizontal="center" vertical="top" wrapText="1"/>
    </xf>
    <xf numFmtId="0" fontId="13" fillId="7" borderId="3" xfId="0" applyFont="1" applyFill="1" applyBorder="1" applyAlignment="1">
      <alignment horizontal="left" vertical="top" wrapText="1"/>
    </xf>
    <xf numFmtId="0" fontId="12" fillId="10" borderId="16" xfId="0" applyFont="1" applyFill="1" applyBorder="1" applyAlignment="1">
      <alignment horizontal="center" vertical="top" wrapText="1"/>
    </xf>
    <xf numFmtId="0" fontId="4" fillId="0" borderId="3" xfId="0" applyFont="1" applyBorder="1" applyAlignment="1">
      <alignment horizontal="left" vertical="top" wrapText="1"/>
    </xf>
    <xf numFmtId="0" fontId="4" fillId="3" borderId="3" xfId="0" applyFont="1" applyFill="1" applyBorder="1" applyAlignment="1">
      <alignment horizontal="left" vertical="top" wrapText="1"/>
    </xf>
    <xf numFmtId="0" fontId="6" fillId="4" borderId="3" xfId="0" applyFont="1" applyFill="1" applyBorder="1" applyAlignment="1">
      <alignment vertical="top" wrapText="1"/>
    </xf>
    <xf numFmtId="0" fontId="12" fillId="10" borderId="8" xfId="0" quotePrefix="1" applyFont="1" applyFill="1" applyBorder="1" applyAlignment="1">
      <alignment vertical="top" wrapText="1"/>
    </xf>
    <xf numFmtId="0" fontId="6" fillId="0" borderId="7" xfId="0" applyFont="1" applyBorder="1" applyAlignment="1">
      <alignment vertical="top" wrapText="1"/>
    </xf>
    <xf numFmtId="0" fontId="6" fillId="5" borderId="16" xfId="0" applyFont="1" applyFill="1" applyBorder="1" applyAlignment="1">
      <alignment horizontal="center" vertical="top" wrapText="1"/>
    </xf>
    <xf numFmtId="0" fontId="6" fillId="0" borderId="14" xfId="0" applyFont="1" applyBorder="1" applyAlignment="1">
      <alignment vertical="top" wrapText="1"/>
    </xf>
    <xf numFmtId="0" fontId="21" fillId="5" borderId="22" xfId="0" applyFont="1" applyFill="1" applyBorder="1" applyAlignment="1">
      <alignment vertical="top" wrapText="1"/>
    </xf>
    <xf numFmtId="0" fontId="10" fillId="5" borderId="16" xfId="0" applyFont="1" applyFill="1" applyBorder="1" applyAlignment="1">
      <alignment horizontal="center" vertical="top" wrapText="1"/>
    </xf>
    <xf numFmtId="0" fontId="11" fillId="5" borderId="18" xfId="0" applyFont="1" applyFill="1" applyBorder="1" applyAlignment="1">
      <alignment horizontal="center" vertical="top" wrapText="1"/>
    </xf>
    <xf numFmtId="0" fontId="10" fillId="5" borderId="18" xfId="0" applyFont="1" applyFill="1" applyBorder="1" applyAlignment="1">
      <alignment horizontal="center" vertical="top" wrapText="1"/>
    </xf>
    <xf numFmtId="0" fontId="14" fillId="5" borderId="16" xfId="0" applyFont="1" applyFill="1" applyBorder="1" applyAlignment="1">
      <alignment horizontal="center" vertical="top" wrapText="1"/>
    </xf>
    <xf numFmtId="0" fontId="21" fillId="5" borderId="16" xfId="0" applyFont="1" applyFill="1" applyBorder="1" applyAlignment="1">
      <alignment horizontal="center" vertical="top" wrapText="1"/>
    </xf>
    <xf numFmtId="0" fontId="8" fillId="5" borderId="16" xfId="0" applyFont="1" applyFill="1" applyBorder="1" applyAlignment="1">
      <alignment horizontal="center" vertical="top" wrapText="1"/>
    </xf>
    <xf numFmtId="0" fontId="6" fillId="6" borderId="16" xfId="0" applyFont="1" applyFill="1" applyBorder="1" applyAlignment="1">
      <alignment horizontal="left" vertical="top" wrapText="1"/>
    </xf>
    <xf numFmtId="0" fontId="21" fillId="5" borderId="22" xfId="0" applyFont="1" applyFill="1" applyBorder="1" applyAlignment="1">
      <alignment horizontal="center" vertical="top" wrapText="1"/>
    </xf>
    <xf numFmtId="0" fontId="6" fillId="5" borderId="22" xfId="0" applyFont="1" applyFill="1" applyBorder="1" applyAlignment="1">
      <alignment horizontal="center" vertical="top" wrapText="1"/>
    </xf>
    <xf numFmtId="0" fontId="14" fillId="5" borderId="22" xfId="0" applyFont="1" applyFill="1" applyBorder="1" applyAlignment="1">
      <alignment horizontal="center" vertical="top" wrapText="1"/>
    </xf>
    <xf numFmtId="0" fontId="8" fillId="5" borderId="22" xfId="0" applyFont="1" applyFill="1" applyBorder="1" applyAlignment="1">
      <alignment horizontal="center" vertical="top" wrapText="1"/>
    </xf>
    <xf numFmtId="0" fontId="10" fillId="5" borderId="22" xfId="0" applyFont="1" applyFill="1" applyBorder="1" applyAlignment="1">
      <alignment horizontal="center" vertical="top" wrapText="1"/>
    </xf>
    <xf numFmtId="0" fontId="10" fillId="3" borderId="16" xfId="0" applyFont="1" applyFill="1" applyBorder="1" applyAlignment="1">
      <alignment horizontal="center" vertical="top" wrapText="1"/>
    </xf>
    <xf numFmtId="0" fontId="6" fillId="6" borderId="7" xfId="0" applyFont="1" applyFill="1" applyBorder="1" applyAlignment="1">
      <alignment horizontal="left" vertical="top" wrapText="1"/>
    </xf>
    <xf numFmtId="0" fontId="14" fillId="11" borderId="3" xfId="0" applyFont="1" applyFill="1" applyBorder="1" applyAlignment="1">
      <alignment horizontal="center" vertical="top" wrapText="1"/>
    </xf>
    <xf numFmtId="0" fontId="10" fillId="3" borderId="16" xfId="0" applyFont="1" applyFill="1" applyBorder="1" applyAlignment="1">
      <alignment horizontal="left" vertical="top" wrapText="1"/>
    </xf>
    <xf numFmtId="0" fontId="6" fillId="0" borderId="3" xfId="0" applyFont="1" applyBorder="1" applyAlignment="1">
      <alignment horizontal="left" vertical="top" wrapText="1"/>
    </xf>
    <xf numFmtId="0" fontId="6" fillId="4" borderId="22" xfId="0" applyFont="1" applyFill="1" applyBorder="1" applyAlignment="1">
      <alignment horizontal="center" vertical="top" wrapText="1"/>
    </xf>
    <xf numFmtId="0" fontId="10" fillId="4" borderId="3" xfId="0" applyFont="1" applyFill="1" applyBorder="1" applyAlignment="1">
      <alignment horizontal="left" vertical="top" wrapText="1"/>
    </xf>
    <xf numFmtId="0" fontId="10" fillId="3" borderId="3" xfId="0" applyFont="1" applyFill="1" applyBorder="1" applyAlignment="1">
      <alignment horizontal="left" vertical="top" wrapText="1"/>
    </xf>
    <xf numFmtId="0" fontId="10" fillId="0" borderId="3" xfId="0" applyFont="1" applyBorder="1" applyAlignment="1">
      <alignment horizontal="left" vertical="top" wrapText="1"/>
    </xf>
    <xf numFmtId="0" fontId="7" fillId="0" borderId="3" xfId="0" applyFont="1" applyBorder="1" applyAlignment="1">
      <alignment horizontal="left" vertical="top" wrapText="1"/>
    </xf>
    <xf numFmtId="0" fontId="12" fillId="10" borderId="20" xfId="0" applyFont="1" applyFill="1" applyBorder="1" applyAlignment="1">
      <alignment horizontal="center" vertical="top" wrapText="1"/>
    </xf>
    <xf numFmtId="0" fontId="12" fillId="10" borderId="3" xfId="0" applyFont="1" applyFill="1" applyBorder="1" applyAlignment="1">
      <alignment horizontal="left" vertical="top" wrapText="1"/>
    </xf>
    <xf numFmtId="0" fontId="6" fillId="5" borderId="16" xfId="0" applyFont="1" applyFill="1" applyBorder="1" applyAlignment="1">
      <alignment vertical="top" wrapText="1"/>
    </xf>
    <xf numFmtId="0" fontId="12" fillId="10" borderId="18" xfId="0" applyFont="1" applyFill="1" applyBorder="1" applyAlignment="1">
      <alignment horizontal="left" vertical="top" wrapText="1"/>
    </xf>
    <xf numFmtId="0" fontId="6" fillId="0" borderId="9" xfId="0" applyFont="1" applyBorder="1" applyAlignment="1">
      <alignment horizontal="center" vertical="top" wrapText="1"/>
    </xf>
    <xf numFmtId="0" fontId="6" fillId="5" borderId="18" xfId="0" applyFont="1" applyFill="1" applyBorder="1" applyAlignment="1">
      <alignment horizontal="center" vertical="top" wrapText="1"/>
    </xf>
    <xf numFmtId="0" fontId="6" fillId="3" borderId="10" xfId="0" applyFont="1" applyFill="1" applyBorder="1" applyAlignment="1">
      <alignment vertical="center"/>
    </xf>
    <xf numFmtId="0" fontId="12" fillId="10" borderId="3" xfId="0" applyFont="1" applyFill="1" applyBorder="1" applyAlignment="1">
      <alignment vertical="top" wrapText="1"/>
    </xf>
    <xf numFmtId="0" fontId="12" fillId="5" borderId="3" xfId="0" applyFont="1" applyFill="1" applyBorder="1" applyAlignment="1">
      <alignment vertical="top" wrapText="1"/>
    </xf>
    <xf numFmtId="0" fontId="12" fillId="0" borderId="0" xfId="0" applyFont="1" applyAlignment="1">
      <alignment vertical="top" wrapText="1"/>
    </xf>
    <xf numFmtId="0" fontId="12" fillId="5" borderId="3" xfId="0" applyFont="1" applyFill="1" applyBorder="1" applyAlignment="1">
      <alignment horizontal="center" vertical="top" wrapText="1"/>
    </xf>
    <xf numFmtId="0" fontId="12" fillId="0" borderId="0" xfId="0" applyFont="1" applyAlignment="1">
      <alignment vertical="center"/>
    </xf>
    <xf numFmtId="0" fontId="10" fillId="3" borderId="10" xfId="0" applyFont="1" applyFill="1" applyBorder="1" applyAlignment="1">
      <alignment vertical="top" wrapText="1"/>
    </xf>
    <xf numFmtId="0" fontId="10" fillId="3" borderId="10" xfId="0" applyFont="1" applyFill="1" applyBorder="1" applyAlignment="1">
      <alignment vertical="center"/>
    </xf>
    <xf numFmtId="0" fontId="14" fillId="5" borderId="3" xfId="0" applyFont="1" applyFill="1" applyBorder="1" applyAlignment="1">
      <alignment vertical="top" wrapText="1"/>
    </xf>
    <xf numFmtId="0" fontId="10" fillId="4" borderId="16" xfId="0" applyFont="1" applyFill="1" applyBorder="1" applyAlignment="1">
      <alignment horizontal="left" vertical="top" wrapText="1"/>
    </xf>
    <xf numFmtId="0" fontId="10" fillId="4" borderId="16" xfId="0" applyFont="1" applyFill="1" applyBorder="1" applyAlignment="1">
      <alignment horizontal="center" vertical="top" wrapText="1"/>
    </xf>
    <xf numFmtId="0" fontId="6" fillId="0" borderId="12" xfId="0" applyFont="1" applyBorder="1" applyAlignment="1">
      <alignment horizontal="center" vertical="top" wrapText="1"/>
    </xf>
    <xf numFmtId="0" fontId="6" fillId="0" borderId="8" xfId="0" applyFont="1" applyBorder="1" applyAlignment="1">
      <alignment horizontal="center" vertical="top" wrapText="1"/>
    </xf>
    <xf numFmtId="0" fontId="6" fillId="0" borderId="13" xfId="0" applyFont="1" applyBorder="1" applyAlignment="1">
      <alignment vertical="top" wrapText="1"/>
    </xf>
    <xf numFmtId="0" fontId="6" fillId="0" borderId="0" xfId="0" applyFont="1" applyAlignment="1">
      <alignment horizontal="left" vertical="center" wrapText="1"/>
    </xf>
    <xf numFmtId="0" fontId="6" fillId="0" borderId="0" xfId="0" applyFont="1" applyAlignment="1">
      <alignment vertical="center" wrapText="1"/>
    </xf>
    <xf numFmtId="0" fontId="27" fillId="0" borderId="0" xfId="0" applyFont="1" applyAlignment="1">
      <alignment vertical="center" wrapText="1"/>
    </xf>
    <xf numFmtId="0" fontId="25" fillId="0" borderId="0" xfId="0" applyFont="1" applyAlignment="1">
      <alignment horizontal="left" vertical="top" wrapText="1"/>
    </xf>
    <xf numFmtId="0" fontId="12" fillId="10" borderId="15" xfId="0" applyFont="1" applyFill="1" applyBorder="1" applyAlignment="1">
      <alignment vertical="top" wrapText="1"/>
    </xf>
    <xf numFmtId="0" fontId="12" fillId="10" borderId="10" xfId="0" applyFont="1" applyFill="1" applyBorder="1" applyAlignment="1">
      <alignment vertical="top" wrapText="1"/>
    </xf>
    <xf numFmtId="0" fontId="12" fillId="10" borderId="0" xfId="0" applyFont="1" applyFill="1" applyAlignment="1">
      <alignment vertical="top" wrapText="1"/>
    </xf>
    <xf numFmtId="0" fontId="10" fillId="3" borderId="7" xfId="0" applyFont="1" applyFill="1" applyBorder="1" applyAlignment="1">
      <alignment vertical="top" wrapText="1"/>
    </xf>
    <xf numFmtId="0" fontId="10" fillId="5" borderId="16" xfId="0" applyFont="1" applyFill="1" applyBorder="1" applyAlignment="1">
      <alignment horizontal="left" vertical="top" wrapText="1"/>
    </xf>
    <xf numFmtId="0" fontId="10" fillId="5" borderId="22" xfId="0" applyFont="1" applyFill="1" applyBorder="1" applyAlignment="1">
      <alignment horizontal="center" vertical="center"/>
    </xf>
    <xf numFmtId="0" fontId="10" fillId="5" borderId="18" xfId="0" applyFont="1" applyFill="1" applyBorder="1" applyAlignment="1">
      <alignment horizontal="center" vertical="center"/>
    </xf>
    <xf numFmtId="0" fontId="7" fillId="3" borderId="3" xfId="0" applyFont="1" applyFill="1" applyBorder="1" applyAlignment="1">
      <alignment horizontal="center" vertical="top" wrapText="1"/>
    </xf>
    <xf numFmtId="0" fontId="17" fillId="0" borderId="3" xfId="0" applyFont="1" applyBorder="1" applyAlignment="1">
      <alignment vertical="top" wrapText="1"/>
    </xf>
    <xf numFmtId="0" fontId="17" fillId="3" borderId="3" xfId="0" applyFont="1" applyFill="1" applyBorder="1" applyAlignment="1">
      <alignment vertical="top" wrapText="1"/>
    </xf>
    <xf numFmtId="0" fontId="24" fillId="10" borderId="3" xfId="0" applyFont="1" applyFill="1" applyBorder="1" applyAlignment="1">
      <alignment vertical="top" wrapText="1"/>
    </xf>
    <xf numFmtId="0" fontId="13" fillId="0" borderId="0" xfId="0" applyFont="1" applyAlignment="1">
      <alignment vertical="top" wrapText="1"/>
    </xf>
    <xf numFmtId="0" fontId="17" fillId="0" borderId="0" xfId="0" applyFont="1" applyAlignment="1">
      <alignment vertical="top" wrapText="1"/>
    </xf>
    <xf numFmtId="0" fontId="4" fillId="3" borderId="7" xfId="0" applyFont="1" applyFill="1" applyBorder="1" applyAlignment="1">
      <alignment horizontal="left" vertical="top" wrapText="1"/>
    </xf>
    <xf numFmtId="0" fontId="28" fillId="0" borderId="3" xfId="0" applyFont="1" applyBorder="1" applyAlignment="1">
      <alignment horizontal="center" vertical="top" wrapText="1"/>
    </xf>
    <xf numFmtId="10" fontId="28" fillId="0" borderId="3" xfId="0" applyNumberFormat="1" applyFont="1" applyBorder="1" applyAlignment="1">
      <alignment horizontal="center" vertical="top" wrapText="1"/>
    </xf>
    <xf numFmtId="10" fontId="28" fillId="0" borderId="3" xfId="0" applyNumberFormat="1" applyFont="1" applyBorder="1" applyAlignment="1">
      <alignment vertical="top" wrapText="1"/>
    </xf>
    <xf numFmtId="0" fontId="28" fillId="0" borderId="3" xfId="0" applyFont="1" applyBorder="1" applyAlignment="1">
      <alignment vertical="top" wrapText="1"/>
    </xf>
    <xf numFmtId="0" fontId="28" fillId="0" borderId="0" xfId="0" applyFont="1" applyAlignment="1">
      <alignment horizontal="center" vertical="top" wrapText="1"/>
    </xf>
    <xf numFmtId="0" fontId="28" fillId="0" borderId="0" xfId="0" applyFont="1" applyAlignment="1">
      <alignment vertical="top" wrapText="1"/>
    </xf>
    <xf numFmtId="0" fontId="28" fillId="0" borderId="0" xfId="0" applyFont="1" applyAlignment="1">
      <alignment vertical="center"/>
    </xf>
    <xf numFmtId="0" fontId="10" fillId="3" borderId="8" xfId="0" applyFont="1" applyFill="1" applyBorder="1" applyAlignment="1">
      <alignment vertical="top" wrapText="1"/>
    </xf>
    <xf numFmtId="0" fontId="17" fillId="5" borderId="3" xfId="0" applyFont="1" applyFill="1" applyBorder="1" applyAlignment="1">
      <alignment horizontal="left" vertical="top" wrapText="1"/>
    </xf>
    <xf numFmtId="14" fontId="10" fillId="5" borderId="3" xfId="0" applyNumberFormat="1" applyFont="1" applyFill="1" applyBorder="1" applyAlignment="1">
      <alignment horizontal="center" vertical="top" wrapText="1"/>
    </xf>
    <xf numFmtId="0" fontId="10" fillId="3" borderId="10" xfId="0" applyFont="1" applyFill="1" applyBorder="1" applyAlignment="1">
      <alignment horizontal="left" vertical="top" wrapText="1"/>
    </xf>
    <xf numFmtId="0" fontId="14" fillId="0" borderId="0" xfId="0" applyFont="1" applyAlignment="1">
      <alignment horizontal="left" vertical="top" wrapText="1"/>
    </xf>
    <xf numFmtId="0" fontId="10" fillId="5" borderId="23" xfId="0" applyFont="1" applyFill="1" applyBorder="1" applyAlignment="1">
      <alignment horizontal="left" vertical="top" wrapText="1"/>
    </xf>
    <xf numFmtId="0" fontId="10" fillId="5" borderId="3" xfId="0" applyFont="1" applyFill="1" applyBorder="1" applyAlignment="1">
      <alignment vertical="top" wrapText="1"/>
    </xf>
    <xf numFmtId="0" fontId="14" fillId="5" borderId="10" xfId="0" applyFont="1" applyFill="1" applyBorder="1" applyAlignment="1">
      <alignment horizontal="center" vertical="top" wrapText="1"/>
    </xf>
    <xf numFmtId="0" fontId="9" fillId="8" borderId="8" xfId="0" applyFont="1" applyFill="1" applyBorder="1" applyAlignment="1">
      <alignment horizontal="left" vertical="top" wrapText="1"/>
    </xf>
    <xf numFmtId="0" fontId="11" fillId="3" borderId="10" xfId="0" applyFont="1" applyFill="1" applyBorder="1" applyAlignment="1">
      <alignment vertical="center"/>
    </xf>
    <xf numFmtId="0" fontId="3" fillId="3" borderId="3" xfId="0" applyFont="1" applyFill="1" applyBorder="1" applyAlignment="1">
      <alignment horizontal="left" vertical="top" wrapText="1"/>
    </xf>
    <xf numFmtId="0" fontId="29" fillId="3" borderId="3" xfId="0" applyFont="1" applyFill="1" applyBorder="1" applyAlignment="1">
      <alignment horizontal="left" vertical="top" wrapText="1"/>
    </xf>
    <xf numFmtId="0" fontId="7" fillId="5" borderId="18" xfId="0" applyFont="1" applyFill="1" applyBorder="1" applyAlignment="1">
      <alignment horizontal="center" vertical="top" wrapText="1"/>
    </xf>
    <xf numFmtId="0" fontId="7" fillId="5" borderId="3" xfId="0" applyFont="1" applyFill="1" applyBorder="1" applyAlignment="1">
      <alignment horizontal="center" vertical="top" wrapText="1"/>
    </xf>
    <xf numFmtId="0" fontId="10" fillId="4" borderId="1" xfId="0" applyFont="1" applyFill="1" applyBorder="1" applyAlignment="1">
      <alignment horizontal="left" vertical="top" wrapText="1"/>
    </xf>
    <xf numFmtId="0" fontId="10" fillId="4" borderId="3" xfId="0" quotePrefix="1" applyFont="1" applyFill="1" applyBorder="1" applyAlignment="1">
      <alignment horizontal="center" vertical="top" wrapText="1"/>
    </xf>
    <xf numFmtId="0" fontId="15" fillId="5" borderId="16" xfId="0" applyFont="1" applyFill="1" applyBorder="1" applyAlignment="1">
      <alignment horizontal="left" vertical="top" wrapText="1"/>
    </xf>
    <xf numFmtId="0" fontId="10" fillId="4" borderId="2" xfId="0" applyFont="1" applyFill="1" applyBorder="1" applyAlignment="1">
      <alignment horizontal="left" vertical="top" wrapText="1"/>
    </xf>
    <xf numFmtId="0" fontId="10" fillId="4" borderId="13" xfId="0" applyFont="1" applyFill="1" applyBorder="1" applyAlignment="1">
      <alignment horizontal="left" vertical="top" wrapText="1"/>
    </xf>
    <xf numFmtId="0" fontId="10" fillId="4" borderId="20" xfId="0" applyFont="1" applyFill="1" applyBorder="1" applyAlignment="1">
      <alignment horizontal="center" vertical="top" wrapText="1"/>
    </xf>
    <xf numFmtId="0" fontId="12" fillId="10" borderId="2" xfId="0" applyFont="1" applyFill="1" applyBorder="1" applyAlignment="1">
      <alignment horizontal="left" vertical="top" wrapText="1"/>
    </xf>
    <xf numFmtId="0" fontId="12" fillId="10" borderId="13" xfId="0" applyFont="1" applyFill="1" applyBorder="1" applyAlignment="1">
      <alignment horizontal="left" vertical="top" wrapText="1"/>
    </xf>
    <xf numFmtId="0" fontId="10" fillId="3" borderId="13" xfId="0" applyFont="1" applyFill="1" applyBorder="1" applyAlignment="1">
      <alignment horizontal="left" vertical="top" wrapText="1"/>
    </xf>
    <xf numFmtId="0" fontId="10" fillId="3" borderId="20" xfId="0" applyFont="1" applyFill="1" applyBorder="1" applyAlignment="1">
      <alignment horizontal="center" vertical="top" wrapText="1"/>
    </xf>
    <xf numFmtId="0" fontId="10" fillId="0" borderId="12" xfId="0" applyFont="1" applyBorder="1" applyAlignment="1">
      <alignment horizontal="center" vertical="top" wrapText="1"/>
    </xf>
    <xf numFmtId="0" fontId="10" fillId="0" borderId="13" xfId="0" applyFont="1" applyBorder="1" applyAlignment="1">
      <alignment horizontal="left" vertical="top" wrapText="1"/>
    </xf>
    <xf numFmtId="0" fontId="6" fillId="0" borderId="13" xfId="0" applyFont="1" applyBorder="1" applyAlignment="1">
      <alignment horizontal="left" vertical="top" wrapText="1"/>
    </xf>
    <xf numFmtId="0" fontId="10" fillId="3" borderId="25" xfId="0" applyFont="1" applyFill="1" applyBorder="1" applyAlignment="1">
      <alignment horizontal="left" vertical="top" wrapText="1"/>
    </xf>
    <xf numFmtId="0" fontId="10" fillId="3" borderId="2" xfId="0" applyFont="1" applyFill="1" applyBorder="1" applyAlignment="1">
      <alignment horizontal="left" vertical="top" wrapText="1"/>
    </xf>
    <xf numFmtId="0" fontId="15" fillId="4" borderId="3" xfId="0" applyFont="1" applyFill="1" applyBorder="1" applyAlignment="1">
      <alignment horizontal="center" vertical="top" wrapText="1"/>
    </xf>
    <xf numFmtId="0" fontId="10" fillId="11" borderId="3" xfId="0" applyFont="1" applyFill="1" applyBorder="1" applyAlignment="1">
      <alignment horizontal="left" vertical="top" wrapText="1"/>
    </xf>
    <xf numFmtId="0" fontId="10" fillId="14" borderId="3" xfId="0" applyFont="1" applyFill="1" applyBorder="1" applyAlignment="1">
      <alignment vertical="top" wrapText="1"/>
    </xf>
    <xf numFmtId="0" fontId="10" fillId="14" borderId="3" xfId="0" applyFont="1" applyFill="1" applyBorder="1" applyAlignment="1">
      <alignment horizontal="center" vertical="top" wrapText="1"/>
    </xf>
    <xf numFmtId="0" fontId="10" fillId="14" borderId="3" xfId="0" applyFont="1" applyFill="1" applyBorder="1" applyAlignment="1">
      <alignment vertical="top" wrapText="1"/>
    </xf>
    <xf numFmtId="0" fontId="6" fillId="4" borderId="3" xfId="0" applyFont="1" applyFill="1" applyBorder="1" applyAlignment="1">
      <alignment horizontal="left" vertical="top" wrapText="1"/>
    </xf>
    <xf numFmtId="0" fontId="6" fillId="4" borderId="0" xfId="0" applyFont="1" applyFill="1" applyAlignment="1">
      <alignment horizontal="left" vertical="top" wrapText="1"/>
    </xf>
    <xf numFmtId="0" fontId="10" fillId="4" borderId="0" xfId="0" applyFont="1" applyFill="1" applyAlignment="1">
      <alignment horizontal="left" vertical="top" wrapText="1"/>
    </xf>
    <xf numFmtId="0" fontId="15" fillId="3" borderId="3" xfId="0" applyFont="1" applyFill="1" applyBorder="1" applyAlignment="1">
      <alignment horizontal="left" vertical="top" wrapText="1"/>
    </xf>
    <xf numFmtId="0" fontId="15" fillId="3" borderId="7" xfId="0" applyFont="1" applyFill="1" applyBorder="1" applyAlignment="1">
      <alignment horizontal="left" vertical="top" wrapText="1"/>
    </xf>
    <xf numFmtId="0" fontId="15" fillId="4" borderId="2" xfId="0" applyFont="1" applyFill="1" applyBorder="1" applyAlignment="1">
      <alignment horizontal="left" vertical="top" wrapText="1"/>
    </xf>
    <xf numFmtId="0" fontId="15" fillId="4" borderId="13" xfId="0" applyFont="1" applyFill="1" applyBorder="1" applyAlignment="1">
      <alignment horizontal="left" vertical="top" wrapText="1"/>
    </xf>
    <xf numFmtId="0" fontId="17" fillId="4" borderId="3" xfId="0" applyFont="1" applyFill="1" applyBorder="1" applyAlignment="1">
      <alignment horizontal="left" vertical="top" wrapText="1"/>
    </xf>
    <xf numFmtId="0" fontId="15" fillId="3" borderId="3" xfId="0" applyFont="1" applyFill="1" applyBorder="1" applyAlignment="1">
      <alignment horizontal="center" vertical="top" wrapText="1"/>
    </xf>
    <xf numFmtId="0" fontId="15" fillId="3" borderId="3" xfId="0" applyFont="1" applyFill="1" applyBorder="1" applyAlignment="1">
      <alignment vertical="top" wrapText="1"/>
    </xf>
    <xf numFmtId="0" fontId="9" fillId="8" borderId="7" xfId="0" applyFont="1" applyFill="1" applyBorder="1" applyAlignment="1">
      <alignment horizontal="left" vertical="top" wrapText="1"/>
    </xf>
    <xf numFmtId="0" fontId="2" fillId="3" borderId="3" xfId="0" applyFont="1" applyFill="1" applyBorder="1" applyAlignment="1">
      <alignment vertical="top" wrapText="1"/>
    </xf>
    <xf numFmtId="0" fontId="7" fillId="0" borderId="3" xfId="0" applyFont="1" applyBorder="1" applyAlignment="1">
      <alignment horizontal="left" vertical="top" wrapText="1"/>
    </xf>
    <xf numFmtId="0" fontId="30" fillId="0" borderId="0" xfId="0" applyFont="1" applyAlignment="1">
      <alignment vertical="top" wrapText="1"/>
    </xf>
    <xf numFmtId="0" fontId="30" fillId="0" borderId="0" xfId="0" applyFont="1" applyAlignment="1">
      <alignment vertical="center"/>
    </xf>
    <xf numFmtId="0" fontId="10" fillId="4" borderId="18" xfId="0" applyFont="1" applyFill="1" applyBorder="1" applyAlignment="1">
      <alignment vertical="top" wrapText="1"/>
    </xf>
    <xf numFmtId="0" fontId="10" fillId="4" borderId="18" xfId="0" applyFont="1" applyFill="1" applyBorder="1" applyAlignment="1">
      <alignment horizontal="center" vertical="top" wrapText="1"/>
    </xf>
    <xf numFmtId="0" fontId="10" fillId="4" borderId="18" xfId="0" applyFont="1" applyFill="1" applyBorder="1" applyAlignment="1">
      <alignment horizontal="left" vertical="top" wrapText="1"/>
    </xf>
    <xf numFmtId="0" fontId="6" fillId="3" borderId="3" xfId="0" applyFont="1" applyFill="1" applyBorder="1" applyAlignment="1">
      <alignment vertical="top" wrapText="1"/>
    </xf>
    <xf numFmtId="0" fontId="24" fillId="10" borderId="0" xfId="0" applyFont="1" applyFill="1" applyAlignment="1">
      <alignment vertical="top" wrapText="1"/>
    </xf>
    <xf numFmtId="0" fontId="12" fillId="10" borderId="0" xfId="0" applyFont="1" applyFill="1" applyAlignment="1">
      <alignment horizontal="left" vertical="top" wrapText="1"/>
    </xf>
    <xf numFmtId="0" fontId="15" fillId="0" borderId="0" xfId="0" applyFont="1" applyAlignment="1">
      <alignment vertical="top" wrapText="1"/>
    </xf>
    <xf numFmtId="0" fontId="29" fillId="5" borderId="3" xfId="0" applyFont="1" applyFill="1" applyBorder="1" applyAlignment="1">
      <alignment vertical="top" wrapText="1"/>
    </xf>
    <xf numFmtId="0" fontId="7" fillId="5" borderId="3" xfId="0" applyFont="1" applyFill="1" applyBorder="1" applyAlignment="1">
      <alignment vertical="top" wrapText="1"/>
    </xf>
    <xf numFmtId="0" fontId="10" fillId="0" borderId="7" xfId="0" quotePrefix="1" applyFont="1" applyBorder="1" applyAlignment="1">
      <alignment horizontal="left" vertical="top" wrapText="1"/>
    </xf>
    <xf numFmtId="0" fontId="10" fillId="9" borderId="3" xfId="0" applyFont="1" applyFill="1" applyBorder="1" applyAlignment="1">
      <alignment horizontal="center" vertical="top" wrapText="1"/>
    </xf>
    <xf numFmtId="0" fontId="6" fillId="9" borderId="3" xfId="0" applyFont="1" applyFill="1" applyBorder="1" applyAlignment="1">
      <alignment vertical="top" wrapText="1"/>
    </xf>
    <xf numFmtId="0" fontId="6" fillId="3" borderId="16" xfId="0" applyFont="1" applyFill="1" applyBorder="1" applyAlignment="1">
      <alignment horizontal="center" vertical="top" wrapText="1"/>
    </xf>
    <xf numFmtId="0" fontId="6" fillId="9" borderId="16" xfId="0" applyFont="1" applyFill="1" applyBorder="1" applyAlignment="1">
      <alignment vertical="top" wrapText="1"/>
    </xf>
    <xf numFmtId="0" fontId="6" fillId="0" borderId="0" xfId="0" applyFont="1" applyAlignment="1">
      <alignment horizontal="center" vertical="center" wrapText="1"/>
    </xf>
    <xf numFmtId="0" fontId="6" fillId="0" borderId="0" xfId="0" applyFont="1" applyAlignment="1">
      <alignment horizontal="left" vertical="top"/>
    </xf>
    <xf numFmtId="0" fontId="8" fillId="0" borderId="5" xfId="0" applyFont="1" applyBorder="1" applyAlignment="1">
      <alignment horizontal="center" vertical="top" wrapText="1"/>
    </xf>
    <xf numFmtId="0" fontId="7" fillId="0" borderId="5" xfId="0" applyFont="1" applyBorder="1" applyAlignment="1">
      <alignment horizontal="center" vertical="top" wrapText="1"/>
    </xf>
    <xf numFmtId="0" fontId="32" fillId="0" borderId="5" xfId="0" applyFont="1" applyBorder="1" applyAlignment="1">
      <alignment horizontal="left" vertical="top" wrapText="1"/>
    </xf>
    <xf numFmtId="0" fontId="7" fillId="0" borderId="0" xfId="0" applyFont="1" applyAlignment="1">
      <alignment horizontal="left" vertical="top" wrapText="1"/>
    </xf>
    <xf numFmtId="10" fontId="6" fillId="0" borderId="0" xfId="0" applyNumberFormat="1" applyFont="1" applyAlignment="1">
      <alignment horizontal="center" vertical="top" wrapText="1"/>
    </xf>
    <xf numFmtId="0" fontId="10" fillId="4" borderId="3" xfId="0" applyFont="1" applyFill="1" applyBorder="1" applyAlignment="1">
      <alignment vertical="top" wrapText="1"/>
    </xf>
    <xf numFmtId="0" fontId="28" fillId="5" borderId="3" xfId="0" applyFont="1" applyFill="1" applyBorder="1" applyAlignment="1">
      <alignment horizontal="center" vertical="top" wrapText="1"/>
    </xf>
    <xf numFmtId="0" fontId="33" fillId="4" borderId="16" xfId="0" applyFont="1" applyFill="1" applyBorder="1" applyAlignment="1">
      <alignment horizontal="left" vertical="top" wrapText="1"/>
    </xf>
    <xf numFmtId="0" fontId="10" fillId="4" borderId="16" xfId="0" applyFont="1" applyFill="1" applyBorder="1" applyAlignment="1">
      <alignment vertical="top" wrapText="1"/>
    </xf>
    <xf numFmtId="0" fontId="28" fillId="5" borderId="16" xfId="0" applyFont="1" applyFill="1" applyBorder="1" applyAlignment="1">
      <alignment horizontal="center" vertical="top" wrapText="1"/>
    </xf>
    <xf numFmtId="0" fontId="17" fillId="0" borderId="7" xfId="0" applyFont="1" applyBorder="1" applyAlignment="1">
      <alignment horizontal="left" vertical="top" wrapText="1"/>
    </xf>
    <xf numFmtId="0" fontId="17" fillId="0" borderId="3" xfId="0" applyFont="1" applyBorder="1" applyAlignment="1">
      <alignment horizontal="left" vertical="top" wrapText="1"/>
    </xf>
    <xf numFmtId="0" fontId="6" fillId="0" borderId="9" xfId="0" applyFont="1" applyBorder="1" applyAlignment="1">
      <alignment vertical="top" wrapText="1"/>
    </xf>
    <xf numFmtId="0" fontId="6" fillId="0" borderId="8" xfId="0" applyFont="1" applyBorder="1" applyAlignment="1">
      <alignment vertical="top" wrapText="1"/>
    </xf>
    <xf numFmtId="0" fontId="8" fillId="0" borderId="3" xfId="0" applyFont="1" applyBorder="1" applyAlignment="1">
      <alignment horizontal="left" vertical="top" wrapText="1"/>
    </xf>
    <xf numFmtId="0" fontId="8" fillId="0" borderId="0" xfId="0" applyFont="1" applyAlignment="1">
      <alignment vertical="center"/>
    </xf>
    <xf numFmtId="0" fontId="8" fillId="0" borderId="0" xfId="0" applyFont="1" applyAlignment="1">
      <alignment horizontal="center" vertical="center"/>
    </xf>
    <xf numFmtId="0" fontId="8" fillId="0" borderId="0" xfId="0" applyFont="1" applyAlignment="1">
      <alignment horizontal="left" vertical="center"/>
    </xf>
    <xf numFmtId="0" fontId="25" fillId="2" borderId="3" xfId="0" applyFont="1" applyFill="1" applyBorder="1" applyAlignment="1">
      <alignment horizontal="center" vertical="top" wrapText="1"/>
    </xf>
    <xf numFmtId="0" fontId="7" fillId="2" borderId="3" xfId="0" applyFont="1" applyFill="1" applyBorder="1" applyAlignment="1">
      <alignment horizontal="center" vertical="top" wrapText="1"/>
    </xf>
    <xf numFmtId="0" fontId="6" fillId="2" borderId="3" xfId="0" applyFont="1" applyFill="1" applyBorder="1" applyAlignment="1">
      <alignment horizontal="center" vertical="top" wrapText="1"/>
    </xf>
    <xf numFmtId="0" fontId="6" fillId="2" borderId="3" xfId="0" applyFont="1" applyFill="1" applyBorder="1" applyAlignment="1">
      <alignment vertical="top" wrapText="1"/>
    </xf>
    <xf numFmtId="0" fontId="7" fillId="0" borderId="3" xfId="0" applyFont="1" applyBorder="1" applyAlignment="1">
      <alignment vertical="top" wrapText="1"/>
    </xf>
    <xf numFmtId="0" fontId="7" fillId="2" borderId="22" xfId="0" applyFont="1" applyFill="1" applyBorder="1" applyAlignment="1">
      <alignment horizontal="center" vertical="top" wrapText="1"/>
    </xf>
    <xf numFmtId="0" fontId="6" fillId="2" borderId="23" xfId="0" applyFont="1" applyFill="1" applyBorder="1" applyAlignment="1">
      <alignment horizontal="center" vertical="top" wrapText="1"/>
    </xf>
    <xf numFmtId="0" fontId="7" fillId="15" borderId="3" xfId="0" applyFont="1" applyFill="1" applyBorder="1" applyAlignment="1">
      <alignment horizontal="left" vertical="top" wrapText="1"/>
    </xf>
    <xf numFmtId="0" fontId="35" fillId="15" borderId="3" xfId="0" applyFont="1" applyFill="1" applyBorder="1" applyAlignment="1">
      <alignment horizontal="left" vertical="top" wrapText="1"/>
    </xf>
    <xf numFmtId="0" fontId="6" fillId="15" borderId="3" xfId="0" applyFont="1" applyFill="1" applyBorder="1" applyAlignment="1">
      <alignment horizontal="center" vertical="top" wrapText="1"/>
    </xf>
    <xf numFmtId="0" fontId="6" fillId="15" borderId="3" xfId="0" applyFont="1" applyFill="1" applyBorder="1" applyAlignment="1">
      <alignment horizontal="left" vertical="top" wrapText="1"/>
    </xf>
    <xf numFmtId="0" fontId="7" fillId="15" borderId="3" xfId="0" applyFont="1" applyFill="1" applyBorder="1" applyAlignment="1">
      <alignment horizontal="center" vertical="top" wrapText="1"/>
    </xf>
    <xf numFmtId="0" fontId="34" fillId="15" borderId="3" xfId="0" applyFont="1" applyFill="1" applyBorder="1" applyAlignment="1">
      <alignment horizontal="left" vertical="top" wrapText="1"/>
    </xf>
    <xf numFmtId="0" fontId="34" fillId="15" borderId="3" xfId="0" applyFont="1" applyFill="1" applyBorder="1" applyAlignment="1">
      <alignment horizontal="center" vertical="top" wrapText="1"/>
    </xf>
    <xf numFmtId="0" fontId="36" fillId="15" borderId="3" xfId="0" applyFont="1" applyFill="1" applyBorder="1" applyAlignment="1">
      <alignment horizontal="left" vertical="top" wrapText="1"/>
    </xf>
    <xf numFmtId="0" fontId="34" fillId="15" borderId="3" xfId="0" applyFont="1" applyFill="1" applyBorder="1" applyAlignment="1">
      <alignment horizontal="left" vertical="top" wrapText="1"/>
    </xf>
    <xf numFmtId="0" fontId="35" fillId="15" borderId="3" xfId="0" applyFont="1" applyFill="1" applyBorder="1" applyAlignment="1">
      <alignment horizontal="center" vertical="top" wrapText="1"/>
    </xf>
    <xf numFmtId="0" fontId="34" fillId="15" borderId="16" xfId="0" applyFont="1" applyFill="1" applyBorder="1" applyAlignment="1">
      <alignment horizontal="center" vertical="top" wrapText="1"/>
    </xf>
    <xf numFmtId="0" fontId="34" fillId="15" borderId="3" xfId="0" applyFont="1" applyFill="1" applyBorder="1" applyAlignment="1">
      <alignment vertical="top" wrapText="1"/>
    </xf>
    <xf numFmtId="0" fontId="37" fillId="0" borderId="26" xfId="0" applyFont="1" applyBorder="1" applyAlignment="1">
      <alignment horizontal="left" vertical="top" wrapText="1"/>
    </xf>
    <xf numFmtId="0" fontId="37" fillId="0" borderId="3" xfId="0" applyFont="1" applyBorder="1" applyAlignment="1">
      <alignment horizontal="left" vertical="top" wrapText="1"/>
    </xf>
    <xf numFmtId="0" fontId="10" fillId="4" borderId="18" xfId="0" applyFont="1" applyFill="1" applyBorder="1" applyAlignment="1">
      <alignment horizontal="left" vertical="top" wrapText="1"/>
    </xf>
    <xf numFmtId="0" fontId="12" fillId="10" borderId="7" xfId="0" applyFont="1" applyFill="1" applyBorder="1" applyAlignment="1">
      <alignment horizontal="left" vertical="top" wrapText="1"/>
    </xf>
    <xf numFmtId="0" fontId="12" fillId="10" borderId="7" xfId="0" applyFont="1" applyFill="1" applyBorder="1" applyAlignment="1">
      <alignment vertical="top" wrapText="1"/>
    </xf>
    <xf numFmtId="0" fontId="0" fillId="0" borderId="0" xfId="0" applyFont="1" applyAlignment="1">
      <alignment vertical="center"/>
    </xf>
    <xf numFmtId="0" fontId="12" fillId="17" borderId="3" xfId="0" applyFont="1" applyFill="1" applyBorder="1" applyAlignment="1">
      <alignment horizontal="center" vertical="top" wrapText="1"/>
    </xf>
    <xf numFmtId="0" fontId="12" fillId="16" borderId="3" xfId="0" applyFont="1" applyFill="1" applyBorder="1" applyAlignment="1">
      <alignment vertical="top" wrapText="1"/>
    </xf>
    <xf numFmtId="0" fontId="12" fillId="16" borderId="3" xfId="0" applyFont="1" applyFill="1" applyBorder="1" applyAlignment="1">
      <alignment horizontal="center" vertical="top" wrapText="1"/>
    </xf>
    <xf numFmtId="0" fontId="12" fillId="16" borderId="7" xfId="0" applyFont="1" applyFill="1" applyBorder="1" applyAlignment="1">
      <alignment horizontal="left" vertical="top" wrapText="1"/>
    </xf>
    <xf numFmtId="0" fontId="12" fillId="18" borderId="3" xfId="0" applyFont="1" applyFill="1" applyBorder="1" applyAlignment="1">
      <alignment vertical="top" wrapText="1"/>
    </xf>
    <xf numFmtId="0" fontId="12" fillId="18" borderId="3" xfId="0" applyFont="1" applyFill="1" applyBorder="1" applyAlignment="1">
      <alignment horizontal="center" vertical="top" wrapText="1"/>
    </xf>
    <xf numFmtId="0" fontId="12" fillId="18" borderId="7" xfId="0" applyFont="1" applyFill="1" applyBorder="1" applyAlignment="1">
      <alignment horizontal="left" vertical="top" wrapText="1"/>
    </xf>
    <xf numFmtId="0" fontId="12" fillId="16" borderId="3" xfId="0" applyFont="1" applyFill="1" applyBorder="1" applyAlignment="1">
      <alignment horizontal="left" vertical="top" wrapText="1"/>
    </xf>
    <xf numFmtId="0" fontId="12" fillId="16" borderId="9" xfId="0" applyFont="1" applyFill="1" applyBorder="1" applyAlignment="1">
      <alignment horizontal="left" vertical="top" wrapText="1"/>
    </xf>
    <xf numFmtId="0" fontId="12" fillId="17" borderId="16" xfId="0" applyFont="1" applyFill="1" applyBorder="1" applyAlignment="1">
      <alignment horizontal="center" vertical="top" wrapText="1"/>
    </xf>
    <xf numFmtId="0" fontId="12" fillId="17" borderId="22" xfId="0" applyFont="1" applyFill="1" applyBorder="1" applyAlignment="1">
      <alignment horizontal="center" vertical="top" wrapText="1"/>
    </xf>
    <xf numFmtId="0" fontId="12" fillId="17" borderId="3" xfId="0" applyFont="1" applyFill="1" applyBorder="1" applyAlignment="1">
      <alignment horizontal="left" vertical="top" wrapText="1"/>
    </xf>
    <xf numFmtId="0" fontId="12" fillId="17" borderId="3" xfId="0" applyFont="1" applyFill="1" applyBorder="1" applyAlignment="1">
      <alignment vertical="top" wrapText="1"/>
    </xf>
    <xf numFmtId="0" fontId="12" fillId="17" borderId="16" xfId="0" applyFont="1" applyFill="1" applyBorder="1" applyAlignment="1">
      <alignment horizontal="left" vertical="top" wrapText="1"/>
    </xf>
    <xf numFmtId="0" fontId="12" fillId="17" borderId="7" xfId="0" applyFont="1" applyFill="1" applyBorder="1" applyAlignment="1">
      <alignment horizontal="left" vertical="top" wrapText="1"/>
    </xf>
    <xf numFmtId="0" fontId="12" fillId="17" borderId="18" xfId="0" applyFont="1" applyFill="1" applyBorder="1" applyAlignment="1">
      <alignment horizontal="center" vertical="top" wrapText="1"/>
    </xf>
    <xf numFmtId="0" fontId="12" fillId="16" borderId="8" xfId="0" applyFont="1" applyFill="1" applyBorder="1" applyAlignment="1">
      <alignment horizontal="left" vertical="top" wrapText="1"/>
    </xf>
    <xf numFmtId="0" fontId="1" fillId="0" borderId="9" xfId="0" applyFont="1" applyBorder="1" applyAlignment="1">
      <alignment vertical="center"/>
    </xf>
    <xf numFmtId="0" fontId="1" fillId="0" borderId="8" xfId="0" applyFont="1" applyBorder="1" applyAlignment="1">
      <alignment vertical="center"/>
    </xf>
    <xf numFmtId="0" fontId="1" fillId="0" borderId="6" xfId="0" applyFont="1" applyBorder="1" applyAlignment="1">
      <alignment vertical="center"/>
    </xf>
    <xf numFmtId="0" fontId="1" fillId="0" borderId="13" xfId="0" applyFont="1" applyBorder="1" applyAlignment="1">
      <alignment vertical="center"/>
    </xf>
    <xf numFmtId="0" fontId="1" fillId="0" borderId="11" xfId="0" applyFont="1" applyBorder="1" applyAlignment="1">
      <alignment vertical="center"/>
    </xf>
    <xf numFmtId="0" fontId="1" fillId="0" borderId="14" xfId="0" applyFont="1" applyBorder="1" applyAlignment="1">
      <alignment vertical="center"/>
    </xf>
    <xf numFmtId="0" fontId="6" fillId="4" borderId="7" xfId="0" applyFont="1" applyFill="1" applyBorder="1" applyAlignment="1">
      <alignment horizontal="center" vertical="top" wrapText="1"/>
    </xf>
    <xf numFmtId="0" fontId="12" fillId="10" borderId="7" xfId="0" applyFont="1" applyFill="1" applyBorder="1" applyAlignment="1">
      <alignment horizontal="left" vertical="top" wrapText="1"/>
    </xf>
    <xf numFmtId="0" fontId="12" fillId="16" borderId="9" xfId="0" applyFont="1" applyFill="1" applyBorder="1" applyAlignment="1">
      <alignment vertical="center"/>
    </xf>
    <xf numFmtId="0" fontId="12" fillId="16" borderId="8" xfId="0" applyFont="1" applyFill="1" applyBorder="1" applyAlignment="1">
      <alignment vertical="center"/>
    </xf>
    <xf numFmtId="0" fontId="12" fillId="10" borderId="7" xfId="0" applyFont="1" applyFill="1" applyBorder="1" applyAlignment="1">
      <alignment horizontal="center" vertical="top" wrapText="1"/>
    </xf>
    <xf numFmtId="0" fontId="6" fillId="4" borderId="7" xfId="0" applyFont="1" applyFill="1" applyBorder="1" applyAlignment="1">
      <alignment horizontal="left" vertical="top" wrapText="1"/>
    </xf>
    <xf numFmtId="0" fontId="10" fillId="4" borderId="7" xfId="0" applyFont="1" applyFill="1" applyBorder="1" applyAlignment="1">
      <alignment horizontal="left" vertical="top" wrapText="1"/>
    </xf>
    <xf numFmtId="0" fontId="12" fillId="10" borderId="9" xfId="0" applyFont="1" applyFill="1" applyBorder="1" applyAlignment="1">
      <alignment horizontal="left" vertical="top" wrapText="1"/>
    </xf>
    <xf numFmtId="0" fontId="12" fillId="10" borderId="17" xfId="0" applyFont="1" applyFill="1" applyBorder="1" applyAlignment="1">
      <alignment horizontal="center" vertical="top" wrapText="1"/>
    </xf>
    <xf numFmtId="0" fontId="10" fillId="4" borderId="7" xfId="0" applyFont="1" applyFill="1" applyBorder="1" applyAlignment="1">
      <alignment vertical="top" wrapText="1"/>
    </xf>
    <xf numFmtId="0" fontId="10" fillId="4" borderId="7" xfId="0" applyFont="1" applyFill="1" applyBorder="1" applyAlignment="1">
      <alignment horizontal="center" vertical="top" wrapText="1"/>
    </xf>
    <xf numFmtId="0" fontId="12" fillId="10" borderId="7" xfId="0" applyFont="1" applyFill="1" applyBorder="1" applyAlignment="1">
      <alignment vertical="top" wrapText="1"/>
    </xf>
    <xf numFmtId="0" fontId="10" fillId="5" borderId="7" xfId="0" applyFont="1" applyFill="1" applyBorder="1" applyAlignment="1">
      <alignment horizontal="left" vertical="top" wrapText="1"/>
    </xf>
    <xf numFmtId="0" fontId="6" fillId="0" borderId="7" xfId="0" applyFont="1" applyBorder="1" applyAlignment="1">
      <alignment horizontal="center" vertical="top" wrapText="1"/>
    </xf>
    <xf numFmtId="0" fontId="6" fillId="0" borderId="7" xfId="0" applyFont="1" applyBorder="1" applyAlignment="1">
      <alignment horizontal="left" vertical="top" wrapText="1"/>
    </xf>
    <xf numFmtId="0" fontId="10" fillId="0" borderId="7" xfId="0" applyFont="1" applyBorder="1" applyAlignment="1">
      <alignment horizontal="left" vertical="top" wrapText="1"/>
    </xf>
    <xf numFmtId="0" fontId="6" fillId="3" borderId="7" xfId="0" applyFont="1" applyFill="1" applyBorder="1" applyAlignment="1">
      <alignment horizontal="left" vertical="top" wrapText="1"/>
    </xf>
    <xf numFmtId="0" fontId="6" fillId="3" borderId="7" xfId="0" applyFont="1" applyFill="1" applyBorder="1" applyAlignment="1">
      <alignment horizontal="center" vertical="top" wrapText="1"/>
    </xf>
    <xf numFmtId="0" fontId="6" fillId="4" borderId="7" xfId="0" applyFont="1" applyFill="1" applyBorder="1" applyAlignment="1">
      <alignment vertical="top" wrapText="1"/>
    </xf>
    <xf numFmtId="0" fontId="1" fillId="0" borderId="19" xfId="0" applyFont="1" applyBorder="1" applyAlignment="1">
      <alignment vertical="center"/>
    </xf>
    <xf numFmtId="0" fontId="16" fillId="10" borderId="7" xfId="0" applyFont="1" applyFill="1" applyBorder="1" applyAlignment="1">
      <alignment horizontal="left" vertical="top" wrapText="1"/>
    </xf>
    <xf numFmtId="0" fontId="10" fillId="0" borderId="7" xfId="0" applyFont="1" applyBorder="1" applyAlignment="1">
      <alignment horizontal="center" vertical="top" wrapText="1"/>
    </xf>
    <xf numFmtId="0" fontId="6" fillId="0" borderId="7" xfId="0" applyFont="1" applyBorder="1" applyAlignment="1">
      <alignment vertical="top" wrapText="1"/>
    </xf>
    <xf numFmtId="0" fontId="10" fillId="4" borderId="7" xfId="0" quotePrefix="1" applyFont="1" applyFill="1" applyBorder="1" applyAlignment="1">
      <alignment horizontal="center" vertical="top" wrapText="1"/>
    </xf>
    <xf numFmtId="0" fontId="22" fillId="0" borderId="7" xfId="0" applyFont="1" applyBorder="1" applyAlignment="1">
      <alignment horizontal="center" vertical="top" wrapText="1"/>
    </xf>
    <xf numFmtId="0" fontId="23" fillId="10" borderId="7" xfId="0" applyFont="1" applyFill="1" applyBorder="1" applyAlignment="1">
      <alignment horizontal="center" vertical="top" wrapText="1"/>
    </xf>
    <xf numFmtId="0" fontId="6" fillId="3" borderId="7" xfId="0" applyFont="1" applyFill="1" applyBorder="1" applyAlignment="1">
      <alignment vertical="top" wrapText="1"/>
    </xf>
    <xf numFmtId="0" fontId="10" fillId="5" borderId="7" xfId="0" applyFont="1" applyFill="1" applyBorder="1" applyAlignment="1">
      <alignment vertical="top" wrapText="1"/>
    </xf>
    <xf numFmtId="0" fontId="10" fillId="3" borderId="7" xfId="0" applyFont="1" applyFill="1" applyBorder="1" applyAlignment="1">
      <alignment horizontal="left" vertical="top" wrapText="1"/>
    </xf>
    <xf numFmtId="0" fontId="6" fillId="4" borderId="9" xfId="0" applyFont="1" applyFill="1" applyBorder="1" applyAlignment="1">
      <alignment vertical="top" wrapText="1"/>
    </xf>
    <xf numFmtId="0" fontId="6" fillId="5" borderId="7" xfId="0" applyFont="1" applyFill="1" applyBorder="1" applyAlignment="1">
      <alignment vertical="top" wrapText="1"/>
    </xf>
    <xf numFmtId="0" fontId="6" fillId="3" borderId="9" xfId="0" applyFont="1" applyFill="1" applyBorder="1" applyAlignment="1">
      <alignment horizontal="left" vertical="top" wrapText="1"/>
    </xf>
    <xf numFmtId="0" fontId="22" fillId="4" borderId="7" xfId="0" applyFont="1" applyFill="1" applyBorder="1" applyAlignment="1">
      <alignment horizontal="center" vertical="top" wrapText="1"/>
    </xf>
    <xf numFmtId="0" fontId="21" fillId="5" borderId="7" xfId="0" applyFont="1" applyFill="1" applyBorder="1" applyAlignment="1">
      <alignment vertical="top" wrapText="1"/>
    </xf>
    <xf numFmtId="0" fontId="12" fillId="16" borderId="19" xfId="0" applyFont="1" applyFill="1" applyBorder="1" applyAlignment="1">
      <alignment vertical="center"/>
    </xf>
    <xf numFmtId="0" fontId="12" fillId="10" borderId="9" xfId="0" applyFont="1" applyFill="1" applyBorder="1" applyAlignment="1">
      <alignment vertical="top" wrapText="1"/>
    </xf>
    <xf numFmtId="0" fontId="21" fillId="5" borderId="17" xfId="0" applyFont="1" applyFill="1" applyBorder="1" applyAlignment="1">
      <alignment vertical="top" wrapText="1"/>
    </xf>
    <xf numFmtId="0" fontId="12" fillId="17" borderId="7" xfId="0" applyFont="1" applyFill="1" applyBorder="1" applyAlignment="1">
      <alignment horizontal="left" vertical="top" wrapText="1"/>
    </xf>
    <xf numFmtId="0" fontId="12" fillId="17" borderId="7" xfId="0" applyFont="1" applyFill="1" applyBorder="1" applyAlignment="1">
      <alignment horizontal="center" vertical="top" wrapText="1"/>
    </xf>
    <xf numFmtId="0" fontId="6" fillId="5" borderId="7" xfId="0" applyFont="1" applyFill="1" applyBorder="1" applyAlignment="1">
      <alignment horizontal="center" vertical="top" wrapText="1"/>
    </xf>
    <xf numFmtId="0" fontId="10" fillId="5" borderId="7" xfId="0" applyFont="1" applyFill="1" applyBorder="1" applyAlignment="1">
      <alignment horizontal="center" vertical="top" wrapText="1"/>
    </xf>
    <xf numFmtId="0" fontId="14" fillId="5" borderId="7" xfId="0" applyFont="1" applyFill="1" applyBorder="1" applyAlignment="1">
      <alignment horizontal="center" vertical="top" wrapText="1"/>
    </xf>
    <xf numFmtId="0" fontId="10" fillId="0" borderId="7" xfId="0" applyFont="1" applyBorder="1" applyAlignment="1">
      <alignment vertical="top" wrapText="1"/>
    </xf>
    <xf numFmtId="0" fontId="10" fillId="13" borderId="7" xfId="0" applyFont="1" applyFill="1" applyBorder="1" applyAlignment="1">
      <alignment horizontal="center" vertical="top" wrapText="1"/>
    </xf>
    <xf numFmtId="0" fontId="10" fillId="4" borderId="9" xfId="0" applyFont="1" applyFill="1" applyBorder="1" applyAlignment="1">
      <alignment horizontal="left" vertical="top" wrapText="1"/>
    </xf>
    <xf numFmtId="0" fontId="10" fillId="4" borderId="17" xfId="0" applyFont="1" applyFill="1" applyBorder="1" applyAlignment="1">
      <alignment horizontal="left" vertical="top" wrapText="1"/>
    </xf>
    <xf numFmtId="0" fontId="10" fillId="4" borderId="17" xfId="0" applyFont="1" applyFill="1" applyBorder="1" applyAlignment="1">
      <alignment horizontal="center" vertical="top" wrapText="1"/>
    </xf>
    <xf numFmtId="0" fontId="6" fillId="0" borderId="9" xfId="0" applyFont="1" applyBorder="1" applyAlignment="1">
      <alignment horizontal="left" vertical="top" wrapText="1"/>
    </xf>
    <xf numFmtId="0" fontId="6" fillId="0" borderId="2" xfId="0" applyFont="1" applyBorder="1" applyAlignment="1">
      <alignment horizontal="left" vertical="top" wrapText="1"/>
    </xf>
    <xf numFmtId="0" fontId="6" fillId="0" borderId="11" xfId="0" applyFont="1" applyBorder="1" applyAlignment="1">
      <alignment horizontal="left" vertical="top" wrapText="1"/>
    </xf>
    <xf numFmtId="0" fontId="10" fillId="0" borderId="9" xfId="0" applyFont="1" applyBorder="1" applyAlignment="1">
      <alignment horizontal="center" vertical="top" wrapText="1"/>
    </xf>
    <xf numFmtId="0" fontId="10" fillId="3" borderId="7" xfId="0" applyFont="1" applyFill="1" applyBorder="1" applyAlignment="1">
      <alignment horizontal="center" vertical="top" wrapText="1"/>
    </xf>
    <xf numFmtId="0" fontId="6" fillId="4" borderId="9" xfId="0" applyFont="1" applyFill="1" applyBorder="1" applyAlignment="1">
      <alignment horizontal="left" vertical="top" wrapText="1"/>
    </xf>
    <xf numFmtId="0" fontId="17" fillId="4" borderId="7" xfId="0" applyFont="1" applyFill="1" applyBorder="1" applyAlignment="1">
      <alignment horizontal="center" vertical="top" wrapText="1"/>
    </xf>
    <xf numFmtId="0" fontId="15" fillId="3" borderId="7" xfId="0" applyFont="1" applyFill="1" applyBorder="1" applyAlignment="1">
      <alignment horizontal="left" vertical="top" wrapText="1"/>
    </xf>
    <xf numFmtId="0" fontId="15" fillId="3" borderId="7" xfId="0" applyFont="1" applyFill="1" applyBorder="1" applyAlignment="1">
      <alignment horizontal="center" vertical="top" wrapText="1"/>
    </xf>
    <xf numFmtId="0" fontId="19" fillId="4" borderId="7" xfId="0" applyFont="1" applyFill="1" applyBorder="1" applyAlignment="1">
      <alignment horizontal="left" vertical="top" wrapText="1"/>
    </xf>
    <xf numFmtId="0" fontId="6" fillId="4" borderId="2" xfId="0" applyFont="1" applyFill="1" applyBorder="1" applyAlignment="1">
      <alignment horizontal="left" vertical="top" wrapText="1"/>
    </xf>
    <xf numFmtId="0" fontId="12" fillId="16" borderId="11" xfId="0" applyFont="1" applyFill="1" applyBorder="1" applyAlignment="1">
      <alignment vertical="center"/>
    </xf>
    <xf numFmtId="0" fontId="12" fillId="16" borderId="24" xfId="0" applyFont="1" applyFill="1" applyBorder="1" applyAlignment="1">
      <alignment vertical="center"/>
    </xf>
    <xf numFmtId="0" fontId="31" fillId="3" borderId="7" xfId="0" applyFont="1" applyFill="1" applyBorder="1" applyAlignment="1">
      <alignment horizontal="left" vertical="top" wrapText="1"/>
    </xf>
    <xf numFmtId="0" fontId="6" fillId="0" borderId="7" xfId="0" quotePrefix="1" applyFont="1" applyBorder="1" applyAlignment="1">
      <alignment horizontal="center" vertical="top" wrapText="1"/>
    </xf>
    <xf numFmtId="0" fontId="17" fillId="0" borderId="7" xfId="0" applyFont="1" applyBorder="1" applyAlignment="1">
      <alignment horizontal="left" vertical="top" wrapText="1"/>
    </xf>
    <xf numFmtId="0" fontId="8" fillId="0" borderId="7" xfId="0" applyFont="1" applyBorder="1" applyAlignment="1">
      <alignment horizontal="left" vertical="top" wrapText="1"/>
    </xf>
    <xf numFmtId="0" fontId="8" fillId="0" borderId="7" xfId="0" applyFont="1" applyBorder="1" applyAlignment="1">
      <alignment horizontal="center" vertical="top" wrapText="1"/>
    </xf>
    <xf numFmtId="0" fontId="8" fillId="0" borderId="7" xfId="0" quotePrefix="1" applyFont="1" applyBorder="1" applyAlignment="1">
      <alignment horizontal="center" vertical="top" wrapText="1"/>
    </xf>
    <xf numFmtId="0" fontId="8" fillId="3" borderId="7" xfId="0" applyFont="1" applyFill="1" applyBorder="1" applyAlignment="1">
      <alignment vertical="top" wrapText="1"/>
    </xf>
    <xf numFmtId="0" fontId="8" fillId="3" borderId="7" xfId="0" quotePrefix="1" applyFont="1" applyFill="1" applyBorder="1" applyAlignment="1">
      <alignment horizontal="center" vertical="top" wrapText="1"/>
    </xf>
    <xf numFmtId="0" fontId="7" fillId="0" borderId="7" xfId="0" applyFont="1" applyBorder="1" applyAlignment="1">
      <alignment vertical="top" wrapText="1"/>
    </xf>
    <xf numFmtId="0" fontId="7" fillId="0" borderId="7" xfId="0" applyFont="1" applyBorder="1" applyAlignment="1">
      <alignment horizontal="left" vertical="top" wrapText="1"/>
    </xf>
    <xf numFmtId="0" fontId="6" fillId="2" borderId="7" xfId="0" applyFont="1" applyFill="1" applyBorder="1" applyAlignment="1">
      <alignment vertical="top" wrapText="1"/>
    </xf>
    <xf numFmtId="0" fontId="6" fillId="2" borderId="7" xfId="0" applyFont="1" applyFill="1" applyBorder="1" applyAlignment="1">
      <alignment horizontal="center" vertical="top" wrapText="1"/>
    </xf>
    <xf numFmtId="0" fontId="7" fillId="2" borderId="12" xfId="0" applyFont="1" applyFill="1" applyBorder="1" applyAlignment="1">
      <alignment horizontal="left" vertical="top" wrapText="1"/>
    </xf>
    <xf numFmtId="0" fontId="34" fillId="15" borderId="7" xfId="0" applyFont="1" applyFill="1" applyBorder="1" applyAlignment="1">
      <alignment horizontal="center" vertical="top" wrapText="1"/>
    </xf>
    <xf numFmtId="0" fontId="6" fillId="15" borderId="7" xfId="0" applyFont="1" applyFill="1" applyBorder="1" applyAlignment="1">
      <alignment horizontal="center" vertical="top" wrapText="1"/>
    </xf>
    <xf numFmtId="0" fontId="35" fillId="15" borderId="7" xfId="0" applyFont="1" applyFill="1" applyBorder="1" applyAlignment="1">
      <alignment vertical="top" wrapText="1"/>
    </xf>
    <xf numFmtId="0" fontId="9" fillId="2" borderId="12" xfId="0" applyFont="1" applyFill="1" applyBorder="1" applyAlignment="1">
      <alignment horizontal="left" vertical="top" wrapText="1"/>
    </xf>
    <xf numFmtId="165" fontId="6" fillId="2" borderId="7" xfId="0" quotePrefix="1" applyNumberFormat="1" applyFont="1" applyFill="1" applyBorder="1" applyAlignment="1">
      <alignment horizontal="center" vertical="top" wrapText="1"/>
    </xf>
    <xf numFmtId="0" fontId="10" fillId="4" borderId="20" xfId="0" applyFont="1" applyFill="1" applyBorder="1" applyAlignment="1">
      <alignment horizontal="left" vertical="top" wrapText="1"/>
    </xf>
    <xf numFmtId="0" fontId="10" fillId="3" borderId="18" xfId="0" applyFont="1" applyFill="1" applyBorder="1" applyAlignment="1">
      <alignment horizontal="left" vertical="top" wrapText="1"/>
    </xf>
    <xf numFmtId="0" fontId="6" fillId="0" borderId="16" xfId="0" applyFont="1" applyBorder="1" applyAlignment="1">
      <alignment horizontal="left" vertical="top" wrapText="1"/>
    </xf>
    <xf numFmtId="0" fontId="6" fillId="0" borderId="22" xfId="0" applyFont="1" applyBorder="1" applyAlignment="1">
      <alignment horizontal="left" vertical="top" wrapText="1"/>
    </xf>
    <xf numFmtId="0" fontId="6" fillId="3" borderId="16" xfId="0" applyFont="1" applyFill="1" applyBorder="1" applyAlignment="1">
      <alignment vertical="top" wrapText="1"/>
    </xf>
    <xf numFmtId="0" fontId="6" fillId="3" borderId="16" xfId="0" applyFont="1" applyFill="1" applyBorder="1" applyAlignment="1">
      <alignment horizontal="left" vertical="top" wrapText="1"/>
    </xf>
    <xf numFmtId="0" fontId="6" fillId="0" borderId="18" xfId="0" applyFont="1" applyBorder="1" applyAlignment="1">
      <alignment horizontal="left" vertical="top" wrapText="1"/>
    </xf>
    <xf numFmtId="0" fontId="6" fillId="0" borderId="16" xfId="0" applyFont="1" applyBorder="1" applyAlignment="1">
      <alignment vertical="top" wrapText="1"/>
    </xf>
    <xf numFmtId="0" fontId="10" fillId="3" borderId="16" xfId="0" applyFont="1" applyFill="1" applyBorder="1" applyAlignment="1">
      <alignment vertical="top" wrapText="1"/>
    </xf>
    <xf numFmtId="0" fontId="1" fillId="0" borderId="22" xfId="0" applyFont="1" applyBorder="1" applyAlignment="1">
      <alignment vertical="center"/>
    </xf>
    <xf numFmtId="0" fontId="1" fillId="0" borderId="18" xfId="0" applyFont="1" applyBorder="1" applyAlignment="1">
      <alignment vertical="center"/>
    </xf>
    <xf numFmtId="0" fontId="4" fillId="3" borderId="16" xfId="0" applyFont="1" applyFill="1" applyBorder="1" applyAlignment="1">
      <alignment horizontal="left" vertical="top" wrapText="1"/>
    </xf>
    <xf numFmtId="0" fontId="10" fillId="3" borderId="18" xfId="0" applyFont="1" applyFill="1" applyBorder="1" applyAlignment="1">
      <alignment vertical="top" wrapText="1"/>
    </xf>
    <xf numFmtId="0" fontId="10" fillId="4" borderId="23" xfId="0" applyFont="1" applyFill="1" applyBorder="1" applyAlignment="1">
      <alignment horizontal="left" vertical="top" wrapText="1"/>
    </xf>
    <xf numFmtId="0" fontId="10" fillId="3" borderId="23" xfId="0" applyFont="1" applyFill="1" applyBorder="1" applyAlignment="1">
      <alignment horizontal="left" vertical="top" wrapText="1"/>
    </xf>
    <xf numFmtId="0" fontId="10" fillId="0" borderId="23" xfId="0" applyFont="1" applyBorder="1" applyAlignment="1">
      <alignment horizontal="left" vertical="top" wrapText="1"/>
    </xf>
    <xf numFmtId="0" fontId="6" fillId="0" borderId="23" xfId="0" applyFont="1" applyBorder="1" applyAlignment="1">
      <alignment horizontal="left" vertical="top" wrapText="1"/>
    </xf>
    <xf numFmtId="0" fontId="10" fillId="3" borderId="27" xfId="0" applyFont="1" applyFill="1" applyBorder="1" applyAlignment="1">
      <alignment horizontal="left" vertical="top" wrapText="1"/>
    </xf>
    <xf numFmtId="0" fontId="15" fillId="4" borderId="23" xfId="0" applyFont="1" applyFill="1" applyBorder="1" applyAlignment="1">
      <alignment horizontal="left" vertical="top" wrapText="1"/>
    </xf>
  </cellXfs>
  <cellStyles count="1">
    <cellStyle name="Normal" xfId="0" builtinId="0"/>
  </cellStyles>
  <dxfs count="1489">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ill>
        <patternFill patternType="solid">
          <fgColor rgb="FFD8D8D8"/>
          <bgColor rgb="FFD8D8D8"/>
        </patternFill>
      </fill>
    </dxf>
    <dxf>
      <fill>
        <patternFill patternType="solid">
          <fgColor rgb="FFD8D8D8"/>
          <bgColor rgb="FFD8D8D8"/>
        </patternFill>
      </fill>
    </dxf>
    <dxf>
      <fill>
        <patternFill patternType="solid">
          <fgColor rgb="FFD8D8D8"/>
          <bgColor rgb="FFD8D8D8"/>
        </patternFill>
      </fill>
    </dxf>
    <dxf>
      <fill>
        <patternFill patternType="solid">
          <fgColor rgb="FFD8D8D8"/>
          <bgColor rgb="FFD8D8D8"/>
        </patternFill>
      </fill>
    </dxf>
    <dxf>
      <fill>
        <patternFill patternType="solid">
          <fgColor rgb="FFD8D8D8"/>
          <bgColor rgb="FFD8D8D8"/>
        </patternFill>
      </fill>
    </dxf>
    <dxf>
      <fill>
        <patternFill patternType="solid">
          <fgColor rgb="FFD8D8D8"/>
          <bgColor rgb="FFD8D8D8"/>
        </patternFill>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ill>
        <patternFill patternType="solid">
          <fgColor rgb="FFD8D8D8"/>
          <bgColor rgb="FFD8D8D8"/>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36" Type="http://schemas.microsoft.com/office/2017/10/relationships/person" Target="persons/perso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persons/person.xml><?xml version="1.0" encoding="utf-8"?>
<x18tc:personList xmlns:x18tc="http://schemas.microsoft.com/office/spreadsheetml/2018/threadedcomments">
  <x18tc:person displayName="ADMIN" id="{2b2ec37f-db61-43d8-95f8-993dd2fc905f}" providerId="google-sheets"/>
  <x18tc:person displayName="admin" id="{0928e0ed-7c0d-4152-9042-9ed56d17a2a5}" providerId="google-sheets"/>
</x18tc:personList>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2E75B5"/>
  </sheetPr>
  <dimension ref="A1:AA1000"/>
  <sheetViews>
    <sheetView workbookViewId="0">
      <pane ySplit="2" topLeftCell="A3" activePane="bottomLeft" state="frozen"/>
      <selection pane="bottomLeft" activeCell="F4" sqref="F4:F5"/>
    </sheetView>
  </sheetViews>
  <sheetFormatPr defaultColWidth="14.42578125" defaultRowHeight="15" customHeight="1"/>
  <cols>
    <col min="1" max="1" width="34.42578125" customWidth="1"/>
    <col min="2" max="2" width="12" customWidth="1"/>
    <col min="3" max="3" width="9" customWidth="1"/>
    <col min="4" max="4" width="43.28515625" customWidth="1"/>
    <col min="5" max="5" width="57.28515625" customWidth="1"/>
    <col min="6" max="7" width="5.42578125" customWidth="1"/>
    <col min="8" max="8" width="43.28515625" customWidth="1"/>
    <col min="9" max="9" width="65.85546875" customWidth="1"/>
    <col min="10" max="10" width="43.140625" style="326" customWidth="1"/>
    <col min="11" max="11" width="10.5703125" customWidth="1"/>
    <col min="12" max="12" width="15.85546875" customWidth="1"/>
    <col min="13" max="13" width="18.42578125" customWidth="1"/>
    <col min="14" max="15" width="9" customWidth="1"/>
    <col min="16" max="17" width="7.42578125" customWidth="1"/>
    <col min="18" max="18" width="29.5703125" customWidth="1"/>
    <col min="19" max="19" width="7.42578125" customWidth="1"/>
    <col min="20" max="27" width="9" customWidth="1"/>
  </cols>
  <sheetData>
    <row r="1" spans="1:27" ht="39.75" customHeight="1">
      <c r="A1" s="8"/>
      <c r="B1" s="8" t="s">
        <v>266</v>
      </c>
      <c r="C1" s="3"/>
      <c r="D1" s="8"/>
      <c r="E1" s="9"/>
      <c r="F1" s="3"/>
      <c r="G1" s="3"/>
      <c r="H1" s="7"/>
      <c r="I1" s="7"/>
      <c r="J1" s="10"/>
      <c r="K1" s="10"/>
      <c r="L1" s="3"/>
      <c r="M1" s="3"/>
      <c r="N1" s="3"/>
      <c r="O1" s="11"/>
      <c r="P1" s="11"/>
      <c r="Q1" s="11"/>
      <c r="R1" s="11"/>
      <c r="S1" s="11"/>
    </row>
    <row r="2" spans="1:27" ht="39" customHeight="1">
      <c r="A2" s="12" t="s">
        <v>309</v>
      </c>
      <c r="B2" s="12" t="s">
        <v>310</v>
      </c>
      <c r="C2" s="12" t="s">
        <v>311</v>
      </c>
      <c r="D2" s="12" t="s">
        <v>312</v>
      </c>
      <c r="E2" s="12" t="s">
        <v>313</v>
      </c>
      <c r="F2" s="12" t="s">
        <v>314</v>
      </c>
      <c r="G2" s="12" t="s">
        <v>315</v>
      </c>
      <c r="H2" s="12" t="s">
        <v>316</v>
      </c>
      <c r="I2" s="12" t="s">
        <v>317</v>
      </c>
      <c r="J2" s="70" t="s">
        <v>7999</v>
      </c>
      <c r="K2" s="12" t="s">
        <v>291</v>
      </c>
      <c r="L2" s="12" t="s">
        <v>318</v>
      </c>
      <c r="M2" s="12" t="s">
        <v>293</v>
      </c>
      <c r="N2" s="13"/>
      <c r="O2" s="12" t="s">
        <v>319</v>
      </c>
      <c r="P2" s="12" t="s">
        <v>320</v>
      </c>
      <c r="Q2" s="12" t="s">
        <v>321</v>
      </c>
      <c r="R2" s="12" t="s">
        <v>1</v>
      </c>
      <c r="S2" s="12" t="s">
        <v>322</v>
      </c>
      <c r="T2" s="14"/>
      <c r="U2" s="14"/>
      <c r="V2" s="14"/>
      <c r="W2" s="14"/>
      <c r="X2" s="14"/>
      <c r="Y2" s="14"/>
      <c r="Z2" s="14"/>
      <c r="AA2" s="14"/>
    </row>
    <row r="3" spans="1:27" ht="56.25">
      <c r="A3" s="15" t="s">
        <v>323</v>
      </c>
      <c r="B3" s="16"/>
      <c r="C3" s="16"/>
      <c r="D3" s="17"/>
      <c r="E3" s="18"/>
      <c r="F3" s="19"/>
      <c r="G3" s="19"/>
      <c r="H3" s="17"/>
      <c r="I3" s="20"/>
      <c r="J3" s="20"/>
      <c r="K3" s="16"/>
      <c r="L3" s="16"/>
      <c r="M3" s="16"/>
      <c r="N3" s="3"/>
      <c r="O3" s="16"/>
      <c r="P3" s="16"/>
      <c r="Q3" s="16"/>
      <c r="R3" s="16"/>
      <c r="S3" s="16"/>
    </row>
    <row r="4" spans="1:27" ht="90">
      <c r="A4" s="355" t="s">
        <v>324</v>
      </c>
      <c r="B4" s="350" t="s">
        <v>139</v>
      </c>
      <c r="C4" s="22">
        <v>1</v>
      </c>
      <c r="D4" s="355" t="s">
        <v>325</v>
      </c>
      <c r="E4" s="355" t="s">
        <v>324</v>
      </c>
      <c r="F4" s="350" t="s">
        <v>326</v>
      </c>
      <c r="G4" s="350" t="s">
        <v>327</v>
      </c>
      <c r="H4" s="23" t="s">
        <v>328</v>
      </c>
      <c r="I4" s="23" t="s">
        <v>329</v>
      </c>
      <c r="J4" s="170"/>
      <c r="K4" s="24" t="s">
        <v>294</v>
      </c>
      <c r="L4" s="25"/>
      <c r="M4" s="26"/>
      <c r="N4" s="27"/>
      <c r="O4" s="25" t="s">
        <v>140</v>
      </c>
      <c r="P4" s="28"/>
      <c r="Q4" s="29" t="s">
        <v>140</v>
      </c>
      <c r="R4" s="25"/>
      <c r="S4" s="29"/>
      <c r="T4" s="30"/>
      <c r="U4" s="30"/>
      <c r="V4" s="30"/>
      <c r="W4" s="30"/>
      <c r="X4" s="30"/>
      <c r="Y4" s="30"/>
      <c r="Z4" s="30"/>
      <c r="AA4" s="30"/>
    </row>
    <row r="5" spans="1:27" ht="120">
      <c r="A5" s="345"/>
      <c r="B5" s="345"/>
      <c r="C5" s="31">
        <v>2</v>
      </c>
      <c r="D5" s="345"/>
      <c r="E5" s="345"/>
      <c r="F5" s="345"/>
      <c r="G5" s="345"/>
      <c r="H5" s="23" t="s">
        <v>330</v>
      </c>
      <c r="I5" s="23" t="s">
        <v>331</v>
      </c>
      <c r="J5" s="170"/>
      <c r="K5" s="25" t="s">
        <v>294</v>
      </c>
      <c r="L5" s="25"/>
      <c r="M5" s="26"/>
      <c r="N5" s="27"/>
      <c r="O5" s="25" t="s">
        <v>140</v>
      </c>
      <c r="P5" s="25"/>
      <c r="Q5" s="29" t="s">
        <v>140</v>
      </c>
      <c r="R5" s="25"/>
      <c r="S5" s="29"/>
      <c r="T5" s="30"/>
      <c r="U5" s="30"/>
      <c r="V5" s="30"/>
      <c r="W5" s="30"/>
      <c r="X5" s="30"/>
      <c r="Y5" s="30"/>
      <c r="Z5" s="30"/>
      <c r="AA5" s="30"/>
    </row>
    <row r="6" spans="1:27" ht="16.5" customHeight="1">
      <c r="A6" s="355" t="s">
        <v>332</v>
      </c>
      <c r="B6" s="350" t="s">
        <v>141</v>
      </c>
      <c r="C6" s="31">
        <v>1</v>
      </c>
      <c r="D6" s="355" t="s">
        <v>333</v>
      </c>
      <c r="E6" s="355" t="s">
        <v>332</v>
      </c>
      <c r="F6" s="350" t="s">
        <v>326</v>
      </c>
      <c r="G6" s="350" t="s">
        <v>327</v>
      </c>
      <c r="H6" s="23" t="s">
        <v>334</v>
      </c>
      <c r="I6" s="23" t="s">
        <v>335</v>
      </c>
      <c r="J6" s="170"/>
      <c r="K6" s="25" t="s">
        <v>294</v>
      </c>
      <c r="L6" s="25"/>
      <c r="M6" s="26"/>
      <c r="N6" s="27"/>
      <c r="O6" s="25" t="s">
        <v>140</v>
      </c>
      <c r="P6" s="29" t="s">
        <v>140</v>
      </c>
      <c r="Q6" s="29" t="s">
        <v>140</v>
      </c>
      <c r="R6" s="25"/>
      <c r="S6" s="29"/>
      <c r="T6" s="30"/>
      <c r="U6" s="30"/>
      <c r="V6" s="30"/>
      <c r="W6" s="30"/>
      <c r="X6" s="30"/>
      <c r="Y6" s="30"/>
      <c r="Z6" s="30"/>
      <c r="AA6" s="30"/>
    </row>
    <row r="7" spans="1:27" ht="16.5" customHeight="1">
      <c r="A7" s="344"/>
      <c r="B7" s="344"/>
      <c r="C7" s="31">
        <v>2</v>
      </c>
      <c r="D7" s="344"/>
      <c r="E7" s="344"/>
      <c r="F7" s="344"/>
      <c r="G7" s="344"/>
      <c r="H7" s="23" t="s">
        <v>336</v>
      </c>
      <c r="I7" s="23" t="s">
        <v>337</v>
      </c>
      <c r="J7" s="170"/>
      <c r="K7" s="25"/>
      <c r="L7" s="25"/>
      <c r="M7" s="26"/>
      <c r="N7" s="27"/>
      <c r="O7" s="25" t="s">
        <v>140</v>
      </c>
      <c r="P7" s="29" t="s">
        <v>282</v>
      </c>
      <c r="Q7" s="29" t="s">
        <v>282</v>
      </c>
      <c r="R7" s="25"/>
      <c r="S7" s="29"/>
      <c r="T7" s="30"/>
      <c r="U7" s="30"/>
      <c r="V7" s="30"/>
      <c r="W7" s="30"/>
      <c r="X7" s="30"/>
      <c r="Y7" s="30"/>
      <c r="Z7" s="30"/>
      <c r="AA7" s="30"/>
    </row>
    <row r="8" spans="1:27" ht="16.5" customHeight="1">
      <c r="A8" s="344"/>
      <c r="B8" s="344"/>
      <c r="C8" s="31">
        <v>3</v>
      </c>
      <c r="D8" s="344"/>
      <c r="E8" s="345"/>
      <c r="F8" s="345"/>
      <c r="G8" s="345"/>
      <c r="H8" s="23" t="s">
        <v>338</v>
      </c>
      <c r="I8" s="23" t="s">
        <v>339</v>
      </c>
      <c r="J8" s="170"/>
      <c r="K8" s="25" t="s">
        <v>294</v>
      </c>
      <c r="L8" s="25"/>
      <c r="M8" s="26"/>
      <c r="N8" s="27"/>
      <c r="O8" s="25" t="s">
        <v>140</v>
      </c>
      <c r="P8" s="29" t="s">
        <v>140</v>
      </c>
      <c r="Q8" s="29" t="s">
        <v>140</v>
      </c>
      <c r="R8" s="25"/>
      <c r="S8" s="29"/>
      <c r="T8" s="30"/>
      <c r="U8" s="30"/>
      <c r="V8" s="30"/>
      <c r="W8" s="30"/>
      <c r="X8" s="30"/>
      <c r="Y8" s="30"/>
      <c r="Z8" s="30"/>
      <c r="AA8" s="30"/>
    </row>
    <row r="9" spans="1:27" ht="16.5" customHeight="1">
      <c r="A9" s="344"/>
      <c r="B9" s="344"/>
      <c r="C9" s="31">
        <v>4</v>
      </c>
      <c r="D9" s="344"/>
      <c r="E9" s="355" t="s">
        <v>340</v>
      </c>
      <c r="F9" s="350" t="s">
        <v>326</v>
      </c>
      <c r="G9" s="350" t="s">
        <v>327</v>
      </c>
      <c r="H9" s="23" t="s">
        <v>334</v>
      </c>
      <c r="I9" s="23" t="s">
        <v>335</v>
      </c>
      <c r="J9" s="170"/>
      <c r="K9" s="25" t="s">
        <v>294</v>
      </c>
      <c r="L9" s="25"/>
      <c r="M9" s="26"/>
      <c r="N9" s="27"/>
      <c r="O9" s="25"/>
      <c r="P9" s="29" t="s">
        <v>140</v>
      </c>
      <c r="Q9" s="29" t="s">
        <v>140</v>
      </c>
      <c r="R9" s="25"/>
      <c r="S9" s="29"/>
      <c r="T9" s="30"/>
      <c r="U9" s="30"/>
      <c r="V9" s="30"/>
      <c r="W9" s="30"/>
      <c r="X9" s="30"/>
      <c r="Y9" s="30"/>
      <c r="Z9" s="30"/>
      <c r="AA9" s="30"/>
    </row>
    <row r="10" spans="1:27" ht="16.5" customHeight="1">
      <c r="A10" s="344"/>
      <c r="B10" s="344"/>
      <c r="C10" s="31">
        <v>5</v>
      </c>
      <c r="D10" s="344"/>
      <c r="E10" s="344"/>
      <c r="F10" s="344"/>
      <c r="G10" s="344"/>
      <c r="H10" s="23" t="s">
        <v>336</v>
      </c>
      <c r="I10" s="23" t="s">
        <v>337</v>
      </c>
      <c r="J10" s="170"/>
      <c r="K10" s="25"/>
      <c r="L10" s="25"/>
      <c r="M10" s="26"/>
      <c r="N10" s="27"/>
      <c r="O10" s="25"/>
      <c r="P10" s="29" t="s">
        <v>282</v>
      </c>
      <c r="Q10" s="29" t="s">
        <v>282</v>
      </c>
      <c r="R10" s="25"/>
      <c r="S10" s="29"/>
      <c r="T10" s="30"/>
      <c r="U10" s="30"/>
      <c r="V10" s="30"/>
      <c r="W10" s="30"/>
      <c r="X10" s="30"/>
      <c r="Y10" s="30"/>
      <c r="Z10" s="30"/>
      <c r="AA10" s="30"/>
    </row>
    <row r="11" spans="1:27" ht="16.5" customHeight="1">
      <c r="A11" s="344"/>
      <c r="B11" s="344"/>
      <c r="C11" s="31">
        <v>6</v>
      </c>
      <c r="D11" s="344"/>
      <c r="E11" s="345"/>
      <c r="F11" s="345"/>
      <c r="G11" s="345"/>
      <c r="H11" s="23" t="s">
        <v>338</v>
      </c>
      <c r="I11" s="23" t="s">
        <v>339</v>
      </c>
      <c r="J11" s="170"/>
      <c r="K11" s="25" t="s">
        <v>294</v>
      </c>
      <c r="L11" s="25"/>
      <c r="M11" s="26"/>
      <c r="N11" s="27"/>
      <c r="O11" s="25"/>
      <c r="P11" s="29" t="s">
        <v>140</v>
      </c>
      <c r="Q11" s="29" t="s">
        <v>140</v>
      </c>
      <c r="R11" s="25"/>
      <c r="S11" s="29"/>
      <c r="T11" s="30"/>
      <c r="U11" s="30"/>
      <c r="V11" s="30"/>
      <c r="W11" s="30"/>
      <c r="X11" s="30"/>
      <c r="Y11" s="30"/>
      <c r="Z11" s="30"/>
      <c r="AA11" s="30"/>
    </row>
    <row r="12" spans="1:27" ht="45">
      <c r="A12" s="344"/>
      <c r="B12" s="344"/>
      <c r="C12" s="31">
        <v>7</v>
      </c>
      <c r="D12" s="344"/>
      <c r="E12" s="355" t="s">
        <v>341</v>
      </c>
      <c r="F12" s="350" t="s">
        <v>326</v>
      </c>
      <c r="G12" s="350" t="s">
        <v>327</v>
      </c>
      <c r="H12" s="23" t="s">
        <v>342</v>
      </c>
      <c r="I12" s="23" t="s">
        <v>343</v>
      </c>
      <c r="J12" s="170"/>
      <c r="K12" s="25" t="s">
        <v>294</v>
      </c>
      <c r="L12" s="25"/>
      <c r="M12" s="26"/>
      <c r="N12" s="27"/>
      <c r="O12" s="25" t="s">
        <v>140</v>
      </c>
      <c r="P12" s="29" t="s">
        <v>140</v>
      </c>
      <c r="Q12" s="29" t="s">
        <v>140</v>
      </c>
      <c r="R12" s="25"/>
      <c r="S12" s="29"/>
      <c r="T12" s="30"/>
      <c r="U12" s="30"/>
      <c r="V12" s="30"/>
      <c r="W12" s="30"/>
      <c r="X12" s="30"/>
      <c r="Y12" s="30"/>
      <c r="Z12" s="30"/>
      <c r="AA12" s="30"/>
    </row>
    <row r="13" spans="1:27" ht="75">
      <c r="A13" s="344"/>
      <c r="B13" s="344"/>
      <c r="C13" s="31">
        <v>8</v>
      </c>
      <c r="D13" s="344"/>
      <c r="E13" s="344"/>
      <c r="F13" s="344"/>
      <c r="G13" s="344"/>
      <c r="H13" s="23" t="s">
        <v>344</v>
      </c>
      <c r="I13" s="23" t="s">
        <v>345</v>
      </c>
      <c r="J13" s="170"/>
      <c r="K13" s="25"/>
      <c r="L13" s="25"/>
      <c r="M13" s="26"/>
      <c r="N13" s="27"/>
      <c r="O13" s="25" t="s">
        <v>140</v>
      </c>
      <c r="P13" s="29" t="s">
        <v>282</v>
      </c>
      <c r="Q13" s="29" t="s">
        <v>282</v>
      </c>
      <c r="R13" s="25"/>
      <c r="S13" s="29"/>
      <c r="T13" s="30"/>
      <c r="U13" s="30"/>
      <c r="V13" s="30"/>
      <c r="W13" s="30"/>
      <c r="X13" s="30"/>
      <c r="Y13" s="30"/>
      <c r="Z13" s="30"/>
      <c r="AA13" s="30"/>
    </row>
    <row r="14" spans="1:27" ht="30">
      <c r="A14" s="344"/>
      <c r="B14" s="344"/>
      <c r="C14" s="31">
        <v>9</v>
      </c>
      <c r="D14" s="344"/>
      <c r="E14" s="344"/>
      <c r="F14" s="344"/>
      <c r="G14" s="344"/>
      <c r="H14" s="23" t="s">
        <v>336</v>
      </c>
      <c r="I14" s="23" t="s">
        <v>346</v>
      </c>
      <c r="J14" s="170"/>
      <c r="K14" s="25"/>
      <c r="L14" s="25"/>
      <c r="M14" s="26"/>
      <c r="N14" s="27"/>
      <c r="O14" s="25" t="s">
        <v>140</v>
      </c>
      <c r="P14" s="29" t="s">
        <v>282</v>
      </c>
      <c r="Q14" s="29" t="s">
        <v>282</v>
      </c>
      <c r="R14" s="25"/>
      <c r="S14" s="29"/>
      <c r="T14" s="30"/>
      <c r="U14" s="30"/>
      <c r="V14" s="30"/>
      <c r="W14" s="30"/>
      <c r="X14" s="30"/>
      <c r="Y14" s="30"/>
      <c r="Z14" s="30"/>
      <c r="AA14" s="30"/>
    </row>
    <row r="15" spans="1:27" ht="16.5" customHeight="1">
      <c r="A15" s="344"/>
      <c r="B15" s="344"/>
      <c r="C15" s="31">
        <v>10</v>
      </c>
      <c r="D15" s="344"/>
      <c r="E15" s="345"/>
      <c r="F15" s="345"/>
      <c r="G15" s="345"/>
      <c r="H15" s="23" t="s">
        <v>338</v>
      </c>
      <c r="I15" s="23" t="s">
        <v>347</v>
      </c>
      <c r="J15" s="170"/>
      <c r="K15" s="25" t="s">
        <v>294</v>
      </c>
      <c r="L15" s="25"/>
      <c r="M15" s="26"/>
      <c r="N15" s="27"/>
      <c r="O15" s="25" t="s">
        <v>140</v>
      </c>
      <c r="P15" s="29" t="s">
        <v>140</v>
      </c>
      <c r="Q15" s="29" t="s">
        <v>140</v>
      </c>
      <c r="R15" s="25"/>
      <c r="S15" s="29"/>
      <c r="T15" s="30"/>
      <c r="U15" s="30"/>
      <c r="V15" s="30"/>
      <c r="W15" s="30"/>
      <c r="X15" s="30"/>
      <c r="Y15" s="30"/>
      <c r="Z15" s="30"/>
      <c r="AA15" s="30"/>
    </row>
    <row r="16" spans="1:27" ht="45">
      <c r="A16" s="344"/>
      <c r="B16" s="344"/>
      <c r="C16" s="31">
        <v>11</v>
      </c>
      <c r="D16" s="344"/>
      <c r="E16" s="355" t="s">
        <v>348</v>
      </c>
      <c r="F16" s="350" t="s">
        <v>326</v>
      </c>
      <c r="G16" s="350" t="s">
        <v>349</v>
      </c>
      <c r="H16" s="23" t="s">
        <v>350</v>
      </c>
      <c r="I16" s="23" t="s">
        <v>351</v>
      </c>
      <c r="J16" s="170"/>
      <c r="K16" s="25" t="s">
        <v>294</v>
      </c>
      <c r="L16" s="25"/>
      <c r="M16" s="26"/>
      <c r="N16" s="27"/>
      <c r="O16" s="25" t="s">
        <v>140</v>
      </c>
      <c r="P16" s="29" t="s">
        <v>140</v>
      </c>
      <c r="Q16" s="29" t="s">
        <v>140</v>
      </c>
      <c r="R16" s="25"/>
      <c r="S16" s="29"/>
      <c r="T16" s="30"/>
      <c r="U16" s="30"/>
      <c r="V16" s="30"/>
      <c r="W16" s="30"/>
      <c r="X16" s="30"/>
      <c r="Y16" s="30"/>
      <c r="Z16" s="30"/>
      <c r="AA16" s="30"/>
    </row>
    <row r="17" spans="1:27" ht="75">
      <c r="A17" s="344"/>
      <c r="B17" s="344"/>
      <c r="C17" s="31">
        <v>12</v>
      </c>
      <c r="D17" s="344"/>
      <c r="E17" s="344"/>
      <c r="F17" s="344"/>
      <c r="G17" s="344"/>
      <c r="H17" s="23" t="s">
        <v>344</v>
      </c>
      <c r="I17" s="23" t="s">
        <v>345</v>
      </c>
      <c r="J17" s="170"/>
      <c r="K17" s="25"/>
      <c r="L17" s="25"/>
      <c r="M17" s="26"/>
      <c r="N17" s="27"/>
      <c r="O17" s="25" t="s">
        <v>140</v>
      </c>
      <c r="P17" s="29" t="s">
        <v>282</v>
      </c>
      <c r="Q17" s="29" t="s">
        <v>282</v>
      </c>
      <c r="R17" s="25"/>
      <c r="S17" s="29"/>
      <c r="T17" s="30"/>
      <c r="U17" s="30"/>
      <c r="V17" s="30"/>
      <c r="W17" s="30"/>
      <c r="X17" s="30"/>
      <c r="Y17" s="30"/>
      <c r="Z17" s="30"/>
      <c r="AA17" s="30"/>
    </row>
    <row r="18" spans="1:27" ht="30">
      <c r="A18" s="344"/>
      <c r="B18" s="344"/>
      <c r="C18" s="31">
        <v>13</v>
      </c>
      <c r="D18" s="344"/>
      <c r="E18" s="344"/>
      <c r="F18" s="344"/>
      <c r="G18" s="344"/>
      <c r="H18" s="23" t="s">
        <v>336</v>
      </c>
      <c r="I18" s="23" t="s">
        <v>352</v>
      </c>
      <c r="J18" s="170"/>
      <c r="K18" s="25"/>
      <c r="L18" s="25"/>
      <c r="M18" s="26"/>
      <c r="N18" s="27"/>
      <c r="O18" s="25" t="s">
        <v>140</v>
      </c>
      <c r="P18" s="29" t="s">
        <v>282</v>
      </c>
      <c r="Q18" s="29" t="s">
        <v>282</v>
      </c>
      <c r="R18" s="25"/>
      <c r="S18" s="29"/>
      <c r="T18" s="30"/>
      <c r="U18" s="30"/>
      <c r="V18" s="30"/>
      <c r="W18" s="30"/>
      <c r="X18" s="30"/>
      <c r="Y18" s="30"/>
      <c r="Z18" s="30"/>
      <c r="AA18" s="30"/>
    </row>
    <row r="19" spans="1:27" ht="16.5" customHeight="1">
      <c r="A19" s="345"/>
      <c r="B19" s="345"/>
      <c r="C19" s="31">
        <v>14</v>
      </c>
      <c r="D19" s="345"/>
      <c r="E19" s="345"/>
      <c r="F19" s="345"/>
      <c r="G19" s="345"/>
      <c r="H19" s="23" t="s">
        <v>338</v>
      </c>
      <c r="I19" s="23" t="s">
        <v>347</v>
      </c>
      <c r="J19" s="170"/>
      <c r="K19" s="25" t="s">
        <v>294</v>
      </c>
      <c r="L19" s="25"/>
      <c r="M19" s="26"/>
      <c r="N19" s="27"/>
      <c r="O19" s="25" t="s">
        <v>140</v>
      </c>
      <c r="P19" s="32" t="s">
        <v>140</v>
      </c>
      <c r="Q19" s="32" t="s">
        <v>140</v>
      </c>
      <c r="R19" s="25"/>
      <c r="S19" s="32"/>
      <c r="T19" s="30"/>
      <c r="U19" s="30"/>
      <c r="V19" s="30"/>
      <c r="W19" s="30"/>
      <c r="X19" s="30"/>
      <c r="Y19" s="30"/>
      <c r="Z19" s="30"/>
      <c r="AA19" s="30"/>
    </row>
    <row r="20" spans="1:27" ht="90">
      <c r="A20" s="175" t="s">
        <v>353</v>
      </c>
      <c r="B20" s="86" t="s">
        <v>181</v>
      </c>
      <c r="C20" s="86">
        <v>1</v>
      </c>
      <c r="D20" s="175" t="s">
        <v>354</v>
      </c>
      <c r="E20" s="175" t="s">
        <v>355</v>
      </c>
      <c r="F20" s="86"/>
      <c r="G20" s="86"/>
      <c r="H20" s="175" t="s">
        <v>356</v>
      </c>
      <c r="I20" s="35" t="s">
        <v>357</v>
      </c>
      <c r="J20" s="172"/>
      <c r="K20" s="25"/>
      <c r="L20" s="25"/>
      <c r="M20" s="26"/>
      <c r="N20" s="27"/>
      <c r="O20" s="25"/>
      <c r="P20" s="25"/>
      <c r="Q20" s="29" t="s">
        <v>282</v>
      </c>
      <c r="R20" s="25" t="s">
        <v>305</v>
      </c>
      <c r="S20" s="29"/>
      <c r="T20" s="30"/>
      <c r="U20" s="30"/>
      <c r="V20" s="30"/>
      <c r="W20" s="30"/>
      <c r="X20" s="30"/>
      <c r="Y20" s="30"/>
      <c r="Z20" s="30"/>
      <c r="AA20" s="30"/>
    </row>
    <row r="21" spans="1:27" ht="15.75" customHeight="1">
      <c r="A21" s="357" t="s">
        <v>358</v>
      </c>
      <c r="B21" s="358" t="s">
        <v>182</v>
      </c>
      <c r="C21" s="86">
        <v>1</v>
      </c>
      <c r="D21" s="351" t="s">
        <v>359</v>
      </c>
      <c r="E21" s="351" t="s">
        <v>360</v>
      </c>
      <c r="F21" s="354" t="s">
        <v>361</v>
      </c>
      <c r="G21" s="354" t="s">
        <v>327</v>
      </c>
      <c r="H21" s="175" t="s">
        <v>362</v>
      </c>
      <c r="I21" s="35" t="s">
        <v>363</v>
      </c>
      <c r="J21" s="172"/>
      <c r="K21" s="25"/>
      <c r="L21" s="25"/>
      <c r="M21" s="26"/>
      <c r="N21" s="27"/>
      <c r="O21" s="25"/>
      <c r="P21" s="25"/>
      <c r="Q21" s="29" t="s">
        <v>282</v>
      </c>
      <c r="R21" s="25" t="s">
        <v>305</v>
      </c>
      <c r="S21" s="29"/>
      <c r="T21" s="30"/>
      <c r="U21" s="30"/>
      <c r="V21" s="30"/>
      <c r="W21" s="30"/>
      <c r="X21" s="30"/>
      <c r="Y21" s="30"/>
      <c r="Z21" s="30"/>
      <c r="AA21" s="30"/>
    </row>
    <row r="22" spans="1:27" ht="15.75" customHeight="1">
      <c r="A22" s="352"/>
      <c r="B22" s="352"/>
      <c r="C22" s="86">
        <v>2</v>
      </c>
      <c r="D22" s="352"/>
      <c r="E22" s="352"/>
      <c r="F22" s="352"/>
      <c r="G22" s="352"/>
      <c r="H22" s="175" t="s">
        <v>336</v>
      </c>
      <c r="I22" s="35" t="s">
        <v>364</v>
      </c>
      <c r="J22" s="172"/>
      <c r="K22" s="25"/>
      <c r="L22" s="25"/>
      <c r="M22" s="26"/>
      <c r="N22" s="27"/>
      <c r="O22" s="25"/>
      <c r="P22" s="25"/>
      <c r="Q22" s="29" t="s">
        <v>282</v>
      </c>
      <c r="R22" s="25" t="s">
        <v>305</v>
      </c>
      <c r="S22" s="29"/>
      <c r="T22" s="30"/>
      <c r="U22" s="30"/>
      <c r="V22" s="30"/>
      <c r="W22" s="30"/>
      <c r="X22" s="30"/>
      <c r="Y22" s="30"/>
      <c r="Z22" s="30"/>
      <c r="AA22" s="30"/>
    </row>
    <row r="23" spans="1:27" ht="15.75" customHeight="1">
      <c r="A23" s="352"/>
      <c r="B23" s="352"/>
      <c r="C23" s="86">
        <v>3</v>
      </c>
      <c r="D23" s="352"/>
      <c r="E23" s="353"/>
      <c r="F23" s="353"/>
      <c r="G23" s="353"/>
      <c r="H23" s="175" t="s">
        <v>338</v>
      </c>
      <c r="I23" s="35" t="s">
        <v>347</v>
      </c>
      <c r="J23" s="172"/>
      <c r="K23" s="25"/>
      <c r="L23" s="25"/>
      <c r="M23" s="26"/>
      <c r="N23" s="27"/>
      <c r="O23" s="25"/>
      <c r="P23" s="25"/>
      <c r="Q23" s="29" t="s">
        <v>282</v>
      </c>
      <c r="R23" s="25" t="s">
        <v>305</v>
      </c>
      <c r="S23" s="29"/>
      <c r="T23" s="30"/>
      <c r="U23" s="30"/>
      <c r="V23" s="30"/>
      <c r="W23" s="30"/>
      <c r="X23" s="30"/>
      <c r="Y23" s="30"/>
      <c r="Z23" s="30"/>
      <c r="AA23" s="30"/>
    </row>
    <row r="24" spans="1:27" ht="15.75" customHeight="1">
      <c r="A24" s="352"/>
      <c r="B24" s="352"/>
      <c r="C24" s="86">
        <v>4</v>
      </c>
      <c r="D24" s="352"/>
      <c r="E24" s="351" t="s">
        <v>365</v>
      </c>
      <c r="F24" s="354" t="s">
        <v>361</v>
      </c>
      <c r="G24" s="354" t="s">
        <v>327</v>
      </c>
      <c r="H24" s="175" t="s">
        <v>366</v>
      </c>
      <c r="I24" s="35" t="s">
        <v>367</v>
      </c>
      <c r="J24" s="172"/>
      <c r="K24" s="25"/>
      <c r="L24" s="25"/>
      <c r="M24" s="26"/>
      <c r="N24" s="27"/>
      <c r="O24" s="25"/>
      <c r="P24" s="25"/>
      <c r="Q24" s="29" t="s">
        <v>282</v>
      </c>
      <c r="R24" s="25" t="s">
        <v>305</v>
      </c>
      <c r="S24" s="29"/>
      <c r="T24" s="30"/>
      <c r="U24" s="30"/>
      <c r="V24" s="30"/>
      <c r="W24" s="30"/>
      <c r="X24" s="30"/>
      <c r="Y24" s="30"/>
      <c r="Z24" s="30"/>
      <c r="AA24" s="30"/>
    </row>
    <row r="25" spans="1:27" ht="15.75" customHeight="1">
      <c r="A25" s="352"/>
      <c r="B25" s="352"/>
      <c r="C25" s="86">
        <v>5</v>
      </c>
      <c r="D25" s="352"/>
      <c r="E25" s="352"/>
      <c r="F25" s="352"/>
      <c r="G25" s="352"/>
      <c r="H25" s="175" t="s">
        <v>336</v>
      </c>
      <c r="I25" s="35" t="s">
        <v>364</v>
      </c>
      <c r="J25" s="172"/>
      <c r="K25" s="25"/>
      <c r="L25" s="25"/>
      <c r="M25" s="26"/>
      <c r="N25" s="27"/>
      <c r="O25" s="25"/>
      <c r="P25" s="25"/>
      <c r="Q25" s="29" t="s">
        <v>282</v>
      </c>
      <c r="R25" s="25" t="s">
        <v>305</v>
      </c>
      <c r="S25" s="29"/>
      <c r="T25" s="30"/>
      <c r="U25" s="30"/>
      <c r="V25" s="30"/>
      <c r="W25" s="30"/>
      <c r="X25" s="30"/>
      <c r="Y25" s="30"/>
      <c r="Z25" s="30"/>
      <c r="AA25" s="30"/>
    </row>
    <row r="26" spans="1:27" ht="15.75" customHeight="1">
      <c r="A26" s="352"/>
      <c r="B26" s="352"/>
      <c r="C26" s="86">
        <v>6</v>
      </c>
      <c r="D26" s="352"/>
      <c r="E26" s="353"/>
      <c r="F26" s="353"/>
      <c r="G26" s="353"/>
      <c r="H26" s="175" t="s">
        <v>338</v>
      </c>
      <c r="I26" s="35" t="s">
        <v>347</v>
      </c>
      <c r="J26" s="172"/>
      <c r="K26" s="25"/>
      <c r="L26" s="25"/>
      <c r="M26" s="26"/>
      <c r="N26" s="27"/>
      <c r="O26" s="25"/>
      <c r="P26" s="25"/>
      <c r="Q26" s="29" t="s">
        <v>282</v>
      </c>
      <c r="R26" s="25" t="s">
        <v>305</v>
      </c>
      <c r="S26" s="29"/>
      <c r="T26" s="30"/>
      <c r="U26" s="30"/>
      <c r="V26" s="30"/>
      <c r="W26" s="30"/>
      <c r="X26" s="30"/>
      <c r="Y26" s="30"/>
      <c r="Z26" s="30"/>
      <c r="AA26" s="30"/>
    </row>
    <row r="27" spans="1:27" ht="15.75" customHeight="1">
      <c r="A27" s="352"/>
      <c r="B27" s="352"/>
      <c r="C27" s="86">
        <v>7</v>
      </c>
      <c r="D27" s="352"/>
      <c r="E27" s="351" t="s">
        <v>365</v>
      </c>
      <c r="F27" s="354" t="s">
        <v>361</v>
      </c>
      <c r="G27" s="354" t="s">
        <v>327</v>
      </c>
      <c r="H27" s="175" t="s">
        <v>368</v>
      </c>
      <c r="I27" s="35" t="s">
        <v>369</v>
      </c>
      <c r="J27" s="172"/>
      <c r="K27" s="25"/>
      <c r="L27" s="25"/>
      <c r="M27" s="26"/>
      <c r="N27" s="27"/>
      <c r="O27" s="25"/>
      <c r="P27" s="25"/>
      <c r="Q27" s="29" t="s">
        <v>282</v>
      </c>
      <c r="R27" s="25" t="s">
        <v>305</v>
      </c>
      <c r="S27" s="29"/>
      <c r="T27" s="30"/>
      <c r="U27" s="30"/>
      <c r="V27" s="30"/>
      <c r="W27" s="30"/>
      <c r="X27" s="30"/>
      <c r="Y27" s="30"/>
      <c r="Z27" s="30"/>
      <c r="AA27" s="30"/>
    </row>
    <row r="28" spans="1:27" ht="15.75" customHeight="1">
      <c r="A28" s="352"/>
      <c r="B28" s="352"/>
      <c r="C28" s="86">
        <v>8</v>
      </c>
      <c r="D28" s="352"/>
      <c r="E28" s="352"/>
      <c r="F28" s="352"/>
      <c r="G28" s="352"/>
      <c r="H28" s="175" t="s">
        <v>336</v>
      </c>
      <c r="I28" s="35" t="s">
        <v>370</v>
      </c>
      <c r="J28" s="172"/>
      <c r="K28" s="25"/>
      <c r="L28" s="25"/>
      <c r="M28" s="26"/>
      <c r="N28" s="27"/>
      <c r="O28" s="25"/>
      <c r="P28" s="25"/>
      <c r="Q28" s="29" t="s">
        <v>282</v>
      </c>
      <c r="R28" s="25" t="s">
        <v>305</v>
      </c>
      <c r="S28" s="29"/>
      <c r="T28" s="30"/>
      <c r="U28" s="30"/>
      <c r="V28" s="30"/>
      <c r="W28" s="30"/>
      <c r="X28" s="30"/>
      <c r="Y28" s="30"/>
      <c r="Z28" s="30"/>
      <c r="AA28" s="30"/>
    </row>
    <row r="29" spans="1:27" ht="15.75" customHeight="1">
      <c r="A29" s="352"/>
      <c r="B29" s="352"/>
      <c r="C29" s="86">
        <v>9</v>
      </c>
      <c r="D29" s="352"/>
      <c r="E29" s="353"/>
      <c r="F29" s="353"/>
      <c r="G29" s="353"/>
      <c r="H29" s="175" t="s">
        <v>338</v>
      </c>
      <c r="I29" s="35" t="s">
        <v>347</v>
      </c>
      <c r="J29" s="172"/>
      <c r="K29" s="25"/>
      <c r="L29" s="25"/>
      <c r="M29" s="26"/>
      <c r="N29" s="27"/>
      <c r="O29" s="25"/>
      <c r="P29" s="25"/>
      <c r="Q29" s="29" t="s">
        <v>282</v>
      </c>
      <c r="R29" s="25" t="s">
        <v>305</v>
      </c>
      <c r="S29" s="29"/>
      <c r="T29" s="30"/>
      <c r="U29" s="30"/>
      <c r="V29" s="30"/>
      <c r="W29" s="30"/>
      <c r="X29" s="30"/>
      <c r="Y29" s="30"/>
      <c r="Z29" s="30"/>
      <c r="AA29" s="30"/>
    </row>
    <row r="30" spans="1:27" ht="15.75" customHeight="1">
      <c r="A30" s="352"/>
      <c r="B30" s="352"/>
      <c r="C30" s="86">
        <v>10</v>
      </c>
      <c r="D30" s="352"/>
      <c r="E30" s="351" t="s">
        <v>371</v>
      </c>
      <c r="F30" s="354" t="s">
        <v>326</v>
      </c>
      <c r="G30" s="354" t="s">
        <v>327</v>
      </c>
      <c r="H30" s="175" t="s">
        <v>372</v>
      </c>
      <c r="I30" s="35" t="s">
        <v>363</v>
      </c>
      <c r="J30" s="172"/>
      <c r="K30" s="25"/>
      <c r="L30" s="25"/>
      <c r="M30" s="26"/>
      <c r="N30" s="27"/>
      <c r="O30" s="25"/>
      <c r="P30" s="25"/>
      <c r="Q30" s="29" t="s">
        <v>282</v>
      </c>
      <c r="R30" s="25" t="s">
        <v>305</v>
      </c>
      <c r="S30" s="29"/>
      <c r="T30" s="30"/>
      <c r="U30" s="30"/>
      <c r="V30" s="30"/>
      <c r="W30" s="30"/>
      <c r="X30" s="30"/>
      <c r="Y30" s="30"/>
      <c r="Z30" s="30"/>
      <c r="AA30" s="30"/>
    </row>
    <row r="31" spans="1:27" ht="15.75" customHeight="1">
      <c r="A31" s="352"/>
      <c r="B31" s="352"/>
      <c r="C31" s="86">
        <v>11</v>
      </c>
      <c r="D31" s="352"/>
      <c r="E31" s="352"/>
      <c r="F31" s="352"/>
      <c r="G31" s="352"/>
      <c r="H31" s="175" t="s">
        <v>336</v>
      </c>
      <c r="I31" s="35" t="s">
        <v>364</v>
      </c>
      <c r="J31" s="172"/>
      <c r="K31" s="25"/>
      <c r="L31" s="25"/>
      <c r="M31" s="26"/>
      <c r="N31" s="27"/>
      <c r="O31" s="25"/>
      <c r="P31" s="25"/>
      <c r="Q31" s="29" t="s">
        <v>282</v>
      </c>
      <c r="R31" s="25" t="s">
        <v>305</v>
      </c>
      <c r="S31" s="29"/>
      <c r="T31" s="30"/>
      <c r="U31" s="30"/>
      <c r="V31" s="30"/>
      <c r="W31" s="30"/>
      <c r="X31" s="30"/>
      <c r="Y31" s="30"/>
      <c r="Z31" s="30"/>
      <c r="AA31" s="30"/>
    </row>
    <row r="32" spans="1:27" ht="15.75" customHeight="1">
      <c r="A32" s="352"/>
      <c r="B32" s="352"/>
      <c r="C32" s="86">
        <v>12</v>
      </c>
      <c r="D32" s="352"/>
      <c r="E32" s="352"/>
      <c r="F32" s="352"/>
      <c r="G32" s="352"/>
      <c r="H32" s="175" t="s">
        <v>338</v>
      </c>
      <c r="I32" s="35" t="s">
        <v>347</v>
      </c>
      <c r="J32" s="172"/>
      <c r="K32" s="25"/>
      <c r="L32" s="25"/>
      <c r="M32" s="26"/>
      <c r="N32" s="27"/>
      <c r="O32" s="25"/>
      <c r="P32" s="25"/>
      <c r="Q32" s="29" t="s">
        <v>282</v>
      </c>
      <c r="R32" s="25" t="s">
        <v>305</v>
      </c>
      <c r="S32" s="29"/>
      <c r="T32" s="30"/>
      <c r="U32" s="30"/>
      <c r="V32" s="30"/>
      <c r="W32" s="30"/>
      <c r="X32" s="30"/>
      <c r="Y32" s="30"/>
      <c r="Z32" s="30"/>
      <c r="AA32" s="30"/>
    </row>
    <row r="33" spans="1:27" ht="15.75" customHeight="1">
      <c r="A33" s="352"/>
      <c r="B33" s="352"/>
      <c r="C33" s="86">
        <v>13</v>
      </c>
      <c r="D33" s="352"/>
      <c r="E33" s="353"/>
      <c r="F33" s="353"/>
      <c r="G33" s="353"/>
      <c r="H33" s="175" t="s">
        <v>373</v>
      </c>
      <c r="I33" s="35" t="s">
        <v>374</v>
      </c>
      <c r="J33" s="172"/>
      <c r="K33" s="25"/>
      <c r="L33" s="25"/>
      <c r="M33" s="26"/>
      <c r="N33" s="27"/>
      <c r="O33" s="25"/>
      <c r="P33" s="25"/>
      <c r="Q33" s="29" t="s">
        <v>282</v>
      </c>
      <c r="R33" s="25" t="s">
        <v>305</v>
      </c>
      <c r="S33" s="29"/>
      <c r="T33" s="30"/>
      <c r="U33" s="30"/>
      <c r="V33" s="30"/>
      <c r="W33" s="30"/>
      <c r="X33" s="30"/>
      <c r="Y33" s="30"/>
      <c r="Z33" s="30"/>
      <c r="AA33" s="30"/>
    </row>
    <row r="34" spans="1:27" ht="15.75" customHeight="1">
      <c r="A34" s="352"/>
      <c r="B34" s="352"/>
      <c r="C34" s="86">
        <v>14</v>
      </c>
      <c r="D34" s="352"/>
      <c r="E34" s="351" t="s">
        <v>375</v>
      </c>
      <c r="F34" s="354" t="s">
        <v>361</v>
      </c>
      <c r="G34" s="354" t="s">
        <v>327</v>
      </c>
      <c r="H34" s="175" t="s">
        <v>376</v>
      </c>
      <c r="I34" s="35" t="s">
        <v>377</v>
      </c>
      <c r="J34" s="172"/>
      <c r="K34" s="25"/>
      <c r="L34" s="25"/>
      <c r="M34" s="26"/>
      <c r="N34" s="27"/>
      <c r="O34" s="25"/>
      <c r="P34" s="25"/>
      <c r="Q34" s="29" t="s">
        <v>282</v>
      </c>
      <c r="R34" s="25" t="s">
        <v>305</v>
      </c>
      <c r="S34" s="29"/>
      <c r="T34" s="30"/>
      <c r="U34" s="30"/>
      <c r="V34" s="30"/>
      <c r="W34" s="30"/>
      <c r="X34" s="30"/>
      <c r="Y34" s="30"/>
      <c r="Z34" s="30"/>
      <c r="AA34" s="30"/>
    </row>
    <row r="35" spans="1:27" ht="15.75" customHeight="1">
      <c r="A35" s="352"/>
      <c r="B35" s="352"/>
      <c r="C35" s="86">
        <v>15</v>
      </c>
      <c r="D35" s="352"/>
      <c r="E35" s="352"/>
      <c r="F35" s="352"/>
      <c r="G35" s="352"/>
      <c r="H35" s="175" t="s">
        <v>336</v>
      </c>
      <c r="I35" s="35" t="s">
        <v>337</v>
      </c>
      <c r="J35" s="172"/>
      <c r="K35" s="25"/>
      <c r="L35" s="25"/>
      <c r="M35" s="26"/>
      <c r="N35" s="27"/>
      <c r="O35" s="25"/>
      <c r="P35" s="25"/>
      <c r="Q35" s="29" t="s">
        <v>282</v>
      </c>
      <c r="R35" s="25" t="s">
        <v>305</v>
      </c>
      <c r="S35" s="29"/>
      <c r="T35" s="30"/>
      <c r="U35" s="30"/>
      <c r="V35" s="30"/>
      <c r="W35" s="30"/>
      <c r="X35" s="30"/>
      <c r="Y35" s="30"/>
      <c r="Z35" s="30"/>
      <c r="AA35" s="30"/>
    </row>
    <row r="36" spans="1:27" ht="15.75" customHeight="1">
      <c r="A36" s="352"/>
      <c r="B36" s="352"/>
      <c r="C36" s="86">
        <v>16</v>
      </c>
      <c r="D36" s="352"/>
      <c r="E36" s="352"/>
      <c r="F36" s="352"/>
      <c r="G36" s="352"/>
      <c r="H36" s="175" t="s">
        <v>338</v>
      </c>
      <c r="I36" s="35" t="s">
        <v>339</v>
      </c>
      <c r="J36" s="172"/>
      <c r="K36" s="25"/>
      <c r="L36" s="25"/>
      <c r="M36" s="26"/>
      <c r="N36" s="27"/>
      <c r="O36" s="25"/>
      <c r="P36" s="25"/>
      <c r="Q36" s="29" t="s">
        <v>282</v>
      </c>
      <c r="R36" s="25" t="s">
        <v>305</v>
      </c>
      <c r="S36" s="29"/>
      <c r="T36" s="30"/>
      <c r="U36" s="30"/>
      <c r="V36" s="30"/>
      <c r="W36" s="30"/>
      <c r="X36" s="30"/>
      <c r="Y36" s="30"/>
      <c r="Z36" s="30"/>
      <c r="AA36" s="30"/>
    </row>
    <row r="37" spans="1:27" ht="15.75" customHeight="1">
      <c r="A37" s="353"/>
      <c r="B37" s="353"/>
      <c r="C37" s="86">
        <v>17</v>
      </c>
      <c r="D37" s="353"/>
      <c r="E37" s="353"/>
      <c r="F37" s="353"/>
      <c r="G37" s="353"/>
      <c r="H37" s="175" t="s">
        <v>373</v>
      </c>
      <c r="I37" s="35" t="s">
        <v>378</v>
      </c>
      <c r="J37" s="172"/>
      <c r="K37" s="25"/>
      <c r="L37" s="25"/>
      <c r="M37" s="26"/>
      <c r="N37" s="27"/>
      <c r="O37" s="25"/>
      <c r="P37" s="25"/>
      <c r="Q37" s="29" t="s">
        <v>282</v>
      </c>
      <c r="R37" s="25" t="s">
        <v>305</v>
      </c>
      <c r="S37" s="29"/>
      <c r="T37" s="30"/>
      <c r="U37" s="30"/>
      <c r="V37" s="30"/>
      <c r="W37" s="30"/>
      <c r="X37" s="30"/>
      <c r="Y37" s="30"/>
      <c r="Z37" s="30"/>
      <c r="AA37" s="30"/>
    </row>
    <row r="38" spans="1:27" ht="15.75" customHeight="1">
      <c r="A38" s="350" t="s">
        <v>379</v>
      </c>
      <c r="B38" s="350" t="s">
        <v>142</v>
      </c>
      <c r="C38" s="31">
        <v>1</v>
      </c>
      <c r="D38" s="355" t="s">
        <v>380</v>
      </c>
      <c r="E38" s="359" t="s">
        <v>379</v>
      </c>
      <c r="F38" s="360" t="s">
        <v>326</v>
      </c>
      <c r="G38" s="360" t="s">
        <v>327</v>
      </c>
      <c r="H38" s="23" t="s">
        <v>381</v>
      </c>
      <c r="I38" s="23" t="s">
        <v>382</v>
      </c>
      <c r="J38" s="170"/>
      <c r="K38" s="25"/>
      <c r="L38" s="25"/>
      <c r="M38" s="26"/>
      <c r="N38" s="27"/>
      <c r="O38" s="25"/>
      <c r="P38" s="29" t="s">
        <v>282</v>
      </c>
      <c r="Q38" s="29" t="s">
        <v>282</v>
      </c>
      <c r="R38" s="25"/>
      <c r="S38" s="29"/>
      <c r="T38" s="30"/>
      <c r="U38" s="30"/>
      <c r="V38" s="30"/>
      <c r="W38" s="30"/>
      <c r="X38" s="30"/>
      <c r="Y38" s="30"/>
      <c r="Z38" s="30"/>
      <c r="AA38" s="30"/>
    </row>
    <row r="39" spans="1:27" ht="15.75" customHeight="1">
      <c r="A39" s="344"/>
      <c r="B39" s="344"/>
      <c r="C39" s="31">
        <v>2</v>
      </c>
      <c r="D39" s="344"/>
      <c r="E39" s="345"/>
      <c r="F39" s="345"/>
      <c r="G39" s="345"/>
      <c r="H39" s="23" t="s">
        <v>383</v>
      </c>
      <c r="I39" s="23" t="s">
        <v>384</v>
      </c>
      <c r="J39" s="170"/>
      <c r="K39" s="25"/>
      <c r="L39" s="25"/>
      <c r="M39" s="26"/>
      <c r="N39" s="27"/>
      <c r="O39" s="25"/>
      <c r="P39" s="29" t="s">
        <v>282</v>
      </c>
      <c r="Q39" s="29" t="s">
        <v>282</v>
      </c>
      <c r="R39" s="25"/>
      <c r="S39" s="29"/>
      <c r="T39" s="30"/>
      <c r="U39" s="30"/>
      <c r="V39" s="30"/>
      <c r="W39" s="30"/>
      <c r="X39" s="30"/>
      <c r="Y39" s="30"/>
      <c r="Z39" s="30"/>
      <c r="AA39" s="30"/>
    </row>
    <row r="40" spans="1:27" ht="15.75" customHeight="1">
      <c r="A40" s="344"/>
      <c r="B40" s="344"/>
      <c r="C40" s="31">
        <v>3</v>
      </c>
      <c r="D40" s="344"/>
      <c r="E40" s="359" t="s">
        <v>385</v>
      </c>
      <c r="F40" s="360" t="s">
        <v>326</v>
      </c>
      <c r="G40" s="360" t="s">
        <v>327</v>
      </c>
      <c r="H40" s="356" t="s">
        <v>386</v>
      </c>
      <c r="I40" s="23" t="s">
        <v>387</v>
      </c>
      <c r="J40" s="170"/>
      <c r="K40" s="25"/>
      <c r="L40" s="25"/>
      <c r="M40" s="26"/>
      <c r="N40" s="27"/>
      <c r="O40" s="25" t="s">
        <v>140</v>
      </c>
      <c r="P40" s="29" t="s">
        <v>282</v>
      </c>
      <c r="Q40" s="29" t="s">
        <v>282</v>
      </c>
      <c r="R40" s="25"/>
      <c r="S40" s="29"/>
      <c r="T40" s="30"/>
      <c r="U40" s="30"/>
      <c r="V40" s="30"/>
      <c r="W40" s="30"/>
      <c r="X40" s="30"/>
      <c r="Y40" s="30"/>
      <c r="Z40" s="30"/>
      <c r="AA40" s="30"/>
    </row>
    <row r="41" spans="1:27" ht="15.75" customHeight="1">
      <c r="A41" s="344"/>
      <c r="B41" s="344"/>
      <c r="C41" s="31">
        <v>4</v>
      </c>
      <c r="D41" s="344"/>
      <c r="E41" s="344"/>
      <c r="F41" s="344"/>
      <c r="G41" s="344"/>
      <c r="H41" s="344"/>
      <c r="I41" s="35" t="s">
        <v>388</v>
      </c>
      <c r="J41" s="172"/>
      <c r="K41" s="25"/>
      <c r="L41" s="25"/>
      <c r="M41" s="26"/>
      <c r="N41" s="27"/>
      <c r="O41" s="25" t="s">
        <v>140</v>
      </c>
      <c r="P41" s="29" t="s">
        <v>282</v>
      </c>
      <c r="Q41" s="29" t="s">
        <v>282</v>
      </c>
      <c r="R41" s="25"/>
      <c r="S41" s="29"/>
      <c r="T41" s="30"/>
      <c r="U41" s="30"/>
      <c r="V41" s="30"/>
      <c r="W41" s="30"/>
      <c r="X41" s="30"/>
      <c r="Y41" s="30"/>
      <c r="Z41" s="30"/>
      <c r="AA41" s="30"/>
    </row>
    <row r="42" spans="1:27" ht="15.75" customHeight="1">
      <c r="A42" s="344"/>
      <c r="B42" s="344"/>
      <c r="C42" s="31">
        <v>5</v>
      </c>
      <c r="D42" s="344"/>
      <c r="E42" s="345"/>
      <c r="F42" s="345"/>
      <c r="G42" s="345"/>
      <c r="H42" s="345"/>
      <c r="I42" s="23" t="s">
        <v>389</v>
      </c>
      <c r="J42" s="170"/>
      <c r="K42" s="25"/>
      <c r="L42" s="25"/>
      <c r="M42" s="26"/>
      <c r="N42" s="27"/>
      <c r="O42" s="25" t="s">
        <v>140</v>
      </c>
      <c r="P42" s="29" t="s">
        <v>282</v>
      </c>
      <c r="Q42" s="29" t="s">
        <v>282</v>
      </c>
      <c r="R42" s="25"/>
      <c r="S42" s="29"/>
      <c r="T42" s="30"/>
      <c r="U42" s="30"/>
      <c r="V42" s="30"/>
      <c r="W42" s="30"/>
      <c r="X42" s="30"/>
      <c r="Y42" s="30"/>
      <c r="Z42" s="30"/>
      <c r="AA42" s="30"/>
    </row>
    <row r="43" spans="1:27" ht="15.75" customHeight="1">
      <c r="A43" s="344"/>
      <c r="B43" s="344"/>
      <c r="C43" s="31">
        <v>6</v>
      </c>
      <c r="D43" s="344"/>
      <c r="E43" s="39" t="s">
        <v>390</v>
      </c>
      <c r="F43" s="31" t="s">
        <v>326</v>
      </c>
      <c r="G43" s="31" t="s">
        <v>327</v>
      </c>
      <c r="H43" s="23" t="s">
        <v>391</v>
      </c>
      <c r="I43" s="23" t="s">
        <v>392</v>
      </c>
      <c r="J43" s="170"/>
      <c r="K43" s="25"/>
      <c r="L43" s="25"/>
      <c r="M43" s="26"/>
      <c r="N43" s="27"/>
      <c r="O43" s="25" t="s">
        <v>140</v>
      </c>
      <c r="P43" s="29" t="s">
        <v>282</v>
      </c>
      <c r="Q43" s="40" t="s">
        <v>393</v>
      </c>
      <c r="R43" s="25"/>
      <c r="S43" s="29"/>
      <c r="T43" s="30"/>
      <c r="U43" s="30"/>
      <c r="V43" s="30"/>
      <c r="W43" s="30"/>
      <c r="X43" s="30"/>
      <c r="Y43" s="30"/>
      <c r="Z43" s="30"/>
      <c r="AA43" s="30"/>
    </row>
    <row r="44" spans="1:27" ht="15.75" customHeight="1">
      <c r="A44" s="344"/>
      <c r="B44" s="344"/>
      <c r="C44" s="31">
        <v>7</v>
      </c>
      <c r="D44" s="344"/>
      <c r="E44" s="23" t="s">
        <v>394</v>
      </c>
      <c r="F44" s="31" t="s">
        <v>326</v>
      </c>
      <c r="G44" s="31" t="s">
        <v>327</v>
      </c>
      <c r="H44" s="23" t="s">
        <v>395</v>
      </c>
      <c r="I44" s="23" t="s">
        <v>396</v>
      </c>
      <c r="J44" s="170"/>
      <c r="K44" s="25" t="s">
        <v>294</v>
      </c>
      <c r="L44" s="25"/>
      <c r="M44" s="26"/>
      <c r="N44" s="27"/>
      <c r="O44" s="25"/>
      <c r="P44" s="29" t="s">
        <v>140</v>
      </c>
      <c r="Q44" s="29" t="s">
        <v>140</v>
      </c>
      <c r="R44" s="25"/>
      <c r="S44" s="29"/>
      <c r="T44" s="30"/>
      <c r="U44" s="30"/>
      <c r="V44" s="30"/>
      <c r="W44" s="30"/>
      <c r="X44" s="30"/>
      <c r="Y44" s="30"/>
      <c r="Z44" s="30"/>
      <c r="AA44" s="30"/>
    </row>
    <row r="45" spans="1:27" ht="15.75" customHeight="1">
      <c r="A45" s="344"/>
      <c r="B45" s="344"/>
      <c r="C45" s="31">
        <v>8</v>
      </c>
      <c r="D45" s="344"/>
      <c r="E45" s="355" t="s">
        <v>397</v>
      </c>
      <c r="F45" s="350" t="s">
        <v>326</v>
      </c>
      <c r="G45" s="350" t="s">
        <v>327</v>
      </c>
      <c r="H45" s="23" t="s">
        <v>342</v>
      </c>
      <c r="I45" s="23" t="s">
        <v>335</v>
      </c>
      <c r="J45" s="170"/>
      <c r="K45" s="25" t="s">
        <v>294</v>
      </c>
      <c r="L45" s="25"/>
      <c r="M45" s="26"/>
      <c r="N45" s="27"/>
      <c r="O45" s="25"/>
      <c r="P45" s="29" t="s">
        <v>140</v>
      </c>
      <c r="Q45" s="29" t="s">
        <v>140</v>
      </c>
      <c r="R45" s="25"/>
      <c r="S45" s="29"/>
      <c r="T45" s="30"/>
      <c r="U45" s="30"/>
      <c r="V45" s="30"/>
      <c r="W45" s="30"/>
      <c r="X45" s="30"/>
      <c r="Y45" s="30"/>
      <c r="Z45" s="30"/>
      <c r="AA45" s="30"/>
    </row>
    <row r="46" spans="1:27" ht="16.5" customHeight="1">
      <c r="A46" s="344"/>
      <c r="B46" s="344"/>
      <c r="C46" s="31">
        <v>9</v>
      </c>
      <c r="D46" s="344"/>
      <c r="E46" s="345"/>
      <c r="F46" s="345"/>
      <c r="G46" s="345"/>
      <c r="H46" s="23" t="s">
        <v>336</v>
      </c>
      <c r="I46" s="23" t="s">
        <v>337</v>
      </c>
      <c r="J46" s="170"/>
      <c r="K46" s="25"/>
      <c r="L46" s="25"/>
      <c r="M46" s="26"/>
      <c r="N46" s="27"/>
      <c r="O46" s="25"/>
      <c r="P46" s="29" t="s">
        <v>282</v>
      </c>
      <c r="Q46" s="29" t="s">
        <v>282</v>
      </c>
      <c r="R46" s="25"/>
      <c r="S46" s="29"/>
      <c r="T46" s="30"/>
      <c r="U46" s="30"/>
      <c r="V46" s="30"/>
      <c r="W46" s="30"/>
      <c r="X46" s="30"/>
      <c r="Y46" s="30"/>
      <c r="Z46" s="30"/>
      <c r="AA46" s="30"/>
    </row>
    <row r="47" spans="1:27" ht="88.5" customHeight="1">
      <c r="A47" s="345"/>
      <c r="B47" s="345"/>
      <c r="C47" s="31">
        <v>10</v>
      </c>
      <c r="D47" s="345"/>
      <c r="E47" s="37" t="s">
        <v>398</v>
      </c>
      <c r="F47" s="41" t="s">
        <v>326</v>
      </c>
      <c r="G47" s="41" t="s">
        <v>327</v>
      </c>
      <c r="H47" s="38" t="s">
        <v>399</v>
      </c>
      <c r="I47" s="23" t="s">
        <v>400</v>
      </c>
      <c r="J47" s="170"/>
      <c r="K47" s="25"/>
      <c r="L47" s="25"/>
      <c r="M47" s="26"/>
      <c r="N47" s="27"/>
      <c r="O47" s="25"/>
      <c r="P47" s="29" t="s">
        <v>282</v>
      </c>
      <c r="Q47" s="29" t="s">
        <v>282</v>
      </c>
      <c r="R47" s="25"/>
      <c r="S47" s="29"/>
      <c r="T47" s="30"/>
      <c r="U47" s="30"/>
      <c r="V47" s="30"/>
      <c r="W47" s="30"/>
      <c r="X47" s="30"/>
      <c r="Y47" s="30"/>
      <c r="Z47" s="30"/>
      <c r="AA47" s="30"/>
    </row>
    <row r="48" spans="1:27" ht="15.75" customHeight="1">
      <c r="A48" s="357" t="s">
        <v>401</v>
      </c>
      <c r="B48" s="358" t="s">
        <v>183</v>
      </c>
      <c r="C48" s="86">
        <v>1</v>
      </c>
      <c r="D48" s="351" t="s">
        <v>402</v>
      </c>
      <c r="E48" s="351" t="s">
        <v>403</v>
      </c>
      <c r="F48" s="354" t="s">
        <v>361</v>
      </c>
      <c r="G48" s="354" t="s">
        <v>327</v>
      </c>
      <c r="H48" s="324" t="s">
        <v>404</v>
      </c>
      <c r="I48" s="35" t="s">
        <v>405</v>
      </c>
      <c r="J48" s="172"/>
      <c r="K48" s="25"/>
      <c r="L48" s="25"/>
      <c r="M48" s="26"/>
      <c r="N48" s="27"/>
      <c r="O48" s="25"/>
      <c r="P48" s="25"/>
      <c r="Q48" s="29" t="s">
        <v>282</v>
      </c>
      <c r="R48" s="25" t="s">
        <v>305</v>
      </c>
      <c r="S48" s="29"/>
      <c r="T48" s="30"/>
      <c r="U48" s="30"/>
      <c r="V48" s="30"/>
      <c r="W48" s="30"/>
      <c r="X48" s="30"/>
      <c r="Y48" s="30"/>
      <c r="Z48" s="30"/>
      <c r="AA48" s="30"/>
    </row>
    <row r="49" spans="1:27" ht="15.75" customHeight="1">
      <c r="A49" s="352"/>
      <c r="B49" s="352"/>
      <c r="C49" s="86">
        <v>2</v>
      </c>
      <c r="D49" s="352"/>
      <c r="E49" s="353"/>
      <c r="F49" s="353"/>
      <c r="G49" s="353"/>
      <c r="H49" s="324" t="s">
        <v>383</v>
      </c>
      <c r="I49" s="35" t="s">
        <v>384</v>
      </c>
      <c r="J49" s="172"/>
      <c r="K49" s="25"/>
      <c r="L49" s="25"/>
      <c r="M49" s="26"/>
      <c r="N49" s="27"/>
      <c r="O49" s="25"/>
      <c r="P49" s="25"/>
      <c r="Q49" s="29" t="s">
        <v>282</v>
      </c>
      <c r="R49" s="25" t="s">
        <v>305</v>
      </c>
      <c r="S49" s="29"/>
      <c r="T49" s="30"/>
      <c r="U49" s="30"/>
      <c r="V49" s="30"/>
      <c r="W49" s="30"/>
      <c r="X49" s="30"/>
      <c r="Y49" s="30"/>
      <c r="Z49" s="30"/>
      <c r="AA49" s="30"/>
    </row>
    <row r="50" spans="1:27" ht="15.75" customHeight="1">
      <c r="A50" s="352"/>
      <c r="B50" s="352"/>
      <c r="C50" s="86">
        <v>3</v>
      </c>
      <c r="D50" s="352"/>
      <c r="E50" s="361" t="s">
        <v>385</v>
      </c>
      <c r="F50" s="354" t="s">
        <v>326</v>
      </c>
      <c r="G50" s="354" t="s">
        <v>327</v>
      </c>
      <c r="H50" s="351" t="s">
        <v>386</v>
      </c>
      <c r="I50" s="35" t="s">
        <v>406</v>
      </c>
      <c r="J50" s="172"/>
      <c r="K50" s="25"/>
      <c r="L50" s="25"/>
      <c r="M50" s="26"/>
      <c r="N50" s="27"/>
      <c r="O50" s="25"/>
      <c r="P50" s="25"/>
      <c r="Q50" s="29" t="s">
        <v>282</v>
      </c>
      <c r="R50" s="25" t="s">
        <v>305</v>
      </c>
      <c r="S50" s="29"/>
      <c r="T50" s="30"/>
      <c r="U50" s="30"/>
      <c r="V50" s="30"/>
      <c r="W50" s="30"/>
      <c r="X50" s="30"/>
      <c r="Y50" s="30"/>
      <c r="Z50" s="30"/>
      <c r="AA50" s="30"/>
    </row>
    <row r="51" spans="1:27" ht="15.75" customHeight="1">
      <c r="A51" s="352"/>
      <c r="B51" s="352"/>
      <c r="C51" s="86">
        <v>4</v>
      </c>
      <c r="D51" s="352"/>
      <c r="E51" s="352"/>
      <c r="F51" s="352"/>
      <c r="G51" s="352"/>
      <c r="H51" s="352"/>
      <c r="I51" s="35" t="s">
        <v>407</v>
      </c>
      <c r="J51" s="172"/>
      <c r="K51" s="25"/>
      <c r="L51" s="25"/>
      <c r="M51" s="26"/>
      <c r="N51" s="27"/>
      <c r="O51" s="25"/>
      <c r="P51" s="25"/>
      <c r="Q51" s="29" t="s">
        <v>282</v>
      </c>
      <c r="R51" s="25" t="s">
        <v>305</v>
      </c>
      <c r="S51" s="29"/>
      <c r="T51" s="30"/>
      <c r="U51" s="30"/>
      <c r="V51" s="30"/>
      <c r="W51" s="30"/>
      <c r="X51" s="30"/>
      <c r="Y51" s="30"/>
      <c r="Z51" s="30"/>
      <c r="AA51" s="30"/>
    </row>
    <row r="52" spans="1:27" ht="15.75" customHeight="1">
      <c r="A52" s="352"/>
      <c r="B52" s="352"/>
      <c r="C52" s="86">
        <v>5</v>
      </c>
      <c r="D52" s="352"/>
      <c r="E52" s="353"/>
      <c r="F52" s="353"/>
      <c r="G52" s="353"/>
      <c r="H52" s="353"/>
      <c r="I52" s="35" t="s">
        <v>389</v>
      </c>
      <c r="J52" s="172"/>
      <c r="K52" s="25"/>
      <c r="L52" s="25"/>
      <c r="M52" s="26"/>
      <c r="N52" s="27"/>
      <c r="O52" s="25"/>
      <c r="P52" s="25"/>
      <c r="Q52" s="29" t="s">
        <v>282</v>
      </c>
      <c r="R52" s="25" t="s">
        <v>305</v>
      </c>
      <c r="S52" s="29"/>
      <c r="T52" s="30"/>
      <c r="U52" s="30"/>
      <c r="V52" s="30"/>
      <c r="W52" s="30"/>
      <c r="X52" s="30"/>
      <c r="Y52" s="30"/>
      <c r="Z52" s="30"/>
      <c r="AA52" s="30"/>
    </row>
    <row r="53" spans="1:27" ht="15.75" customHeight="1">
      <c r="A53" s="352"/>
      <c r="B53" s="352"/>
      <c r="C53" s="86">
        <v>6</v>
      </c>
      <c r="D53" s="352"/>
      <c r="E53" s="351" t="s">
        <v>408</v>
      </c>
      <c r="F53" s="86" t="s">
        <v>326</v>
      </c>
      <c r="G53" s="86" t="s">
        <v>327</v>
      </c>
      <c r="H53" s="175" t="s">
        <v>409</v>
      </c>
      <c r="I53" s="35" t="s">
        <v>410</v>
      </c>
      <c r="J53" s="172"/>
      <c r="K53" s="25"/>
      <c r="L53" s="25"/>
      <c r="M53" s="26"/>
      <c r="N53" s="27"/>
      <c r="O53" s="25"/>
      <c r="P53" s="25"/>
      <c r="Q53" s="29" t="s">
        <v>282</v>
      </c>
      <c r="R53" s="25" t="s">
        <v>305</v>
      </c>
      <c r="S53" s="29"/>
      <c r="T53" s="30"/>
      <c r="U53" s="30"/>
      <c r="V53" s="30"/>
      <c r="W53" s="30"/>
      <c r="X53" s="30"/>
      <c r="Y53" s="30"/>
      <c r="Z53" s="30"/>
      <c r="AA53" s="30"/>
    </row>
    <row r="54" spans="1:27" ht="15.75" customHeight="1">
      <c r="A54" s="352"/>
      <c r="B54" s="352"/>
      <c r="C54" s="86">
        <v>7</v>
      </c>
      <c r="D54" s="352"/>
      <c r="E54" s="353"/>
      <c r="F54" s="86" t="s">
        <v>326</v>
      </c>
      <c r="G54" s="86" t="s">
        <v>327</v>
      </c>
      <c r="H54" s="175" t="s">
        <v>411</v>
      </c>
      <c r="I54" s="35" t="s">
        <v>412</v>
      </c>
      <c r="J54" s="172"/>
      <c r="K54" s="25"/>
      <c r="L54" s="25"/>
      <c r="M54" s="26"/>
      <c r="N54" s="27"/>
      <c r="O54" s="25"/>
      <c r="P54" s="25"/>
      <c r="Q54" s="29" t="s">
        <v>282</v>
      </c>
      <c r="R54" s="25" t="s">
        <v>305</v>
      </c>
      <c r="S54" s="29"/>
      <c r="T54" s="30"/>
      <c r="U54" s="30"/>
      <c r="V54" s="30"/>
      <c r="W54" s="30"/>
      <c r="X54" s="30"/>
      <c r="Y54" s="30"/>
      <c r="Z54" s="30"/>
      <c r="AA54" s="30"/>
    </row>
    <row r="55" spans="1:27" ht="15.75" customHeight="1">
      <c r="A55" s="352"/>
      <c r="B55" s="352"/>
      <c r="C55" s="86">
        <v>8</v>
      </c>
      <c r="D55" s="352"/>
      <c r="E55" s="351" t="s">
        <v>413</v>
      </c>
      <c r="F55" s="354" t="s">
        <v>326</v>
      </c>
      <c r="G55" s="354" t="s">
        <v>327</v>
      </c>
      <c r="H55" s="175" t="s">
        <v>336</v>
      </c>
      <c r="I55" s="35" t="s">
        <v>337</v>
      </c>
      <c r="J55" s="172"/>
      <c r="K55" s="25"/>
      <c r="L55" s="25"/>
      <c r="M55" s="26"/>
      <c r="N55" s="27"/>
      <c r="O55" s="25"/>
      <c r="P55" s="25"/>
      <c r="Q55" s="29" t="s">
        <v>282</v>
      </c>
      <c r="R55" s="25" t="s">
        <v>305</v>
      </c>
      <c r="S55" s="29"/>
      <c r="T55" s="30"/>
      <c r="U55" s="30"/>
      <c r="V55" s="30"/>
      <c r="W55" s="30"/>
      <c r="X55" s="30"/>
      <c r="Y55" s="30"/>
      <c r="Z55" s="30"/>
      <c r="AA55" s="30"/>
    </row>
    <row r="56" spans="1:27" ht="15.75" customHeight="1">
      <c r="A56" s="352"/>
      <c r="B56" s="352"/>
      <c r="C56" s="86">
        <v>9</v>
      </c>
      <c r="D56" s="352"/>
      <c r="E56" s="353"/>
      <c r="F56" s="353"/>
      <c r="G56" s="353"/>
      <c r="H56" s="175" t="s">
        <v>373</v>
      </c>
      <c r="I56" s="35" t="s">
        <v>378</v>
      </c>
      <c r="J56" s="172"/>
      <c r="K56" s="25"/>
      <c r="L56" s="25"/>
      <c r="M56" s="26"/>
      <c r="N56" s="27"/>
      <c r="O56" s="25"/>
      <c r="P56" s="25"/>
      <c r="Q56" s="29" t="s">
        <v>282</v>
      </c>
      <c r="R56" s="25" t="s">
        <v>305</v>
      </c>
      <c r="S56" s="29"/>
      <c r="T56" s="30"/>
      <c r="U56" s="30"/>
      <c r="V56" s="30"/>
      <c r="W56" s="30"/>
      <c r="X56" s="30"/>
      <c r="Y56" s="30"/>
      <c r="Z56" s="30"/>
      <c r="AA56" s="30"/>
    </row>
    <row r="57" spans="1:27" ht="15.75" customHeight="1">
      <c r="A57" s="353"/>
      <c r="B57" s="353"/>
      <c r="C57" s="86">
        <v>10</v>
      </c>
      <c r="D57" s="353"/>
      <c r="E57" s="325" t="s">
        <v>414</v>
      </c>
      <c r="F57" s="86" t="s">
        <v>326</v>
      </c>
      <c r="G57" s="86" t="s">
        <v>327</v>
      </c>
      <c r="H57" s="324" t="s">
        <v>415</v>
      </c>
      <c r="I57" s="35" t="s">
        <v>416</v>
      </c>
      <c r="J57" s="172"/>
      <c r="K57" s="25"/>
      <c r="L57" s="25"/>
      <c r="M57" s="26"/>
      <c r="N57" s="27"/>
      <c r="O57" s="25"/>
      <c r="P57" s="25"/>
      <c r="Q57" s="29" t="s">
        <v>282</v>
      </c>
      <c r="R57" s="25" t="s">
        <v>305</v>
      </c>
      <c r="S57" s="29"/>
      <c r="T57" s="30"/>
      <c r="U57" s="30"/>
      <c r="V57" s="30"/>
      <c r="W57" s="30"/>
      <c r="X57" s="30"/>
      <c r="Y57" s="30"/>
      <c r="Z57" s="30"/>
      <c r="AA57" s="30"/>
    </row>
    <row r="58" spans="1:27" ht="15.75" customHeight="1">
      <c r="A58" s="355" t="s">
        <v>417</v>
      </c>
      <c r="B58" s="350" t="s">
        <v>418</v>
      </c>
      <c r="C58" s="31">
        <v>1</v>
      </c>
      <c r="D58" s="355" t="s">
        <v>419</v>
      </c>
      <c r="E58" s="356" t="s">
        <v>417</v>
      </c>
      <c r="F58" s="360" t="s">
        <v>326</v>
      </c>
      <c r="G58" s="360" t="s">
        <v>327</v>
      </c>
      <c r="H58" s="23" t="s">
        <v>420</v>
      </c>
      <c r="I58" s="23" t="s">
        <v>421</v>
      </c>
      <c r="J58" s="170"/>
      <c r="K58" s="25"/>
      <c r="L58" s="25"/>
      <c r="M58" s="26"/>
      <c r="N58" s="27"/>
      <c r="O58" s="25" t="s">
        <v>140</v>
      </c>
      <c r="P58" s="25"/>
      <c r="Q58" s="29" t="s">
        <v>282</v>
      </c>
      <c r="R58" s="25"/>
      <c r="S58" s="29"/>
      <c r="T58" s="30"/>
      <c r="U58" s="30"/>
      <c r="V58" s="30"/>
      <c r="W58" s="30"/>
      <c r="X58" s="30"/>
      <c r="Y58" s="30"/>
      <c r="Z58" s="30"/>
      <c r="AA58" s="30"/>
    </row>
    <row r="59" spans="1:27" ht="15.75" customHeight="1">
      <c r="A59" s="344"/>
      <c r="B59" s="344"/>
      <c r="C59" s="31">
        <v>2</v>
      </c>
      <c r="D59" s="344"/>
      <c r="E59" s="345"/>
      <c r="F59" s="345"/>
      <c r="G59" s="345"/>
      <c r="H59" s="23" t="s">
        <v>383</v>
      </c>
      <c r="I59" s="23" t="s">
        <v>384</v>
      </c>
      <c r="J59" s="170"/>
      <c r="K59" s="25"/>
      <c r="L59" s="25"/>
      <c r="M59" s="26"/>
      <c r="N59" s="27"/>
      <c r="O59" s="25" t="s">
        <v>140</v>
      </c>
      <c r="P59" s="25"/>
      <c r="Q59" s="29" t="s">
        <v>282</v>
      </c>
      <c r="R59" s="25"/>
      <c r="S59" s="29"/>
      <c r="T59" s="30"/>
      <c r="U59" s="30"/>
      <c r="V59" s="30"/>
      <c r="W59" s="30"/>
      <c r="X59" s="30"/>
      <c r="Y59" s="30"/>
      <c r="Z59" s="30"/>
      <c r="AA59" s="30"/>
    </row>
    <row r="60" spans="1:27" ht="15.75" customHeight="1">
      <c r="A60" s="344"/>
      <c r="B60" s="344"/>
      <c r="C60" s="31">
        <v>3</v>
      </c>
      <c r="D60" s="344"/>
      <c r="E60" s="355" t="s">
        <v>422</v>
      </c>
      <c r="F60" s="350" t="s">
        <v>326</v>
      </c>
      <c r="G60" s="350" t="s">
        <v>327</v>
      </c>
      <c r="H60" s="23" t="s">
        <v>423</v>
      </c>
      <c r="I60" s="23" t="s">
        <v>424</v>
      </c>
      <c r="J60" s="170"/>
      <c r="K60" s="25" t="s">
        <v>294</v>
      </c>
      <c r="L60" s="25"/>
      <c r="M60" s="26"/>
      <c r="N60" s="27"/>
      <c r="O60" s="25" t="s">
        <v>140</v>
      </c>
      <c r="P60" s="25"/>
      <c r="Q60" s="29" t="s">
        <v>140</v>
      </c>
      <c r="R60" s="25"/>
      <c r="S60" s="29"/>
      <c r="T60" s="30"/>
      <c r="U60" s="30"/>
      <c r="V60" s="30"/>
      <c r="W60" s="30"/>
      <c r="X60" s="30"/>
      <c r="Y60" s="30"/>
      <c r="Z60" s="30"/>
      <c r="AA60" s="30"/>
    </row>
    <row r="61" spans="1:27" ht="15.75" customHeight="1">
      <c r="A61" s="344"/>
      <c r="B61" s="344"/>
      <c r="C61" s="31">
        <v>4</v>
      </c>
      <c r="D61" s="344"/>
      <c r="E61" s="344"/>
      <c r="F61" s="344"/>
      <c r="G61" s="344"/>
      <c r="H61" s="23" t="s">
        <v>336</v>
      </c>
      <c r="I61" s="23" t="s">
        <v>352</v>
      </c>
      <c r="J61" s="170"/>
      <c r="K61" s="25"/>
      <c r="L61" s="25"/>
      <c r="M61" s="26"/>
      <c r="N61" s="27"/>
      <c r="O61" s="25" t="s">
        <v>140</v>
      </c>
      <c r="P61" s="25"/>
      <c r="Q61" s="29" t="s">
        <v>282</v>
      </c>
      <c r="R61" s="25"/>
      <c r="S61" s="29"/>
      <c r="T61" s="30"/>
      <c r="U61" s="30"/>
      <c r="V61" s="30"/>
      <c r="W61" s="30"/>
      <c r="X61" s="30"/>
      <c r="Y61" s="30"/>
      <c r="Z61" s="30"/>
      <c r="AA61" s="30"/>
    </row>
    <row r="62" spans="1:27" ht="15.75" customHeight="1">
      <c r="A62" s="345"/>
      <c r="B62" s="345"/>
      <c r="C62" s="31">
        <v>5</v>
      </c>
      <c r="D62" s="345"/>
      <c r="E62" s="345"/>
      <c r="F62" s="345"/>
      <c r="G62" s="345"/>
      <c r="H62" s="23" t="s">
        <v>338</v>
      </c>
      <c r="I62" s="23" t="s">
        <v>347</v>
      </c>
      <c r="J62" s="170"/>
      <c r="K62" s="25" t="s">
        <v>294</v>
      </c>
      <c r="L62" s="25"/>
      <c r="M62" s="26"/>
      <c r="N62" s="27"/>
      <c r="O62" s="25" t="s">
        <v>140</v>
      </c>
      <c r="P62" s="25"/>
      <c r="Q62" s="29" t="s">
        <v>140</v>
      </c>
      <c r="R62" s="25"/>
      <c r="S62" s="29"/>
      <c r="T62" s="30"/>
      <c r="U62" s="30"/>
      <c r="V62" s="30"/>
      <c r="W62" s="30"/>
      <c r="X62" s="30"/>
      <c r="Y62" s="30"/>
      <c r="Z62" s="30"/>
      <c r="AA62" s="30"/>
    </row>
    <row r="63" spans="1:27" ht="15.75" customHeight="1">
      <c r="A63" s="351" t="s">
        <v>425</v>
      </c>
      <c r="B63" s="354" t="s">
        <v>184</v>
      </c>
      <c r="C63" s="86">
        <v>1</v>
      </c>
      <c r="D63" s="351" t="s">
        <v>426</v>
      </c>
      <c r="E63" s="351" t="s">
        <v>417</v>
      </c>
      <c r="F63" s="354" t="s">
        <v>326</v>
      </c>
      <c r="G63" s="354" t="s">
        <v>327</v>
      </c>
      <c r="H63" s="175" t="s">
        <v>427</v>
      </c>
      <c r="I63" s="35" t="s">
        <v>421</v>
      </c>
      <c r="J63" s="172"/>
      <c r="K63" s="25"/>
      <c r="L63" s="25"/>
      <c r="M63" s="43"/>
      <c r="N63" s="27"/>
      <c r="O63" s="25"/>
      <c r="P63" s="25"/>
      <c r="Q63" s="29" t="s">
        <v>282</v>
      </c>
      <c r="R63" s="25" t="s">
        <v>305</v>
      </c>
      <c r="S63" s="29"/>
      <c r="T63" s="30"/>
      <c r="U63" s="30"/>
      <c r="V63" s="30"/>
      <c r="W63" s="30"/>
      <c r="X63" s="30"/>
      <c r="Y63" s="30"/>
      <c r="Z63" s="30"/>
      <c r="AA63" s="30"/>
    </row>
    <row r="64" spans="1:27" ht="15.75" customHeight="1">
      <c r="A64" s="352"/>
      <c r="B64" s="352"/>
      <c r="C64" s="86">
        <v>2</v>
      </c>
      <c r="D64" s="352"/>
      <c r="E64" s="353"/>
      <c r="F64" s="353"/>
      <c r="G64" s="353"/>
      <c r="H64" s="175" t="s">
        <v>383</v>
      </c>
      <c r="I64" s="35" t="s">
        <v>384</v>
      </c>
      <c r="J64" s="172"/>
      <c r="K64" s="25"/>
      <c r="L64" s="25"/>
      <c r="M64" s="43"/>
      <c r="N64" s="27"/>
      <c r="O64" s="25"/>
      <c r="P64" s="25"/>
      <c r="Q64" s="29" t="s">
        <v>282</v>
      </c>
      <c r="R64" s="25" t="s">
        <v>305</v>
      </c>
      <c r="S64" s="29"/>
      <c r="T64" s="30"/>
      <c r="U64" s="30"/>
      <c r="V64" s="30"/>
      <c r="W64" s="30"/>
      <c r="X64" s="30"/>
      <c r="Y64" s="30"/>
      <c r="Z64" s="30"/>
      <c r="AA64" s="30"/>
    </row>
    <row r="65" spans="1:27" ht="15.75" customHeight="1">
      <c r="A65" s="352"/>
      <c r="B65" s="352"/>
      <c r="C65" s="86">
        <v>3</v>
      </c>
      <c r="D65" s="352"/>
      <c r="E65" s="351" t="s">
        <v>422</v>
      </c>
      <c r="F65" s="354" t="s">
        <v>326</v>
      </c>
      <c r="G65" s="354" t="s">
        <v>327</v>
      </c>
      <c r="H65" s="175" t="s">
        <v>428</v>
      </c>
      <c r="I65" s="35" t="s">
        <v>429</v>
      </c>
      <c r="J65" s="172"/>
      <c r="K65" s="25"/>
      <c r="L65" s="25"/>
      <c r="M65" s="43"/>
      <c r="N65" s="27"/>
      <c r="O65" s="25"/>
      <c r="P65" s="25"/>
      <c r="Q65" s="29" t="s">
        <v>282</v>
      </c>
      <c r="R65" s="25" t="s">
        <v>305</v>
      </c>
      <c r="S65" s="29"/>
      <c r="T65" s="30"/>
      <c r="U65" s="30"/>
      <c r="V65" s="30"/>
      <c r="W65" s="30"/>
      <c r="X65" s="30"/>
      <c r="Y65" s="30"/>
      <c r="Z65" s="30"/>
      <c r="AA65" s="30"/>
    </row>
    <row r="66" spans="1:27" ht="15.75" customHeight="1">
      <c r="A66" s="352"/>
      <c r="B66" s="352"/>
      <c r="C66" s="86">
        <v>4</v>
      </c>
      <c r="D66" s="352"/>
      <c r="E66" s="352"/>
      <c r="F66" s="352"/>
      <c r="G66" s="352"/>
      <c r="H66" s="175" t="s">
        <v>336</v>
      </c>
      <c r="I66" s="35" t="s">
        <v>352</v>
      </c>
      <c r="J66" s="172"/>
      <c r="K66" s="25"/>
      <c r="L66" s="25"/>
      <c r="M66" s="43"/>
      <c r="N66" s="27"/>
      <c r="O66" s="25"/>
      <c r="P66" s="25"/>
      <c r="Q66" s="29" t="s">
        <v>282</v>
      </c>
      <c r="R66" s="25" t="s">
        <v>305</v>
      </c>
      <c r="S66" s="29"/>
      <c r="T66" s="30"/>
      <c r="U66" s="30"/>
      <c r="V66" s="30"/>
      <c r="W66" s="30"/>
      <c r="X66" s="30"/>
      <c r="Y66" s="30"/>
      <c r="Z66" s="30"/>
      <c r="AA66" s="30"/>
    </row>
    <row r="67" spans="1:27" ht="15.75" customHeight="1">
      <c r="A67" s="352"/>
      <c r="B67" s="352"/>
      <c r="C67" s="86">
        <v>5</v>
      </c>
      <c r="D67" s="352"/>
      <c r="E67" s="352"/>
      <c r="F67" s="352"/>
      <c r="G67" s="352"/>
      <c r="H67" s="175" t="s">
        <v>338</v>
      </c>
      <c r="I67" s="35" t="s">
        <v>347</v>
      </c>
      <c r="J67" s="172"/>
      <c r="K67" s="25"/>
      <c r="L67" s="25"/>
      <c r="M67" s="43"/>
      <c r="N67" s="27"/>
      <c r="O67" s="25"/>
      <c r="P67" s="25"/>
      <c r="Q67" s="29" t="s">
        <v>282</v>
      </c>
      <c r="R67" s="25" t="s">
        <v>305</v>
      </c>
      <c r="S67" s="29"/>
      <c r="T67" s="30"/>
      <c r="U67" s="30"/>
      <c r="V67" s="30"/>
      <c r="W67" s="30"/>
      <c r="X67" s="30"/>
      <c r="Y67" s="30"/>
      <c r="Z67" s="30"/>
      <c r="AA67" s="30"/>
    </row>
    <row r="68" spans="1:27" ht="15.75" customHeight="1">
      <c r="A68" s="353"/>
      <c r="B68" s="353"/>
      <c r="C68" s="86">
        <v>6</v>
      </c>
      <c r="D68" s="353"/>
      <c r="E68" s="353"/>
      <c r="F68" s="353"/>
      <c r="G68" s="353"/>
      <c r="H68" s="175" t="s">
        <v>373</v>
      </c>
      <c r="I68" s="35" t="s">
        <v>430</v>
      </c>
      <c r="J68" s="172"/>
      <c r="K68" s="25"/>
      <c r="L68" s="25"/>
      <c r="M68" s="43"/>
      <c r="N68" s="27"/>
      <c r="O68" s="25"/>
      <c r="P68" s="25"/>
      <c r="Q68" s="29" t="s">
        <v>282</v>
      </c>
      <c r="R68" s="25" t="s">
        <v>305</v>
      </c>
      <c r="S68" s="29"/>
      <c r="T68" s="30"/>
      <c r="U68" s="30"/>
      <c r="V68" s="30"/>
      <c r="W68" s="30"/>
      <c r="X68" s="30"/>
      <c r="Y68" s="30"/>
      <c r="Z68" s="30"/>
      <c r="AA68" s="30"/>
    </row>
    <row r="69" spans="1:27" ht="15.75" customHeight="1">
      <c r="A69" s="364" t="s">
        <v>431</v>
      </c>
      <c r="B69" s="363" t="s">
        <v>127</v>
      </c>
      <c r="C69" s="46">
        <v>1</v>
      </c>
      <c r="D69" s="364" t="s">
        <v>432</v>
      </c>
      <c r="E69" s="44" t="s">
        <v>433</v>
      </c>
      <c r="F69" s="45" t="s">
        <v>326</v>
      </c>
      <c r="G69" s="45" t="s">
        <v>327</v>
      </c>
      <c r="H69" s="35" t="s">
        <v>434</v>
      </c>
      <c r="I69" s="35" t="s">
        <v>435</v>
      </c>
      <c r="J69" s="172"/>
      <c r="K69" s="25" t="s">
        <v>294</v>
      </c>
      <c r="L69" s="25"/>
      <c r="M69" s="26"/>
      <c r="N69" s="27"/>
      <c r="O69" s="25"/>
      <c r="P69" s="25"/>
      <c r="Q69" s="29" t="s">
        <v>140</v>
      </c>
      <c r="R69" s="25"/>
      <c r="S69" s="29"/>
      <c r="T69" s="30"/>
      <c r="U69" s="30"/>
      <c r="V69" s="30"/>
      <c r="W69" s="30"/>
      <c r="X69" s="30"/>
      <c r="Y69" s="30"/>
      <c r="Z69" s="30"/>
      <c r="AA69" s="30"/>
    </row>
    <row r="70" spans="1:27" ht="15.75" customHeight="1">
      <c r="A70" s="344"/>
      <c r="B70" s="344"/>
      <c r="C70" s="46">
        <v>2</v>
      </c>
      <c r="D70" s="344"/>
      <c r="E70" s="364" t="s">
        <v>422</v>
      </c>
      <c r="F70" s="363" t="s">
        <v>326</v>
      </c>
      <c r="G70" s="363" t="s">
        <v>327</v>
      </c>
      <c r="H70" s="35" t="s">
        <v>423</v>
      </c>
      <c r="I70" s="35" t="s">
        <v>396</v>
      </c>
      <c r="J70" s="172"/>
      <c r="K70" s="25" t="s">
        <v>294</v>
      </c>
      <c r="L70" s="25"/>
      <c r="M70" s="26"/>
      <c r="N70" s="27"/>
      <c r="O70" s="25"/>
      <c r="P70" s="25"/>
      <c r="Q70" s="29" t="s">
        <v>140</v>
      </c>
      <c r="R70" s="25"/>
      <c r="S70" s="29"/>
      <c r="T70" s="30"/>
      <c r="U70" s="30"/>
      <c r="V70" s="30"/>
      <c r="W70" s="30"/>
      <c r="X70" s="30"/>
      <c r="Y70" s="30"/>
      <c r="Z70" s="30"/>
      <c r="AA70" s="30"/>
    </row>
    <row r="71" spans="1:27" ht="15.75" customHeight="1">
      <c r="A71" s="344"/>
      <c r="B71" s="344"/>
      <c r="C71" s="46">
        <v>3</v>
      </c>
      <c r="D71" s="344"/>
      <c r="E71" s="344"/>
      <c r="F71" s="344"/>
      <c r="G71" s="344"/>
      <c r="H71" s="35" t="s">
        <v>336</v>
      </c>
      <c r="I71" s="35" t="s">
        <v>337</v>
      </c>
      <c r="J71" s="172"/>
      <c r="K71" s="25"/>
      <c r="L71" s="25"/>
      <c r="M71" s="26"/>
      <c r="N71" s="27"/>
      <c r="O71" s="25"/>
      <c r="P71" s="25"/>
      <c r="Q71" s="29" t="s">
        <v>282</v>
      </c>
      <c r="R71" s="25"/>
      <c r="S71" s="29"/>
      <c r="T71" s="30"/>
      <c r="U71" s="30"/>
      <c r="V71" s="30"/>
      <c r="W71" s="30"/>
      <c r="X71" s="30"/>
      <c r="Y71" s="30"/>
      <c r="Z71" s="30"/>
      <c r="AA71" s="30"/>
    </row>
    <row r="72" spans="1:27" ht="15.75" customHeight="1">
      <c r="A72" s="345"/>
      <c r="B72" s="345"/>
      <c r="C72" s="46">
        <v>4</v>
      </c>
      <c r="D72" s="345"/>
      <c r="E72" s="345"/>
      <c r="F72" s="345"/>
      <c r="G72" s="345"/>
      <c r="H72" s="35" t="s">
        <v>338</v>
      </c>
      <c r="I72" s="35" t="s">
        <v>339</v>
      </c>
      <c r="J72" s="172"/>
      <c r="K72" s="25" t="s">
        <v>294</v>
      </c>
      <c r="L72" s="25"/>
      <c r="M72" s="26"/>
      <c r="N72" s="27"/>
      <c r="O72" s="25"/>
      <c r="P72" s="25"/>
      <c r="Q72" s="29" t="s">
        <v>140</v>
      </c>
      <c r="R72" s="25"/>
      <c r="S72" s="29"/>
      <c r="T72" s="30"/>
      <c r="U72" s="30"/>
      <c r="V72" s="30"/>
      <c r="W72" s="30"/>
      <c r="X72" s="30"/>
      <c r="Y72" s="30"/>
      <c r="Z72" s="30"/>
      <c r="AA72" s="30"/>
    </row>
    <row r="73" spans="1:27" ht="16.5" customHeight="1">
      <c r="A73" s="355" t="s">
        <v>436</v>
      </c>
      <c r="B73" s="350" t="s">
        <v>143</v>
      </c>
      <c r="C73" s="41">
        <v>1</v>
      </c>
      <c r="D73" s="355" t="s">
        <v>437</v>
      </c>
      <c r="E73" s="355" t="s">
        <v>436</v>
      </c>
      <c r="F73" s="350" t="s">
        <v>326</v>
      </c>
      <c r="G73" s="350" t="s">
        <v>327</v>
      </c>
      <c r="H73" s="47" t="s">
        <v>438</v>
      </c>
      <c r="I73" s="47" t="s">
        <v>424</v>
      </c>
      <c r="J73" s="168"/>
      <c r="K73" s="25" t="s">
        <v>294</v>
      </c>
      <c r="L73" s="25"/>
      <c r="M73" s="48"/>
      <c r="N73" s="49"/>
      <c r="O73" s="50"/>
      <c r="P73" s="50"/>
      <c r="Q73" s="29" t="s">
        <v>140</v>
      </c>
      <c r="R73" s="50"/>
      <c r="S73" s="29"/>
      <c r="T73" s="51"/>
      <c r="U73" s="51"/>
      <c r="V73" s="51"/>
      <c r="W73" s="51"/>
      <c r="X73" s="51"/>
      <c r="Y73" s="51"/>
      <c r="Z73" s="51"/>
      <c r="AA73" s="51"/>
    </row>
    <row r="74" spans="1:27" ht="15.75" customHeight="1">
      <c r="A74" s="344"/>
      <c r="B74" s="344"/>
      <c r="C74" s="41">
        <v>2</v>
      </c>
      <c r="D74" s="344"/>
      <c r="E74" s="344"/>
      <c r="F74" s="344"/>
      <c r="G74" s="344"/>
      <c r="H74" s="47" t="s">
        <v>439</v>
      </c>
      <c r="I74" s="47" t="s">
        <v>440</v>
      </c>
      <c r="J74" s="168"/>
      <c r="K74" s="25" t="s">
        <v>294</v>
      </c>
      <c r="L74" s="25"/>
      <c r="M74" s="48"/>
      <c r="N74" s="49"/>
      <c r="O74" s="50"/>
      <c r="P74" s="50"/>
      <c r="Q74" s="29" t="s">
        <v>140</v>
      </c>
      <c r="R74" s="50"/>
      <c r="S74" s="29"/>
      <c r="T74" s="51"/>
      <c r="U74" s="51"/>
      <c r="V74" s="51"/>
      <c r="W74" s="51"/>
      <c r="X74" s="51"/>
      <c r="Y74" s="51"/>
      <c r="Z74" s="51"/>
      <c r="AA74" s="51"/>
    </row>
    <row r="75" spans="1:27" ht="16.5" customHeight="1">
      <c r="A75" s="344"/>
      <c r="B75" s="344"/>
      <c r="C75" s="41">
        <v>3</v>
      </c>
      <c r="D75" s="344"/>
      <c r="E75" s="344"/>
      <c r="F75" s="344"/>
      <c r="G75" s="344"/>
      <c r="H75" s="47" t="s">
        <v>441</v>
      </c>
      <c r="I75" s="47" t="s">
        <v>442</v>
      </c>
      <c r="J75" s="168"/>
      <c r="K75" s="25" t="s">
        <v>294</v>
      </c>
      <c r="L75" s="25"/>
      <c r="M75" s="48"/>
      <c r="N75" s="49"/>
      <c r="O75" s="50"/>
      <c r="P75" s="50"/>
      <c r="Q75" s="29" t="s">
        <v>140</v>
      </c>
      <c r="R75" s="50"/>
      <c r="S75" s="29"/>
      <c r="T75" s="51"/>
      <c r="U75" s="51"/>
      <c r="V75" s="51"/>
      <c r="W75" s="51"/>
      <c r="X75" s="51"/>
      <c r="Y75" s="51"/>
      <c r="Z75" s="51"/>
      <c r="AA75" s="51"/>
    </row>
    <row r="76" spans="1:27" ht="16.5" customHeight="1">
      <c r="A76" s="344"/>
      <c r="B76" s="344"/>
      <c r="C76" s="41">
        <v>4</v>
      </c>
      <c r="D76" s="344"/>
      <c r="E76" s="344"/>
      <c r="F76" s="344"/>
      <c r="G76" s="344"/>
      <c r="H76" s="47" t="s">
        <v>443</v>
      </c>
      <c r="I76" s="47" t="s">
        <v>444</v>
      </c>
      <c r="J76" s="168"/>
      <c r="K76" s="25" t="s">
        <v>294</v>
      </c>
      <c r="L76" s="25"/>
      <c r="M76" s="48"/>
      <c r="N76" s="49"/>
      <c r="O76" s="50"/>
      <c r="P76" s="50"/>
      <c r="Q76" s="29" t="s">
        <v>140</v>
      </c>
      <c r="R76" s="50"/>
      <c r="S76" s="29"/>
      <c r="T76" s="51"/>
      <c r="U76" s="51"/>
      <c r="V76" s="51"/>
      <c r="W76" s="51"/>
      <c r="X76" s="51"/>
      <c r="Y76" s="51"/>
      <c r="Z76" s="51"/>
      <c r="AA76" s="51"/>
    </row>
    <row r="77" spans="1:27" ht="15.75" customHeight="1">
      <c r="A77" s="344"/>
      <c r="B77" s="344"/>
      <c r="C77" s="31">
        <v>5</v>
      </c>
      <c r="D77" s="344"/>
      <c r="E77" s="344"/>
      <c r="F77" s="344"/>
      <c r="G77" s="344"/>
      <c r="H77" s="35" t="s">
        <v>445</v>
      </c>
      <c r="I77" s="35" t="s">
        <v>446</v>
      </c>
      <c r="J77" s="172"/>
      <c r="K77" s="25"/>
      <c r="L77" s="25"/>
      <c r="M77" s="26"/>
      <c r="N77" s="27"/>
      <c r="O77" s="25"/>
      <c r="P77" s="25"/>
      <c r="Q77" s="29" t="s">
        <v>282</v>
      </c>
      <c r="R77" s="25"/>
      <c r="S77" s="29"/>
      <c r="T77" s="30"/>
      <c r="U77" s="30"/>
      <c r="V77" s="30"/>
      <c r="W77" s="30"/>
      <c r="X77" s="30"/>
      <c r="Y77" s="30"/>
      <c r="Z77" s="30"/>
      <c r="AA77" s="30"/>
    </row>
    <row r="78" spans="1:27" ht="15.75" customHeight="1">
      <c r="A78" s="344"/>
      <c r="B78" s="344"/>
      <c r="C78" s="31">
        <v>6</v>
      </c>
      <c r="D78" s="344"/>
      <c r="E78" s="344"/>
      <c r="F78" s="344"/>
      <c r="G78" s="344"/>
      <c r="H78" s="35" t="s">
        <v>447</v>
      </c>
      <c r="I78" s="35" t="s">
        <v>448</v>
      </c>
      <c r="J78" s="172"/>
      <c r="K78" s="25" t="s">
        <v>294</v>
      </c>
      <c r="L78" s="25"/>
      <c r="M78" s="26"/>
      <c r="N78" s="27"/>
      <c r="O78" s="25"/>
      <c r="P78" s="25"/>
      <c r="Q78" s="29" t="s">
        <v>140</v>
      </c>
      <c r="R78" s="25"/>
      <c r="S78" s="29"/>
      <c r="T78" s="30"/>
      <c r="U78" s="30"/>
      <c r="V78" s="30"/>
      <c r="W78" s="30"/>
      <c r="X78" s="30"/>
      <c r="Y78" s="30"/>
      <c r="Z78" s="30"/>
      <c r="AA78" s="30"/>
    </row>
    <row r="79" spans="1:27" ht="15.75" customHeight="1">
      <c r="A79" s="344"/>
      <c r="B79" s="344"/>
      <c r="C79" s="31">
        <v>7</v>
      </c>
      <c r="D79" s="344"/>
      <c r="E79" s="345"/>
      <c r="F79" s="345"/>
      <c r="G79" s="345"/>
      <c r="H79" s="35" t="s">
        <v>449</v>
      </c>
      <c r="I79" s="35" t="s">
        <v>450</v>
      </c>
      <c r="J79" s="172"/>
      <c r="K79" s="25"/>
      <c r="L79" s="25"/>
      <c r="M79" s="26"/>
      <c r="N79" s="27"/>
      <c r="O79" s="25"/>
      <c r="P79" s="25"/>
      <c r="Q79" s="29" t="s">
        <v>282</v>
      </c>
      <c r="R79" s="25"/>
      <c r="S79" s="29"/>
      <c r="T79" s="30"/>
      <c r="U79" s="30"/>
      <c r="V79" s="30"/>
      <c r="W79" s="30"/>
      <c r="X79" s="30"/>
      <c r="Y79" s="30"/>
      <c r="Z79" s="30"/>
      <c r="AA79" s="30"/>
    </row>
    <row r="80" spans="1:27" ht="82.5" customHeight="1">
      <c r="A80" s="344"/>
      <c r="B80" s="344"/>
      <c r="C80" s="31">
        <v>8</v>
      </c>
      <c r="D80" s="344"/>
      <c r="E80" s="39" t="s">
        <v>451</v>
      </c>
      <c r="F80" s="31" t="s">
        <v>326</v>
      </c>
      <c r="G80" s="31" t="s">
        <v>327</v>
      </c>
      <c r="H80" s="23" t="s">
        <v>452</v>
      </c>
      <c r="I80" s="23" t="s">
        <v>453</v>
      </c>
      <c r="J80" s="170"/>
      <c r="K80" s="25" t="s">
        <v>294</v>
      </c>
      <c r="L80" s="25"/>
      <c r="M80" s="362" t="s">
        <v>454</v>
      </c>
      <c r="N80" s="27"/>
      <c r="O80" s="25"/>
      <c r="P80" s="25"/>
      <c r="Q80" s="29" t="s">
        <v>140</v>
      </c>
      <c r="R80" s="25"/>
      <c r="S80" s="29" t="s">
        <v>140</v>
      </c>
      <c r="T80" s="30"/>
      <c r="U80" s="30"/>
      <c r="V80" s="30"/>
      <c r="W80" s="30"/>
      <c r="X80" s="30"/>
      <c r="Y80" s="30"/>
      <c r="Z80" s="30"/>
      <c r="AA80" s="30"/>
    </row>
    <row r="81" spans="1:27" ht="15.75" customHeight="1">
      <c r="A81" s="345"/>
      <c r="B81" s="345"/>
      <c r="C81" s="31">
        <v>9</v>
      </c>
      <c r="D81" s="345"/>
      <c r="E81" s="39" t="s">
        <v>455</v>
      </c>
      <c r="F81" s="31" t="s">
        <v>326</v>
      </c>
      <c r="G81" s="31" t="s">
        <v>327</v>
      </c>
      <c r="H81" s="23" t="s">
        <v>456</v>
      </c>
      <c r="I81" s="23" t="s">
        <v>453</v>
      </c>
      <c r="J81" s="170"/>
      <c r="K81" s="25" t="s">
        <v>294</v>
      </c>
      <c r="L81" s="25"/>
      <c r="M81" s="345"/>
      <c r="N81" s="27"/>
      <c r="O81" s="25"/>
      <c r="P81" s="25"/>
      <c r="Q81" s="29" t="s">
        <v>140</v>
      </c>
      <c r="R81" s="25"/>
      <c r="S81" s="29" t="s">
        <v>140</v>
      </c>
      <c r="T81" s="30"/>
      <c r="U81" s="30"/>
      <c r="V81" s="30"/>
      <c r="W81" s="30"/>
      <c r="X81" s="30"/>
      <c r="Y81" s="30"/>
      <c r="Z81" s="30"/>
      <c r="AA81" s="30"/>
    </row>
    <row r="82" spans="1:27" ht="15.75" customHeight="1">
      <c r="A82" s="355" t="s">
        <v>457</v>
      </c>
      <c r="B82" s="350" t="s">
        <v>144</v>
      </c>
      <c r="C82" s="31">
        <v>1</v>
      </c>
      <c r="D82" s="355" t="s">
        <v>458</v>
      </c>
      <c r="E82" s="355" t="s">
        <v>457</v>
      </c>
      <c r="F82" s="350" t="s">
        <v>326</v>
      </c>
      <c r="G82" s="350" t="s">
        <v>349</v>
      </c>
      <c r="H82" s="23" t="s">
        <v>459</v>
      </c>
      <c r="I82" s="23" t="s">
        <v>460</v>
      </c>
      <c r="J82" s="170"/>
      <c r="K82" s="25" t="s">
        <v>294</v>
      </c>
      <c r="L82" s="25"/>
      <c r="M82" s="26"/>
      <c r="N82" s="27"/>
      <c r="O82" s="25"/>
      <c r="P82" s="25"/>
      <c r="Q82" s="29" t="s">
        <v>140</v>
      </c>
      <c r="R82" s="25"/>
      <c r="S82" s="29"/>
      <c r="T82" s="30"/>
      <c r="U82" s="30"/>
      <c r="V82" s="30"/>
      <c r="W82" s="30"/>
      <c r="X82" s="30"/>
      <c r="Y82" s="30"/>
      <c r="Z82" s="30"/>
      <c r="AA82" s="30"/>
    </row>
    <row r="83" spans="1:27" ht="15.75" customHeight="1">
      <c r="A83" s="344"/>
      <c r="B83" s="344"/>
      <c r="C83" s="31">
        <v>2</v>
      </c>
      <c r="D83" s="344"/>
      <c r="E83" s="344"/>
      <c r="F83" s="344"/>
      <c r="G83" s="344"/>
      <c r="H83" s="23" t="s">
        <v>461</v>
      </c>
      <c r="I83" s="23" t="s">
        <v>448</v>
      </c>
      <c r="J83" s="170"/>
      <c r="K83" s="25" t="s">
        <v>294</v>
      </c>
      <c r="L83" s="25"/>
      <c r="M83" s="26"/>
      <c r="N83" s="27"/>
      <c r="O83" s="25"/>
      <c r="P83" s="25"/>
      <c r="Q83" s="29" t="s">
        <v>140</v>
      </c>
      <c r="R83" s="25"/>
      <c r="S83" s="29"/>
      <c r="T83" s="30"/>
      <c r="U83" s="30"/>
      <c r="V83" s="30"/>
      <c r="W83" s="30"/>
      <c r="X83" s="30"/>
      <c r="Y83" s="30"/>
      <c r="Z83" s="30"/>
      <c r="AA83" s="30"/>
    </row>
    <row r="84" spans="1:27" ht="15.75" customHeight="1">
      <c r="A84" s="344"/>
      <c r="B84" s="344"/>
      <c r="C84" s="31">
        <v>3</v>
      </c>
      <c r="D84" s="344"/>
      <c r="E84" s="345"/>
      <c r="F84" s="345"/>
      <c r="G84" s="345"/>
      <c r="H84" s="23" t="s">
        <v>462</v>
      </c>
      <c r="I84" s="23" t="s">
        <v>463</v>
      </c>
      <c r="J84" s="170"/>
      <c r="K84" s="25"/>
      <c r="L84" s="25"/>
      <c r="M84" s="26"/>
      <c r="N84" s="27"/>
      <c r="O84" s="25"/>
      <c r="P84" s="25"/>
      <c r="Q84" s="29" t="s">
        <v>282</v>
      </c>
      <c r="R84" s="25"/>
      <c r="S84" s="29"/>
      <c r="T84" s="30"/>
      <c r="U84" s="30"/>
      <c r="V84" s="30"/>
      <c r="W84" s="30"/>
      <c r="X84" s="30"/>
      <c r="Y84" s="30"/>
      <c r="Z84" s="30"/>
      <c r="AA84" s="30"/>
    </row>
    <row r="85" spans="1:27" ht="15.75" customHeight="1">
      <c r="A85" s="344"/>
      <c r="B85" s="344"/>
      <c r="C85" s="31">
        <v>4</v>
      </c>
      <c r="D85" s="344"/>
      <c r="E85" s="355" t="s">
        <v>464</v>
      </c>
      <c r="F85" s="350" t="s">
        <v>326</v>
      </c>
      <c r="G85" s="350" t="s">
        <v>349</v>
      </c>
      <c r="H85" s="23" t="s">
        <v>465</v>
      </c>
      <c r="I85" s="23" t="s">
        <v>466</v>
      </c>
      <c r="J85" s="170"/>
      <c r="K85" s="25" t="s">
        <v>294</v>
      </c>
      <c r="L85" s="25"/>
      <c r="M85" s="26"/>
      <c r="N85" s="27"/>
      <c r="O85" s="25"/>
      <c r="P85" s="25"/>
      <c r="Q85" s="29" t="s">
        <v>140</v>
      </c>
      <c r="R85" s="25"/>
      <c r="S85" s="29"/>
      <c r="T85" s="30"/>
      <c r="U85" s="30"/>
      <c r="V85" s="30"/>
      <c r="W85" s="30"/>
      <c r="X85" s="30"/>
      <c r="Y85" s="30"/>
      <c r="Z85" s="30"/>
      <c r="AA85" s="30"/>
    </row>
    <row r="86" spans="1:27" ht="15.75" customHeight="1">
      <c r="A86" s="344"/>
      <c r="B86" s="344"/>
      <c r="C86" s="31">
        <v>5</v>
      </c>
      <c r="D86" s="344"/>
      <c r="E86" s="344"/>
      <c r="F86" s="344"/>
      <c r="G86" s="344"/>
      <c r="H86" s="23" t="s">
        <v>461</v>
      </c>
      <c r="I86" s="23" t="s">
        <v>448</v>
      </c>
      <c r="J86" s="170"/>
      <c r="K86" s="25" t="s">
        <v>294</v>
      </c>
      <c r="L86" s="25"/>
      <c r="M86" s="26"/>
      <c r="N86" s="27"/>
      <c r="O86" s="25"/>
      <c r="P86" s="25"/>
      <c r="Q86" s="29" t="s">
        <v>140</v>
      </c>
      <c r="R86" s="25"/>
      <c r="S86" s="29"/>
      <c r="T86" s="30"/>
      <c r="U86" s="30"/>
      <c r="V86" s="30"/>
      <c r="W86" s="30"/>
      <c r="X86" s="30"/>
      <c r="Y86" s="30"/>
      <c r="Z86" s="30"/>
      <c r="AA86" s="30"/>
    </row>
    <row r="87" spans="1:27" ht="15.75" customHeight="1">
      <c r="A87" s="344"/>
      <c r="B87" s="344"/>
      <c r="C87" s="31">
        <v>6</v>
      </c>
      <c r="D87" s="344"/>
      <c r="E87" s="345"/>
      <c r="F87" s="345"/>
      <c r="G87" s="345"/>
      <c r="H87" s="23" t="s">
        <v>449</v>
      </c>
      <c r="I87" s="23" t="s">
        <v>450</v>
      </c>
      <c r="J87" s="170"/>
      <c r="K87" s="25"/>
      <c r="L87" s="25"/>
      <c r="M87" s="26"/>
      <c r="N87" s="27"/>
      <c r="O87" s="25"/>
      <c r="P87" s="25"/>
      <c r="Q87" s="29" t="s">
        <v>282</v>
      </c>
      <c r="R87" s="25"/>
      <c r="S87" s="29"/>
      <c r="T87" s="30"/>
      <c r="U87" s="30"/>
      <c r="V87" s="30"/>
      <c r="W87" s="30"/>
      <c r="X87" s="30"/>
      <c r="Y87" s="30"/>
      <c r="Z87" s="30"/>
      <c r="AA87" s="30"/>
    </row>
    <row r="88" spans="1:27" ht="15.75" customHeight="1">
      <c r="A88" s="344"/>
      <c r="B88" s="344"/>
      <c r="C88" s="31">
        <v>7</v>
      </c>
      <c r="D88" s="344"/>
      <c r="E88" s="355" t="s">
        <v>467</v>
      </c>
      <c r="F88" s="350" t="s">
        <v>326</v>
      </c>
      <c r="G88" s="350" t="s">
        <v>327</v>
      </c>
      <c r="H88" s="23" t="s">
        <v>468</v>
      </c>
      <c r="I88" s="23" t="s">
        <v>424</v>
      </c>
      <c r="J88" s="170"/>
      <c r="K88" s="25" t="s">
        <v>294</v>
      </c>
      <c r="L88" s="25"/>
      <c r="M88" s="26"/>
      <c r="N88" s="27"/>
      <c r="O88" s="25"/>
      <c r="P88" s="25"/>
      <c r="Q88" s="29" t="s">
        <v>140</v>
      </c>
      <c r="R88" s="25"/>
      <c r="S88" s="29"/>
      <c r="T88" s="30"/>
      <c r="U88" s="30"/>
      <c r="V88" s="30"/>
      <c r="W88" s="30"/>
      <c r="X88" s="30"/>
      <c r="Y88" s="30"/>
      <c r="Z88" s="30"/>
      <c r="AA88" s="30"/>
    </row>
    <row r="89" spans="1:27" ht="15.75" customHeight="1">
      <c r="A89" s="344"/>
      <c r="B89" s="344"/>
      <c r="C89" s="31">
        <v>8</v>
      </c>
      <c r="D89" s="344"/>
      <c r="E89" s="344"/>
      <c r="F89" s="344"/>
      <c r="G89" s="344"/>
      <c r="H89" s="23" t="s">
        <v>461</v>
      </c>
      <c r="I89" s="23" t="s">
        <v>448</v>
      </c>
      <c r="J89" s="170"/>
      <c r="K89" s="25" t="s">
        <v>294</v>
      </c>
      <c r="L89" s="25"/>
      <c r="M89" s="26"/>
      <c r="N89" s="27"/>
      <c r="O89" s="25"/>
      <c r="P89" s="25"/>
      <c r="Q89" s="29" t="s">
        <v>140</v>
      </c>
      <c r="R89" s="25"/>
      <c r="S89" s="29"/>
      <c r="T89" s="30"/>
      <c r="U89" s="30"/>
      <c r="V89" s="30"/>
      <c r="W89" s="30"/>
      <c r="X89" s="30"/>
      <c r="Y89" s="30"/>
      <c r="Z89" s="30"/>
      <c r="AA89" s="30"/>
    </row>
    <row r="90" spans="1:27" ht="15.75" customHeight="1">
      <c r="A90" s="344"/>
      <c r="B90" s="344"/>
      <c r="C90" s="31">
        <v>9</v>
      </c>
      <c r="D90" s="344"/>
      <c r="E90" s="345"/>
      <c r="F90" s="345"/>
      <c r="G90" s="345"/>
      <c r="H90" s="23" t="s">
        <v>462</v>
      </c>
      <c r="I90" s="23" t="s">
        <v>463</v>
      </c>
      <c r="J90" s="170"/>
      <c r="K90" s="25"/>
      <c r="L90" s="25"/>
      <c r="M90" s="26"/>
      <c r="N90" s="27"/>
      <c r="O90" s="25"/>
      <c r="P90" s="25"/>
      <c r="Q90" s="29" t="s">
        <v>282</v>
      </c>
      <c r="R90" s="25"/>
      <c r="S90" s="29"/>
      <c r="T90" s="30"/>
      <c r="U90" s="30"/>
      <c r="V90" s="30"/>
      <c r="W90" s="30"/>
      <c r="X90" s="30"/>
      <c r="Y90" s="30"/>
      <c r="Z90" s="30"/>
      <c r="AA90" s="30"/>
    </row>
    <row r="91" spans="1:27" ht="15.75" customHeight="1">
      <c r="A91" s="344"/>
      <c r="B91" s="344"/>
      <c r="C91" s="31">
        <v>10</v>
      </c>
      <c r="D91" s="344"/>
      <c r="E91" s="364" t="s">
        <v>469</v>
      </c>
      <c r="F91" s="363" t="s">
        <v>326</v>
      </c>
      <c r="G91" s="363" t="s">
        <v>327</v>
      </c>
      <c r="H91" s="35" t="s">
        <v>470</v>
      </c>
      <c r="I91" s="35" t="s">
        <v>466</v>
      </c>
      <c r="J91" s="172"/>
      <c r="K91" s="25" t="s">
        <v>294</v>
      </c>
      <c r="L91" s="25"/>
      <c r="M91" s="26"/>
      <c r="N91" s="27"/>
      <c r="O91" s="25"/>
      <c r="P91" s="25"/>
      <c r="Q91" s="29" t="s">
        <v>140</v>
      </c>
      <c r="R91" s="25"/>
      <c r="S91" s="29"/>
      <c r="T91" s="30"/>
      <c r="U91" s="30"/>
      <c r="V91" s="30"/>
      <c r="W91" s="30"/>
      <c r="X91" s="30"/>
      <c r="Y91" s="30"/>
      <c r="Z91" s="30"/>
      <c r="AA91" s="30"/>
    </row>
    <row r="92" spans="1:27" ht="15.75" customHeight="1">
      <c r="A92" s="344"/>
      <c r="B92" s="344"/>
      <c r="C92" s="31">
        <v>11</v>
      </c>
      <c r="D92" s="344"/>
      <c r="E92" s="344"/>
      <c r="F92" s="344"/>
      <c r="G92" s="344"/>
      <c r="H92" s="35" t="s">
        <v>461</v>
      </c>
      <c r="I92" s="35" t="s">
        <v>448</v>
      </c>
      <c r="J92" s="172"/>
      <c r="K92" s="25" t="s">
        <v>294</v>
      </c>
      <c r="L92" s="25"/>
      <c r="M92" s="26"/>
      <c r="N92" s="27"/>
      <c r="O92" s="25"/>
      <c r="P92" s="25"/>
      <c r="Q92" s="29" t="s">
        <v>140</v>
      </c>
      <c r="R92" s="25"/>
      <c r="S92" s="29"/>
      <c r="T92" s="30"/>
      <c r="U92" s="30"/>
      <c r="V92" s="30"/>
      <c r="W92" s="30"/>
      <c r="X92" s="30"/>
      <c r="Y92" s="30"/>
      <c r="Z92" s="30"/>
      <c r="AA92" s="30"/>
    </row>
    <row r="93" spans="1:27" ht="15.75" customHeight="1">
      <c r="A93" s="345"/>
      <c r="B93" s="345"/>
      <c r="C93" s="31">
        <v>12</v>
      </c>
      <c r="D93" s="345"/>
      <c r="E93" s="345"/>
      <c r="F93" s="345"/>
      <c r="G93" s="345"/>
      <c r="H93" s="35" t="s">
        <v>449</v>
      </c>
      <c r="I93" s="35" t="s">
        <v>450</v>
      </c>
      <c r="J93" s="172"/>
      <c r="K93" s="25"/>
      <c r="L93" s="25"/>
      <c r="M93" s="26"/>
      <c r="N93" s="27"/>
      <c r="O93" s="25"/>
      <c r="P93" s="25"/>
      <c r="Q93" s="29" t="s">
        <v>282</v>
      </c>
      <c r="R93" s="25"/>
      <c r="S93" s="29"/>
      <c r="T93" s="30"/>
      <c r="U93" s="30"/>
      <c r="V93" s="30"/>
      <c r="W93" s="30"/>
      <c r="X93" s="30"/>
      <c r="Y93" s="30"/>
      <c r="Z93" s="30"/>
      <c r="AA93" s="30"/>
    </row>
    <row r="94" spans="1:27" ht="15.75" customHeight="1">
      <c r="A94" s="351" t="s">
        <v>471</v>
      </c>
      <c r="B94" s="354" t="s">
        <v>185</v>
      </c>
      <c r="C94" s="86">
        <v>1</v>
      </c>
      <c r="D94" s="351" t="s">
        <v>472</v>
      </c>
      <c r="E94" s="351" t="s">
        <v>473</v>
      </c>
      <c r="F94" s="354" t="s">
        <v>326</v>
      </c>
      <c r="G94" s="354" t="s">
        <v>327</v>
      </c>
      <c r="H94" s="175" t="s">
        <v>474</v>
      </c>
      <c r="I94" s="47" t="s">
        <v>475</v>
      </c>
      <c r="J94" s="168"/>
      <c r="K94" s="25"/>
      <c r="L94" s="25"/>
      <c r="M94" s="26"/>
      <c r="N94" s="27"/>
      <c r="O94" s="25"/>
      <c r="P94" s="25"/>
      <c r="Q94" s="29" t="s">
        <v>282</v>
      </c>
      <c r="R94" s="25" t="s">
        <v>305</v>
      </c>
      <c r="S94" s="29"/>
      <c r="T94" s="30"/>
      <c r="U94" s="30"/>
      <c r="V94" s="30"/>
      <c r="W94" s="30"/>
      <c r="X94" s="30"/>
      <c r="Y94" s="30"/>
      <c r="Z94" s="30"/>
      <c r="AA94" s="30"/>
    </row>
    <row r="95" spans="1:27" ht="15.75" customHeight="1">
      <c r="A95" s="352"/>
      <c r="B95" s="352"/>
      <c r="C95" s="86">
        <v>2</v>
      </c>
      <c r="D95" s="352"/>
      <c r="E95" s="352"/>
      <c r="F95" s="352"/>
      <c r="G95" s="352"/>
      <c r="H95" s="175" t="s">
        <v>476</v>
      </c>
      <c r="I95" s="47" t="s">
        <v>477</v>
      </c>
      <c r="J95" s="168"/>
      <c r="K95" s="25"/>
      <c r="L95" s="25"/>
      <c r="M95" s="26"/>
      <c r="N95" s="27"/>
      <c r="O95" s="25"/>
      <c r="P95" s="25"/>
      <c r="Q95" s="29" t="s">
        <v>282</v>
      </c>
      <c r="R95" s="25" t="s">
        <v>305</v>
      </c>
      <c r="S95" s="29"/>
      <c r="T95" s="30"/>
      <c r="U95" s="30"/>
      <c r="V95" s="30"/>
      <c r="W95" s="30"/>
      <c r="X95" s="30"/>
      <c r="Y95" s="30"/>
      <c r="Z95" s="30"/>
      <c r="AA95" s="30"/>
    </row>
    <row r="96" spans="1:27" ht="15.75" customHeight="1">
      <c r="A96" s="352"/>
      <c r="B96" s="352"/>
      <c r="C96" s="86">
        <v>3</v>
      </c>
      <c r="D96" s="352"/>
      <c r="E96" s="352"/>
      <c r="F96" s="352"/>
      <c r="G96" s="352"/>
      <c r="H96" s="175" t="s">
        <v>478</v>
      </c>
      <c r="I96" s="47" t="s">
        <v>479</v>
      </c>
      <c r="J96" s="168"/>
      <c r="K96" s="25"/>
      <c r="L96" s="25"/>
      <c r="M96" s="26"/>
      <c r="N96" s="27"/>
      <c r="O96" s="25"/>
      <c r="P96" s="25"/>
      <c r="Q96" s="29" t="s">
        <v>282</v>
      </c>
      <c r="R96" s="25" t="s">
        <v>305</v>
      </c>
      <c r="S96" s="29"/>
      <c r="T96" s="30"/>
      <c r="U96" s="30"/>
      <c r="V96" s="30"/>
      <c r="W96" s="30"/>
      <c r="X96" s="30"/>
      <c r="Y96" s="30"/>
      <c r="Z96" s="30"/>
      <c r="AA96" s="30"/>
    </row>
    <row r="97" spans="1:27" ht="15.75" customHeight="1">
      <c r="A97" s="352"/>
      <c r="B97" s="352"/>
      <c r="C97" s="86">
        <v>4</v>
      </c>
      <c r="D97" s="352"/>
      <c r="E97" s="352"/>
      <c r="F97" s="352"/>
      <c r="G97" s="352"/>
      <c r="H97" s="175" t="s">
        <v>480</v>
      </c>
      <c r="I97" s="35" t="s">
        <v>481</v>
      </c>
      <c r="J97" s="172"/>
      <c r="K97" s="25"/>
      <c r="L97" s="25"/>
      <c r="M97" s="26"/>
      <c r="N97" s="27"/>
      <c r="O97" s="25"/>
      <c r="P97" s="25"/>
      <c r="Q97" s="29" t="s">
        <v>282</v>
      </c>
      <c r="R97" s="25" t="s">
        <v>305</v>
      </c>
      <c r="S97" s="29"/>
      <c r="T97" s="30"/>
      <c r="U97" s="30"/>
      <c r="V97" s="30"/>
      <c r="W97" s="30"/>
      <c r="X97" s="30"/>
      <c r="Y97" s="30"/>
      <c r="Z97" s="30"/>
      <c r="AA97" s="30"/>
    </row>
    <row r="98" spans="1:27" ht="15.75" customHeight="1">
      <c r="A98" s="352"/>
      <c r="B98" s="352"/>
      <c r="C98" s="86">
        <v>5</v>
      </c>
      <c r="D98" s="352"/>
      <c r="E98" s="352"/>
      <c r="F98" s="352"/>
      <c r="G98" s="352"/>
      <c r="H98" s="175" t="s">
        <v>482</v>
      </c>
      <c r="I98" s="35" t="s">
        <v>483</v>
      </c>
      <c r="J98" s="172"/>
      <c r="K98" s="25"/>
      <c r="L98" s="25"/>
      <c r="M98" s="26"/>
      <c r="N98" s="27"/>
      <c r="O98" s="25"/>
      <c r="P98" s="25"/>
      <c r="Q98" s="29" t="s">
        <v>282</v>
      </c>
      <c r="R98" s="25" t="s">
        <v>305</v>
      </c>
      <c r="S98" s="29"/>
      <c r="T98" s="30"/>
      <c r="U98" s="30"/>
      <c r="V98" s="30"/>
      <c r="W98" s="30"/>
      <c r="X98" s="30"/>
      <c r="Y98" s="30"/>
      <c r="Z98" s="30"/>
      <c r="AA98" s="30"/>
    </row>
    <row r="99" spans="1:27" ht="15.75" customHeight="1">
      <c r="A99" s="352"/>
      <c r="B99" s="352"/>
      <c r="C99" s="86">
        <v>6</v>
      </c>
      <c r="D99" s="352"/>
      <c r="E99" s="353"/>
      <c r="F99" s="353"/>
      <c r="G99" s="353"/>
      <c r="H99" s="175" t="s">
        <v>449</v>
      </c>
      <c r="I99" s="35" t="s">
        <v>484</v>
      </c>
      <c r="J99" s="172"/>
      <c r="K99" s="25"/>
      <c r="L99" s="25"/>
      <c r="M99" s="26"/>
      <c r="N99" s="27"/>
      <c r="O99" s="25"/>
      <c r="P99" s="25"/>
      <c r="Q99" s="29" t="s">
        <v>282</v>
      </c>
      <c r="R99" s="25" t="s">
        <v>305</v>
      </c>
      <c r="S99" s="29"/>
      <c r="T99" s="30"/>
      <c r="U99" s="30"/>
      <c r="V99" s="30"/>
      <c r="W99" s="30"/>
      <c r="X99" s="30"/>
      <c r="Y99" s="30"/>
      <c r="Z99" s="30"/>
      <c r="AA99" s="30"/>
    </row>
    <row r="100" spans="1:27" ht="15.75" customHeight="1">
      <c r="A100" s="352"/>
      <c r="B100" s="352"/>
      <c r="C100" s="86">
        <v>7</v>
      </c>
      <c r="D100" s="352"/>
      <c r="E100" s="52" t="s">
        <v>485</v>
      </c>
      <c r="F100" s="53" t="s">
        <v>326</v>
      </c>
      <c r="G100" s="53" t="s">
        <v>327</v>
      </c>
      <c r="H100" s="175" t="s">
        <v>486</v>
      </c>
      <c r="I100" s="35" t="s">
        <v>487</v>
      </c>
      <c r="J100" s="172"/>
      <c r="K100" s="25"/>
      <c r="L100" s="25"/>
      <c r="M100" s="26"/>
      <c r="N100" s="27"/>
      <c r="O100" s="25"/>
      <c r="P100" s="25"/>
      <c r="Q100" s="29" t="s">
        <v>282</v>
      </c>
      <c r="R100" s="25" t="s">
        <v>305</v>
      </c>
      <c r="S100" s="29"/>
      <c r="T100" s="30"/>
      <c r="U100" s="30"/>
      <c r="V100" s="30"/>
      <c r="W100" s="30"/>
      <c r="X100" s="30"/>
      <c r="Y100" s="30"/>
      <c r="Z100" s="30"/>
      <c r="AA100" s="30"/>
    </row>
    <row r="101" spans="1:27" ht="15.75" customHeight="1">
      <c r="A101" s="352"/>
      <c r="B101" s="352"/>
      <c r="C101" s="86">
        <v>8</v>
      </c>
      <c r="D101" s="352"/>
      <c r="E101" s="181" t="s">
        <v>488</v>
      </c>
      <c r="F101" s="86" t="s">
        <v>326</v>
      </c>
      <c r="G101" s="86" t="s">
        <v>327</v>
      </c>
      <c r="H101" s="175" t="s">
        <v>489</v>
      </c>
      <c r="I101" s="35" t="s">
        <v>490</v>
      </c>
      <c r="J101" s="172"/>
      <c r="K101" s="25"/>
      <c r="L101" s="25"/>
      <c r="M101" s="26"/>
      <c r="N101" s="27"/>
      <c r="O101" s="25"/>
      <c r="P101" s="25"/>
      <c r="Q101" s="29" t="s">
        <v>282</v>
      </c>
      <c r="R101" s="25" t="s">
        <v>305</v>
      </c>
      <c r="S101" s="29"/>
      <c r="T101" s="30"/>
      <c r="U101" s="30"/>
      <c r="V101" s="30"/>
      <c r="W101" s="30"/>
      <c r="X101" s="30"/>
      <c r="Y101" s="30"/>
      <c r="Z101" s="30"/>
      <c r="AA101" s="30"/>
    </row>
    <row r="102" spans="1:27" ht="15.75" customHeight="1">
      <c r="A102" s="353"/>
      <c r="B102" s="353"/>
      <c r="C102" s="86">
        <v>9</v>
      </c>
      <c r="D102" s="352"/>
      <c r="E102" s="181" t="s">
        <v>491</v>
      </c>
      <c r="F102" s="86" t="s">
        <v>326</v>
      </c>
      <c r="G102" s="86" t="s">
        <v>327</v>
      </c>
      <c r="H102" s="175" t="s">
        <v>492</v>
      </c>
      <c r="I102" s="35" t="s">
        <v>493</v>
      </c>
      <c r="J102" s="172"/>
      <c r="K102" s="25"/>
      <c r="L102" s="25"/>
      <c r="M102" s="26"/>
      <c r="N102" s="27"/>
      <c r="O102" s="25"/>
      <c r="P102" s="25"/>
      <c r="Q102" s="29" t="s">
        <v>282</v>
      </c>
      <c r="R102" s="25" t="s">
        <v>305</v>
      </c>
      <c r="S102" s="29"/>
      <c r="T102" s="30"/>
      <c r="U102" s="30"/>
      <c r="V102" s="30"/>
      <c r="W102" s="30"/>
      <c r="X102" s="30"/>
      <c r="Y102" s="30"/>
      <c r="Z102" s="30"/>
      <c r="AA102" s="30"/>
    </row>
    <row r="103" spans="1:27" ht="15.75" customHeight="1">
      <c r="A103" s="368" t="s">
        <v>494</v>
      </c>
      <c r="B103" s="350" t="s">
        <v>495</v>
      </c>
      <c r="C103" s="31">
        <v>1</v>
      </c>
      <c r="D103" s="368" t="s">
        <v>496</v>
      </c>
      <c r="E103" s="23" t="s">
        <v>494</v>
      </c>
      <c r="F103" s="31" t="s">
        <v>326</v>
      </c>
      <c r="G103" s="31" t="s">
        <v>327</v>
      </c>
      <c r="H103" s="23" t="s">
        <v>497</v>
      </c>
      <c r="I103" s="23" t="s">
        <v>498</v>
      </c>
      <c r="J103" s="170"/>
      <c r="K103" s="25"/>
      <c r="L103" s="25"/>
      <c r="M103" s="43"/>
      <c r="N103" s="55"/>
      <c r="O103" s="25"/>
      <c r="P103" s="25"/>
      <c r="Q103" s="29" t="s">
        <v>282</v>
      </c>
      <c r="R103" s="25"/>
      <c r="S103" s="29"/>
      <c r="T103" s="30"/>
      <c r="U103" s="30"/>
      <c r="V103" s="30"/>
      <c r="W103" s="30"/>
      <c r="X103" s="30"/>
      <c r="Y103" s="30"/>
      <c r="Z103" s="30"/>
      <c r="AA103" s="30"/>
    </row>
    <row r="104" spans="1:27" ht="15.75" customHeight="1">
      <c r="A104" s="344"/>
      <c r="B104" s="344"/>
      <c r="C104" s="31">
        <v>2</v>
      </c>
      <c r="D104" s="344"/>
      <c r="E104" s="23" t="s">
        <v>499</v>
      </c>
      <c r="F104" s="31" t="s">
        <v>326</v>
      </c>
      <c r="G104" s="31" t="s">
        <v>327</v>
      </c>
      <c r="H104" s="23" t="s">
        <v>500</v>
      </c>
      <c r="I104" s="23" t="s">
        <v>498</v>
      </c>
      <c r="J104" s="170"/>
      <c r="K104" s="25"/>
      <c r="L104" s="25"/>
      <c r="M104" s="43"/>
      <c r="N104" s="55"/>
      <c r="O104" s="25"/>
      <c r="P104" s="25"/>
      <c r="Q104" s="29" t="s">
        <v>282</v>
      </c>
      <c r="R104" s="25"/>
      <c r="S104" s="29"/>
      <c r="T104" s="30"/>
      <c r="U104" s="30"/>
      <c r="V104" s="30"/>
      <c r="W104" s="30"/>
      <c r="X104" s="30"/>
      <c r="Y104" s="30"/>
      <c r="Z104" s="30"/>
      <c r="AA104" s="30"/>
    </row>
    <row r="105" spans="1:27" ht="15.75" customHeight="1">
      <c r="A105" s="344"/>
      <c r="B105" s="344"/>
      <c r="C105" s="31">
        <v>3</v>
      </c>
      <c r="D105" s="344"/>
      <c r="E105" s="23" t="s">
        <v>501</v>
      </c>
      <c r="F105" s="31" t="s">
        <v>326</v>
      </c>
      <c r="G105" s="31" t="s">
        <v>327</v>
      </c>
      <c r="H105" s="23" t="s">
        <v>502</v>
      </c>
      <c r="I105" s="23" t="s">
        <v>498</v>
      </c>
      <c r="J105" s="170"/>
      <c r="K105" s="25"/>
      <c r="L105" s="25"/>
      <c r="M105" s="43"/>
      <c r="N105" s="55"/>
      <c r="O105" s="25"/>
      <c r="P105" s="25"/>
      <c r="Q105" s="29" t="s">
        <v>282</v>
      </c>
      <c r="R105" s="25"/>
      <c r="S105" s="29"/>
      <c r="T105" s="30"/>
      <c r="U105" s="30"/>
      <c r="V105" s="30"/>
      <c r="W105" s="30"/>
      <c r="X105" s="30"/>
      <c r="Y105" s="30"/>
      <c r="Z105" s="30"/>
      <c r="AA105" s="30"/>
    </row>
    <row r="106" spans="1:27" ht="15.75" customHeight="1">
      <c r="A106" s="344"/>
      <c r="B106" s="344"/>
      <c r="C106" s="31">
        <v>4</v>
      </c>
      <c r="D106" s="344"/>
      <c r="E106" s="355" t="s">
        <v>503</v>
      </c>
      <c r="F106" s="350" t="s">
        <v>326</v>
      </c>
      <c r="G106" s="350" t="s">
        <v>327</v>
      </c>
      <c r="H106" s="23" t="s">
        <v>504</v>
      </c>
      <c r="I106" s="23" t="s">
        <v>505</v>
      </c>
      <c r="J106" s="170"/>
      <c r="K106" s="25"/>
      <c r="L106" s="25"/>
      <c r="M106" s="43"/>
      <c r="N106" s="55"/>
      <c r="O106" s="25"/>
      <c r="P106" s="25"/>
      <c r="Q106" s="29" t="s">
        <v>282</v>
      </c>
      <c r="R106" s="25"/>
      <c r="S106" s="29"/>
      <c r="T106" s="30"/>
      <c r="U106" s="30"/>
      <c r="V106" s="30"/>
      <c r="W106" s="30"/>
      <c r="X106" s="30"/>
      <c r="Y106" s="30"/>
      <c r="Z106" s="30"/>
      <c r="AA106" s="30"/>
    </row>
    <row r="107" spans="1:27" ht="15.75" customHeight="1">
      <c r="A107" s="344"/>
      <c r="B107" s="344"/>
      <c r="C107" s="31">
        <v>5</v>
      </c>
      <c r="D107" s="344"/>
      <c r="E107" s="344"/>
      <c r="F107" s="344"/>
      <c r="G107" s="344"/>
      <c r="H107" s="23" t="s">
        <v>506</v>
      </c>
      <c r="I107" s="23" t="s">
        <v>507</v>
      </c>
      <c r="J107" s="170"/>
      <c r="K107" s="25"/>
      <c r="L107" s="25"/>
      <c r="M107" s="43"/>
      <c r="N107" s="55"/>
      <c r="O107" s="25"/>
      <c r="P107" s="25"/>
      <c r="Q107" s="29" t="s">
        <v>282</v>
      </c>
      <c r="R107" s="25"/>
      <c r="S107" s="29"/>
      <c r="T107" s="30"/>
      <c r="U107" s="30"/>
      <c r="V107" s="30"/>
      <c r="W107" s="30"/>
      <c r="X107" s="30"/>
      <c r="Y107" s="30"/>
      <c r="Z107" s="30"/>
      <c r="AA107" s="30"/>
    </row>
    <row r="108" spans="1:27" ht="15.75" customHeight="1">
      <c r="A108" s="344"/>
      <c r="B108" s="344"/>
      <c r="C108" s="31">
        <v>6</v>
      </c>
      <c r="D108" s="344"/>
      <c r="E108" s="345"/>
      <c r="F108" s="345"/>
      <c r="G108" s="345"/>
      <c r="H108" s="23" t="s">
        <v>508</v>
      </c>
      <c r="I108" s="23" t="s">
        <v>509</v>
      </c>
      <c r="J108" s="170"/>
      <c r="K108" s="25"/>
      <c r="L108" s="25"/>
      <c r="M108" s="43"/>
      <c r="N108" s="55"/>
      <c r="O108" s="25"/>
      <c r="P108" s="25"/>
      <c r="Q108" s="29" t="s">
        <v>282</v>
      </c>
      <c r="R108" s="25"/>
      <c r="S108" s="29"/>
      <c r="T108" s="30"/>
      <c r="U108" s="30"/>
      <c r="V108" s="30"/>
      <c r="W108" s="30"/>
      <c r="X108" s="30"/>
      <c r="Y108" s="30"/>
      <c r="Z108" s="30"/>
      <c r="AA108" s="30"/>
    </row>
    <row r="109" spans="1:27" ht="15.75" customHeight="1">
      <c r="A109" s="344"/>
      <c r="B109" s="344"/>
      <c r="C109" s="31">
        <v>7</v>
      </c>
      <c r="D109" s="344"/>
      <c r="E109" s="23" t="s">
        <v>510</v>
      </c>
      <c r="F109" s="31" t="s">
        <v>326</v>
      </c>
      <c r="G109" s="31" t="s">
        <v>327</v>
      </c>
      <c r="H109" s="23" t="s">
        <v>511</v>
      </c>
      <c r="I109" s="23" t="s">
        <v>512</v>
      </c>
      <c r="J109" s="170"/>
      <c r="K109" s="25"/>
      <c r="L109" s="25"/>
      <c r="M109" s="43"/>
      <c r="N109" s="55"/>
      <c r="O109" s="25"/>
      <c r="P109" s="25"/>
      <c r="Q109" s="29" t="s">
        <v>282</v>
      </c>
      <c r="R109" s="25"/>
      <c r="S109" s="29"/>
      <c r="T109" s="30"/>
      <c r="U109" s="30"/>
      <c r="V109" s="30"/>
      <c r="W109" s="30"/>
      <c r="X109" s="30"/>
      <c r="Y109" s="30"/>
      <c r="Z109" s="30"/>
      <c r="AA109" s="30"/>
    </row>
    <row r="110" spans="1:27" ht="15.75" customHeight="1">
      <c r="A110" s="344"/>
      <c r="B110" s="344"/>
      <c r="C110" s="31">
        <v>8</v>
      </c>
      <c r="D110" s="344"/>
      <c r="E110" s="355" t="s">
        <v>513</v>
      </c>
      <c r="F110" s="350" t="s">
        <v>326</v>
      </c>
      <c r="G110" s="350" t="s">
        <v>327</v>
      </c>
      <c r="H110" s="23" t="s">
        <v>514</v>
      </c>
      <c r="I110" s="23" t="s">
        <v>515</v>
      </c>
      <c r="J110" s="170"/>
      <c r="K110" s="25"/>
      <c r="L110" s="25"/>
      <c r="M110" s="43"/>
      <c r="N110" s="55"/>
      <c r="O110" s="25"/>
      <c r="P110" s="25"/>
      <c r="Q110" s="29" t="s">
        <v>282</v>
      </c>
      <c r="R110" s="25"/>
      <c r="S110" s="29"/>
      <c r="T110" s="30"/>
      <c r="U110" s="30"/>
      <c r="V110" s="30"/>
      <c r="W110" s="30"/>
      <c r="X110" s="30"/>
      <c r="Y110" s="30"/>
      <c r="Z110" s="30"/>
      <c r="AA110" s="30"/>
    </row>
    <row r="111" spans="1:27" ht="15.75" customHeight="1">
      <c r="A111" s="344"/>
      <c r="B111" s="344"/>
      <c r="C111" s="31">
        <v>9</v>
      </c>
      <c r="D111" s="344"/>
      <c r="E111" s="344"/>
      <c r="F111" s="344"/>
      <c r="G111" s="344"/>
      <c r="H111" s="23" t="s">
        <v>516</v>
      </c>
      <c r="I111" s="23" t="s">
        <v>507</v>
      </c>
      <c r="J111" s="170"/>
      <c r="K111" s="25"/>
      <c r="L111" s="25"/>
      <c r="M111" s="43"/>
      <c r="N111" s="55"/>
      <c r="O111" s="25"/>
      <c r="P111" s="25"/>
      <c r="Q111" s="29" t="s">
        <v>282</v>
      </c>
      <c r="R111" s="25"/>
      <c r="S111" s="29"/>
      <c r="T111" s="30"/>
      <c r="U111" s="30"/>
      <c r="V111" s="30"/>
      <c r="W111" s="30"/>
      <c r="X111" s="30"/>
      <c r="Y111" s="30"/>
      <c r="Z111" s="30"/>
      <c r="AA111" s="30"/>
    </row>
    <row r="112" spans="1:27" ht="15.75" customHeight="1">
      <c r="A112" s="344"/>
      <c r="B112" s="344"/>
      <c r="C112" s="31">
        <v>10</v>
      </c>
      <c r="D112" s="344"/>
      <c r="E112" s="345"/>
      <c r="F112" s="345"/>
      <c r="G112" s="345"/>
      <c r="H112" s="23" t="s">
        <v>508</v>
      </c>
      <c r="I112" s="23" t="s">
        <v>509</v>
      </c>
      <c r="J112" s="170"/>
      <c r="K112" s="25"/>
      <c r="L112" s="25"/>
      <c r="M112" s="43"/>
      <c r="N112" s="55"/>
      <c r="O112" s="25"/>
      <c r="P112" s="25"/>
      <c r="Q112" s="29" t="s">
        <v>282</v>
      </c>
      <c r="R112" s="25"/>
      <c r="S112" s="29"/>
      <c r="T112" s="30"/>
      <c r="U112" s="30"/>
      <c r="V112" s="30"/>
      <c r="W112" s="30"/>
      <c r="X112" s="30"/>
      <c r="Y112" s="30"/>
      <c r="Z112" s="30"/>
      <c r="AA112" s="30"/>
    </row>
    <row r="113" spans="1:27" ht="15.75" customHeight="1">
      <c r="A113" s="344"/>
      <c r="B113" s="344"/>
      <c r="C113" s="31">
        <v>11</v>
      </c>
      <c r="D113" s="344"/>
      <c r="E113" s="23" t="s">
        <v>517</v>
      </c>
      <c r="F113" s="31" t="s">
        <v>326</v>
      </c>
      <c r="G113" s="31" t="s">
        <v>327</v>
      </c>
      <c r="H113" s="23" t="s">
        <v>518</v>
      </c>
      <c r="I113" s="23" t="s">
        <v>512</v>
      </c>
      <c r="J113" s="170"/>
      <c r="K113" s="25"/>
      <c r="L113" s="25"/>
      <c r="M113" s="43"/>
      <c r="N113" s="55"/>
      <c r="O113" s="25"/>
      <c r="P113" s="25"/>
      <c r="Q113" s="29" t="s">
        <v>282</v>
      </c>
      <c r="R113" s="25"/>
      <c r="S113" s="29"/>
      <c r="T113" s="30"/>
      <c r="U113" s="30"/>
      <c r="V113" s="30"/>
      <c r="W113" s="30"/>
      <c r="X113" s="30"/>
      <c r="Y113" s="30"/>
      <c r="Z113" s="30"/>
      <c r="AA113" s="30"/>
    </row>
    <row r="114" spans="1:27" ht="15.75" customHeight="1">
      <c r="A114" s="344"/>
      <c r="B114" s="344"/>
      <c r="C114" s="31">
        <v>12</v>
      </c>
      <c r="D114" s="344"/>
      <c r="E114" s="356" t="s">
        <v>519</v>
      </c>
      <c r="F114" s="31" t="s">
        <v>326</v>
      </c>
      <c r="G114" s="31" t="s">
        <v>327</v>
      </c>
      <c r="H114" s="23" t="s">
        <v>520</v>
      </c>
      <c r="I114" s="23" t="s">
        <v>521</v>
      </c>
      <c r="J114" s="170"/>
      <c r="K114" s="25"/>
      <c r="L114" s="25"/>
      <c r="M114" s="43"/>
      <c r="N114" s="55"/>
      <c r="O114" s="25"/>
      <c r="P114" s="25"/>
      <c r="Q114" s="29" t="s">
        <v>282</v>
      </c>
      <c r="R114" s="25"/>
      <c r="S114" s="29"/>
      <c r="T114" s="30"/>
      <c r="U114" s="30"/>
      <c r="V114" s="30"/>
      <c r="W114" s="30"/>
      <c r="X114" s="30"/>
      <c r="Y114" s="30"/>
      <c r="Z114" s="30"/>
      <c r="AA114" s="30"/>
    </row>
    <row r="115" spans="1:27" ht="15.75" customHeight="1">
      <c r="A115" s="344"/>
      <c r="B115" s="344"/>
      <c r="C115" s="31">
        <v>13</v>
      </c>
      <c r="D115" s="344"/>
      <c r="E115" s="345"/>
      <c r="F115" s="31" t="s">
        <v>326</v>
      </c>
      <c r="G115" s="31" t="s">
        <v>327</v>
      </c>
      <c r="H115" s="23" t="s">
        <v>522</v>
      </c>
      <c r="I115" s="23" t="s">
        <v>521</v>
      </c>
      <c r="J115" s="170"/>
      <c r="K115" s="25"/>
      <c r="L115" s="25"/>
      <c r="M115" s="43"/>
      <c r="N115" s="55"/>
      <c r="O115" s="25"/>
      <c r="P115" s="25"/>
      <c r="Q115" s="29" t="s">
        <v>282</v>
      </c>
      <c r="R115" s="25"/>
      <c r="S115" s="29"/>
      <c r="T115" s="30"/>
      <c r="U115" s="30"/>
      <c r="V115" s="30"/>
      <c r="W115" s="30"/>
      <c r="X115" s="30"/>
      <c r="Y115" s="30"/>
      <c r="Z115" s="30"/>
      <c r="AA115" s="30"/>
    </row>
    <row r="116" spans="1:27" ht="15.75" customHeight="1">
      <c r="A116" s="344"/>
      <c r="B116" s="344"/>
      <c r="C116" s="31">
        <v>14</v>
      </c>
      <c r="D116" s="344"/>
      <c r="E116" s="365" t="s">
        <v>523</v>
      </c>
      <c r="F116" s="46" t="s">
        <v>326</v>
      </c>
      <c r="G116" s="46" t="s">
        <v>524</v>
      </c>
      <c r="H116" s="35" t="s">
        <v>525</v>
      </c>
      <c r="I116" s="35" t="s">
        <v>526</v>
      </c>
      <c r="J116" s="172"/>
      <c r="K116" s="25"/>
      <c r="L116" s="25"/>
      <c r="M116" s="57"/>
      <c r="N116" s="55"/>
      <c r="O116" s="25"/>
      <c r="P116" s="25"/>
      <c r="Q116" s="29" t="s">
        <v>282</v>
      </c>
      <c r="R116" s="25"/>
      <c r="S116" s="29"/>
      <c r="T116" s="30"/>
      <c r="U116" s="30"/>
      <c r="V116" s="30"/>
      <c r="W116" s="30"/>
      <c r="X116" s="30"/>
      <c r="Y116" s="30"/>
      <c r="Z116" s="30"/>
      <c r="AA116" s="30"/>
    </row>
    <row r="117" spans="1:27" ht="15.75" customHeight="1">
      <c r="A117" s="345"/>
      <c r="B117" s="345"/>
      <c r="C117" s="31">
        <v>15</v>
      </c>
      <c r="D117" s="345"/>
      <c r="E117" s="345"/>
      <c r="F117" s="46" t="s">
        <v>326</v>
      </c>
      <c r="G117" s="46" t="s">
        <v>524</v>
      </c>
      <c r="H117" s="35" t="s">
        <v>522</v>
      </c>
      <c r="I117" s="35" t="s">
        <v>521</v>
      </c>
      <c r="J117" s="172"/>
      <c r="K117" s="25"/>
      <c r="L117" s="25"/>
      <c r="M117" s="57"/>
      <c r="N117" s="55"/>
      <c r="O117" s="25"/>
      <c r="P117" s="25"/>
      <c r="Q117" s="29" t="s">
        <v>282</v>
      </c>
      <c r="R117" s="25"/>
      <c r="S117" s="29"/>
      <c r="T117" s="30"/>
      <c r="U117" s="30"/>
      <c r="V117" s="30"/>
      <c r="W117" s="30"/>
      <c r="X117" s="30"/>
      <c r="Y117" s="30"/>
      <c r="Z117" s="30"/>
      <c r="AA117" s="30"/>
    </row>
    <row r="118" spans="1:27" ht="15.75" customHeight="1">
      <c r="A118" s="351" t="s">
        <v>527</v>
      </c>
      <c r="B118" s="354" t="s">
        <v>186</v>
      </c>
      <c r="C118" s="86">
        <v>1</v>
      </c>
      <c r="D118" s="351" t="s">
        <v>496</v>
      </c>
      <c r="E118" s="351" t="s">
        <v>528</v>
      </c>
      <c r="F118" s="354" t="s">
        <v>326</v>
      </c>
      <c r="G118" s="354" t="s">
        <v>327</v>
      </c>
      <c r="H118" s="175" t="s">
        <v>529</v>
      </c>
      <c r="I118" s="35" t="s">
        <v>505</v>
      </c>
      <c r="J118" s="172"/>
      <c r="K118" s="25"/>
      <c r="L118" s="25"/>
      <c r="M118" s="26"/>
      <c r="N118" s="55"/>
      <c r="O118" s="25"/>
      <c r="P118" s="25"/>
      <c r="Q118" s="29" t="s">
        <v>282</v>
      </c>
      <c r="R118" s="25" t="s">
        <v>305</v>
      </c>
      <c r="S118" s="29"/>
      <c r="T118" s="30"/>
      <c r="U118" s="30"/>
      <c r="V118" s="30"/>
      <c r="W118" s="30"/>
      <c r="X118" s="30"/>
      <c r="Y118" s="30"/>
      <c r="Z118" s="30"/>
      <c r="AA118" s="30"/>
    </row>
    <row r="119" spans="1:27" ht="15.75" customHeight="1">
      <c r="A119" s="352"/>
      <c r="B119" s="352"/>
      <c r="C119" s="86">
        <v>2</v>
      </c>
      <c r="D119" s="352"/>
      <c r="E119" s="352"/>
      <c r="F119" s="352"/>
      <c r="G119" s="352"/>
      <c r="H119" s="175" t="s">
        <v>506</v>
      </c>
      <c r="I119" s="35" t="s">
        <v>507</v>
      </c>
      <c r="J119" s="172"/>
      <c r="K119" s="25"/>
      <c r="L119" s="25"/>
      <c r="M119" s="26"/>
      <c r="N119" s="55"/>
      <c r="O119" s="25"/>
      <c r="P119" s="25"/>
      <c r="Q119" s="29" t="s">
        <v>282</v>
      </c>
      <c r="R119" s="25" t="s">
        <v>305</v>
      </c>
      <c r="S119" s="29"/>
      <c r="T119" s="30"/>
      <c r="U119" s="30"/>
      <c r="V119" s="30"/>
      <c r="W119" s="30"/>
      <c r="X119" s="30"/>
      <c r="Y119" s="30"/>
      <c r="Z119" s="30"/>
      <c r="AA119" s="30"/>
    </row>
    <row r="120" spans="1:27" ht="15.75" customHeight="1">
      <c r="A120" s="352"/>
      <c r="B120" s="352"/>
      <c r="C120" s="86">
        <v>3</v>
      </c>
      <c r="D120" s="352"/>
      <c r="E120" s="353"/>
      <c r="F120" s="353"/>
      <c r="G120" s="353"/>
      <c r="H120" s="175" t="s">
        <v>508</v>
      </c>
      <c r="I120" s="35" t="s">
        <v>509</v>
      </c>
      <c r="J120" s="172"/>
      <c r="K120" s="25"/>
      <c r="L120" s="25"/>
      <c r="M120" s="26"/>
      <c r="N120" s="55"/>
      <c r="O120" s="25"/>
      <c r="P120" s="25"/>
      <c r="Q120" s="29" t="s">
        <v>282</v>
      </c>
      <c r="R120" s="25" t="s">
        <v>305</v>
      </c>
      <c r="S120" s="29"/>
      <c r="T120" s="30"/>
      <c r="U120" s="30"/>
      <c r="V120" s="30"/>
      <c r="W120" s="30"/>
      <c r="X120" s="30"/>
      <c r="Y120" s="30"/>
      <c r="Z120" s="30"/>
      <c r="AA120" s="30"/>
    </row>
    <row r="121" spans="1:27" ht="15.75" customHeight="1">
      <c r="A121" s="352"/>
      <c r="B121" s="352"/>
      <c r="C121" s="86">
        <v>4</v>
      </c>
      <c r="D121" s="352"/>
      <c r="E121" s="175" t="s">
        <v>530</v>
      </c>
      <c r="F121" s="86" t="s">
        <v>326</v>
      </c>
      <c r="G121" s="86" t="s">
        <v>327</v>
      </c>
      <c r="H121" s="175" t="s">
        <v>531</v>
      </c>
      <c r="I121" s="35" t="s">
        <v>512</v>
      </c>
      <c r="J121" s="172"/>
      <c r="K121" s="25"/>
      <c r="L121" s="25"/>
      <c r="M121" s="26"/>
      <c r="N121" s="55"/>
      <c r="O121" s="25"/>
      <c r="P121" s="25"/>
      <c r="Q121" s="29" t="s">
        <v>282</v>
      </c>
      <c r="R121" s="25" t="s">
        <v>305</v>
      </c>
      <c r="S121" s="29"/>
      <c r="T121" s="30"/>
      <c r="U121" s="30"/>
      <c r="V121" s="30"/>
      <c r="W121" s="30"/>
      <c r="X121" s="30"/>
      <c r="Y121" s="30"/>
      <c r="Z121" s="30"/>
      <c r="AA121" s="30"/>
    </row>
    <row r="122" spans="1:27" ht="15.75" customHeight="1">
      <c r="A122" s="352"/>
      <c r="B122" s="352"/>
      <c r="C122" s="86">
        <v>5</v>
      </c>
      <c r="D122" s="352"/>
      <c r="E122" s="351" t="s">
        <v>532</v>
      </c>
      <c r="F122" s="354" t="s">
        <v>326</v>
      </c>
      <c r="G122" s="354" t="s">
        <v>327</v>
      </c>
      <c r="H122" s="175" t="s">
        <v>533</v>
      </c>
      <c r="I122" s="35" t="s">
        <v>534</v>
      </c>
      <c r="J122" s="172"/>
      <c r="K122" s="25"/>
      <c r="L122" s="25"/>
      <c r="M122" s="26"/>
      <c r="N122" s="55"/>
      <c r="O122" s="25"/>
      <c r="P122" s="25"/>
      <c r="Q122" s="29" t="s">
        <v>282</v>
      </c>
      <c r="R122" s="25" t="s">
        <v>305</v>
      </c>
      <c r="S122" s="29"/>
      <c r="T122" s="30"/>
      <c r="U122" s="30"/>
      <c r="V122" s="30"/>
      <c r="W122" s="30"/>
      <c r="X122" s="30"/>
      <c r="Y122" s="30"/>
      <c r="Z122" s="30"/>
      <c r="AA122" s="30"/>
    </row>
    <row r="123" spans="1:27" ht="15.75" customHeight="1">
      <c r="A123" s="352"/>
      <c r="B123" s="352"/>
      <c r="C123" s="86">
        <v>6</v>
      </c>
      <c r="D123" s="352"/>
      <c r="E123" s="352"/>
      <c r="F123" s="352"/>
      <c r="G123" s="352"/>
      <c r="H123" s="175" t="s">
        <v>516</v>
      </c>
      <c r="I123" s="35" t="s">
        <v>535</v>
      </c>
      <c r="J123" s="172"/>
      <c r="K123" s="25"/>
      <c r="L123" s="25"/>
      <c r="M123" s="26"/>
      <c r="N123" s="55"/>
      <c r="O123" s="25"/>
      <c r="P123" s="25"/>
      <c r="Q123" s="29" t="s">
        <v>282</v>
      </c>
      <c r="R123" s="25" t="s">
        <v>305</v>
      </c>
      <c r="S123" s="29"/>
      <c r="T123" s="30"/>
      <c r="U123" s="30"/>
      <c r="V123" s="30"/>
      <c r="W123" s="30"/>
      <c r="X123" s="30"/>
      <c r="Y123" s="30"/>
      <c r="Z123" s="30"/>
      <c r="AA123" s="30"/>
    </row>
    <row r="124" spans="1:27" ht="15.75" customHeight="1">
      <c r="A124" s="352"/>
      <c r="B124" s="352"/>
      <c r="C124" s="86">
        <v>7</v>
      </c>
      <c r="D124" s="352"/>
      <c r="E124" s="353"/>
      <c r="F124" s="353"/>
      <c r="G124" s="353"/>
      <c r="H124" s="175" t="s">
        <v>508</v>
      </c>
      <c r="I124" s="35" t="s">
        <v>509</v>
      </c>
      <c r="J124" s="172"/>
      <c r="K124" s="25"/>
      <c r="L124" s="25"/>
      <c r="M124" s="26"/>
      <c r="N124" s="55"/>
      <c r="O124" s="25"/>
      <c r="P124" s="25"/>
      <c r="Q124" s="29" t="s">
        <v>282</v>
      </c>
      <c r="R124" s="25" t="s">
        <v>305</v>
      </c>
      <c r="S124" s="29"/>
      <c r="T124" s="30"/>
      <c r="U124" s="30"/>
      <c r="V124" s="30"/>
      <c r="W124" s="30"/>
      <c r="X124" s="30"/>
      <c r="Y124" s="30"/>
      <c r="Z124" s="30"/>
      <c r="AA124" s="30"/>
    </row>
    <row r="125" spans="1:27" ht="15.75" customHeight="1">
      <c r="A125" s="353"/>
      <c r="B125" s="353"/>
      <c r="C125" s="86">
        <v>8</v>
      </c>
      <c r="D125" s="353"/>
      <c r="E125" s="175" t="s">
        <v>530</v>
      </c>
      <c r="F125" s="86" t="s">
        <v>326</v>
      </c>
      <c r="G125" s="86" t="s">
        <v>327</v>
      </c>
      <c r="H125" s="175" t="s">
        <v>536</v>
      </c>
      <c r="I125" s="35" t="s">
        <v>512</v>
      </c>
      <c r="J125" s="172"/>
      <c r="K125" s="25"/>
      <c r="L125" s="25"/>
      <c r="M125" s="26"/>
      <c r="N125" s="55"/>
      <c r="O125" s="25"/>
      <c r="P125" s="25"/>
      <c r="Q125" s="29" t="s">
        <v>282</v>
      </c>
      <c r="R125" s="25" t="s">
        <v>305</v>
      </c>
      <c r="S125" s="29"/>
      <c r="T125" s="30"/>
      <c r="U125" s="30"/>
      <c r="V125" s="30"/>
      <c r="W125" s="30"/>
      <c r="X125" s="30"/>
      <c r="Y125" s="30"/>
      <c r="Z125" s="30"/>
      <c r="AA125" s="30"/>
    </row>
    <row r="126" spans="1:27" ht="15.75" customHeight="1">
      <c r="A126" s="350" t="s">
        <v>537</v>
      </c>
      <c r="B126" s="350" t="s">
        <v>145</v>
      </c>
      <c r="C126" s="46">
        <v>1</v>
      </c>
      <c r="D126" s="364" t="s">
        <v>538</v>
      </c>
      <c r="E126" s="35" t="s">
        <v>539</v>
      </c>
      <c r="F126" s="46"/>
      <c r="G126" s="46"/>
      <c r="H126" s="35" t="s">
        <v>540</v>
      </c>
      <c r="I126" s="35" t="s">
        <v>541</v>
      </c>
      <c r="J126" s="172"/>
      <c r="K126" s="25"/>
      <c r="L126" s="25"/>
      <c r="M126" s="26"/>
      <c r="N126" s="27"/>
      <c r="O126" s="25"/>
      <c r="P126" s="25"/>
      <c r="Q126" s="29" t="s">
        <v>282</v>
      </c>
      <c r="R126" s="25"/>
      <c r="S126" s="29"/>
      <c r="T126" s="30"/>
      <c r="U126" s="30"/>
      <c r="V126" s="30"/>
      <c r="W126" s="30"/>
      <c r="X126" s="30"/>
      <c r="Y126" s="30"/>
      <c r="Z126" s="30"/>
      <c r="AA126" s="30"/>
    </row>
    <row r="127" spans="1:27" ht="15.75" customHeight="1">
      <c r="A127" s="344"/>
      <c r="B127" s="344"/>
      <c r="C127" s="46">
        <v>2</v>
      </c>
      <c r="D127" s="344"/>
      <c r="E127" s="35" t="s">
        <v>542</v>
      </c>
      <c r="F127" s="46"/>
      <c r="G127" s="46"/>
      <c r="H127" s="35" t="s">
        <v>543</v>
      </c>
      <c r="I127" s="35" t="s">
        <v>541</v>
      </c>
      <c r="J127" s="172"/>
      <c r="K127" s="25"/>
      <c r="L127" s="25"/>
      <c r="M127" s="26"/>
      <c r="N127" s="27"/>
      <c r="O127" s="25"/>
      <c r="P127" s="25"/>
      <c r="Q127" s="29" t="s">
        <v>282</v>
      </c>
      <c r="R127" s="25"/>
      <c r="S127" s="29"/>
      <c r="T127" s="30"/>
      <c r="U127" s="30"/>
      <c r="V127" s="30"/>
      <c r="W127" s="30"/>
      <c r="X127" s="30"/>
      <c r="Y127" s="30"/>
      <c r="Z127" s="30"/>
      <c r="AA127" s="30"/>
    </row>
    <row r="128" spans="1:27" ht="15.75" customHeight="1">
      <c r="A128" s="344"/>
      <c r="B128" s="344"/>
      <c r="C128" s="46">
        <v>3</v>
      </c>
      <c r="D128" s="344"/>
      <c r="E128" s="35" t="s">
        <v>544</v>
      </c>
      <c r="F128" s="46"/>
      <c r="G128" s="46"/>
      <c r="H128" s="35" t="s">
        <v>545</v>
      </c>
      <c r="I128" s="35" t="s">
        <v>541</v>
      </c>
      <c r="J128" s="172"/>
      <c r="K128" s="25"/>
      <c r="L128" s="25"/>
      <c r="M128" s="26"/>
      <c r="N128" s="27"/>
      <c r="O128" s="25"/>
      <c r="P128" s="25"/>
      <c r="Q128" s="29" t="s">
        <v>282</v>
      </c>
      <c r="R128" s="25"/>
      <c r="S128" s="29"/>
      <c r="T128" s="30"/>
      <c r="U128" s="30"/>
      <c r="V128" s="30"/>
      <c r="W128" s="30"/>
      <c r="X128" s="30"/>
      <c r="Y128" s="30"/>
      <c r="Z128" s="30"/>
      <c r="AA128" s="30"/>
    </row>
    <row r="129" spans="1:27" ht="15.75" customHeight="1">
      <c r="A129" s="344"/>
      <c r="B129" s="344"/>
      <c r="C129" s="46">
        <v>4</v>
      </c>
      <c r="D129" s="344"/>
      <c r="E129" s="35" t="s">
        <v>546</v>
      </c>
      <c r="F129" s="46"/>
      <c r="G129" s="46"/>
      <c r="H129" s="35" t="s">
        <v>547</v>
      </c>
      <c r="I129" s="35" t="s">
        <v>541</v>
      </c>
      <c r="J129" s="172"/>
      <c r="K129" s="25"/>
      <c r="L129" s="25"/>
      <c r="M129" s="26"/>
      <c r="N129" s="27"/>
      <c r="O129" s="25"/>
      <c r="P129" s="25"/>
      <c r="Q129" s="29" t="s">
        <v>282</v>
      </c>
      <c r="R129" s="25"/>
      <c r="S129" s="29"/>
      <c r="T129" s="30"/>
      <c r="U129" s="30"/>
      <c r="V129" s="30"/>
      <c r="W129" s="30"/>
      <c r="X129" s="30"/>
      <c r="Y129" s="30"/>
      <c r="Z129" s="30"/>
      <c r="AA129" s="30"/>
    </row>
    <row r="130" spans="1:27" ht="15.75" customHeight="1">
      <c r="A130" s="344"/>
      <c r="B130" s="344"/>
      <c r="C130" s="46">
        <v>5</v>
      </c>
      <c r="D130" s="344"/>
      <c r="E130" s="35" t="s">
        <v>548</v>
      </c>
      <c r="F130" s="46"/>
      <c r="G130" s="46"/>
      <c r="H130" s="35" t="s">
        <v>549</v>
      </c>
      <c r="I130" s="35" t="s">
        <v>541</v>
      </c>
      <c r="J130" s="172"/>
      <c r="K130" s="25"/>
      <c r="L130" s="25"/>
      <c r="M130" s="26"/>
      <c r="N130" s="27"/>
      <c r="O130" s="25" t="s">
        <v>140</v>
      </c>
      <c r="P130" s="25"/>
      <c r="Q130" s="29" t="s">
        <v>282</v>
      </c>
      <c r="R130" s="25"/>
      <c r="S130" s="29"/>
      <c r="T130" s="30"/>
      <c r="U130" s="30"/>
      <c r="V130" s="30"/>
      <c r="W130" s="30"/>
      <c r="X130" s="30"/>
      <c r="Y130" s="30"/>
      <c r="Z130" s="30"/>
      <c r="AA130" s="30"/>
    </row>
    <row r="131" spans="1:27" ht="15.75" customHeight="1">
      <c r="A131" s="344"/>
      <c r="B131" s="344"/>
      <c r="C131" s="46">
        <v>6</v>
      </c>
      <c r="D131" s="344"/>
      <c r="E131" s="35" t="s">
        <v>539</v>
      </c>
      <c r="F131" s="46"/>
      <c r="G131" s="46"/>
      <c r="H131" s="35" t="s">
        <v>550</v>
      </c>
      <c r="I131" s="35" t="s">
        <v>541</v>
      </c>
      <c r="J131" s="172"/>
      <c r="K131" s="25"/>
      <c r="L131" s="25"/>
      <c r="M131" s="26"/>
      <c r="N131" s="27"/>
      <c r="O131" s="25"/>
      <c r="P131" s="25"/>
      <c r="Q131" s="29" t="s">
        <v>282</v>
      </c>
      <c r="R131" s="25"/>
      <c r="S131" s="29"/>
      <c r="T131" s="30"/>
      <c r="U131" s="30"/>
      <c r="V131" s="30"/>
      <c r="W131" s="30"/>
      <c r="X131" s="30"/>
      <c r="Y131" s="30"/>
      <c r="Z131" s="30"/>
      <c r="AA131" s="30"/>
    </row>
    <row r="132" spans="1:27" ht="15.75" customHeight="1">
      <c r="A132" s="353"/>
      <c r="B132" s="353"/>
      <c r="C132" s="86">
        <v>7</v>
      </c>
      <c r="D132" s="353"/>
      <c r="E132" s="175" t="s">
        <v>551</v>
      </c>
      <c r="F132" s="86"/>
      <c r="G132" s="86"/>
      <c r="H132" s="175" t="s">
        <v>552</v>
      </c>
      <c r="I132" s="35" t="s">
        <v>541</v>
      </c>
      <c r="J132" s="172"/>
      <c r="K132" s="25"/>
      <c r="L132" s="25"/>
      <c r="M132" s="26"/>
      <c r="N132" s="27"/>
      <c r="O132" s="25"/>
      <c r="P132" s="25"/>
      <c r="Q132" s="29" t="s">
        <v>282</v>
      </c>
      <c r="R132" s="25" t="s">
        <v>305</v>
      </c>
      <c r="S132" s="29"/>
      <c r="T132" s="30"/>
      <c r="U132" s="30"/>
      <c r="V132" s="30"/>
      <c r="W132" s="30"/>
      <c r="X132" s="30"/>
      <c r="Y132" s="30"/>
      <c r="Z132" s="30"/>
      <c r="AA132" s="30"/>
    </row>
    <row r="133" spans="1:27" ht="15.75" customHeight="1">
      <c r="A133" s="15" t="s">
        <v>553</v>
      </c>
      <c r="B133" s="16"/>
      <c r="C133" s="16"/>
      <c r="D133" s="17"/>
      <c r="E133" s="18"/>
      <c r="F133" s="19"/>
      <c r="G133" s="19"/>
      <c r="H133" s="17"/>
      <c r="I133" s="20"/>
      <c r="J133" s="20"/>
      <c r="K133" s="16"/>
      <c r="L133" s="16"/>
      <c r="M133" s="16"/>
      <c r="N133" s="3"/>
      <c r="O133" s="16"/>
      <c r="P133" s="16"/>
      <c r="Q133" s="16"/>
      <c r="R133" s="16"/>
      <c r="S133" s="16"/>
    </row>
    <row r="134" spans="1:27" ht="15.75" customHeight="1">
      <c r="A134" s="355" t="s">
        <v>554</v>
      </c>
      <c r="B134" s="350" t="s">
        <v>160</v>
      </c>
      <c r="C134" s="31">
        <v>1</v>
      </c>
      <c r="D134" s="355" t="s">
        <v>555</v>
      </c>
      <c r="E134" s="355" t="s">
        <v>554</v>
      </c>
      <c r="F134" s="350" t="s">
        <v>326</v>
      </c>
      <c r="G134" s="350" t="s">
        <v>327</v>
      </c>
      <c r="H134" s="23" t="s">
        <v>556</v>
      </c>
      <c r="I134" s="23" t="s">
        <v>557</v>
      </c>
      <c r="J134" s="170"/>
      <c r="K134" s="25" t="s">
        <v>294</v>
      </c>
      <c r="L134" s="25"/>
      <c r="M134" s="26"/>
      <c r="N134" s="27"/>
      <c r="O134" s="25" t="s">
        <v>140</v>
      </c>
      <c r="P134" s="25"/>
      <c r="Q134" s="29" t="s">
        <v>140</v>
      </c>
      <c r="R134" s="25"/>
      <c r="S134" s="29"/>
      <c r="T134" s="30"/>
      <c r="U134" s="30"/>
      <c r="V134" s="30"/>
      <c r="W134" s="30"/>
      <c r="X134" s="30"/>
      <c r="Y134" s="30"/>
      <c r="Z134" s="30"/>
      <c r="AA134" s="30"/>
    </row>
    <row r="135" spans="1:27" ht="15.75" customHeight="1">
      <c r="A135" s="344"/>
      <c r="B135" s="344"/>
      <c r="C135" s="31">
        <v>2</v>
      </c>
      <c r="D135" s="344"/>
      <c r="E135" s="344"/>
      <c r="F135" s="345"/>
      <c r="G135" s="345"/>
      <c r="H135" s="23" t="s">
        <v>330</v>
      </c>
      <c r="I135" s="23" t="s">
        <v>558</v>
      </c>
      <c r="J135" s="170"/>
      <c r="K135" s="25" t="s">
        <v>294</v>
      </c>
      <c r="L135" s="25"/>
      <c r="M135" s="26"/>
      <c r="N135" s="27"/>
      <c r="O135" s="25" t="s">
        <v>140</v>
      </c>
      <c r="P135" s="25"/>
      <c r="Q135" s="29" t="s">
        <v>140</v>
      </c>
      <c r="R135" s="25"/>
      <c r="S135" s="29"/>
      <c r="T135" s="30"/>
      <c r="U135" s="30"/>
      <c r="V135" s="30"/>
      <c r="W135" s="30"/>
      <c r="X135" s="30"/>
      <c r="Y135" s="30"/>
      <c r="Z135" s="30"/>
      <c r="AA135" s="30"/>
    </row>
    <row r="136" spans="1:27" ht="15.75" customHeight="1">
      <c r="A136" s="345"/>
      <c r="B136" s="345"/>
      <c r="C136" s="31">
        <v>3</v>
      </c>
      <c r="D136" s="345"/>
      <c r="E136" s="345"/>
      <c r="F136" s="41"/>
      <c r="G136" s="41"/>
      <c r="H136" s="23" t="s">
        <v>559</v>
      </c>
      <c r="I136" s="23" t="s">
        <v>560</v>
      </c>
      <c r="J136" s="170"/>
      <c r="K136" s="25" t="s">
        <v>294</v>
      </c>
      <c r="L136" s="25"/>
      <c r="M136" s="26"/>
      <c r="N136" s="27"/>
      <c r="O136" s="25" t="s">
        <v>140</v>
      </c>
      <c r="P136" s="25"/>
      <c r="Q136" s="29" t="s">
        <v>140</v>
      </c>
      <c r="R136" s="25"/>
      <c r="S136" s="29"/>
      <c r="T136" s="30"/>
      <c r="U136" s="30"/>
      <c r="V136" s="30"/>
      <c r="W136" s="30"/>
      <c r="X136" s="30"/>
      <c r="Y136" s="30"/>
      <c r="Z136" s="30"/>
      <c r="AA136" s="30"/>
    </row>
    <row r="137" spans="1:27" ht="15.75" customHeight="1">
      <c r="A137" s="355" t="s">
        <v>561</v>
      </c>
      <c r="B137" s="350" t="s">
        <v>166</v>
      </c>
      <c r="C137" s="31">
        <v>1</v>
      </c>
      <c r="D137" s="355" t="s">
        <v>562</v>
      </c>
      <c r="E137" s="355" t="s">
        <v>561</v>
      </c>
      <c r="F137" s="350" t="s">
        <v>326</v>
      </c>
      <c r="G137" s="350" t="s">
        <v>327</v>
      </c>
      <c r="H137" s="23" t="s">
        <v>563</v>
      </c>
      <c r="I137" s="23" t="s">
        <v>564</v>
      </c>
      <c r="J137" s="170"/>
      <c r="K137" s="25" t="s">
        <v>294</v>
      </c>
      <c r="L137" s="25"/>
      <c r="M137" s="26"/>
      <c r="N137" s="27"/>
      <c r="O137" s="25" t="s">
        <v>140</v>
      </c>
      <c r="P137" s="29" t="s">
        <v>140</v>
      </c>
      <c r="Q137" s="29" t="s">
        <v>140</v>
      </c>
      <c r="R137" s="25"/>
      <c r="S137" s="29"/>
      <c r="T137" s="30"/>
      <c r="U137" s="30"/>
      <c r="V137" s="30"/>
      <c r="W137" s="30"/>
      <c r="X137" s="30"/>
      <c r="Y137" s="30"/>
      <c r="Z137" s="30"/>
      <c r="AA137" s="30"/>
    </row>
    <row r="138" spans="1:27" ht="16.5" customHeight="1">
      <c r="A138" s="344"/>
      <c r="B138" s="344"/>
      <c r="C138" s="31">
        <v>2</v>
      </c>
      <c r="D138" s="344"/>
      <c r="E138" s="344"/>
      <c r="F138" s="344"/>
      <c r="G138" s="344"/>
      <c r="H138" s="23" t="s">
        <v>336</v>
      </c>
      <c r="I138" s="23" t="s">
        <v>337</v>
      </c>
      <c r="J138" s="170"/>
      <c r="K138" s="25"/>
      <c r="L138" s="25"/>
      <c r="M138" s="26"/>
      <c r="N138" s="27"/>
      <c r="O138" s="25" t="s">
        <v>140</v>
      </c>
      <c r="P138" s="29" t="s">
        <v>282</v>
      </c>
      <c r="Q138" s="29" t="s">
        <v>282</v>
      </c>
      <c r="R138" s="25"/>
      <c r="S138" s="29"/>
      <c r="T138" s="30"/>
      <c r="U138" s="30"/>
      <c r="V138" s="30"/>
      <c r="W138" s="30"/>
      <c r="X138" s="30"/>
      <c r="Y138" s="30"/>
      <c r="Z138" s="30"/>
      <c r="AA138" s="30"/>
    </row>
    <row r="139" spans="1:27" ht="16.5" customHeight="1">
      <c r="A139" s="344"/>
      <c r="B139" s="344"/>
      <c r="C139" s="31">
        <v>3</v>
      </c>
      <c r="D139" s="344"/>
      <c r="E139" s="345"/>
      <c r="F139" s="345"/>
      <c r="G139" s="345"/>
      <c r="H139" s="23" t="s">
        <v>338</v>
      </c>
      <c r="I139" s="23" t="s">
        <v>339</v>
      </c>
      <c r="J139" s="170"/>
      <c r="K139" s="25" t="s">
        <v>294</v>
      </c>
      <c r="L139" s="25"/>
      <c r="M139" s="26"/>
      <c r="N139" s="27"/>
      <c r="O139" s="25" t="s">
        <v>140</v>
      </c>
      <c r="P139" s="29" t="s">
        <v>140</v>
      </c>
      <c r="Q139" s="29" t="s">
        <v>140</v>
      </c>
      <c r="R139" s="25"/>
      <c r="S139" s="29"/>
      <c r="T139" s="30"/>
      <c r="U139" s="30"/>
      <c r="V139" s="30"/>
      <c r="W139" s="30"/>
      <c r="X139" s="30"/>
      <c r="Y139" s="30"/>
      <c r="Z139" s="30"/>
      <c r="AA139" s="30"/>
    </row>
    <row r="140" spans="1:27" ht="15.75" customHeight="1">
      <c r="A140" s="344"/>
      <c r="B140" s="344"/>
      <c r="C140" s="31">
        <v>4</v>
      </c>
      <c r="D140" s="344"/>
      <c r="E140" s="355" t="s">
        <v>565</v>
      </c>
      <c r="F140" s="350" t="s">
        <v>326</v>
      </c>
      <c r="G140" s="350" t="s">
        <v>327</v>
      </c>
      <c r="H140" s="23" t="s">
        <v>342</v>
      </c>
      <c r="I140" s="23" t="s">
        <v>564</v>
      </c>
      <c r="J140" s="170"/>
      <c r="K140" s="25" t="s">
        <v>294</v>
      </c>
      <c r="L140" s="25"/>
      <c r="M140" s="26"/>
      <c r="N140" s="27"/>
      <c r="O140" s="25"/>
      <c r="P140" s="29" t="s">
        <v>140</v>
      </c>
      <c r="Q140" s="29" t="s">
        <v>140</v>
      </c>
      <c r="R140" s="25"/>
      <c r="S140" s="29"/>
      <c r="T140" s="30"/>
      <c r="U140" s="30"/>
      <c r="V140" s="30"/>
      <c r="W140" s="30"/>
      <c r="X140" s="30"/>
      <c r="Y140" s="30"/>
      <c r="Z140" s="30"/>
      <c r="AA140" s="30"/>
    </row>
    <row r="141" spans="1:27" ht="15.75" customHeight="1">
      <c r="A141" s="344"/>
      <c r="B141" s="344"/>
      <c r="C141" s="31">
        <v>5</v>
      </c>
      <c r="D141" s="344"/>
      <c r="E141" s="344"/>
      <c r="F141" s="344"/>
      <c r="G141" s="344"/>
      <c r="H141" s="23" t="s">
        <v>336</v>
      </c>
      <c r="I141" s="23" t="s">
        <v>346</v>
      </c>
      <c r="J141" s="170"/>
      <c r="K141" s="25"/>
      <c r="L141" s="25"/>
      <c r="M141" s="26"/>
      <c r="N141" s="27"/>
      <c r="O141" s="25"/>
      <c r="P141" s="29" t="s">
        <v>282</v>
      </c>
      <c r="Q141" s="29" t="s">
        <v>282</v>
      </c>
      <c r="R141" s="25"/>
      <c r="S141" s="29"/>
      <c r="T141" s="30"/>
      <c r="U141" s="30"/>
      <c r="V141" s="30"/>
      <c r="W141" s="30"/>
      <c r="X141" s="30"/>
      <c r="Y141" s="30"/>
      <c r="Z141" s="30"/>
      <c r="AA141" s="30"/>
    </row>
    <row r="142" spans="1:27" ht="16.5" customHeight="1">
      <c r="A142" s="344"/>
      <c r="B142" s="344"/>
      <c r="C142" s="31">
        <v>6</v>
      </c>
      <c r="D142" s="344"/>
      <c r="E142" s="345"/>
      <c r="F142" s="345"/>
      <c r="G142" s="345"/>
      <c r="H142" s="35" t="s">
        <v>338</v>
      </c>
      <c r="I142" s="35" t="s">
        <v>347</v>
      </c>
      <c r="J142" s="172"/>
      <c r="K142" s="25" t="s">
        <v>294</v>
      </c>
      <c r="L142" s="25"/>
      <c r="M142" s="26"/>
      <c r="N142" s="27"/>
      <c r="O142" s="25"/>
      <c r="P142" s="29" t="s">
        <v>140</v>
      </c>
      <c r="Q142" s="29" t="s">
        <v>140</v>
      </c>
      <c r="R142" s="25"/>
      <c r="S142" s="29"/>
      <c r="T142" s="30"/>
      <c r="U142" s="30"/>
      <c r="V142" s="30"/>
      <c r="W142" s="30"/>
      <c r="X142" s="30"/>
      <c r="Y142" s="30"/>
      <c r="Z142" s="30"/>
      <c r="AA142" s="30"/>
    </row>
    <row r="143" spans="1:27" ht="15.75" customHeight="1">
      <c r="A143" s="344"/>
      <c r="B143" s="344"/>
      <c r="C143" s="31">
        <v>7</v>
      </c>
      <c r="D143" s="344"/>
      <c r="E143" s="355" t="s">
        <v>566</v>
      </c>
      <c r="F143" s="350" t="s">
        <v>326</v>
      </c>
      <c r="G143" s="350" t="s">
        <v>327</v>
      </c>
      <c r="H143" s="35" t="s">
        <v>563</v>
      </c>
      <c r="I143" s="35" t="s">
        <v>444</v>
      </c>
      <c r="J143" s="172"/>
      <c r="K143" s="25" t="s">
        <v>294</v>
      </c>
      <c r="L143" s="25"/>
      <c r="M143" s="26"/>
      <c r="N143" s="27"/>
      <c r="O143" s="25" t="s">
        <v>140</v>
      </c>
      <c r="P143" s="29" t="s">
        <v>140</v>
      </c>
      <c r="Q143" s="29" t="s">
        <v>140</v>
      </c>
      <c r="R143" s="25"/>
      <c r="S143" s="29"/>
      <c r="T143" s="30"/>
      <c r="U143" s="30"/>
      <c r="V143" s="30"/>
      <c r="W143" s="30"/>
      <c r="X143" s="30"/>
      <c r="Y143" s="30"/>
      <c r="Z143" s="30"/>
      <c r="AA143" s="30"/>
    </row>
    <row r="144" spans="1:27" ht="15.75" customHeight="1">
      <c r="A144" s="344"/>
      <c r="B144" s="344"/>
      <c r="C144" s="31">
        <v>8</v>
      </c>
      <c r="D144" s="344"/>
      <c r="E144" s="344"/>
      <c r="F144" s="344"/>
      <c r="G144" s="344"/>
      <c r="H144" s="58" t="s">
        <v>336</v>
      </c>
      <c r="I144" s="23" t="s">
        <v>567</v>
      </c>
      <c r="J144" s="170"/>
      <c r="K144" s="25"/>
      <c r="L144" s="25"/>
      <c r="M144" s="26"/>
      <c r="N144" s="27"/>
      <c r="O144" s="25" t="s">
        <v>140</v>
      </c>
      <c r="P144" s="29" t="s">
        <v>282</v>
      </c>
      <c r="Q144" s="29" t="s">
        <v>282</v>
      </c>
      <c r="R144" s="25"/>
      <c r="S144" s="29"/>
      <c r="T144" s="30"/>
      <c r="U144" s="30"/>
      <c r="V144" s="30"/>
      <c r="W144" s="30"/>
      <c r="X144" s="30"/>
      <c r="Y144" s="30"/>
      <c r="Z144" s="30"/>
      <c r="AA144" s="30"/>
    </row>
    <row r="145" spans="1:27" ht="15.75" customHeight="1">
      <c r="A145" s="344"/>
      <c r="B145" s="344"/>
      <c r="C145" s="31">
        <v>9</v>
      </c>
      <c r="D145" s="344"/>
      <c r="E145" s="344"/>
      <c r="F145" s="344"/>
      <c r="G145" s="344"/>
      <c r="H145" s="58" t="s">
        <v>568</v>
      </c>
      <c r="I145" s="23" t="s">
        <v>569</v>
      </c>
      <c r="J145" s="170"/>
      <c r="K145" s="25"/>
      <c r="L145" s="25"/>
      <c r="M145" s="26"/>
      <c r="N145" s="27"/>
      <c r="O145" s="25" t="s">
        <v>140</v>
      </c>
      <c r="P145" s="29" t="s">
        <v>282</v>
      </c>
      <c r="Q145" s="29" t="s">
        <v>282</v>
      </c>
      <c r="R145" s="25"/>
      <c r="S145" s="29"/>
      <c r="T145" s="30"/>
      <c r="U145" s="30"/>
      <c r="V145" s="30"/>
      <c r="W145" s="30"/>
      <c r="X145" s="30"/>
      <c r="Y145" s="30"/>
      <c r="Z145" s="30"/>
      <c r="AA145" s="30"/>
    </row>
    <row r="146" spans="1:27" ht="15.75" customHeight="1">
      <c r="A146" s="344"/>
      <c r="B146" s="344"/>
      <c r="C146" s="31">
        <v>10</v>
      </c>
      <c r="D146" s="344"/>
      <c r="E146" s="344"/>
      <c r="F146" s="344"/>
      <c r="G146" s="344"/>
      <c r="H146" s="58" t="s">
        <v>338</v>
      </c>
      <c r="I146" s="23" t="s">
        <v>570</v>
      </c>
      <c r="J146" s="170"/>
      <c r="K146" s="25" t="s">
        <v>294</v>
      </c>
      <c r="L146" s="25"/>
      <c r="M146" s="26"/>
      <c r="N146" s="27"/>
      <c r="O146" s="25" t="s">
        <v>140</v>
      </c>
      <c r="P146" s="29" t="s">
        <v>140</v>
      </c>
      <c r="Q146" s="29" t="s">
        <v>140</v>
      </c>
      <c r="R146" s="25"/>
      <c r="S146" s="29"/>
      <c r="T146" s="30"/>
      <c r="U146" s="30"/>
      <c r="V146" s="30"/>
      <c r="W146" s="30"/>
      <c r="X146" s="30"/>
      <c r="Y146" s="30"/>
      <c r="Z146" s="30"/>
      <c r="AA146" s="30"/>
    </row>
    <row r="147" spans="1:27" ht="15.75" customHeight="1">
      <c r="A147" s="344"/>
      <c r="B147" s="344"/>
      <c r="C147" s="31">
        <v>11</v>
      </c>
      <c r="D147" s="344"/>
      <c r="E147" s="345"/>
      <c r="F147" s="345"/>
      <c r="G147" s="345"/>
      <c r="H147" s="58" t="s">
        <v>568</v>
      </c>
      <c r="I147" s="23" t="s">
        <v>569</v>
      </c>
      <c r="J147" s="170"/>
      <c r="K147" s="25" t="s">
        <v>294</v>
      </c>
      <c r="L147" s="25"/>
      <c r="M147" s="26"/>
      <c r="N147" s="27"/>
      <c r="O147" s="25" t="s">
        <v>140</v>
      </c>
      <c r="P147" s="29" t="s">
        <v>140</v>
      </c>
      <c r="Q147" s="29" t="s">
        <v>140</v>
      </c>
      <c r="R147" s="25"/>
      <c r="S147" s="29"/>
      <c r="T147" s="30"/>
      <c r="U147" s="30"/>
      <c r="V147" s="30"/>
      <c r="W147" s="30"/>
      <c r="X147" s="30"/>
      <c r="Y147" s="30"/>
      <c r="Z147" s="30"/>
      <c r="AA147" s="30"/>
    </row>
    <row r="148" spans="1:27" ht="15.75" customHeight="1">
      <c r="A148" s="344"/>
      <c r="B148" s="344"/>
      <c r="C148" s="31">
        <v>12</v>
      </c>
      <c r="D148" s="344"/>
      <c r="E148" s="355" t="s">
        <v>571</v>
      </c>
      <c r="F148" s="350" t="s">
        <v>326</v>
      </c>
      <c r="G148" s="350" t="s">
        <v>349</v>
      </c>
      <c r="H148" s="23" t="s">
        <v>342</v>
      </c>
      <c r="I148" s="23" t="s">
        <v>564</v>
      </c>
      <c r="J148" s="170"/>
      <c r="K148" s="25" t="s">
        <v>294</v>
      </c>
      <c r="L148" s="25"/>
      <c r="M148" s="26"/>
      <c r="N148" s="27"/>
      <c r="O148" s="25"/>
      <c r="P148" s="29" t="s">
        <v>140</v>
      </c>
      <c r="Q148" s="29" t="s">
        <v>140</v>
      </c>
      <c r="R148" s="25"/>
      <c r="S148" s="29"/>
      <c r="T148" s="30"/>
      <c r="U148" s="30"/>
      <c r="V148" s="30"/>
      <c r="W148" s="30"/>
      <c r="X148" s="30"/>
      <c r="Y148" s="30"/>
      <c r="Z148" s="30"/>
      <c r="AA148" s="30"/>
    </row>
    <row r="149" spans="1:27" ht="15.75" customHeight="1">
      <c r="A149" s="344"/>
      <c r="B149" s="344"/>
      <c r="C149" s="31">
        <v>13</v>
      </c>
      <c r="D149" s="344"/>
      <c r="E149" s="344"/>
      <c r="F149" s="344"/>
      <c r="G149" s="344"/>
      <c r="H149" s="23" t="s">
        <v>336</v>
      </c>
      <c r="I149" s="23" t="s">
        <v>346</v>
      </c>
      <c r="J149" s="170"/>
      <c r="K149" s="25"/>
      <c r="L149" s="25"/>
      <c r="M149" s="26"/>
      <c r="N149" s="27"/>
      <c r="O149" s="25"/>
      <c r="P149" s="29" t="s">
        <v>282</v>
      </c>
      <c r="Q149" s="29" t="s">
        <v>282</v>
      </c>
      <c r="R149" s="25"/>
      <c r="S149" s="29"/>
      <c r="T149" s="30"/>
      <c r="U149" s="30"/>
      <c r="V149" s="30"/>
      <c r="W149" s="30"/>
      <c r="X149" s="30"/>
      <c r="Y149" s="30"/>
      <c r="Z149" s="30"/>
      <c r="AA149" s="30"/>
    </row>
    <row r="150" spans="1:27" ht="16.5" customHeight="1">
      <c r="A150" s="344"/>
      <c r="B150" s="344"/>
      <c r="C150" s="31">
        <v>14</v>
      </c>
      <c r="D150" s="344"/>
      <c r="E150" s="345"/>
      <c r="F150" s="345"/>
      <c r="G150" s="345"/>
      <c r="H150" s="23" t="s">
        <v>338</v>
      </c>
      <c r="I150" s="23" t="s">
        <v>339</v>
      </c>
      <c r="J150" s="170"/>
      <c r="K150" s="25" t="s">
        <v>294</v>
      </c>
      <c r="L150" s="25"/>
      <c r="M150" s="26"/>
      <c r="N150" s="27"/>
      <c r="O150" s="25"/>
      <c r="P150" s="29" t="s">
        <v>140</v>
      </c>
      <c r="Q150" s="29" t="s">
        <v>140</v>
      </c>
      <c r="R150" s="25"/>
      <c r="S150" s="29"/>
      <c r="T150" s="30"/>
      <c r="U150" s="30"/>
      <c r="V150" s="30"/>
      <c r="W150" s="30"/>
      <c r="X150" s="30"/>
      <c r="Y150" s="30"/>
      <c r="Z150" s="30"/>
      <c r="AA150" s="30"/>
    </row>
    <row r="151" spans="1:27" ht="15.75" customHeight="1">
      <c r="A151" s="344"/>
      <c r="B151" s="344"/>
      <c r="C151" s="31">
        <v>15</v>
      </c>
      <c r="D151" s="344"/>
      <c r="E151" s="355" t="s">
        <v>572</v>
      </c>
      <c r="F151" s="350" t="s">
        <v>326</v>
      </c>
      <c r="G151" s="350" t="s">
        <v>349</v>
      </c>
      <c r="H151" s="23" t="s">
        <v>563</v>
      </c>
      <c r="I151" s="23" t="s">
        <v>573</v>
      </c>
      <c r="J151" s="170"/>
      <c r="K151" s="25" t="s">
        <v>294</v>
      </c>
      <c r="L151" s="25"/>
      <c r="M151" s="26"/>
      <c r="N151" s="27"/>
      <c r="O151" s="25" t="s">
        <v>140</v>
      </c>
      <c r="P151" s="29" t="s">
        <v>140</v>
      </c>
      <c r="Q151" s="29" t="s">
        <v>140</v>
      </c>
      <c r="R151" s="25"/>
      <c r="S151" s="29"/>
      <c r="T151" s="30"/>
      <c r="U151" s="30"/>
      <c r="V151" s="30"/>
      <c r="W151" s="30"/>
      <c r="X151" s="30"/>
      <c r="Y151" s="30"/>
      <c r="Z151" s="30"/>
      <c r="AA151" s="30"/>
    </row>
    <row r="152" spans="1:27" ht="15.75" customHeight="1">
      <c r="A152" s="344"/>
      <c r="B152" s="344"/>
      <c r="C152" s="31">
        <v>16</v>
      </c>
      <c r="D152" s="344"/>
      <c r="E152" s="344"/>
      <c r="F152" s="344"/>
      <c r="G152" s="344"/>
      <c r="H152" s="58" t="s">
        <v>336</v>
      </c>
      <c r="I152" s="23" t="s">
        <v>567</v>
      </c>
      <c r="J152" s="170"/>
      <c r="K152" s="25"/>
      <c r="L152" s="25"/>
      <c r="M152" s="26"/>
      <c r="N152" s="27"/>
      <c r="O152" s="25" t="s">
        <v>140</v>
      </c>
      <c r="P152" s="29" t="s">
        <v>282</v>
      </c>
      <c r="Q152" s="29" t="s">
        <v>282</v>
      </c>
      <c r="R152" s="25"/>
      <c r="S152" s="29"/>
      <c r="T152" s="30"/>
      <c r="U152" s="30"/>
      <c r="V152" s="30"/>
      <c r="W152" s="30"/>
      <c r="X152" s="30"/>
      <c r="Y152" s="30"/>
      <c r="Z152" s="30"/>
      <c r="AA152" s="30"/>
    </row>
    <row r="153" spans="1:27" ht="15.75" customHeight="1">
      <c r="A153" s="344"/>
      <c r="B153" s="344"/>
      <c r="C153" s="31">
        <v>17</v>
      </c>
      <c r="D153" s="344"/>
      <c r="E153" s="344"/>
      <c r="F153" s="344"/>
      <c r="G153" s="344"/>
      <c r="H153" s="58" t="s">
        <v>568</v>
      </c>
      <c r="I153" s="23" t="s">
        <v>569</v>
      </c>
      <c r="J153" s="170"/>
      <c r="K153" s="25"/>
      <c r="L153" s="25"/>
      <c r="M153" s="26"/>
      <c r="N153" s="27"/>
      <c r="O153" s="25" t="s">
        <v>140</v>
      </c>
      <c r="P153" s="29" t="s">
        <v>282</v>
      </c>
      <c r="Q153" s="29" t="s">
        <v>282</v>
      </c>
      <c r="R153" s="25"/>
      <c r="S153" s="29"/>
      <c r="T153" s="30"/>
      <c r="U153" s="30"/>
      <c r="V153" s="30"/>
      <c r="W153" s="30"/>
      <c r="X153" s="30"/>
      <c r="Y153" s="30"/>
      <c r="Z153" s="30"/>
      <c r="AA153" s="30"/>
    </row>
    <row r="154" spans="1:27" ht="15.75" customHeight="1">
      <c r="A154" s="344"/>
      <c r="B154" s="344"/>
      <c r="C154" s="31">
        <v>18</v>
      </c>
      <c r="D154" s="344"/>
      <c r="E154" s="344"/>
      <c r="F154" s="344"/>
      <c r="G154" s="344"/>
      <c r="H154" s="58" t="s">
        <v>338</v>
      </c>
      <c r="I154" s="23" t="s">
        <v>570</v>
      </c>
      <c r="J154" s="170"/>
      <c r="K154" s="25" t="s">
        <v>294</v>
      </c>
      <c r="L154" s="25"/>
      <c r="M154" s="26"/>
      <c r="N154" s="27"/>
      <c r="O154" s="25" t="s">
        <v>140</v>
      </c>
      <c r="P154" s="29" t="s">
        <v>140</v>
      </c>
      <c r="Q154" s="29" t="s">
        <v>140</v>
      </c>
      <c r="R154" s="25"/>
      <c r="S154" s="29"/>
      <c r="T154" s="30"/>
      <c r="U154" s="30"/>
      <c r="V154" s="30"/>
      <c r="W154" s="30"/>
      <c r="X154" s="30"/>
      <c r="Y154" s="30"/>
      <c r="Z154" s="30"/>
      <c r="AA154" s="30"/>
    </row>
    <row r="155" spans="1:27" ht="15.75" customHeight="1">
      <c r="A155" s="345"/>
      <c r="B155" s="345"/>
      <c r="C155" s="31">
        <v>19</v>
      </c>
      <c r="D155" s="345"/>
      <c r="E155" s="345"/>
      <c r="F155" s="345"/>
      <c r="G155" s="345"/>
      <c r="H155" s="58" t="s">
        <v>568</v>
      </c>
      <c r="I155" s="23" t="s">
        <v>569</v>
      </c>
      <c r="J155" s="170"/>
      <c r="K155" s="25" t="s">
        <v>294</v>
      </c>
      <c r="L155" s="25"/>
      <c r="M155" s="26"/>
      <c r="N155" s="27"/>
      <c r="O155" s="25" t="s">
        <v>140</v>
      </c>
      <c r="P155" s="29" t="s">
        <v>140</v>
      </c>
      <c r="Q155" s="29" t="s">
        <v>140</v>
      </c>
      <c r="R155" s="25"/>
      <c r="S155" s="29"/>
      <c r="T155" s="30"/>
      <c r="U155" s="30"/>
      <c r="V155" s="30"/>
      <c r="W155" s="30"/>
      <c r="X155" s="30"/>
      <c r="Y155" s="30"/>
      <c r="Z155" s="30"/>
      <c r="AA155" s="30"/>
    </row>
    <row r="156" spans="1:27" ht="15.75" customHeight="1">
      <c r="A156" s="59" t="s">
        <v>574</v>
      </c>
      <c r="B156" s="53" t="s">
        <v>187</v>
      </c>
      <c r="C156" s="86">
        <v>1</v>
      </c>
      <c r="D156" s="59" t="s">
        <v>575</v>
      </c>
      <c r="E156" s="175" t="s">
        <v>575</v>
      </c>
      <c r="F156" s="86" t="s">
        <v>326</v>
      </c>
      <c r="G156" s="86" t="s">
        <v>327</v>
      </c>
      <c r="H156" s="175" t="s">
        <v>576</v>
      </c>
      <c r="I156" s="35" t="s">
        <v>577</v>
      </c>
      <c r="J156" s="172"/>
      <c r="K156" s="25"/>
      <c r="L156" s="25"/>
      <c r="M156" s="26"/>
      <c r="N156" s="27"/>
      <c r="O156" s="25"/>
      <c r="P156" s="25"/>
      <c r="Q156" s="29" t="s">
        <v>282</v>
      </c>
      <c r="R156" s="25" t="s">
        <v>305</v>
      </c>
      <c r="S156" s="29"/>
      <c r="T156" s="30"/>
      <c r="U156" s="30"/>
      <c r="V156" s="30"/>
      <c r="W156" s="30"/>
      <c r="X156" s="30"/>
      <c r="Y156" s="30"/>
      <c r="Z156" s="30"/>
      <c r="AA156" s="30"/>
    </row>
    <row r="157" spans="1:27" ht="15.75" customHeight="1">
      <c r="A157" s="355" t="s">
        <v>578</v>
      </c>
      <c r="B157" s="350" t="s">
        <v>161</v>
      </c>
      <c r="C157" s="31">
        <v>1</v>
      </c>
      <c r="D157" s="355" t="s">
        <v>579</v>
      </c>
      <c r="E157" s="39" t="s">
        <v>578</v>
      </c>
      <c r="F157" s="31" t="s">
        <v>326</v>
      </c>
      <c r="G157" s="31" t="s">
        <v>327</v>
      </c>
      <c r="H157" s="23" t="s">
        <v>580</v>
      </c>
      <c r="I157" s="23" t="s">
        <v>581</v>
      </c>
      <c r="J157" s="170"/>
      <c r="K157" s="25"/>
      <c r="L157" s="25"/>
      <c r="M157" s="26"/>
      <c r="N157" s="27"/>
      <c r="O157" s="25" t="s">
        <v>140</v>
      </c>
      <c r="P157" s="25"/>
      <c r="Q157" s="29" t="s">
        <v>282</v>
      </c>
      <c r="R157" s="25"/>
      <c r="S157" s="29"/>
      <c r="T157" s="30"/>
      <c r="U157" s="30"/>
      <c r="V157" s="30"/>
      <c r="W157" s="30"/>
      <c r="X157" s="30"/>
      <c r="Y157" s="30"/>
      <c r="Z157" s="30"/>
      <c r="AA157" s="30"/>
    </row>
    <row r="158" spans="1:27" ht="15.75" customHeight="1">
      <c r="A158" s="344"/>
      <c r="B158" s="344"/>
      <c r="C158" s="31">
        <v>2</v>
      </c>
      <c r="D158" s="344"/>
      <c r="E158" s="359" t="s">
        <v>385</v>
      </c>
      <c r="F158" s="360" t="s">
        <v>326</v>
      </c>
      <c r="G158" s="360" t="s">
        <v>327</v>
      </c>
      <c r="H158" s="356" t="s">
        <v>386</v>
      </c>
      <c r="I158" s="23" t="s">
        <v>387</v>
      </c>
      <c r="J158" s="170"/>
      <c r="K158" s="25"/>
      <c r="L158" s="25"/>
      <c r="M158" s="26"/>
      <c r="N158" s="27"/>
      <c r="O158" s="25" t="s">
        <v>140</v>
      </c>
      <c r="P158" s="25"/>
      <c r="Q158" s="29" t="s">
        <v>282</v>
      </c>
      <c r="R158" s="25"/>
      <c r="S158" s="29"/>
      <c r="T158" s="30"/>
      <c r="U158" s="30"/>
      <c r="V158" s="30"/>
      <c r="W158" s="30"/>
      <c r="X158" s="30"/>
      <c r="Y158" s="30"/>
      <c r="Z158" s="30"/>
      <c r="AA158" s="30"/>
    </row>
    <row r="159" spans="1:27" ht="15.75" customHeight="1">
      <c r="A159" s="344"/>
      <c r="B159" s="344"/>
      <c r="C159" s="31">
        <v>3</v>
      </c>
      <c r="D159" s="344"/>
      <c r="E159" s="344"/>
      <c r="F159" s="344"/>
      <c r="G159" s="344"/>
      <c r="H159" s="344"/>
      <c r="I159" s="35" t="s">
        <v>582</v>
      </c>
      <c r="J159" s="172"/>
      <c r="K159" s="25"/>
      <c r="L159" s="25"/>
      <c r="M159" s="26"/>
      <c r="N159" s="27"/>
      <c r="O159" s="25" t="s">
        <v>140</v>
      </c>
      <c r="P159" s="25"/>
      <c r="Q159" s="29" t="s">
        <v>282</v>
      </c>
      <c r="R159" s="25"/>
      <c r="S159" s="29"/>
      <c r="T159" s="30"/>
      <c r="U159" s="30"/>
      <c r="V159" s="30"/>
      <c r="W159" s="30"/>
      <c r="X159" s="30"/>
      <c r="Y159" s="30"/>
      <c r="Z159" s="30"/>
      <c r="AA159" s="30"/>
    </row>
    <row r="160" spans="1:27" ht="15.75" customHeight="1">
      <c r="A160" s="344"/>
      <c r="B160" s="344"/>
      <c r="C160" s="31">
        <v>4</v>
      </c>
      <c r="D160" s="344"/>
      <c r="E160" s="345"/>
      <c r="F160" s="345"/>
      <c r="G160" s="345"/>
      <c r="H160" s="345"/>
      <c r="I160" s="23" t="s">
        <v>389</v>
      </c>
      <c r="J160" s="170"/>
      <c r="K160" s="25"/>
      <c r="L160" s="25"/>
      <c r="M160" s="26"/>
      <c r="N160" s="27"/>
      <c r="O160" s="25" t="s">
        <v>140</v>
      </c>
      <c r="P160" s="25"/>
      <c r="Q160" s="29" t="s">
        <v>282</v>
      </c>
      <c r="R160" s="25"/>
      <c r="S160" s="29"/>
      <c r="T160" s="30"/>
      <c r="U160" s="30"/>
      <c r="V160" s="30"/>
      <c r="W160" s="30"/>
      <c r="X160" s="30"/>
      <c r="Y160" s="30"/>
      <c r="Z160" s="30"/>
      <c r="AA160" s="30"/>
    </row>
    <row r="161" spans="1:27" ht="15.75" customHeight="1">
      <c r="A161" s="344"/>
      <c r="B161" s="344"/>
      <c r="C161" s="31">
        <v>5</v>
      </c>
      <c r="D161" s="344"/>
      <c r="E161" s="355" t="s">
        <v>583</v>
      </c>
      <c r="F161" s="350" t="s">
        <v>326</v>
      </c>
      <c r="G161" s="350" t="s">
        <v>327</v>
      </c>
      <c r="H161" s="23" t="s">
        <v>584</v>
      </c>
      <c r="I161" s="23" t="s">
        <v>585</v>
      </c>
      <c r="J161" s="170"/>
      <c r="K161" s="25" t="s">
        <v>294</v>
      </c>
      <c r="L161" s="25"/>
      <c r="M161" s="26"/>
      <c r="N161" s="27"/>
      <c r="O161" s="25"/>
      <c r="P161" s="25"/>
      <c r="Q161" s="29" t="s">
        <v>140</v>
      </c>
      <c r="R161" s="25"/>
      <c r="S161" s="29"/>
      <c r="T161" s="30"/>
      <c r="U161" s="30"/>
      <c r="V161" s="30"/>
      <c r="W161" s="30"/>
      <c r="X161" s="30"/>
      <c r="Y161" s="30"/>
      <c r="Z161" s="30"/>
      <c r="AA161" s="30"/>
    </row>
    <row r="162" spans="1:27" ht="15.75" customHeight="1">
      <c r="A162" s="344"/>
      <c r="B162" s="344"/>
      <c r="C162" s="31">
        <v>6</v>
      </c>
      <c r="D162" s="344"/>
      <c r="E162" s="344"/>
      <c r="F162" s="344"/>
      <c r="G162" s="344"/>
      <c r="H162" s="23" t="s">
        <v>342</v>
      </c>
      <c r="I162" s="23" t="s">
        <v>564</v>
      </c>
      <c r="J162" s="170"/>
      <c r="K162" s="25" t="s">
        <v>294</v>
      </c>
      <c r="L162" s="25"/>
      <c r="M162" s="26"/>
      <c r="N162" s="27"/>
      <c r="O162" s="25"/>
      <c r="P162" s="25"/>
      <c r="Q162" s="29" t="s">
        <v>140</v>
      </c>
      <c r="R162" s="25"/>
      <c r="S162" s="29"/>
      <c r="T162" s="30"/>
      <c r="U162" s="30"/>
      <c r="V162" s="30"/>
      <c r="W162" s="30"/>
      <c r="X162" s="30"/>
      <c r="Y162" s="30"/>
      <c r="Z162" s="30"/>
      <c r="AA162" s="30"/>
    </row>
    <row r="163" spans="1:27" ht="35.25" customHeight="1">
      <c r="A163" s="344"/>
      <c r="B163" s="344"/>
      <c r="C163" s="31">
        <v>7</v>
      </c>
      <c r="D163" s="344"/>
      <c r="E163" s="344"/>
      <c r="F163" s="344"/>
      <c r="G163" s="344"/>
      <c r="H163" s="23" t="s">
        <v>336</v>
      </c>
      <c r="I163" s="23" t="s">
        <v>586</v>
      </c>
      <c r="J163" s="170"/>
      <c r="K163" s="25"/>
      <c r="L163" s="25"/>
      <c r="M163" s="26"/>
      <c r="N163" s="27"/>
      <c r="O163" s="25"/>
      <c r="P163" s="25"/>
      <c r="Q163" s="29" t="s">
        <v>282</v>
      </c>
      <c r="R163" s="25"/>
      <c r="S163" s="29"/>
      <c r="T163" s="30"/>
      <c r="U163" s="30"/>
      <c r="V163" s="30"/>
      <c r="W163" s="30"/>
      <c r="X163" s="30"/>
      <c r="Y163" s="30"/>
      <c r="Z163" s="30"/>
      <c r="AA163" s="30"/>
    </row>
    <row r="164" spans="1:27" ht="36" customHeight="1">
      <c r="A164" s="345"/>
      <c r="B164" s="345"/>
      <c r="C164" s="31">
        <v>8</v>
      </c>
      <c r="D164" s="345"/>
      <c r="E164" s="345"/>
      <c r="F164" s="345"/>
      <c r="G164" s="345"/>
      <c r="H164" s="23" t="s">
        <v>338</v>
      </c>
      <c r="I164" s="23" t="s">
        <v>587</v>
      </c>
      <c r="J164" s="170"/>
      <c r="K164" s="25" t="s">
        <v>294</v>
      </c>
      <c r="L164" s="25"/>
      <c r="M164" s="26"/>
      <c r="N164" s="27"/>
      <c r="O164" s="25"/>
      <c r="P164" s="25"/>
      <c r="Q164" s="29" t="s">
        <v>140</v>
      </c>
      <c r="R164" s="25"/>
      <c r="S164" s="29"/>
      <c r="T164" s="30"/>
      <c r="U164" s="30"/>
      <c r="V164" s="30"/>
      <c r="W164" s="30"/>
      <c r="X164" s="30"/>
      <c r="Y164" s="30"/>
      <c r="Z164" s="30"/>
      <c r="AA164" s="30"/>
    </row>
    <row r="165" spans="1:27" ht="15.75" customHeight="1">
      <c r="A165" s="59" t="s">
        <v>588</v>
      </c>
      <c r="B165" s="53" t="s">
        <v>188</v>
      </c>
      <c r="C165" s="86">
        <v>1</v>
      </c>
      <c r="D165" s="59" t="s">
        <v>589</v>
      </c>
      <c r="E165" s="181" t="s">
        <v>589</v>
      </c>
      <c r="F165" s="86" t="s">
        <v>326</v>
      </c>
      <c r="G165" s="86" t="s">
        <v>327</v>
      </c>
      <c r="H165" s="175" t="s">
        <v>590</v>
      </c>
      <c r="I165" s="35" t="s">
        <v>591</v>
      </c>
      <c r="J165" s="172"/>
      <c r="K165" s="25"/>
      <c r="L165" s="25"/>
      <c r="M165" s="26"/>
      <c r="N165" s="27"/>
      <c r="O165" s="25"/>
      <c r="P165" s="25"/>
      <c r="Q165" s="29" t="s">
        <v>282</v>
      </c>
      <c r="R165" s="25" t="s">
        <v>305</v>
      </c>
      <c r="S165" s="29"/>
      <c r="T165" s="30"/>
      <c r="U165" s="30"/>
      <c r="V165" s="30"/>
      <c r="W165" s="30"/>
      <c r="X165" s="30"/>
      <c r="Y165" s="30"/>
      <c r="Z165" s="30"/>
      <c r="AA165" s="30"/>
    </row>
    <row r="166" spans="1:27" ht="15.75" customHeight="1">
      <c r="A166" s="355" t="s">
        <v>592</v>
      </c>
      <c r="B166" s="350" t="s">
        <v>593</v>
      </c>
      <c r="C166" s="31">
        <v>1</v>
      </c>
      <c r="D166" s="355" t="s">
        <v>594</v>
      </c>
      <c r="E166" s="23" t="s">
        <v>592</v>
      </c>
      <c r="F166" s="31" t="s">
        <v>326</v>
      </c>
      <c r="G166" s="31" t="s">
        <v>327</v>
      </c>
      <c r="H166" s="23" t="s">
        <v>595</v>
      </c>
      <c r="I166" s="23" t="s">
        <v>596</v>
      </c>
      <c r="J166" s="170"/>
      <c r="K166" s="25"/>
      <c r="L166" s="25"/>
      <c r="M166" s="26"/>
      <c r="N166" s="27"/>
      <c r="O166" s="25"/>
      <c r="P166" s="25"/>
      <c r="Q166" s="29" t="s">
        <v>282</v>
      </c>
      <c r="R166" s="25"/>
      <c r="S166" s="29"/>
      <c r="T166" s="30"/>
      <c r="U166" s="30"/>
      <c r="V166" s="30"/>
      <c r="W166" s="30"/>
      <c r="X166" s="30"/>
      <c r="Y166" s="30"/>
      <c r="Z166" s="30"/>
      <c r="AA166" s="30"/>
    </row>
    <row r="167" spans="1:27" ht="15.75" customHeight="1">
      <c r="A167" s="344"/>
      <c r="B167" s="344"/>
      <c r="C167" s="31">
        <v>2</v>
      </c>
      <c r="D167" s="344"/>
      <c r="E167" s="23" t="s">
        <v>597</v>
      </c>
      <c r="F167" s="31" t="s">
        <v>326</v>
      </c>
      <c r="G167" s="31" t="s">
        <v>327</v>
      </c>
      <c r="H167" s="23" t="s">
        <v>598</v>
      </c>
      <c r="I167" s="23" t="s">
        <v>599</v>
      </c>
      <c r="J167" s="170"/>
      <c r="K167" s="25"/>
      <c r="L167" s="25"/>
      <c r="M167" s="26"/>
      <c r="N167" s="27"/>
      <c r="O167" s="25"/>
      <c r="P167" s="25"/>
      <c r="Q167" s="29" t="s">
        <v>282</v>
      </c>
      <c r="R167" s="25"/>
      <c r="S167" s="29"/>
      <c r="T167" s="30"/>
      <c r="U167" s="30"/>
      <c r="V167" s="30"/>
      <c r="W167" s="30"/>
      <c r="X167" s="30"/>
      <c r="Y167" s="30"/>
      <c r="Z167" s="30"/>
      <c r="AA167" s="30"/>
    </row>
    <row r="168" spans="1:27" ht="15.75" customHeight="1">
      <c r="A168" s="344"/>
      <c r="B168" s="344"/>
      <c r="C168" s="31">
        <v>3</v>
      </c>
      <c r="D168" s="344"/>
      <c r="E168" s="23" t="s">
        <v>600</v>
      </c>
      <c r="F168" s="31" t="s">
        <v>326</v>
      </c>
      <c r="G168" s="31" t="s">
        <v>327</v>
      </c>
      <c r="H168" s="23" t="s">
        <v>601</v>
      </c>
      <c r="I168" s="23" t="s">
        <v>602</v>
      </c>
      <c r="J168" s="170"/>
      <c r="K168" s="25"/>
      <c r="L168" s="25"/>
      <c r="M168" s="26"/>
      <c r="N168" s="27"/>
      <c r="O168" s="25"/>
      <c r="P168" s="25"/>
      <c r="Q168" s="29" t="s">
        <v>282</v>
      </c>
      <c r="R168" s="25"/>
      <c r="S168" s="29"/>
      <c r="T168" s="30"/>
      <c r="U168" s="30"/>
      <c r="V168" s="30"/>
      <c r="W168" s="30"/>
      <c r="X168" s="30"/>
      <c r="Y168" s="30"/>
      <c r="Z168" s="30"/>
      <c r="AA168" s="30"/>
    </row>
    <row r="169" spans="1:27" ht="15.75" customHeight="1">
      <c r="A169" s="344"/>
      <c r="B169" s="344"/>
      <c r="C169" s="31">
        <v>4</v>
      </c>
      <c r="D169" s="344"/>
      <c r="E169" s="23" t="s">
        <v>603</v>
      </c>
      <c r="F169" s="31" t="s">
        <v>326</v>
      </c>
      <c r="G169" s="31" t="s">
        <v>327</v>
      </c>
      <c r="H169" s="23" t="s">
        <v>604</v>
      </c>
      <c r="I169" s="23" t="s">
        <v>602</v>
      </c>
      <c r="J169" s="170"/>
      <c r="K169" s="25"/>
      <c r="L169" s="25"/>
      <c r="M169" s="26"/>
      <c r="N169" s="27"/>
      <c r="O169" s="25"/>
      <c r="P169" s="25"/>
      <c r="Q169" s="29" t="s">
        <v>282</v>
      </c>
      <c r="R169" s="25"/>
      <c r="S169" s="29"/>
      <c r="T169" s="30"/>
      <c r="U169" s="30"/>
      <c r="V169" s="30"/>
      <c r="W169" s="30"/>
      <c r="X169" s="30"/>
      <c r="Y169" s="30"/>
      <c r="Z169" s="30"/>
      <c r="AA169" s="30"/>
    </row>
    <row r="170" spans="1:27" ht="15.75" customHeight="1">
      <c r="A170" s="344"/>
      <c r="B170" s="344"/>
      <c r="C170" s="31">
        <v>5</v>
      </c>
      <c r="D170" s="344"/>
      <c r="E170" s="23" t="s">
        <v>605</v>
      </c>
      <c r="F170" s="31" t="s">
        <v>326</v>
      </c>
      <c r="G170" s="31" t="s">
        <v>327</v>
      </c>
      <c r="H170" s="23" t="s">
        <v>606</v>
      </c>
      <c r="I170" s="23" t="s">
        <v>602</v>
      </c>
      <c r="J170" s="170"/>
      <c r="K170" s="25"/>
      <c r="L170" s="25"/>
      <c r="M170" s="26"/>
      <c r="N170" s="27"/>
      <c r="O170" s="25"/>
      <c r="P170" s="25"/>
      <c r="Q170" s="29" t="s">
        <v>282</v>
      </c>
      <c r="R170" s="25"/>
      <c r="S170" s="29"/>
      <c r="T170" s="30"/>
      <c r="U170" s="30"/>
      <c r="V170" s="30"/>
      <c r="W170" s="30"/>
      <c r="X170" s="30"/>
      <c r="Y170" s="30"/>
      <c r="Z170" s="30"/>
      <c r="AA170" s="30"/>
    </row>
    <row r="171" spans="1:27" ht="15.75" customHeight="1">
      <c r="A171" s="344"/>
      <c r="B171" s="344"/>
      <c r="C171" s="31">
        <v>6</v>
      </c>
      <c r="D171" s="344"/>
      <c r="E171" s="23" t="s">
        <v>607</v>
      </c>
      <c r="F171" s="31" t="s">
        <v>326</v>
      </c>
      <c r="G171" s="31" t="s">
        <v>327</v>
      </c>
      <c r="H171" s="23" t="s">
        <v>595</v>
      </c>
      <c r="I171" s="23" t="s">
        <v>608</v>
      </c>
      <c r="J171" s="170"/>
      <c r="K171" s="25"/>
      <c r="L171" s="25"/>
      <c r="M171" s="26"/>
      <c r="N171" s="27"/>
      <c r="O171" s="25"/>
      <c r="P171" s="25"/>
      <c r="Q171" s="29" t="s">
        <v>282</v>
      </c>
      <c r="R171" s="25"/>
      <c r="S171" s="29"/>
      <c r="T171" s="30"/>
      <c r="U171" s="30"/>
      <c r="V171" s="30"/>
      <c r="W171" s="30"/>
      <c r="X171" s="30"/>
      <c r="Y171" s="30"/>
      <c r="Z171" s="30"/>
      <c r="AA171" s="30"/>
    </row>
    <row r="172" spans="1:27" ht="15.75" customHeight="1">
      <c r="A172" s="344"/>
      <c r="B172" s="344"/>
      <c r="C172" s="31">
        <v>7</v>
      </c>
      <c r="D172" s="344"/>
      <c r="E172" s="23" t="s">
        <v>609</v>
      </c>
      <c r="F172" s="31" t="s">
        <v>326</v>
      </c>
      <c r="G172" s="31" t="s">
        <v>327</v>
      </c>
      <c r="H172" s="23" t="s">
        <v>598</v>
      </c>
      <c r="I172" s="23" t="s">
        <v>610</v>
      </c>
      <c r="J172" s="170"/>
      <c r="K172" s="25"/>
      <c r="L172" s="25"/>
      <c r="M172" s="26"/>
      <c r="N172" s="27"/>
      <c r="O172" s="25"/>
      <c r="P172" s="25"/>
      <c r="Q172" s="29" t="s">
        <v>282</v>
      </c>
      <c r="R172" s="25"/>
      <c r="S172" s="29"/>
      <c r="T172" s="30"/>
      <c r="U172" s="30"/>
      <c r="V172" s="30"/>
      <c r="W172" s="30"/>
      <c r="X172" s="30"/>
      <c r="Y172" s="30"/>
      <c r="Z172" s="30"/>
      <c r="AA172" s="30"/>
    </row>
    <row r="173" spans="1:27" ht="15.75" customHeight="1">
      <c r="A173" s="344"/>
      <c r="B173" s="344"/>
      <c r="C173" s="31">
        <v>8</v>
      </c>
      <c r="D173" s="344"/>
      <c r="E173" s="23" t="s">
        <v>611</v>
      </c>
      <c r="F173" s="31" t="s">
        <v>326</v>
      </c>
      <c r="G173" s="31" t="s">
        <v>327</v>
      </c>
      <c r="H173" s="23" t="s">
        <v>612</v>
      </c>
      <c r="I173" s="23" t="s">
        <v>613</v>
      </c>
      <c r="J173" s="170"/>
      <c r="K173" s="25"/>
      <c r="L173" s="25"/>
      <c r="M173" s="26"/>
      <c r="N173" s="27"/>
      <c r="O173" s="25"/>
      <c r="P173" s="25"/>
      <c r="Q173" s="29" t="s">
        <v>282</v>
      </c>
      <c r="R173" s="25"/>
      <c r="S173" s="29"/>
      <c r="T173" s="30"/>
      <c r="U173" s="30"/>
      <c r="V173" s="30"/>
      <c r="W173" s="30"/>
      <c r="X173" s="30"/>
      <c r="Y173" s="30"/>
      <c r="Z173" s="30"/>
      <c r="AA173" s="30"/>
    </row>
    <row r="174" spans="1:27" ht="15.75" customHeight="1">
      <c r="A174" s="344"/>
      <c r="B174" s="344"/>
      <c r="C174" s="31">
        <v>9</v>
      </c>
      <c r="D174" s="344"/>
      <c r="E174" s="23" t="s">
        <v>614</v>
      </c>
      <c r="F174" s="31" t="s">
        <v>326</v>
      </c>
      <c r="G174" s="31" t="s">
        <v>327</v>
      </c>
      <c r="H174" s="23" t="s">
        <v>604</v>
      </c>
      <c r="I174" s="23" t="s">
        <v>613</v>
      </c>
      <c r="J174" s="170"/>
      <c r="K174" s="25"/>
      <c r="L174" s="25"/>
      <c r="M174" s="26"/>
      <c r="N174" s="27"/>
      <c r="O174" s="25"/>
      <c r="P174" s="25"/>
      <c r="Q174" s="29" t="s">
        <v>282</v>
      </c>
      <c r="R174" s="25"/>
      <c r="S174" s="29"/>
      <c r="T174" s="30"/>
      <c r="U174" s="30"/>
      <c r="V174" s="30"/>
      <c r="W174" s="30"/>
      <c r="X174" s="30"/>
      <c r="Y174" s="30"/>
      <c r="Z174" s="30"/>
      <c r="AA174" s="30"/>
    </row>
    <row r="175" spans="1:27" ht="15.75" customHeight="1">
      <c r="A175" s="345"/>
      <c r="B175" s="345"/>
      <c r="C175" s="31">
        <v>10</v>
      </c>
      <c r="D175" s="345"/>
      <c r="E175" s="23" t="s">
        <v>615</v>
      </c>
      <c r="F175" s="31" t="s">
        <v>326</v>
      </c>
      <c r="G175" s="31" t="s">
        <v>327</v>
      </c>
      <c r="H175" s="23" t="s">
        <v>606</v>
      </c>
      <c r="I175" s="23" t="s">
        <v>613</v>
      </c>
      <c r="J175" s="170"/>
      <c r="K175" s="25"/>
      <c r="L175" s="25"/>
      <c r="M175" s="26"/>
      <c r="N175" s="27"/>
      <c r="O175" s="25"/>
      <c r="P175" s="25"/>
      <c r="Q175" s="29" t="s">
        <v>282</v>
      </c>
      <c r="R175" s="25"/>
      <c r="S175" s="29"/>
      <c r="T175" s="30"/>
      <c r="U175" s="30"/>
      <c r="V175" s="30"/>
      <c r="W175" s="30"/>
      <c r="X175" s="30"/>
      <c r="Y175" s="30"/>
      <c r="Z175" s="30"/>
      <c r="AA175" s="30"/>
    </row>
    <row r="176" spans="1:27" ht="15.75" customHeight="1">
      <c r="A176" s="59" t="s">
        <v>616</v>
      </c>
      <c r="B176" s="53" t="s">
        <v>189</v>
      </c>
      <c r="C176" s="86">
        <v>1</v>
      </c>
      <c r="D176" s="59" t="s">
        <v>617</v>
      </c>
      <c r="E176" s="175" t="s">
        <v>618</v>
      </c>
      <c r="F176" s="86" t="s">
        <v>326</v>
      </c>
      <c r="G176" s="86" t="s">
        <v>327</v>
      </c>
      <c r="H176" s="175" t="s">
        <v>619</v>
      </c>
      <c r="I176" s="35" t="s">
        <v>620</v>
      </c>
      <c r="J176" s="172"/>
      <c r="K176" s="25"/>
      <c r="L176" s="25"/>
      <c r="M176" s="26"/>
      <c r="N176" s="27"/>
      <c r="O176" s="25"/>
      <c r="P176" s="25"/>
      <c r="Q176" s="29" t="s">
        <v>282</v>
      </c>
      <c r="R176" s="25" t="s">
        <v>305</v>
      </c>
      <c r="S176" s="29"/>
      <c r="T176" s="30"/>
      <c r="U176" s="30"/>
      <c r="V176" s="30"/>
      <c r="W176" s="30"/>
      <c r="X176" s="30"/>
      <c r="Y176" s="30"/>
      <c r="Z176" s="30"/>
      <c r="AA176" s="30"/>
    </row>
    <row r="177" spans="1:27" ht="17.25" customHeight="1">
      <c r="A177" s="355" t="s">
        <v>621</v>
      </c>
      <c r="B177" s="350" t="s">
        <v>162</v>
      </c>
      <c r="C177" s="31">
        <v>1</v>
      </c>
      <c r="D177" s="355" t="s">
        <v>622</v>
      </c>
      <c r="E177" s="359" t="s">
        <v>623</v>
      </c>
      <c r="F177" s="350" t="s">
        <v>326</v>
      </c>
      <c r="G177" s="350" t="s">
        <v>327</v>
      </c>
      <c r="H177" s="356" t="s">
        <v>624</v>
      </c>
      <c r="I177" s="23" t="s">
        <v>625</v>
      </c>
      <c r="J177" s="170"/>
      <c r="K177" s="25"/>
      <c r="L177" s="25"/>
      <c r="M177" s="26"/>
      <c r="N177" s="27"/>
      <c r="O177" s="28" t="s">
        <v>140</v>
      </c>
      <c r="P177" s="28"/>
      <c r="Q177" s="29" t="s">
        <v>282</v>
      </c>
      <c r="R177" s="25"/>
      <c r="S177" s="29"/>
      <c r="T177" s="30"/>
      <c r="U177" s="30"/>
      <c r="V177" s="30"/>
      <c r="W177" s="30"/>
      <c r="X177" s="30"/>
      <c r="Y177" s="30"/>
      <c r="Z177" s="30"/>
      <c r="AA177" s="30"/>
    </row>
    <row r="178" spans="1:27" ht="15.75" customHeight="1">
      <c r="A178" s="344"/>
      <c r="B178" s="344"/>
      <c r="C178" s="31">
        <v>2</v>
      </c>
      <c r="D178" s="344"/>
      <c r="E178" s="344"/>
      <c r="F178" s="344"/>
      <c r="G178" s="344"/>
      <c r="H178" s="344"/>
      <c r="I178" s="23" t="s">
        <v>626</v>
      </c>
      <c r="J178" s="170"/>
      <c r="K178" s="25"/>
      <c r="L178" s="25"/>
      <c r="M178" s="26"/>
      <c r="N178" s="27"/>
      <c r="O178" s="28" t="s">
        <v>140</v>
      </c>
      <c r="P178" s="28"/>
      <c r="Q178" s="29" t="s">
        <v>282</v>
      </c>
      <c r="R178" s="25"/>
      <c r="S178" s="29"/>
      <c r="T178" s="30"/>
      <c r="U178" s="30"/>
      <c r="V178" s="30"/>
      <c r="W178" s="30"/>
      <c r="X178" s="30"/>
      <c r="Y178" s="30"/>
      <c r="Z178" s="30"/>
      <c r="AA178" s="30"/>
    </row>
    <row r="179" spans="1:27" ht="15.75" customHeight="1">
      <c r="A179" s="344"/>
      <c r="B179" s="344"/>
      <c r="C179" s="31">
        <v>3</v>
      </c>
      <c r="D179" s="344"/>
      <c r="E179" s="344"/>
      <c r="F179" s="344"/>
      <c r="G179" s="344"/>
      <c r="H179" s="344"/>
      <c r="I179" s="23" t="s">
        <v>627</v>
      </c>
      <c r="J179" s="170"/>
      <c r="K179" s="25" t="s">
        <v>294</v>
      </c>
      <c r="L179" s="25"/>
      <c r="M179" s="26"/>
      <c r="N179" s="27"/>
      <c r="O179" s="28" t="s">
        <v>140</v>
      </c>
      <c r="P179" s="28"/>
      <c r="Q179" s="29" t="s">
        <v>140</v>
      </c>
      <c r="R179" s="25"/>
      <c r="S179" s="29"/>
      <c r="T179" s="30"/>
      <c r="U179" s="30"/>
      <c r="V179" s="30"/>
      <c r="W179" s="30"/>
      <c r="X179" s="30"/>
      <c r="Y179" s="30"/>
      <c r="Z179" s="30"/>
      <c r="AA179" s="30"/>
    </row>
    <row r="180" spans="1:27" ht="15.75" customHeight="1">
      <c r="A180" s="344"/>
      <c r="B180" s="344"/>
      <c r="C180" s="31">
        <v>4</v>
      </c>
      <c r="D180" s="344"/>
      <c r="E180" s="345"/>
      <c r="F180" s="345"/>
      <c r="G180" s="345"/>
      <c r="H180" s="345"/>
      <c r="I180" s="23" t="s">
        <v>628</v>
      </c>
      <c r="J180" s="170"/>
      <c r="K180" s="25" t="s">
        <v>294</v>
      </c>
      <c r="L180" s="25"/>
      <c r="M180" s="26"/>
      <c r="N180" s="27"/>
      <c r="O180" s="28" t="s">
        <v>140</v>
      </c>
      <c r="P180" s="28"/>
      <c r="Q180" s="29" t="s">
        <v>140</v>
      </c>
      <c r="R180" s="25"/>
      <c r="S180" s="29"/>
      <c r="T180" s="30"/>
      <c r="U180" s="30"/>
      <c r="V180" s="30"/>
      <c r="W180" s="30"/>
      <c r="X180" s="30"/>
      <c r="Y180" s="30"/>
      <c r="Z180" s="30"/>
      <c r="AA180" s="30"/>
    </row>
    <row r="181" spans="1:27" ht="16.5" customHeight="1">
      <c r="A181" s="344"/>
      <c r="B181" s="344"/>
      <c r="C181" s="31">
        <v>5</v>
      </c>
      <c r="D181" s="344"/>
      <c r="E181" s="359" t="s">
        <v>629</v>
      </c>
      <c r="F181" s="350" t="s">
        <v>326</v>
      </c>
      <c r="G181" s="350" t="s">
        <v>327</v>
      </c>
      <c r="H181" s="356" t="s">
        <v>624</v>
      </c>
      <c r="I181" s="23" t="s">
        <v>630</v>
      </c>
      <c r="J181" s="170"/>
      <c r="K181" s="25"/>
      <c r="L181" s="25"/>
      <c r="M181" s="26"/>
      <c r="N181" s="27"/>
      <c r="O181" s="25"/>
      <c r="P181" s="25"/>
      <c r="Q181" s="29" t="s">
        <v>282</v>
      </c>
      <c r="R181" s="25"/>
      <c r="S181" s="29"/>
      <c r="T181" s="30"/>
      <c r="U181" s="30"/>
      <c r="V181" s="30"/>
      <c r="W181" s="30"/>
      <c r="X181" s="30"/>
      <c r="Y181" s="30"/>
      <c r="Z181" s="30"/>
      <c r="AA181" s="30"/>
    </row>
    <row r="182" spans="1:27" ht="15.75" customHeight="1">
      <c r="A182" s="344"/>
      <c r="B182" s="344"/>
      <c r="C182" s="31">
        <v>6</v>
      </c>
      <c r="D182" s="344"/>
      <c r="E182" s="344"/>
      <c r="F182" s="344"/>
      <c r="G182" s="344"/>
      <c r="H182" s="344"/>
      <c r="I182" s="23" t="s">
        <v>626</v>
      </c>
      <c r="J182" s="170"/>
      <c r="K182" s="25"/>
      <c r="L182" s="25"/>
      <c r="M182" s="26"/>
      <c r="N182" s="27"/>
      <c r="O182" s="25"/>
      <c r="P182" s="25"/>
      <c r="Q182" s="29" t="s">
        <v>282</v>
      </c>
      <c r="R182" s="25"/>
      <c r="S182" s="29"/>
      <c r="T182" s="30"/>
      <c r="U182" s="30"/>
      <c r="V182" s="30"/>
      <c r="W182" s="30"/>
      <c r="X182" s="30"/>
      <c r="Y182" s="30"/>
      <c r="Z182" s="30"/>
      <c r="AA182" s="30"/>
    </row>
    <row r="183" spans="1:27" ht="15.75" customHeight="1">
      <c r="A183" s="344"/>
      <c r="B183" s="344"/>
      <c r="C183" s="31">
        <v>7</v>
      </c>
      <c r="D183" s="344"/>
      <c r="E183" s="344"/>
      <c r="F183" s="344"/>
      <c r="G183" s="344"/>
      <c r="H183" s="344"/>
      <c r="I183" s="23" t="s">
        <v>631</v>
      </c>
      <c r="J183" s="170"/>
      <c r="K183" s="25" t="s">
        <v>294</v>
      </c>
      <c r="L183" s="25"/>
      <c r="M183" s="26"/>
      <c r="N183" s="27"/>
      <c r="O183" s="25"/>
      <c r="P183" s="25"/>
      <c r="Q183" s="29" t="s">
        <v>140</v>
      </c>
      <c r="R183" s="25"/>
      <c r="S183" s="29"/>
      <c r="T183" s="30"/>
      <c r="U183" s="30"/>
      <c r="V183" s="30"/>
      <c r="W183" s="30"/>
      <c r="X183" s="30"/>
      <c r="Y183" s="30"/>
      <c r="Z183" s="30"/>
      <c r="AA183" s="30"/>
    </row>
    <row r="184" spans="1:27" ht="15.75" customHeight="1">
      <c r="A184" s="344"/>
      <c r="B184" s="344"/>
      <c r="C184" s="31">
        <v>8</v>
      </c>
      <c r="D184" s="344"/>
      <c r="E184" s="345"/>
      <c r="F184" s="345"/>
      <c r="G184" s="345"/>
      <c r="H184" s="345"/>
      <c r="I184" s="23" t="s">
        <v>632</v>
      </c>
      <c r="J184" s="170"/>
      <c r="K184" s="25" t="s">
        <v>294</v>
      </c>
      <c r="L184" s="25"/>
      <c r="M184" s="26"/>
      <c r="N184" s="27"/>
      <c r="O184" s="25"/>
      <c r="P184" s="25"/>
      <c r="Q184" s="29" t="s">
        <v>140</v>
      </c>
      <c r="R184" s="25"/>
      <c r="S184" s="29"/>
      <c r="T184" s="30"/>
      <c r="U184" s="30"/>
      <c r="V184" s="30"/>
      <c r="W184" s="30"/>
      <c r="X184" s="30"/>
      <c r="Y184" s="30"/>
      <c r="Z184" s="30"/>
      <c r="AA184" s="30"/>
    </row>
    <row r="185" spans="1:27" ht="16.5" customHeight="1">
      <c r="A185" s="344"/>
      <c r="B185" s="344"/>
      <c r="C185" s="31">
        <v>9</v>
      </c>
      <c r="D185" s="344"/>
      <c r="E185" s="359" t="s">
        <v>633</v>
      </c>
      <c r="F185" s="350" t="s">
        <v>326</v>
      </c>
      <c r="G185" s="350" t="s">
        <v>327</v>
      </c>
      <c r="H185" s="356" t="s">
        <v>624</v>
      </c>
      <c r="I185" s="23" t="s">
        <v>634</v>
      </c>
      <c r="J185" s="170"/>
      <c r="K185" s="25"/>
      <c r="L185" s="25"/>
      <c r="M185" s="26"/>
      <c r="N185" s="27"/>
      <c r="O185" s="25"/>
      <c r="P185" s="25"/>
      <c r="Q185" s="29" t="s">
        <v>282</v>
      </c>
      <c r="R185" s="25"/>
      <c r="S185" s="29"/>
      <c r="T185" s="30"/>
      <c r="U185" s="30"/>
      <c r="V185" s="30"/>
      <c r="W185" s="30"/>
      <c r="X185" s="30"/>
      <c r="Y185" s="30"/>
      <c r="Z185" s="30"/>
      <c r="AA185" s="30"/>
    </row>
    <row r="186" spans="1:27" ht="15.75" customHeight="1">
      <c r="A186" s="344"/>
      <c r="B186" s="344"/>
      <c r="C186" s="31">
        <v>10</v>
      </c>
      <c r="D186" s="344"/>
      <c r="E186" s="344"/>
      <c r="F186" s="344"/>
      <c r="G186" s="344"/>
      <c r="H186" s="344"/>
      <c r="I186" s="23" t="s">
        <v>626</v>
      </c>
      <c r="J186" s="170"/>
      <c r="K186" s="25"/>
      <c r="L186" s="25"/>
      <c r="M186" s="26"/>
      <c r="N186" s="27"/>
      <c r="O186" s="25"/>
      <c r="P186" s="25"/>
      <c r="Q186" s="29" t="s">
        <v>282</v>
      </c>
      <c r="R186" s="25"/>
      <c r="S186" s="29"/>
      <c r="T186" s="30"/>
      <c r="U186" s="30"/>
      <c r="V186" s="30"/>
      <c r="W186" s="30"/>
      <c r="X186" s="30"/>
      <c r="Y186" s="30"/>
      <c r="Z186" s="30"/>
      <c r="AA186" s="30"/>
    </row>
    <row r="187" spans="1:27" ht="15.75" customHeight="1">
      <c r="A187" s="344"/>
      <c r="B187" s="344"/>
      <c r="C187" s="31">
        <v>11</v>
      </c>
      <c r="D187" s="344"/>
      <c r="E187" s="344"/>
      <c r="F187" s="344"/>
      <c r="G187" s="344"/>
      <c r="H187" s="344"/>
      <c r="I187" s="23" t="s">
        <v>635</v>
      </c>
      <c r="J187" s="170"/>
      <c r="K187" s="25" t="s">
        <v>294</v>
      </c>
      <c r="L187" s="25"/>
      <c r="M187" s="26"/>
      <c r="N187" s="27"/>
      <c r="O187" s="25"/>
      <c r="P187" s="25"/>
      <c r="Q187" s="29" t="s">
        <v>140</v>
      </c>
      <c r="R187" s="25"/>
      <c r="S187" s="29"/>
      <c r="T187" s="30"/>
      <c r="U187" s="30"/>
      <c r="V187" s="30"/>
      <c r="W187" s="30"/>
      <c r="X187" s="30"/>
      <c r="Y187" s="30"/>
      <c r="Z187" s="30"/>
      <c r="AA187" s="30"/>
    </row>
    <row r="188" spans="1:27" ht="15.75" customHeight="1">
      <c r="A188" s="345"/>
      <c r="B188" s="345"/>
      <c r="C188" s="31">
        <v>12</v>
      </c>
      <c r="D188" s="345"/>
      <c r="E188" s="345"/>
      <c r="F188" s="345"/>
      <c r="G188" s="345"/>
      <c r="H188" s="345"/>
      <c r="I188" s="23" t="s">
        <v>636</v>
      </c>
      <c r="J188" s="170"/>
      <c r="K188" s="25" t="s">
        <v>294</v>
      </c>
      <c r="L188" s="25"/>
      <c r="M188" s="26"/>
      <c r="N188" s="27"/>
      <c r="O188" s="25"/>
      <c r="P188" s="25"/>
      <c r="Q188" s="29" t="s">
        <v>140</v>
      </c>
      <c r="R188" s="25"/>
      <c r="S188" s="29"/>
      <c r="T188" s="30"/>
      <c r="U188" s="30"/>
      <c r="V188" s="30"/>
      <c r="W188" s="30"/>
      <c r="X188" s="30"/>
      <c r="Y188" s="30"/>
      <c r="Z188" s="30"/>
      <c r="AA188" s="30"/>
    </row>
    <row r="189" spans="1:27" ht="16.5" customHeight="1">
      <c r="A189" s="355" t="s">
        <v>637</v>
      </c>
      <c r="B189" s="350" t="s">
        <v>163</v>
      </c>
      <c r="C189" s="31">
        <v>1</v>
      </c>
      <c r="D189" s="355" t="s">
        <v>638</v>
      </c>
      <c r="E189" s="359" t="s">
        <v>639</v>
      </c>
      <c r="F189" s="350" t="s">
        <v>326</v>
      </c>
      <c r="G189" s="350" t="s">
        <v>327</v>
      </c>
      <c r="H189" s="356" t="s">
        <v>624</v>
      </c>
      <c r="I189" s="23" t="s">
        <v>630</v>
      </c>
      <c r="J189" s="170"/>
      <c r="K189" s="25"/>
      <c r="L189" s="25"/>
      <c r="M189" s="26"/>
      <c r="N189" s="27"/>
      <c r="O189" s="25"/>
      <c r="P189" s="25"/>
      <c r="Q189" s="29" t="s">
        <v>282</v>
      </c>
      <c r="R189" s="25"/>
      <c r="S189" s="29"/>
      <c r="T189" s="30"/>
      <c r="U189" s="30"/>
      <c r="V189" s="30"/>
      <c r="W189" s="30"/>
      <c r="X189" s="30"/>
      <c r="Y189" s="30"/>
      <c r="Z189" s="30"/>
      <c r="AA189" s="30"/>
    </row>
    <row r="190" spans="1:27" ht="15.75" customHeight="1">
      <c r="A190" s="344"/>
      <c r="B190" s="344"/>
      <c r="C190" s="31">
        <v>2</v>
      </c>
      <c r="D190" s="344"/>
      <c r="E190" s="344"/>
      <c r="F190" s="344"/>
      <c r="G190" s="344"/>
      <c r="H190" s="344"/>
      <c r="I190" s="23" t="s">
        <v>640</v>
      </c>
      <c r="J190" s="170"/>
      <c r="K190" s="25"/>
      <c r="L190" s="25"/>
      <c r="M190" s="26"/>
      <c r="N190" s="27"/>
      <c r="O190" s="25"/>
      <c r="P190" s="25"/>
      <c r="Q190" s="29" t="s">
        <v>282</v>
      </c>
      <c r="R190" s="25"/>
      <c r="S190" s="29"/>
      <c r="T190" s="30"/>
      <c r="U190" s="30"/>
      <c r="V190" s="30"/>
      <c r="W190" s="30"/>
      <c r="X190" s="30"/>
      <c r="Y190" s="30"/>
      <c r="Z190" s="30"/>
      <c r="AA190" s="30"/>
    </row>
    <row r="191" spans="1:27" ht="15.75" customHeight="1">
      <c r="A191" s="344"/>
      <c r="B191" s="344"/>
      <c r="C191" s="31">
        <v>3</v>
      </c>
      <c r="D191" s="344"/>
      <c r="E191" s="344"/>
      <c r="F191" s="344"/>
      <c r="G191" s="344"/>
      <c r="H191" s="344"/>
      <c r="I191" s="23" t="s">
        <v>627</v>
      </c>
      <c r="J191" s="170"/>
      <c r="K191" s="25" t="s">
        <v>294</v>
      </c>
      <c r="L191" s="25"/>
      <c r="M191" s="26"/>
      <c r="N191" s="27"/>
      <c r="O191" s="25"/>
      <c r="P191" s="25"/>
      <c r="Q191" s="29" t="s">
        <v>140</v>
      </c>
      <c r="R191" s="25"/>
      <c r="S191" s="29"/>
      <c r="T191" s="30"/>
      <c r="U191" s="30"/>
      <c r="V191" s="30"/>
      <c r="W191" s="30"/>
      <c r="X191" s="30"/>
      <c r="Y191" s="30"/>
      <c r="Z191" s="30"/>
      <c r="AA191" s="30"/>
    </row>
    <row r="192" spans="1:27" ht="15.75" customHeight="1">
      <c r="A192" s="344"/>
      <c r="B192" s="344"/>
      <c r="C192" s="31">
        <v>4</v>
      </c>
      <c r="D192" s="344"/>
      <c r="E192" s="345"/>
      <c r="F192" s="345"/>
      <c r="G192" s="345"/>
      <c r="H192" s="345"/>
      <c r="I192" s="23" t="s">
        <v>628</v>
      </c>
      <c r="J192" s="170"/>
      <c r="K192" s="25" t="s">
        <v>294</v>
      </c>
      <c r="L192" s="25"/>
      <c r="M192" s="26"/>
      <c r="N192" s="27"/>
      <c r="O192" s="25"/>
      <c r="P192" s="25"/>
      <c r="Q192" s="29" t="s">
        <v>140</v>
      </c>
      <c r="R192" s="25"/>
      <c r="S192" s="29"/>
      <c r="T192" s="30"/>
      <c r="U192" s="30"/>
      <c r="V192" s="30"/>
      <c r="W192" s="30"/>
      <c r="X192" s="30"/>
      <c r="Y192" s="30"/>
      <c r="Z192" s="30"/>
      <c r="AA192" s="30"/>
    </row>
    <row r="193" spans="1:27" ht="16.5" customHeight="1">
      <c r="A193" s="344"/>
      <c r="B193" s="344"/>
      <c r="C193" s="31">
        <v>5</v>
      </c>
      <c r="D193" s="344"/>
      <c r="E193" s="359" t="s">
        <v>641</v>
      </c>
      <c r="F193" s="350" t="s">
        <v>326</v>
      </c>
      <c r="G193" s="350" t="s">
        <v>327</v>
      </c>
      <c r="H193" s="356" t="s">
        <v>624</v>
      </c>
      <c r="I193" s="23" t="s">
        <v>634</v>
      </c>
      <c r="J193" s="170"/>
      <c r="K193" s="25"/>
      <c r="L193" s="25"/>
      <c r="M193" s="26"/>
      <c r="N193" s="27"/>
      <c r="O193" s="25"/>
      <c r="P193" s="25"/>
      <c r="Q193" s="29" t="s">
        <v>282</v>
      </c>
      <c r="R193" s="25"/>
      <c r="S193" s="29"/>
      <c r="T193" s="30"/>
      <c r="U193" s="30"/>
      <c r="V193" s="30"/>
      <c r="W193" s="30"/>
      <c r="X193" s="30"/>
      <c r="Y193" s="30"/>
      <c r="Z193" s="30"/>
      <c r="AA193" s="30"/>
    </row>
    <row r="194" spans="1:27" ht="15.75" customHeight="1">
      <c r="A194" s="344"/>
      <c r="B194" s="344"/>
      <c r="C194" s="31">
        <v>6</v>
      </c>
      <c r="D194" s="344"/>
      <c r="E194" s="344"/>
      <c r="F194" s="344"/>
      <c r="G194" s="344"/>
      <c r="H194" s="344"/>
      <c r="I194" s="23" t="s">
        <v>640</v>
      </c>
      <c r="J194" s="170"/>
      <c r="K194" s="25"/>
      <c r="L194" s="25"/>
      <c r="M194" s="26"/>
      <c r="N194" s="27"/>
      <c r="O194" s="25"/>
      <c r="P194" s="25"/>
      <c r="Q194" s="29" t="s">
        <v>282</v>
      </c>
      <c r="R194" s="25"/>
      <c r="S194" s="29"/>
      <c r="T194" s="30"/>
      <c r="U194" s="30"/>
      <c r="V194" s="30"/>
      <c r="W194" s="30"/>
      <c r="X194" s="30"/>
      <c r="Y194" s="30"/>
      <c r="Z194" s="30"/>
      <c r="AA194" s="30"/>
    </row>
    <row r="195" spans="1:27" ht="15.75" customHeight="1">
      <c r="A195" s="344"/>
      <c r="B195" s="344"/>
      <c r="C195" s="31">
        <v>7</v>
      </c>
      <c r="D195" s="344"/>
      <c r="E195" s="344"/>
      <c r="F195" s="344"/>
      <c r="G195" s="344"/>
      <c r="H195" s="344"/>
      <c r="I195" s="23" t="s">
        <v>631</v>
      </c>
      <c r="J195" s="170"/>
      <c r="K195" s="25" t="s">
        <v>294</v>
      </c>
      <c r="L195" s="25"/>
      <c r="M195" s="26"/>
      <c r="N195" s="27"/>
      <c r="O195" s="25"/>
      <c r="P195" s="25"/>
      <c r="Q195" s="29" t="s">
        <v>140</v>
      </c>
      <c r="R195" s="25"/>
      <c r="S195" s="29"/>
      <c r="T195" s="30"/>
      <c r="U195" s="30"/>
      <c r="V195" s="30"/>
      <c r="W195" s="30"/>
      <c r="X195" s="30"/>
      <c r="Y195" s="30"/>
      <c r="Z195" s="30"/>
      <c r="AA195" s="30"/>
    </row>
    <row r="196" spans="1:27" ht="15.75" customHeight="1">
      <c r="A196" s="344"/>
      <c r="B196" s="344"/>
      <c r="C196" s="31">
        <v>8</v>
      </c>
      <c r="D196" s="344"/>
      <c r="E196" s="345"/>
      <c r="F196" s="345"/>
      <c r="G196" s="345"/>
      <c r="H196" s="345"/>
      <c r="I196" s="23" t="s">
        <v>632</v>
      </c>
      <c r="J196" s="170"/>
      <c r="K196" s="25" t="s">
        <v>294</v>
      </c>
      <c r="L196" s="25"/>
      <c r="M196" s="26"/>
      <c r="N196" s="27"/>
      <c r="O196" s="25"/>
      <c r="P196" s="25"/>
      <c r="Q196" s="29" t="s">
        <v>140</v>
      </c>
      <c r="R196" s="25"/>
      <c r="S196" s="29"/>
      <c r="T196" s="30"/>
      <c r="U196" s="30"/>
      <c r="V196" s="30"/>
      <c r="W196" s="30"/>
      <c r="X196" s="30"/>
      <c r="Y196" s="30"/>
      <c r="Z196" s="30"/>
      <c r="AA196" s="30"/>
    </row>
    <row r="197" spans="1:27" ht="16.5" customHeight="1">
      <c r="A197" s="344"/>
      <c r="B197" s="344"/>
      <c r="C197" s="31">
        <v>9</v>
      </c>
      <c r="D197" s="344"/>
      <c r="E197" s="359" t="s">
        <v>642</v>
      </c>
      <c r="F197" s="350" t="s">
        <v>326</v>
      </c>
      <c r="G197" s="350" t="s">
        <v>327</v>
      </c>
      <c r="H197" s="356" t="s">
        <v>624</v>
      </c>
      <c r="I197" s="23" t="s">
        <v>643</v>
      </c>
      <c r="J197" s="170"/>
      <c r="K197" s="25"/>
      <c r="L197" s="25"/>
      <c r="M197" s="26"/>
      <c r="N197" s="27"/>
      <c r="O197" s="25"/>
      <c r="P197" s="25"/>
      <c r="Q197" s="29" t="s">
        <v>282</v>
      </c>
      <c r="R197" s="25"/>
      <c r="S197" s="29"/>
      <c r="T197" s="30"/>
      <c r="U197" s="30"/>
      <c r="V197" s="30"/>
      <c r="W197" s="30"/>
      <c r="X197" s="30"/>
      <c r="Y197" s="30"/>
      <c r="Z197" s="30"/>
      <c r="AA197" s="30"/>
    </row>
    <row r="198" spans="1:27" ht="15.75" customHeight="1">
      <c r="A198" s="344"/>
      <c r="B198" s="344"/>
      <c r="C198" s="31">
        <v>10</v>
      </c>
      <c r="D198" s="344"/>
      <c r="E198" s="344"/>
      <c r="F198" s="344"/>
      <c r="G198" s="344"/>
      <c r="H198" s="344"/>
      <c r="I198" s="23" t="s">
        <v>640</v>
      </c>
      <c r="J198" s="170"/>
      <c r="K198" s="25"/>
      <c r="L198" s="25"/>
      <c r="M198" s="26"/>
      <c r="N198" s="27"/>
      <c r="O198" s="25"/>
      <c r="P198" s="25"/>
      <c r="Q198" s="29" t="s">
        <v>282</v>
      </c>
      <c r="R198" s="25"/>
      <c r="S198" s="29"/>
      <c r="T198" s="30"/>
      <c r="U198" s="30"/>
      <c r="V198" s="30"/>
      <c r="W198" s="30"/>
      <c r="X198" s="30"/>
      <c r="Y198" s="30"/>
      <c r="Z198" s="30"/>
      <c r="AA198" s="30"/>
    </row>
    <row r="199" spans="1:27" ht="15.75" customHeight="1">
      <c r="A199" s="344"/>
      <c r="B199" s="344"/>
      <c r="C199" s="31">
        <v>11</v>
      </c>
      <c r="D199" s="344"/>
      <c r="E199" s="344"/>
      <c r="F199" s="344"/>
      <c r="G199" s="344"/>
      <c r="H199" s="344"/>
      <c r="I199" s="23" t="s">
        <v>635</v>
      </c>
      <c r="J199" s="170"/>
      <c r="K199" s="25" t="s">
        <v>294</v>
      </c>
      <c r="L199" s="25"/>
      <c r="M199" s="26"/>
      <c r="N199" s="27"/>
      <c r="O199" s="25"/>
      <c r="P199" s="25"/>
      <c r="Q199" s="29" t="s">
        <v>140</v>
      </c>
      <c r="R199" s="25"/>
      <c r="S199" s="29"/>
      <c r="T199" s="30"/>
      <c r="U199" s="30"/>
      <c r="V199" s="30"/>
      <c r="W199" s="30"/>
      <c r="X199" s="30"/>
      <c r="Y199" s="30"/>
      <c r="Z199" s="30"/>
      <c r="AA199" s="30"/>
    </row>
    <row r="200" spans="1:27" ht="15.75" customHeight="1">
      <c r="A200" s="345"/>
      <c r="B200" s="345"/>
      <c r="C200" s="31">
        <v>12</v>
      </c>
      <c r="D200" s="345"/>
      <c r="E200" s="345"/>
      <c r="F200" s="345"/>
      <c r="G200" s="345"/>
      <c r="H200" s="345"/>
      <c r="I200" s="23" t="s">
        <v>636</v>
      </c>
      <c r="J200" s="170"/>
      <c r="K200" s="25" t="s">
        <v>294</v>
      </c>
      <c r="L200" s="25"/>
      <c r="M200" s="26"/>
      <c r="N200" s="27"/>
      <c r="O200" s="25"/>
      <c r="P200" s="25"/>
      <c r="Q200" s="29" t="s">
        <v>140</v>
      </c>
      <c r="R200" s="25"/>
      <c r="S200" s="29"/>
      <c r="T200" s="30"/>
      <c r="U200" s="30"/>
      <c r="V200" s="30"/>
      <c r="W200" s="30"/>
      <c r="X200" s="30"/>
      <c r="Y200" s="30"/>
      <c r="Z200" s="30"/>
      <c r="AA200" s="30"/>
    </row>
    <row r="201" spans="1:27" ht="16.5" customHeight="1">
      <c r="A201" s="355" t="s">
        <v>644</v>
      </c>
      <c r="B201" s="350" t="s">
        <v>164</v>
      </c>
      <c r="C201" s="31">
        <v>1</v>
      </c>
      <c r="D201" s="355" t="s">
        <v>645</v>
      </c>
      <c r="E201" s="359" t="s">
        <v>646</v>
      </c>
      <c r="F201" s="350" t="s">
        <v>326</v>
      </c>
      <c r="G201" s="350" t="s">
        <v>327</v>
      </c>
      <c r="H201" s="356" t="s">
        <v>624</v>
      </c>
      <c r="I201" s="23" t="s">
        <v>634</v>
      </c>
      <c r="J201" s="170"/>
      <c r="K201" s="25"/>
      <c r="L201" s="25"/>
      <c r="M201" s="26"/>
      <c r="N201" s="27"/>
      <c r="O201" s="25"/>
      <c r="P201" s="25"/>
      <c r="Q201" s="29" t="s">
        <v>282</v>
      </c>
      <c r="R201" s="25"/>
      <c r="S201" s="29"/>
      <c r="T201" s="30"/>
      <c r="U201" s="30"/>
      <c r="V201" s="30"/>
      <c r="W201" s="30"/>
      <c r="X201" s="30"/>
      <c r="Y201" s="30"/>
      <c r="Z201" s="30"/>
      <c r="AA201" s="30"/>
    </row>
    <row r="202" spans="1:27" ht="15.75" customHeight="1">
      <c r="A202" s="344"/>
      <c r="B202" s="344"/>
      <c r="C202" s="31">
        <v>2</v>
      </c>
      <c r="D202" s="344"/>
      <c r="E202" s="344"/>
      <c r="F202" s="344"/>
      <c r="G202" s="344"/>
      <c r="H202" s="344"/>
      <c r="I202" s="23" t="s">
        <v>647</v>
      </c>
      <c r="J202" s="170"/>
      <c r="K202" s="25"/>
      <c r="L202" s="25"/>
      <c r="M202" s="26"/>
      <c r="N202" s="27"/>
      <c r="O202" s="25"/>
      <c r="P202" s="25"/>
      <c r="Q202" s="29" t="s">
        <v>282</v>
      </c>
      <c r="R202" s="25"/>
      <c r="S202" s="29"/>
      <c r="T202" s="30"/>
      <c r="U202" s="30"/>
      <c r="V202" s="30"/>
      <c r="W202" s="30"/>
      <c r="X202" s="30"/>
      <c r="Y202" s="30"/>
      <c r="Z202" s="30"/>
      <c r="AA202" s="30"/>
    </row>
    <row r="203" spans="1:27" ht="15.75" customHeight="1">
      <c r="A203" s="344"/>
      <c r="B203" s="344"/>
      <c r="C203" s="31">
        <v>3</v>
      </c>
      <c r="D203" s="344"/>
      <c r="E203" s="344"/>
      <c r="F203" s="344"/>
      <c r="G203" s="344"/>
      <c r="H203" s="344"/>
      <c r="I203" s="23" t="s">
        <v>627</v>
      </c>
      <c r="J203" s="170"/>
      <c r="K203" s="25" t="s">
        <v>294</v>
      </c>
      <c r="L203" s="25"/>
      <c r="M203" s="26"/>
      <c r="N203" s="27"/>
      <c r="O203" s="25"/>
      <c r="P203" s="25"/>
      <c r="Q203" s="29" t="s">
        <v>140</v>
      </c>
      <c r="R203" s="25"/>
      <c r="S203" s="29"/>
      <c r="T203" s="30"/>
      <c r="U203" s="30"/>
      <c r="V203" s="30"/>
      <c r="W203" s="30"/>
      <c r="X203" s="30"/>
      <c r="Y203" s="30"/>
      <c r="Z203" s="30"/>
      <c r="AA203" s="30"/>
    </row>
    <row r="204" spans="1:27" ht="15.75" customHeight="1">
      <c r="A204" s="344"/>
      <c r="B204" s="344"/>
      <c r="C204" s="31">
        <v>4</v>
      </c>
      <c r="D204" s="344"/>
      <c r="E204" s="345"/>
      <c r="F204" s="345"/>
      <c r="G204" s="345"/>
      <c r="H204" s="345"/>
      <c r="I204" s="23" t="s">
        <v>628</v>
      </c>
      <c r="J204" s="170"/>
      <c r="K204" s="25" t="s">
        <v>294</v>
      </c>
      <c r="L204" s="25"/>
      <c r="M204" s="26"/>
      <c r="N204" s="27"/>
      <c r="O204" s="25"/>
      <c r="P204" s="25"/>
      <c r="Q204" s="29" t="s">
        <v>140</v>
      </c>
      <c r="R204" s="25"/>
      <c r="S204" s="29"/>
      <c r="T204" s="30"/>
      <c r="U204" s="30"/>
      <c r="V204" s="30"/>
      <c r="W204" s="30"/>
      <c r="X204" s="30"/>
      <c r="Y204" s="30"/>
      <c r="Z204" s="30"/>
      <c r="AA204" s="30"/>
    </row>
    <row r="205" spans="1:27" ht="16.5" customHeight="1">
      <c r="A205" s="344"/>
      <c r="B205" s="344"/>
      <c r="C205" s="31">
        <v>5</v>
      </c>
      <c r="D205" s="344"/>
      <c r="E205" s="359" t="s">
        <v>648</v>
      </c>
      <c r="F205" s="350" t="s">
        <v>326</v>
      </c>
      <c r="G205" s="350" t="s">
        <v>327</v>
      </c>
      <c r="H205" s="356" t="s">
        <v>624</v>
      </c>
      <c r="I205" s="23" t="s">
        <v>643</v>
      </c>
      <c r="J205" s="170"/>
      <c r="K205" s="25"/>
      <c r="L205" s="25"/>
      <c r="M205" s="26"/>
      <c r="N205" s="27"/>
      <c r="O205" s="25"/>
      <c r="P205" s="25"/>
      <c r="Q205" s="29" t="s">
        <v>282</v>
      </c>
      <c r="R205" s="25"/>
      <c r="S205" s="29"/>
      <c r="T205" s="30"/>
      <c r="U205" s="30"/>
      <c r="V205" s="30"/>
      <c r="W205" s="30"/>
      <c r="X205" s="30"/>
      <c r="Y205" s="30"/>
      <c r="Z205" s="30"/>
      <c r="AA205" s="30"/>
    </row>
    <row r="206" spans="1:27" ht="15.75" customHeight="1">
      <c r="A206" s="344"/>
      <c r="B206" s="344"/>
      <c r="C206" s="31">
        <v>6</v>
      </c>
      <c r="D206" s="344"/>
      <c r="E206" s="344"/>
      <c r="F206" s="344"/>
      <c r="G206" s="344"/>
      <c r="H206" s="344"/>
      <c r="I206" s="23" t="s">
        <v>647</v>
      </c>
      <c r="J206" s="170"/>
      <c r="K206" s="25"/>
      <c r="L206" s="25"/>
      <c r="M206" s="26"/>
      <c r="N206" s="27"/>
      <c r="O206" s="25"/>
      <c r="P206" s="25"/>
      <c r="Q206" s="29" t="s">
        <v>282</v>
      </c>
      <c r="R206" s="25"/>
      <c r="S206" s="29"/>
      <c r="T206" s="30"/>
      <c r="U206" s="30"/>
      <c r="V206" s="30"/>
      <c r="W206" s="30"/>
      <c r="X206" s="30"/>
      <c r="Y206" s="30"/>
      <c r="Z206" s="30"/>
      <c r="AA206" s="30"/>
    </row>
    <row r="207" spans="1:27" ht="15.75" customHeight="1">
      <c r="A207" s="344"/>
      <c r="B207" s="344"/>
      <c r="C207" s="31">
        <v>7</v>
      </c>
      <c r="D207" s="344"/>
      <c r="E207" s="344"/>
      <c r="F207" s="344"/>
      <c r="G207" s="344"/>
      <c r="H207" s="344"/>
      <c r="I207" s="23" t="s">
        <v>631</v>
      </c>
      <c r="J207" s="170"/>
      <c r="K207" s="25" t="s">
        <v>294</v>
      </c>
      <c r="L207" s="25"/>
      <c r="M207" s="26"/>
      <c r="N207" s="27"/>
      <c r="O207" s="25"/>
      <c r="P207" s="25"/>
      <c r="Q207" s="29" t="s">
        <v>140</v>
      </c>
      <c r="R207" s="25"/>
      <c r="S207" s="29"/>
      <c r="T207" s="30"/>
      <c r="U207" s="30"/>
      <c r="V207" s="30"/>
      <c r="W207" s="30"/>
      <c r="X207" s="30"/>
      <c r="Y207" s="30"/>
      <c r="Z207" s="30"/>
      <c r="AA207" s="30"/>
    </row>
    <row r="208" spans="1:27" ht="15.75" customHeight="1">
      <c r="A208" s="344"/>
      <c r="B208" s="344"/>
      <c r="C208" s="31">
        <v>8</v>
      </c>
      <c r="D208" s="344"/>
      <c r="E208" s="345"/>
      <c r="F208" s="345"/>
      <c r="G208" s="345"/>
      <c r="H208" s="345"/>
      <c r="I208" s="23" t="s">
        <v>632</v>
      </c>
      <c r="J208" s="170"/>
      <c r="K208" s="25" t="s">
        <v>294</v>
      </c>
      <c r="L208" s="25"/>
      <c r="M208" s="26"/>
      <c r="N208" s="27"/>
      <c r="O208" s="25"/>
      <c r="P208" s="25"/>
      <c r="Q208" s="29" t="s">
        <v>140</v>
      </c>
      <c r="R208" s="25"/>
      <c r="S208" s="29"/>
      <c r="T208" s="30"/>
      <c r="U208" s="30"/>
      <c r="V208" s="30"/>
      <c r="W208" s="30"/>
      <c r="X208" s="30"/>
      <c r="Y208" s="30"/>
      <c r="Z208" s="30"/>
      <c r="AA208" s="30"/>
    </row>
    <row r="209" spans="1:27" ht="16.5" customHeight="1">
      <c r="A209" s="344"/>
      <c r="B209" s="344"/>
      <c r="C209" s="31">
        <v>9</v>
      </c>
      <c r="D209" s="344"/>
      <c r="E209" s="359" t="s">
        <v>649</v>
      </c>
      <c r="F209" s="350" t="s">
        <v>326</v>
      </c>
      <c r="G209" s="350" t="s">
        <v>327</v>
      </c>
      <c r="H209" s="356" t="s">
        <v>624</v>
      </c>
      <c r="I209" s="23" t="s">
        <v>650</v>
      </c>
      <c r="J209" s="170"/>
      <c r="K209" s="25"/>
      <c r="L209" s="25"/>
      <c r="M209" s="26"/>
      <c r="N209" s="27"/>
      <c r="O209" s="25" t="s">
        <v>140</v>
      </c>
      <c r="P209" s="25"/>
      <c r="Q209" s="29" t="s">
        <v>282</v>
      </c>
      <c r="R209" s="25"/>
      <c r="S209" s="29"/>
      <c r="T209" s="30"/>
      <c r="U209" s="30"/>
      <c r="V209" s="30"/>
      <c r="W209" s="30"/>
      <c r="X209" s="30"/>
      <c r="Y209" s="30"/>
      <c r="Z209" s="30"/>
      <c r="AA209" s="30"/>
    </row>
    <row r="210" spans="1:27" ht="15.75" customHeight="1">
      <c r="A210" s="344"/>
      <c r="B210" s="344"/>
      <c r="C210" s="31">
        <v>10</v>
      </c>
      <c r="D210" s="344"/>
      <c r="E210" s="344"/>
      <c r="F210" s="344"/>
      <c r="G210" s="344"/>
      <c r="H210" s="344"/>
      <c r="I210" s="23" t="s">
        <v>647</v>
      </c>
      <c r="J210" s="170"/>
      <c r="K210" s="25"/>
      <c r="L210" s="25"/>
      <c r="M210" s="26"/>
      <c r="N210" s="27"/>
      <c r="O210" s="25" t="s">
        <v>140</v>
      </c>
      <c r="P210" s="25"/>
      <c r="Q210" s="29" t="s">
        <v>282</v>
      </c>
      <c r="R210" s="25"/>
      <c r="S210" s="29"/>
      <c r="T210" s="30"/>
      <c r="U210" s="30"/>
      <c r="V210" s="30"/>
      <c r="W210" s="30"/>
      <c r="X210" s="30"/>
      <c r="Y210" s="30"/>
      <c r="Z210" s="30"/>
      <c r="AA210" s="30"/>
    </row>
    <row r="211" spans="1:27" ht="15.75" customHeight="1">
      <c r="A211" s="344"/>
      <c r="B211" s="344"/>
      <c r="C211" s="31">
        <v>11</v>
      </c>
      <c r="D211" s="344"/>
      <c r="E211" s="344"/>
      <c r="F211" s="344"/>
      <c r="G211" s="344"/>
      <c r="H211" s="344"/>
      <c r="I211" s="23" t="s">
        <v>635</v>
      </c>
      <c r="J211" s="170"/>
      <c r="K211" s="25" t="s">
        <v>294</v>
      </c>
      <c r="L211" s="25"/>
      <c r="M211" s="26"/>
      <c r="N211" s="27"/>
      <c r="O211" s="25" t="s">
        <v>140</v>
      </c>
      <c r="P211" s="25"/>
      <c r="Q211" s="29" t="s">
        <v>140</v>
      </c>
      <c r="R211" s="25"/>
      <c r="S211" s="29"/>
      <c r="T211" s="30"/>
      <c r="U211" s="30"/>
      <c r="V211" s="30"/>
      <c r="W211" s="30"/>
      <c r="X211" s="30"/>
      <c r="Y211" s="30"/>
      <c r="Z211" s="30"/>
      <c r="AA211" s="30"/>
    </row>
    <row r="212" spans="1:27" ht="15.75" customHeight="1">
      <c r="A212" s="345"/>
      <c r="B212" s="345"/>
      <c r="C212" s="31">
        <v>12</v>
      </c>
      <c r="D212" s="345"/>
      <c r="E212" s="345"/>
      <c r="F212" s="345"/>
      <c r="G212" s="345"/>
      <c r="H212" s="345"/>
      <c r="I212" s="23" t="s">
        <v>636</v>
      </c>
      <c r="J212" s="170"/>
      <c r="K212" s="25" t="s">
        <v>294</v>
      </c>
      <c r="L212" s="25"/>
      <c r="M212" s="26"/>
      <c r="N212" s="27"/>
      <c r="O212" s="25" t="s">
        <v>140</v>
      </c>
      <c r="P212" s="25"/>
      <c r="Q212" s="29" t="s">
        <v>140</v>
      </c>
      <c r="R212" s="25"/>
      <c r="S212" s="29"/>
      <c r="T212" s="30"/>
      <c r="U212" s="30"/>
      <c r="V212" s="30"/>
      <c r="W212" s="30"/>
      <c r="X212" s="30"/>
      <c r="Y212" s="30"/>
      <c r="Z212" s="30"/>
      <c r="AA212" s="30"/>
    </row>
    <row r="213" spans="1:27" ht="16.5" customHeight="1">
      <c r="A213" s="355" t="s">
        <v>651</v>
      </c>
      <c r="B213" s="350" t="s">
        <v>652</v>
      </c>
      <c r="C213" s="31">
        <v>1</v>
      </c>
      <c r="D213" s="355" t="s">
        <v>653</v>
      </c>
      <c r="E213" s="359" t="s">
        <v>654</v>
      </c>
      <c r="F213" s="350" t="s">
        <v>326</v>
      </c>
      <c r="G213" s="350" t="s">
        <v>327</v>
      </c>
      <c r="H213" s="356" t="s">
        <v>655</v>
      </c>
      <c r="I213" s="23" t="s">
        <v>627</v>
      </c>
      <c r="J213" s="170"/>
      <c r="K213" s="25" t="s">
        <v>294</v>
      </c>
      <c r="L213" s="25"/>
      <c r="M213" s="26"/>
      <c r="N213" s="27"/>
      <c r="O213" s="25"/>
      <c r="P213" s="25"/>
      <c r="Q213" s="29" t="s">
        <v>140</v>
      </c>
      <c r="R213" s="25"/>
      <c r="S213" s="29"/>
      <c r="T213" s="30"/>
      <c r="U213" s="30"/>
      <c r="V213" s="30"/>
      <c r="W213" s="30"/>
      <c r="X213" s="30"/>
      <c r="Y213" s="30"/>
      <c r="Z213" s="30"/>
      <c r="AA213" s="30"/>
    </row>
    <row r="214" spans="1:27" ht="15.75" customHeight="1">
      <c r="A214" s="344"/>
      <c r="B214" s="344"/>
      <c r="C214" s="31">
        <v>2</v>
      </c>
      <c r="D214" s="344"/>
      <c r="E214" s="345"/>
      <c r="F214" s="345"/>
      <c r="G214" s="345"/>
      <c r="H214" s="345"/>
      <c r="I214" s="23" t="s">
        <v>628</v>
      </c>
      <c r="J214" s="170"/>
      <c r="K214" s="25" t="s">
        <v>294</v>
      </c>
      <c r="L214" s="25"/>
      <c r="M214" s="26"/>
      <c r="N214" s="27"/>
      <c r="O214" s="25"/>
      <c r="P214" s="25"/>
      <c r="Q214" s="29" t="s">
        <v>140</v>
      </c>
      <c r="R214" s="25"/>
      <c r="S214" s="29"/>
      <c r="T214" s="30"/>
      <c r="U214" s="30"/>
      <c r="V214" s="30"/>
      <c r="W214" s="30"/>
      <c r="X214" s="30"/>
      <c r="Y214" s="30"/>
      <c r="Z214" s="30"/>
      <c r="AA214" s="30"/>
    </row>
    <row r="215" spans="1:27" ht="16.5" customHeight="1">
      <c r="A215" s="344"/>
      <c r="B215" s="344"/>
      <c r="C215" s="31">
        <v>3</v>
      </c>
      <c r="D215" s="344"/>
      <c r="E215" s="359" t="s">
        <v>656</v>
      </c>
      <c r="F215" s="350" t="s">
        <v>326</v>
      </c>
      <c r="G215" s="350" t="s">
        <v>327</v>
      </c>
      <c r="H215" s="356" t="s">
        <v>655</v>
      </c>
      <c r="I215" s="23" t="s">
        <v>627</v>
      </c>
      <c r="J215" s="170"/>
      <c r="K215" s="25" t="s">
        <v>294</v>
      </c>
      <c r="L215" s="25"/>
      <c r="M215" s="26"/>
      <c r="N215" s="27"/>
      <c r="O215" s="25"/>
      <c r="P215" s="25"/>
      <c r="Q215" s="29" t="s">
        <v>140</v>
      </c>
      <c r="R215" s="25"/>
      <c r="S215" s="29"/>
      <c r="T215" s="30"/>
      <c r="U215" s="30"/>
      <c r="V215" s="30"/>
      <c r="W215" s="30"/>
      <c r="X215" s="30"/>
      <c r="Y215" s="30"/>
      <c r="Z215" s="30"/>
      <c r="AA215" s="30"/>
    </row>
    <row r="216" spans="1:27" ht="15.75" customHeight="1">
      <c r="A216" s="344"/>
      <c r="B216" s="344"/>
      <c r="C216" s="31">
        <v>4</v>
      </c>
      <c r="D216" s="344"/>
      <c r="E216" s="345"/>
      <c r="F216" s="345"/>
      <c r="G216" s="345"/>
      <c r="H216" s="345"/>
      <c r="I216" s="23" t="s">
        <v>628</v>
      </c>
      <c r="J216" s="170"/>
      <c r="K216" s="25" t="s">
        <v>294</v>
      </c>
      <c r="L216" s="25"/>
      <c r="M216" s="26"/>
      <c r="N216" s="27"/>
      <c r="O216" s="25"/>
      <c r="P216" s="25"/>
      <c r="Q216" s="29" t="s">
        <v>140</v>
      </c>
      <c r="R216" s="25"/>
      <c r="S216" s="29"/>
      <c r="T216" s="30"/>
      <c r="U216" s="30"/>
      <c r="V216" s="30"/>
      <c r="W216" s="30"/>
      <c r="X216" s="30"/>
      <c r="Y216" s="30"/>
      <c r="Z216" s="30"/>
      <c r="AA216" s="30"/>
    </row>
    <row r="217" spans="1:27" ht="16.5" customHeight="1">
      <c r="A217" s="344"/>
      <c r="B217" s="344"/>
      <c r="C217" s="31">
        <v>5</v>
      </c>
      <c r="D217" s="344"/>
      <c r="E217" s="359" t="s">
        <v>657</v>
      </c>
      <c r="F217" s="350" t="s">
        <v>326</v>
      </c>
      <c r="G217" s="350" t="s">
        <v>327</v>
      </c>
      <c r="H217" s="356" t="s">
        <v>655</v>
      </c>
      <c r="I217" s="23" t="s">
        <v>627</v>
      </c>
      <c r="J217" s="170"/>
      <c r="K217" s="25" t="s">
        <v>294</v>
      </c>
      <c r="L217" s="25"/>
      <c r="M217" s="26"/>
      <c r="N217" s="27"/>
      <c r="O217" s="25"/>
      <c r="P217" s="25"/>
      <c r="Q217" s="29" t="s">
        <v>140</v>
      </c>
      <c r="R217" s="25"/>
      <c r="S217" s="29"/>
      <c r="T217" s="30"/>
      <c r="U217" s="30"/>
      <c r="V217" s="30"/>
      <c r="W217" s="30"/>
      <c r="X217" s="30"/>
      <c r="Y217" s="30"/>
      <c r="Z217" s="30"/>
      <c r="AA217" s="30"/>
    </row>
    <row r="218" spans="1:27" ht="15.75" customHeight="1">
      <c r="A218" s="344"/>
      <c r="B218" s="344"/>
      <c r="C218" s="31">
        <v>6</v>
      </c>
      <c r="D218" s="344"/>
      <c r="E218" s="345"/>
      <c r="F218" s="345"/>
      <c r="G218" s="345"/>
      <c r="H218" s="345"/>
      <c r="I218" s="23" t="s">
        <v>628</v>
      </c>
      <c r="J218" s="170"/>
      <c r="K218" s="25" t="s">
        <v>294</v>
      </c>
      <c r="L218" s="25"/>
      <c r="M218" s="26"/>
      <c r="N218" s="27"/>
      <c r="O218" s="25"/>
      <c r="P218" s="25"/>
      <c r="Q218" s="29" t="s">
        <v>140</v>
      </c>
      <c r="R218" s="25"/>
      <c r="S218" s="29"/>
      <c r="T218" s="30"/>
      <c r="U218" s="30"/>
      <c r="V218" s="30"/>
      <c r="W218" s="30"/>
      <c r="X218" s="30"/>
      <c r="Y218" s="30"/>
      <c r="Z218" s="30"/>
      <c r="AA218" s="30"/>
    </row>
    <row r="219" spans="1:27" ht="16.5" customHeight="1">
      <c r="A219" s="344"/>
      <c r="B219" s="344"/>
      <c r="C219" s="31">
        <v>7</v>
      </c>
      <c r="D219" s="344"/>
      <c r="E219" s="359" t="s">
        <v>658</v>
      </c>
      <c r="F219" s="350" t="s">
        <v>326</v>
      </c>
      <c r="G219" s="350" t="s">
        <v>327</v>
      </c>
      <c r="H219" s="356" t="s">
        <v>655</v>
      </c>
      <c r="I219" s="23" t="s">
        <v>627</v>
      </c>
      <c r="J219" s="170"/>
      <c r="K219" s="25" t="s">
        <v>294</v>
      </c>
      <c r="L219" s="25"/>
      <c r="M219" s="26"/>
      <c r="N219" s="27"/>
      <c r="O219" s="25"/>
      <c r="P219" s="25"/>
      <c r="Q219" s="29" t="s">
        <v>140</v>
      </c>
      <c r="R219" s="25"/>
      <c r="S219" s="29"/>
      <c r="T219" s="30"/>
      <c r="U219" s="30"/>
      <c r="V219" s="30"/>
      <c r="W219" s="30"/>
      <c r="X219" s="30"/>
      <c r="Y219" s="30"/>
      <c r="Z219" s="30"/>
      <c r="AA219" s="30"/>
    </row>
    <row r="220" spans="1:27" ht="15.75" customHeight="1">
      <c r="A220" s="344"/>
      <c r="B220" s="344"/>
      <c r="C220" s="31">
        <v>8</v>
      </c>
      <c r="D220" s="344"/>
      <c r="E220" s="345"/>
      <c r="F220" s="345"/>
      <c r="G220" s="345"/>
      <c r="H220" s="345"/>
      <c r="I220" s="23" t="s">
        <v>628</v>
      </c>
      <c r="J220" s="170"/>
      <c r="K220" s="25" t="s">
        <v>294</v>
      </c>
      <c r="L220" s="25"/>
      <c r="M220" s="26"/>
      <c r="N220" s="27"/>
      <c r="O220" s="25"/>
      <c r="P220" s="25"/>
      <c r="Q220" s="29" t="s">
        <v>140</v>
      </c>
      <c r="R220" s="25"/>
      <c r="S220" s="29"/>
      <c r="T220" s="30"/>
      <c r="U220" s="30"/>
      <c r="V220" s="30"/>
      <c r="W220" s="30"/>
      <c r="X220" s="30"/>
      <c r="Y220" s="30"/>
      <c r="Z220" s="30"/>
      <c r="AA220" s="30"/>
    </row>
    <row r="221" spans="1:27" ht="16.5" customHeight="1">
      <c r="A221" s="344"/>
      <c r="B221" s="344"/>
      <c r="C221" s="31">
        <v>9</v>
      </c>
      <c r="D221" s="344"/>
      <c r="E221" s="359" t="s">
        <v>659</v>
      </c>
      <c r="F221" s="350" t="s">
        <v>326</v>
      </c>
      <c r="G221" s="350" t="s">
        <v>327</v>
      </c>
      <c r="H221" s="356" t="s">
        <v>655</v>
      </c>
      <c r="I221" s="23" t="s">
        <v>627</v>
      </c>
      <c r="J221" s="170"/>
      <c r="K221" s="25" t="s">
        <v>294</v>
      </c>
      <c r="L221" s="25"/>
      <c r="M221" s="26"/>
      <c r="N221" s="27"/>
      <c r="O221" s="25"/>
      <c r="P221" s="25"/>
      <c r="Q221" s="29" t="s">
        <v>140</v>
      </c>
      <c r="R221" s="25"/>
      <c r="S221" s="29"/>
      <c r="T221" s="30"/>
      <c r="U221" s="30"/>
      <c r="V221" s="30"/>
      <c r="W221" s="30"/>
      <c r="X221" s="30"/>
      <c r="Y221" s="30"/>
      <c r="Z221" s="30"/>
      <c r="AA221" s="30"/>
    </row>
    <row r="222" spans="1:27" ht="15.75" customHeight="1">
      <c r="A222" s="345"/>
      <c r="B222" s="345"/>
      <c r="C222" s="31">
        <v>10</v>
      </c>
      <c r="D222" s="345"/>
      <c r="E222" s="345"/>
      <c r="F222" s="345"/>
      <c r="G222" s="345"/>
      <c r="H222" s="345"/>
      <c r="I222" s="23" t="s">
        <v>628</v>
      </c>
      <c r="J222" s="170"/>
      <c r="K222" s="25" t="s">
        <v>294</v>
      </c>
      <c r="L222" s="25"/>
      <c r="M222" s="26"/>
      <c r="N222" s="27"/>
      <c r="O222" s="25"/>
      <c r="P222" s="25"/>
      <c r="Q222" s="29" t="s">
        <v>140</v>
      </c>
      <c r="R222" s="25"/>
      <c r="S222" s="29"/>
      <c r="T222" s="30"/>
      <c r="U222" s="30"/>
      <c r="V222" s="30"/>
      <c r="W222" s="30"/>
      <c r="X222" s="30"/>
      <c r="Y222" s="30"/>
      <c r="Z222" s="30"/>
      <c r="AA222" s="30"/>
    </row>
    <row r="223" spans="1:27" ht="15.75" customHeight="1">
      <c r="A223" s="15" t="s">
        <v>660</v>
      </c>
      <c r="B223" s="16"/>
      <c r="C223" s="16"/>
      <c r="D223" s="17"/>
      <c r="E223" s="18"/>
      <c r="F223" s="19"/>
      <c r="G223" s="19"/>
      <c r="H223" s="17"/>
      <c r="I223" s="20"/>
      <c r="J223" s="20"/>
      <c r="K223" s="16"/>
      <c r="L223" s="16"/>
      <c r="M223" s="16"/>
      <c r="N223" s="3"/>
      <c r="O223" s="16"/>
      <c r="P223" s="16"/>
      <c r="Q223" s="16"/>
      <c r="R223" s="16"/>
      <c r="S223" s="16"/>
    </row>
    <row r="224" spans="1:27" ht="15.75" customHeight="1">
      <c r="A224" s="355" t="s">
        <v>661</v>
      </c>
      <c r="B224" s="350" t="s">
        <v>662</v>
      </c>
      <c r="C224" s="31">
        <v>1</v>
      </c>
      <c r="D224" s="355" t="s">
        <v>663</v>
      </c>
      <c r="E224" s="355" t="s">
        <v>561</v>
      </c>
      <c r="F224" s="350" t="s">
        <v>326</v>
      </c>
      <c r="G224" s="350" t="s">
        <v>327</v>
      </c>
      <c r="H224" s="23" t="s">
        <v>664</v>
      </c>
      <c r="I224" s="23" t="s">
        <v>665</v>
      </c>
      <c r="J224" s="170"/>
      <c r="K224" s="25" t="s">
        <v>294</v>
      </c>
      <c r="L224" s="25"/>
      <c r="M224" s="26"/>
      <c r="N224" s="27"/>
      <c r="O224" s="25" t="s">
        <v>140</v>
      </c>
      <c r="P224" s="25"/>
      <c r="Q224" s="29" t="s">
        <v>140</v>
      </c>
      <c r="R224" s="25"/>
      <c r="S224" s="29"/>
      <c r="T224" s="30"/>
      <c r="U224" s="30"/>
      <c r="V224" s="30"/>
      <c r="W224" s="30"/>
      <c r="X224" s="30"/>
      <c r="Y224" s="30"/>
      <c r="Z224" s="30"/>
      <c r="AA224" s="30"/>
    </row>
    <row r="225" spans="1:27" ht="16.5" customHeight="1">
      <c r="A225" s="344"/>
      <c r="B225" s="344"/>
      <c r="C225" s="31">
        <v>2</v>
      </c>
      <c r="D225" s="344"/>
      <c r="E225" s="344"/>
      <c r="F225" s="344"/>
      <c r="G225" s="344"/>
      <c r="H225" s="23" t="s">
        <v>336</v>
      </c>
      <c r="I225" s="23" t="s">
        <v>337</v>
      </c>
      <c r="J225" s="170"/>
      <c r="K225" s="25"/>
      <c r="L225" s="25"/>
      <c r="M225" s="26"/>
      <c r="N225" s="27"/>
      <c r="O225" s="25" t="s">
        <v>140</v>
      </c>
      <c r="P225" s="25"/>
      <c r="Q225" s="29" t="s">
        <v>282</v>
      </c>
      <c r="R225" s="25"/>
      <c r="S225" s="29"/>
      <c r="T225" s="30"/>
      <c r="U225" s="30"/>
      <c r="V225" s="30"/>
      <c r="W225" s="30"/>
      <c r="X225" s="30"/>
      <c r="Y225" s="30"/>
      <c r="Z225" s="30"/>
      <c r="AA225" s="30"/>
    </row>
    <row r="226" spans="1:27" ht="16.5" customHeight="1">
      <c r="A226" s="344"/>
      <c r="B226" s="344"/>
      <c r="C226" s="31">
        <v>3</v>
      </c>
      <c r="D226" s="344"/>
      <c r="E226" s="345"/>
      <c r="F226" s="345"/>
      <c r="G226" s="345"/>
      <c r="H226" s="23" t="s">
        <v>338</v>
      </c>
      <c r="I226" s="23" t="s">
        <v>339</v>
      </c>
      <c r="J226" s="170"/>
      <c r="K226" s="25" t="s">
        <v>294</v>
      </c>
      <c r="L226" s="25"/>
      <c r="M226" s="26"/>
      <c r="N226" s="27"/>
      <c r="O226" s="25" t="s">
        <v>140</v>
      </c>
      <c r="P226" s="25"/>
      <c r="Q226" s="29" t="s">
        <v>140</v>
      </c>
      <c r="R226" s="25"/>
      <c r="S226" s="29"/>
      <c r="T226" s="30"/>
      <c r="U226" s="30"/>
      <c r="V226" s="30"/>
      <c r="W226" s="30"/>
      <c r="X226" s="30"/>
      <c r="Y226" s="30"/>
      <c r="Z226" s="30"/>
      <c r="AA226" s="30"/>
    </row>
    <row r="227" spans="1:27" ht="15.75" customHeight="1">
      <c r="A227" s="344"/>
      <c r="B227" s="344"/>
      <c r="C227" s="31">
        <v>4</v>
      </c>
      <c r="D227" s="344"/>
      <c r="E227" s="355" t="s">
        <v>565</v>
      </c>
      <c r="F227" s="350" t="s">
        <v>326</v>
      </c>
      <c r="G227" s="350" t="s">
        <v>327</v>
      </c>
      <c r="H227" s="23" t="s">
        <v>342</v>
      </c>
      <c r="I227" s="23" t="s">
        <v>665</v>
      </c>
      <c r="J227" s="170"/>
      <c r="K227" s="25" t="s">
        <v>294</v>
      </c>
      <c r="L227" s="25"/>
      <c r="M227" s="26"/>
      <c r="N227" s="27"/>
      <c r="O227" s="25"/>
      <c r="P227" s="25"/>
      <c r="Q227" s="29" t="s">
        <v>140</v>
      </c>
      <c r="R227" s="25"/>
      <c r="S227" s="29"/>
      <c r="T227" s="30"/>
      <c r="U227" s="30"/>
      <c r="V227" s="30"/>
      <c r="W227" s="30"/>
      <c r="X227" s="30"/>
      <c r="Y227" s="30"/>
      <c r="Z227" s="30"/>
      <c r="AA227" s="30"/>
    </row>
    <row r="228" spans="1:27" ht="16.5" customHeight="1">
      <c r="A228" s="344"/>
      <c r="B228" s="344"/>
      <c r="C228" s="31">
        <v>5</v>
      </c>
      <c r="D228" s="344"/>
      <c r="E228" s="344"/>
      <c r="F228" s="344"/>
      <c r="G228" s="344"/>
      <c r="H228" s="23" t="s">
        <v>336</v>
      </c>
      <c r="I228" s="23" t="s">
        <v>337</v>
      </c>
      <c r="J228" s="170"/>
      <c r="K228" s="25"/>
      <c r="L228" s="25"/>
      <c r="M228" s="26"/>
      <c r="N228" s="27"/>
      <c r="O228" s="25"/>
      <c r="P228" s="25"/>
      <c r="Q228" s="29" t="s">
        <v>282</v>
      </c>
      <c r="R228" s="25"/>
      <c r="S228" s="29"/>
      <c r="T228" s="30"/>
      <c r="U228" s="30"/>
      <c r="V228" s="30"/>
      <c r="W228" s="30"/>
      <c r="X228" s="30"/>
      <c r="Y228" s="30"/>
      <c r="Z228" s="30"/>
      <c r="AA228" s="30"/>
    </row>
    <row r="229" spans="1:27" ht="16.5" customHeight="1">
      <c r="A229" s="344"/>
      <c r="B229" s="344"/>
      <c r="C229" s="31">
        <v>6</v>
      </c>
      <c r="D229" s="344"/>
      <c r="E229" s="345"/>
      <c r="F229" s="345"/>
      <c r="G229" s="345"/>
      <c r="H229" s="23" t="s">
        <v>338</v>
      </c>
      <c r="I229" s="23" t="s">
        <v>339</v>
      </c>
      <c r="J229" s="170"/>
      <c r="K229" s="25" t="s">
        <v>294</v>
      </c>
      <c r="L229" s="25"/>
      <c r="M229" s="26"/>
      <c r="N229" s="27"/>
      <c r="O229" s="25"/>
      <c r="P229" s="25"/>
      <c r="Q229" s="29" t="s">
        <v>140</v>
      </c>
      <c r="R229" s="25"/>
      <c r="S229" s="29"/>
      <c r="T229" s="30"/>
      <c r="U229" s="30"/>
      <c r="V229" s="30"/>
      <c r="W229" s="30"/>
      <c r="X229" s="30"/>
      <c r="Y229" s="30"/>
      <c r="Z229" s="30"/>
      <c r="AA229" s="30"/>
    </row>
    <row r="230" spans="1:27" ht="15.75" customHeight="1">
      <c r="A230" s="344"/>
      <c r="B230" s="344"/>
      <c r="C230" s="31">
        <v>7</v>
      </c>
      <c r="D230" s="344"/>
      <c r="E230" s="355" t="s">
        <v>566</v>
      </c>
      <c r="F230" s="350" t="s">
        <v>326</v>
      </c>
      <c r="G230" s="350" t="s">
        <v>327</v>
      </c>
      <c r="H230" s="23" t="s">
        <v>664</v>
      </c>
      <c r="I230" s="23" t="s">
        <v>666</v>
      </c>
      <c r="J230" s="170"/>
      <c r="K230" s="25" t="s">
        <v>294</v>
      </c>
      <c r="L230" s="25"/>
      <c r="M230" s="26"/>
      <c r="N230" s="27"/>
      <c r="O230" s="25" t="s">
        <v>140</v>
      </c>
      <c r="P230" s="25"/>
      <c r="Q230" s="29" t="s">
        <v>140</v>
      </c>
      <c r="R230" s="25"/>
      <c r="S230" s="29"/>
      <c r="T230" s="30"/>
      <c r="U230" s="30"/>
      <c r="V230" s="30"/>
      <c r="W230" s="30"/>
      <c r="X230" s="30"/>
      <c r="Y230" s="30"/>
      <c r="Z230" s="30"/>
      <c r="AA230" s="30"/>
    </row>
    <row r="231" spans="1:27" ht="15.75" customHeight="1">
      <c r="A231" s="344"/>
      <c r="B231" s="344"/>
      <c r="C231" s="31">
        <v>8</v>
      </c>
      <c r="D231" s="344"/>
      <c r="E231" s="344"/>
      <c r="F231" s="344"/>
      <c r="G231" s="344"/>
      <c r="H231" s="58" t="s">
        <v>336</v>
      </c>
      <c r="I231" s="23" t="s">
        <v>567</v>
      </c>
      <c r="J231" s="170"/>
      <c r="K231" s="25"/>
      <c r="L231" s="25"/>
      <c r="M231" s="26"/>
      <c r="N231" s="27"/>
      <c r="O231" s="25" t="s">
        <v>140</v>
      </c>
      <c r="P231" s="25"/>
      <c r="Q231" s="29" t="s">
        <v>282</v>
      </c>
      <c r="R231" s="25"/>
      <c r="S231" s="29"/>
      <c r="T231" s="30"/>
      <c r="U231" s="30"/>
      <c r="V231" s="30"/>
      <c r="W231" s="30"/>
      <c r="X231" s="30"/>
      <c r="Y231" s="30"/>
      <c r="Z231" s="30"/>
      <c r="AA231" s="30"/>
    </row>
    <row r="232" spans="1:27" ht="16.5" customHeight="1">
      <c r="A232" s="344"/>
      <c r="B232" s="344"/>
      <c r="C232" s="31">
        <v>9</v>
      </c>
      <c r="D232" s="344"/>
      <c r="E232" s="344"/>
      <c r="F232" s="344"/>
      <c r="G232" s="344"/>
      <c r="H232" s="58" t="s">
        <v>568</v>
      </c>
      <c r="I232" s="23" t="s">
        <v>569</v>
      </c>
      <c r="J232" s="170"/>
      <c r="K232" s="25"/>
      <c r="L232" s="25"/>
      <c r="M232" s="26"/>
      <c r="N232" s="27"/>
      <c r="O232" s="25" t="s">
        <v>140</v>
      </c>
      <c r="P232" s="25"/>
      <c r="Q232" s="29" t="s">
        <v>282</v>
      </c>
      <c r="R232" s="25"/>
      <c r="S232" s="29"/>
      <c r="T232" s="30"/>
      <c r="U232" s="30"/>
      <c r="V232" s="30"/>
      <c r="W232" s="30"/>
      <c r="X232" s="30"/>
      <c r="Y232" s="30"/>
      <c r="Z232" s="30"/>
      <c r="AA232" s="30"/>
    </row>
    <row r="233" spans="1:27" ht="15.75" customHeight="1">
      <c r="A233" s="344"/>
      <c r="B233" s="344"/>
      <c r="C233" s="31">
        <v>10</v>
      </c>
      <c r="D233" s="344"/>
      <c r="E233" s="344"/>
      <c r="F233" s="344"/>
      <c r="G233" s="344"/>
      <c r="H233" s="58" t="s">
        <v>338</v>
      </c>
      <c r="I233" s="23" t="s">
        <v>570</v>
      </c>
      <c r="J233" s="170"/>
      <c r="K233" s="25" t="s">
        <v>294</v>
      </c>
      <c r="L233" s="25"/>
      <c r="M233" s="26"/>
      <c r="N233" s="27"/>
      <c r="O233" s="25" t="s">
        <v>140</v>
      </c>
      <c r="P233" s="25"/>
      <c r="Q233" s="29" t="s">
        <v>140</v>
      </c>
      <c r="R233" s="25"/>
      <c r="S233" s="29"/>
      <c r="T233" s="30"/>
      <c r="U233" s="30"/>
      <c r="V233" s="30"/>
      <c r="W233" s="30"/>
      <c r="X233" s="30"/>
      <c r="Y233" s="30"/>
      <c r="Z233" s="30"/>
      <c r="AA233" s="30"/>
    </row>
    <row r="234" spans="1:27" ht="16.5" customHeight="1">
      <c r="A234" s="345"/>
      <c r="B234" s="345"/>
      <c r="C234" s="31">
        <v>11</v>
      </c>
      <c r="D234" s="345"/>
      <c r="E234" s="345"/>
      <c r="F234" s="345"/>
      <c r="G234" s="345"/>
      <c r="H234" s="58" t="s">
        <v>568</v>
      </c>
      <c r="I234" s="23" t="s">
        <v>569</v>
      </c>
      <c r="J234" s="170"/>
      <c r="K234" s="25" t="s">
        <v>294</v>
      </c>
      <c r="L234" s="25"/>
      <c r="M234" s="26"/>
      <c r="N234" s="27"/>
      <c r="O234" s="25" t="s">
        <v>140</v>
      </c>
      <c r="P234" s="25"/>
      <c r="Q234" s="29" t="s">
        <v>140</v>
      </c>
      <c r="R234" s="25"/>
      <c r="S234" s="29"/>
      <c r="T234" s="30"/>
      <c r="U234" s="30"/>
      <c r="V234" s="30"/>
      <c r="W234" s="30"/>
      <c r="X234" s="30"/>
      <c r="Y234" s="30"/>
      <c r="Z234" s="30"/>
      <c r="AA234" s="30"/>
    </row>
    <row r="235" spans="1:27" ht="15.75" customHeight="1">
      <c r="A235" s="351" t="s">
        <v>667</v>
      </c>
      <c r="B235" s="354" t="s">
        <v>190</v>
      </c>
      <c r="C235" s="86">
        <v>1</v>
      </c>
      <c r="D235" s="351" t="s">
        <v>668</v>
      </c>
      <c r="E235" s="351" t="s">
        <v>669</v>
      </c>
      <c r="F235" s="354" t="s">
        <v>326</v>
      </c>
      <c r="G235" s="354" t="s">
        <v>327</v>
      </c>
      <c r="H235" s="175" t="s">
        <v>670</v>
      </c>
      <c r="I235" s="35" t="s">
        <v>671</v>
      </c>
      <c r="J235" s="172"/>
      <c r="K235" s="25"/>
      <c r="L235" s="25"/>
      <c r="M235" s="26"/>
      <c r="N235" s="27"/>
      <c r="O235" s="25"/>
      <c r="P235" s="25"/>
      <c r="Q235" s="29" t="s">
        <v>282</v>
      </c>
      <c r="R235" s="25" t="s">
        <v>305</v>
      </c>
      <c r="S235" s="29"/>
      <c r="T235" s="30"/>
      <c r="U235" s="30"/>
      <c r="V235" s="30"/>
      <c r="W235" s="30"/>
      <c r="X235" s="30"/>
      <c r="Y235" s="30"/>
      <c r="Z235" s="30"/>
      <c r="AA235" s="30"/>
    </row>
    <row r="236" spans="1:27" ht="15.75" customHeight="1">
      <c r="A236" s="352"/>
      <c r="B236" s="352"/>
      <c r="C236" s="86">
        <v>2</v>
      </c>
      <c r="D236" s="352"/>
      <c r="E236" s="352"/>
      <c r="F236" s="352"/>
      <c r="G236" s="352"/>
      <c r="H236" s="175" t="s">
        <v>672</v>
      </c>
      <c r="I236" s="35" t="s">
        <v>364</v>
      </c>
      <c r="J236" s="172"/>
      <c r="K236" s="25"/>
      <c r="L236" s="25"/>
      <c r="M236" s="26"/>
      <c r="N236" s="27"/>
      <c r="O236" s="25"/>
      <c r="P236" s="25"/>
      <c r="Q236" s="29" t="s">
        <v>282</v>
      </c>
      <c r="R236" s="25" t="s">
        <v>305</v>
      </c>
      <c r="S236" s="29"/>
      <c r="T236" s="30"/>
      <c r="U236" s="30"/>
      <c r="V236" s="30"/>
      <c r="W236" s="30"/>
      <c r="X236" s="30"/>
      <c r="Y236" s="30"/>
      <c r="Z236" s="30"/>
      <c r="AA236" s="30"/>
    </row>
    <row r="237" spans="1:27" ht="15.75" customHeight="1">
      <c r="A237" s="353"/>
      <c r="B237" s="353"/>
      <c r="C237" s="86">
        <v>3</v>
      </c>
      <c r="D237" s="353"/>
      <c r="E237" s="353"/>
      <c r="F237" s="353"/>
      <c r="G237" s="353"/>
      <c r="H237" s="175" t="s">
        <v>338</v>
      </c>
      <c r="I237" s="35" t="s">
        <v>347</v>
      </c>
      <c r="J237" s="172"/>
      <c r="K237" s="25"/>
      <c r="L237" s="25"/>
      <c r="M237" s="26"/>
      <c r="N237" s="27"/>
      <c r="O237" s="25"/>
      <c r="P237" s="25"/>
      <c r="Q237" s="29" t="s">
        <v>282</v>
      </c>
      <c r="R237" s="25" t="s">
        <v>305</v>
      </c>
      <c r="S237" s="29"/>
      <c r="T237" s="30"/>
      <c r="U237" s="30"/>
      <c r="V237" s="30"/>
      <c r="W237" s="30"/>
      <c r="X237" s="30"/>
      <c r="Y237" s="30"/>
      <c r="Z237" s="30"/>
      <c r="AA237" s="30"/>
    </row>
    <row r="238" spans="1:27" ht="15.75" customHeight="1">
      <c r="A238" s="355" t="s">
        <v>673</v>
      </c>
      <c r="B238" s="350" t="s">
        <v>674</v>
      </c>
      <c r="C238" s="31">
        <v>1</v>
      </c>
      <c r="D238" s="355" t="s">
        <v>675</v>
      </c>
      <c r="E238" s="355" t="s">
        <v>561</v>
      </c>
      <c r="F238" s="350" t="s">
        <v>326</v>
      </c>
      <c r="G238" s="350" t="s">
        <v>349</v>
      </c>
      <c r="H238" s="23" t="s">
        <v>664</v>
      </c>
      <c r="I238" s="23" t="s">
        <v>665</v>
      </c>
      <c r="J238" s="170"/>
      <c r="K238" s="25" t="s">
        <v>294</v>
      </c>
      <c r="L238" s="25"/>
      <c r="M238" s="26"/>
      <c r="N238" s="27"/>
      <c r="O238" s="25"/>
      <c r="P238" s="25"/>
      <c r="Q238" s="29" t="s">
        <v>140</v>
      </c>
      <c r="R238" s="25"/>
      <c r="S238" s="29"/>
      <c r="T238" s="30"/>
      <c r="U238" s="30"/>
      <c r="V238" s="30"/>
      <c r="W238" s="30"/>
      <c r="X238" s="30"/>
      <c r="Y238" s="30"/>
      <c r="Z238" s="30"/>
      <c r="AA238" s="30"/>
    </row>
    <row r="239" spans="1:27" ht="16.5" customHeight="1">
      <c r="A239" s="344"/>
      <c r="B239" s="344"/>
      <c r="C239" s="31">
        <v>2</v>
      </c>
      <c r="D239" s="344"/>
      <c r="E239" s="344"/>
      <c r="F239" s="344"/>
      <c r="G239" s="344"/>
      <c r="H239" s="23" t="s">
        <v>336</v>
      </c>
      <c r="I239" s="23" t="s">
        <v>337</v>
      </c>
      <c r="J239" s="170"/>
      <c r="K239" s="25"/>
      <c r="L239" s="25"/>
      <c r="M239" s="26"/>
      <c r="N239" s="27"/>
      <c r="O239" s="25"/>
      <c r="P239" s="25"/>
      <c r="Q239" s="29" t="s">
        <v>282</v>
      </c>
      <c r="R239" s="25"/>
      <c r="S239" s="29"/>
      <c r="T239" s="30"/>
      <c r="U239" s="30"/>
      <c r="V239" s="30"/>
      <c r="W239" s="30"/>
      <c r="X239" s="30"/>
      <c r="Y239" s="30"/>
      <c r="Z239" s="30"/>
      <c r="AA239" s="30"/>
    </row>
    <row r="240" spans="1:27" ht="16.5" customHeight="1">
      <c r="A240" s="344"/>
      <c r="B240" s="344"/>
      <c r="C240" s="31">
        <v>3</v>
      </c>
      <c r="D240" s="344"/>
      <c r="E240" s="345"/>
      <c r="F240" s="345"/>
      <c r="G240" s="345"/>
      <c r="H240" s="23" t="s">
        <v>338</v>
      </c>
      <c r="I240" s="23" t="s">
        <v>339</v>
      </c>
      <c r="J240" s="170"/>
      <c r="K240" s="25" t="s">
        <v>294</v>
      </c>
      <c r="L240" s="25"/>
      <c r="M240" s="26"/>
      <c r="N240" s="27"/>
      <c r="O240" s="25"/>
      <c r="P240" s="25"/>
      <c r="Q240" s="29" t="s">
        <v>140</v>
      </c>
      <c r="R240" s="25"/>
      <c r="S240" s="29"/>
      <c r="T240" s="30"/>
      <c r="U240" s="30"/>
      <c r="V240" s="30"/>
      <c r="W240" s="30"/>
      <c r="X240" s="30"/>
      <c r="Y240" s="30"/>
      <c r="Z240" s="30"/>
      <c r="AA240" s="30"/>
    </row>
    <row r="241" spans="1:27" ht="15.75" customHeight="1">
      <c r="A241" s="344"/>
      <c r="B241" s="344"/>
      <c r="C241" s="31">
        <v>4</v>
      </c>
      <c r="D241" s="344"/>
      <c r="E241" s="355" t="s">
        <v>571</v>
      </c>
      <c r="F241" s="350" t="s">
        <v>326</v>
      </c>
      <c r="G241" s="350" t="s">
        <v>349</v>
      </c>
      <c r="H241" s="23" t="s">
        <v>342</v>
      </c>
      <c r="I241" s="23" t="s">
        <v>665</v>
      </c>
      <c r="J241" s="170"/>
      <c r="K241" s="25" t="s">
        <v>294</v>
      </c>
      <c r="L241" s="25"/>
      <c r="M241" s="26"/>
      <c r="N241" s="27"/>
      <c r="O241" s="25"/>
      <c r="P241" s="25"/>
      <c r="Q241" s="29" t="s">
        <v>140</v>
      </c>
      <c r="R241" s="25"/>
      <c r="S241" s="29"/>
      <c r="T241" s="30"/>
      <c r="U241" s="30"/>
      <c r="V241" s="30"/>
      <c r="W241" s="30"/>
      <c r="X241" s="30"/>
      <c r="Y241" s="30"/>
      <c r="Z241" s="30"/>
      <c r="AA241" s="30"/>
    </row>
    <row r="242" spans="1:27" ht="15.75" customHeight="1">
      <c r="A242" s="344"/>
      <c r="B242" s="344"/>
      <c r="C242" s="31">
        <v>5</v>
      </c>
      <c r="D242" s="344"/>
      <c r="E242" s="344"/>
      <c r="F242" s="344"/>
      <c r="G242" s="344"/>
      <c r="H242" s="23" t="s">
        <v>336</v>
      </c>
      <c r="I242" s="23" t="s">
        <v>676</v>
      </c>
      <c r="J242" s="170"/>
      <c r="K242" s="25"/>
      <c r="L242" s="25"/>
      <c r="M242" s="26"/>
      <c r="N242" s="27"/>
      <c r="O242" s="25"/>
      <c r="P242" s="25"/>
      <c r="Q242" s="29" t="s">
        <v>282</v>
      </c>
      <c r="R242" s="25"/>
      <c r="S242" s="29"/>
      <c r="T242" s="30"/>
      <c r="U242" s="30"/>
      <c r="V242" s="30"/>
      <c r="W242" s="30"/>
      <c r="X242" s="30"/>
      <c r="Y242" s="30"/>
      <c r="Z242" s="30"/>
      <c r="AA242" s="30"/>
    </row>
    <row r="243" spans="1:27" ht="16.5" customHeight="1">
      <c r="A243" s="344"/>
      <c r="B243" s="344"/>
      <c r="C243" s="31">
        <v>6</v>
      </c>
      <c r="D243" s="344"/>
      <c r="E243" s="345"/>
      <c r="F243" s="345"/>
      <c r="G243" s="345"/>
      <c r="H243" s="23" t="s">
        <v>338</v>
      </c>
      <c r="I243" s="23" t="s">
        <v>339</v>
      </c>
      <c r="J243" s="170"/>
      <c r="K243" s="25" t="s">
        <v>294</v>
      </c>
      <c r="L243" s="25"/>
      <c r="M243" s="26"/>
      <c r="N243" s="27"/>
      <c r="O243" s="25"/>
      <c r="P243" s="25"/>
      <c r="Q243" s="29" t="s">
        <v>140</v>
      </c>
      <c r="R243" s="25"/>
      <c r="S243" s="29"/>
      <c r="T243" s="30"/>
      <c r="U243" s="30"/>
      <c r="V243" s="30"/>
      <c r="W243" s="30"/>
      <c r="X243" s="30"/>
      <c r="Y243" s="30"/>
      <c r="Z243" s="30"/>
      <c r="AA243" s="30"/>
    </row>
    <row r="244" spans="1:27" ht="15.75" customHeight="1">
      <c r="A244" s="344"/>
      <c r="B244" s="344"/>
      <c r="C244" s="31">
        <v>7</v>
      </c>
      <c r="D244" s="344"/>
      <c r="E244" s="355" t="s">
        <v>572</v>
      </c>
      <c r="F244" s="350" t="s">
        <v>326</v>
      </c>
      <c r="G244" s="350" t="s">
        <v>349</v>
      </c>
      <c r="H244" s="23" t="s">
        <v>664</v>
      </c>
      <c r="I244" s="23" t="s">
        <v>666</v>
      </c>
      <c r="J244" s="170"/>
      <c r="K244" s="25" t="s">
        <v>294</v>
      </c>
      <c r="L244" s="25"/>
      <c r="M244" s="26"/>
      <c r="N244" s="27"/>
      <c r="O244" s="25"/>
      <c r="P244" s="25"/>
      <c r="Q244" s="29" t="s">
        <v>140</v>
      </c>
      <c r="R244" s="25"/>
      <c r="S244" s="29"/>
      <c r="T244" s="30"/>
      <c r="U244" s="30"/>
      <c r="V244" s="30"/>
      <c r="W244" s="30"/>
      <c r="X244" s="30"/>
      <c r="Y244" s="30"/>
      <c r="Z244" s="30"/>
      <c r="AA244" s="30"/>
    </row>
    <row r="245" spans="1:27" ht="15.75" customHeight="1">
      <c r="A245" s="344"/>
      <c r="B245" s="344"/>
      <c r="C245" s="31">
        <v>8</v>
      </c>
      <c r="D245" s="344"/>
      <c r="E245" s="344"/>
      <c r="F245" s="344"/>
      <c r="G245" s="344"/>
      <c r="H245" s="58" t="s">
        <v>336</v>
      </c>
      <c r="I245" s="23" t="s">
        <v>567</v>
      </c>
      <c r="J245" s="170"/>
      <c r="K245" s="25"/>
      <c r="L245" s="25"/>
      <c r="M245" s="26"/>
      <c r="N245" s="27"/>
      <c r="O245" s="25"/>
      <c r="P245" s="25"/>
      <c r="Q245" s="29" t="s">
        <v>282</v>
      </c>
      <c r="R245" s="25"/>
      <c r="S245" s="29"/>
      <c r="T245" s="30"/>
      <c r="U245" s="30"/>
      <c r="V245" s="30"/>
      <c r="W245" s="30"/>
      <c r="X245" s="30"/>
      <c r="Y245" s="30"/>
      <c r="Z245" s="30"/>
      <c r="AA245" s="30"/>
    </row>
    <row r="246" spans="1:27" ht="16.5" customHeight="1">
      <c r="A246" s="344"/>
      <c r="B246" s="344"/>
      <c r="C246" s="31">
        <v>9</v>
      </c>
      <c r="D246" s="344"/>
      <c r="E246" s="344"/>
      <c r="F246" s="344"/>
      <c r="G246" s="344"/>
      <c r="H246" s="58" t="s">
        <v>568</v>
      </c>
      <c r="I246" s="23" t="s">
        <v>569</v>
      </c>
      <c r="J246" s="170"/>
      <c r="K246" s="25"/>
      <c r="L246" s="25"/>
      <c r="M246" s="26"/>
      <c r="N246" s="27"/>
      <c r="O246" s="25"/>
      <c r="P246" s="25"/>
      <c r="Q246" s="29" t="s">
        <v>282</v>
      </c>
      <c r="R246" s="25"/>
      <c r="S246" s="29"/>
      <c r="T246" s="30"/>
      <c r="U246" s="30"/>
      <c r="V246" s="30"/>
      <c r="W246" s="30"/>
      <c r="X246" s="30"/>
      <c r="Y246" s="30"/>
      <c r="Z246" s="30"/>
      <c r="AA246" s="30"/>
    </row>
    <row r="247" spans="1:27" ht="15.75" customHeight="1">
      <c r="A247" s="344"/>
      <c r="B247" s="344"/>
      <c r="C247" s="31">
        <v>10</v>
      </c>
      <c r="D247" s="344"/>
      <c r="E247" s="344"/>
      <c r="F247" s="344"/>
      <c r="G247" s="344"/>
      <c r="H247" s="58" t="s">
        <v>338</v>
      </c>
      <c r="I247" s="23" t="s">
        <v>570</v>
      </c>
      <c r="J247" s="170"/>
      <c r="K247" s="25" t="s">
        <v>294</v>
      </c>
      <c r="L247" s="25"/>
      <c r="M247" s="26"/>
      <c r="N247" s="27"/>
      <c r="O247" s="25"/>
      <c r="P247" s="25"/>
      <c r="Q247" s="29" t="s">
        <v>140</v>
      </c>
      <c r="R247" s="25"/>
      <c r="S247" s="29"/>
      <c r="T247" s="30"/>
      <c r="U247" s="30"/>
      <c r="V247" s="30"/>
      <c r="W247" s="30"/>
      <c r="X247" s="30"/>
      <c r="Y247" s="30"/>
      <c r="Z247" s="30"/>
      <c r="AA247" s="30"/>
    </row>
    <row r="248" spans="1:27" ht="16.5" customHeight="1">
      <c r="A248" s="345"/>
      <c r="B248" s="345"/>
      <c r="C248" s="31">
        <v>11</v>
      </c>
      <c r="D248" s="345"/>
      <c r="E248" s="345"/>
      <c r="F248" s="345"/>
      <c r="G248" s="345"/>
      <c r="H248" s="58" t="s">
        <v>568</v>
      </c>
      <c r="I248" s="23" t="s">
        <v>569</v>
      </c>
      <c r="J248" s="170"/>
      <c r="K248" s="25" t="s">
        <v>294</v>
      </c>
      <c r="L248" s="25"/>
      <c r="M248" s="26"/>
      <c r="N248" s="27"/>
      <c r="O248" s="25"/>
      <c r="P248" s="25"/>
      <c r="Q248" s="29" t="s">
        <v>140</v>
      </c>
      <c r="R248" s="25"/>
      <c r="S248" s="29"/>
      <c r="T248" s="30"/>
      <c r="U248" s="30"/>
      <c r="V248" s="30"/>
      <c r="W248" s="30"/>
      <c r="X248" s="30"/>
      <c r="Y248" s="30"/>
      <c r="Z248" s="30"/>
      <c r="AA248" s="30"/>
    </row>
    <row r="249" spans="1:27" ht="15.75" customHeight="1">
      <c r="A249" s="355" t="s">
        <v>677</v>
      </c>
      <c r="B249" s="350" t="s">
        <v>134</v>
      </c>
      <c r="C249" s="31">
        <v>1</v>
      </c>
      <c r="D249" s="355" t="s">
        <v>678</v>
      </c>
      <c r="E249" s="368" t="s">
        <v>679</v>
      </c>
      <c r="F249" s="350" t="s">
        <v>326</v>
      </c>
      <c r="G249" s="350" t="s">
        <v>327</v>
      </c>
      <c r="H249" s="23" t="s">
        <v>580</v>
      </c>
      <c r="I249" s="23" t="s">
        <v>680</v>
      </c>
      <c r="J249" s="170"/>
      <c r="K249" s="25"/>
      <c r="L249" s="25"/>
      <c r="M249" s="26"/>
      <c r="N249" s="27"/>
      <c r="O249" s="25"/>
      <c r="P249" s="25"/>
      <c r="Q249" s="29" t="s">
        <v>282</v>
      </c>
      <c r="R249" s="25"/>
      <c r="S249" s="29"/>
      <c r="T249" s="30"/>
      <c r="U249" s="30"/>
      <c r="V249" s="30"/>
      <c r="W249" s="30"/>
      <c r="X249" s="30"/>
      <c r="Y249" s="30"/>
      <c r="Z249" s="30"/>
      <c r="AA249" s="30"/>
    </row>
    <row r="250" spans="1:27" ht="15.75" customHeight="1">
      <c r="A250" s="344"/>
      <c r="B250" s="344"/>
      <c r="C250" s="31">
        <v>2</v>
      </c>
      <c r="D250" s="344"/>
      <c r="E250" s="345"/>
      <c r="F250" s="345"/>
      <c r="G250" s="345"/>
      <c r="H250" s="35" t="s">
        <v>681</v>
      </c>
      <c r="I250" s="35" t="s">
        <v>682</v>
      </c>
      <c r="J250" s="172"/>
      <c r="K250" s="25"/>
      <c r="L250" s="25"/>
      <c r="M250" s="26"/>
      <c r="N250" s="27"/>
      <c r="O250" s="25"/>
      <c r="P250" s="25"/>
      <c r="Q250" s="29" t="s">
        <v>282</v>
      </c>
      <c r="R250" s="25"/>
      <c r="S250" s="29"/>
      <c r="T250" s="30"/>
      <c r="U250" s="30"/>
      <c r="V250" s="30"/>
      <c r="W250" s="30"/>
      <c r="X250" s="30"/>
      <c r="Y250" s="30"/>
      <c r="Z250" s="30"/>
      <c r="AA250" s="30"/>
    </row>
    <row r="251" spans="1:27" ht="15.75" customHeight="1">
      <c r="A251" s="344"/>
      <c r="B251" s="344"/>
      <c r="C251" s="31">
        <v>3</v>
      </c>
      <c r="D251" s="344"/>
      <c r="E251" s="359" t="s">
        <v>385</v>
      </c>
      <c r="F251" s="360" t="s">
        <v>326</v>
      </c>
      <c r="G251" s="360" t="s">
        <v>327</v>
      </c>
      <c r="H251" s="356" t="s">
        <v>386</v>
      </c>
      <c r="I251" s="23" t="s">
        <v>387</v>
      </c>
      <c r="J251" s="170"/>
      <c r="K251" s="25"/>
      <c r="L251" s="25"/>
      <c r="M251" s="26"/>
      <c r="N251" s="27"/>
      <c r="O251" s="25"/>
      <c r="P251" s="25"/>
      <c r="Q251" s="29" t="s">
        <v>282</v>
      </c>
      <c r="R251" s="25"/>
      <c r="S251" s="29"/>
      <c r="T251" s="30"/>
      <c r="U251" s="30"/>
      <c r="V251" s="30"/>
      <c r="W251" s="30"/>
      <c r="X251" s="30"/>
      <c r="Y251" s="30"/>
      <c r="Z251" s="30"/>
      <c r="AA251" s="30"/>
    </row>
    <row r="252" spans="1:27" ht="15.75" customHeight="1">
      <c r="A252" s="344"/>
      <c r="B252" s="344"/>
      <c r="C252" s="31">
        <v>4</v>
      </c>
      <c r="D252" s="344"/>
      <c r="E252" s="344"/>
      <c r="F252" s="344"/>
      <c r="G252" s="344"/>
      <c r="H252" s="344"/>
      <c r="I252" s="35" t="s">
        <v>582</v>
      </c>
      <c r="J252" s="172"/>
      <c r="K252" s="25"/>
      <c r="L252" s="25"/>
      <c r="M252" s="26"/>
      <c r="N252" s="27"/>
      <c r="O252" s="25"/>
      <c r="P252" s="25"/>
      <c r="Q252" s="29" t="s">
        <v>282</v>
      </c>
      <c r="R252" s="25"/>
      <c r="S252" s="29"/>
      <c r="T252" s="30"/>
      <c r="U252" s="30"/>
      <c r="V252" s="30"/>
      <c r="W252" s="30"/>
      <c r="X252" s="30"/>
      <c r="Y252" s="30"/>
      <c r="Z252" s="30"/>
      <c r="AA252" s="30"/>
    </row>
    <row r="253" spans="1:27" ht="15.75" customHeight="1">
      <c r="A253" s="345"/>
      <c r="B253" s="345"/>
      <c r="C253" s="31">
        <v>5</v>
      </c>
      <c r="D253" s="345"/>
      <c r="E253" s="345"/>
      <c r="F253" s="345"/>
      <c r="G253" s="345"/>
      <c r="H253" s="345"/>
      <c r="I253" s="23" t="s">
        <v>389</v>
      </c>
      <c r="J253" s="170"/>
      <c r="K253" s="25"/>
      <c r="L253" s="25"/>
      <c r="M253" s="26"/>
      <c r="N253" s="27"/>
      <c r="O253" s="25"/>
      <c r="P253" s="25"/>
      <c r="Q253" s="29" t="s">
        <v>282</v>
      </c>
      <c r="R253" s="25"/>
      <c r="S253" s="29"/>
      <c r="T253" s="30"/>
      <c r="U253" s="30"/>
      <c r="V253" s="30"/>
      <c r="W253" s="30"/>
      <c r="X253" s="30"/>
      <c r="Y253" s="30"/>
      <c r="Z253" s="30"/>
      <c r="AA253" s="30"/>
    </row>
    <row r="254" spans="1:27" ht="15.75" customHeight="1">
      <c r="A254" s="59" t="s">
        <v>588</v>
      </c>
      <c r="B254" s="53" t="s">
        <v>191</v>
      </c>
      <c r="C254" s="86">
        <v>1</v>
      </c>
      <c r="D254" s="59" t="s">
        <v>683</v>
      </c>
      <c r="E254" s="181" t="s">
        <v>683</v>
      </c>
      <c r="F254" s="86" t="s">
        <v>326</v>
      </c>
      <c r="G254" s="86" t="s">
        <v>327</v>
      </c>
      <c r="H254" s="175" t="s">
        <v>684</v>
      </c>
      <c r="I254" s="35" t="s">
        <v>685</v>
      </c>
      <c r="J254" s="172"/>
      <c r="K254" s="25"/>
      <c r="L254" s="25"/>
      <c r="M254" s="43"/>
      <c r="N254" s="27"/>
      <c r="O254" s="25"/>
      <c r="P254" s="25"/>
      <c r="Q254" s="29" t="s">
        <v>282</v>
      </c>
      <c r="R254" s="25" t="s">
        <v>305</v>
      </c>
      <c r="S254" s="29"/>
      <c r="T254" s="30"/>
      <c r="U254" s="30"/>
      <c r="V254" s="30"/>
      <c r="W254" s="30"/>
      <c r="X254" s="30"/>
      <c r="Y254" s="30"/>
      <c r="Z254" s="30"/>
      <c r="AA254" s="30"/>
    </row>
    <row r="255" spans="1:27" ht="15.75" customHeight="1">
      <c r="A255" s="355" t="s">
        <v>686</v>
      </c>
      <c r="B255" s="350" t="s">
        <v>687</v>
      </c>
      <c r="C255" s="31">
        <v>1</v>
      </c>
      <c r="D255" s="355" t="s">
        <v>688</v>
      </c>
      <c r="E255" s="355" t="s">
        <v>689</v>
      </c>
      <c r="F255" s="350" t="s">
        <v>326</v>
      </c>
      <c r="G255" s="350" t="s">
        <v>327</v>
      </c>
      <c r="H255" s="23" t="s">
        <v>584</v>
      </c>
      <c r="I255" s="23" t="s">
        <v>585</v>
      </c>
      <c r="J255" s="170"/>
      <c r="K255" s="25" t="s">
        <v>294</v>
      </c>
      <c r="L255" s="25"/>
      <c r="M255" s="26"/>
      <c r="N255" s="27"/>
      <c r="O255" s="25"/>
      <c r="P255" s="25"/>
      <c r="Q255" s="29" t="s">
        <v>140</v>
      </c>
      <c r="R255" s="25"/>
      <c r="S255" s="29"/>
      <c r="T255" s="30"/>
      <c r="U255" s="30"/>
      <c r="V255" s="30"/>
      <c r="W255" s="30"/>
      <c r="X255" s="30"/>
      <c r="Y255" s="30"/>
      <c r="Z255" s="30"/>
      <c r="AA255" s="30"/>
    </row>
    <row r="256" spans="1:27" ht="15.75" customHeight="1">
      <c r="A256" s="344"/>
      <c r="B256" s="344"/>
      <c r="C256" s="31">
        <v>2</v>
      </c>
      <c r="D256" s="344"/>
      <c r="E256" s="344"/>
      <c r="F256" s="344"/>
      <c r="G256" s="344"/>
      <c r="H256" s="23" t="s">
        <v>342</v>
      </c>
      <c r="I256" s="23" t="s">
        <v>666</v>
      </c>
      <c r="J256" s="170"/>
      <c r="K256" s="25" t="s">
        <v>294</v>
      </c>
      <c r="L256" s="25"/>
      <c r="M256" s="26"/>
      <c r="N256" s="27"/>
      <c r="O256" s="25"/>
      <c r="P256" s="25"/>
      <c r="Q256" s="29" t="s">
        <v>140</v>
      </c>
      <c r="R256" s="25"/>
      <c r="S256" s="29"/>
      <c r="T256" s="30"/>
      <c r="U256" s="30"/>
      <c r="V256" s="30"/>
      <c r="W256" s="30"/>
      <c r="X256" s="30"/>
      <c r="Y256" s="30"/>
      <c r="Z256" s="30"/>
      <c r="AA256" s="30"/>
    </row>
    <row r="257" spans="1:27" ht="15.75" customHeight="1">
      <c r="A257" s="344"/>
      <c r="B257" s="344"/>
      <c r="C257" s="31">
        <v>3</v>
      </c>
      <c r="D257" s="344"/>
      <c r="E257" s="344"/>
      <c r="F257" s="344"/>
      <c r="G257" s="344"/>
      <c r="H257" s="58" t="s">
        <v>336</v>
      </c>
      <c r="I257" s="23" t="s">
        <v>567</v>
      </c>
      <c r="J257" s="170"/>
      <c r="K257" s="25"/>
      <c r="L257" s="25"/>
      <c r="M257" s="26"/>
      <c r="N257" s="27"/>
      <c r="O257" s="25"/>
      <c r="P257" s="25"/>
      <c r="Q257" s="29" t="s">
        <v>282</v>
      </c>
      <c r="R257" s="25"/>
      <c r="S257" s="29"/>
      <c r="T257" s="30"/>
      <c r="U257" s="30"/>
      <c r="V257" s="30"/>
      <c r="W257" s="30"/>
      <c r="X257" s="30"/>
      <c r="Y257" s="30"/>
      <c r="Z257" s="30"/>
      <c r="AA257" s="30"/>
    </row>
    <row r="258" spans="1:27" ht="15.75" customHeight="1">
      <c r="A258" s="344"/>
      <c r="B258" s="344"/>
      <c r="C258" s="31">
        <v>4</v>
      </c>
      <c r="D258" s="344"/>
      <c r="E258" s="344"/>
      <c r="F258" s="344"/>
      <c r="G258" s="344"/>
      <c r="H258" s="58" t="s">
        <v>568</v>
      </c>
      <c r="I258" s="23" t="s">
        <v>569</v>
      </c>
      <c r="J258" s="170"/>
      <c r="K258" s="25"/>
      <c r="L258" s="25"/>
      <c r="M258" s="26"/>
      <c r="N258" s="27"/>
      <c r="O258" s="25"/>
      <c r="P258" s="25"/>
      <c r="Q258" s="29" t="s">
        <v>282</v>
      </c>
      <c r="R258" s="25"/>
      <c r="S258" s="29"/>
      <c r="T258" s="30"/>
      <c r="U258" s="30"/>
      <c r="V258" s="30"/>
      <c r="W258" s="30"/>
      <c r="X258" s="30"/>
      <c r="Y258" s="30"/>
      <c r="Z258" s="30"/>
      <c r="AA258" s="30"/>
    </row>
    <row r="259" spans="1:27" ht="15.75" customHeight="1">
      <c r="A259" s="344"/>
      <c r="B259" s="344"/>
      <c r="C259" s="31">
        <v>5</v>
      </c>
      <c r="D259" s="344"/>
      <c r="E259" s="344"/>
      <c r="F259" s="344"/>
      <c r="G259" s="344"/>
      <c r="H259" s="58" t="s">
        <v>338</v>
      </c>
      <c r="I259" s="23" t="s">
        <v>570</v>
      </c>
      <c r="J259" s="170"/>
      <c r="K259" s="25" t="s">
        <v>294</v>
      </c>
      <c r="L259" s="25"/>
      <c r="M259" s="26"/>
      <c r="N259" s="27"/>
      <c r="O259" s="25"/>
      <c r="P259" s="25"/>
      <c r="Q259" s="29" t="s">
        <v>140</v>
      </c>
      <c r="R259" s="25"/>
      <c r="S259" s="29"/>
      <c r="T259" s="30"/>
      <c r="U259" s="30"/>
      <c r="V259" s="30"/>
      <c r="W259" s="30"/>
      <c r="X259" s="30"/>
      <c r="Y259" s="30"/>
      <c r="Z259" s="30"/>
      <c r="AA259" s="30"/>
    </row>
    <row r="260" spans="1:27" ht="15.75" customHeight="1">
      <c r="A260" s="345"/>
      <c r="B260" s="345"/>
      <c r="C260" s="31">
        <v>6</v>
      </c>
      <c r="D260" s="345"/>
      <c r="E260" s="345"/>
      <c r="F260" s="345"/>
      <c r="G260" s="345"/>
      <c r="H260" s="58" t="s">
        <v>568</v>
      </c>
      <c r="I260" s="23" t="s">
        <v>569</v>
      </c>
      <c r="J260" s="170"/>
      <c r="K260" s="25" t="s">
        <v>294</v>
      </c>
      <c r="L260" s="25"/>
      <c r="M260" s="26"/>
      <c r="N260" s="27"/>
      <c r="O260" s="25"/>
      <c r="P260" s="25"/>
      <c r="Q260" s="29" t="s">
        <v>140</v>
      </c>
      <c r="R260" s="25"/>
      <c r="S260" s="29"/>
      <c r="T260" s="30"/>
      <c r="U260" s="30"/>
      <c r="V260" s="30"/>
      <c r="W260" s="30"/>
      <c r="X260" s="30"/>
      <c r="Y260" s="30"/>
      <c r="Z260" s="30"/>
      <c r="AA260" s="30"/>
    </row>
    <row r="261" spans="1:27" ht="15.75" customHeight="1">
      <c r="A261" s="355" t="s">
        <v>690</v>
      </c>
      <c r="B261" s="350" t="s">
        <v>165</v>
      </c>
      <c r="C261" s="31">
        <v>1</v>
      </c>
      <c r="D261" s="355" t="s">
        <v>691</v>
      </c>
      <c r="E261" s="23" t="s">
        <v>692</v>
      </c>
      <c r="F261" s="31" t="s">
        <v>326</v>
      </c>
      <c r="G261" s="31" t="s">
        <v>327</v>
      </c>
      <c r="H261" s="23" t="s">
        <v>693</v>
      </c>
      <c r="I261" s="23" t="s">
        <v>694</v>
      </c>
      <c r="J261" s="170"/>
      <c r="K261" s="25" t="s">
        <v>294</v>
      </c>
      <c r="L261" s="25"/>
      <c r="M261" s="26"/>
      <c r="N261" s="27"/>
      <c r="O261" s="25" t="s">
        <v>140</v>
      </c>
      <c r="P261" s="29" t="s">
        <v>140</v>
      </c>
      <c r="Q261" s="29" t="s">
        <v>140</v>
      </c>
      <c r="R261" s="25"/>
      <c r="S261" s="29"/>
      <c r="T261" s="30"/>
      <c r="U261" s="30"/>
      <c r="V261" s="30"/>
      <c r="W261" s="30"/>
      <c r="X261" s="30"/>
      <c r="Y261" s="30"/>
      <c r="Z261" s="30"/>
      <c r="AA261" s="30"/>
    </row>
    <row r="262" spans="1:27" ht="15.75" customHeight="1">
      <c r="A262" s="345"/>
      <c r="B262" s="345"/>
      <c r="C262" s="31">
        <v>2</v>
      </c>
      <c r="D262" s="345"/>
      <c r="E262" s="23" t="s">
        <v>695</v>
      </c>
      <c r="F262" s="31" t="s">
        <v>326</v>
      </c>
      <c r="G262" s="31" t="s">
        <v>327</v>
      </c>
      <c r="H262" s="23" t="s">
        <v>696</v>
      </c>
      <c r="I262" s="23" t="s">
        <v>697</v>
      </c>
      <c r="J262" s="170"/>
      <c r="K262" s="25" t="s">
        <v>294</v>
      </c>
      <c r="L262" s="25"/>
      <c r="M262" s="26"/>
      <c r="N262" s="27"/>
      <c r="O262" s="25"/>
      <c r="P262" s="29" t="s">
        <v>140</v>
      </c>
      <c r="Q262" s="29" t="s">
        <v>140</v>
      </c>
      <c r="R262" s="25"/>
      <c r="S262" s="29"/>
      <c r="T262" s="30"/>
      <c r="U262" s="30"/>
      <c r="V262" s="30"/>
      <c r="W262" s="30"/>
      <c r="X262" s="30"/>
      <c r="Y262" s="30"/>
      <c r="Z262" s="30"/>
      <c r="AA262" s="30"/>
    </row>
    <row r="263" spans="1:27" ht="15.75" customHeight="1">
      <c r="A263" s="366" t="s">
        <v>698</v>
      </c>
      <c r="B263" s="367" t="s">
        <v>265</v>
      </c>
      <c r="C263" s="61">
        <v>1</v>
      </c>
      <c r="D263" s="366" t="s">
        <v>699</v>
      </c>
      <c r="E263" s="62" t="s">
        <v>700</v>
      </c>
      <c r="F263" s="61" t="s">
        <v>326</v>
      </c>
      <c r="G263" s="61" t="s">
        <v>327</v>
      </c>
      <c r="H263" s="62" t="s">
        <v>701</v>
      </c>
      <c r="I263" s="63" t="s">
        <v>702</v>
      </c>
      <c r="J263" s="171"/>
      <c r="K263" s="25" t="s">
        <v>294</v>
      </c>
      <c r="L263" s="25"/>
      <c r="M263" s="26"/>
      <c r="N263" s="27"/>
      <c r="O263" s="25"/>
      <c r="P263" s="25"/>
      <c r="Q263" s="29" t="s">
        <v>140</v>
      </c>
      <c r="R263" s="25"/>
      <c r="S263" s="29"/>
      <c r="T263" s="30"/>
      <c r="U263" s="30"/>
      <c r="V263" s="30"/>
      <c r="W263" s="30"/>
      <c r="X263" s="30"/>
      <c r="Y263" s="30"/>
      <c r="Z263" s="30"/>
      <c r="AA263" s="30"/>
    </row>
    <row r="264" spans="1:27" ht="15.75" customHeight="1">
      <c r="A264" s="345"/>
      <c r="B264" s="345"/>
      <c r="C264" s="61">
        <v>2</v>
      </c>
      <c r="D264" s="344"/>
      <c r="E264" s="62" t="s">
        <v>703</v>
      </c>
      <c r="F264" s="61" t="s">
        <v>326</v>
      </c>
      <c r="G264" s="61" t="s">
        <v>327</v>
      </c>
      <c r="H264" s="62" t="s">
        <v>704</v>
      </c>
      <c r="I264" s="63" t="s">
        <v>705</v>
      </c>
      <c r="J264" s="171"/>
      <c r="K264" s="25"/>
      <c r="L264" s="25"/>
      <c r="M264" s="26"/>
      <c r="N264" s="27"/>
      <c r="O264" s="25"/>
      <c r="P264" s="25"/>
      <c r="Q264" s="29" t="s">
        <v>282</v>
      </c>
      <c r="R264" s="25"/>
      <c r="S264" s="29"/>
      <c r="T264" s="30"/>
      <c r="U264" s="30"/>
      <c r="V264" s="30"/>
      <c r="W264" s="30"/>
      <c r="X264" s="30"/>
      <c r="Y264" s="30"/>
      <c r="Z264" s="30"/>
      <c r="AA264" s="30"/>
    </row>
    <row r="265" spans="1:27" ht="16.5" customHeight="1">
      <c r="A265" s="355" t="s">
        <v>621</v>
      </c>
      <c r="B265" s="350" t="s">
        <v>146</v>
      </c>
      <c r="C265" s="31">
        <v>1</v>
      </c>
      <c r="D265" s="355" t="s">
        <v>706</v>
      </c>
      <c r="E265" s="359" t="s">
        <v>623</v>
      </c>
      <c r="F265" s="350" t="s">
        <v>326</v>
      </c>
      <c r="G265" s="350" t="s">
        <v>327</v>
      </c>
      <c r="H265" s="356" t="s">
        <v>707</v>
      </c>
      <c r="I265" s="23" t="s">
        <v>625</v>
      </c>
      <c r="J265" s="170"/>
      <c r="K265" s="25"/>
      <c r="L265" s="25"/>
      <c r="M265" s="26"/>
      <c r="N265" s="27"/>
      <c r="O265" s="25"/>
      <c r="P265" s="25"/>
      <c r="Q265" s="29" t="s">
        <v>282</v>
      </c>
      <c r="R265" s="25"/>
      <c r="S265" s="29"/>
      <c r="T265" s="30"/>
      <c r="U265" s="30"/>
      <c r="V265" s="30"/>
      <c r="W265" s="30"/>
      <c r="X265" s="30"/>
      <c r="Y265" s="30"/>
      <c r="Z265" s="30"/>
      <c r="AA265" s="30"/>
    </row>
    <row r="266" spans="1:27" ht="15.75" customHeight="1">
      <c r="A266" s="344"/>
      <c r="B266" s="344"/>
      <c r="C266" s="31">
        <v>2</v>
      </c>
      <c r="D266" s="344"/>
      <c r="E266" s="344"/>
      <c r="F266" s="344"/>
      <c r="G266" s="344"/>
      <c r="H266" s="344"/>
      <c r="I266" s="23" t="s">
        <v>626</v>
      </c>
      <c r="J266" s="170"/>
      <c r="K266" s="25"/>
      <c r="L266" s="25"/>
      <c r="M266" s="26"/>
      <c r="N266" s="27"/>
      <c r="O266" s="25"/>
      <c r="P266" s="25"/>
      <c r="Q266" s="29" t="s">
        <v>282</v>
      </c>
      <c r="R266" s="25"/>
      <c r="S266" s="29"/>
      <c r="T266" s="30"/>
      <c r="U266" s="30"/>
      <c r="V266" s="30"/>
      <c r="W266" s="30"/>
      <c r="X266" s="30"/>
      <c r="Y266" s="30"/>
      <c r="Z266" s="30"/>
      <c r="AA266" s="30"/>
    </row>
    <row r="267" spans="1:27" ht="15.75" customHeight="1">
      <c r="A267" s="344"/>
      <c r="B267" s="344"/>
      <c r="C267" s="31">
        <v>3</v>
      </c>
      <c r="D267" s="344"/>
      <c r="E267" s="344"/>
      <c r="F267" s="344"/>
      <c r="G267" s="344"/>
      <c r="H267" s="344"/>
      <c r="I267" s="23" t="s">
        <v>627</v>
      </c>
      <c r="J267" s="170"/>
      <c r="K267" s="25" t="s">
        <v>294</v>
      </c>
      <c r="L267" s="25"/>
      <c r="M267" s="26"/>
      <c r="N267" s="27"/>
      <c r="O267" s="25"/>
      <c r="P267" s="25"/>
      <c r="Q267" s="29" t="s">
        <v>140</v>
      </c>
      <c r="R267" s="25"/>
      <c r="S267" s="29"/>
      <c r="T267" s="30"/>
      <c r="U267" s="30"/>
      <c r="V267" s="30"/>
      <c r="W267" s="30"/>
      <c r="X267" s="30"/>
      <c r="Y267" s="30"/>
      <c r="Z267" s="30"/>
      <c r="AA267" s="30"/>
    </row>
    <row r="268" spans="1:27" ht="15.75" customHeight="1">
      <c r="A268" s="344"/>
      <c r="B268" s="344"/>
      <c r="C268" s="31">
        <v>4</v>
      </c>
      <c r="D268" s="344"/>
      <c r="E268" s="345"/>
      <c r="F268" s="345"/>
      <c r="G268" s="345"/>
      <c r="H268" s="345"/>
      <c r="I268" s="23" t="s">
        <v>708</v>
      </c>
      <c r="J268" s="170"/>
      <c r="K268" s="25" t="s">
        <v>294</v>
      </c>
      <c r="L268" s="25"/>
      <c r="M268" s="26"/>
      <c r="N268" s="27"/>
      <c r="O268" s="25"/>
      <c r="P268" s="25"/>
      <c r="Q268" s="29" t="s">
        <v>140</v>
      </c>
      <c r="R268" s="25"/>
      <c r="S268" s="29"/>
      <c r="T268" s="30"/>
      <c r="U268" s="30"/>
      <c r="V268" s="30"/>
      <c r="W268" s="30"/>
      <c r="X268" s="30"/>
      <c r="Y268" s="30"/>
      <c r="Z268" s="30"/>
      <c r="AA268" s="30"/>
    </row>
    <row r="269" spans="1:27" ht="16.5" customHeight="1">
      <c r="A269" s="344"/>
      <c r="B269" s="344"/>
      <c r="C269" s="31">
        <v>5</v>
      </c>
      <c r="D269" s="344"/>
      <c r="E269" s="359" t="s">
        <v>629</v>
      </c>
      <c r="F269" s="350" t="s">
        <v>326</v>
      </c>
      <c r="G269" s="350" t="s">
        <v>327</v>
      </c>
      <c r="H269" s="356" t="s">
        <v>707</v>
      </c>
      <c r="I269" s="23" t="s">
        <v>630</v>
      </c>
      <c r="J269" s="170"/>
      <c r="K269" s="25"/>
      <c r="L269" s="25"/>
      <c r="M269" s="26"/>
      <c r="N269" s="27"/>
      <c r="O269" s="25"/>
      <c r="P269" s="25"/>
      <c r="Q269" s="29" t="s">
        <v>282</v>
      </c>
      <c r="R269" s="25"/>
      <c r="S269" s="29"/>
      <c r="T269" s="30"/>
      <c r="U269" s="30"/>
      <c r="V269" s="30"/>
      <c r="W269" s="30"/>
      <c r="X269" s="30"/>
      <c r="Y269" s="30"/>
      <c r="Z269" s="30"/>
      <c r="AA269" s="30"/>
    </row>
    <row r="270" spans="1:27" ht="15.75" customHeight="1">
      <c r="A270" s="344"/>
      <c r="B270" s="344"/>
      <c r="C270" s="31">
        <v>6</v>
      </c>
      <c r="D270" s="344"/>
      <c r="E270" s="344"/>
      <c r="F270" s="344"/>
      <c r="G270" s="344"/>
      <c r="H270" s="344"/>
      <c r="I270" s="23" t="s">
        <v>626</v>
      </c>
      <c r="J270" s="170"/>
      <c r="K270" s="25"/>
      <c r="L270" s="25"/>
      <c r="M270" s="26"/>
      <c r="N270" s="27"/>
      <c r="O270" s="25"/>
      <c r="P270" s="25"/>
      <c r="Q270" s="29" t="s">
        <v>282</v>
      </c>
      <c r="R270" s="25"/>
      <c r="S270" s="29"/>
      <c r="T270" s="30"/>
      <c r="U270" s="30"/>
      <c r="V270" s="30"/>
      <c r="W270" s="30"/>
      <c r="X270" s="30"/>
      <c r="Y270" s="30"/>
      <c r="Z270" s="30"/>
      <c r="AA270" s="30"/>
    </row>
    <row r="271" spans="1:27" ht="15.75" customHeight="1">
      <c r="A271" s="344"/>
      <c r="B271" s="344"/>
      <c r="C271" s="31">
        <v>7</v>
      </c>
      <c r="D271" s="344"/>
      <c r="E271" s="344"/>
      <c r="F271" s="344"/>
      <c r="G271" s="344"/>
      <c r="H271" s="344"/>
      <c r="I271" s="23" t="s">
        <v>631</v>
      </c>
      <c r="J271" s="170"/>
      <c r="K271" s="25" t="s">
        <v>294</v>
      </c>
      <c r="L271" s="25"/>
      <c r="M271" s="26"/>
      <c r="N271" s="27"/>
      <c r="O271" s="25"/>
      <c r="P271" s="25"/>
      <c r="Q271" s="29" t="s">
        <v>140</v>
      </c>
      <c r="R271" s="25"/>
      <c r="S271" s="29"/>
      <c r="T271" s="30"/>
      <c r="U271" s="30"/>
      <c r="V271" s="30"/>
      <c r="W271" s="30"/>
      <c r="X271" s="30"/>
      <c r="Y271" s="30"/>
      <c r="Z271" s="30"/>
      <c r="AA271" s="30"/>
    </row>
    <row r="272" spans="1:27" ht="15.75" customHeight="1">
      <c r="A272" s="344"/>
      <c r="B272" s="344"/>
      <c r="C272" s="31">
        <v>8</v>
      </c>
      <c r="D272" s="344"/>
      <c r="E272" s="345"/>
      <c r="F272" s="345"/>
      <c r="G272" s="345"/>
      <c r="H272" s="345"/>
      <c r="I272" s="23" t="s">
        <v>709</v>
      </c>
      <c r="J272" s="170"/>
      <c r="K272" s="25" t="s">
        <v>294</v>
      </c>
      <c r="L272" s="25"/>
      <c r="M272" s="26"/>
      <c r="N272" s="27"/>
      <c r="O272" s="25"/>
      <c r="P272" s="25"/>
      <c r="Q272" s="29" t="s">
        <v>140</v>
      </c>
      <c r="R272" s="25"/>
      <c r="S272" s="29"/>
      <c r="T272" s="30"/>
      <c r="U272" s="30"/>
      <c r="V272" s="30"/>
      <c r="W272" s="30"/>
      <c r="X272" s="30"/>
      <c r="Y272" s="30"/>
      <c r="Z272" s="30"/>
      <c r="AA272" s="30"/>
    </row>
    <row r="273" spans="1:27" ht="16.5" customHeight="1">
      <c r="A273" s="344"/>
      <c r="B273" s="344"/>
      <c r="C273" s="31">
        <v>9</v>
      </c>
      <c r="D273" s="344"/>
      <c r="E273" s="359" t="s">
        <v>633</v>
      </c>
      <c r="F273" s="350" t="s">
        <v>326</v>
      </c>
      <c r="G273" s="350" t="s">
        <v>327</v>
      </c>
      <c r="H273" s="356" t="s">
        <v>707</v>
      </c>
      <c r="I273" s="23" t="s">
        <v>634</v>
      </c>
      <c r="J273" s="170"/>
      <c r="K273" s="25"/>
      <c r="L273" s="25"/>
      <c r="M273" s="26"/>
      <c r="N273" s="27"/>
      <c r="O273" s="25"/>
      <c r="P273" s="25"/>
      <c r="Q273" s="29" t="s">
        <v>282</v>
      </c>
      <c r="R273" s="25"/>
      <c r="S273" s="29"/>
      <c r="T273" s="30"/>
      <c r="U273" s="30"/>
      <c r="V273" s="30"/>
      <c r="W273" s="30"/>
      <c r="X273" s="30"/>
      <c r="Y273" s="30"/>
      <c r="Z273" s="30"/>
      <c r="AA273" s="30"/>
    </row>
    <row r="274" spans="1:27" ht="15.75" customHeight="1">
      <c r="A274" s="344"/>
      <c r="B274" s="344"/>
      <c r="C274" s="31">
        <v>10</v>
      </c>
      <c r="D274" s="344"/>
      <c r="E274" s="344"/>
      <c r="F274" s="344"/>
      <c r="G274" s="344"/>
      <c r="H274" s="344"/>
      <c r="I274" s="23" t="s">
        <v>626</v>
      </c>
      <c r="J274" s="170"/>
      <c r="K274" s="25"/>
      <c r="L274" s="25"/>
      <c r="M274" s="26"/>
      <c r="N274" s="27"/>
      <c r="O274" s="25"/>
      <c r="P274" s="25"/>
      <c r="Q274" s="29" t="s">
        <v>282</v>
      </c>
      <c r="R274" s="25"/>
      <c r="S274" s="29"/>
      <c r="T274" s="30"/>
      <c r="U274" s="30"/>
      <c r="V274" s="30"/>
      <c r="W274" s="30"/>
      <c r="X274" s="30"/>
      <c r="Y274" s="30"/>
      <c r="Z274" s="30"/>
      <c r="AA274" s="30"/>
    </row>
    <row r="275" spans="1:27" ht="15.75" customHeight="1">
      <c r="A275" s="344"/>
      <c r="B275" s="344"/>
      <c r="C275" s="31">
        <v>11</v>
      </c>
      <c r="D275" s="344"/>
      <c r="E275" s="344"/>
      <c r="F275" s="344"/>
      <c r="G275" s="344"/>
      <c r="H275" s="344"/>
      <c r="I275" s="23" t="s">
        <v>635</v>
      </c>
      <c r="J275" s="170"/>
      <c r="K275" s="25" t="s">
        <v>294</v>
      </c>
      <c r="L275" s="25"/>
      <c r="M275" s="26"/>
      <c r="N275" s="27"/>
      <c r="O275" s="25"/>
      <c r="P275" s="25"/>
      <c r="Q275" s="29" t="s">
        <v>140</v>
      </c>
      <c r="R275" s="25"/>
      <c r="S275" s="29"/>
      <c r="T275" s="30"/>
      <c r="U275" s="30"/>
      <c r="V275" s="30"/>
      <c r="W275" s="30"/>
      <c r="X275" s="30"/>
      <c r="Y275" s="30"/>
      <c r="Z275" s="30"/>
      <c r="AA275" s="30"/>
    </row>
    <row r="276" spans="1:27" ht="15.75" customHeight="1">
      <c r="A276" s="345"/>
      <c r="B276" s="345"/>
      <c r="C276" s="31">
        <v>12</v>
      </c>
      <c r="D276" s="345"/>
      <c r="E276" s="345"/>
      <c r="F276" s="345"/>
      <c r="G276" s="345"/>
      <c r="H276" s="345"/>
      <c r="I276" s="23" t="s">
        <v>710</v>
      </c>
      <c r="J276" s="170"/>
      <c r="K276" s="25" t="s">
        <v>294</v>
      </c>
      <c r="L276" s="25"/>
      <c r="M276" s="26"/>
      <c r="N276" s="27"/>
      <c r="O276" s="25"/>
      <c r="P276" s="25"/>
      <c r="Q276" s="29" t="s">
        <v>140</v>
      </c>
      <c r="R276" s="25"/>
      <c r="S276" s="29"/>
      <c r="T276" s="30"/>
      <c r="U276" s="30"/>
      <c r="V276" s="30"/>
      <c r="W276" s="30"/>
      <c r="X276" s="30"/>
      <c r="Y276" s="30"/>
      <c r="Z276" s="30"/>
      <c r="AA276" s="30"/>
    </row>
    <row r="277" spans="1:27" ht="16.5" customHeight="1">
      <c r="A277" s="355" t="s">
        <v>637</v>
      </c>
      <c r="B277" s="350" t="s">
        <v>147</v>
      </c>
      <c r="C277" s="31">
        <v>1</v>
      </c>
      <c r="D277" s="355" t="s">
        <v>711</v>
      </c>
      <c r="E277" s="359" t="s">
        <v>639</v>
      </c>
      <c r="F277" s="350" t="s">
        <v>326</v>
      </c>
      <c r="G277" s="350" t="s">
        <v>327</v>
      </c>
      <c r="H277" s="356" t="s">
        <v>707</v>
      </c>
      <c r="I277" s="23" t="s">
        <v>630</v>
      </c>
      <c r="J277" s="170"/>
      <c r="K277" s="25"/>
      <c r="L277" s="25"/>
      <c r="M277" s="26"/>
      <c r="N277" s="27"/>
      <c r="O277" s="25"/>
      <c r="P277" s="25"/>
      <c r="Q277" s="29" t="s">
        <v>282</v>
      </c>
      <c r="R277" s="25"/>
      <c r="S277" s="29"/>
      <c r="T277" s="30"/>
      <c r="U277" s="30"/>
      <c r="V277" s="30"/>
      <c r="W277" s="30"/>
      <c r="X277" s="30"/>
      <c r="Y277" s="30"/>
      <c r="Z277" s="30"/>
      <c r="AA277" s="30"/>
    </row>
    <row r="278" spans="1:27" ht="15.75" customHeight="1">
      <c r="A278" s="344"/>
      <c r="B278" s="344"/>
      <c r="C278" s="31">
        <v>2</v>
      </c>
      <c r="D278" s="344"/>
      <c r="E278" s="344"/>
      <c r="F278" s="344"/>
      <c r="G278" s="344"/>
      <c r="H278" s="344"/>
      <c r="I278" s="23" t="s">
        <v>640</v>
      </c>
      <c r="J278" s="170"/>
      <c r="K278" s="25"/>
      <c r="L278" s="25"/>
      <c r="M278" s="26"/>
      <c r="N278" s="27"/>
      <c r="O278" s="25"/>
      <c r="P278" s="25"/>
      <c r="Q278" s="29" t="s">
        <v>282</v>
      </c>
      <c r="R278" s="25"/>
      <c r="S278" s="29"/>
      <c r="T278" s="30"/>
      <c r="U278" s="30"/>
      <c r="V278" s="30"/>
      <c r="W278" s="30"/>
      <c r="X278" s="30"/>
      <c r="Y278" s="30"/>
      <c r="Z278" s="30"/>
      <c r="AA278" s="30"/>
    </row>
    <row r="279" spans="1:27" ht="15.75" customHeight="1">
      <c r="A279" s="344"/>
      <c r="B279" s="344"/>
      <c r="C279" s="31">
        <v>3</v>
      </c>
      <c r="D279" s="344"/>
      <c r="E279" s="344"/>
      <c r="F279" s="344"/>
      <c r="G279" s="344"/>
      <c r="H279" s="344"/>
      <c r="I279" s="23" t="s">
        <v>627</v>
      </c>
      <c r="J279" s="170"/>
      <c r="K279" s="25" t="s">
        <v>294</v>
      </c>
      <c r="L279" s="25"/>
      <c r="M279" s="26"/>
      <c r="N279" s="27"/>
      <c r="O279" s="25"/>
      <c r="P279" s="25"/>
      <c r="Q279" s="29" t="s">
        <v>140</v>
      </c>
      <c r="R279" s="25"/>
      <c r="S279" s="29"/>
      <c r="T279" s="30"/>
      <c r="U279" s="30"/>
      <c r="V279" s="30"/>
      <c r="W279" s="30"/>
      <c r="X279" s="30"/>
      <c r="Y279" s="30"/>
      <c r="Z279" s="30"/>
      <c r="AA279" s="30"/>
    </row>
    <row r="280" spans="1:27" ht="15.75" customHeight="1">
      <c r="A280" s="344"/>
      <c r="B280" s="344"/>
      <c r="C280" s="31">
        <v>4</v>
      </c>
      <c r="D280" s="344"/>
      <c r="E280" s="345"/>
      <c r="F280" s="345"/>
      <c r="G280" s="345"/>
      <c r="H280" s="345"/>
      <c r="I280" s="23" t="s">
        <v>708</v>
      </c>
      <c r="J280" s="170"/>
      <c r="K280" s="25" t="s">
        <v>294</v>
      </c>
      <c r="L280" s="25"/>
      <c r="M280" s="26"/>
      <c r="N280" s="27"/>
      <c r="O280" s="25"/>
      <c r="P280" s="25"/>
      <c r="Q280" s="29" t="s">
        <v>140</v>
      </c>
      <c r="R280" s="25"/>
      <c r="S280" s="29"/>
      <c r="T280" s="30"/>
      <c r="U280" s="30"/>
      <c r="V280" s="30"/>
      <c r="W280" s="30"/>
      <c r="X280" s="30"/>
      <c r="Y280" s="30"/>
      <c r="Z280" s="30"/>
      <c r="AA280" s="30"/>
    </row>
    <row r="281" spans="1:27" ht="16.5" customHeight="1">
      <c r="A281" s="344"/>
      <c r="B281" s="344"/>
      <c r="C281" s="31">
        <v>5</v>
      </c>
      <c r="D281" s="344"/>
      <c r="E281" s="359" t="s">
        <v>641</v>
      </c>
      <c r="F281" s="350" t="s">
        <v>326</v>
      </c>
      <c r="G281" s="350" t="s">
        <v>327</v>
      </c>
      <c r="H281" s="356" t="s">
        <v>707</v>
      </c>
      <c r="I281" s="23" t="s">
        <v>634</v>
      </c>
      <c r="J281" s="170"/>
      <c r="K281" s="25"/>
      <c r="L281" s="25"/>
      <c r="M281" s="26"/>
      <c r="N281" s="27"/>
      <c r="O281" s="25"/>
      <c r="P281" s="25"/>
      <c r="Q281" s="29" t="s">
        <v>282</v>
      </c>
      <c r="R281" s="25"/>
      <c r="S281" s="29"/>
      <c r="T281" s="30"/>
      <c r="U281" s="30"/>
      <c r="V281" s="30"/>
      <c r="W281" s="30"/>
      <c r="X281" s="30"/>
      <c r="Y281" s="30"/>
      <c r="Z281" s="30"/>
      <c r="AA281" s="30"/>
    </row>
    <row r="282" spans="1:27" ht="15.75" customHeight="1">
      <c r="A282" s="344"/>
      <c r="B282" s="344"/>
      <c r="C282" s="31">
        <v>6</v>
      </c>
      <c r="D282" s="344"/>
      <c r="E282" s="344"/>
      <c r="F282" s="344"/>
      <c r="G282" s="344"/>
      <c r="H282" s="344"/>
      <c r="I282" s="23" t="s">
        <v>640</v>
      </c>
      <c r="J282" s="170"/>
      <c r="K282" s="25"/>
      <c r="L282" s="25"/>
      <c r="M282" s="26"/>
      <c r="N282" s="27"/>
      <c r="O282" s="25"/>
      <c r="P282" s="25"/>
      <c r="Q282" s="29" t="s">
        <v>282</v>
      </c>
      <c r="R282" s="25"/>
      <c r="S282" s="29"/>
      <c r="T282" s="30"/>
      <c r="U282" s="30"/>
      <c r="V282" s="30"/>
      <c r="W282" s="30"/>
      <c r="X282" s="30"/>
      <c r="Y282" s="30"/>
      <c r="Z282" s="30"/>
      <c r="AA282" s="30"/>
    </row>
    <row r="283" spans="1:27" ht="15.75" customHeight="1">
      <c r="A283" s="344"/>
      <c r="B283" s="344"/>
      <c r="C283" s="31">
        <v>7</v>
      </c>
      <c r="D283" s="344"/>
      <c r="E283" s="344"/>
      <c r="F283" s="344"/>
      <c r="G283" s="344"/>
      <c r="H283" s="344"/>
      <c r="I283" s="23" t="s">
        <v>631</v>
      </c>
      <c r="J283" s="170"/>
      <c r="K283" s="25" t="s">
        <v>294</v>
      </c>
      <c r="L283" s="25"/>
      <c r="M283" s="26"/>
      <c r="N283" s="27"/>
      <c r="O283" s="25"/>
      <c r="P283" s="25"/>
      <c r="Q283" s="29" t="s">
        <v>140</v>
      </c>
      <c r="R283" s="25"/>
      <c r="S283" s="29"/>
      <c r="T283" s="30"/>
      <c r="U283" s="30"/>
      <c r="V283" s="30"/>
      <c r="W283" s="30"/>
      <c r="X283" s="30"/>
      <c r="Y283" s="30"/>
      <c r="Z283" s="30"/>
      <c r="AA283" s="30"/>
    </row>
    <row r="284" spans="1:27" ht="15.75" customHeight="1">
      <c r="A284" s="344"/>
      <c r="B284" s="344"/>
      <c r="C284" s="31">
        <v>8</v>
      </c>
      <c r="D284" s="344"/>
      <c r="E284" s="345"/>
      <c r="F284" s="345"/>
      <c r="G284" s="345"/>
      <c r="H284" s="345"/>
      <c r="I284" s="23" t="s">
        <v>709</v>
      </c>
      <c r="J284" s="170"/>
      <c r="K284" s="25" t="s">
        <v>294</v>
      </c>
      <c r="L284" s="25"/>
      <c r="M284" s="26"/>
      <c r="N284" s="27"/>
      <c r="O284" s="25"/>
      <c r="P284" s="25"/>
      <c r="Q284" s="29" t="s">
        <v>140</v>
      </c>
      <c r="R284" s="25"/>
      <c r="S284" s="29"/>
      <c r="T284" s="30"/>
      <c r="U284" s="30"/>
      <c r="V284" s="30"/>
      <c r="W284" s="30"/>
      <c r="X284" s="30"/>
      <c r="Y284" s="30"/>
      <c r="Z284" s="30"/>
      <c r="AA284" s="30"/>
    </row>
    <row r="285" spans="1:27" ht="16.5" customHeight="1">
      <c r="A285" s="344"/>
      <c r="B285" s="344"/>
      <c r="C285" s="31">
        <v>9</v>
      </c>
      <c r="D285" s="344"/>
      <c r="E285" s="359" t="s">
        <v>642</v>
      </c>
      <c r="F285" s="350" t="s">
        <v>326</v>
      </c>
      <c r="G285" s="350" t="s">
        <v>327</v>
      </c>
      <c r="H285" s="356" t="s">
        <v>707</v>
      </c>
      <c r="I285" s="23" t="s">
        <v>643</v>
      </c>
      <c r="J285" s="170"/>
      <c r="K285" s="25"/>
      <c r="L285" s="25"/>
      <c r="M285" s="26"/>
      <c r="N285" s="27"/>
      <c r="O285" s="25"/>
      <c r="P285" s="25"/>
      <c r="Q285" s="29" t="s">
        <v>282</v>
      </c>
      <c r="R285" s="25"/>
      <c r="S285" s="29"/>
      <c r="T285" s="30"/>
      <c r="U285" s="30"/>
      <c r="V285" s="30"/>
      <c r="W285" s="30"/>
      <c r="X285" s="30"/>
      <c r="Y285" s="30"/>
      <c r="Z285" s="30"/>
      <c r="AA285" s="30"/>
    </row>
    <row r="286" spans="1:27" ht="15.75" customHeight="1">
      <c r="A286" s="344"/>
      <c r="B286" s="344"/>
      <c r="C286" s="31">
        <v>10</v>
      </c>
      <c r="D286" s="344"/>
      <c r="E286" s="344"/>
      <c r="F286" s="344"/>
      <c r="G286" s="344"/>
      <c r="H286" s="344"/>
      <c r="I286" s="23" t="s">
        <v>640</v>
      </c>
      <c r="J286" s="170"/>
      <c r="K286" s="25"/>
      <c r="L286" s="25"/>
      <c r="M286" s="26"/>
      <c r="N286" s="27"/>
      <c r="O286" s="25"/>
      <c r="P286" s="25"/>
      <c r="Q286" s="29" t="s">
        <v>282</v>
      </c>
      <c r="R286" s="25"/>
      <c r="S286" s="29"/>
      <c r="T286" s="30"/>
      <c r="U286" s="30"/>
      <c r="V286" s="30"/>
      <c r="W286" s="30"/>
      <c r="X286" s="30"/>
      <c r="Y286" s="30"/>
      <c r="Z286" s="30"/>
      <c r="AA286" s="30"/>
    </row>
    <row r="287" spans="1:27" ht="15.75" customHeight="1">
      <c r="A287" s="344"/>
      <c r="B287" s="344"/>
      <c r="C287" s="31">
        <v>11</v>
      </c>
      <c r="D287" s="344"/>
      <c r="E287" s="344"/>
      <c r="F287" s="344"/>
      <c r="G287" s="344"/>
      <c r="H287" s="344"/>
      <c r="I287" s="23" t="s">
        <v>635</v>
      </c>
      <c r="J287" s="170"/>
      <c r="K287" s="25" t="s">
        <v>294</v>
      </c>
      <c r="L287" s="25"/>
      <c r="M287" s="26"/>
      <c r="N287" s="27"/>
      <c r="O287" s="25"/>
      <c r="P287" s="25"/>
      <c r="Q287" s="29" t="s">
        <v>140</v>
      </c>
      <c r="R287" s="25"/>
      <c r="S287" s="29"/>
      <c r="T287" s="30"/>
      <c r="U287" s="30"/>
      <c r="V287" s="30"/>
      <c r="W287" s="30"/>
      <c r="X287" s="30"/>
      <c r="Y287" s="30"/>
      <c r="Z287" s="30"/>
      <c r="AA287" s="30"/>
    </row>
    <row r="288" spans="1:27" ht="15.75" customHeight="1">
      <c r="A288" s="345"/>
      <c r="B288" s="345"/>
      <c r="C288" s="31">
        <v>12</v>
      </c>
      <c r="D288" s="345"/>
      <c r="E288" s="345"/>
      <c r="F288" s="345"/>
      <c r="G288" s="345"/>
      <c r="H288" s="345"/>
      <c r="I288" s="23" t="s">
        <v>710</v>
      </c>
      <c r="J288" s="170"/>
      <c r="K288" s="25" t="s">
        <v>294</v>
      </c>
      <c r="L288" s="25"/>
      <c r="M288" s="26"/>
      <c r="N288" s="27"/>
      <c r="O288" s="25"/>
      <c r="P288" s="25"/>
      <c r="Q288" s="29" t="s">
        <v>140</v>
      </c>
      <c r="R288" s="25"/>
      <c r="S288" s="29"/>
      <c r="T288" s="30"/>
      <c r="U288" s="30"/>
      <c r="V288" s="30"/>
      <c r="W288" s="30"/>
      <c r="X288" s="30"/>
      <c r="Y288" s="30"/>
      <c r="Z288" s="30"/>
      <c r="AA288" s="30"/>
    </row>
    <row r="289" spans="1:27" ht="16.5" customHeight="1">
      <c r="A289" s="355" t="s">
        <v>644</v>
      </c>
      <c r="B289" s="350" t="s">
        <v>148</v>
      </c>
      <c r="C289" s="31">
        <v>1</v>
      </c>
      <c r="D289" s="355" t="s">
        <v>712</v>
      </c>
      <c r="E289" s="359" t="s">
        <v>646</v>
      </c>
      <c r="F289" s="350" t="s">
        <v>326</v>
      </c>
      <c r="G289" s="350" t="s">
        <v>327</v>
      </c>
      <c r="H289" s="356" t="s">
        <v>713</v>
      </c>
      <c r="I289" s="23" t="s">
        <v>634</v>
      </c>
      <c r="J289" s="170"/>
      <c r="K289" s="25"/>
      <c r="L289" s="25"/>
      <c r="M289" s="26"/>
      <c r="N289" s="27"/>
      <c r="O289" s="25"/>
      <c r="P289" s="25"/>
      <c r="Q289" s="29" t="s">
        <v>282</v>
      </c>
      <c r="R289" s="25"/>
      <c r="S289" s="29"/>
      <c r="T289" s="30"/>
      <c r="U289" s="30"/>
      <c r="V289" s="30"/>
      <c r="W289" s="30"/>
      <c r="X289" s="30"/>
      <c r="Y289" s="30"/>
      <c r="Z289" s="30"/>
      <c r="AA289" s="30"/>
    </row>
    <row r="290" spans="1:27" ht="15.75" customHeight="1">
      <c r="A290" s="344"/>
      <c r="B290" s="344"/>
      <c r="C290" s="31">
        <v>2</v>
      </c>
      <c r="D290" s="344"/>
      <c r="E290" s="344"/>
      <c r="F290" s="344"/>
      <c r="G290" s="344"/>
      <c r="H290" s="344"/>
      <c r="I290" s="23" t="s">
        <v>647</v>
      </c>
      <c r="J290" s="170"/>
      <c r="K290" s="25"/>
      <c r="L290" s="25"/>
      <c r="M290" s="26"/>
      <c r="N290" s="27"/>
      <c r="O290" s="25"/>
      <c r="P290" s="25"/>
      <c r="Q290" s="29" t="s">
        <v>282</v>
      </c>
      <c r="R290" s="25"/>
      <c r="S290" s="29"/>
      <c r="T290" s="30"/>
      <c r="U290" s="30"/>
      <c r="V290" s="30"/>
      <c r="W290" s="30"/>
      <c r="X290" s="30"/>
      <c r="Y290" s="30"/>
      <c r="Z290" s="30"/>
      <c r="AA290" s="30"/>
    </row>
    <row r="291" spans="1:27" ht="15.75" customHeight="1">
      <c r="A291" s="344"/>
      <c r="B291" s="344"/>
      <c r="C291" s="31">
        <v>3</v>
      </c>
      <c r="D291" s="344"/>
      <c r="E291" s="344"/>
      <c r="F291" s="344"/>
      <c r="G291" s="344"/>
      <c r="H291" s="344"/>
      <c r="I291" s="23" t="s">
        <v>627</v>
      </c>
      <c r="J291" s="170"/>
      <c r="K291" s="25" t="s">
        <v>294</v>
      </c>
      <c r="L291" s="25"/>
      <c r="M291" s="26"/>
      <c r="N291" s="27"/>
      <c r="O291" s="25"/>
      <c r="P291" s="25"/>
      <c r="Q291" s="29" t="s">
        <v>140</v>
      </c>
      <c r="R291" s="25"/>
      <c r="S291" s="29"/>
      <c r="T291" s="30"/>
      <c r="U291" s="30"/>
      <c r="V291" s="30"/>
      <c r="W291" s="30"/>
      <c r="X291" s="30"/>
      <c r="Y291" s="30"/>
      <c r="Z291" s="30"/>
      <c r="AA291" s="30"/>
    </row>
    <row r="292" spans="1:27" ht="15.75" customHeight="1">
      <c r="A292" s="344"/>
      <c r="B292" s="344"/>
      <c r="C292" s="31">
        <v>4</v>
      </c>
      <c r="D292" s="344"/>
      <c r="E292" s="345"/>
      <c r="F292" s="345"/>
      <c r="G292" s="345"/>
      <c r="H292" s="345"/>
      <c r="I292" s="23" t="s">
        <v>708</v>
      </c>
      <c r="J292" s="170"/>
      <c r="K292" s="25" t="s">
        <v>294</v>
      </c>
      <c r="L292" s="25"/>
      <c r="M292" s="26"/>
      <c r="N292" s="27"/>
      <c r="O292" s="25"/>
      <c r="P292" s="25"/>
      <c r="Q292" s="29" t="s">
        <v>140</v>
      </c>
      <c r="R292" s="25"/>
      <c r="S292" s="29"/>
      <c r="T292" s="30"/>
      <c r="U292" s="30"/>
      <c r="V292" s="30"/>
      <c r="W292" s="30"/>
      <c r="X292" s="30"/>
      <c r="Y292" s="30"/>
      <c r="Z292" s="30"/>
      <c r="AA292" s="30"/>
    </row>
    <row r="293" spans="1:27" ht="16.5" customHeight="1">
      <c r="A293" s="344"/>
      <c r="B293" s="344"/>
      <c r="C293" s="31">
        <v>5</v>
      </c>
      <c r="D293" s="344"/>
      <c r="E293" s="359" t="s">
        <v>648</v>
      </c>
      <c r="F293" s="350" t="s">
        <v>326</v>
      </c>
      <c r="G293" s="350" t="s">
        <v>327</v>
      </c>
      <c r="H293" s="356" t="s">
        <v>713</v>
      </c>
      <c r="I293" s="23" t="s">
        <v>643</v>
      </c>
      <c r="J293" s="170"/>
      <c r="K293" s="25"/>
      <c r="L293" s="25"/>
      <c r="M293" s="26"/>
      <c r="N293" s="27"/>
      <c r="O293" s="25"/>
      <c r="P293" s="25"/>
      <c r="Q293" s="29" t="s">
        <v>282</v>
      </c>
      <c r="R293" s="25"/>
      <c r="S293" s="29"/>
      <c r="T293" s="30"/>
      <c r="U293" s="30"/>
      <c r="V293" s="30"/>
      <c r="W293" s="30"/>
      <c r="X293" s="30"/>
      <c r="Y293" s="30"/>
      <c r="Z293" s="30"/>
      <c r="AA293" s="30"/>
    </row>
    <row r="294" spans="1:27" ht="15.75" customHeight="1">
      <c r="A294" s="344"/>
      <c r="B294" s="344"/>
      <c r="C294" s="31">
        <v>6</v>
      </c>
      <c r="D294" s="344"/>
      <c r="E294" s="344"/>
      <c r="F294" s="344"/>
      <c r="G294" s="344"/>
      <c r="H294" s="344"/>
      <c r="I294" s="23" t="s">
        <v>647</v>
      </c>
      <c r="J294" s="170"/>
      <c r="K294" s="25"/>
      <c r="L294" s="25"/>
      <c r="M294" s="26"/>
      <c r="N294" s="27"/>
      <c r="O294" s="25"/>
      <c r="P294" s="25"/>
      <c r="Q294" s="29" t="s">
        <v>282</v>
      </c>
      <c r="R294" s="25"/>
      <c r="S294" s="29"/>
      <c r="T294" s="30"/>
      <c r="U294" s="30"/>
      <c r="V294" s="30"/>
      <c r="W294" s="30"/>
      <c r="X294" s="30"/>
      <c r="Y294" s="30"/>
      <c r="Z294" s="30"/>
      <c r="AA294" s="30"/>
    </row>
    <row r="295" spans="1:27" ht="15.75" customHeight="1">
      <c r="A295" s="344"/>
      <c r="B295" s="344"/>
      <c r="C295" s="31">
        <v>7</v>
      </c>
      <c r="D295" s="344"/>
      <c r="E295" s="344"/>
      <c r="F295" s="344"/>
      <c r="G295" s="344"/>
      <c r="H295" s="344"/>
      <c r="I295" s="23" t="s">
        <v>631</v>
      </c>
      <c r="J295" s="170"/>
      <c r="K295" s="25" t="s">
        <v>294</v>
      </c>
      <c r="L295" s="25"/>
      <c r="M295" s="26"/>
      <c r="N295" s="27"/>
      <c r="O295" s="25"/>
      <c r="P295" s="25"/>
      <c r="Q295" s="29" t="s">
        <v>140</v>
      </c>
      <c r="R295" s="25"/>
      <c r="S295" s="29"/>
      <c r="T295" s="30"/>
      <c r="U295" s="30"/>
      <c r="V295" s="30"/>
      <c r="W295" s="30"/>
      <c r="X295" s="30"/>
      <c r="Y295" s="30"/>
      <c r="Z295" s="30"/>
      <c r="AA295" s="30"/>
    </row>
    <row r="296" spans="1:27" ht="15.75" customHeight="1">
      <c r="A296" s="344"/>
      <c r="B296" s="344"/>
      <c r="C296" s="31">
        <v>8</v>
      </c>
      <c r="D296" s="344"/>
      <c r="E296" s="345"/>
      <c r="F296" s="345"/>
      <c r="G296" s="345"/>
      <c r="H296" s="345"/>
      <c r="I296" s="23" t="s">
        <v>709</v>
      </c>
      <c r="J296" s="170"/>
      <c r="K296" s="25" t="s">
        <v>294</v>
      </c>
      <c r="L296" s="25"/>
      <c r="M296" s="26"/>
      <c r="N296" s="27"/>
      <c r="O296" s="25"/>
      <c r="P296" s="25"/>
      <c r="Q296" s="50" t="s">
        <v>140</v>
      </c>
      <c r="R296" s="25"/>
      <c r="S296" s="50"/>
      <c r="T296" s="30"/>
      <c r="U296" s="30"/>
      <c r="V296" s="30"/>
      <c r="W296" s="30"/>
      <c r="X296" s="30"/>
      <c r="Y296" s="30"/>
      <c r="Z296" s="30"/>
      <c r="AA296" s="30"/>
    </row>
    <row r="297" spans="1:27" ht="16.5" customHeight="1">
      <c r="A297" s="344"/>
      <c r="B297" s="344"/>
      <c r="C297" s="31">
        <v>9</v>
      </c>
      <c r="D297" s="344"/>
      <c r="E297" s="359" t="s">
        <v>649</v>
      </c>
      <c r="F297" s="350" t="s">
        <v>326</v>
      </c>
      <c r="G297" s="350" t="s">
        <v>327</v>
      </c>
      <c r="H297" s="356" t="s">
        <v>713</v>
      </c>
      <c r="I297" s="23" t="s">
        <v>650</v>
      </c>
      <c r="J297" s="170"/>
      <c r="K297" s="25"/>
      <c r="L297" s="25"/>
      <c r="M297" s="26"/>
      <c r="N297" s="27"/>
      <c r="O297" s="25"/>
      <c r="P297" s="25"/>
      <c r="Q297" s="50" t="s">
        <v>282</v>
      </c>
      <c r="R297" s="25"/>
      <c r="S297" s="50"/>
      <c r="T297" s="30"/>
      <c r="U297" s="30"/>
      <c r="V297" s="30"/>
      <c r="W297" s="30"/>
      <c r="X297" s="30"/>
      <c r="Y297" s="30"/>
      <c r="Z297" s="30"/>
      <c r="AA297" s="30"/>
    </row>
    <row r="298" spans="1:27" ht="15.75" customHeight="1">
      <c r="A298" s="344"/>
      <c r="B298" s="344"/>
      <c r="C298" s="31">
        <v>10</v>
      </c>
      <c r="D298" s="344"/>
      <c r="E298" s="344"/>
      <c r="F298" s="344"/>
      <c r="G298" s="344"/>
      <c r="H298" s="344"/>
      <c r="I298" s="23" t="s">
        <v>647</v>
      </c>
      <c r="J298" s="170"/>
      <c r="K298" s="25"/>
      <c r="L298" s="25"/>
      <c r="M298" s="26"/>
      <c r="N298" s="27"/>
      <c r="O298" s="25"/>
      <c r="P298" s="25"/>
      <c r="Q298" s="50" t="s">
        <v>282</v>
      </c>
      <c r="R298" s="25"/>
      <c r="S298" s="50"/>
      <c r="T298" s="30"/>
      <c r="U298" s="30"/>
      <c r="V298" s="30"/>
      <c r="W298" s="30"/>
      <c r="X298" s="30"/>
      <c r="Y298" s="30"/>
      <c r="Z298" s="30"/>
      <c r="AA298" s="30"/>
    </row>
    <row r="299" spans="1:27" ht="15.75" customHeight="1">
      <c r="A299" s="344"/>
      <c r="B299" s="344"/>
      <c r="C299" s="31">
        <v>11</v>
      </c>
      <c r="D299" s="344"/>
      <c r="E299" s="344"/>
      <c r="F299" s="344"/>
      <c r="G299" s="344"/>
      <c r="H299" s="344"/>
      <c r="I299" s="23" t="s">
        <v>635</v>
      </c>
      <c r="J299" s="170"/>
      <c r="K299" s="25" t="s">
        <v>294</v>
      </c>
      <c r="L299" s="25"/>
      <c r="M299" s="26"/>
      <c r="N299" s="27"/>
      <c r="O299" s="25"/>
      <c r="P299" s="25"/>
      <c r="Q299" s="50" t="s">
        <v>140</v>
      </c>
      <c r="R299" s="25"/>
      <c r="S299" s="50"/>
      <c r="T299" s="30"/>
      <c r="U299" s="30"/>
      <c r="V299" s="30"/>
      <c r="W299" s="30"/>
      <c r="X299" s="30"/>
      <c r="Y299" s="30"/>
      <c r="Z299" s="30"/>
      <c r="AA299" s="30"/>
    </row>
    <row r="300" spans="1:27" ht="15.75" customHeight="1">
      <c r="A300" s="345"/>
      <c r="B300" s="345"/>
      <c r="C300" s="31">
        <v>12</v>
      </c>
      <c r="D300" s="345"/>
      <c r="E300" s="345"/>
      <c r="F300" s="345"/>
      <c r="G300" s="345"/>
      <c r="H300" s="345"/>
      <c r="I300" s="23" t="s">
        <v>710</v>
      </c>
      <c r="J300" s="170"/>
      <c r="K300" s="25" t="s">
        <v>294</v>
      </c>
      <c r="L300" s="25"/>
      <c r="M300" s="26"/>
      <c r="N300" s="27"/>
      <c r="O300" s="25"/>
      <c r="P300" s="25"/>
      <c r="Q300" s="50" t="s">
        <v>140</v>
      </c>
      <c r="R300" s="25"/>
      <c r="S300" s="50"/>
      <c r="T300" s="30"/>
      <c r="U300" s="30"/>
      <c r="V300" s="30"/>
      <c r="W300" s="30"/>
      <c r="X300" s="30"/>
      <c r="Y300" s="30"/>
      <c r="Z300" s="30"/>
      <c r="AA300" s="30"/>
    </row>
    <row r="301" spans="1:27" ht="15.75" customHeight="1">
      <c r="A301" s="15" t="s">
        <v>714</v>
      </c>
      <c r="B301" s="16"/>
      <c r="C301" s="16"/>
      <c r="D301" s="17"/>
      <c r="E301" s="18"/>
      <c r="F301" s="19"/>
      <c r="G301" s="19"/>
      <c r="H301" s="17"/>
      <c r="I301" s="20"/>
      <c r="J301" s="20"/>
      <c r="K301" s="16"/>
      <c r="L301" s="16"/>
      <c r="M301" s="16"/>
      <c r="N301" s="3"/>
      <c r="O301" s="16"/>
      <c r="P301" s="16"/>
      <c r="Q301" s="16"/>
      <c r="R301" s="16"/>
      <c r="S301" s="16"/>
    </row>
    <row r="302" spans="1:27" ht="15.75" customHeight="1">
      <c r="A302" s="355" t="s">
        <v>715</v>
      </c>
      <c r="B302" s="350" t="s">
        <v>232</v>
      </c>
      <c r="C302" s="31">
        <v>1</v>
      </c>
      <c r="D302" s="355" t="s">
        <v>716</v>
      </c>
      <c r="E302" s="355" t="s">
        <v>715</v>
      </c>
      <c r="F302" s="350" t="s">
        <v>326</v>
      </c>
      <c r="G302" s="350" t="s">
        <v>327</v>
      </c>
      <c r="H302" s="23" t="s">
        <v>717</v>
      </c>
      <c r="I302" s="23" t="s">
        <v>718</v>
      </c>
      <c r="J302" s="170"/>
      <c r="K302" s="25" t="s">
        <v>294</v>
      </c>
      <c r="L302" s="25"/>
      <c r="M302" s="43"/>
      <c r="N302" s="55"/>
      <c r="O302" s="25" t="s">
        <v>140</v>
      </c>
      <c r="P302" s="25"/>
      <c r="Q302" s="50" t="s">
        <v>140</v>
      </c>
      <c r="R302" s="25"/>
      <c r="S302" s="50"/>
      <c r="T302" s="30"/>
      <c r="U302" s="30"/>
      <c r="V302" s="30"/>
      <c r="W302" s="30"/>
      <c r="X302" s="30"/>
      <c r="Y302" s="30"/>
      <c r="Z302" s="30"/>
      <c r="AA302" s="30"/>
    </row>
    <row r="303" spans="1:27" ht="15.75" customHeight="1">
      <c r="A303" s="344"/>
      <c r="B303" s="344"/>
      <c r="C303" s="31">
        <v>2</v>
      </c>
      <c r="D303" s="344"/>
      <c r="E303" s="344"/>
      <c r="F303" s="344"/>
      <c r="G303" s="344"/>
      <c r="H303" s="23" t="s">
        <v>719</v>
      </c>
      <c r="I303" s="23" t="s">
        <v>720</v>
      </c>
      <c r="J303" s="170"/>
      <c r="K303" s="25"/>
      <c r="L303" s="25"/>
      <c r="M303" s="26"/>
      <c r="N303" s="55"/>
      <c r="O303" s="25" t="s">
        <v>140</v>
      </c>
      <c r="P303" s="25"/>
      <c r="Q303" s="50" t="s">
        <v>282</v>
      </c>
      <c r="R303" s="25"/>
      <c r="S303" s="50"/>
      <c r="T303" s="30"/>
      <c r="U303" s="30"/>
      <c r="V303" s="30"/>
      <c r="W303" s="30"/>
      <c r="X303" s="30"/>
      <c r="Y303" s="30"/>
      <c r="Z303" s="30"/>
      <c r="AA303" s="30"/>
    </row>
    <row r="304" spans="1:27" ht="15.75" customHeight="1">
      <c r="A304" s="344"/>
      <c r="B304" s="344"/>
      <c r="C304" s="31">
        <v>3</v>
      </c>
      <c r="D304" s="344"/>
      <c r="E304" s="344"/>
      <c r="F304" s="344"/>
      <c r="G304" s="344"/>
      <c r="H304" s="23" t="s">
        <v>721</v>
      </c>
      <c r="I304" s="23" t="s">
        <v>722</v>
      </c>
      <c r="J304" s="170"/>
      <c r="K304" s="25" t="s">
        <v>294</v>
      </c>
      <c r="L304" s="25"/>
      <c r="M304" s="43"/>
      <c r="N304" s="55"/>
      <c r="O304" s="25"/>
      <c r="P304" s="25"/>
      <c r="Q304" s="50" t="s">
        <v>140</v>
      </c>
      <c r="R304" s="25"/>
      <c r="S304" s="50"/>
      <c r="T304" s="30"/>
      <c r="U304" s="30"/>
      <c r="V304" s="30"/>
      <c r="W304" s="30"/>
      <c r="X304" s="30"/>
      <c r="Y304" s="30"/>
      <c r="Z304" s="30"/>
      <c r="AA304" s="30"/>
    </row>
    <row r="305" spans="1:27" ht="15.75" customHeight="1">
      <c r="A305" s="344"/>
      <c r="B305" s="344"/>
      <c r="C305" s="31">
        <v>4</v>
      </c>
      <c r="D305" s="344"/>
      <c r="E305" s="344"/>
      <c r="F305" s="344"/>
      <c r="G305" s="344"/>
      <c r="H305" s="23" t="s">
        <v>723</v>
      </c>
      <c r="I305" s="23" t="s">
        <v>720</v>
      </c>
      <c r="J305" s="170"/>
      <c r="K305" s="25"/>
      <c r="L305" s="25"/>
      <c r="M305" s="26"/>
      <c r="N305" s="55"/>
      <c r="O305" s="25"/>
      <c r="P305" s="25"/>
      <c r="Q305" s="50" t="s">
        <v>282</v>
      </c>
      <c r="R305" s="25"/>
      <c r="S305" s="50"/>
      <c r="T305" s="30"/>
      <c r="U305" s="30"/>
      <c r="V305" s="30"/>
      <c r="W305" s="30"/>
      <c r="X305" s="30"/>
      <c r="Y305" s="30"/>
      <c r="Z305" s="30"/>
      <c r="AA305" s="30"/>
    </row>
    <row r="306" spans="1:27" ht="15.75" customHeight="1">
      <c r="A306" s="344"/>
      <c r="B306" s="344"/>
      <c r="C306" s="31">
        <v>5</v>
      </c>
      <c r="D306" s="344"/>
      <c r="E306" s="344"/>
      <c r="F306" s="344"/>
      <c r="G306" s="344"/>
      <c r="H306" s="23" t="s">
        <v>724</v>
      </c>
      <c r="I306" s="23" t="s">
        <v>725</v>
      </c>
      <c r="J306" s="170"/>
      <c r="K306" s="25" t="s">
        <v>294</v>
      </c>
      <c r="L306" s="25"/>
      <c r="M306" s="43"/>
      <c r="N306" s="55"/>
      <c r="O306" s="25"/>
      <c r="P306" s="25"/>
      <c r="Q306" s="50" t="s">
        <v>140</v>
      </c>
      <c r="R306" s="25"/>
      <c r="S306" s="50"/>
      <c r="T306" s="30"/>
      <c r="U306" s="30"/>
      <c r="V306" s="30"/>
      <c r="W306" s="30"/>
      <c r="X306" s="30"/>
      <c r="Y306" s="30"/>
      <c r="Z306" s="30"/>
      <c r="AA306" s="30"/>
    </row>
    <row r="307" spans="1:27" ht="15.75" customHeight="1">
      <c r="A307" s="344"/>
      <c r="B307" s="344"/>
      <c r="C307" s="31">
        <v>6</v>
      </c>
      <c r="D307" s="344"/>
      <c r="E307" s="345"/>
      <c r="F307" s="345"/>
      <c r="G307" s="345"/>
      <c r="H307" s="23" t="s">
        <v>726</v>
      </c>
      <c r="I307" s="23" t="s">
        <v>720</v>
      </c>
      <c r="J307" s="170"/>
      <c r="K307" s="25"/>
      <c r="L307" s="25"/>
      <c r="M307" s="26"/>
      <c r="N307" s="55"/>
      <c r="O307" s="25"/>
      <c r="P307" s="25"/>
      <c r="Q307" s="50" t="s">
        <v>282</v>
      </c>
      <c r="R307" s="25"/>
      <c r="S307" s="50"/>
      <c r="T307" s="30"/>
      <c r="U307" s="30"/>
      <c r="V307" s="30"/>
      <c r="W307" s="30"/>
      <c r="X307" s="30"/>
      <c r="Y307" s="30"/>
      <c r="Z307" s="30"/>
      <c r="AA307" s="30"/>
    </row>
    <row r="308" spans="1:27" ht="15.75" customHeight="1">
      <c r="A308" s="344"/>
      <c r="B308" s="344"/>
      <c r="C308" s="31">
        <v>7</v>
      </c>
      <c r="D308" s="344"/>
      <c r="E308" s="359" t="s">
        <v>385</v>
      </c>
      <c r="F308" s="360" t="s">
        <v>326</v>
      </c>
      <c r="G308" s="360" t="s">
        <v>327</v>
      </c>
      <c r="H308" s="356" t="s">
        <v>386</v>
      </c>
      <c r="I308" s="23" t="s">
        <v>727</v>
      </c>
      <c r="J308" s="170"/>
      <c r="K308" s="25"/>
      <c r="L308" s="25"/>
      <c r="M308" s="26"/>
      <c r="N308" s="27"/>
      <c r="O308" s="25"/>
      <c r="P308" s="25"/>
      <c r="Q308" s="50" t="s">
        <v>282</v>
      </c>
      <c r="R308" s="25"/>
      <c r="S308" s="50"/>
      <c r="T308" s="30"/>
      <c r="U308" s="30"/>
      <c r="V308" s="30"/>
      <c r="W308" s="30"/>
      <c r="X308" s="30"/>
      <c r="Y308" s="30"/>
      <c r="Z308" s="30"/>
      <c r="AA308" s="30"/>
    </row>
    <row r="309" spans="1:27" ht="15.75" customHeight="1">
      <c r="A309" s="344"/>
      <c r="B309" s="344"/>
      <c r="C309" s="31">
        <v>8</v>
      </c>
      <c r="D309" s="344"/>
      <c r="E309" s="344"/>
      <c r="F309" s="344"/>
      <c r="G309" s="344"/>
      <c r="H309" s="344"/>
      <c r="I309" s="23" t="s">
        <v>728</v>
      </c>
      <c r="J309" s="170"/>
      <c r="K309" s="25"/>
      <c r="L309" s="25"/>
      <c r="M309" s="26"/>
      <c r="N309" s="27"/>
      <c r="O309" s="25"/>
      <c r="P309" s="25"/>
      <c r="Q309" s="50" t="s">
        <v>282</v>
      </c>
      <c r="R309" s="25"/>
      <c r="S309" s="50"/>
      <c r="T309" s="30"/>
      <c r="U309" s="30"/>
      <c r="V309" s="30"/>
      <c r="W309" s="30"/>
      <c r="X309" s="30"/>
      <c r="Y309" s="30"/>
      <c r="Z309" s="30"/>
      <c r="AA309" s="30"/>
    </row>
    <row r="310" spans="1:27" ht="15.75" customHeight="1">
      <c r="A310" s="344"/>
      <c r="B310" s="344"/>
      <c r="C310" s="31">
        <v>9</v>
      </c>
      <c r="D310" s="344"/>
      <c r="E310" s="344"/>
      <c r="F310" s="344"/>
      <c r="G310" s="344"/>
      <c r="H310" s="344"/>
      <c r="I310" s="23" t="s">
        <v>729</v>
      </c>
      <c r="J310" s="170"/>
      <c r="K310" s="25"/>
      <c r="L310" s="25"/>
      <c r="M310" s="26"/>
      <c r="N310" s="27"/>
      <c r="O310" s="25"/>
      <c r="P310" s="25"/>
      <c r="Q310" s="50" t="s">
        <v>282</v>
      </c>
      <c r="R310" s="25"/>
      <c r="S310" s="50"/>
      <c r="T310" s="30"/>
      <c r="U310" s="30"/>
      <c r="V310" s="30"/>
      <c r="W310" s="30"/>
      <c r="X310" s="30"/>
      <c r="Y310" s="30"/>
      <c r="Z310" s="30"/>
      <c r="AA310" s="30"/>
    </row>
    <row r="311" spans="1:27" ht="15.75" customHeight="1">
      <c r="A311" s="344"/>
      <c r="B311" s="344"/>
      <c r="C311" s="31">
        <v>10</v>
      </c>
      <c r="D311" s="344"/>
      <c r="E311" s="344"/>
      <c r="F311" s="344"/>
      <c r="G311" s="344"/>
      <c r="H311" s="344"/>
      <c r="I311" s="23" t="s">
        <v>730</v>
      </c>
      <c r="J311" s="170"/>
      <c r="K311" s="25"/>
      <c r="L311" s="25"/>
      <c r="M311" s="26"/>
      <c r="N311" s="27"/>
      <c r="O311" s="25"/>
      <c r="P311" s="25"/>
      <c r="Q311" s="50" t="s">
        <v>282</v>
      </c>
      <c r="R311" s="25"/>
      <c r="S311" s="50"/>
      <c r="T311" s="30"/>
      <c r="U311" s="30"/>
      <c r="V311" s="30"/>
      <c r="W311" s="30"/>
      <c r="X311" s="30"/>
      <c r="Y311" s="30"/>
      <c r="Z311" s="30"/>
      <c r="AA311" s="30"/>
    </row>
    <row r="312" spans="1:27" ht="15.75" customHeight="1">
      <c r="A312" s="344"/>
      <c r="B312" s="344"/>
      <c r="C312" s="31">
        <v>11</v>
      </c>
      <c r="D312" s="344"/>
      <c r="E312" s="344"/>
      <c r="F312" s="344"/>
      <c r="G312" s="344"/>
      <c r="H312" s="344"/>
      <c r="I312" s="35" t="s">
        <v>731</v>
      </c>
      <c r="J312" s="172"/>
      <c r="K312" s="25"/>
      <c r="L312" s="25"/>
      <c r="M312" s="26"/>
      <c r="N312" s="27"/>
      <c r="O312" s="25"/>
      <c r="P312" s="25"/>
      <c r="Q312" s="50" t="s">
        <v>282</v>
      </c>
      <c r="R312" s="25"/>
      <c r="S312" s="50"/>
      <c r="T312" s="30"/>
      <c r="U312" s="30"/>
      <c r="V312" s="30"/>
      <c r="W312" s="30"/>
      <c r="X312" s="30"/>
      <c r="Y312" s="30"/>
      <c r="Z312" s="30"/>
      <c r="AA312" s="30"/>
    </row>
    <row r="313" spans="1:27" ht="15.75" customHeight="1">
      <c r="A313" s="345"/>
      <c r="B313" s="345"/>
      <c r="C313" s="31">
        <v>12</v>
      </c>
      <c r="D313" s="345"/>
      <c r="E313" s="345"/>
      <c r="F313" s="345"/>
      <c r="G313" s="345"/>
      <c r="H313" s="345"/>
      <c r="I313" s="23" t="s">
        <v>389</v>
      </c>
      <c r="J313" s="170"/>
      <c r="K313" s="25"/>
      <c r="L313" s="25"/>
      <c r="M313" s="26"/>
      <c r="N313" s="27"/>
      <c r="O313" s="25"/>
      <c r="P313" s="25"/>
      <c r="Q313" s="50" t="s">
        <v>282</v>
      </c>
      <c r="R313" s="25"/>
      <c r="S313" s="50"/>
      <c r="T313" s="30"/>
      <c r="U313" s="30"/>
      <c r="V313" s="30"/>
      <c r="W313" s="30"/>
      <c r="X313" s="30"/>
      <c r="Y313" s="30"/>
      <c r="Z313" s="30"/>
      <c r="AA313" s="30"/>
    </row>
    <row r="314" spans="1:27" ht="49.5" customHeight="1">
      <c r="A314" s="355" t="s">
        <v>732</v>
      </c>
      <c r="B314" s="350" t="s">
        <v>149</v>
      </c>
      <c r="C314" s="31">
        <v>1</v>
      </c>
      <c r="D314" s="355" t="s">
        <v>733</v>
      </c>
      <c r="E314" s="355" t="s">
        <v>732</v>
      </c>
      <c r="F314" s="350" t="s">
        <v>326</v>
      </c>
      <c r="G314" s="350" t="s">
        <v>327</v>
      </c>
      <c r="H314" s="23" t="s">
        <v>734</v>
      </c>
      <c r="I314" s="23" t="s">
        <v>735</v>
      </c>
      <c r="J314" s="170"/>
      <c r="K314" s="25" t="s">
        <v>294</v>
      </c>
      <c r="L314" s="25"/>
      <c r="M314" s="43"/>
      <c r="N314" s="55"/>
      <c r="O314" s="25"/>
      <c r="P314" s="25"/>
      <c r="Q314" s="50" t="s">
        <v>140</v>
      </c>
      <c r="R314" s="25"/>
      <c r="S314" s="50"/>
      <c r="T314" s="30"/>
      <c r="U314" s="30"/>
      <c r="V314" s="30"/>
      <c r="W314" s="30"/>
      <c r="X314" s="30"/>
      <c r="Y314" s="30"/>
      <c r="Z314" s="30"/>
      <c r="AA314" s="30"/>
    </row>
    <row r="315" spans="1:27" ht="15.75" customHeight="1">
      <c r="A315" s="344"/>
      <c r="B315" s="344"/>
      <c r="C315" s="31">
        <v>2</v>
      </c>
      <c r="D315" s="344"/>
      <c r="E315" s="344"/>
      <c r="F315" s="344"/>
      <c r="G315" s="344"/>
      <c r="H315" s="23" t="s">
        <v>334</v>
      </c>
      <c r="I315" s="23" t="s">
        <v>736</v>
      </c>
      <c r="J315" s="170"/>
      <c r="K315" s="25" t="s">
        <v>294</v>
      </c>
      <c r="L315" s="25"/>
      <c r="M315" s="26"/>
      <c r="N315" s="27"/>
      <c r="O315" s="25"/>
      <c r="P315" s="25"/>
      <c r="Q315" s="50" t="s">
        <v>140</v>
      </c>
      <c r="R315" s="25"/>
      <c r="S315" s="50"/>
      <c r="T315" s="30"/>
      <c r="U315" s="30"/>
      <c r="V315" s="30"/>
      <c r="W315" s="30"/>
      <c r="X315" s="30"/>
      <c r="Y315" s="30"/>
      <c r="Z315" s="30"/>
      <c r="AA315" s="30"/>
    </row>
    <row r="316" spans="1:27" ht="15.75" customHeight="1">
      <c r="A316" s="344"/>
      <c r="B316" s="344"/>
      <c r="C316" s="31">
        <v>3</v>
      </c>
      <c r="D316" s="344"/>
      <c r="E316" s="344"/>
      <c r="F316" s="344"/>
      <c r="G316" s="344"/>
      <c r="H316" s="23" t="s">
        <v>336</v>
      </c>
      <c r="I316" s="23" t="s">
        <v>737</v>
      </c>
      <c r="J316" s="170"/>
      <c r="K316" s="25"/>
      <c r="L316" s="25"/>
      <c r="M316" s="43"/>
      <c r="N316" s="55"/>
      <c r="O316" s="25"/>
      <c r="P316" s="25"/>
      <c r="Q316" s="50" t="s">
        <v>282</v>
      </c>
      <c r="R316" s="25"/>
      <c r="S316" s="50"/>
      <c r="T316" s="30"/>
      <c r="U316" s="30"/>
      <c r="V316" s="30"/>
      <c r="W316" s="30"/>
      <c r="X316" s="30"/>
      <c r="Y316" s="30"/>
      <c r="Z316" s="30"/>
      <c r="AA316" s="30"/>
    </row>
    <row r="317" spans="1:27" ht="15.75" customHeight="1">
      <c r="A317" s="344"/>
      <c r="B317" s="344"/>
      <c r="C317" s="31">
        <v>4</v>
      </c>
      <c r="D317" s="344"/>
      <c r="E317" s="345"/>
      <c r="F317" s="345"/>
      <c r="G317" s="345"/>
      <c r="H317" s="23" t="s">
        <v>738</v>
      </c>
      <c r="I317" s="23" t="s">
        <v>739</v>
      </c>
      <c r="J317" s="170"/>
      <c r="K317" s="25" t="s">
        <v>294</v>
      </c>
      <c r="L317" s="25"/>
      <c r="M317" s="26"/>
      <c r="N317" s="27"/>
      <c r="O317" s="25"/>
      <c r="P317" s="25"/>
      <c r="Q317" s="50" t="s">
        <v>140</v>
      </c>
      <c r="R317" s="25"/>
      <c r="S317" s="50"/>
      <c r="T317" s="30"/>
      <c r="U317" s="30"/>
      <c r="V317" s="30"/>
      <c r="W317" s="30"/>
      <c r="X317" s="30"/>
      <c r="Y317" s="30"/>
      <c r="Z317" s="30"/>
      <c r="AA317" s="30"/>
    </row>
    <row r="318" spans="1:27" ht="15.75" customHeight="1">
      <c r="A318" s="344"/>
      <c r="B318" s="344"/>
      <c r="C318" s="31">
        <v>5</v>
      </c>
      <c r="D318" s="344"/>
      <c r="E318" s="355" t="s">
        <v>740</v>
      </c>
      <c r="F318" s="350" t="s">
        <v>326</v>
      </c>
      <c r="G318" s="350" t="s">
        <v>327</v>
      </c>
      <c r="H318" s="23" t="s">
        <v>741</v>
      </c>
      <c r="I318" s="23" t="s">
        <v>742</v>
      </c>
      <c r="J318" s="170"/>
      <c r="K318" s="25" t="s">
        <v>294</v>
      </c>
      <c r="L318" s="25"/>
      <c r="M318" s="43"/>
      <c r="N318" s="55"/>
      <c r="O318" s="25"/>
      <c r="P318" s="25"/>
      <c r="Q318" s="50" t="s">
        <v>140</v>
      </c>
      <c r="R318" s="25"/>
      <c r="S318" s="50"/>
      <c r="T318" s="30"/>
      <c r="U318" s="30"/>
      <c r="V318" s="30"/>
      <c r="W318" s="30"/>
      <c r="X318" s="30"/>
      <c r="Y318" s="30"/>
      <c r="Z318" s="30"/>
      <c r="AA318" s="30"/>
    </row>
    <row r="319" spans="1:27" ht="16.5" customHeight="1">
      <c r="A319" s="344"/>
      <c r="B319" s="344"/>
      <c r="C319" s="31">
        <v>6</v>
      </c>
      <c r="D319" s="344"/>
      <c r="E319" s="344"/>
      <c r="F319" s="344"/>
      <c r="G319" s="344"/>
      <c r="H319" s="23" t="s">
        <v>336</v>
      </c>
      <c r="I319" s="23" t="s">
        <v>337</v>
      </c>
      <c r="J319" s="170"/>
      <c r="K319" s="25"/>
      <c r="L319" s="25"/>
      <c r="M319" s="43"/>
      <c r="N319" s="55"/>
      <c r="O319" s="25"/>
      <c r="P319" s="25"/>
      <c r="Q319" s="50" t="s">
        <v>282</v>
      </c>
      <c r="R319" s="25"/>
      <c r="S319" s="50"/>
      <c r="T319" s="30"/>
      <c r="U319" s="30"/>
      <c r="V319" s="30"/>
      <c r="W319" s="30"/>
      <c r="X319" s="30"/>
      <c r="Y319" s="30"/>
      <c r="Z319" s="30"/>
      <c r="AA319" s="30"/>
    </row>
    <row r="320" spans="1:27" ht="16.5" customHeight="1">
      <c r="A320" s="344"/>
      <c r="B320" s="344"/>
      <c r="C320" s="31">
        <v>7</v>
      </c>
      <c r="D320" s="344"/>
      <c r="E320" s="345"/>
      <c r="F320" s="345"/>
      <c r="G320" s="345"/>
      <c r="H320" s="23" t="s">
        <v>738</v>
      </c>
      <c r="I320" s="23" t="s">
        <v>339</v>
      </c>
      <c r="J320" s="170"/>
      <c r="K320" s="25" t="s">
        <v>294</v>
      </c>
      <c r="L320" s="25"/>
      <c r="M320" s="26"/>
      <c r="N320" s="27"/>
      <c r="O320" s="25"/>
      <c r="P320" s="25"/>
      <c r="Q320" s="50" t="s">
        <v>140</v>
      </c>
      <c r="R320" s="25"/>
      <c r="S320" s="50"/>
      <c r="T320" s="30"/>
      <c r="U320" s="30"/>
      <c r="V320" s="30"/>
      <c r="W320" s="30"/>
      <c r="X320" s="30"/>
      <c r="Y320" s="30"/>
      <c r="Z320" s="30"/>
      <c r="AA320" s="30"/>
    </row>
    <row r="321" spans="1:27" ht="16.5" customHeight="1">
      <c r="A321" s="344"/>
      <c r="B321" s="344"/>
      <c r="C321" s="31">
        <v>8</v>
      </c>
      <c r="D321" s="344"/>
      <c r="E321" s="39" t="s">
        <v>743</v>
      </c>
      <c r="F321" s="31" t="s">
        <v>326</v>
      </c>
      <c r="G321" s="31" t="s">
        <v>327</v>
      </c>
      <c r="H321" s="23" t="s">
        <v>744</v>
      </c>
      <c r="I321" s="64" t="s">
        <v>745</v>
      </c>
      <c r="J321" s="64"/>
      <c r="K321" s="25" t="s">
        <v>294</v>
      </c>
      <c r="L321" s="25"/>
      <c r="M321" s="43"/>
      <c r="N321" s="27"/>
      <c r="O321" s="25"/>
      <c r="P321" s="25"/>
      <c r="Q321" s="50" t="s">
        <v>140</v>
      </c>
      <c r="R321" s="25"/>
      <c r="S321" s="50"/>
      <c r="T321" s="65"/>
      <c r="U321" s="65"/>
      <c r="V321" s="65"/>
      <c r="W321" s="65"/>
      <c r="X321" s="65"/>
      <c r="Y321" s="65"/>
      <c r="Z321" s="65"/>
      <c r="AA321" s="65"/>
    </row>
    <row r="322" spans="1:27" ht="15.75" customHeight="1">
      <c r="A322" s="344"/>
      <c r="B322" s="344"/>
      <c r="C322" s="31">
        <v>9</v>
      </c>
      <c r="D322" s="344"/>
      <c r="E322" s="23" t="s">
        <v>746</v>
      </c>
      <c r="F322" s="31" t="s">
        <v>326</v>
      </c>
      <c r="G322" s="31" t="s">
        <v>327</v>
      </c>
      <c r="H322" s="23" t="s">
        <v>747</v>
      </c>
      <c r="I322" s="64" t="s">
        <v>748</v>
      </c>
      <c r="J322" s="64"/>
      <c r="K322" s="25"/>
      <c r="L322" s="25"/>
      <c r="M322" s="43"/>
      <c r="N322" s="55"/>
      <c r="O322" s="25"/>
      <c r="P322" s="25"/>
      <c r="Q322" s="50" t="s">
        <v>282</v>
      </c>
      <c r="R322" s="25"/>
      <c r="S322" s="50"/>
      <c r="T322" s="30"/>
      <c r="U322" s="30"/>
      <c r="V322" s="30"/>
      <c r="W322" s="30"/>
      <c r="X322" s="30"/>
      <c r="Y322" s="30"/>
      <c r="Z322" s="30"/>
      <c r="AA322" s="30"/>
    </row>
    <row r="323" spans="1:27" ht="15.75" customHeight="1">
      <c r="A323" s="345"/>
      <c r="B323" s="345"/>
      <c r="C323" s="31">
        <v>10</v>
      </c>
      <c r="D323" s="345"/>
      <c r="E323" s="23" t="s">
        <v>749</v>
      </c>
      <c r="F323" s="31" t="s">
        <v>326</v>
      </c>
      <c r="G323" s="31" t="s">
        <v>327</v>
      </c>
      <c r="H323" s="23" t="s">
        <v>750</v>
      </c>
      <c r="I323" s="64" t="s">
        <v>751</v>
      </c>
      <c r="J323" s="64"/>
      <c r="K323" s="25" t="s">
        <v>294</v>
      </c>
      <c r="L323" s="25"/>
      <c r="M323" s="43"/>
      <c r="N323" s="55"/>
      <c r="O323" s="25"/>
      <c r="P323" s="25"/>
      <c r="Q323" s="50" t="s">
        <v>140</v>
      </c>
      <c r="R323" s="25"/>
      <c r="S323" s="50"/>
      <c r="T323" s="30"/>
      <c r="U323" s="30"/>
      <c r="V323" s="30"/>
      <c r="W323" s="30"/>
      <c r="X323" s="30"/>
      <c r="Y323" s="30"/>
      <c r="Z323" s="30"/>
      <c r="AA323" s="30"/>
    </row>
    <row r="324" spans="1:27" ht="49.5" customHeight="1">
      <c r="A324" s="355" t="s">
        <v>752</v>
      </c>
      <c r="B324" s="350" t="s">
        <v>753</v>
      </c>
      <c r="C324" s="31">
        <v>1</v>
      </c>
      <c r="D324" s="355" t="s">
        <v>754</v>
      </c>
      <c r="E324" s="23" t="s">
        <v>752</v>
      </c>
      <c r="F324" s="31" t="s">
        <v>326</v>
      </c>
      <c r="G324" s="31" t="s">
        <v>327</v>
      </c>
      <c r="H324" s="23" t="s">
        <v>755</v>
      </c>
      <c r="I324" s="23" t="s">
        <v>756</v>
      </c>
      <c r="J324" s="170"/>
      <c r="K324" s="25" t="s">
        <v>294</v>
      </c>
      <c r="L324" s="25"/>
      <c r="M324" s="26"/>
      <c r="N324" s="55"/>
      <c r="O324" s="25"/>
      <c r="P324" s="50" t="s">
        <v>140</v>
      </c>
      <c r="Q324" s="50" t="s">
        <v>140</v>
      </c>
      <c r="R324" s="25"/>
      <c r="S324" s="50"/>
      <c r="T324" s="30"/>
      <c r="U324" s="30"/>
      <c r="V324" s="30"/>
      <c r="W324" s="30"/>
      <c r="X324" s="30"/>
      <c r="Y324" s="30"/>
      <c r="Z324" s="30"/>
      <c r="AA324" s="30"/>
    </row>
    <row r="325" spans="1:27" ht="15.75" customHeight="1">
      <c r="A325" s="344"/>
      <c r="B325" s="344"/>
      <c r="C325" s="31">
        <v>2</v>
      </c>
      <c r="D325" s="344"/>
      <c r="E325" s="355" t="s">
        <v>757</v>
      </c>
      <c r="F325" s="350" t="s">
        <v>326</v>
      </c>
      <c r="G325" s="350" t="s">
        <v>327</v>
      </c>
      <c r="H325" s="23" t="s">
        <v>758</v>
      </c>
      <c r="I325" s="23" t="s">
        <v>742</v>
      </c>
      <c r="J325" s="170"/>
      <c r="K325" s="25" t="s">
        <v>294</v>
      </c>
      <c r="L325" s="25"/>
      <c r="M325" s="43"/>
      <c r="N325" s="55"/>
      <c r="O325" s="25"/>
      <c r="P325" s="50" t="s">
        <v>140</v>
      </c>
      <c r="Q325" s="50" t="s">
        <v>140</v>
      </c>
      <c r="R325" s="25"/>
      <c r="S325" s="50"/>
      <c r="T325" s="30"/>
      <c r="U325" s="30"/>
      <c r="V325" s="30"/>
      <c r="W325" s="30"/>
      <c r="X325" s="30"/>
      <c r="Y325" s="30"/>
      <c r="Z325" s="30"/>
      <c r="AA325" s="30"/>
    </row>
    <row r="326" spans="1:27" ht="15.75" customHeight="1">
      <c r="A326" s="344"/>
      <c r="B326" s="344"/>
      <c r="C326" s="31">
        <v>3</v>
      </c>
      <c r="D326" s="344"/>
      <c r="E326" s="344"/>
      <c r="F326" s="344"/>
      <c r="G326" s="344"/>
      <c r="H326" s="23" t="s">
        <v>336</v>
      </c>
      <c r="I326" s="23" t="s">
        <v>337</v>
      </c>
      <c r="J326" s="170"/>
      <c r="K326" s="25"/>
      <c r="L326" s="25"/>
      <c r="M326" s="26"/>
      <c r="N326" s="27"/>
      <c r="O326" s="25"/>
      <c r="P326" s="50" t="s">
        <v>282</v>
      </c>
      <c r="Q326" s="50" t="s">
        <v>282</v>
      </c>
      <c r="R326" s="25"/>
      <c r="S326" s="50"/>
      <c r="T326" s="30"/>
      <c r="U326" s="30"/>
      <c r="V326" s="30"/>
      <c r="W326" s="30"/>
      <c r="X326" s="30"/>
      <c r="Y326" s="30"/>
      <c r="Z326" s="30"/>
      <c r="AA326" s="30"/>
    </row>
    <row r="327" spans="1:27" ht="15.75" customHeight="1">
      <c r="A327" s="344"/>
      <c r="B327" s="344"/>
      <c r="C327" s="31">
        <v>4</v>
      </c>
      <c r="D327" s="344"/>
      <c r="E327" s="345"/>
      <c r="F327" s="345"/>
      <c r="G327" s="345"/>
      <c r="H327" s="23" t="s">
        <v>738</v>
      </c>
      <c r="I327" s="23" t="s">
        <v>339</v>
      </c>
      <c r="J327" s="170"/>
      <c r="K327" s="25" t="s">
        <v>294</v>
      </c>
      <c r="L327" s="25"/>
      <c r="M327" s="43"/>
      <c r="N327" s="55"/>
      <c r="O327" s="25"/>
      <c r="P327" s="50" t="s">
        <v>140</v>
      </c>
      <c r="Q327" s="50" t="s">
        <v>140</v>
      </c>
      <c r="R327" s="25"/>
      <c r="S327" s="50"/>
      <c r="T327" s="30"/>
      <c r="U327" s="30"/>
      <c r="V327" s="30"/>
      <c r="W327" s="30"/>
      <c r="X327" s="30"/>
      <c r="Y327" s="30"/>
      <c r="Z327" s="30"/>
      <c r="AA327" s="30"/>
    </row>
    <row r="328" spans="1:27" ht="15.75" customHeight="1">
      <c r="A328" s="344"/>
      <c r="B328" s="344"/>
      <c r="C328" s="31">
        <v>5</v>
      </c>
      <c r="D328" s="344"/>
      <c r="E328" s="355" t="s">
        <v>759</v>
      </c>
      <c r="F328" s="350" t="s">
        <v>326</v>
      </c>
      <c r="G328" s="350" t="s">
        <v>327</v>
      </c>
      <c r="H328" s="23" t="s">
        <v>760</v>
      </c>
      <c r="I328" s="23" t="s">
        <v>742</v>
      </c>
      <c r="J328" s="170"/>
      <c r="K328" s="25" t="s">
        <v>294</v>
      </c>
      <c r="L328" s="25"/>
      <c r="M328" s="43"/>
      <c r="N328" s="55"/>
      <c r="O328" s="25"/>
      <c r="P328" s="25"/>
      <c r="Q328" s="50" t="s">
        <v>140</v>
      </c>
      <c r="R328" s="25"/>
      <c r="S328" s="50"/>
      <c r="T328" s="30"/>
      <c r="U328" s="30"/>
      <c r="V328" s="30"/>
      <c r="W328" s="30"/>
      <c r="X328" s="30"/>
      <c r="Y328" s="30"/>
      <c r="Z328" s="30"/>
      <c r="AA328" s="30"/>
    </row>
    <row r="329" spans="1:27" ht="15.75" customHeight="1">
      <c r="A329" s="344"/>
      <c r="B329" s="344"/>
      <c r="C329" s="31">
        <v>6</v>
      </c>
      <c r="D329" s="344"/>
      <c r="E329" s="344"/>
      <c r="F329" s="344"/>
      <c r="G329" s="344"/>
      <c r="H329" s="23" t="s">
        <v>336</v>
      </c>
      <c r="I329" s="23" t="s">
        <v>337</v>
      </c>
      <c r="J329" s="170"/>
      <c r="K329" s="25"/>
      <c r="L329" s="25"/>
      <c r="M329" s="43"/>
      <c r="N329" s="55"/>
      <c r="O329" s="25"/>
      <c r="P329" s="25"/>
      <c r="Q329" s="50" t="s">
        <v>282</v>
      </c>
      <c r="R329" s="25"/>
      <c r="S329" s="50"/>
      <c r="T329" s="30"/>
      <c r="U329" s="30"/>
      <c r="V329" s="30"/>
      <c r="W329" s="30"/>
      <c r="X329" s="30"/>
      <c r="Y329" s="30"/>
      <c r="Z329" s="30"/>
      <c r="AA329" s="30"/>
    </row>
    <row r="330" spans="1:27" ht="15.75" customHeight="1">
      <c r="A330" s="344"/>
      <c r="B330" s="344"/>
      <c r="C330" s="31">
        <v>7</v>
      </c>
      <c r="D330" s="344"/>
      <c r="E330" s="345"/>
      <c r="F330" s="345"/>
      <c r="G330" s="345"/>
      <c r="H330" s="23" t="s">
        <v>738</v>
      </c>
      <c r="I330" s="23" t="s">
        <v>339</v>
      </c>
      <c r="J330" s="170"/>
      <c r="K330" s="25" t="s">
        <v>294</v>
      </c>
      <c r="L330" s="25"/>
      <c r="M330" s="26"/>
      <c r="N330" s="27"/>
      <c r="O330" s="25"/>
      <c r="P330" s="25"/>
      <c r="Q330" s="50" t="s">
        <v>140</v>
      </c>
      <c r="R330" s="25"/>
      <c r="S330" s="50"/>
      <c r="T330" s="30"/>
      <c r="U330" s="30"/>
      <c r="V330" s="30"/>
      <c r="W330" s="30"/>
      <c r="X330" s="30"/>
      <c r="Y330" s="30"/>
      <c r="Z330" s="30"/>
      <c r="AA330" s="30"/>
    </row>
    <row r="331" spans="1:27" ht="15.75" customHeight="1">
      <c r="A331" s="344"/>
      <c r="B331" s="344"/>
      <c r="C331" s="31">
        <v>8</v>
      </c>
      <c r="D331" s="344"/>
      <c r="E331" s="355" t="s">
        <v>761</v>
      </c>
      <c r="F331" s="350" t="s">
        <v>326</v>
      </c>
      <c r="G331" s="350" t="s">
        <v>327</v>
      </c>
      <c r="H331" s="23" t="s">
        <v>762</v>
      </c>
      <c r="I331" s="23" t="s">
        <v>763</v>
      </c>
      <c r="J331" s="170"/>
      <c r="K331" s="25"/>
      <c r="L331" s="25"/>
      <c r="M331" s="26"/>
      <c r="N331" s="27"/>
      <c r="O331" s="25"/>
      <c r="P331" s="25"/>
      <c r="Q331" s="50" t="s">
        <v>282</v>
      </c>
      <c r="R331" s="25"/>
      <c r="S331" s="50"/>
      <c r="T331" s="30"/>
      <c r="U331" s="30"/>
      <c r="V331" s="30"/>
      <c r="W331" s="30"/>
      <c r="X331" s="30"/>
      <c r="Y331" s="30"/>
      <c r="Z331" s="30"/>
      <c r="AA331" s="30"/>
    </row>
    <row r="332" spans="1:27" ht="15.75" customHeight="1">
      <c r="A332" s="345"/>
      <c r="B332" s="345"/>
      <c r="C332" s="31">
        <v>9</v>
      </c>
      <c r="D332" s="345"/>
      <c r="E332" s="345"/>
      <c r="F332" s="345"/>
      <c r="G332" s="345"/>
      <c r="H332" s="23" t="s">
        <v>764</v>
      </c>
      <c r="I332" s="23" t="s">
        <v>720</v>
      </c>
      <c r="J332" s="170"/>
      <c r="K332" s="25"/>
      <c r="L332" s="25"/>
      <c r="M332" s="26"/>
      <c r="N332" s="55"/>
      <c r="O332" s="25"/>
      <c r="P332" s="25"/>
      <c r="Q332" s="50" t="s">
        <v>282</v>
      </c>
      <c r="R332" s="25"/>
      <c r="S332" s="50"/>
      <c r="T332" s="30"/>
      <c r="U332" s="30"/>
      <c r="V332" s="30"/>
      <c r="W332" s="30"/>
      <c r="X332" s="30"/>
      <c r="Y332" s="30"/>
      <c r="Z332" s="30"/>
      <c r="AA332" s="30"/>
    </row>
    <row r="333" spans="1:27" ht="49.5" customHeight="1">
      <c r="A333" s="355" t="s">
        <v>765</v>
      </c>
      <c r="B333" s="350" t="s">
        <v>150</v>
      </c>
      <c r="C333" s="31">
        <v>1</v>
      </c>
      <c r="D333" s="355" t="s">
        <v>766</v>
      </c>
      <c r="E333" s="23" t="s">
        <v>765</v>
      </c>
      <c r="F333" s="31" t="s">
        <v>326</v>
      </c>
      <c r="G333" s="31" t="s">
        <v>327</v>
      </c>
      <c r="H333" s="23" t="s">
        <v>767</v>
      </c>
      <c r="I333" s="23" t="s">
        <v>739</v>
      </c>
      <c r="J333" s="170"/>
      <c r="K333" s="25" t="s">
        <v>294</v>
      </c>
      <c r="L333" s="25"/>
      <c r="M333" s="26"/>
      <c r="N333" s="27"/>
      <c r="O333" s="25"/>
      <c r="P333" s="25"/>
      <c r="Q333" s="50" t="s">
        <v>140</v>
      </c>
      <c r="R333" s="25"/>
      <c r="S333" s="50"/>
      <c r="T333" s="30"/>
      <c r="U333" s="30"/>
      <c r="V333" s="30"/>
      <c r="W333" s="30"/>
      <c r="X333" s="30"/>
      <c r="Y333" s="30"/>
      <c r="Z333" s="30"/>
      <c r="AA333" s="30"/>
    </row>
    <row r="334" spans="1:27" ht="15.75" customHeight="1">
      <c r="A334" s="344"/>
      <c r="B334" s="344"/>
      <c r="C334" s="31">
        <v>2</v>
      </c>
      <c r="D334" s="344"/>
      <c r="E334" s="368" t="s">
        <v>768</v>
      </c>
      <c r="F334" s="350" t="s">
        <v>326</v>
      </c>
      <c r="G334" s="350" t="s">
        <v>327</v>
      </c>
      <c r="H334" s="23" t="s">
        <v>769</v>
      </c>
      <c r="I334" s="23" t="s">
        <v>770</v>
      </c>
      <c r="J334" s="170"/>
      <c r="K334" s="25"/>
      <c r="L334" s="25"/>
      <c r="M334" s="43"/>
      <c r="N334" s="27"/>
      <c r="O334" s="25"/>
      <c r="P334" s="25"/>
      <c r="Q334" s="50" t="s">
        <v>282</v>
      </c>
      <c r="R334" s="25"/>
      <c r="S334" s="50"/>
      <c r="T334" s="65"/>
      <c r="U334" s="65"/>
      <c r="V334" s="65"/>
      <c r="W334" s="65"/>
      <c r="X334" s="65"/>
      <c r="Y334" s="65"/>
      <c r="Z334" s="65"/>
      <c r="AA334" s="65"/>
    </row>
    <row r="335" spans="1:27" ht="15.75" customHeight="1">
      <c r="A335" s="344"/>
      <c r="B335" s="344"/>
      <c r="C335" s="31">
        <v>3</v>
      </c>
      <c r="D335" s="344"/>
      <c r="E335" s="344"/>
      <c r="F335" s="344"/>
      <c r="G335" s="344"/>
      <c r="H335" s="23" t="s">
        <v>771</v>
      </c>
      <c r="I335" s="23" t="s">
        <v>772</v>
      </c>
      <c r="J335" s="170"/>
      <c r="K335" s="25"/>
      <c r="L335" s="25"/>
      <c r="M335" s="43"/>
      <c r="N335" s="27"/>
      <c r="O335" s="25"/>
      <c r="P335" s="25"/>
      <c r="Q335" s="50" t="s">
        <v>282</v>
      </c>
      <c r="R335" s="25"/>
      <c r="S335" s="50"/>
      <c r="T335" s="65"/>
      <c r="U335" s="65"/>
      <c r="V335" s="65"/>
      <c r="W335" s="65"/>
      <c r="X335" s="65"/>
      <c r="Y335" s="65"/>
      <c r="Z335" s="65"/>
      <c r="AA335" s="65"/>
    </row>
    <row r="336" spans="1:27" ht="15.75" customHeight="1">
      <c r="A336" s="344"/>
      <c r="B336" s="344"/>
      <c r="C336" s="31">
        <v>4</v>
      </c>
      <c r="D336" s="344"/>
      <c r="E336" s="344"/>
      <c r="F336" s="344"/>
      <c r="G336" s="344"/>
      <c r="H336" s="23" t="s">
        <v>773</v>
      </c>
      <c r="I336" s="23" t="s">
        <v>770</v>
      </c>
      <c r="J336" s="170"/>
      <c r="K336" s="25"/>
      <c r="L336" s="25"/>
      <c r="M336" s="43"/>
      <c r="N336" s="27"/>
      <c r="O336" s="25"/>
      <c r="P336" s="25"/>
      <c r="Q336" s="50" t="s">
        <v>282</v>
      </c>
      <c r="R336" s="25"/>
      <c r="S336" s="50"/>
      <c r="T336" s="65"/>
      <c r="U336" s="65"/>
      <c r="V336" s="65"/>
      <c r="W336" s="65"/>
      <c r="X336" s="65"/>
      <c r="Y336" s="65"/>
      <c r="Z336" s="65"/>
      <c r="AA336" s="65"/>
    </row>
    <row r="337" spans="1:27" ht="15.75" customHeight="1">
      <c r="A337" s="344"/>
      <c r="B337" s="344"/>
      <c r="C337" s="31">
        <v>5</v>
      </c>
      <c r="D337" s="344"/>
      <c r="E337" s="345"/>
      <c r="F337" s="345"/>
      <c r="G337" s="345"/>
      <c r="H337" s="23" t="s">
        <v>774</v>
      </c>
      <c r="I337" s="23" t="s">
        <v>772</v>
      </c>
      <c r="J337" s="170"/>
      <c r="K337" s="25"/>
      <c r="L337" s="25"/>
      <c r="M337" s="43"/>
      <c r="N337" s="27"/>
      <c r="O337" s="25"/>
      <c r="P337" s="25"/>
      <c r="Q337" s="50" t="s">
        <v>282</v>
      </c>
      <c r="R337" s="25"/>
      <c r="S337" s="50"/>
      <c r="T337" s="65"/>
      <c r="U337" s="65"/>
      <c r="V337" s="65"/>
      <c r="W337" s="65"/>
      <c r="X337" s="65"/>
      <c r="Y337" s="65"/>
      <c r="Z337" s="65"/>
      <c r="AA337" s="65"/>
    </row>
    <row r="338" spans="1:27" ht="66" customHeight="1">
      <c r="A338" s="344"/>
      <c r="B338" s="344"/>
      <c r="C338" s="31">
        <v>6</v>
      </c>
      <c r="D338" s="344"/>
      <c r="E338" s="368" t="s">
        <v>775</v>
      </c>
      <c r="F338" s="350" t="s">
        <v>326</v>
      </c>
      <c r="G338" s="350" t="s">
        <v>327</v>
      </c>
      <c r="H338" s="23" t="s">
        <v>776</v>
      </c>
      <c r="I338" s="23" t="s">
        <v>777</v>
      </c>
      <c r="J338" s="170"/>
      <c r="K338" s="25" t="s">
        <v>294</v>
      </c>
      <c r="L338" s="25"/>
      <c r="M338" s="43"/>
      <c r="N338" s="27"/>
      <c r="O338" s="25"/>
      <c r="P338" s="25"/>
      <c r="Q338" s="50" t="s">
        <v>140</v>
      </c>
      <c r="R338" s="25"/>
      <c r="S338" s="50"/>
      <c r="T338" s="65"/>
      <c r="U338" s="65"/>
      <c r="V338" s="65"/>
      <c r="W338" s="65"/>
      <c r="X338" s="65"/>
      <c r="Y338" s="65"/>
      <c r="Z338" s="65"/>
      <c r="AA338" s="65"/>
    </row>
    <row r="339" spans="1:27" ht="15.75" customHeight="1">
      <c r="A339" s="344"/>
      <c r="B339" s="344"/>
      <c r="C339" s="31">
        <v>7</v>
      </c>
      <c r="D339" s="344"/>
      <c r="E339" s="345"/>
      <c r="F339" s="345"/>
      <c r="G339" s="345"/>
      <c r="H339" s="23" t="s">
        <v>778</v>
      </c>
      <c r="I339" s="23" t="s">
        <v>779</v>
      </c>
      <c r="J339" s="170"/>
      <c r="K339" s="25" t="s">
        <v>294</v>
      </c>
      <c r="L339" s="25"/>
      <c r="M339" s="43"/>
      <c r="N339" s="27"/>
      <c r="O339" s="25"/>
      <c r="P339" s="25"/>
      <c r="Q339" s="50" t="s">
        <v>140</v>
      </c>
      <c r="R339" s="25"/>
      <c r="S339" s="50"/>
      <c r="T339" s="65"/>
      <c r="U339" s="65"/>
      <c r="V339" s="65"/>
      <c r="W339" s="65"/>
      <c r="X339" s="65"/>
      <c r="Y339" s="65"/>
      <c r="Z339" s="65"/>
      <c r="AA339" s="65"/>
    </row>
    <row r="340" spans="1:27" ht="15.75" customHeight="1">
      <c r="A340" s="344"/>
      <c r="B340" s="344"/>
      <c r="C340" s="31">
        <v>8</v>
      </c>
      <c r="D340" s="344"/>
      <c r="E340" s="368" t="s">
        <v>780</v>
      </c>
      <c r="F340" s="350" t="s">
        <v>326</v>
      </c>
      <c r="G340" s="350" t="s">
        <v>327</v>
      </c>
      <c r="H340" s="23" t="s">
        <v>781</v>
      </c>
      <c r="I340" s="23" t="s">
        <v>347</v>
      </c>
      <c r="J340" s="170"/>
      <c r="K340" s="25" t="s">
        <v>294</v>
      </c>
      <c r="L340" s="25"/>
      <c r="M340" s="43"/>
      <c r="N340" s="27"/>
      <c r="O340" s="25"/>
      <c r="P340" s="25"/>
      <c r="Q340" s="50" t="s">
        <v>140</v>
      </c>
      <c r="R340" s="25"/>
      <c r="S340" s="50"/>
      <c r="T340" s="65"/>
      <c r="U340" s="65"/>
      <c r="V340" s="65"/>
      <c r="W340" s="65"/>
      <c r="X340" s="65"/>
      <c r="Y340" s="65"/>
      <c r="Z340" s="65"/>
      <c r="AA340" s="65"/>
    </row>
    <row r="341" spans="1:27" ht="15.75" customHeight="1">
      <c r="A341" s="344"/>
      <c r="B341" s="344"/>
      <c r="C341" s="31">
        <v>9</v>
      </c>
      <c r="D341" s="344"/>
      <c r="E341" s="344"/>
      <c r="F341" s="344"/>
      <c r="G341" s="344"/>
      <c r="H341" s="23" t="s">
        <v>782</v>
      </c>
      <c r="I341" s="23" t="s">
        <v>783</v>
      </c>
      <c r="J341" s="170"/>
      <c r="K341" s="25" t="s">
        <v>294</v>
      </c>
      <c r="L341" s="25"/>
      <c r="M341" s="43"/>
      <c r="N341" s="27"/>
      <c r="O341" s="25"/>
      <c r="P341" s="25"/>
      <c r="Q341" s="50" t="s">
        <v>140</v>
      </c>
      <c r="R341" s="25"/>
      <c r="S341" s="50"/>
      <c r="T341" s="65"/>
      <c r="U341" s="65"/>
      <c r="V341" s="65"/>
      <c r="W341" s="65"/>
      <c r="X341" s="65"/>
      <c r="Y341" s="65"/>
      <c r="Z341" s="65"/>
      <c r="AA341" s="65"/>
    </row>
    <row r="342" spans="1:27" ht="15.75" customHeight="1">
      <c r="A342" s="344"/>
      <c r="B342" s="344"/>
      <c r="C342" s="31">
        <v>10</v>
      </c>
      <c r="D342" s="344"/>
      <c r="E342" s="344"/>
      <c r="F342" s="344"/>
      <c r="G342" s="344"/>
      <c r="H342" s="23" t="s">
        <v>784</v>
      </c>
      <c r="I342" s="23" t="s">
        <v>785</v>
      </c>
      <c r="J342" s="170"/>
      <c r="K342" s="25" t="s">
        <v>294</v>
      </c>
      <c r="L342" s="25"/>
      <c r="M342" s="43"/>
      <c r="N342" s="27"/>
      <c r="O342" s="25"/>
      <c r="P342" s="25"/>
      <c r="Q342" s="50" t="s">
        <v>140</v>
      </c>
      <c r="R342" s="25"/>
      <c r="S342" s="50"/>
      <c r="T342" s="65"/>
      <c r="U342" s="65"/>
      <c r="V342" s="65"/>
      <c r="W342" s="65"/>
      <c r="X342" s="65"/>
      <c r="Y342" s="65"/>
      <c r="Z342" s="65"/>
      <c r="AA342" s="65"/>
    </row>
    <row r="343" spans="1:27" ht="15.75" customHeight="1">
      <c r="A343" s="345"/>
      <c r="B343" s="345"/>
      <c r="C343" s="31">
        <v>11</v>
      </c>
      <c r="D343" s="345"/>
      <c r="E343" s="345"/>
      <c r="F343" s="345"/>
      <c r="G343" s="345"/>
      <c r="H343" s="23" t="s">
        <v>786</v>
      </c>
      <c r="I343" s="23" t="s">
        <v>787</v>
      </c>
      <c r="J343" s="170"/>
      <c r="K343" s="25" t="s">
        <v>294</v>
      </c>
      <c r="L343" s="25"/>
      <c r="M343" s="43"/>
      <c r="N343" s="27"/>
      <c r="O343" s="25"/>
      <c r="P343" s="25"/>
      <c r="Q343" s="50" t="s">
        <v>140</v>
      </c>
      <c r="R343" s="25"/>
      <c r="S343" s="50"/>
      <c r="T343" s="65"/>
      <c r="U343" s="65"/>
      <c r="V343" s="65"/>
      <c r="W343" s="65"/>
      <c r="X343" s="65"/>
      <c r="Y343" s="65"/>
      <c r="Z343" s="65"/>
      <c r="AA343" s="65"/>
    </row>
    <row r="344" spans="1:27" ht="15.75" customHeight="1">
      <c r="A344" s="368" t="s">
        <v>788</v>
      </c>
      <c r="B344" s="350" t="s">
        <v>789</v>
      </c>
      <c r="C344" s="31">
        <v>1</v>
      </c>
      <c r="D344" s="368" t="s">
        <v>790</v>
      </c>
      <c r="E344" s="39" t="s">
        <v>788</v>
      </c>
      <c r="F344" s="31" t="s">
        <v>326</v>
      </c>
      <c r="G344" s="31" t="s">
        <v>327</v>
      </c>
      <c r="H344" s="23" t="s">
        <v>791</v>
      </c>
      <c r="I344" s="23" t="s">
        <v>792</v>
      </c>
      <c r="J344" s="170"/>
      <c r="K344" s="25" t="s">
        <v>294</v>
      </c>
      <c r="L344" s="25"/>
      <c r="M344" s="43"/>
      <c r="N344" s="27"/>
      <c r="O344" s="25"/>
      <c r="P344" s="25"/>
      <c r="Q344" s="50" t="s">
        <v>140</v>
      </c>
      <c r="R344" s="25"/>
      <c r="S344" s="50"/>
      <c r="T344" s="65"/>
      <c r="U344" s="65"/>
      <c r="V344" s="65"/>
      <c r="W344" s="65"/>
      <c r="X344" s="65"/>
      <c r="Y344" s="65"/>
      <c r="Z344" s="65"/>
      <c r="AA344" s="65"/>
    </row>
    <row r="345" spans="1:27" ht="15.75" customHeight="1">
      <c r="A345" s="344"/>
      <c r="B345" s="344"/>
      <c r="C345" s="31">
        <v>2</v>
      </c>
      <c r="D345" s="344"/>
      <c r="E345" s="23" t="s">
        <v>793</v>
      </c>
      <c r="F345" s="31" t="s">
        <v>326</v>
      </c>
      <c r="G345" s="31" t="s">
        <v>327</v>
      </c>
      <c r="H345" s="23" t="s">
        <v>794</v>
      </c>
      <c r="I345" s="23" t="s">
        <v>795</v>
      </c>
      <c r="J345" s="170"/>
      <c r="K345" s="25" t="s">
        <v>294</v>
      </c>
      <c r="L345" s="25"/>
      <c r="M345" s="43"/>
      <c r="N345" s="55"/>
      <c r="O345" s="25"/>
      <c r="P345" s="25"/>
      <c r="Q345" s="50" t="s">
        <v>140</v>
      </c>
      <c r="R345" s="25"/>
      <c r="S345" s="50"/>
      <c r="T345" s="30"/>
      <c r="U345" s="30"/>
      <c r="V345" s="30"/>
      <c r="W345" s="30"/>
      <c r="X345" s="30"/>
      <c r="Y345" s="30"/>
      <c r="Z345" s="30"/>
      <c r="AA345" s="30"/>
    </row>
    <row r="346" spans="1:27" ht="15.75" customHeight="1">
      <c r="A346" s="344"/>
      <c r="B346" s="344"/>
      <c r="C346" s="31">
        <v>3</v>
      </c>
      <c r="D346" s="344"/>
      <c r="E346" s="23" t="s">
        <v>796</v>
      </c>
      <c r="F346" s="31" t="s">
        <v>326</v>
      </c>
      <c r="G346" s="31" t="s">
        <v>327</v>
      </c>
      <c r="H346" s="23" t="s">
        <v>797</v>
      </c>
      <c r="I346" s="23" t="s">
        <v>798</v>
      </c>
      <c r="J346" s="170"/>
      <c r="K346" s="25" t="s">
        <v>294</v>
      </c>
      <c r="L346" s="25"/>
      <c r="M346" s="43"/>
      <c r="N346" s="55"/>
      <c r="O346" s="25"/>
      <c r="P346" s="25"/>
      <c r="Q346" s="50" t="s">
        <v>140</v>
      </c>
      <c r="R346" s="25"/>
      <c r="S346" s="50"/>
      <c r="T346" s="30"/>
      <c r="U346" s="30"/>
      <c r="V346" s="30"/>
      <c r="W346" s="30"/>
      <c r="X346" s="30"/>
      <c r="Y346" s="30"/>
      <c r="Z346" s="30"/>
      <c r="AA346" s="30"/>
    </row>
    <row r="347" spans="1:27" ht="15.75" customHeight="1">
      <c r="A347" s="344"/>
      <c r="B347" s="344"/>
      <c r="C347" s="31">
        <v>4</v>
      </c>
      <c r="D347" s="344"/>
      <c r="E347" s="23" t="s">
        <v>799</v>
      </c>
      <c r="F347" s="31" t="s">
        <v>326</v>
      </c>
      <c r="G347" s="31" t="s">
        <v>327</v>
      </c>
      <c r="H347" s="23" t="s">
        <v>800</v>
      </c>
      <c r="I347" s="23" t="s">
        <v>795</v>
      </c>
      <c r="J347" s="170"/>
      <c r="K347" s="25" t="s">
        <v>294</v>
      </c>
      <c r="L347" s="25"/>
      <c r="M347" s="43"/>
      <c r="N347" s="55"/>
      <c r="O347" s="25"/>
      <c r="P347" s="25"/>
      <c r="Q347" s="50" t="s">
        <v>140</v>
      </c>
      <c r="R347" s="25"/>
      <c r="S347" s="50"/>
      <c r="T347" s="30"/>
      <c r="U347" s="30"/>
      <c r="V347" s="30"/>
      <c r="W347" s="30"/>
      <c r="X347" s="30"/>
      <c r="Y347" s="30"/>
      <c r="Z347" s="30"/>
      <c r="AA347" s="30"/>
    </row>
    <row r="348" spans="1:27" ht="15.75" customHeight="1">
      <c r="A348" s="345"/>
      <c r="B348" s="345"/>
      <c r="C348" s="31">
        <v>5</v>
      </c>
      <c r="D348" s="345"/>
      <c r="E348" s="23" t="s">
        <v>801</v>
      </c>
      <c r="F348" s="31" t="s">
        <v>326</v>
      </c>
      <c r="G348" s="31" t="s">
        <v>327</v>
      </c>
      <c r="H348" s="23" t="s">
        <v>802</v>
      </c>
      <c r="I348" s="23" t="s">
        <v>798</v>
      </c>
      <c r="J348" s="170"/>
      <c r="K348" s="25" t="s">
        <v>294</v>
      </c>
      <c r="L348" s="25"/>
      <c r="M348" s="43"/>
      <c r="N348" s="55"/>
      <c r="O348" s="25"/>
      <c r="P348" s="25"/>
      <c r="Q348" s="50" t="s">
        <v>140</v>
      </c>
      <c r="R348" s="25"/>
      <c r="S348" s="50"/>
      <c r="T348" s="30"/>
      <c r="U348" s="30"/>
      <c r="V348" s="30"/>
      <c r="W348" s="30"/>
      <c r="X348" s="30"/>
      <c r="Y348" s="30"/>
      <c r="Z348" s="30"/>
      <c r="AA348" s="30"/>
    </row>
    <row r="349" spans="1:27" ht="15.75" customHeight="1">
      <c r="A349" s="368" t="s">
        <v>803</v>
      </c>
      <c r="B349" s="350" t="s">
        <v>151</v>
      </c>
      <c r="C349" s="31">
        <v>1</v>
      </c>
      <c r="D349" s="368" t="s">
        <v>804</v>
      </c>
      <c r="E349" s="355" t="s">
        <v>803</v>
      </c>
      <c r="F349" s="350" t="s">
        <v>326</v>
      </c>
      <c r="G349" s="350" t="s">
        <v>327</v>
      </c>
      <c r="H349" s="58" t="s">
        <v>805</v>
      </c>
      <c r="I349" s="23" t="s">
        <v>806</v>
      </c>
      <c r="J349" s="170"/>
      <c r="K349" s="25" t="s">
        <v>294</v>
      </c>
      <c r="L349" s="25"/>
      <c r="M349" s="43"/>
      <c r="N349" s="55"/>
      <c r="O349" s="25" t="s">
        <v>140</v>
      </c>
      <c r="P349" s="25"/>
      <c r="Q349" s="50" t="s">
        <v>140</v>
      </c>
      <c r="R349" s="25"/>
      <c r="S349" s="50"/>
      <c r="T349" s="30"/>
      <c r="U349" s="30"/>
      <c r="V349" s="30"/>
      <c r="W349" s="30"/>
      <c r="X349" s="30"/>
      <c r="Y349" s="30"/>
      <c r="Z349" s="30"/>
      <c r="AA349" s="30"/>
    </row>
    <row r="350" spans="1:27" ht="15.75" customHeight="1">
      <c r="A350" s="344"/>
      <c r="B350" s="344"/>
      <c r="C350" s="41">
        <v>2</v>
      </c>
      <c r="D350" s="344"/>
      <c r="E350" s="344"/>
      <c r="F350" s="344"/>
      <c r="G350" s="344"/>
      <c r="H350" s="58" t="s">
        <v>807</v>
      </c>
      <c r="I350" s="58" t="s">
        <v>808</v>
      </c>
      <c r="J350" s="253"/>
      <c r="K350" s="25" t="s">
        <v>294</v>
      </c>
      <c r="L350" s="25"/>
      <c r="M350" s="66"/>
      <c r="N350" s="4"/>
      <c r="O350" s="25" t="s">
        <v>140</v>
      </c>
      <c r="P350" s="25"/>
      <c r="Q350" s="50" t="s">
        <v>140</v>
      </c>
      <c r="R350" s="50"/>
      <c r="S350" s="50"/>
      <c r="T350" s="51"/>
      <c r="U350" s="51"/>
      <c r="V350" s="51"/>
      <c r="W350" s="51"/>
      <c r="X350" s="51"/>
      <c r="Y350" s="51"/>
      <c r="Z350" s="51"/>
      <c r="AA350" s="51"/>
    </row>
    <row r="351" spans="1:27" ht="15.75" customHeight="1">
      <c r="A351" s="344"/>
      <c r="B351" s="344"/>
      <c r="C351" s="41">
        <v>3</v>
      </c>
      <c r="D351" s="344"/>
      <c r="E351" s="344"/>
      <c r="F351" s="344"/>
      <c r="G351" s="344"/>
      <c r="H351" s="58" t="s">
        <v>809</v>
      </c>
      <c r="I351" s="58" t="s">
        <v>810</v>
      </c>
      <c r="J351" s="253"/>
      <c r="K351" s="25"/>
      <c r="L351" s="25"/>
      <c r="M351" s="66"/>
      <c r="N351" s="4"/>
      <c r="O351" s="25" t="s">
        <v>140</v>
      </c>
      <c r="P351" s="25"/>
      <c r="Q351" s="50" t="s">
        <v>282</v>
      </c>
      <c r="R351" s="50"/>
      <c r="S351" s="50"/>
      <c r="T351" s="51"/>
      <c r="U351" s="51"/>
      <c r="V351" s="51"/>
      <c r="W351" s="51"/>
      <c r="X351" s="51"/>
      <c r="Y351" s="51"/>
      <c r="Z351" s="51"/>
      <c r="AA351" s="51"/>
    </row>
    <row r="352" spans="1:27" ht="15.75" customHeight="1">
      <c r="A352" s="344"/>
      <c r="B352" s="344"/>
      <c r="C352" s="41">
        <v>4</v>
      </c>
      <c r="D352" s="344"/>
      <c r="E352" s="345"/>
      <c r="F352" s="345"/>
      <c r="G352" s="345"/>
      <c r="H352" s="23" t="s">
        <v>383</v>
      </c>
      <c r="I352" s="23" t="s">
        <v>384</v>
      </c>
      <c r="J352" s="170"/>
      <c r="K352" s="25"/>
      <c r="L352" s="25"/>
      <c r="M352" s="66"/>
      <c r="N352" s="4"/>
      <c r="O352" s="25" t="s">
        <v>140</v>
      </c>
      <c r="P352" s="25"/>
      <c r="Q352" s="50" t="s">
        <v>282</v>
      </c>
      <c r="R352" s="50"/>
      <c r="S352" s="50"/>
      <c r="T352" s="51"/>
      <c r="U352" s="51"/>
      <c r="V352" s="51"/>
      <c r="W352" s="51"/>
      <c r="X352" s="51"/>
      <c r="Y352" s="51"/>
      <c r="Z352" s="51"/>
      <c r="AA352" s="51"/>
    </row>
    <row r="353" spans="1:27" ht="15.75" customHeight="1">
      <c r="A353" s="344"/>
      <c r="B353" s="344"/>
      <c r="C353" s="41">
        <v>5</v>
      </c>
      <c r="D353" s="344"/>
      <c r="E353" s="355" t="s">
        <v>811</v>
      </c>
      <c r="F353" s="350" t="s">
        <v>326</v>
      </c>
      <c r="G353" s="350" t="s">
        <v>327</v>
      </c>
      <c r="H353" s="23" t="s">
        <v>812</v>
      </c>
      <c r="I353" s="23" t="s">
        <v>810</v>
      </c>
      <c r="J353" s="170"/>
      <c r="K353" s="25"/>
      <c r="L353" s="25"/>
      <c r="M353" s="66"/>
      <c r="N353" s="4"/>
      <c r="O353" s="25"/>
      <c r="P353" s="25"/>
      <c r="Q353" s="50" t="s">
        <v>282</v>
      </c>
      <c r="R353" s="50"/>
      <c r="S353" s="50"/>
      <c r="T353" s="51"/>
      <c r="U353" s="51"/>
      <c r="V353" s="51"/>
      <c r="W353" s="51"/>
      <c r="X353" s="51"/>
      <c r="Y353" s="51"/>
      <c r="Z353" s="51"/>
      <c r="AA353" s="51"/>
    </row>
    <row r="354" spans="1:27" ht="15.75" customHeight="1">
      <c r="A354" s="345"/>
      <c r="B354" s="345"/>
      <c r="C354" s="41">
        <v>6</v>
      </c>
      <c r="D354" s="345"/>
      <c r="E354" s="345"/>
      <c r="F354" s="345"/>
      <c r="G354" s="345"/>
      <c r="H354" s="23" t="s">
        <v>383</v>
      </c>
      <c r="I354" s="23" t="s">
        <v>384</v>
      </c>
      <c r="J354" s="170"/>
      <c r="K354" s="25"/>
      <c r="L354" s="25"/>
      <c r="M354" s="66"/>
      <c r="N354" s="4"/>
      <c r="O354" s="25"/>
      <c r="P354" s="25"/>
      <c r="Q354" s="50" t="s">
        <v>282</v>
      </c>
      <c r="R354" s="50"/>
      <c r="S354" s="50"/>
      <c r="T354" s="51"/>
      <c r="U354" s="51"/>
      <c r="V354" s="51"/>
      <c r="W354" s="51"/>
      <c r="X354" s="51"/>
      <c r="Y354" s="51"/>
      <c r="Z354" s="51"/>
      <c r="AA354" s="51"/>
    </row>
    <row r="355" spans="1:27" ht="15.75" customHeight="1">
      <c r="A355" s="368" t="s">
        <v>813</v>
      </c>
      <c r="B355" s="350" t="s">
        <v>814</v>
      </c>
      <c r="C355" s="31">
        <v>1</v>
      </c>
      <c r="D355" s="368" t="s">
        <v>815</v>
      </c>
      <c r="E355" s="23" t="s">
        <v>813</v>
      </c>
      <c r="F355" s="31" t="s">
        <v>326</v>
      </c>
      <c r="G355" s="31" t="s">
        <v>327</v>
      </c>
      <c r="H355" s="23" t="s">
        <v>816</v>
      </c>
      <c r="I355" s="23" t="s">
        <v>817</v>
      </c>
      <c r="J355" s="170"/>
      <c r="K355" s="25" t="s">
        <v>294</v>
      </c>
      <c r="L355" s="25"/>
      <c r="M355" s="43"/>
      <c r="N355" s="55"/>
      <c r="O355" s="25"/>
      <c r="P355" s="25"/>
      <c r="Q355" s="50" t="s">
        <v>140</v>
      </c>
      <c r="R355" s="25"/>
      <c r="S355" s="50"/>
      <c r="T355" s="30"/>
      <c r="U355" s="30"/>
      <c r="V355" s="30"/>
      <c r="W355" s="30"/>
      <c r="X355" s="30"/>
      <c r="Y355" s="30"/>
      <c r="Z355" s="30"/>
      <c r="AA355" s="30"/>
    </row>
    <row r="356" spans="1:27" ht="15.75" customHeight="1">
      <c r="A356" s="345"/>
      <c r="B356" s="345"/>
      <c r="C356" s="31">
        <v>2</v>
      </c>
      <c r="D356" s="345"/>
      <c r="E356" s="23" t="s">
        <v>818</v>
      </c>
      <c r="F356" s="31" t="s">
        <v>326</v>
      </c>
      <c r="G356" s="31" t="s">
        <v>524</v>
      </c>
      <c r="H356" s="23" t="s">
        <v>819</v>
      </c>
      <c r="I356" s="23" t="s">
        <v>820</v>
      </c>
      <c r="J356" s="170"/>
      <c r="K356" s="25" t="s">
        <v>294</v>
      </c>
      <c r="L356" s="25"/>
      <c r="M356" s="43"/>
      <c r="N356" s="55"/>
      <c r="O356" s="25"/>
      <c r="P356" s="25"/>
      <c r="Q356" s="50" t="s">
        <v>140</v>
      </c>
      <c r="R356" s="25"/>
      <c r="S356" s="50"/>
      <c r="T356" s="30"/>
      <c r="U356" s="30"/>
      <c r="V356" s="30"/>
      <c r="W356" s="30"/>
      <c r="X356" s="30"/>
      <c r="Y356" s="30"/>
      <c r="Z356" s="30"/>
      <c r="AA356" s="30"/>
    </row>
    <row r="357" spans="1:27" ht="15.75" customHeight="1">
      <c r="A357" s="368" t="s">
        <v>821</v>
      </c>
      <c r="B357" s="350" t="s">
        <v>822</v>
      </c>
      <c r="C357" s="31">
        <v>1</v>
      </c>
      <c r="D357" s="368" t="s">
        <v>823</v>
      </c>
      <c r="E357" s="23" t="s">
        <v>821</v>
      </c>
      <c r="F357" s="31"/>
      <c r="G357" s="31"/>
      <c r="H357" s="23" t="s">
        <v>824</v>
      </c>
      <c r="I357" s="23" t="s">
        <v>735</v>
      </c>
      <c r="J357" s="170"/>
      <c r="K357" s="25" t="s">
        <v>294</v>
      </c>
      <c r="L357" s="25"/>
      <c r="M357" s="43"/>
      <c r="N357" s="55"/>
      <c r="O357" s="25" t="s">
        <v>140</v>
      </c>
      <c r="P357" s="50" t="s">
        <v>140</v>
      </c>
      <c r="Q357" s="50" t="s">
        <v>140</v>
      </c>
      <c r="R357" s="25"/>
      <c r="S357" s="50"/>
      <c r="T357" s="30"/>
      <c r="U357" s="30"/>
      <c r="V357" s="30"/>
      <c r="W357" s="30"/>
      <c r="X357" s="30"/>
      <c r="Y357" s="30"/>
      <c r="Z357" s="30"/>
      <c r="AA357" s="30"/>
    </row>
    <row r="358" spans="1:27" ht="15.75" customHeight="1">
      <c r="A358" s="344"/>
      <c r="B358" s="344"/>
      <c r="C358" s="31">
        <v>2</v>
      </c>
      <c r="D358" s="344"/>
      <c r="E358" s="23" t="s">
        <v>825</v>
      </c>
      <c r="F358" s="31"/>
      <c r="G358" s="31"/>
      <c r="H358" s="23" t="s">
        <v>826</v>
      </c>
      <c r="I358" s="23" t="s">
        <v>827</v>
      </c>
      <c r="J358" s="170"/>
      <c r="K358" s="25" t="s">
        <v>294</v>
      </c>
      <c r="L358" s="25"/>
      <c r="M358" s="43"/>
      <c r="N358" s="55"/>
      <c r="O358" s="25" t="s">
        <v>140</v>
      </c>
      <c r="P358" s="50" t="s">
        <v>140</v>
      </c>
      <c r="Q358" s="50" t="s">
        <v>140</v>
      </c>
      <c r="R358" s="25"/>
      <c r="S358" s="50"/>
      <c r="T358" s="30"/>
      <c r="U358" s="30"/>
      <c r="V358" s="30"/>
      <c r="W358" s="30"/>
      <c r="X358" s="30"/>
      <c r="Y358" s="30"/>
      <c r="Z358" s="30"/>
      <c r="AA358" s="30"/>
    </row>
    <row r="359" spans="1:27" ht="15.75" customHeight="1">
      <c r="A359" s="344"/>
      <c r="B359" s="344"/>
      <c r="C359" s="31">
        <v>3</v>
      </c>
      <c r="D359" s="344"/>
      <c r="E359" s="23" t="s">
        <v>828</v>
      </c>
      <c r="F359" s="31"/>
      <c r="G359" s="31"/>
      <c r="H359" s="23" t="s">
        <v>829</v>
      </c>
      <c r="I359" s="23" t="s">
        <v>830</v>
      </c>
      <c r="J359" s="170"/>
      <c r="K359" s="25" t="s">
        <v>294</v>
      </c>
      <c r="L359" s="25"/>
      <c r="M359" s="43"/>
      <c r="N359" s="55"/>
      <c r="O359" s="25"/>
      <c r="P359" s="50" t="s">
        <v>140</v>
      </c>
      <c r="Q359" s="50" t="s">
        <v>140</v>
      </c>
      <c r="R359" s="25"/>
      <c r="S359" s="50"/>
      <c r="T359" s="30"/>
      <c r="U359" s="30"/>
      <c r="V359" s="30"/>
      <c r="W359" s="30"/>
      <c r="X359" s="30"/>
      <c r="Y359" s="30"/>
      <c r="Z359" s="30"/>
      <c r="AA359" s="30"/>
    </row>
    <row r="360" spans="1:27" ht="15.75" customHeight="1">
      <c r="A360" s="344"/>
      <c r="B360" s="344"/>
      <c r="C360" s="31">
        <v>4</v>
      </c>
      <c r="D360" s="344"/>
      <c r="E360" s="23" t="s">
        <v>831</v>
      </c>
      <c r="F360" s="31"/>
      <c r="G360" s="31"/>
      <c r="H360" s="23" t="s">
        <v>832</v>
      </c>
      <c r="I360" s="23" t="s">
        <v>830</v>
      </c>
      <c r="J360" s="170"/>
      <c r="K360" s="25" t="s">
        <v>294</v>
      </c>
      <c r="L360" s="25"/>
      <c r="M360" s="43"/>
      <c r="N360" s="55"/>
      <c r="O360" s="25"/>
      <c r="P360" s="50" t="s">
        <v>140</v>
      </c>
      <c r="Q360" s="50" t="s">
        <v>140</v>
      </c>
      <c r="R360" s="25"/>
      <c r="S360" s="50"/>
      <c r="T360" s="30"/>
      <c r="U360" s="30"/>
      <c r="V360" s="30"/>
      <c r="W360" s="30"/>
      <c r="X360" s="30"/>
      <c r="Y360" s="30"/>
      <c r="Z360" s="30"/>
      <c r="AA360" s="30"/>
    </row>
    <row r="361" spans="1:27" ht="16.5" customHeight="1">
      <c r="A361" s="345"/>
      <c r="B361" s="345"/>
      <c r="C361" s="31">
        <v>5</v>
      </c>
      <c r="D361" s="345"/>
      <c r="E361" s="23" t="s">
        <v>833</v>
      </c>
      <c r="F361" s="31"/>
      <c r="G361" s="31"/>
      <c r="H361" s="23" t="s">
        <v>834</v>
      </c>
      <c r="I361" s="23" t="s">
        <v>835</v>
      </c>
      <c r="J361" s="170"/>
      <c r="K361" s="25" t="s">
        <v>294</v>
      </c>
      <c r="L361" s="25"/>
      <c r="M361" s="43"/>
      <c r="N361" s="55"/>
      <c r="O361" s="25"/>
      <c r="P361" s="50" t="s">
        <v>140</v>
      </c>
      <c r="Q361" s="50" t="s">
        <v>140</v>
      </c>
      <c r="R361" s="25"/>
      <c r="S361" s="50"/>
      <c r="T361" s="30"/>
      <c r="U361" s="30"/>
      <c r="V361" s="30"/>
      <c r="W361" s="30"/>
      <c r="X361" s="30"/>
      <c r="Y361" s="30"/>
      <c r="Z361" s="30"/>
      <c r="AA361" s="30"/>
    </row>
    <row r="362" spans="1:27" ht="101.25" customHeight="1">
      <c r="A362" s="366" t="s">
        <v>698</v>
      </c>
      <c r="B362" s="367" t="s">
        <v>266</v>
      </c>
      <c r="C362" s="61">
        <v>1</v>
      </c>
      <c r="D362" s="366" t="s">
        <v>836</v>
      </c>
      <c r="E362" s="62" t="s">
        <v>700</v>
      </c>
      <c r="F362" s="61" t="s">
        <v>326</v>
      </c>
      <c r="G362" s="61" t="s">
        <v>327</v>
      </c>
      <c r="H362" s="62" t="s">
        <v>837</v>
      </c>
      <c r="I362" s="63" t="s">
        <v>838</v>
      </c>
      <c r="J362" s="171"/>
      <c r="K362" s="25" t="s">
        <v>294</v>
      </c>
      <c r="L362" s="25"/>
      <c r="M362" s="26"/>
      <c r="N362" s="27"/>
      <c r="O362" s="25"/>
      <c r="P362" s="25"/>
      <c r="Q362" s="29" t="s">
        <v>140</v>
      </c>
      <c r="R362" s="25"/>
      <c r="S362" s="29"/>
      <c r="T362" s="30"/>
      <c r="U362" s="30"/>
      <c r="V362" s="30"/>
      <c r="W362" s="30"/>
      <c r="X362" s="30"/>
      <c r="Y362" s="30"/>
      <c r="Z362" s="30"/>
      <c r="AA362" s="30"/>
    </row>
    <row r="363" spans="1:27" ht="126" customHeight="1">
      <c r="A363" s="369"/>
      <c r="B363" s="369"/>
      <c r="C363" s="61">
        <v>2</v>
      </c>
      <c r="D363" s="369"/>
      <c r="E363" s="62" t="s">
        <v>703</v>
      </c>
      <c r="F363" s="61" t="s">
        <v>326</v>
      </c>
      <c r="G363" s="61" t="s">
        <v>327</v>
      </c>
      <c r="H363" s="62" t="s">
        <v>839</v>
      </c>
      <c r="I363" s="63" t="s">
        <v>840</v>
      </c>
      <c r="J363" s="171"/>
      <c r="K363" s="25"/>
      <c r="L363" s="25"/>
      <c r="M363" s="26"/>
      <c r="N363" s="27"/>
      <c r="O363" s="25"/>
      <c r="P363" s="25"/>
      <c r="Q363" s="29" t="s">
        <v>282</v>
      </c>
      <c r="R363" s="25"/>
      <c r="S363" s="29"/>
      <c r="T363" s="30"/>
      <c r="U363" s="30"/>
      <c r="V363" s="30"/>
      <c r="W363" s="30"/>
      <c r="X363" s="30"/>
      <c r="Y363" s="30"/>
      <c r="Z363" s="30"/>
      <c r="AA363" s="30"/>
    </row>
    <row r="364" spans="1:27" ht="15.75" customHeight="1">
      <c r="A364" s="357" t="s">
        <v>841</v>
      </c>
      <c r="B364" s="354" t="s">
        <v>192</v>
      </c>
      <c r="C364" s="86">
        <v>1</v>
      </c>
      <c r="D364" s="357" t="s">
        <v>842</v>
      </c>
      <c r="E364" s="175" t="s">
        <v>843</v>
      </c>
      <c r="F364" s="86" t="s">
        <v>326</v>
      </c>
      <c r="G364" s="86" t="s">
        <v>327</v>
      </c>
      <c r="H364" s="175" t="s">
        <v>844</v>
      </c>
      <c r="I364" s="35" t="s">
        <v>845</v>
      </c>
      <c r="J364" s="172"/>
      <c r="K364" s="25"/>
      <c r="L364" s="25"/>
      <c r="M364" s="66"/>
      <c r="N364" s="3"/>
      <c r="O364" s="50"/>
      <c r="P364" s="50"/>
      <c r="Q364" s="50" t="s">
        <v>282</v>
      </c>
      <c r="R364" s="25" t="s">
        <v>305</v>
      </c>
      <c r="S364" s="50"/>
    </row>
    <row r="365" spans="1:27" ht="15.75" customHeight="1">
      <c r="A365" s="352"/>
      <c r="B365" s="352"/>
      <c r="C365" s="86">
        <v>2</v>
      </c>
      <c r="D365" s="352"/>
      <c r="E365" s="175" t="s">
        <v>846</v>
      </c>
      <c r="F365" s="86" t="s">
        <v>326</v>
      </c>
      <c r="G365" s="86" t="s">
        <v>327</v>
      </c>
      <c r="H365" s="175" t="s">
        <v>847</v>
      </c>
      <c r="I365" s="35" t="s">
        <v>848</v>
      </c>
      <c r="J365" s="172"/>
      <c r="K365" s="25"/>
      <c r="L365" s="25"/>
      <c r="M365" s="66"/>
      <c r="N365" s="3"/>
      <c r="O365" s="50"/>
      <c r="P365" s="50"/>
      <c r="Q365" s="50" t="s">
        <v>282</v>
      </c>
      <c r="R365" s="25" t="s">
        <v>305</v>
      </c>
      <c r="S365" s="50"/>
    </row>
    <row r="366" spans="1:27" ht="15.75" customHeight="1">
      <c r="A366" s="352"/>
      <c r="B366" s="352"/>
      <c r="C366" s="86">
        <v>3</v>
      </c>
      <c r="D366" s="352"/>
      <c r="E366" s="175" t="s">
        <v>849</v>
      </c>
      <c r="F366" s="86" t="s">
        <v>326</v>
      </c>
      <c r="G366" s="86" t="s">
        <v>327</v>
      </c>
      <c r="H366" s="175" t="s">
        <v>850</v>
      </c>
      <c r="I366" s="35" t="s">
        <v>851</v>
      </c>
      <c r="J366" s="172"/>
      <c r="K366" s="25"/>
      <c r="L366" s="25"/>
      <c r="M366" s="66"/>
      <c r="N366" s="3"/>
      <c r="O366" s="50"/>
      <c r="P366" s="50"/>
      <c r="Q366" s="50" t="s">
        <v>282</v>
      </c>
      <c r="R366" s="25" t="s">
        <v>305</v>
      </c>
      <c r="S366" s="50"/>
    </row>
    <row r="367" spans="1:27" ht="15.75" customHeight="1">
      <c r="A367" s="352"/>
      <c r="B367" s="352"/>
      <c r="C367" s="86">
        <v>4</v>
      </c>
      <c r="D367" s="352"/>
      <c r="E367" s="351" t="s">
        <v>852</v>
      </c>
      <c r="F367" s="86" t="s">
        <v>326</v>
      </c>
      <c r="G367" s="86" t="s">
        <v>327</v>
      </c>
      <c r="H367" s="175" t="s">
        <v>853</v>
      </c>
      <c r="I367" s="35" t="s">
        <v>854</v>
      </c>
      <c r="J367" s="172"/>
      <c r="K367" s="25"/>
      <c r="L367" s="25"/>
      <c r="M367" s="66"/>
      <c r="N367" s="3"/>
      <c r="O367" s="50"/>
      <c r="P367" s="50"/>
      <c r="Q367" s="50" t="s">
        <v>282</v>
      </c>
      <c r="R367" s="25" t="s">
        <v>305</v>
      </c>
      <c r="S367" s="50"/>
    </row>
    <row r="368" spans="1:27" ht="15.75" customHeight="1">
      <c r="A368" s="353"/>
      <c r="B368" s="353"/>
      <c r="C368" s="86">
        <v>5</v>
      </c>
      <c r="D368" s="353"/>
      <c r="E368" s="353"/>
      <c r="F368" s="86" t="s">
        <v>326</v>
      </c>
      <c r="G368" s="86" t="s">
        <v>327</v>
      </c>
      <c r="H368" s="175" t="s">
        <v>855</v>
      </c>
      <c r="I368" s="35" t="s">
        <v>854</v>
      </c>
      <c r="J368" s="172"/>
      <c r="K368" s="25"/>
      <c r="L368" s="25"/>
      <c r="M368" s="66"/>
      <c r="N368" s="3"/>
      <c r="O368" s="50"/>
      <c r="P368" s="50"/>
      <c r="Q368" s="50" t="s">
        <v>282</v>
      </c>
      <c r="R368" s="25" t="s">
        <v>305</v>
      </c>
      <c r="S368" s="50"/>
    </row>
    <row r="369" spans="1:19" ht="15.75" customHeight="1">
      <c r="A369" s="357" t="s">
        <v>856</v>
      </c>
      <c r="B369" s="358" t="s">
        <v>193</v>
      </c>
      <c r="C369" s="86">
        <v>1</v>
      </c>
      <c r="D369" s="361" t="s">
        <v>857</v>
      </c>
      <c r="E369" s="175" t="s">
        <v>858</v>
      </c>
      <c r="F369" s="86" t="s">
        <v>326</v>
      </c>
      <c r="G369" s="86" t="s">
        <v>327</v>
      </c>
      <c r="H369" s="175" t="s">
        <v>859</v>
      </c>
      <c r="I369" s="35" t="s">
        <v>860</v>
      </c>
      <c r="J369" s="172"/>
      <c r="K369" s="25"/>
      <c r="L369" s="25"/>
      <c r="M369" s="66"/>
      <c r="N369" s="3"/>
      <c r="O369" s="50"/>
      <c r="P369" s="50"/>
      <c r="Q369" s="50" t="s">
        <v>282</v>
      </c>
      <c r="R369" s="25" t="s">
        <v>305</v>
      </c>
      <c r="S369" s="50"/>
    </row>
    <row r="370" spans="1:19" ht="15.75" customHeight="1">
      <c r="A370" s="353"/>
      <c r="B370" s="353"/>
      <c r="C370" s="86">
        <v>2</v>
      </c>
      <c r="D370" s="353"/>
      <c r="E370" s="175" t="s">
        <v>861</v>
      </c>
      <c r="F370" s="86" t="s">
        <v>326</v>
      </c>
      <c r="G370" s="86" t="s">
        <v>327</v>
      </c>
      <c r="H370" s="175" t="s">
        <v>862</v>
      </c>
      <c r="I370" s="35" t="s">
        <v>863</v>
      </c>
      <c r="J370" s="172"/>
      <c r="K370" s="25"/>
      <c r="L370" s="25"/>
      <c r="M370" s="66"/>
      <c r="N370" s="3"/>
      <c r="O370" s="50"/>
      <c r="P370" s="50"/>
      <c r="Q370" s="50" t="s">
        <v>282</v>
      </c>
      <c r="R370" s="25" t="s">
        <v>305</v>
      </c>
      <c r="S370" s="50"/>
    </row>
    <row r="371" spans="1:19" ht="15.75" customHeight="1">
      <c r="A371" s="351" t="s">
        <v>864</v>
      </c>
      <c r="B371" s="354" t="s">
        <v>194</v>
      </c>
      <c r="C371" s="86">
        <v>1</v>
      </c>
      <c r="D371" s="181" t="s">
        <v>865</v>
      </c>
      <c r="E371" s="175" t="s">
        <v>866</v>
      </c>
      <c r="F371" s="86" t="s">
        <v>326</v>
      </c>
      <c r="G371" s="86" t="s">
        <v>327</v>
      </c>
      <c r="H371" s="175" t="s">
        <v>867</v>
      </c>
      <c r="I371" s="35" t="s">
        <v>868</v>
      </c>
      <c r="J371" s="172"/>
      <c r="K371" s="25"/>
      <c r="L371" s="25"/>
      <c r="M371" s="66"/>
      <c r="N371" s="3"/>
      <c r="O371" s="50"/>
      <c r="P371" s="50"/>
      <c r="Q371" s="50" t="s">
        <v>282</v>
      </c>
      <c r="R371" s="25" t="s">
        <v>305</v>
      </c>
      <c r="S371" s="50"/>
    </row>
    <row r="372" spans="1:19" ht="15.75" customHeight="1">
      <c r="A372" s="353"/>
      <c r="B372" s="353"/>
      <c r="C372" s="86">
        <v>2</v>
      </c>
      <c r="D372" s="181" t="s">
        <v>869</v>
      </c>
      <c r="E372" s="175" t="s">
        <v>870</v>
      </c>
      <c r="F372" s="86" t="s">
        <v>326</v>
      </c>
      <c r="G372" s="86" t="s">
        <v>327</v>
      </c>
      <c r="H372" s="175" t="s">
        <v>871</v>
      </c>
      <c r="I372" s="35" t="s">
        <v>872</v>
      </c>
      <c r="J372" s="172"/>
      <c r="K372" s="25"/>
      <c r="L372" s="25"/>
      <c r="M372" s="66"/>
      <c r="N372" s="3"/>
      <c r="O372" s="50"/>
      <c r="P372" s="50"/>
      <c r="Q372" s="50" t="s">
        <v>282</v>
      </c>
      <c r="R372" s="25" t="s">
        <v>305</v>
      </c>
      <c r="S372" s="50"/>
    </row>
    <row r="373" spans="1:19" ht="15.75" customHeight="1">
      <c r="A373" s="370" t="s">
        <v>873</v>
      </c>
      <c r="B373" s="354" t="s">
        <v>233</v>
      </c>
      <c r="C373" s="86">
        <v>1</v>
      </c>
      <c r="D373" s="351" t="s">
        <v>874</v>
      </c>
      <c r="E373" s="175" t="s">
        <v>875</v>
      </c>
      <c r="F373" s="86" t="s">
        <v>361</v>
      </c>
      <c r="G373" s="86" t="s">
        <v>327</v>
      </c>
      <c r="H373" s="175" t="s">
        <v>876</v>
      </c>
      <c r="I373" s="63" t="s">
        <v>877</v>
      </c>
      <c r="J373" s="171"/>
      <c r="K373" s="25"/>
      <c r="L373" s="25"/>
      <c r="M373" s="43"/>
      <c r="N373" s="55"/>
      <c r="O373" s="25"/>
      <c r="P373" s="25"/>
      <c r="Q373" s="50" t="s">
        <v>282</v>
      </c>
      <c r="R373" s="50" t="s">
        <v>295</v>
      </c>
      <c r="S373" s="50"/>
    </row>
    <row r="374" spans="1:19" ht="15.75" customHeight="1">
      <c r="A374" s="352"/>
      <c r="B374" s="352"/>
      <c r="C374" s="86">
        <v>2</v>
      </c>
      <c r="D374" s="352"/>
      <c r="E374" s="175" t="s">
        <v>878</v>
      </c>
      <c r="F374" s="86" t="s">
        <v>361</v>
      </c>
      <c r="G374" s="86" t="s">
        <v>327</v>
      </c>
      <c r="H374" s="175" t="s">
        <v>879</v>
      </c>
      <c r="I374" s="63" t="s">
        <v>880</v>
      </c>
      <c r="J374" s="171"/>
      <c r="K374" s="25"/>
      <c r="L374" s="25"/>
      <c r="M374" s="43"/>
      <c r="N374" s="55"/>
      <c r="O374" s="25"/>
      <c r="P374" s="25"/>
      <c r="Q374" s="50" t="s">
        <v>282</v>
      </c>
      <c r="R374" s="50" t="s">
        <v>295</v>
      </c>
      <c r="S374" s="50"/>
    </row>
    <row r="375" spans="1:19" ht="15.75" customHeight="1">
      <c r="A375" s="352"/>
      <c r="B375" s="352"/>
      <c r="C375" s="86">
        <v>3</v>
      </c>
      <c r="D375" s="352"/>
      <c r="E375" s="175" t="s">
        <v>881</v>
      </c>
      <c r="F375" s="86" t="s">
        <v>361</v>
      </c>
      <c r="G375" s="86" t="s">
        <v>327</v>
      </c>
      <c r="H375" s="175" t="s">
        <v>882</v>
      </c>
      <c r="I375" s="63" t="s">
        <v>883</v>
      </c>
      <c r="J375" s="171"/>
      <c r="K375" s="25"/>
      <c r="L375" s="25"/>
      <c r="M375" s="43"/>
      <c r="N375" s="55"/>
      <c r="O375" s="25"/>
      <c r="P375" s="25"/>
      <c r="Q375" s="50" t="s">
        <v>282</v>
      </c>
      <c r="R375" s="50" t="s">
        <v>295</v>
      </c>
      <c r="S375" s="50"/>
    </row>
    <row r="376" spans="1:19" ht="15.75" customHeight="1">
      <c r="A376" s="352"/>
      <c r="B376" s="352"/>
      <c r="C376" s="86">
        <v>4</v>
      </c>
      <c r="D376" s="352"/>
      <c r="E376" s="175" t="s">
        <v>884</v>
      </c>
      <c r="F376" s="86" t="s">
        <v>361</v>
      </c>
      <c r="G376" s="86" t="s">
        <v>327</v>
      </c>
      <c r="H376" s="175" t="s">
        <v>882</v>
      </c>
      <c r="I376" s="63" t="s">
        <v>883</v>
      </c>
      <c r="J376" s="171"/>
      <c r="K376" s="25"/>
      <c r="L376" s="25"/>
      <c r="M376" s="43"/>
      <c r="N376" s="55"/>
      <c r="O376" s="25"/>
      <c r="P376" s="25"/>
      <c r="Q376" s="50" t="s">
        <v>282</v>
      </c>
      <c r="R376" s="50" t="s">
        <v>295</v>
      </c>
      <c r="S376" s="50"/>
    </row>
    <row r="377" spans="1:19" ht="15.75" customHeight="1">
      <c r="A377" s="352"/>
      <c r="B377" s="352"/>
      <c r="C377" s="86">
        <v>5</v>
      </c>
      <c r="D377" s="352"/>
      <c r="E377" s="175" t="s">
        <v>885</v>
      </c>
      <c r="F377" s="86" t="s">
        <v>361</v>
      </c>
      <c r="G377" s="86" t="s">
        <v>327</v>
      </c>
      <c r="H377" s="175" t="s">
        <v>882</v>
      </c>
      <c r="I377" s="63" t="s">
        <v>883</v>
      </c>
      <c r="J377" s="171"/>
      <c r="K377" s="25"/>
      <c r="L377" s="25"/>
      <c r="M377" s="43"/>
      <c r="N377" s="55"/>
      <c r="O377" s="25"/>
      <c r="P377" s="25"/>
      <c r="Q377" s="50" t="s">
        <v>282</v>
      </c>
      <c r="R377" s="50" t="s">
        <v>295</v>
      </c>
      <c r="S377" s="50"/>
    </row>
    <row r="378" spans="1:19" ht="15.75" customHeight="1">
      <c r="A378" s="353"/>
      <c r="B378" s="353"/>
      <c r="C378" s="86">
        <v>6</v>
      </c>
      <c r="D378" s="353"/>
      <c r="E378" s="175" t="s">
        <v>886</v>
      </c>
      <c r="F378" s="86" t="s">
        <v>361</v>
      </c>
      <c r="G378" s="86" t="s">
        <v>349</v>
      </c>
      <c r="H378" s="175" t="s">
        <v>882</v>
      </c>
      <c r="I378" s="63" t="s">
        <v>883</v>
      </c>
      <c r="J378" s="171"/>
      <c r="K378" s="25"/>
      <c r="L378" s="25"/>
      <c r="M378" s="43"/>
      <c r="N378" s="55"/>
      <c r="O378" s="25"/>
      <c r="P378" s="25"/>
      <c r="Q378" s="50" t="s">
        <v>282</v>
      </c>
      <c r="R378" s="50" t="s">
        <v>295</v>
      </c>
      <c r="S378" s="50"/>
    </row>
    <row r="379" spans="1:19" ht="15.75" customHeight="1">
      <c r="A379" s="370" t="s">
        <v>873</v>
      </c>
      <c r="B379" s="354" t="s">
        <v>234</v>
      </c>
      <c r="C379" s="86">
        <v>1</v>
      </c>
      <c r="D379" s="351" t="s">
        <v>887</v>
      </c>
      <c r="E379" s="351" t="s">
        <v>888</v>
      </c>
      <c r="F379" s="354" t="s">
        <v>326</v>
      </c>
      <c r="G379" s="354" t="s">
        <v>327</v>
      </c>
      <c r="H379" s="175" t="s">
        <v>889</v>
      </c>
      <c r="I379" s="63" t="s">
        <v>883</v>
      </c>
      <c r="J379" s="171"/>
      <c r="K379" s="25"/>
      <c r="L379" s="25"/>
      <c r="M379" s="43"/>
      <c r="N379" s="55"/>
      <c r="O379" s="25"/>
      <c r="P379" s="25"/>
      <c r="Q379" s="50" t="s">
        <v>282</v>
      </c>
      <c r="R379" s="50" t="s">
        <v>295</v>
      </c>
      <c r="S379" s="50"/>
    </row>
    <row r="380" spans="1:19" ht="15.75" customHeight="1">
      <c r="A380" s="352"/>
      <c r="B380" s="352"/>
      <c r="C380" s="86">
        <v>2</v>
      </c>
      <c r="D380" s="352"/>
      <c r="E380" s="352"/>
      <c r="F380" s="352"/>
      <c r="G380" s="352"/>
      <c r="H380" s="175" t="s">
        <v>439</v>
      </c>
      <c r="I380" s="67" t="s">
        <v>440</v>
      </c>
      <c r="J380" s="67"/>
      <c r="K380" s="25"/>
      <c r="L380" s="25"/>
      <c r="M380" s="43"/>
      <c r="N380" s="55"/>
      <c r="O380" s="25"/>
      <c r="P380" s="25"/>
      <c r="Q380" s="50" t="s">
        <v>282</v>
      </c>
      <c r="R380" s="50" t="s">
        <v>295</v>
      </c>
      <c r="S380" s="50"/>
    </row>
    <row r="381" spans="1:19" ht="15.75" customHeight="1">
      <c r="A381" s="352"/>
      <c r="B381" s="352"/>
      <c r="C381" s="86">
        <v>3</v>
      </c>
      <c r="D381" s="352"/>
      <c r="E381" s="352"/>
      <c r="F381" s="352"/>
      <c r="G381" s="352"/>
      <c r="H381" s="175" t="s">
        <v>441</v>
      </c>
      <c r="I381" s="67" t="s">
        <v>442</v>
      </c>
      <c r="J381" s="67"/>
      <c r="K381" s="25"/>
      <c r="L381" s="25"/>
      <c r="M381" s="43"/>
      <c r="N381" s="55"/>
      <c r="O381" s="25"/>
      <c r="P381" s="25"/>
      <c r="Q381" s="50" t="s">
        <v>282</v>
      </c>
      <c r="R381" s="50" t="s">
        <v>295</v>
      </c>
      <c r="S381" s="50"/>
    </row>
    <row r="382" spans="1:19" ht="15.75" customHeight="1">
      <c r="A382" s="352"/>
      <c r="B382" s="352"/>
      <c r="C382" s="86">
        <v>4</v>
      </c>
      <c r="D382" s="352"/>
      <c r="E382" s="352"/>
      <c r="F382" s="352"/>
      <c r="G382" s="352"/>
      <c r="H382" s="175" t="s">
        <v>443</v>
      </c>
      <c r="I382" s="67" t="s">
        <v>444</v>
      </c>
      <c r="J382" s="67"/>
      <c r="K382" s="25"/>
      <c r="L382" s="25"/>
      <c r="M382" s="43"/>
      <c r="N382" s="55"/>
      <c r="O382" s="25"/>
      <c r="P382" s="25"/>
      <c r="Q382" s="50" t="s">
        <v>282</v>
      </c>
      <c r="R382" s="50" t="s">
        <v>295</v>
      </c>
      <c r="S382" s="50"/>
    </row>
    <row r="383" spans="1:19" ht="15.75" customHeight="1">
      <c r="A383" s="352"/>
      <c r="B383" s="352"/>
      <c r="C383" s="86">
        <v>5</v>
      </c>
      <c r="D383" s="352"/>
      <c r="E383" s="352"/>
      <c r="F383" s="352"/>
      <c r="G383" s="352"/>
      <c r="H383" s="175" t="s">
        <v>890</v>
      </c>
      <c r="I383" s="63" t="s">
        <v>891</v>
      </c>
      <c r="J383" s="171"/>
      <c r="K383" s="25"/>
      <c r="L383" s="25"/>
      <c r="M383" s="43"/>
      <c r="N383" s="55"/>
      <c r="O383" s="25"/>
      <c r="P383" s="25"/>
      <c r="Q383" s="50" t="s">
        <v>282</v>
      </c>
      <c r="R383" s="50" t="s">
        <v>295</v>
      </c>
      <c r="S383" s="50"/>
    </row>
    <row r="384" spans="1:19" ht="15.75" customHeight="1">
      <c r="A384" s="352"/>
      <c r="B384" s="352"/>
      <c r="C384" s="86">
        <v>6</v>
      </c>
      <c r="D384" s="352"/>
      <c r="E384" s="353"/>
      <c r="F384" s="353"/>
      <c r="G384" s="353"/>
      <c r="H384" s="175" t="s">
        <v>447</v>
      </c>
      <c r="I384" s="63" t="s">
        <v>448</v>
      </c>
      <c r="J384" s="171"/>
      <c r="K384" s="25"/>
      <c r="L384" s="25"/>
      <c r="M384" s="43"/>
      <c r="N384" s="55"/>
      <c r="O384" s="25"/>
      <c r="P384" s="25"/>
      <c r="Q384" s="50" t="s">
        <v>282</v>
      </c>
      <c r="R384" s="50" t="s">
        <v>295</v>
      </c>
      <c r="S384" s="50"/>
    </row>
    <row r="385" spans="1:19" ht="15.75" customHeight="1">
      <c r="A385" s="352"/>
      <c r="B385" s="352"/>
      <c r="C385" s="86">
        <v>7</v>
      </c>
      <c r="D385" s="352"/>
      <c r="E385" s="181" t="s">
        <v>892</v>
      </c>
      <c r="F385" s="86" t="s">
        <v>326</v>
      </c>
      <c r="G385" s="86" t="s">
        <v>327</v>
      </c>
      <c r="H385" s="175" t="s">
        <v>452</v>
      </c>
      <c r="I385" s="63" t="s">
        <v>893</v>
      </c>
      <c r="J385" s="171"/>
      <c r="K385" s="25"/>
      <c r="L385" s="25"/>
      <c r="M385" s="43"/>
      <c r="N385" s="55"/>
      <c r="O385" s="25"/>
      <c r="P385" s="25"/>
      <c r="Q385" s="50" t="s">
        <v>282</v>
      </c>
      <c r="R385" s="50" t="s">
        <v>295</v>
      </c>
      <c r="S385" s="50"/>
    </row>
    <row r="386" spans="1:19" ht="15.75" customHeight="1">
      <c r="A386" s="352"/>
      <c r="B386" s="352"/>
      <c r="C386" s="86">
        <v>8</v>
      </c>
      <c r="D386" s="352"/>
      <c r="E386" s="181" t="s">
        <v>894</v>
      </c>
      <c r="F386" s="86" t="s">
        <v>326</v>
      </c>
      <c r="G386" s="86" t="s">
        <v>327</v>
      </c>
      <c r="H386" s="175" t="s">
        <v>456</v>
      </c>
      <c r="I386" s="63" t="s">
        <v>893</v>
      </c>
      <c r="J386" s="171"/>
      <c r="K386" s="25"/>
      <c r="L386" s="25"/>
      <c r="M386" s="43"/>
      <c r="N386" s="55"/>
      <c r="O386" s="25"/>
      <c r="P386" s="25"/>
      <c r="Q386" s="50" t="s">
        <v>282</v>
      </c>
      <c r="R386" s="50" t="s">
        <v>295</v>
      </c>
      <c r="S386" s="50"/>
    </row>
    <row r="387" spans="1:19" ht="15.75" customHeight="1">
      <c r="A387" s="353"/>
      <c r="B387" s="353"/>
      <c r="C387" s="86">
        <v>9</v>
      </c>
      <c r="D387" s="353"/>
      <c r="E387" s="181" t="s">
        <v>895</v>
      </c>
      <c r="F387" s="86" t="s">
        <v>326</v>
      </c>
      <c r="G387" s="86" t="s">
        <v>327</v>
      </c>
      <c r="H387" s="175" t="s">
        <v>896</v>
      </c>
      <c r="I387" s="63" t="s">
        <v>897</v>
      </c>
      <c r="J387" s="171"/>
      <c r="K387" s="25"/>
      <c r="L387" s="25"/>
      <c r="M387" s="43"/>
      <c r="N387" s="55"/>
      <c r="O387" s="25"/>
      <c r="P387" s="25"/>
      <c r="Q387" s="50" t="s">
        <v>282</v>
      </c>
      <c r="R387" s="50" t="s">
        <v>295</v>
      </c>
      <c r="S387" s="50"/>
    </row>
    <row r="388" spans="1:19" ht="15.75" customHeight="1">
      <c r="A388" s="68"/>
      <c r="B388" s="68"/>
      <c r="D388" s="68"/>
      <c r="E388" s="69"/>
      <c r="O388" s="68"/>
      <c r="P388" s="68"/>
      <c r="Q388" s="68"/>
      <c r="R388" s="68"/>
      <c r="S388" s="68"/>
    </row>
    <row r="389" spans="1:19" ht="15.75" customHeight="1">
      <c r="A389" s="68"/>
      <c r="B389" s="68"/>
      <c r="D389" s="68"/>
      <c r="E389" s="69"/>
      <c r="O389" s="68"/>
      <c r="P389" s="68"/>
      <c r="Q389" s="68"/>
      <c r="R389" s="68"/>
      <c r="S389" s="68"/>
    </row>
    <row r="390" spans="1:19" ht="15.75" customHeight="1">
      <c r="A390" s="68"/>
      <c r="B390" s="68"/>
      <c r="D390" s="68"/>
      <c r="E390" s="69"/>
      <c r="O390" s="68"/>
      <c r="P390" s="68"/>
      <c r="Q390" s="68"/>
      <c r="R390" s="68"/>
      <c r="S390" s="68"/>
    </row>
    <row r="391" spans="1:19" ht="15.75" customHeight="1">
      <c r="A391" s="68"/>
      <c r="B391" s="68"/>
      <c r="D391" s="68"/>
      <c r="E391" s="69"/>
      <c r="O391" s="68"/>
      <c r="P391" s="68"/>
      <c r="Q391" s="68"/>
      <c r="R391" s="68"/>
      <c r="S391" s="68"/>
    </row>
    <row r="392" spans="1:19" ht="15.75" customHeight="1">
      <c r="A392" s="68"/>
      <c r="B392" s="68"/>
      <c r="D392" s="68"/>
      <c r="E392" s="69"/>
      <c r="O392" s="68"/>
      <c r="P392" s="68"/>
      <c r="Q392" s="68"/>
      <c r="R392" s="68"/>
      <c r="S392" s="68"/>
    </row>
    <row r="393" spans="1:19" ht="15.75" customHeight="1">
      <c r="A393" s="68"/>
      <c r="B393" s="68"/>
      <c r="D393" s="68"/>
      <c r="E393" s="69"/>
      <c r="O393" s="68"/>
      <c r="P393" s="68"/>
      <c r="Q393" s="68"/>
      <c r="R393" s="68"/>
      <c r="S393" s="68"/>
    </row>
    <row r="394" spans="1:19" ht="15.75" customHeight="1">
      <c r="A394" s="68"/>
      <c r="B394" s="68"/>
      <c r="D394" s="68"/>
      <c r="E394" s="69"/>
      <c r="O394" s="68"/>
      <c r="P394" s="68"/>
      <c r="Q394" s="68"/>
      <c r="R394" s="68"/>
      <c r="S394" s="68"/>
    </row>
    <row r="395" spans="1:19" ht="15.75" customHeight="1">
      <c r="A395" s="68"/>
      <c r="B395" s="68"/>
      <c r="D395" s="68"/>
      <c r="E395" s="69"/>
      <c r="O395" s="68"/>
      <c r="P395" s="68"/>
      <c r="Q395" s="68"/>
      <c r="R395" s="68"/>
      <c r="S395" s="68"/>
    </row>
    <row r="396" spans="1:19" ht="15.75" customHeight="1">
      <c r="A396" s="68"/>
      <c r="B396" s="68"/>
      <c r="D396" s="68"/>
      <c r="E396" s="69"/>
      <c r="O396" s="68"/>
      <c r="P396" s="68"/>
      <c r="Q396" s="68"/>
      <c r="R396" s="68"/>
      <c r="S396" s="68"/>
    </row>
    <row r="397" spans="1:19" ht="15.75" customHeight="1">
      <c r="A397" s="68"/>
      <c r="B397" s="68"/>
      <c r="D397" s="68"/>
      <c r="E397" s="69"/>
      <c r="O397" s="68"/>
      <c r="P397" s="68"/>
      <c r="Q397" s="68"/>
      <c r="R397" s="68"/>
      <c r="S397" s="68"/>
    </row>
    <row r="398" spans="1:19" ht="15.75" customHeight="1">
      <c r="A398" s="68"/>
      <c r="B398" s="68"/>
      <c r="D398" s="68"/>
      <c r="E398" s="69"/>
      <c r="O398" s="68"/>
      <c r="P398" s="68"/>
      <c r="Q398" s="68"/>
      <c r="R398" s="68"/>
      <c r="S398" s="68"/>
    </row>
    <row r="399" spans="1:19" ht="15.75" customHeight="1">
      <c r="A399" s="68"/>
      <c r="B399" s="68"/>
      <c r="D399" s="68"/>
      <c r="E399" s="69"/>
      <c r="O399" s="68"/>
      <c r="P399" s="68"/>
      <c r="Q399" s="68"/>
      <c r="R399" s="68"/>
      <c r="S399" s="68"/>
    </row>
    <row r="400" spans="1:19" ht="15.75" customHeight="1">
      <c r="A400" s="68"/>
      <c r="B400" s="68"/>
      <c r="D400" s="68"/>
      <c r="E400" s="69"/>
      <c r="O400" s="68"/>
      <c r="P400" s="68"/>
      <c r="Q400" s="68"/>
      <c r="R400" s="68"/>
      <c r="S400" s="68"/>
    </row>
    <row r="401" spans="1:19" ht="15.75" customHeight="1">
      <c r="A401" s="68"/>
      <c r="B401" s="68"/>
      <c r="D401" s="68"/>
      <c r="E401" s="69"/>
      <c r="O401" s="68"/>
      <c r="P401" s="68"/>
      <c r="Q401" s="68"/>
      <c r="R401" s="68"/>
      <c r="S401" s="68"/>
    </row>
    <row r="402" spans="1:19" ht="15.75" customHeight="1">
      <c r="A402" s="68"/>
      <c r="B402" s="68"/>
      <c r="D402" s="68"/>
      <c r="E402" s="69"/>
      <c r="O402" s="68"/>
      <c r="P402" s="68"/>
      <c r="Q402" s="68"/>
      <c r="R402" s="68"/>
      <c r="S402" s="68"/>
    </row>
    <row r="403" spans="1:19" ht="15.75" customHeight="1">
      <c r="A403" s="68"/>
      <c r="B403" s="68"/>
      <c r="D403" s="68"/>
      <c r="E403" s="69"/>
      <c r="O403" s="68"/>
      <c r="P403" s="68"/>
      <c r="Q403" s="68"/>
      <c r="R403" s="68"/>
      <c r="S403" s="68"/>
    </row>
    <row r="404" spans="1:19" ht="15.75" customHeight="1">
      <c r="A404" s="68"/>
      <c r="B404" s="68"/>
      <c r="D404" s="68"/>
      <c r="E404" s="69"/>
      <c r="O404" s="68"/>
      <c r="P404" s="68"/>
      <c r="Q404" s="68"/>
      <c r="R404" s="68"/>
      <c r="S404" s="68"/>
    </row>
    <row r="405" spans="1:19" ht="15.75" customHeight="1">
      <c r="A405" s="68"/>
      <c r="B405" s="68"/>
      <c r="D405" s="68"/>
      <c r="E405" s="69"/>
      <c r="O405" s="68"/>
      <c r="P405" s="68"/>
      <c r="Q405" s="68"/>
      <c r="R405" s="68"/>
      <c r="S405" s="68"/>
    </row>
    <row r="406" spans="1:19" ht="15.75" customHeight="1">
      <c r="A406" s="68"/>
      <c r="B406" s="68"/>
      <c r="D406" s="68"/>
      <c r="E406" s="69"/>
      <c r="O406" s="68"/>
      <c r="P406" s="68"/>
      <c r="Q406" s="68"/>
      <c r="R406" s="68"/>
      <c r="S406" s="68"/>
    </row>
    <row r="407" spans="1:19" ht="15.75" customHeight="1">
      <c r="A407" s="68"/>
      <c r="B407" s="68"/>
      <c r="D407" s="68"/>
      <c r="E407" s="69"/>
      <c r="O407" s="68"/>
      <c r="P407" s="68"/>
      <c r="Q407" s="68"/>
      <c r="R407" s="68"/>
      <c r="S407" s="68"/>
    </row>
    <row r="408" spans="1:19" ht="15.75" customHeight="1">
      <c r="A408" s="68"/>
      <c r="B408" s="68"/>
      <c r="D408" s="68"/>
      <c r="E408" s="69"/>
      <c r="O408" s="68"/>
      <c r="P408" s="68"/>
      <c r="Q408" s="68"/>
      <c r="R408" s="68"/>
      <c r="S408" s="68"/>
    </row>
    <row r="409" spans="1:19" ht="15.75" customHeight="1">
      <c r="A409" s="68"/>
      <c r="B409" s="68"/>
      <c r="D409" s="68"/>
      <c r="E409" s="69"/>
      <c r="O409" s="68"/>
      <c r="P409" s="68"/>
      <c r="Q409" s="68"/>
      <c r="R409" s="68"/>
      <c r="S409" s="68"/>
    </row>
    <row r="410" spans="1:19" ht="15.75" customHeight="1">
      <c r="A410" s="68"/>
      <c r="B410" s="68"/>
      <c r="D410" s="68"/>
      <c r="E410" s="69"/>
      <c r="O410" s="68"/>
      <c r="P410" s="68"/>
      <c r="Q410" s="68"/>
      <c r="R410" s="68"/>
      <c r="S410" s="68"/>
    </row>
    <row r="411" spans="1:19" ht="15.75" customHeight="1">
      <c r="A411" s="68"/>
      <c r="B411" s="68"/>
      <c r="D411" s="68"/>
      <c r="E411" s="69"/>
      <c r="O411" s="68"/>
      <c r="P411" s="68"/>
      <c r="Q411" s="68"/>
      <c r="R411" s="68"/>
      <c r="S411" s="68"/>
    </row>
    <row r="412" spans="1:19" ht="15.75" customHeight="1">
      <c r="A412" s="68"/>
      <c r="B412" s="68"/>
      <c r="D412" s="68"/>
      <c r="E412" s="69"/>
      <c r="O412" s="68"/>
      <c r="P412" s="68"/>
      <c r="Q412" s="68"/>
      <c r="R412" s="68"/>
      <c r="S412" s="68"/>
    </row>
    <row r="413" spans="1:19" ht="15.75" customHeight="1">
      <c r="A413" s="68"/>
      <c r="B413" s="68"/>
      <c r="D413" s="68"/>
      <c r="E413" s="69"/>
      <c r="O413" s="68"/>
      <c r="P413" s="68"/>
      <c r="Q413" s="68"/>
      <c r="R413" s="68"/>
      <c r="S413" s="68"/>
    </row>
    <row r="414" spans="1:19" ht="15.75" customHeight="1">
      <c r="A414" s="68"/>
      <c r="B414" s="68"/>
      <c r="D414" s="68"/>
      <c r="E414" s="69"/>
      <c r="O414" s="68"/>
      <c r="P414" s="68"/>
      <c r="Q414" s="68"/>
      <c r="R414" s="68"/>
      <c r="S414" s="68"/>
    </row>
    <row r="415" spans="1:19" ht="15.75" customHeight="1">
      <c r="A415" s="68"/>
      <c r="B415" s="68"/>
      <c r="D415" s="68"/>
      <c r="E415" s="69"/>
      <c r="O415" s="68"/>
      <c r="P415" s="68"/>
      <c r="Q415" s="68"/>
      <c r="R415" s="68"/>
      <c r="S415" s="68"/>
    </row>
    <row r="416" spans="1:19" ht="15.75" customHeight="1">
      <c r="A416" s="68"/>
      <c r="B416" s="68"/>
      <c r="D416" s="68"/>
      <c r="E416" s="69"/>
      <c r="O416" s="68"/>
      <c r="P416" s="68"/>
      <c r="Q416" s="68"/>
      <c r="R416" s="68"/>
      <c r="S416" s="68"/>
    </row>
    <row r="417" spans="1:19" ht="15.75" customHeight="1">
      <c r="A417" s="68"/>
      <c r="B417" s="68"/>
      <c r="D417" s="68"/>
      <c r="E417" s="69"/>
      <c r="O417" s="68"/>
      <c r="P417" s="68"/>
      <c r="Q417" s="68"/>
      <c r="R417" s="68"/>
      <c r="S417" s="68"/>
    </row>
    <row r="418" spans="1:19" ht="15.75" customHeight="1">
      <c r="A418" s="68"/>
      <c r="B418" s="68"/>
      <c r="D418" s="68"/>
      <c r="E418" s="69"/>
      <c r="O418" s="68"/>
      <c r="P418" s="68"/>
      <c r="Q418" s="68"/>
      <c r="R418" s="68"/>
      <c r="S418" s="68"/>
    </row>
    <row r="419" spans="1:19" ht="15.75" customHeight="1">
      <c r="A419" s="68"/>
      <c r="B419" s="68"/>
      <c r="D419" s="68"/>
      <c r="E419" s="69"/>
      <c r="O419" s="68"/>
      <c r="P419" s="68"/>
      <c r="Q419" s="68"/>
      <c r="R419" s="68"/>
      <c r="S419" s="68"/>
    </row>
    <row r="420" spans="1:19" ht="15.75" customHeight="1">
      <c r="A420" s="68"/>
      <c r="B420" s="68"/>
      <c r="D420" s="68"/>
      <c r="E420" s="69"/>
      <c r="O420" s="68"/>
      <c r="P420" s="68"/>
      <c r="Q420" s="68"/>
      <c r="R420" s="68"/>
      <c r="S420" s="68"/>
    </row>
    <row r="421" spans="1:19" ht="15.75" customHeight="1">
      <c r="A421" s="68"/>
      <c r="B421" s="68"/>
      <c r="D421" s="68"/>
      <c r="E421" s="69"/>
      <c r="O421" s="68"/>
      <c r="P421" s="68"/>
      <c r="Q421" s="68"/>
      <c r="R421" s="68"/>
      <c r="S421" s="68"/>
    </row>
    <row r="422" spans="1:19" ht="15.75" customHeight="1">
      <c r="A422" s="68"/>
      <c r="B422" s="68"/>
      <c r="D422" s="68"/>
      <c r="E422" s="69"/>
      <c r="O422" s="68"/>
      <c r="P422" s="68"/>
      <c r="Q422" s="68"/>
      <c r="R422" s="68"/>
      <c r="S422" s="68"/>
    </row>
    <row r="423" spans="1:19" ht="15.75" customHeight="1">
      <c r="A423" s="68"/>
      <c r="B423" s="68"/>
      <c r="D423" s="68"/>
      <c r="E423" s="69"/>
      <c r="O423" s="68"/>
      <c r="P423" s="68"/>
      <c r="Q423" s="68"/>
      <c r="R423" s="68"/>
      <c r="S423" s="68"/>
    </row>
    <row r="424" spans="1:19" ht="15.75" customHeight="1">
      <c r="A424" s="68"/>
      <c r="B424" s="68"/>
      <c r="D424" s="68"/>
      <c r="E424" s="69"/>
      <c r="O424" s="68"/>
      <c r="P424" s="68"/>
      <c r="Q424" s="68"/>
      <c r="R424" s="68"/>
      <c r="S424" s="68"/>
    </row>
    <row r="425" spans="1:19" ht="15.75" customHeight="1">
      <c r="A425" s="68"/>
      <c r="B425" s="68"/>
      <c r="D425" s="68"/>
      <c r="E425" s="69"/>
      <c r="O425" s="68"/>
      <c r="P425" s="68"/>
      <c r="Q425" s="68"/>
      <c r="R425" s="68"/>
      <c r="S425" s="68"/>
    </row>
    <row r="426" spans="1:19" ht="15.75" customHeight="1">
      <c r="A426" s="68"/>
      <c r="B426" s="68"/>
      <c r="D426" s="68"/>
      <c r="E426" s="69"/>
      <c r="O426" s="68"/>
      <c r="P426" s="68"/>
      <c r="Q426" s="68"/>
      <c r="R426" s="68"/>
      <c r="S426" s="68"/>
    </row>
    <row r="427" spans="1:19" ht="15.75" customHeight="1">
      <c r="A427" s="68"/>
      <c r="B427" s="68"/>
      <c r="D427" s="68"/>
      <c r="E427" s="69"/>
      <c r="O427" s="68"/>
      <c r="P427" s="68"/>
      <c r="Q427" s="68"/>
      <c r="R427" s="68"/>
      <c r="S427" s="68"/>
    </row>
    <row r="428" spans="1:19" ht="15.75" customHeight="1">
      <c r="A428" s="68"/>
      <c r="B428" s="68"/>
      <c r="D428" s="68"/>
      <c r="E428" s="69"/>
      <c r="O428" s="68"/>
      <c r="P428" s="68"/>
      <c r="Q428" s="68"/>
      <c r="R428" s="68"/>
      <c r="S428" s="68"/>
    </row>
    <row r="429" spans="1:19" ht="15.75" customHeight="1">
      <c r="A429" s="68"/>
      <c r="B429" s="68"/>
      <c r="D429" s="68"/>
      <c r="E429" s="69"/>
      <c r="O429" s="68"/>
      <c r="P429" s="68"/>
      <c r="Q429" s="68"/>
      <c r="R429" s="68"/>
      <c r="S429" s="68"/>
    </row>
    <row r="430" spans="1:19" ht="15.75" customHeight="1">
      <c r="A430" s="68"/>
      <c r="B430" s="68"/>
      <c r="D430" s="68"/>
      <c r="E430" s="69"/>
      <c r="O430" s="68"/>
      <c r="P430" s="68"/>
      <c r="Q430" s="68"/>
      <c r="R430" s="68"/>
      <c r="S430" s="68"/>
    </row>
    <row r="431" spans="1:19" ht="15.75" customHeight="1">
      <c r="A431" s="68"/>
      <c r="B431" s="68"/>
      <c r="D431" s="68"/>
      <c r="E431" s="69"/>
      <c r="O431" s="68"/>
      <c r="P431" s="68"/>
      <c r="Q431" s="68"/>
      <c r="R431" s="68"/>
      <c r="S431" s="68"/>
    </row>
    <row r="432" spans="1:19" ht="15.75" customHeight="1">
      <c r="A432" s="68"/>
      <c r="B432" s="68"/>
      <c r="D432" s="68"/>
      <c r="E432" s="69"/>
      <c r="O432" s="68"/>
      <c r="P432" s="68"/>
      <c r="Q432" s="68"/>
      <c r="R432" s="68"/>
      <c r="S432" s="68"/>
    </row>
    <row r="433" spans="1:19" ht="15.75" customHeight="1">
      <c r="A433" s="68"/>
      <c r="B433" s="68"/>
      <c r="D433" s="68"/>
      <c r="E433" s="69"/>
      <c r="O433" s="68"/>
      <c r="P433" s="68"/>
      <c r="Q433" s="68"/>
      <c r="R433" s="68"/>
      <c r="S433" s="68"/>
    </row>
    <row r="434" spans="1:19" ht="15.75" customHeight="1">
      <c r="A434" s="68"/>
      <c r="B434" s="68"/>
      <c r="D434" s="68"/>
      <c r="E434" s="69"/>
      <c r="O434" s="68"/>
      <c r="P434" s="68"/>
      <c r="Q434" s="68"/>
      <c r="R434" s="68"/>
      <c r="S434" s="68"/>
    </row>
    <row r="435" spans="1:19" ht="15.75" customHeight="1">
      <c r="A435" s="68"/>
      <c r="B435" s="68"/>
      <c r="D435" s="68"/>
      <c r="E435" s="69"/>
      <c r="O435" s="68"/>
      <c r="P435" s="68"/>
      <c r="Q435" s="68"/>
      <c r="R435" s="68"/>
      <c r="S435" s="68"/>
    </row>
    <row r="436" spans="1:19" ht="15.75" customHeight="1">
      <c r="A436" s="68"/>
      <c r="B436" s="68"/>
      <c r="D436" s="68"/>
      <c r="E436" s="69"/>
      <c r="O436" s="68"/>
      <c r="P436" s="68"/>
      <c r="Q436" s="68"/>
      <c r="R436" s="68"/>
      <c r="S436" s="68"/>
    </row>
    <row r="437" spans="1:19" ht="15.75" customHeight="1">
      <c r="A437" s="68"/>
      <c r="B437" s="68"/>
      <c r="D437" s="68"/>
      <c r="E437" s="69"/>
      <c r="O437" s="68"/>
      <c r="P437" s="68"/>
      <c r="Q437" s="68"/>
      <c r="R437" s="68"/>
      <c r="S437" s="68"/>
    </row>
    <row r="438" spans="1:19" ht="15.75" customHeight="1">
      <c r="A438" s="68"/>
      <c r="B438" s="68"/>
      <c r="D438" s="68"/>
      <c r="E438" s="69"/>
      <c r="O438" s="68"/>
      <c r="P438" s="68"/>
      <c r="Q438" s="68"/>
      <c r="R438" s="68"/>
      <c r="S438" s="68"/>
    </row>
    <row r="439" spans="1:19" ht="15.75" customHeight="1">
      <c r="A439" s="68"/>
      <c r="B439" s="68"/>
      <c r="D439" s="68"/>
      <c r="E439" s="69"/>
      <c r="O439" s="68"/>
      <c r="P439" s="68"/>
      <c r="Q439" s="68"/>
      <c r="R439" s="68"/>
      <c r="S439" s="68"/>
    </row>
    <row r="440" spans="1:19" ht="15.75" customHeight="1">
      <c r="A440" s="68"/>
      <c r="B440" s="68"/>
      <c r="D440" s="68"/>
      <c r="E440" s="69"/>
      <c r="O440" s="68"/>
      <c r="P440" s="68"/>
      <c r="Q440" s="68"/>
      <c r="R440" s="68"/>
      <c r="S440" s="68"/>
    </row>
    <row r="441" spans="1:19" ht="15.75" customHeight="1">
      <c r="A441" s="68"/>
      <c r="B441" s="68"/>
      <c r="D441" s="68"/>
      <c r="E441" s="69"/>
      <c r="O441" s="68"/>
      <c r="P441" s="68"/>
      <c r="Q441" s="68"/>
      <c r="R441" s="68"/>
      <c r="S441" s="68"/>
    </row>
    <row r="442" spans="1:19" ht="15.75" customHeight="1">
      <c r="A442" s="68"/>
      <c r="B442" s="68"/>
      <c r="D442" s="68"/>
      <c r="E442" s="69"/>
      <c r="O442" s="68"/>
      <c r="P442" s="68"/>
      <c r="Q442" s="68"/>
      <c r="R442" s="68"/>
      <c r="S442" s="68"/>
    </row>
    <row r="443" spans="1:19" ht="15.75" customHeight="1">
      <c r="A443" s="68"/>
      <c r="B443" s="68"/>
      <c r="D443" s="68"/>
      <c r="E443" s="69"/>
      <c r="O443" s="68"/>
      <c r="P443" s="68"/>
      <c r="Q443" s="68"/>
      <c r="R443" s="68"/>
      <c r="S443" s="68"/>
    </row>
    <row r="444" spans="1:19" ht="15.75" customHeight="1">
      <c r="A444" s="68"/>
      <c r="B444" s="68"/>
      <c r="D444" s="68"/>
      <c r="E444" s="69"/>
      <c r="O444" s="68"/>
      <c r="P444" s="68"/>
      <c r="Q444" s="68"/>
      <c r="R444" s="68"/>
      <c r="S444" s="68"/>
    </row>
    <row r="445" spans="1:19" ht="15.75" customHeight="1">
      <c r="A445" s="68"/>
      <c r="B445" s="68"/>
      <c r="D445" s="68"/>
      <c r="E445" s="69"/>
      <c r="O445" s="68"/>
      <c r="P445" s="68"/>
      <c r="Q445" s="68"/>
      <c r="R445" s="68"/>
      <c r="S445" s="68"/>
    </row>
    <row r="446" spans="1:19" ht="15.75" customHeight="1">
      <c r="A446" s="68"/>
      <c r="B446" s="68"/>
      <c r="D446" s="68"/>
      <c r="E446" s="69"/>
      <c r="O446" s="68"/>
      <c r="P446" s="68"/>
      <c r="Q446" s="68"/>
      <c r="R446" s="68"/>
      <c r="S446" s="68"/>
    </row>
    <row r="447" spans="1:19" ht="15.75" customHeight="1">
      <c r="A447" s="68"/>
      <c r="B447" s="68"/>
      <c r="D447" s="68"/>
      <c r="E447" s="69"/>
      <c r="O447" s="68"/>
      <c r="P447" s="68"/>
      <c r="Q447" s="68"/>
      <c r="R447" s="68"/>
      <c r="S447" s="68"/>
    </row>
    <row r="448" spans="1:19" ht="15.75" customHeight="1">
      <c r="A448" s="68"/>
      <c r="B448" s="68"/>
      <c r="D448" s="68"/>
      <c r="E448" s="69"/>
      <c r="O448" s="68"/>
      <c r="P448" s="68"/>
      <c r="Q448" s="68"/>
      <c r="R448" s="68"/>
      <c r="S448" s="68"/>
    </row>
    <row r="449" spans="1:19" ht="15.75" customHeight="1">
      <c r="A449" s="68"/>
      <c r="B449" s="68"/>
      <c r="D449" s="68"/>
      <c r="E449" s="69"/>
      <c r="O449" s="68"/>
      <c r="P449" s="68"/>
      <c r="Q449" s="68"/>
      <c r="R449" s="68"/>
      <c r="S449" s="68"/>
    </row>
    <row r="450" spans="1:19" ht="15.75" customHeight="1">
      <c r="A450" s="68"/>
      <c r="B450" s="68"/>
      <c r="D450" s="68"/>
      <c r="E450" s="69"/>
      <c r="O450" s="68"/>
      <c r="P450" s="68"/>
      <c r="Q450" s="68"/>
      <c r="R450" s="68"/>
      <c r="S450" s="68"/>
    </row>
    <row r="451" spans="1:19" ht="15.75" customHeight="1">
      <c r="A451" s="68"/>
      <c r="B451" s="68"/>
      <c r="D451" s="68"/>
      <c r="E451" s="69"/>
      <c r="O451" s="68"/>
      <c r="P451" s="68"/>
      <c r="Q451" s="68"/>
      <c r="R451" s="68"/>
      <c r="S451" s="68"/>
    </row>
    <row r="452" spans="1:19" ht="15.75" customHeight="1">
      <c r="A452" s="68"/>
      <c r="B452" s="68"/>
      <c r="D452" s="68"/>
      <c r="E452" s="69"/>
      <c r="O452" s="68"/>
      <c r="P452" s="68"/>
      <c r="Q452" s="68"/>
      <c r="R452" s="68"/>
      <c r="S452" s="68"/>
    </row>
    <row r="453" spans="1:19" ht="15.75" customHeight="1">
      <c r="A453" s="68"/>
      <c r="B453" s="68"/>
      <c r="D453" s="68"/>
      <c r="E453" s="69"/>
      <c r="O453" s="68"/>
      <c r="P453" s="68"/>
      <c r="Q453" s="68"/>
      <c r="R453" s="68"/>
      <c r="S453" s="68"/>
    </row>
    <row r="454" spans="1:19" ht="15.75" customHeight="1">
      <c r="A454" s="68"/>
      <c r="B454" s="68"/>
      <c r="D454" s="68"/>
      <c r="E454" s="69"/>
      <c r="O454" s="68"/>
      <c r="P454" s="68"/>
      <c r="Q454" s="68"/>
      <c r="R454" s="68"/>
      <c r="S454" s="68"/>
    </row>
    <row r="455" spans="1:19" ht="15.75" customHeight="1">
      <c r="A455" s="68"/>
      <c r="B455" s="68"/>
      <c r="D455" s="68"/>
      <c r="E455" s="69"/>
      <c r="O455" s="68"/>
      <c r="P455" s="68"/>
      <c r="Q455" s="68"/>
      <c r="R455" s="68"/>
      <c r="S455" s="68"/>
    </row>
    <row r="456" spans="1:19" ht="15.75" customHeight="1">
      <c r="A456" s="68"/>
      <c r="B456" s="68"/>
      <c r="D456" s="68"/>
      <c r="E456" s="69"/>
      <c r="O456" s="68"/>
      <c r="P456" s="68"/>
      <c r="Q456" s="68"/>
      <c r="R456" s="68"/>
      <c r="S456" s="68"/>
    </row>
    <row r="457" spans="1:19" ht="15.75" customHeight="1">
      <c r="A457" s="68"/>
      <c r="B457" s="68"/>
      <c r="D457" s="68"/>
      <c r="E457" s="69"/>
      <c r="O457" s="68"/>
      <c r="P457" s="68"/>
      <c r="Q457" s="68"/>
      <c r="R457" s="68"/>
      <c r="S457" s="68"/>
    </row>
    <row r="458" spans="1:19" ht="15.75" customHeight="1">
      <c r="A458" s="68"/>
      <c r="B458" s="68"/>
      <c r="D458" s="68"/>
      <c r="E458" s="69"/>
      <c r="O458" s="68"/>
      <c r="P458" s="68"/>
      <c r="Q458" s="68"/>
      <c r="R458" s="68"/>
      <c r="S458" s="68"/>
    </row>
    <row r="459" spans="1:19" ht="15.75" customHeight="1">
      <c r="A459" s="68"/>
      <c r="B459" s="68"/>
      <c r="D459" s="68"/>
      <c r="E459" s="69"/>
      <c r="O459" s="68"/>
      <c r="P459" s="68"/>
      <c r="Q459" s="68"/>
      <c r="R459" s="68"/>
      <c r="S459" s="68"/>
    </row>
    <row r="460" spans="1:19" ht="15.75" customHeight="1">
      <c r="A460" s="68"/>
      <c r="B460" s="68"/>
      <c r="D460" s="68"/>
      <c r="E460" s="69"/>
      <c r="O460" s="68"/>
      <c r="P460" s="68"/>
      <c r="Q460" s="68"/>
      <c r="R460" s="68"/>
      <c r="S460" s="68"/>
    </row>
    <row r="461" spans="1:19" ht="15.75" customHeight="1">
      <c r="A461" s="68"/>
      <c r="B461" s="68"/>
      <c r="D461" s="68"/>
      <c r="E461" s="69"/>
      <c r="O461" s="68"/>
      <c r="P461" s="68"/>
      <c r="Q461" s="68"/>
      <c r="R461" s="68"/>
      <c r="S461" s="68"/>
    </row>
    <row r="462" spans="1:19" ht="15.75" customHeight="1">
      <c r="A462" s="68"/>
      <c r="B462" s="68"/>
      <c r="D462" s="68"/>
      <c r="E462" s="69"/>
      <c r="O462" s="68"/>
      <c r="P462" s="68"/>
      <c r="Q462" s="68"/>
      <c r="R462" s="68"/>
      <c r="S462" s="68"/>
    </row>
    <row r="463" spans="1:19" ht="15.75" customHeight="1">
      <c r="A463" s="68"/>
      <c r="B463" s="68"/>
      <c r="D463" s="68"/>
      <c r="E463" s="69"/>
      <c r="O463" s="68"/>
      <c r="P463" s="68"/>
      <c r="Q463" s="68"/>
      <c r="R463" s="68"/>
      <c r="S463" s="68"/>
    </row>
    <row r="464" spans="1:19" ht="15.75" customHeight="1">
      <c r="A464" s="68"/>
      <c r="B464" s="68"/>
      <c r="D464" s="68"/>
      <c r="E464" s="69"/>
      <c r="O464" s="68"/>
      <c r="P464" s="68"/>
      <c r="Q464" s="68"/>
      <c r="R464" s="68"/>
      <c r="S464" s="68"/>
    </row>
    <row r="465" spans="1:19" ht="15.75" customHeight="1">
      <c r="A465" s="68"/>
      <c r="B465" s="68"/>
      <c r="D465" s="68"/>
      <c r="E465" s="69"/>
      <c r="O465" s="68"/>
      <c r="P465" s="68"/>
      <c r="Q465" s="68"/>
      <c r="R465" s="68"/>
      <c r="S465" s="68"/>
    </row>
    <row r="466" spans="1:19" ht="15.75" customHeight="1">
      <c r="A466" s="68"/>
      <c r="B466" s="68"/>
      <c r="D466" s="68"/>
      <c r="E466" s="69"/>
      <c r="O466" s="68"/>
      <c r="P466" s="68"/>
      <c r="Q466" s="68"/>
      <c r="R466" s="68"/>
      <c r="S466" s="68"/>
    </row>
    <row r="467" spans="1:19" ht="15.75" customHeight="1">
      <c r="A467" s="68"/>
      <c r="B467" s="68"/>
      <c r="D467" s="68"/>
      <c r="E467" s="69"/>
      <c r="O467" s="68"/>
      <c r="P467" s="68"/>
      <c r="Q467" s="68"/>
      <c r="R467" s="68"/>
      <c r="S467" s="68"/>
    </row>
    <row r="468" spans="1:19" ht="15.75" customHeight="1">
      <c r="A468" s="68"/>
      <c r="B468" s="68"/>
      <c r="D468" s="68"/>
      <c r="E468" s="69"/>
      <c r="O468" s="68"/>
      <c r="P468" s="68"/>
      <c r="Q468" s="68"/>
      <c r="R468" s="68"/>
      <c r="S468" s="68"/>
    </row>
    <row r="469" spans="1:19" ht="15.75" customHeight="1">
      <c r="A469" s="68"/>
      <c r="B469" s="68"/>
      <c r="D469" s="68"/>
      <c r="E469" s="69"/>
      <c r="O469" s="68"/>
      <c r="P469" s="68"/>
      <c r="Q469" s="68"/>
      <c r="R469" s="68"/>
      <c r="S469" s="68"/>
    </row>
    <row r="470" spans="1:19" ht="15.75" customHeight="1">
      <c r="A470" s="68"/>
      <c r="B470" s="68"/>
      <c r="D470" s="68"/>
      <c r="E470" s="69"/>
      <c r="O470" s="68"/>
      <c r="P470" s="68"/>
      <c r="Q470" s="68"/>
      <c r="R470" s="68"/>
      <c r="S470" s="68"/>
    </row>
    <row r="471" spans="1:19" ht="15.75" customHeight="1">
      <c r="A471" s="68"/>
      <c r="B471" s="68"/>
      <c r="D471" s="68"/>
      <c r="E471" s="69"/>
      <c r="O471" s="68"/>
      <c r="P471" s="68"/>
      <c r="Q471" s="68"/>
      <c r="R471" s="68"/>
      <c r="S471" s="68"/>
    </row>
    <row r="472" spans="1:19" ht="15.75" customHeight="1">
      <c r="A472" s="68"/>
      <c r="B472" s="68"/>
      <c r="D472" s="68"/>
      <c r="E472" s="69"/>
      <c r="O472" s="68"/>
      <c r="P472" s="68"/>
      <c r="Q472" s="68"/>
      <c r="R472" s="68"/>
      <c r="S472" s="68"/>
    </row>
    <row r="473" spans="1:19" ht="15.75" customHeight="1">
      <c r="A473" s="68"/>
      <c r="B473" s="68"/>
      <c r="D473" s="68"/>
      <c r="E473" s="69"/>
      <c r="O473" s="68"/>
      <c r="P473" s="68"/>
      <c r="Q473" s="68"/>
      <c r="R473" s="68"/>
      <c r="S473" s="68"/>
    </row>
    <row r="474" spans="1:19" ht="15.75" customHeight="1">
      <c r="A474" s="68"/>
      <c r="B474" s="68"/>
      <c r="D474" s="68"/>
      <c r="E474" s="69"/>
      <c r="O474" s="68"/>
      <c r="P474" s="68"/>
      <c r="Q474" s="68"/>
      <c r="R474" s="68"/>
      <c r="S474" s="68"/>
    </row>
    <row r="475" spans="1:19" ht="15.75" customHeight="1">
      <c r="A475" s="68"/>
      <c r="B475" s="68"/>
      <c r="D475" s="68"/>
      <c r="E475" s="69"/>
      <c r="O475" s="68"/>
      <c r="P475" s="68"/>
      <c r="Q475" s="68"/>
      <c r="R475" s="68"/>
      <c r="S475" s="68"/>
    </row>
    <row r="476" spans="1:19" ht="15.75" customHeight="1">
      <c r="A476" s="68"/>
      <c r="B476" s="68"/>
      <c r="D476" s="68"/>
      <c r="E476" s="69"/>
      <c r="O476" s="68"/>
      <c r="P476" s="68"/>
      <c r="Q476" s="68"/>
      <c r="R476" s="68"/>
      <c r="S476" s="68"/>
    </row>
    <row r="477" spans="1:19" ht="15.75" customHeight="1">
      <c r="A477" s="68"/>
      <c r="B477" s="68"/>
      <c r="D477" s="68"/>
      <c r="E477" s="69"/>
      <c r="O477" s="68"/>
      <c r="P477" s="68"/>
      <c r="Q477" s="68"/>
      <c r="R477" s="68"/>
      <c r="S477" s="68"/>
    </row>
    <row r="478" spans="1:19" ht="15.75" customHeight="1">
      <c r="A478" s="68"/>
      <c r="B478" s="68"/>
      <c r="D478" s="68"/>
      <c r="E478" s="69"/>
      <c r="O478" s="68"/>
      <c r="P478" s="68"/>
      <c r="Q478" s="68"/>
      <c r="R478" s="68"/>
      <c r="S478" s="68"/>
    </row>
    <row r="479" spans="1:19" ht="15.75" customHeight="1">
      <c r="A479" s="68"/>
      <c r="B479" s="68"/>
      <c r="D479" s="68"/>
      <c r="E479" s="69"/>
      <c r="O479" s="68"/>
      <c r="P479" s="68"/>
      <c r="Q479" s="68"/>
      <c r="R479" s="68"/>
      <c r="S479" s="68"/>
    </row>
    <row r="480" spans="1:19" ht="15.75" customHeight="1">
      <c r="A480" s="68"/>
      <c r="B480" s="68"/>
      <c r="D480" s="68"/>
      <c r="E480" s="69"/>
      <c r="O480" s="68"/>
      <c r="P480" s="68"/>
      <c r="Q480" s="68"/>
      <c r="R480" s="68"/>
      <c r="S480" s="68"/>
    </row>
    <row r="481" spans="1:19" ht="15.75" customHeight="1">
      <c r="A481" s="68"/>
      <c r="B481" s="68"/>
      <c r="D481" s="68"/>
      <c r="E481" s="69"/>
      <c r="O481" s="68"/>
      <c r="P481" s="68"/>
      <c r="Q481" s="68"/>
      <c r="R481" s="68"/>
      <c r="S481" s="68"/>
    </row>
    <row r="482" spans="1:19" ht="15.75" customHeight="1">
      <c r="A482" s="68"/>
      <c r="B482" s="68"/>
      <c r="D482" s="68"/>
      <c r="E482" s="69"/>
      <c r="O482" s="68"/>
      <c r="P482" s="68"/>
      <c r="Q482" s="68"/>
      <c r="R482" s="68"/>
      <c r="S482" s="68"/>
    </row>
    <row r="483" spans="1:19" ht="15.75" customHeight="1">
      <c r="A483" s="68"/>
      <c r="B483" s="68"/>
      <c r="D483" s="68"/>
      <c r="E483" s="69"/>
      <c r="O483" s="68"/>
      <c r="P483" s="68"/>
      <c r="Q483" s="68"/>
      <c r="R483" s="68"/>
      <c r="S483" s="68"/>
    </row>
    <row r="484" spans="1:19" ht="15.75" customHeight="1">
      <c r="A484" s="68"/>
      <c r="B484" s="68"/>
      <c r="D484" s="68"/>
      <c r="E484" s="69"/>
      <c r="O484" s="68"/>
      <c r="P484" s="68"/>
      <c r="Q484" s="68"/>
      <c r="R484" s="68"/>
      <c r="S484" s="68"/>
    </row>
    <row r="485" spans="1:19" ht="15.75" customHeight="1">
      <c r="A485" s="68"/>
      <c r="B485" s="68"/>
      <c r="D485" s="68"/>
      <c r="E485" s="69"/>
      <c r="O485" s="68"/>
      <c r="P485" s="68"/>
      <c r="Q485" s="68"/>
      <c r="R485" s="68"/>
      <c r="S485" s="68"/>
    </row>
    <row r="486" spans="1:19" ht="15.75" customHeight="1">
      <c r="A486" s="68"/>
      <c r="B486" s="68"/>
      <c r="D486" s="68"/>
      <c r="E486" s="69"/>
      <c r="O486" s="68"/>
      <c r="P486" s="68"/>
      <c r="Q486" s="68"/>
      <c r="R486" s="68"/>
      <c r="S486" s="68"/>
    </row>
    <row r="487" spans="1:19" ht="15.75" customHeight="1">
      <c r="A487" s="68"/>
      <c r="B487" s="68"/>
      <c r="D487" s="68"/>
      <c r="E487" s="69"/>
      <c r="O487" s="68"/>
      <c r="P487" s="68"/>
      <c r="Q487" s="68"/>
      <c r="R487" s="68"/>
      <c r="S487" s="68"/>
    </row>
    <row r="488" spans="1:19" ht="15.75" customHeight="1">
      <c r="A488" s="68"/>
      <c r="B488" s="68"/>
      <c r="D488" s="68"/>
      <c r="E488" s="69"/>
      <c r="O488" s="68"/>
      <c r="P488" s="68"/>
      <c r="Q488" s="68"/>
      <c r="R488" s="68"/>
      <c r="S488" s="68"/>
    </row>
    <row r="489" spans="1:19" ht="15.75" customHeight="1">
      <c r="A489" s="68"/>
      <c r="B489" s="68"/>
      <c r="D489" s="68"/>
      <c r="E489" s="69"/>
      <c r="O489" s="68"/>
      <c r="P489" s="68"/>
      <c r="Q489" s="68"/>
      <c r="R489" s="68"/>
      <c r="S489" s="68"/>
    </row>
    <row r="490" spans="1:19" ht="15.75" customHeight="1">
      <c r="A490" s="68"/>
      <c r="B490" s="68"/>
      <c r="D490" s="68"/>
      <c r="E490" s="69"/>
      <c r="O490" s="68"/>
      <c r="P490" s="68"/>
      <c r="Q490" s="68"/>
      <c r="R490" s="68"/>
      <c r="S490" s="68"/>
    </row>
    <row r="491" spans="1:19" ht="15.75" customHeight="1">
      <c r="A491" s="68"/>
      <c r="B491" s="68"/>
      <c r="D491" s="68"/>
      <c r="E491" s="69"/>
      <c r="O491" s="68"/>
      <c r="P491" s="68"/>
      <c r="Q491" s="68"/>
      <c r="R491" s="68"/>
      <c r="S491" s="68"/>
    </row>
    <row r="492" spans="1:19" ht="15.75" customHeight="1">
      <c r="A492" s="68"/>
      <c r="B492" s="68"/>
      <c r="D492" s="68"/>
      <c r="E492" s="69"/>
      <c r="O492" s="68"/>
      <c r="P492" s="68"/>
      <c r="Q492" s="68"/>
      <c r="R492" s="68"/>
      <c r="S492" s="68"/>
    </row>
    <row r="493" spans="1:19" ht="15.75" customHeight="1">
      <c r="A493" s="68"/>
      <c r="B493" s="68"/>
      <c r="D493" s="68"/>
      <c r="E493" s="69"/>
      <c r="O493" s="68"/>
      <c r="P493" s="68"/>
      <c r="Q493" s="68"/>
      <c r="R493" s="68"/>
      <c r="S493" s="68"/>
    </row>
    <row r="494" spans="1:19" ht="15.75" customHeight="1">
      <c r="A494" s="68"/>
      <c r="B494" s="68"/>
      <c r="D494" s="68"/>
      <c r="E494" s="69"/>
      <c r="O494" s="68"/>
      <c r="P494" s="68"/>
      <c r="Q494" s="68"/>
      <c r="R494" s="68"/>
      <c r="S494" s="68"/>
    </row>
    <row r="495" spans="1:19" ht="15.75" customHeight="1">
      <c r="A495" s="68"/>
      <c r="B495" s="68"/>
      <c r="D495" s="68"/>
      <c r="E495" s="69"/>
      <c r="O495" s="68"/>
      <c r="P495" s="68"/>
      <c r="Q495" s="68"/>
      <c r="R495" s="68"/>
      <c r="S495" s="68"/>
    </row>
    <row r="496" spans="1:19" ht="15.75" customHeight="1">
      <c r="A496" s="68"/>
      <c r="B496" s="68"/>
      <c r="D496" s="68"/>
      <c r="E496" s="69"/>
      <c r="O496" s="68"/>
      <c r="P496" s="68"/>
      <c r="Q496" s="68"/>
      <c r="R496" s="68"/>
      <c r="S496" s="68"/>
    </row>
    <row r="497" spans="1:19" ht="15.75" customHeight="1">
      <c r="A497" s="68"/>
      <c r="B497" s="68"/>
      <c r="D497" s="68"/>
      <c r="E497" s="69"/>
      <c r="O497" s="68"/>
      <c r="P497" s="68"/>
      <c r="Q497" s="68"/>
      <c r="R497" s="68"/>
      <c r="S497" s="68"/>
    </row>
    <row r="498" spans="1:19" ht="15.75" customHeight="1">
      <c r="A498" s="68"/>
      <c r="B498" s="68"/>
      <c r="D498" s="68"/>
      <c r="E498" s="69"/>
      <c r="O498" s="68"/>
      <c r="P498" s="68"/>
      <c r="Q498" s="68"/>
      <c r="R498" s="68"/>
      <c r="S498" s="68"/>
    </row>
    <row r="499" spans="1:19" ht="15.75" customHeight="1">
      <c r="A499" s="68"/>
      <c r="B499" s="68"/>
      <c r="D499" s="68"/>
      <c r="E499" s="69"/>
      <c r="O499" s="68"/>
      <c r="P499" s="68"/>
      <c r="Q499" s="68"/>
      <c r="R499" s="68"/>
      <c r="S499" s="68"/>
    </row>
    <row r="500" spans="1:19" ht="15.75" customHeight="1">
      <c r="A500" s="68"/>
      <c r="B500" s="68"/>
      <c r="D500" s="68"/>
      <c r="E500" s="69"/>
      <c r="O500" s="68"/>
      <c r="P500" s="68"/>
      <c r="Q500" s="68"/>
      <c r="R500" s="68"/>
      <c r="S500" s="68"/>
    </row>
    <row r="501" spans="1:19" ht="15.75" customHeight="1">
      <c r="A501" s="68"/>
      <c r="B501" s="68"/>
      <c r="D501" s="68"/>
      <c r="E501" s="69"/>
      <c r="O501" s="68"/>
      <c r="P501" s="68"/>
      <c r="Q501" s="68"/>
      <c r="R501" s="68"/>
      <c r="S501" s="68"/>
    </row>
    <row r="502" spans="1:19" ht="15.75" customHeight="1">
      <c r="A502" s="68"/>
      <c r="B502" s="68"/>
      <c r="D502" s="68"/>
      <c r="E502" s="69"/>
      <c r="O502" s="68"/>
      <c r="P502" s="68"/>
      <c r="Q502" s="68"/>
      <c r="R502" s="68"/>
      <c r="S502" s="68"/>
    </row>
    <row r="503" spans="1:19" ht="15.75" customHeight="1">
      <c r="A503" s="68"/>
      <c r="B503" s="68"/>
      <c r="D503" s="68"/>
      <c r="E503" s="69"/>
      <c r="O503" s="68"/>
      <c r="P503" s="68"/>
      <c r="Q503" s="68"/>
      <c r="R503" s="68"/>
      <c r="S503" s="68"/>
    </row>
    <row r="504" spans="1:19" ht="15.75" customHeight="1">
      <c r="A504" s="68"/>
      <c r="B504" s="68"/>
      <c r="D504" s="68"/>
      <c r="E504" s="69"/>
      <c r="O504" s="68"/>
      <c r="P504" s="68"/>
      <c r="Q504" s="68"/>
      <c r="R504" s="68"/>
      <c r="S504" s="68"/>
    </row>
    <row r="505" spans="1:19" ht="15.75" customHeight="1">
      <c r="A505" s="68"/>
      <c r="B505" s="68"/>
      <c r="D505" s="68"/>
      <c r="E505" s="69"/>
      <c r="O505" s="68"/>
      <c r="P505" s="68"/>
      <c r="Q505" s="68"/>
      <c r="R505" s="68"/>
      <c r="S505" s="68"/>
    </row>
    <row r="506" spans="1:19" ht="15.75" customHeight="1">
      <c r="A506" s="68"/>
      <c r="B506" s="68"/>
      <c r="D506" s="68"/>
      <c r="E506" s="69"/>
      <c r="O506" s="68"/>
      <c r="P506" s="68"/>
      <c r="Q506" s="68"/>
      <c r="R506" s="68"/>
      <c r="S506" s="68"/>
    </row>
    <row r="507" spans="1:19" ht="15.75" customHeight="1">
      <c r="A507" s="68"/>
      <c r="B507" s="68"/>
      <c r="D507" s="68"/>
      <c r="E507" s="69"/>
      <c r="O507" s="68"/>
      <c r="P507" s="68"/>
      <c r="Q507" s="68"/>
      <c r="R507" s="68"/>
      <c r="S507" s="68"/>
    </row>
    <row r="508" spans="1:19" ht="15.75" customHeight="1">
      <c r="A508" s="68"/>
      <c r="B508" s="68"/>
      <c r="D508" s="68"/>
      <c r="E508" s="69"/>
      <c r="O508" s="68"/>
      <c r="P508" s="68"/>
      <c r="Q508" s="68"/>
      <c r="R508" s="68"/>
      <c r="S508" s="68"/>
    </row>
    <row r="509" spans="1:19" ht="15.75" customHeight="1">
      <c r="A509" s="68"/>
      <c r="B509" s="68"/>
      <c r="D509" s="68"/>
      <c r="E509" s="69"/>
      <c r="O509" s="68"/>
      <c r="P509" s="68"/>
      <c r="Q509" s="68"/>
      <c r="R509" s="68"/>
      <c r="S509" s="68"/>
    </row>
    <row r="510" spans="1:19" ht="15.75" customHeight="1">
      <c r="A510" s="68"/>
      <c r="B510" s="68"/>
      <c r="D510" s="68"/>
      <c r="E510" s="69"/>
      <c r="O510" s="68"/>
      <c r="P510" s="68"/>
      <c r="Q510" s="68"/>
      <c r="R510" s="68"/>
      <c r="S510" s="68"/>
    </row>
    <row r="511" spans="1:19" ht="15.75" customHeight="1">
      <c r="A511" s="68"/>
      <c r="B511" s="68"/>
      <c r="D511" s="68"/>
      <c r="E511" s="69"/>
      <c r="O511" s="68"/>
      <c r="P511" s="68"/>
      <c r="Q511" s="68"/>
      <c r="R511" s="68"/>
      <c r="S511" s="68"/>
    </row>
    <row r="512" spans="1:19" ht="15.75" customHeight="1">
      <c r="A512" s="68"/>
      <c r="B512" s="68"/>
      <c r="D512" s="68"/>
      <c r="E512" s="69"/>
      <c r="O512" s="68"/>
      <c r="P512" s="68"/>
      <c r="Q512" s="68"/>
      <c r="R512" s="68"/>
      <c r="S512" s="68"/>
    </row>
    <row r="513" spans="1:19" ht="15.75" customHeight="1">
      <c r="A513" s="68"/>
      <c r="B513" s="68"/>
      <c r="D513" s="68"/>
      <c r="E513" s="69"/>
      <c r="O513" s="68"/>
      <c r="P513" s="68"/>
      <c r="Q513" s="68"/>
      <c r="R513" s="68"/>
      <c r="S513" s="68"/>
    </row>
    <row r="514" spans="1:19" ht="15.75" customHeight="1">
      <c r="A514" s="68"/>
      <c r="B514" s="68"/>
      <c r="D514" s="68"/>
      <c r="E514" s="69"/>
      <c r="O514" s="68"/>
      <c r="P514" s="68"/>
      <c r="Q514" s="68"/>
      <c r="R514" s="68"/>
      <c r="S514" s="68"/>
    </row>
    <row r="515" spans="1:19" ht="15.75" customHeight="1">
      <c r="A515" s="68"/>
      <c r="B515" s="68"/>
      <c r="D515" s="68"/>
      <c r="E515" s="69"/>
      <c r="O515" s="68"/>
      <c r="P515" s="68"/>
      <c r="Q515" s="68"/>
      <c r="R515" s="68"/>
      <c r="S515" s="68"/>
    </row>
    <row r="516" spans="1:19" ht="15.75" customHeight="1">
      <c r="A516" s="68"/>
      <c r="B516" s="68"/>
      <c r="D516" s="68"/>
      <c r="E516" s="69"/>
      <c r="O516" s="68"/>
      <c r="P516" s="68"/>
      <c r="Q516" s="68"/>
      <c r="R516" s="68"/>
      <c r="S516" s="68"/>
    </row>
    <row r="517" spans="1:19" ht="15.75" customHeight="1">
      <c r="A517" s="68"/>
      <c r="B517" s="68"/>
      <c r="D517" s="68"/>
      <c r="E517" s="69"/>
      <c r="O517" s="68"/>
      <c r="P517" s="68"/>
      <c r="Q517" s="68"/>
      <c r="R517" s="68"/>
      <c r="S517" s="68"/>
    </row>
    <row r="518" spans="1:19" ht="15.75" customHeight="1">
      <c r="A518" s="68"/>
      <c r="B518" s="68"/>
      <c r="D518" s="68"/>
      <c r="E518" s="69"/>
      <c r="O518" s="68"/>
      <c r="P518" s="68"/>
      <c r="Q518" s="68"/>
      <c r="R518" s="68"/>
      <c r="S518" s="68"/>
    </row>
    <row r="519" spans="1:19" ht="15.75" customHeight="1">
      <c r="A519" s="68"/>
      <c r="B519" s="68"/>
      <c r="D519" s="68"/>
      <c r="E519" s="69"/>
      <c r="O519" s="68"/>
      <c r="P519" s="68"/>
      <c r="Q519" s="68"/>
      <c r="R519" s="68"/>
      <c r="S519" s="68"/>
    </row>
    <row r="520" spans="1:19" ht="15.75" customHeight="1">
      <c r="A520" s="68"/>
      <c r="B520" s="68"/>
      <c r="D520" s="68"/>
      <c r="E520" s="69"/>
      <c r="O520" s="68"/>
      <c r="P520" s="68"/>
      <c r="Q520" s="68"/>
      <c r="R520" s="68"/>
      <c r="S520" s="68"/>
    </row>
    <row r="521" spans="1:19" ht="15.75" customHeight="1">
      <c r="A521" s="68"/>
      <c r="B521" s="68"/>
      <c r="D521" s="68"/>
      <c r="E521" s="69"/>
      <c r="O521" s="68"/>
      <c r="P521" s="68"/>
      <c r="Q521" s="68"/>
      <c r="R521" s="68"/>
      <c r="S521" s="68"/>
    </row>
    <row r="522" spans="1:19" ht="15.75" customHeight="1">
      <c r="A522" s="68"/>
      <c r="B522" s="68"/>
      <c r="D522" s="68"/>
      <c r="E522" s="69"/>
      <c r="O522" s="68"/>
      <c r="P522" s="68"/>
      <c r="Q522" s="68"/>
      <c r="R522" s="68"/>
      <c r="S522" s="68"/>
    </row>
    <row r="523" spans="1:19" ht="15.75" customHeight="1">
      <c r="A523" s="68"/>
      <c r="B523" s="68"/>
      <c r="D523" s="68"/>
      <c r="E523" s="69"/>
      <c r="O523" s="68"/>
      <c r="P523" s="68"/>
      <c r="Q523" s="68"/>
      <c r="R523" s="68"/>
      <c r="S523" s="68"/>
    </row>
    <row r="524" spans="1:19" ht="15.75" customHeight="1">
      <c r="A524" s="68"/>
      <c r="B524" s="68"/>
      <c r="D524" s="68"/>
      <c r="E524" s="69"/>
      <c r="O524" s="68"/>
      <c r="P524" s="68"/>
      <c r="Q524" s="68"/>
      <c r="R524" s="68"/>
      <c r="S524" s="68"/>
    </row>
    <row r="525" spans="1:19" ht="15.75" customHeight="1">
      <c r="A525" s="68"/>
      <c r="B525" s="68"/>
      <c r="D525" s="68"/>
      <c r="E525" s="69"/>
      <c r="O525" s="68"/>
      <c r="P525" s="68"/>
      <c r="Q525" s="68"/>
      <c r="R525" s="68"/>
      <c r="S525" s="68"/>
    </row>
    <row r="526" spans="1:19" ht="15.75" customHeight="1">
      <c r="A526" s="68"/>
      <c r="B526" s="68"/>
      <c r="D526" s="68"/>
      <c r="E526" s="69"/>
      <c r="O526" s="68"/>
      <c r="P526" s="68"/>
      <c r="Q526" s="68"/>
      <c r="R526" s="68"/>
      <c r="S526" s="68"/>
    </row>
    <row r="527" spans="1:19" ht="15.75" customHeight="1">
      <c r="A527" s="68"/>
      <c r="B527" s="68"/>
      <c r="D527" s="68"/>
      <c r="E527" s="69"/>
      <c r="O527" s="68"/>
      <c r="P527" s="68"/>
      <c r="Q527" s="68"/>
      <c r="R527" s="68"/>
      <c r="S527" s="68"/>
    </row>
    <row r="528" spans="1:19" ht="15.75" customHeight="1">
      <c r="A528" s="68"/>
      <c r="B528" s="68"/>
      <c r="D528" s="68"/>
      <c r="E528" s="69"/>
      <c r="O528" s="68"/>
      <c r="P528" s="68"/>
      <c r="Q528" s="68"/>
      <c r="R528" s="68"/>
      <c r="S528" s="68"/>
    </row>
    <row r="529" spans="1:19" ht="15.75" customHeight="1">
      <c r="A529" s="68"/>
      <c r="B529" s="68"/>
      <c r="D529" s="68"/>
      <c r="E529" s="69"/>
      <c r="O529" s="68"/>
      <c r="P529" s="68"/>
      <c r="Q529" s="68"/>
      <c r="R529" s="68"/>
      <c r="S529" s="68"/>
    </row>
    <row r="530" spans="1:19" ht="15.75" customHeight="1">
      <c r="A530" s="68"/>
      <c r="B530" s="68"/>
      <c r="D530" s="68"/>
      <c r="E530" s="69"/>
      <c r="O530" s="68"/>
      <c r="P530" s="68"/>
      <c r="Q530" s="68"/>
      <c r="R530" s="68"/>
      <c r="S530" s="68"/>
    </row>
    <row r="531" spans="1:19" ht="15.75" customHeight="1">
      <c r="A531" s="68"/>
      <c r="B531" s="68"/>
      <c r="D531" s="68"/>
      <c r="E531" s="69"/>
      <c r="O531" s="68"/>
      <c r="P531" s="68"/>
      <c r="Q531" s="68"/>
      <c r="R531" s="68"/>
      <c r="S531" s="68"/>
    </row>
    <row r="532" spans="1:19" ht="15.75" customHeight="1">
      <c r="A532" s="68"/>
      <c r="B532" s="68"/>
      <c r="D532" s="68"/>
      <c r="E532" s="69"/>
      <c r="O532" s="68"/>
      <c r="P532" s="68"/>
      <c r="Q532" s="68"/>
      <c r="R532" s="68"/>
      <c r="S532" s="68"/>
    </row>
    <row r="533" spans="1:19" ht="15.75" customHeight="1">
      <c r="A533" s="68"/>
      <c r="B533" s="68"/>
      <c r="D533" s="68"/>
      <c r="E533" s="69"/>
      <c r="O533" s="68"/>
      <c r="P533" s="68"/>
      <c r="Q533" s="68"/>
      <c r="R533" s="68"/>
      <c r="S533" s="68"/>
    </row>
    <row r="534" spans="1:19" ht="15.75" customHeight="1">
      <c r="A534" s="68"/>
      <c r="B534" s="68"/>
      <c r="D534" s="68"/>
      <c r="E534" s="69"/>
      <c r="O534" s="68"/>
      <c r="P534" s="68"/>
      <c r="Q534" s="68"/>
      <c r="R534" s="68"/>
      <c r="S534" s="68"/>
    </row>
    <row r="535" spans="1:19" ht="15.75" customHeight="1">
      <c r="A535" s="68"/>
      <c r="B535" s="68"/>
      <c r="D535" s="68"/>
      <c r="E535" s="69"/>
      <c r="O535" s="68"/>
      <c r="P535" s="68"/>
      <c r="Q535" s="68"/>
      <c r="R535" s="68"/>
      <c r="S535" s="68"/>
    </row>
    <row r="536" spans="1:19" ht="15.75" customHeight="1">
      <c r="A536" s="68"/>
      <c r="B536" s="68"/>
      <c r="D536" s="68"/>
      <c r="E536" s="69"/>
      <c r="O536" s="68"/>
      <c r="P536" s="68"/>
      <c r="Q536" s="68"/>
      <c r="R536" s="68"/>
      <c r="S536" s="68"/>
    </row>
    <row r="537" spans="1:19" ht="15.75" customHeight="1">
      <c r="A537" s="68"/>
      <c r="B537" s="68"/>
      <c r="D537" s="68"/>
      <c r="E537" s="69"/>
      <c r="O537" s="68"/>
      <c r="P537" s="68"/>
      <c r="Q537" s="68"/>
      <c r="R537" s="68"/>
      <c r="S537" s="68"/>
    </row>
    <row r="538" spans="1:19" ht="15.75" customHeight="1">
      <c r="A538" s="68"/>
      <c r="B538" s="68"/>
      <c r="D538" s="68"/>
      <c r="E538" s="69"/>
      <c r="O538" s="68"/>
      <c r="P538" s="68"/>
      <c r="Q538" s="68"/>
      <c r="R538" s="68"/>
      <c r="S538" s="68"/>
    </row>
    <row r="539" spans="1:19" ht="15.75" customHeight="1">
      <c r="A539" s="68"/>
      <c r="B539" s="68"/>
      <c r="D539" s="68"/>
      <c r="E539" s="69"/>
      <c r="O539" s="68"/>
      <c r="P539" s="68"/>
      <c r="Q539" s="68"/>
      <c r="R539" s="68"/>
      <c r="S539" s="68"/>
    </row>
    <row r="540" spans="1:19" ht="15.75" customHeight="1">
      <c r="A540" s="68"/>
      <c r="B540" s="68"/>
      <c r="D540" s="68"/>
      <c r="E540" s="69"/>
      <c r="O540" s="68"/>
      <c r="P540" s="68"/>
      <c r="Q540" s="68"/>
      <c r="R540" s="68"/>
      <c r="S540" s="68"/>
    </row>
    <row r="541" spans="1:19" ht="15.75" customHeight="1">
      <c r="A541" s="68"/>
      <c r="B541" s="68"/>
      <c r="D541" s="68"/>
      <c r="E541" s="69"/>
      <c r="O541" s="68"/>
      <c r="P541" s="68"/>
      <c r="Q541" s="68"/>
      <c r="R541" s="68"/>
      <c r="S541" s="68"/>
    </row>
    <row r="542" spans="1:19" ht="15.75" customHeight="1">
      <c r="A542" s="68"/>
      <c r="B542" s="68"/>
      <c r="D542" s="68"/>
      <c r="E542" s="69"/>
      <c r="O542" s="68"/>
      <c r="P542" s="68"/>
      <c r="Q542" s="68"/>
      <c r="R542" s="68"/>
      <c r="S542" s="68"/>
    </row>
    <row r="543" spans="1:19" ht="15.75" customHeight="1">
      <c r="A543" s="68"/>
      <c r="B543" s="68"/>
      <c r="D543" s="68"/>
      <c r="E543" s="69"/>
      <c r="O543" s="68"/>
      <c r="P543" s="68"/>
      <c r="Q543" s="68"/>
      <c r="R543" s="68"/>
      <c r="S543" s="68"/>
    </row>
    <row r="544" spans="1:19" ht="15.75" customHeight="1">
      <c r="A544" s="68"/>
      <c r="B544" s="68"/>
      <c r="D544" s="68"/>
      <c r="E544" s="69"/>
      <c r="O544" s="68"/>
      <c r="P544" s="68"/>
      <c r="Q544" s="68"/>
      <c r="R544" s="68"/>
      <c r="S544" s="68"/>
    </row>
    <row r="545" spans="1:19" ht="15.75" customHeight="1">
      <c r="A545" s="68"/>
      <c r="B545" s="68"/>
      <c r="D545" s="68"/>
      <c r="E545" s="69"/>
      <c r="O545" s="68"/>
      <c r="P545" s="68"/>
      <c r="Q545" s="68"/>
      <c r="R545" s="68"/>
      <c r="S545" s="68"/>
    </row>
    <row r="546" spans="1:19" ht="15.75" customHeight="1">
      <c r="A546" s="68"/>
      <c r="B546" s="68"/>
      <c r="D546" s="68"/>
      <c r="E546" s="69"/>
      <c r="O546" s="68"/>
      <c r="P546" s="68"/>
      <c r="Q546" s="68"/>
      <c r="R546" s="68"/>
      <c r="S546" s="68"/>
    </row>
    <row r="547" spans="1:19" ht="15.75" customHeight="1">
      <c r="A547" s="68"/>
      <c r="B547" s="68"/>
      <c r="D547" s="68"/>
      <c r="E547" s="69"/>
      <c r="O547" s="68"/>
      <c r="P547" s="68"/>
      <c r="Q547" s="68"/>
      <c r="R547" s="68"/>
      <c r="S547" s="68"/>
    </row>
    <row r="548" spans="1:19" ht="15.75" customHeight="1">
      <c r="A548" s="68"/>
      <c r="B548" s="68"/>
      <c r="D548" s="68"/>
      <c r="E548" s="69"/>
      <c r="O548" s="68"/>
      <c r="P548" s="68"/>
      <c r="Q548" s="68"/>
      <c r="R548" s="68"/>
      <c r="S548" s="68"/>
    </row>
    <row r="549" spans="1:19" ht="15.75" customHeight="1">
      <c r="A549" s="68"/>
      <c r="B549" s="68"/>
      <c r="D549" s="68"/>
      <c r="E549" s="69"/>
      <c r="O549" s="68"/>
      <c r="P549" s="68"/>
      <c r="Q549" s="68"/>
      <c r="R549" s="68"/>
      <c r="S549" s="68"/>
    </row>
    <row r="550" spans="1:19" ht="15.75" customHeight="1">
      <c r="A550" s="68"/>
      <c r="B550" s="68"/>
      <c r="D550" s="68"/>
      <c r="E550" s="69"/>
      <c r="O550" s="68"/>
      <c r="P550" s="68"/>
      <c r="Q550" s="68"/>
      <c r="R550" s="68"/>
      <c r="S550" s="68"/>
    </row>
    <row r="551" spans="1:19" ht="15.75" customHeight="1">
      <c r="A551" s="68"/>
      <c r="B551" s="68"/>
      <c r="D551" s="68"/>
      <c r="E551" s="69"/>
      <c r="O551" s="68"/>
      <c r="P551" s="68"/>
      <c r="Q551" s="68"/>
      <c r="R551" s="68"/>
      <c r="S551" s="68"/>
    </row>
    <row r="552" spans="1:19" ht="15.75" customHeight="1">
      <c r="A552" s="68"/>
      <c r="B552" s="68"/>
      <c r="D552" s="68"/>
      <c r="E552" s="69"/>
      <c r="O552" s="68"/>
      <c r="P552" s="68"/>
      <c r="Q552" s="68"/>
      <c r="R552" s="68"/>
      <c r="S552" s="68"/>
    </row>
    <row r="553" spans="1:19" ht="15.75" customHeight="1">
      <c r="A553" s="68"/>
      <c r="B553" s="68"/>
      <c r="D553" s="68"/>
      <c r="E553" s="69"/>
      <c r="O553" s="68"/>
      <c r="P553" s="68"/>
      <c r="Q553" s="68"/>
      <c r="R553" s="68"/>
      <c r="S553" s="68"/>
    </row>
    <row r="554" spans="1:19" ht="15.75" customHeight="1">
      <c r="A554" s="68"/>
      <c r="B554" s="68"/>
      <c r="D554" s="68"/>
      <c r="E554" s="69"/>
      <c r="O554" s="68"/>
      <c r="P554" s="68"/>
      <c r="Q554" s="68"/>
      <c r="R554" s="68"/>
      <c r="S554" s="68"/>
    </row>
    <row r="555" spans="1:19" ht="15.75" customHeight="1">
      <c r="A555" s="68"/>
      <c r="B555" s="68"/>
      <c r="D555" s="68"/>
      <c r="E555" s="69"/>
      <c r="O555" s="68"/>
      <c r="P555" s="68"/>
      <c r="Q555" s="68"/>
      <c r="R555" s="68"/>
      <c r="S555" s="68"/>
    </row>
    <row r="556" spans="1:19" ht="15.75" customHeight="1">
      <c r="A556" s="68"/>
      <c r="B556" s="68"/>
      <c r="D556" s="68"/>
      <c r="E556" s="69"/>
      <c r="O556" s="68"/>
      <c r="P556" s="68"/>
      <c r="Q556" s="68"/>
      <c r="R556" s="68"/>
      <c r="S556" s="68"/>
    </row>
    <row r="557" spans="1:19" ht="15.75" customHeight="1">
      <c r="A557" s="68"/>
      <c r="B557" s="68"/>
      <c r="D557" s="68"/>
      <c r="E557" s="69"/>
      <c r="O557" s="68"/>
      <c r="P557" s="68"/>
      <c r="Q557" s="68"/>
      <c r="R557" s="68"/>
      <c r="S557" s="68"/>
    </row>
    <row r="558" spans="1:19" ht="15.75" customHeight="1">
      <c r="A558" s="68"/>
      <c r="B558" s="68"/>
      <c r="D558" s="68"/>
      <c r="E558" s="69"/>
      <c r="O558" s="68"/>
      <c r="P558" s="68"/>
      <c r="Q558" s="68"/>
      <c r="R558" s="68"/>
      <c r="S558" s="68"/>
    </row>
    <row r="559" spans="1:19" ht="15.75" customHeight="1">
      <c r="A559" s="68"/>
      <c r="B559" s="68"/>
      <c r="D559" s="68"/>
      <c r="E559" s="69"/>
      <c r="O559" s="68"/>
      <c r="P559" s="68"/>
      <c r="Q559" s="68"/>
      <c r="R559" s="68"/>
      <c r="S559" s="68"/>
    </row>
    <row r="560" spans="1:19" ht="15.75" customHeight="1">
      <c r="A560" s="68"/>
      <c r="B560" s="68"/>
      <c r="D560" s="68"/>
      <c r="E560" s="69"/>
      <c r="O560" s="68"/>
      <c r="P560" s="68"/>
      <c r="Q560" s="68"/>
      <c r="R560" s="68"/>
      <c r="S560" s="68"/>
    </row>
    <row r="561" spans="1:19" ht="15.75" customHeight="1">
      <c r="A561" s="68"/>
      <c r="B561" s="68"/>
      <c r="D561" s="68"/>
      <c r="E561" s="69"/>
      <c r="O561" s="68"/>
      <c r="P561" s="68"/>
      <c r="Q561" s="68"/>
      <c r="R561" s="68"/>
      <c r="S561" s="68"/>
    </row>
    <row r="562" spans="1:19" ht="15.75" customHeight="1">
      <c r="A562" s="68"/>
      <c r="B562" s="68"/>
      <c r="D562" s="68"/>
      <c r="E562" s="69"/>
      <c r="O562" s="68"/>
      <c r="P562" s="68"/>
      <c r="Q562" s="68"/>
      <c r="R562" s="68"/>
      <c r="S562" s="68"/>
    </row>
    <row r="563" spans="1:19" ht="15.75" customHeight="1">
      <c r="A563" s="68"/>
      <c r="B563" s="68"/>
      <c r="D563" s="68"/>
      <c r="E563" s="69"/>
      <c r="O563" s="68"/>
      <c r="P563" s="68"/>
      <c r="Q563" s="68"/>
      <c r="R563" s="68"/>
      <c r="S563" s="68"/>
    </row>
    <row r="564" spans="1:19" ht="15.75" customHeight="1">
      <c r="A564" s="68"/>
      <c r="B564" s="68"/>
      <c r="D564" s="68"/>
      <c r="E564" s="69"/>
      <c r="O564" s="68"/>
      <c r="P564" s="68"/>
      <c r="Q564" s="68"/>
      <c r="R564" s="68"/>
      <c r="S564" s="68"/>
    </row>
    <row r="565" spans="1:19" ht="15.75" customHeight="1">
      <c r="A565" s="68"/>
      <c r="B565" s="68"/>
      <c r="D565" s="68"/>
      <c r="E565" s="69"/>
      <c r="O565" s="68"/>
      <c r="P565" s="68"/>
      <c r="Q565" s="68"/>
      <c r="R565" s="68"/>
      <c r="S565" s="68"/>
    </row>
    <row r="566" spans="1:19" ht="15.75" customHeight="1">
      <c r="A566" s="68"/>
      <c r="B566" s="68"/>
      <c r="D566" s="68"/>
      <c r="E566" s="69"/>
      <c r="O566" s="68"/>
      <c r="P566" s="68"/>
      <c r="Q566" s="68"/>
      <c r="R566" s="68"/>
      <c r="S566" s="68"/>
    </row>
    <row r="567" spans="1:19" ht="15.75" customHeight="1">
      <c r="A567" s="68"/>
      <c r="B567" s="68"/>
      <c r="D567" s="68"/>
      <c r="E567" s="69"/>
      <c r="O567" s="68"/>
      <c r="P567" s="68"/>
      <c r="Q567" s="68"/>
      <c r="R567" s="68"/>
      <c r="S567" s="68"/>
    </row>
    <row r="568" spans="1:19" ht="15.75" customHeight="1">
      <c r="A568" s="68"/>
      <c r="B568" s="68"/>
      <c r="D568" s="68"/>
      <c r="E568" s="69"/>
      <c r="O568" s="68"/>
      <c r="P568" s="68"/>
      <c r="Q568" s="68"/>
      <c r="R568" s="68"/>
      <c r="S568" s="68"/>
    </row>
    <row r="569" spans="1:19" ht="15.75" customHeight="1">
      <c r="A569" s="68"/>
      <c r="B569" s="68"/>
      <c r="D569" s="68"/>
      <c r="E569" s="69"/>
      <c r="O569" s="68"/>
      <c r="P569" s="68"/>
      <c r="Q569" s="68"/>
      <c r="R569" s="68"/>
      <c r="S569" s="68"/>
    </row>
    <row r="570" spans="1:19" ht="15.75" customHeight="1">
      <c r="A570" s="68"/>
      <c r="B570" s="68"/>
      <c r="D570" s="68"/>
      <c r="E570" s="69"/>
      <c r="O570" s="68"/>
      <c r="P570" s="68"/>
      <c r="Q570" s="68"/>
      <c r="R570" s="68"/>
      <c r="S570" s="68"/>
    </row>
    <row r="571" spans="1:19" ht="15.75" customHeight="1">
      <c r="A571" s="68"/>
      <c r="B571" s="68"/>
      <c r="D571" s="68"/>
      <c r="E571" s="69"/>
      <c r="O571" s="68"/>
      <c r="P571" s="68"/>
      <c r="Q571" s="68"/>
      <c r="R571" s="68"/>
      <c r="S571" s="68"/>
    </row>
    <row r="572" spans="1:19" ht="15.75" customHeight="1">
      <c r="A572" s="68"/>
      <c r="B572" s="68"/>
      <c r="D572" s="68"/>
      <c r="E572" s="69"/>
      <c r="O572" s="68"/>
      <c r="P572" s="68"/>
      <c r="Q572" s="68"/>
      <c r="R572" s="68"/>
      <c r="S572" s="68"/>
    </row>
    <row r="573" spans="1:19" ht="15.75" customHeight="1">
      <c r="A573" s="68"/>
      <c r="B573" s="68"/>
      <c r="D573" s="68"/>
      <c r="E573" s="69"/>
      <c r="O573" s="68"/>
      <c r="P573" s="68"/>
      <c r="Q573" s="68"/>
      <c r="R573" s="68"/>
      <c r="S573" s="68"/>
    </row>
    <row r="574" spans="1:19" ht="15.75" customHeight="1">
      <c r="A574" s="68"/>
      <c r="B574" s="68"/>
      <c r="D574" s="68"/>
      <c r="E574" s="69"/>
      <c r="O574" s="68"/>
      <c r="P574" s="68"/>
      <c r="Q574" s="68"/>
      <c r="R574" s="68"/>
      <c r="S574" s="68"/>
    </row>
    <row r="575" spans="1:19" ht="15.75" customHeight="1">
      <c r="A575" s="68"/>
      <c r="B575" s="68"/>
      <c r="D575" s="68"/>
      <c r="E575" s="69"/>
      <c r="O575" s="68"/>
      <c r="P575" s="68"/>
      <c r="Q575" s="68"/>
      <c r="R575" s="68"/>
      <c r="S575" s="68"/>
    </row>
    <row r="576" spans="1:19" ht="15.75" customHeight="1">
      <c r="A576" s="68"/>
      <c r="B576" s="68"/>
      <c r="D576" s="68"/>
      <c r="E576" s="69"/>
      <c r="O576" s="68"/>
      <c r="P576" s="68"/>
      <c r="Q576" s="68"/>
      <c r="R576" s="68"/>
      <c r="S576" s="68"/>
    </row>
    <row r="577" spans="1:19" ht="15.75" customHeight="1">
      <c r="A577" s="68"/>
      <c r="B577" s="68"/>
      <c r="D577" s="68"/>
      <c r="E577" s="69"/>
      <c r="O577" s="68"/>
      <c r="P577" s="68"/>
      <c r="Q577" s="68"/>
      <c r="R577" s="68"/>
      <c r="S577" s="68"/>
    </row>
    <row r="578" spans="1:19" ht="15.75" customHeight="1">
      <c r="A578" s="68"/>
      <c r="B578" s="68"/>
      <c r="D578" s="68"/>
      <c r="E578" s="69"/>
      <c r="O578" s="68"/>
      <c r="P578" s="68"/>
      <c r="Q578" s="68"/>
      <c r="R578" s="68"/>
      <c r="S578" s="68"/>
    </row>
    <row r="579" spans="1:19" ht="15.75" customHeight="1">
      <c r="A579" s="68"/>
      <c r="B579" s="68"/>
      <c r="D579" s="68"/>
      <c r="E579" s="69"/>
      <c r="O579" s="68"/>
      <c r="P579" s="68"/>
      <c r="Q579" s="68"/>
      <c r="R579" s="68"/>
      <c r="S579" s="68"/>
    </row>
    <row r="580" spans="1:19" ht="15.75" customHeight="1">
      <c r="A580" s="68"/>
      <c r="B580" s="68"/>
      <c r="D580" s="68"/>
      <c r="E580" s="69"/>
      <c r="O580" s="68"/>
      <c r="P580" s="68"/>
      <c r="Q580" s="68"/>
      <c r="R580" s="68"/>
      <c r="S580" s="68"/>
    </row>
    <row r="581" spans="1:19" ht="15.75" customHeight="1">
      <c r="A581" s="68"/>
      <c r="B581" s="68"/>
      <c r="D581" s="68"/>
      <c r="E581" s="69"/>
      <c r="O581" s="68"/>
      <c r="P581" s="68"/>
      <c r="Q581" s="68"/>
      <c r="R581" s="68"/>
      <c r="S581" s="68"/>
    </row>
    <row r="582" spans="1:19" ht="15.75" customHeight="1">
      <c r="A582" s="68"/>
      <c r="B582" s="68"/>
      <c r="D582" s="68"/>
      <c r="E582" s="69"/>
      <c r="O582" s="68"/>
      <c r="P582" s="68"/>
      <c r="Q582" s="68"/>
      <c r="R582" s="68"/>
      <c r="S582" s="68"/>
    </row>
    <row r="583" spans="1:19" ht="15.75" customHeight="1">
      <c r="A583" s="68"/>
      <c r="B583" s="68"/>
      <c r="D583" s="68"/>
      <c r="E583" s="69"/>
      <c r="O583" s="68"/>
      <c r="P583" s="68"/>
      <c r="Q583" s="68"/>
      <c r="R583" s="68"/>
      <c r="S583" s="68"/>
    </row>
    <row r="584" spans="1:19" ht="15.75" customHeight="1">
      <c r="A584" s="68"/>
      <c r="B584" s="68"/>
      <c r="D584" s="68"/>
      <c r="E584" s="69"/>
      <c r="O584" s="68"/>
      <c r="P584" s="68"/>
      <c r="Q584" s="68"/>
      <c r="R584" s="68"/>
      <c r="S584" s="68"/>
    </row>
    <row r="585" spans="1:19" ht="15.75" customHeight="1">
      <c r="A585" s="68"/>
      <c r="B585" s="68"/>
      <c r="D585" s="68"/>
      <c r="E585" s="69"/>
      <c r="O585" s="68"/>
      <c r="P585" s="68"/>
      <c r="Q585" s="68"/>
      <c r="R585" s="68"/>
      <c r="S585" s="68"/>
    </row>
    <row r="586" spans="1:19" ht="15.75" customHeight="1">
      <c r="A586" s="68"/>
      <c r="B586" s="68"/>
      <c r="D586" s="68"/>
      <c r="E586" s="69"/>
      <c r="O586" s="68"/>
      <c r="P586" s="68"/>
      <c r="Q586" s="68"/>
      <c r="R586" s="68"/>
      <c r="S586" s="68"/>
    </row>
    <row r="587" spans="1:19" ht="15.75" customHeight="1">
      <c r="A587" s="68"/>
      <c r="B587" s="68"/>
      <c r="D587" s="68"/>
      <c r="E587" s="69"/>
      <c r="O587" s="68"/>
      <c r="P587" s="68"/>
      <c r="Q587" s="68"/>
      <c r="R587" s="68"/>
      <c r="S587" s="68"/>
    </row>
    <row r="588" spans="1:19" ht="15.75" customHeight="1">
      <c r="A588" s="68"/>
      <c r="B588" s="68"/>
      <c r="D588" s="68"/>
      <c r="E588" s="69"/>
      <c r="O588" s="68"/>
      <c r="P588" s="68"/>
      <c r="Q588" s="68"/>
      <c r="R588" s="68"/>
      <c r="S588" s="68"/>
    </row>
    <row r="589" spans="1:19" ht="15.75" customHeight="1">
      <c r="A589" s="68"/>
      <c r="B589" s="68"/>
      <c r="D589" s="68"/>
      <c r="E589" s="69"/>
      <c r="O589" s="68"/>
      <c r="P589" s="68"/>
      <c r="Q589" s="68"/>
      <c r="R589" s="68"/>
      <c r="S589" s="68"/>
    </row>
    <row r="590" spans="1:19" ht="15.75" customHeight="1">
      <c r="A590" s="68"/>
      <c r="B590" s="68"/>
      <c r="D590" s="68"/>
      <c r="E590" s="69"/>
      <c r="O590" s="68"/>
      <c r="P590" s="68"/>
      <c r="Q590" s="68"/>
      <c r="R590" s="68"/>
      <c r="S590" s="68"/>
    </row>
    <row r="591" spans="1:19" ht="15.75" customHeight="1">
      <c r="A591" s="68"/>
      <c r="B591" s="68"/>
      <c r="D591" s="68"/>
      <c r="E591" s="69"/>
      <c r="O591" s="68"/>
      <c r="P591" s="68"/>
      <c r="Q591" s="68"/>
      <c r="R591" s="68"/>
      <c r="S591" s="68"/>
    </row>
    <row r="592" spans="1:19" ht="15.75" customHeight="1">
      <c r="A592" s="68"/>
      <c r="B592" s="68"/>
      <c r="D592" s="68"/>
      <c r="E592" s="69"/>
      <c r="O592" s="68"/>
      <c r="P592" s="68"/>
      <c r="Q592" s="68"/>
      <c r="R592" s="68"/>
      <c r="S592" s="68"/>
    </row>
    <row r="593" spans="1:19" ht="15.75" customHeight="1">
      <c r="A593" s="68"/>
      <c r="B593" s="68"/>
      <c r="D593" s="68"/>
      <c r="E593" s="69"/>
      <c r="O593" s="68"/>
      <c r="P593" s="68"/>
      <c r="Q593" s="68"/>
      <c r="R593" s="68"/>
      <c r="S593" s="68"/>
    </row>
    <row r="594" spans="1:19" ht="15.75" customHeight="1">
      <c r="A594" s="68"/>
      <c r="B594" s="68"/>
      <c r="D594" s="68"/>
      <c r="E594" s="69"/>
      <c r="O594" s="68"/>
      <c r="P594" s="68"/>
      <c r="Q594" s="68"/>
      <c r="R594" s="68"/>
      <c r="S594" s="68"/>
    </row>
    <row r="595" spans="1:19" ht="15.75" customHeight="1">
      <c r="A595" s="68"/>
      <c r="B595" s="68"/>
      <c r="D595" s="68"/>
      <c r="E595" s="69"/>
      <c r="O595" s="68"/>
      <c r="P595" s="68"/>
      <c r="Q595" s="68"/>
      <c r="R595" s="68"/>
      <c r="S595" s="68"/>
    </row>
    <row r="596" spans="1:19" ht="15.75" customHeight="1">
      <c r="A596" s="68"/>
      <c r="B596" s="68"/>
      <c r="D596" s="68"/>
      <c r="E596" s="69"/>
      <c r="O596" s="68"/>
      <c r="P596" s="68"/>
      <c r="Q596" s="68"/>
      <c r="R596" s="68"/>
      <c r="S596" s="68"/>
    </row>
    <row r="597" spans="1:19" ht="15.75" customHeight="1">
      <c r="A597" s="68"/>
      <c r="B597" s="68"/>
      <c r="D597" s="68"/>
      <c r="E597" s="69"/>
      <c r="O597" s="68"/>
      <c r="P597" s="68"/>
      <c r="Q597" s="68"/>
      <c r="R597" s="68"/>
      <c r="S597" s="68"/>
    </row>
    <row r="598" spans="1:19" ht="15.75" customHeight="1">
      <c r="A598" s="68"/>
      <c r="B598" s="68"/>
      <c r="D598" s="68"/>
      <c r="E598" s="69"/>
      <c r="O598" s="68"/>
      <c r="P598" s="68"/>
      <c r="Q598" s="68"/>
      <c r="R598" s="68"/>
      <c r="S598" s="68"/>
    </row>
    <row r="599" spans="1:19" ht="15.75" customHeight="1">
      <c r="A599" s="68"/>
      <c r="B599" s="68"/>
      <c r="D599" s="68"/>
      <c r="E599" s="69"/>
      <c r="O599" s="68"/>
      <c r="P599" s="68"/>
      <c r="Q599" s="68"/>
      <c r="R599" s="68"/>
      <c r="S599" s="68"/>
    </row>
    <row r="600" spans="1:19" ht="15.75" customHeight="1">
      <c r="A600" s="68"/>
      <c r="B600" s="68"/>
      <c r="D600" s="68"/>
      <c r="E600" s="69"/>
      <c r="O600" s="68"/>
      <c r="P600" s="68"/>
      <c r="Q600" s="68"/>
      <c r="R600" s="68"/>
      <c r="S600" s="68"/>
    </row>
    <row r="601" spans="1:19" ht="15.75" customHeight="1">
      <c r="A601" s="68"/>
      <c r="B601" s="68"/>
      <c r="D601" s="68"/>
      <c r="E601" s="69"/>
      <c r="O601" s="68"/>
      <c r="P601" s="68"/>
      <c r="Q601" s="68"/>
      <c r="R601" s="68"/>
      <c r="S601" s="68"/>
    </row>
    <row r="602" spans="1:19" ht="15.75" customHeight="1">
      <c r="A602" s="68"/>
      <c r="B602" s="68"/>
      <c r="D602" s="68"/>
      <c r="E602" s="69"/>
      <c r="O602" s="68"/>
      <c r="P602" s="68"/>
      <c r="Q602" s="68"/>
      <c r="R602" s="68"/>
      <c r="S602" s="68"/>
    </row>
    <row r="603" spans="1:19" ht="15.75" customHeight="1">
      <c r="A603" s="68"/>
      <c r="B603" s="68"/>
      <c r="D603" s="68"/>
      <c r="E603" s="69"/>
      <c r="O603" s="68"/>
      <c r="P603" s="68"/>
      <c r="Q603" s="68"/>
      <c r="R603" s="68"/>
      <c r="S603" s="68"/>
    </row>
    <row r="604" spans="1:19" ht="15.75" customHeight="1">
      <c r="A604" s="68"/>
      <c r="B604" s="68"/>
      <c r="D604" s="68"/>
      <c r="E604" s="69"/>
      <c r="O604" s="68"/>
      <c r="P604" s="68"/>
      <c r="Q604" s="68"/>
      <c r="R604" s="68"/>
      <c r="S604" s="68"/>
    </row>
    <row r="605" spans="1:19" ht="15.75" customHeight="1">
      <c r="A605" s="68"/>
      <c r="B605" s="68"/>
      <c r="D605" s="68"/>
      <c r="E605" s="69"/>
      <c r="O605" s="68"/>
      <c r="P605" s="68"/>
      <c r="Q605" s="68"/>
      <c r="R605" s="68"/>
      <c r="S605" s="68"/>
    </row>
    <row r="606" spans="1:19" ht="15.75" customHeight="1">
      <c r="A606" s="68"/>
      <c r="B606" s="68"/>
      <c r="D606" s="68"/>
      <c r="E606" s="69"/>
      <c r="O606" s="68"/>
      <c r="P606" s="68"/>
      <c r="Q606" s="68"/>
      <c r="R606" s="68"/>
      <c r="S606" s="68"/>
    </row>
    <row r="607" spans="1:19" ht="15.75" customHeight="1">
      <c r="A607" s="68"/>
      <c r="B607" s="68"/>
      <c r="D607" s="68"/>
      <c r="E607" s="69"/>
      <c r="O607" s="68"/>
      <c r="P607" s="68"/>
      <c r="Q607" s="68"/>
      <c r="R607" s="68"/>
      <c r="S607" s="68"/>
    </row>
    <row r="608" spans="1:19" ht="15.75" customHeight="1">
      <c r="A608" s="68"/>
      <c r="B608" s="68"/>
      <c r="D608" s="68"/>
      <c r="E608" s="69"/>
      <c r="O608" s="68"/>
      <c r="P608" s="68"/>
      <c r="Q608" s="68"/>
      <c r="R608" s="68"/>
      <c r="S608" s="68"/>
    </row>
    <row r="609" spans="1:19" ht="15.75" customHeight="1">
      <c r="A609" s="68"/>
      <c r="B609" s="68"/>
      <c r="D609" s="68"/>
      <c r="E609" s="69"/>
      <c r="O609" s="68"/>
      <c r="P609" s="68"/>
      <c r="Q609" s="68"/>
      <c r="R609" s="68"/>
      <c r="S609" s="68"/>
    </row>
    <row r="610" spans="1:19" ht="15.75" customHeight="1">
      <c r="A610" s="68"/>
      <c r="B610" s="68"/>
      <c r="D610" s="68"/>
      <c r="E610" s="69"/>
      <c r="O610" s="68"/>
      <c r="P610" s="68"/>
      <c r="Q610" s="68"/>
      <c r="R610" s="68"/>
      <c r="S610" s="68"/>
    </row>
    <row r="611" spans="1:19" ht="15.75" customHeight="1">
      <c r="A611" s="68"/>
      <c r="B611" s="68"/>
      <c r="D611" s="68"/>
      <c r="E611" s="69"/>
      <c r="O611" s="68"/>
      <c r="P611" s="68"/>
      <c r="Q611" s="68"/>
      <c r="R611" s="68"/>
      <c r="S611" s="68"/>
    </row>
    <row r="612" spans="1:19" ht="15.75" customHeight="1">
      <c r="A612" s="68"/>
      <c r="B612" s="68"/>
      <c r="D612" s="68"/>
      <c r="E612" s="69"/>
      <c r="O612" s="68"/>
      <c r="P612" s="68"/>
      <c r="Q612" s="68"/>
      <c r="R612" s="68"/>
      <c r="S612" s="68"/>
    </row>
    <row r="613" spans="1:19" ht="15.75" customHeight="1">
      <c r="A613" s="68"/>
      <c r="B613" s="68"/>
      <c r="D613" s="68"/>
      <c r="E613" s="69"/>
      <c r="O613" s="68"/>
      <c r="P613" s="68"/>
      <c r="Q613" s="68"/>
      <c r="R613" s="68"/>
      <c r="S613" s="68"/>
    </row>
    <row r="614" spans="1:19" ht="15.75" customHeight="1">
      <c r="A614" s="68"/>
      <c r="B614" s="68"/>
      <c r="D614" s="68"/>
      <c r="E614" s="69"/>
      <c r="O614" s="68"/>
      <c r="P614" s="68"/>
      <c r="Q614" s="68"/>
      <c r="R614" s="68"/>
      <c r="S614" s="68"/>
    </row>
    <row r="615" spans="1:19" ht="15.75" customHeight="1">
      <c r="A615" s="68"/>
      <c r="B615" s="68"/>
      <c r="D615" s="68"/>
      <c r="E615" s="69"/>
      <c r="O615" s="68"/>
      <c r="P615" s="68"/>
      <c r="Q615" s="68"/>
      <c r="R615" s="68"/>
      <c r="S615" s="68"/>
    </row>
    <row r="616" spans="1:19" ht="15.75" customHeight="1">
      <c r="A616" s="68"/>
      <c r="B616" s="68"/>
      <c r="D616" s="68"/>
      <c r="E616" s="69"/>
      <c r="O616" s="68"/>
      <c r="P616" s="68"/>
      <c r="Q616" s="68"/>
      <c r="R616" s="68"/>
      <c r="S616" s="68"/>
    </row>
    <row r="617" spans="1:19" ht="15.75" customHeight="1">
      <c r="A617" s="68"/>
      <c r="B617" s="68"/>
      <c r="D617" s="68"/>
      <c r="E617" s="69"/>
      <c r="O617" s="68"/>
      <c r="P617" s="68"/>
      <c r="Q617" s="68"/>
      <c r="R617" s="68"/>
      <c r="S617" s="68"/>
    </row>
    <row r="618" spans="1:19" ht="15.75" customHeight="1">
      <c r="A618" s="68"/>
      <c r="B618" s="68"/>
      <c r="D618" s="68"/>
      <c r="E618" s="69"/>
      <c r="O618" s="68"/>
      <c r="P618" s="68"/>
      <c r="Q618" s="68"/>
      <c r="R618" s="68"/>
      <c r="S618" s="68"/>
    </row>
    <row r="619" spans="1:19" ht="15.75" customHeight="1">
      <c r="A619" s="68"/>
      <c r="B619" s="68"/>
      <c r="D619" s="68"/>
      <c r="E619" s="69"/>
      <c r="O619" s="68"/>
      <c r="P619" s="68"/>
      <c r="Q619" s="68"/>
      <c r="R619" s="68"/>
      <c r="S619" s="68"/>
    </row>
    <row r="620" spans="1:19" ht="15.75" customHeight="1">
      <c r="A620" s="68"/>
      <c r="B620" s="68"/>
      <c r="D620" s="68"/>
      <c r="E620" s="69"/>
      <c r="O620" s="68"/>
      <c r="P620" s="68"/>
      <c r="Q620" s="68"/>
      <c r="R620" s="68"/>
      <c r="S620" s="68"/>
    </row>
    <row r="621" spans="1:19" ht="15.75" customHeight="1">
      <c r="A621" s="68"/>
      <c r="B621" s="68"/>
      <c r="D621" s="68"/>
      <c r="E621" s="69"/>
      <c r="O621" s="68"/>
      <c r="P621" s="68"/>
      <c r="Q621" s="68"/>
      <c r="R621" s="68"/>
      <c r="S621" s="68"/>
    </row>
    <row r="622" spans="1:19" ht="15.75" customHeight="1">
      <c r="A622" s="68"/>
      <c r="B622" s="68"/>
      <c r="D622" s="68"/>
      <c r="E622" s="69"/>
      <c r="O622" s="68"/>
      <c r="P622" s="68"/>
      <c r="Q622" s="68"/>
      <c r="R622" s="68"/>
      <c r="S622" s="68"/>
    </row>
    <row r="623" spans="1:19" ht="15.75" customHeight="1">
      <c r="A623" s="68"/>
      <c r="B623" s="68"/>
      <c r="D623" s="68"/>
      <c r="E623" s="69"/>
      <c r="O623" s="68"/>
      <c r="P623" s="68"/>
      <c r="Q623" s="68"/>
      <c r="R623" s="68"/>
      <c r="S623" s="68"/>
    </row>
    <row r="624" spans="1:19" ht="15.75" customHeight="1">
      <c r="A624" s="68"/>
      <c r="B624" s="68"/>
      <c r="D624" s="68"/>
      <c r="E624" s="69"/>
      <c r="O624" s="68"/>
      <c r="P624" s="68"/>
      <c r="Q624" s="68"/>
      <c r="R624" s="68"/>
      <c r="S624" s="68"/>
    </row>
    <row r="625" spans="1:19" ht="15.75" customHeight="1">
      <c r="A625" s="68"/>
      <c r="B625" s="68"/>
      <c r="D625" s="68"/>
      <c r="E625" s="69"/>
      <c r="O625" s="68"/>
      <c r="P625" s="68"/>
      <c r="Q625" s="68"/>
      <c r="R625" s="68"/>
      <c r="S625" s="68"/>
    </row>
    <row r="626" spans="1:19" ht="15.75" customHeight="1">
      <c r="A626" s="68"/>
      <c r="B626" s="68"/>
      <c r="D626" s="68"/>
      <c r="E626" s="69"/>
      <c r="O626" s="68"/>
      <c r="P626" s="68"/>
      <c r="Q626" s="68"/>
      <c r="R626" s="68"/>
      <c r="S626" s="68"/>
    </row>
    <row r="627" spans="1:19" ht="15.75" customHeight="1">
      <c r="A627" s="68"/>
      <c r="B627" s="68"/>
      <c r="D627" s="68"/>
      <c r="E627" s="69"/>
      <c r="O627" s="68"/>
      <c r="P627" s="68"/>
      <c r="Q627" s="68"/>
      <c r="R627" s="68"/>
      <c r="S627" s="68"/>
    </row>
    <row r="628" spans="1:19" ht="15.75" customHeight="1">
      <c r="A628" s="68"/>
      <c r="B628" s="68"/>
      <c r="D628" s="68"/>
      <c r="E628" s="69"/>
      <c r="O628" s="68"/>
      <c r="P628" s="68"/>
      <c r="Q628" s="68"/>
      <c r="R628" s="68"/>
      <c r="S628" s="68"/>
    </row>
    <row r="629" spans="1:19" ht="15.75" customHeight="1">
      <c r="A629" s="68"/>
      <c r="B629" s="68"/>
      <c r="D629" s="68"/>
      <c r="E629" s="69"/>
      <c r="O629" s="68"/>
      <c r="P629" s="68"/>
      <c r="Q629" s="68"/>
      <c r="R629" s="68"/>
      <c r="S629" s="68"/>
    </row>
    <row r="630" spans="1:19" ht="15.75" customHeight="1">
      <c r="A630" s="68"/>
      <c r="B630" s="68"/>
      <c r="D630" s="68"/>
      <c r="E630" s="69"/>
      <c r="O630" s="68"/>
      <c r="P630" s="68"/>
      <c r="Q630" s="68"/>
      <c r="R630" s="68"/>
      <c r="S630" s="68"/>
    </row>
    <row r="631" spans="1:19" ht="15.75" customHeight="1">
      <c r="A631" s="68"/>
      <c r="B631" s="68"/>
      <c r="D631" s="68"/>
      <c r="E631" s="69"/>
      <c r="O631" s="68"/>
      <c r="P631" s="68"/>
      <c r="Q631" s="68"/>
      <c r="R631" s="68"/>
      <c r="S631" s="68"/>
    </row>
    <row r="632" spans="1:19" ht="15.75" customHeight="1">
      <c r="A632" s="68"/>
      <c r="B632" s="68"/>
      <c r="D632" s="68"/>
      <c r="E632" s="69"/>
      <c r="O632" s="68"/>
      <c r="P632" s="68"/>
      <c r="Q632" s="68"/>
      <c r="R632" s="68"/>
      <c r="S632" s="68"/>
    </row>
    <row r="633" spans="1:19" ht="15.75" customHeight="1">
      <c r="A633" s="68"/>
      <c r="B633" s="68"/>
      <c r="D633" s="68"/>
      <c r="E633" s="69"/>
      <c r="O633" s="68"/>
      <c r="P633" s="68"/>
      <c r="Q633" s="68"/>
      <c r="R633" s="68"/>
      <c r="S633" s="68"/>
    </row>
    <row r="634" spans="1:19" ht="15.75" customHeight="1">
      <c r="A634" s="68"/>
      <c r="B634" s="68"/>
      <c r="D634" s="68"/>
      <c r="E634" s="69"/>
      <c r="O634" s="68"/>
      <c r="P634" s="68"/>
      <c r="Q634" s="68"/>
      <c r="R634" s="68"/>
      <c r="S634" s="68"/>
    </row>
    <row r="635" spans="1:19" ht="15.75" customHeight="1">
      <c r="A635" s="68"/>
      <c r="B635" s="68"/>
      <c r="D635" s="68"/>
      <c r="E635" s="69"/>
      <c r="O635" s="68"/>
      <c r="P635" s="68"/>
      <c r="Q635" s="68"/>
      <c r="R635" s="68"/>
      <c r="S635" s="68"/>
    </row>
    <row r="636" spans="1:19" ht="15.75" customHeight="1">
      <c r="A636" s="68"/>
      <c r="B636" s="68"/>
      <c r="D636" s="68"/>
      <c r="E636" s="69"/>
      <c r="O636" s="68"/>
      <c r="P636" s="68"/>
      <c r="Q636" s="68"/>
      <c r="R636" s="68"/>
      <c r="S636" s="68"/>
    </row>
    <row r="637" spans="1:19" ht="15.75" customHeight="1">
      <c r="A637" s="68"/>
      <c r="B637" s="68"/>
      <c r="D637" s="68"/>
      <c r="E637" s="69"/>
      <c r="O637" s="68"/>
      <c r="P637" s="68"/>
      <c r="Q637" s="68"/>
      <c r="R637" s="68"/>
      <c r="S637" s="68"/>
    </row>
    <row r="638" spans="1:19" ht="15.75" customHeight="1">
      <c r="A638" s="68"/>
      <c r="B638" s="68"/>
      <c r="D638" s="68"/>
      <c r="E638" s="69"/>
      <c r="O638" s="68"/>
      <c r="P638" s="68"/>
      <c r="Q638" s="68"/>
      <c r="R638" s="68"/>
      <c r="S638" s="68"/>
    </row>
    <row r="639" spans="1:19" ht="15.75" customHeight="1">
      <c r="A639" s="68"/>
      <c r="B639" s="68"/>
      <c r="D639" s="68"/>
      <c r="E639" s="69"/>
      <c r="O639" s="68"/>
      <c r="P639" s="68"/>
      <c r="Q639" s="68"/>
      <c r="R639" s="68"/>
      <c r="S639" s="68"/>
    </row>
    <row r="640" spans="1:19" ht="15.75" customHeight="1">
      <c r="A640" s="68"/>
      <c r="B640" s="68"/>
      <c r="D640" s="68"/>
      <c r="E640" s="69"/>
      <c r="O640" s="68"/>
      <c r="P640" s="68"/>
      <c r="Q640" s="68"/>
      <c r="R640" s="68"/>
      <c r="S640" s="68"/>
    </row>
    <row r="641" spans="1:19" ht="15.75" customHeight="1">
      <c r="A641" s="68"/>
      <c r="B641" s="68"/>
      <c r="D641" s="68"/>
      <c r="E641" s="69"/>
      <c r="O641" s="68"/>
      <c r="P641" s="68"/>
      <c r="Q641" s="68"/>
      <c r="R641" s="68"/>
      <c r="S641" s="68"/>
    </row>
    <row r="642" spans="1:19" ht="15.75" customHeight="1">
      <c r="A642" s="68"/>
      <c r="B642" s="68"/>
      <c r="D642" s="68"/>
      <c r="E642" s="69"/>
      <c r="O642" s="68"/>
      <c r="P642" s="68"/>
      <c r="Q642" s="68"/>
      <c r="R642" s="68"/>
      <c r="S642" s="68"/>
    </row>
    <row r="643" spans="1:19" ht="15.75" customHeight="1">
      <c r="A643" s="68"/>
      <c r="B643" s="68"/>
      <c r="D643" s="68"/>
      <c r="E643" s="69"/>
      <c r="O643" s="68"/>
      <c r="P643" s="68"/>
      <c r="Q643" s="68"/>
      <c r="R643" s="68"/>
      <c r="S643" s="68"/>
    </row>
    <row r="644" spans="1:19" ht="15.75" customHeight="1">
      <c r="A644" s="68"/>
      <c r="B644" s="68"/>
      <c r="D644" s="68"/>
      <c r="E644" s="69"/>
      <c r="O644" s="68"/>
      <c r="P644" s="68"/>
      <c r="Q644" s="68"/>
      <c r="R644" s="68"/>
      <c r="S644" s="68"/>
    </row>
    <row r="645" spans="1:19" ht="15.75" customHeight="1">
      <c r="A645" s="68"/>
      <c r="B645" s="68"/>
      <c r="D645" s="68"/>
      <c r="E645" s="69"/>
      <c r="O645" s="68"/>
      <c r="P645" s="68"/>
      <c r="Q645" s="68"/>
      <c r="R645" s="68"/>
      <c r="S645" s="68"/>
    </row>
    <row r="646" spans="1:19" ht="15.75" customHeight="1">
      <c r="A646" s="68"/>
      <c r="B646" s="68"/>
      <c r="D646" s="68"/>
      <c r="E646" s="69"/>
      <c r="O646" s="68"/>
      <c r="P646" s="68"/>
      <c r="Q646" s="68"/>
      <c r="R646" s="68"/>
      <c r="S646" s="68"/>
    </row>
    <row r="647" spans="1:19" ht="15.75" customHeight="1">
      <c r="A647" s="68"/>
      <c r="B647" s="68"/>
      <c r="D647" s="68"/>
      <c r="E647" s="69"/>
      <c r="O647" s="68"/>
      <c r="P647" s="68"/>
      <c r="Q647" s="68"/>
      <c r="R647" s="68"/>
      <c r="S647" s="68"/>
    </row>
    <row r="648" spans="1:19" ht="15.75" customHeight="1">
      <c r="A648" s="68"/>
      <c r="B648" s="68"/>
      <c r="D648" s="68"/>
      <c r="E648" s="69"/>
      <c r="O648" s="68"/>
      <c r="P648" s="68"/>
      <c r="Q648" s="68"/>
      <c r="R648" s="68"/>
      <c r="S648" s="68"/>
    </row>
    <row r="649" spans="1:19" ht="15.75" customHeight="1">
      <c r="A649" s="68"/>
      <c r="B649" s="68"/>
      <c r="D649" s="68"/>
      <c r="E649" s="69"/>
      <c r="O649" s="68"/>
      <c r="P649" s="68"/>
      <c r="Q649" s="68"/>
      <c r="R649" s="68"/>
      <c r="S649" s="68"/>
    </row>
    <row r="650" spans="1:19" ht="15.75" customHeight="1">
      <c r="A650" s="68"/>
      <c r="B650" s="68"/>
      <c r="D650" s="68"/>
      <c r="E650" s="69"/>
      <c r="O650" s="68"/>
      <c r="P650" s="68"/>
      <c r="Q650" s="68"/>
      <c r="R650" s="68"/>
      <c r="S650" s="68"/>
    </row>
    <row r="651" spans="1:19" ht="15.75" customHeight="1">
      <c r="A651" s="68"/>
      <c r="B651" s="68"/>
      <c r="D651" s="68"/>
      <c r="E651" s="69"/>
      <c r="O651" s="68"/>
      <c r="P651" s="68"/>
      <c r="Q651" s="68"/>
      <c r="R651" s="68"/>
      <c r="S651" s="68"/>
    </row>
    <row r="652" spans="1:19" ht="15.75" customHeight="1">
      <c r="A652" s="68"/>
      <c r="B652" s="68"/>
      <c r="D652" s="68"/>
      <c r="E652" s="69"/>
      <c r="O652" s="68"/>
      <c r="P652" s="68"/>
      <c r="Q652" s="68"/>
      <c r="R652" s="68"/>
      <c r="S652" s="68"/>
    </row>
    <row r="653" spans="1:19" ht="15.75" customHeight="1">
      <c r="A653" s="68"/>
      <c r="B653" s="68"/>
      <c r="D653" s="68"/>
      <c r="E653" s="69"/>
      <c r="O653" s="68"/>
      <c r="P653" s="68"/>
      <c r="Q653" s="68"/>
      <c r="R653" s="68"/>
      <c r="S653" s="68"/>
    </row>
    <row r="654" spans="1:19" ht="15.75" customHeight="1">
      <c r="A654" s="68"/>
      <c r="B654" s="68"/>
      <c r="D654" s="68"/>
      <c r="E654" s="69"/>
      <c r="O654" s="68"/>
      <c r="P654" s="68"/>
      <c r="Q654" s="68"/>
      <c r="R654" s="68"/>
      <c r="S654" s="68"/>
    </row>
    <row r="655" spans="1:19" ht="15.75" customHeight="1">
      <c r="A655" s="68"/>
      <c r="B655" s="68"/>
      <c r="D655" s="68"/>
      <c r="E655" s="69"/>
      <c r="O655" s="68"/>
      <c r="P655" s="68"/>
      <c r="Q655" s="68"/>
      <c r="R655" s="68"/>
      <c r="S655" s="68"/>
    </row>
    <row r="656" spans="1:19" ht="15.75" customHeight="1">
      <c r="A656" s="68"/>
      <c r="B656" s="68"/>
      <c r="D656" s="68"/>
      <c r="E656" s="69"/>
      <c r="O656" s="68"/>
      <c r="P656" s="68"/>
      <c r="Q656" s="68"/>
      <c r="R656" s="68"/>
      <c r="S656" s="68"/>
    </row>
    <row r="657" spans="1:19" ht="15.75" customHeight="1">
      <c r="A657" s="68"/>
      <c r="B657" s="68"/>
      <c r="D657" s="68"/>
      <c r="E657" s="69"/>
      <c r="O657" s="68"/>
      <c r="P657" s="68"/>
      <c r="Q657" s="68"/>
      <c r="R657" s="68"/>
      <c r="S657" s="68"/>
    </row>
    <row r="658" spans="1:19" ht="15.75" customHeight="1">
      <c r="A658" s="68"/>
      <c r="B658" s="68"/>
      <c r="D658" s="68"/>
      <c r="E658" s="69"/>
      <c r="O658" s="68"/>
      <c r="P658" s="68"/>
      <c r="Q658" s="68"/>
      <c r="R658" s="68"/>
      <c r="S658" s="68"/>
    </row>
    <row r="659" spans="1:19" ht="15.75" customHeight="1">
      <c r="A659" s="68"/>
      <c r="B659" s="68"/>
      <c r="D659" s="68"/>
      <c r="E659" s="69"/>
      <c r="O659" s="68"/>
      <c r="P659" s="68"/>
      <c r="Q659" s="68"/>
      <c r="R659" s="68"/>
      <c r="S659" s="68"/>
    </row>
    <row r="660" spans="1:19" ht="15.75" customHeight="1">
      <c r="A660" s="68"/>
      <c r="B660" s="68"/>
      <c r="D660" s="68"/>
      <c r="E660" s="69"/>
      <c r="O660" s="68"/>
      <c r="P660" s="68"/>
      <c r="Q660" s="68"/>
      <c r="R660" s="68"/>
      <c r="S660" s="68"/>
    </row>
    <row r="661" spans="1:19" ht="15.75" customHeight="1">
      <c r="A661" s="68"/>
      <c r="B661" s="68"/>
      <c r="D661" s="68"/>
      <c r="E661" s="69"/>
      <c r="O661" s="68"/>
      <c r="P661" s="68"/>
      <c r="Q661" s="68"/>
      <c r="R661" s="68"/>
      <c r="S661" s="68"/>
    </row>
    <row r="662" spans="1:19" ht="15.75" customHeight="1">
      <c r="A662" s="68"/>
      <c r="B662" s="68"/>
      <c r="D662" s="68"/>
      <c r="E662" s="69"/>
      <c r="O662" s="68"/>
      <c r="P662" s="68"/>
      <c r="Q662" s="68"/>
      <c r="R662" s="68"/>
      <c r="S662" s="68"/>
    </row>
    <row r="663" spans="1:19" ht="15.75" customHeight="1">
      <c r="A663" s="68"/>
      <c r="B663" s="68"/>
      <c r="D663" s="68"/>
      <c r="E663" s="69"/>
      <c r="O663" s="68"/>
      <c r="P663" s="68"/>
      <c r="Q663" s="68"/>
      <c r="R663" s="68"/>
      <c r="S663" s="68"/>
    </row>
    <row r="664" spans="1:19" ht="15.75" customHeight="1">
      <c r="A664" s="68"/>
      <c r="B664" s="68"/>
      <c r="D664" s="68"/>
      <c r="E664" s="69"/>
      <c r="O664" s="68"/>
      <c r="P664" s="68"/>
      <c r="Q664" s="68"/>
      <c r="R664" s="68"/>
      <c r="S664" s="68"/>
    </row>
    <row r="665" spans="1:19" ht="15.75" customHeight="1">
      <c r="A665" s="68"/>
      <c r="B665" s="68"/>
      <c r="D665" s="68"/>
      <c r="E665" s="69"/>
      <c r="O665" s="68"/>
      <c r="P665" s="68"/>
      <c r="Q665" s="68"/>
      <c r="R665" s="68"/>
      <c r="S665" s="68"/>
    </row>
    <row r="666" spans="1:19" ht="15.75" customHeight="1">
      <c r="A666" s="68"/>
      <c r="B666" s="68"/>
      <c r="D666" s="68"/>
      <c r="E666" s="69"/>
      <c r="O666" s="68"/>
      <c r="P666" s="68"/>
      <c r="Q666" s="68"/>
      <c r="R666" s="68"/>
      <c r="S666" s="68"/>
    </row>
    <row r="667" spans="1:19" ht="15.75" customHeight="1">
      <c r="A667" s="68"/>
      <c r="B667" s="68"/>
      <c r="D667" s="68"/>
      <c r="E667" s="69"/>
      <c r="O667" s="68"/>
      <c r="P667" s="68"/>
      <c r="Q667" s="68"/>
      <c r="R667" s="68"/>
      <c r="S667" s="68"/>
    </row>
    <row r="668" spans="1:19" ht="15.75" customHeight="1">
      <c r="A668" s="68"/>
      <c r="B668" s="68"/>
      <c r="D668" s="68"/>
      <c r="E668" s="69"/>
      <c r="O668" s="68"/>
      <c r="P668" s="68"/>
      <c r="Q668" s="68"/>
      <c r="R668" s="68"/>
      <c r="S668" s="68"/>
    </row>
    <row r="669" spans="1:19" ht="15.75" customHeight="1">
      <c r="A669" s="68"/>
      <c r="B669" s="68"/>
      <c r="D669" s="68"/>
      <c r="E669" s="69"/>
      <c r="O669" s="68"/>
      <c r="P669" s="68"/>
      <c r="Q669" s="68"/>
      <c r="R669" s="68"/>
      <c r="S669" s="68"/>
    </row>
    <row r="670" spans="1:19" ht="15.75" customHeight="1">
      <c r="A670" s="68"/>
      <c r="B670" s="68"/>
      <c r="D670" s="68"/>
      <c r="E670" s="69"/>
      <c r="O670" s="68"/>
      <c r="P670" s="68"/>
      <c r="Q670" s="68"/>
      <c r="R670" s="68"/>
      <c r="S670" s="68"/>
    </row>
    <row r="671" spans="1:19" ht="15.75" customHeight="1">
      <c r="A671" s="68"/>
      <c r="B671" s="68"/>
      <c r="D671" s="68"/>
      <c r="E671" s="69"/>
      <c r="O671" s="68"/>
      <c r="P671" s="68"/>
      <c r="Q671" s="68"/>
      <c r="R671" s="68"/>
      <c r="S671" s="68"/>
    </row>
    <row r="672" spans="1:19" ht="15.75" customHeight="1">
      <c r="A672" s="68"/>
      <c r="B672" s="68"/>
      <c r="D672" s="68"/>
      <c r="E672" s="69"/>
      <c r="O672" s="68"/>
      <c r="P672" s="68"/>
      <c r="Q672" s="68"/>
      <c r="R672" s="68"/>
      <c r="S672" s="68"/>
    </row>
    <row r="673" spans="1:19" ht="15.75" customHeight="1">
      <c r="A673" s="68"/>
      <c r="B673" s="68"/>
      <c r="D673" s="68"/>
      <c r="E673" s="69"/>
      <c r="O673" s="68"/>
      <c r="P673" s="68"/>
      <c r="Q673" s="68"/>
      <c r="R673" s="68"/>
      <c r="S673" s="68"/>
    </row>
    <row r="674" spans="1:19" ht="15.75" customHeight="1">
      <c r="A674" s="68"/>
      <c r="B674" s="68"/>
      <c r="D674" s="68"/>
      <c r="E674" s="69"/>
      <c r="O674" s="68"/>
      <c r="P674" s="68"/>
      <c r="Q674" s="68"/>
      <c r="R674" s="68"/>
      <c r="S674" s="68"/>
    </row>
    <row r="675" spans="1:19" ht="15.75" customHeight="1">
      <c r="A675" s="68"/>
      <c r="B675" s="68"/>
      <c r="D675" s="68"/>
      <c r="E675" s="69"/>
      <c r="O675" s="68"/>
      <c r="P675" s="68"/>
      <c r="Q675" s="68"/>
      <c r="R675" s="68"/>
      <c r="S675" s="68"/>
    </row>
    <row r="676" spans="1:19" ht="15.75" customHeight="1">
      <c r="A676" s="68"/>
      <c r="B676" s="68"/>
      <c r="D676" s="68"/>
      <c r="E676" s="69"/>
      <c r="O676" s="68"/>
      <c r="P676" s="68"/>
      <c r="Q676" s="68"/>
      <c r="R676" s="68"/>
      <c r="S676" s="68"/>
    </row>
    <row r="677" spans="1:19" ht="15.75" customHeight="1">
      <c r="A677" s="68"/>
      <c r="B677" s="68"/>
      <c r="D677" s="68"/>
      <c r="E677" s="69"/>
      <c r="O677" s="68"/>
      <c r="P677" s="68"/>
      <c r="Q677" s="68"/>
      <c r="R677" s="68"/>
      <c r="S677" s="68"/>
    </row>
    <row r="678" spans="1:19" ht="15.75" customHeight="1">
      <c r="A678" s="68"/>
      <c r="B678" s="68"/>
      <c r="D678" s="68"/>
      <c r="E678" s="69"/>
      <c r="O678" s="68"/>
      <c r="P678" s="68"/>
      <c r="Q678" s="68"/>
      <c r="R678" s="68"/>
      <c r="S678" s="68"/>
    </row>
    <row r="679" spans="1:19" ht="15.75" customHeight="1">
      <c r="A679" s="68"/>
      <c r="B679" s="68"/>
      <c r="D679" s="68"/>
      <c r="E679" s="69"/>
      <c r="O679" s="68"/>
      <c r="P679" s="68"/>
      <c r="Q679" s="68"/>
      <c r="R679" s="68"/>
      <c r="S679" s="68"/>
    </row>
    <row r="680" spans="1:19" ht="15.75" customHeight="1">
      <c r="A680" s="68"/>
      <c r="B680" s="68"/>
      <c r="D680" s="68"/>
      <c r="E680" s="69"/>
      <c r="O680" s="68"/>
      <c r="P680" s="68"/>
      <c r="Q680" s="68"/>
      <c r="R680" s="68"/>
      <c r="S680" s="68"/>
    </row>
    <row r="681" spans="1:19" ht="15.75" customHeight="1">
      <c r="A681" s="68"/>
      <c r="B681" s="68"/>
      <c r="D681" s="68"/>
      <c r="E681" s="69"/>
      <c r="O681" s="68"/>
      <c r="P681" s="68"/>
      <c r="Q681" s="68"/>
      <c r="R681" s="68"/>
      <c r="S681" s="68"/>
    </row>
    <row r="682" spans="1:19" ht="15.75" customHeight="1">
      <c r="A682" s="68"/>
      <c r="B682" s="68"/>
      <c r="D682" s="68"/>
      <c r="E682" s="69"/>
      <c r="O682" s="68"/>
      <c r="P682" s="68"/>
      <c r="Q682" s="68"/>
      <c r="R682" s="68"/>
      <c r="S682" s="68"/>
    </row>
    <row r="683" spans="1:19" ht="15.75" customHeight="1">
      <c r="A683" s="68"/>
      <c r="B683" s="68"/>
      <c r="D683" s="68"/>
      <c r="E683" s="69"/>
      <c r="O683" s="68"/>
      <c r="P683" s="68"/>
      <c r="Q683" s="68"/>
      <c r="R683" s="68"/>
      <c r="S683" s="68"/>
    </row>
    <row r="684" spans="1:19" ht="15.75" customHeight="1">
      <c r="A684" s="68"/>
      <c r="B684" s="68"/>
      <c r="D684" s="68"/>
      <c r="E684" s="69"/>
      <c r="O684" s="68"/>
      <c r="P684" s="68"/>
      <c r="Q684" s="68"/>
      <c r="R684" s="68"/>
      <c r="S684" s="68"/>
    </row>
    <row r="685" spans="1:19" ht="15.75" customHeight="1">
      <c r="A685" s="68"/>
      <c r="B685" s="68"/>
      <c r="D685" s="68"/>
      <c r="E685" s="69"/>
      <c r="O685" s="68"/>
      <c r="P685" s="68"/>
      <c r="Q685" s="68"/>
      <c r="R685" s="68"/>
      <c r="S685" s="68"/>
    </row>
    <row r="686" spans="1:19" ht="15.75" customHeight="1">
      <c r="A686" s="68"/>
      <c r="B686" s="68"/>
      <c r="D686" s="68"/>
      <c r="E686" s="69"/>
      <c r="O686" s="68"/>
      <c r="P686" s="68"/>
      <c r="Q686" s="68"/>
      <c r="R686" s="68"/>
      <c r="S686" s="68"/>
    </row>
    <row r="687" spans="1:19" ht="15.75" customHeight="1">
      <c r="A687" s="68"/>
      <c r="B687" s="68"/>
      <c r="D687" s="68"/>
      <c r="E687" s="69"/>
      <c r="O687" s="68"/>
      <c r="P687" s="68"/>
      <c r="Q687" s="68"/>
      <c r="R687" s="68"/>
      <c r="S687" s="68"/>
    </row>
    <row r="688" spans="1:19" ht="15.75" customHeight="1">
      <c r="A688" s="68"/>
      <c r="B688" s="68"/>
      <c r="D688" s="68"/>
      <c r="E688" s="69"/>
      <c r="O688" s="68"/>
      <c r="P688" s="68"/>
      <c r="Q688" s="68"/>
      <c r="R688" s="68"/>
      <c r="S688" s="68"/>
    </row>
    <row r="689" spans="1:19" ht="15.75" customHeight="1">
      <c r="A689" s="68"/>
      <c r="B689" s="68"/>
      <c r="D689" s="68"/>
      <c r="E689" s="69"/>
      <c r="O689" s="68"/>
      <c r="P689" s="68"/>
      <c r="Q689" s="68"/>
      <c r="R689" s="68"/>
      <c r="S689" s="68"/>
    </row>
    <row r="690" spans="1:19" ht="15.75" customHeight="1">
      <c r="A690" s="68"/>
      <c r="B690" s="68"/>
      <c r="D690" s="68"/>
      <c r="E690" s="69"/>
      <c r="O690" s="68"/>
      <c r="P690" s="68"/>
      <c r="Q690" s="68"/>
      <c r="R690" s="68"/>
      <c r="S690" s="68"/>
    </row>
    <row r="691" spans="1:19" ht="15.75" customHeight="1">
      <c r="A691" s="68"/>
      <c r="B691" s="68"/>
      <c r="D691" s="68"/>
      <c r="E691" s="69"/>
      <c r="O691" s="68"/>
      <c r="P691" s="68"/>
      <c r="Q691" s="68"/>
      <c r="R691" s="68"/>
      <c r="S691" s="68"/>
    </row>
    <row r="692" spans="1:19" ht="15.75" customHeight="1">
      <c r="A692" s="68"/>
      <c r="B692" s="68"/>
      <c r="D692" s="68"/>
      <c r="E692" s="69"/>
      <c r="O692" s="68"/>
      <c r="P692" s="68"/>
      <c r="Q692" s="68"/>
      <c r="R692" s="68"/>
      <c r="S692" s="68"/>
    </row>
    <row r="693" spans="1:19" ht="15.75" customHeight="1">
      <c r="A693" s="68"/>
      <c r="B693" s="68"/>
      <c r="D693" s="68"/>
      <c r="E693" s="69"/>
      <c r="O693" s="68"/>
      <c r="P693" s="68"/>
      <c r="Q693" s="68"/>
      <c r="R693" s="68"/>
      <c r="S693" s="68"/>
    </row>
    <row r="694" spans="1:19" ht="15.75" customHeight="1">
      <c r="A694" s="68"/>
      <c r="B694" s="68"/>
      <c r="D694" s="68"/>
      <c r="E694" s="69"/>
      <c r="O694" s="68"/>
      <c r="P694" s="68"/>
      <c r="Q694" s="68"/>
      <c r="R694" s="68"/>
      <c r="S694" s="68"/>
    </row>
    <row r="695" spans="1:19" ht="15.75" customHeight="1">
      <c r="A695" s="68"/>
      <c r="B695" s="68"/>
      <c r="D695" s="68"/>
      <c r="E695" s="69"/>
      <c r="O695" s="68"/>
      <c r="P695" s="68"/>
      <c r="Q695" s="68"/>
      <c r="R695" s="68"/>
      <c r="S695" s="68"/>
    </row>
    <row r="696" spans="1:19" ht="15.75" customHeight="1">
      <c r="A696" s="68"/>
      <c r="B696" s="68"/>
      <c r="D696" s="68"/>
      <c r="E696" s="69"/>
      <c r="O696" s="68"/>
      <c r="P696" s="68"/>
      <c r="Q696" s="68"/>
      <c r="R696" s="68"/>
      <c r="S696" s="68"/>
    </row>
    <row r="697" spans="1:19" ht="15.75" customHeight="1">
      <c r="A697" s="68"/>
      <c r="B697" s="68"/>
      <c r="D697" s="68"/>
      <c r="E697" s="69"/>
      <c r="O697" s="68"/>
      <c r="P697" s="68"/>
      <c r="Q697" s="68"/>
      <c r="R697" s="68"/>
      <c r="S697" s="68"/>
    </row>
    <row r="698" spans="1:19" ht="15.75" customHeight="1">
      <c r="A698" s="68"/>
      <c r="B698" s="68"/>
      <c r="D698" s="68"/>
      <c r="E698" s="69"/>
      <c r="O698" s="68"/>
      <c r="P698" s="68"/>
      <c r="Q698" s="68"/>
      <c r="R698" s="68"/>
      <c r="S698" s="68"/>
    </row>
    <row r="699" spans="1:19" ht="15.75" customHeight="1">
      <c r="A699" s="68"/>
      <c r="B699" s="68"/>
      <c r="D699" s="68"/>
      <c r="E699" s="69"/>
      <c r="O699" s="68"/>
      <c r="P699" s="68"/>
      <c r="Q699" s="68"/>
      <c r="R699" s="68"/>
      <c r="S699" s="68"/>
    </row>
    <row r="700" spans="1:19" ht="15.75" customHeight="1">
      <c r="A700" s="68"/>
      <c r="B700" s="68"/>
      <c r="D700" s="68"/>
      <c r="E700" s="69"/>
      <c r="O700" s="68"/>
      <c r="P700" s="68"/>
      <c r="Q700" s="68"/>
      <c r="R700" s="68"/>
      <c r="S700" s="68"/>
    </row>
    <row r="701" spans="1:19" ht="15.75" customHeight="1">
      <c r="A701" s="68"/>
      <c r="B701" s="68"/>
      <c r="D701" s="68"/>
      <c r="E701" s="69"/>
      <c r="O701" s="68"/>
      <c r="P701" s="68"/>
      <c r="Q701" s="68"/>
      <c r="R701" s="68"/>
      <c r="S701" s="68"/>
    </row>
    <row r="702" spans="1:19" ht="15.75" customHeight="1">
      <c r="A702" s="68"/>
      <c r="B702" s="68"/>
      <c r="D702" s="68"/>
      <c r="E702" s="69"/>
      <c r="O702" s="68"/>
      <c r="P702" s="68"/>
      <c r="Q702" s="68"/>
      <c r="R702" s="68"/>
      <c r="S702" s="68"/>
    </row>
    <row r="703" spans="1:19" ht="15.75" customHeight="1">
      <c r="A703" s="68"/>
      <c r="B703" s="68"/>
      <c r="D703" s="68"/>
      <c r="E703" s="69"/>
      <c r="O703" s="68"/>
      <c r="P703" s="68"/>
      <c r="Q703" s="68"/>
      <c r="R703" s="68"/>
      <c r="S703" s="68"/>
    </row>
    <row r="704" spans="1:19" ht="15.75" customHeight="1">
      <c r="A704" s="68"/>
      <c r="B704" s="68"/>
      <c r="D704" s="68"/>
      <c r="E704" s="69"/>
      <c r="O704" s="68"/>
      <c r="P704" s="68"/>
      <c r="Q704" s="68"/>
      <c r="R704" s="68"/>
      <c r="S704" s="68"/>
    </row>
    <row r="705" spans="1:19" ht="15.75" customHeight="1">
      <c r="A705" s="68"/>
      <c r="B705" s="68"/>
      <c r="D705" s="68"/>
      <c r="E705" s="69"/>
      <c r="O705" s="68"/>
      <c r="P705" s="68"/>
      <c r="Q705" s="68"/>
      <c r="R705" s="68"/>
      <c r="S705" s="68"/>
    </row>
    <row r="706" spans="1:19" ht="15.75" customHeight="1">
      <c r="A706" s="68"/>
      <c r="B706" s="68"/>
      <c r="D706" s="68"/>
      <c r="E706" s="69"/>
      <c r="O706" s="68"/>
      <c r="P706" s="68"/>
      <c r="Q706" s="68"/>
      <c r="R706" s="68"/>
      <c r="S706" s="68"/>
    </row>
    <row r="707" spans="1:19" ht="15.75" customHeight="1">
      <c r="A707" s="68"/>
      <c r="B707" s="68"/>
      <c r="D707" s="68"/>
      <c r="E707" s="69"/>
      <c r="O707" s="68"/>
      <c r="P707" s="68"/>
      <c r="Q707" s="68"/>
      <c r="R707" s="68"/>
      <c r="S707" s="68"/>
    </row>
    <row r="708" spans="1:19" ht="15.75" customHeight="1">
      <c r="A708" s="68"/>
      <c r="B708" s="68"/>
      <c r="D708" s="68"/>
      <c r="E708" s="69"/>
      <c r="O708" s="68"/>
      <c r="P708" s="68"/>
      <c r="Q708" s="68"/>
      <c r="R708" s="68"/>
      <c r="S708" s="68"/>
    </row>
    <row r="709" spans="1:19" ht="15.75" customHeight="1">
      <c r="A709" s="68"/>
      <c r="B709" s="68"/>
      <c r="D709" s="68"/>
      <c r="E709" s="69"/>
      <c r="O709" s="68"/>
      <c r="P709" s="68"/>
      <c r="Q709" s="68"/>
      <c r="R709" s="68"/>
      <c r="S709" s="68"/>
    </row>
    <row r="710" spans="1:19" ht="15.75" customHeight="1">
      <c r="A710" s="68"/>
      <c r="B710" s="68"/>
      <c r="D710" s="68"/>
      <c r="E710" s="69"/>
      <c r="O710" s="68"/>
      <c r="P710" s="68"/>
      <c r="Q710" s="68"/>
      <c r="R710" s="68"/>
      <c r="S710" s="68"/>
    </row>
    <row r="711" spans="1:19" ht="15.75" customHeight="1">
      <c r="A711" s="68"/>
      <c r="B711" s="68"/>
      <c r="D711" s="68"/>
      <c r="E711" s="69"/>
      <c r="O711" s="68"/>
      <c r="P711" s="68"/>
      <c r="Q711" s="68"/>
      <c r="R711" s="68"/>
      <c r="S711" s="68"/>
    </row>
    <row r="712" spans="1:19" ht="15.75" customHeight="1">
      <c r="A712" s="68"/>
      <c r="B712" s="68"/>
      <c r="D712" s="68"/>
      <c r="E712" s="69"/>
      <c r="O712" s="68"/>
      <c r="P712" s="68"/>
      <c r="Q712" s="68"/>
      <c r="R712" s="68"/>
      <c r="S712" s="68"/>
    </row>
    <row r="713" spans="1:19" ht="15.75" customHeight="1">
      <c r="A713" s="68"/>
      <c r="B713" s="68"/>
      <c r="D713" s="68"/>
      <c r="E713" s="69"/>
      <c r="O713" s="68"/>
      <c r="P713" s="68"/>
      <c r="Q713" s="68"/>
      <c r="R713" s="68"/>
      <c r="S713" s="68"/>
    </row>
    <row r="714" spans="1:19" ht="15.75" customHeight="1">
      <c r="A714" s="68"/>
      <c r="B714" s="68"/>
      <c r="D714" s="68"/>
      <c r="E714" s="69"/>
      <c r="O714" s="68"/>
      <c r="P714" s="68"/>
      <c r="Q714" s="68"/>
      <c r="R714" s="68"/>
      <c r="S714" s="68"/>
    </row>
    <row r="715" spans="1:19" ht="15.75" customHeight="1">
      <c r="A715" s="68"/>
      <c r="B715" s="68"/>
      <c r="D715" s="68"/>
      <c r="E715" s="69"/>
      <c r="O715" s="68"/>
      <c r="P715" s="68"/>
      <c r="Q715" s="68"/>
      <c r="R715" s="68"/>
      <c r="S715" s="68"/>
    </row>
    <row r="716" spans="1:19" ht="15.75" customHeight="1">
      <c r="A716" s="68"/>
      <c r="B716" s="68"/>
      <c r="D716" s="68"/>
      <c r="E716" s="69"/>
      <c r="O716" s="68"/>
      <c r="P716" s="68"/>
      <c r="Q716" s="68"/>
      <c r="R716" s="68"/>
      <c r="S716" s="68"/>
    </row>
    <row r="717" spans="1:19" ht="15.75" customHeight="1">
      <c r="A717" s="68"/>
      <c r="B717" s="68"/>
      <c r="D717" s="68"/>
      <c r="E717" s="69"/>
      <c r="O717" s="68"/>
      <c r="P717" s="68"/>
      <c r="Q717" s="68"/>
      <c r="R717" s="68"/>
      <c r="S717" s="68"/>
    </row>
    <row r="718" spans="1:19" ht="15.75" customHeight="1">
      <c r="A718" s="68"/>
      <c r="B718" s="68"/>
      <c r="D718" s="68"/>
      <c r="E718" s="69"/>
      <c r="O718" s="68"/>
      <c r="P718" s="68"/>
      <c r="Q718" s="68"/>
      <c r="R718" s="68"/>
      <c r="S718" s="68"/>
    </row>
    <row r="719" spans="1:19" ht="15.75" customHeight="1">
      <c r="A719" s="68"/>
      <c r="B719" s="68"/>
      <c r="D719" s="68"/>
      <c r="E719" s="69"/>
      <c r="O719" s="68"/>
      <c r="P719" s="68"/>
      <c r="Q719" s="68"/>
      <c r="R719" s="68"/>
      <c r="S719" s="68"/>
    </row>
    <row r="720" spans="1:19" ht="15.75" customHeight="1">
      <c r="A720" s="68"/>
      <c r="B720" s="68"/>
      <c r="D720" s="68"/>
      <c r="E720" s="69"/>
      <c r="O720" s="68"/>
      <c r="P720" s="68"/>
      <c r="Q720" s="68"/>
      <c r="R720" s="68"/>
      <c r="S720" s="68"/>
    </row>
    <row r="721" spans="1:19" ht="15.75" customHeight="1">
      <c r="A721" s="68"/>
      <c r="B721" s="68"/>
      <c r="D721" s="68"/>
      <c r="E721" s="69"/>
      <c r="O721" s="68"/>
      <c r="P721" s="68"/>
      <c r="Q721" s="68"/>
      <c r="R721" s="68"/>
      <c r="S721" s="68"/>
    </row>
    <row r="722" spans="1:19" ht="15.75" customHeight="1">
      <c r="A722" s="68"/>
      <c r="B722" s="68"/>
      <c r="D722" s="68"/>
      <c r="E722" s="69"/>
      <c r="O722" s="68"/>
      <c r="P722" s="68"/>
      <c r="Q722" s="68"/>
      <c r="R722" s="68"/>
      <c r="S722" s="68"/>
    </row>
    <row r="723" spans="1:19" ht="15.75" customHeight="1">
      <c r="A723" s="68"/>
      <c r="B723" s="68"/>
      <c r="D723" s="68"/>
      <c r="E723" s="69"/>
      <c r="O723" s="68"/>
      <c r="P723" s="68"/>
      <c r="Q723" s="68"/>
      <c r="R723" s="68"/>
      <c r="S723" s="68"/>
    </row>
    <row r="724" spans="1:19" ht="15.75" customHeight="1">
      <c r="A724" s="68"/>
      <c r="B724" s="68"/>
      <c r="D724" s="68"/>
      <c r="E724" s="69"/>
      <c r="O724" s="68"/>
      <c r="P724" s="68"/>
      <c r="Q724" s="68"/>
      <c r="R724" s="68"/>
      <c r="S724" s="68"/>
    </row>
    <row r="725" spans="1:19" ht="15.75" customHeight="1">
      <c r="A725" s="68"/>
      <c r="B725" s="68"/>
      <c r="D725" s="68"/>
      <c r="E725" s="69"/>
      <c r="O725" s="68"/>
      <c r="P725" s="68"/>
      <c r="Q725" s="68"/>
      <c r="R725" s="68"/>
      <c r="S725" s="68"/>
    </row>
    <row r="726" spans="1:19" ht="15.75" customHeight="1">
      <c r="A726" s="68"/>
      <c r="B726" s="68"/>
      <c r="D726" s="68"/>
      <c r="E726" s="69"/>
      <c r="O726" s="68"/>
      <c r="P726" s="68"/>
      <c r="Q726" s="68"/>
      <c r="R726" s="68"/>
      <c r="S726" s="68"/>
    </row>
    <row r="727" spans="1:19" ht="15.75" customHeight="1">
      <c r="A727" s="68"/>
      <c r="B727" s="68"/>
      <c r="D727" s="68"/>
      <c r="E727" s="69"/>
      <c r="O727" s="68"/>
      <c r="P727" s="68"/>
      <c r="Q727" s="68"/>
      <c r="R727" s="68"/>
      <c r="S727" s="68"/>
    </row>
    <row r="728" spans="1:19" ht="15.75" customHeight="1">
      <c r="A728" s="68"/>
      <c r="B728" s="68"/>
      <c r="D728" s="68"/>
      <c r="E728" s="69"/>
      <c r="O728" s="68"/>
      <c r="P728" s="68"/>
      <c r="Q728" s="68"/>
      <c r="R728" s="68"/>
      <c r="S728" s="68"/>
    </row>
    <row r="729" spans="1:19" ht="15.75" customHeight="1">
      <c r="A729" s="68"/>
      <c r="B729" s="68"/>
      <c r="D729" s="68"/>
      <c r="E729" s="69"/>
      <c r="O729" s="68"/>
      <c r="P729" s="68"/>
      <c r="Q729" s="68"/>
      <c r="R729" s="68"/>
      <c r="S729" s="68"/>
    </row>
    <row r="730" spans="1:19" ht="15.75" customHeight="1">
      <c r="A730" s="68"/>
      <c r="B730" s="68"/>
      <c r="D730" s="68"/>
      <c r="E730" s="69"/>
      <c r="O730" s="68"/>
      <c r="P730" s="68"/>
      <c r="Q730" s="68"/>
      <c r="R730" s="68"/>
      <c r="S730" s="68"/>
    </row>
    <row r="731" spans="1:19" ht="15.75" customHeight="1">
      <c r="A731" s="68"/>
      <c r="B731" s="68"/>
      <c r="D731" s="68"/>
      <c r="E731" s="69"/>
      <c r="O731" s="68"/>
      <c r="P731" s="68"/>
      <c r="Q731" s="68"/>
      <c r="R731" s="68"/>
      <c r="S731" s="68"/>
    </row>
    <row r="732" spans="1:19" ht="15.75" customHeight="1">
      <c r="A732" s="68"/>
      <c r="B732" s="68"/>
      <c r="D732" s="68"/>
      <c r="E732" s="69"/>
      <c r="O732" s="68"/>
      <c r="P732" s="68"/>
      <c r="Q732" s="68"/>
      <c r="R732" s="68"/>
      <c r="S732" s="68"/>
    </row>
    <row r="733" spans="1:19" ht="15.75" customHeight="1">
      <c r="A733" s="68"/>
      <c r="B733" s="68"/>
      <c r="D733" s="68"/>
      <c r="E733" s="69"/>
      <c r="O733" s="68"/>
      <c r="P733" s="68"/>
      <c r="Q733" s="68"/>
      <c r="R733" s="68"/>
      <c r="S733" s="68"/>
    </row>
    <row r="734" spans="1:19" ht="15.75" customHeight="1">
      <c r="A734" s="68"/>
      <c r="B734" s="68"/>
      <c r="D734" s="68"/>
      <c r="E734" s="69"/>
      <c r="O734" s="68"/>
      <c r="P734" s="68"/>
      <c r="Q734" s="68"/>
      <c r="R734" s="68"/>
      <c r="S734" s="68"/>
    </row>
    <row r="735" spans="1:19" ht="15.75" customHeight="1">
      <c r="A735" s="68"/>
      <c r="B735" s="68"/>
      <c r="D735" s="68"/>
      <c r="E735" s="69"/>
      <c r="O735" s="68"/>
      <c r="P735" s="68"/>
      <c r="Q735" s="68"/>
      <c r="R735" s="68"/>
      <c r="S735" s="68"/>
    </row>
    <row r="736" spans="1:19" ht="15.75" customHeight="1">
      <c r="A736" s="68"/>
      <c r="B736" s="68"/>
      <c r="D736" s="68"/>
      <c r="E736" s="69"/>
      <c r="O736" s="68"/>
      <c r="P736" s="68"/>
      <c r="Q736" s="68"/>
      <c r="R736" s="68"/>
      <c r="S736" s="68"/>
    </row>
    <row r="737" spans="1:19" ht="15.75" customHeight="1">
      <c r="A737" s="68"/>
      <c r="B737" s="68"/>
      <c r="D737" s="68"/>
      <c r="E737" s="69"/>
      <c r="O737" s="68"/>
      <c r="P737" s="68"/>
      <c r="Q737" s="68"/>
      <c r="R737" s="68"/>
      <c r="S737" s="68"/>
    </row>
    <row r="738" spans="1:19" ht="15.75" customHeight="1">
      <c r="A738" s="68"/>
      <c r="B738" s="68"/>
      <c r="D738" s="68"/>
      <c r="E738" s="69"/>
      <c r="O738" s="68"/>
      <c r="P738" s="68"/>
      <c r="Q738" s="68"/>
      <c r="R738" s="68"/>
      <c r="S738" s="68"/>
    </row>
    <row r="739" spans="1:19" ht="15.75" customHeight="1">
      <c r="A739" s="68"/>
      <c r="B739" s="68"/>
      <c r="D739" s="68"/>
      <c r="E739" s="69"/>
      <c r="O739" s="68"/>
      <c r="P739" s="68"/>
      <c r="Q739" s="68"/>
      <c r="R739" s="68"/>
      <c r="S739" s="68"/>
    </row>
    <row r="740" spans="1:19" ht="15.75" customHeight="1">
      <c r="A740" s="68"/>
      <c r="B740" s="68"/>
      <c r="D740" s="68"/>
      <c r="E740" s="69"/>
      <c r="O740" s="68"/>
      <c r="P740" s="68"/>
      <c r="Q740" s="68"/>
      <c r="R740" s="68"/>
      <c r="S740" s="68"/>
    </row>
    <row r="741" spans="1:19" ht="15.75" customHeight="1">
      <c r="A741" s="68"/>
      <c r="B741" s="68"/>
      <c r="D741" s="68"/>
      <c r="E741" s="69"/>
      <c r="O741" s="68"/>
      <c r="P741" s="68"/>
      <c r="Q741" s="68"/>
      <c r="R741" s="68"/>
      <c r="S741" s="68"/>
    </row>
    <row r="742" spans="1:19" ht="15.75" customHeight="1">
      <c r="A742" s="68"/>
      <c r="B742" s="68"/>
      <c r="D742" s="68"/>
      <c r="E742" s="69"/>
      <c r="O742" s="68"/>
      <c r="P742" s="68"/>
      <c r="Q742" s="68"/>
      <c r="R742" s="68"/>
      <c r="S742" s="68"/>
    </row>
    <row r="743" spans="1:19" ht="15.75" customHeight="1">
      <c r="A743" s="68"/>
      <c r="B743" s="68"/>
      <c r="D743" s="68"/>
      <c r="E743" s="69"/>
      <c r="O743" s="68"/>
      <c r="P743" s="68"/>
      <c r="Q743" s="68"/>
      <c r="R743" s="68"/>
      <c r="S743" s="68"/>
    </row>
    <row r="744" spans="1:19" ht="15.75" customHeight="1">
      <c r="A744" s="68"/>
      <c r="B744" s="68"/>
      <c r="D744" s="68"/>
      <c r="E744" s="69"/>
      <c r="O744" s="68"/>
      <c r="P744" s="68"/>
      <c r="Q744" s="68"/>
      <c r="R744" s="68"/>
      <c r="S744" s="68"/>
    </row>
    <row r="745" spans="1:19" ht="15.75" customHeight="1">
      <c r="A745" s="68"/>
      <c r="B745" s="68"/>
      <c r="D745" s="68"/>
      <c r="E745" s="69"/>
      <c r="O745" s="68"/>
      <c r="P745" s="68"/>
      <c r="Q745" s="68"/>
      <c r="R745" s="68"/>
      <c r="S745" s="68"/>
    </row>
    <row r="746" spans="1:19" ht="15.75" customHeight="1">
      <c r="A746" s="68"/>
      <c r="B746" s="68"/>
      <c r="D746" s="68"/>
      <c r="E746" s="69"/>
      <c r="O746" s="68"/>
      <c r="P746" s="68"/>
      <c r="Q746" s="68"/>
      <c r="R746" s="68"/>
      <c r="S746" s="68"/>
    </row>
    <row r="747" spans="1:19" ht="15.75" customHeight="1">
      <c r="A747" s="68"/>
      <c r="B747" s="68"/>
      <c r="D747" s="68"/>
      <c r="E747" s="69"/>
      <c r="O747" s="68"/>
      <c r="P747" s="68"/>
      <c r="Q747" s="68"/>
      <c r="R747" s="68"/>
      <c r="S747" s="68"/>
    </row>
    <row r="748" spans="1:19" ht="15.75" customHeight="1">
      <c r="A748" s="68"/>
      <c r="B748" s="68"/>
      <c r="D748" s="68"/>
      <c r="E748" s="69"/>
      <c r="O748" s="68"/>
      <c r="P748" s="68"/>
      <c r="Q748" s="68"/>
      <c r="R748" s="68"/>
      <c r="S748" s="68"/>
    </row>
    <row r="749" spans="1:19" ht="15.75" customHeight="1">
      <c r="A749" s="68"/>
      <c r="B749" s="68"/>
      <c r="D749" s="68"/>
      <c r="E749" s="69"/>
      <c r="O749" s="68"/>
      <c r="P749" s="68"/>
      <c r="Q749" s="68"/>
      <c r="R749" s="68"/>
      <c r="S749" s="68"/>
    </row>
    <row r="750" spans="1:19" ht="15.75" customHeight="1">
      <c r="A750" s="68"/>
      <c r="B750" s="68"/>
      <c r="D750" s="68"/>
      <c r="E750" s="69"/>
      <c r="O750" s="68"/>
      <c r="P750" s="68"/>
      <c r="Q750" s="68"/>
      <c r="R750" s="68"/>
      <c r="S750" s="68"/>
    </row>
    <row r="751" spans="1:19" ht="15.75" customHeight="1">
      <c r="A751" s="68"/>
      <c r="B751" s="68"/>
      <c r="D751" s="68"/>
      <c r="E751" s="69"/>
      <c r="O751" s="68"/>
      <c r="P751" s="68"/>
      <c r="Q751" s="68"/>
      <c r="R751" s="68"/>
      <c r="S751" s="68"/>
    </row>
    <row r="752" spans="1:19" ht="15.75" customHeight="1">
      <c r="A752" s="68"/>
      <c r="B752" s="68"/>
      <c r="D752" s="68"/>
      <c r="E752" s="69"/>
      <c r="O752" s="68"/>
      <c r="P752" s="68"/>
      <c r="Q752" s="68"/>
      <c r="R752" s="68"/>
      <c r="S752" s="68"/>
    </row>
    <row r="753" spans="1:19" ht="15.75" customHeight="1">
      <c r="A753" s="68"/>
      <c r="B753" s="68"/>
      <c r="D753" s="68"/>
      <c r="E753" s="69"/>
      <c r="O753" s="68"/>
      <c r="P753" s="68"/>
      <c r="Q753" s="68"/>
      <c r="R753" s="68"/>
      <c r="S753" s="68"/>
    </row>
    <row r="754" spans="1:19" ht="15.75" customHeight="1">
      <c r="A754" s="68"/>
      <c r="B754" s="68"/>
      <c r="D754" s="68"/>
      <c r="E754" s="69"/>
      <c r="O754" s="68"/>
      <c r="P754" s="68"/>
      <c r="Q754" s="68"/>
      <c r="R754" s="68"/>
      <c r="S754" s="68"/>
    </row>
    <row r="755" spans="1:19" ht="15.75" customHeight="1">
      <c r="A755" s="68"/>
      <c r="B755" s="68"/>
      <c r="D755" s="68"/>
      <c r="E755" s="69"/>
      <c r="O755" s="68"/>
      <c r="P755" s="68"/>
      <c r="Q755" s="68"/>
      <c r="R755" s="68"/>
      <c r="S755" s="68"/>
    </row>
    <row r="756" spans="1:19" ht="15.75" customHeight="1">
      <c r="A756" s="68"/>
      <c r="B756" s="68"/>
      <c r="D756" s="68"/>
      <c r="E756" s="69"/>
      <c r="O756" s="68"/>
      <c r="P756" s="68"/>
      <c r="Q756" s="68"/>
      <c r="R756" s="68"/>
      <c r="S756" s="68"/>
    </row>
    <row r="757" spans="1:19" ht="15.75" customHeight="1">
      <c r="A757" s="68"/>
      <c r="B757" s="68"/>
      <c r="D757" s="68"/>
      <c r="E757" s="69"/>
      <c r="O757" s="68"/>
      <c r="P757" s="68"/>
      <c r="Q757" s="68"/>
      <c r="R757" s="68"/>
      <c r="S757" s="68"/>
    </row>
    <row r="758" spans="1:19" ht="15.75" customHeight="1">
      <c r="A758" s="68"/>
      <c r="B758" s="68"/>
      <c r="D758" s="68"/>
      <c r="E758" s="69"/>
      <c r="O758" s="68"/>
      <c r="P758" s="68"/>
      <c r="Q758" s="68"/>
      <c r="R758" s="68"/>
      <c r="S758" s="68"/>
    </row>
    <row r="759" spans="1:19" ht="15.75" customHeight="1">
      <c r="A759" s="68"/>
      <c r="B759" s="68"/>
      <c r="D759" s="68"/>
      <c r="E759" s="69"/>
      <c r="O759" s="68"/>
      <c r="P759" s="68"/>
      <c r="Q759" s="68"/>
      <c r="R759" s="68"/>
      <c r="S759" s="68"/>
    </row>
    <row r="760" spans="1:19" ht="15.75" customHeight="1">
      <c r="A760" s="68"/>
      <c r="B760" s="68"/>
      <c r="D760" s="68"/>
      <c r="E760" s="69"/>
      <c r="O760" s="68"/>
      <c r="P760" s="68"/>
      <c r="Q760" s="68"/>
      <c r="R760" s="68"/>
      <c r="S760" s="68"/>
    </row>
    <row r="761" spans="1:19" ht="15.75" customHeight="1">
      <c r="A761" s="68"/>
      <c r="B761" s="68"/>
      <c r="D761" s="68"/>
      <c r="E761" s="69"/>
      <c r="O761" s="68"/>
      <c r="P761" s="68"/>
      <c r="Q761" s="68"/>
      <c r="R761" s="68"/>
      <c r="S761" s="68"/>
    </row>
    <row r="762" spans="1:19" ht="15.75" customHeight="1">
      <c r="A762" s="68"/>
      <c r="B762" s="68"/>
      <c r="D762" s="68"/>
      <c r="E762" s="69"/>
      <c r="O762" s="68"/>
      <c r="P762" s="68"/>
      <c r="Q762" s="68"/>
      <c r="R762" s="68"/>
      <c r="S762" s="68"/>
    </row>
    <row r="763" spans="1:19" ht="15.75" customHeight="1">
      <c r="A763" s="68"/>
      <c r="B763" s="68"/>
      <c r="D763" s="68"/>
      <c r="E763" s="69"/>
      <c r="O763" s="68"/>
      <c r="P763" s="68"/>
      <c r="Q763" s="68"/>
      <c r="R763" s="68"/>
      <c r="S763" s="68"/>
    </row>
    <row r="764" spans="1:19" ht="15.75" customHeight="1">
      <c r="A764" s="68"/>
      <c r="B764" s="68"/>
      <c r="D764" s="68"/>
      <c r="E764" s="69"/>
      <c r="O764" s="68"/>
      <c r="P764" s="68"/>
      <c r="Q764" s="68"/>
      <c r="R764" s="68"/>
      <c r="S764" s="68"/>
    </row>
    <row r="765" spans="1:19" ht="15.75" customHeight="1">
      <c r="A765" s="68"/>
      <c r="B765" s="68"/>
      <c r="D765" s="68"/>
      <c r="E765" s="69"/>
      <c r="O765" s="68"/>
      <c r="P765" s="68"/>
      <c r="Q765" s="68"/>
      <c r="R765" s="68"/>
      <c r="S765" s="68"/>
    </row>
    <row r="766" spans="1:19" ht="15.75" customHeight="1">
      <c r="A766" s="68"/>
      <c r="B766" s="68"/>
      <c r="D766" s="68"/>
      <c r="E766" s="69"/>
      <c r="O766" s="68"/>
      <c r="P766" s="68"/>
      <c r="Q766" s="68"/>
      <c r="R766" s="68"/>
      <c r="S766" s="68"/>
    </row>
    <row r="767" spans="1:19" ht="15.75" customHeight="1">
      <c r="A767" s="68"/>
      <c r="B767" s="68"/>
      <c r="D767" s="68"/>
      <c r="E767" s="69"/>
      <c r="O767" s="68"/>
      <c r="P767" s="68"/>
      <c r="Q767" s="68"/>
      <c r="R767" s="68"/>
      <c r="S767" s="68"/>
    </row>
    <row r="768" spans="1:19" ht="15.75" customHeight="1">
      <c r="A768" s="68"/>
      <c r="B768" s="68"/>
      <c r="D768" s="68"/>
      <c r="E768" s="69"/>
      <c r="O768" s="68"/>
      <c r="P768" s="68"/>
      <c r="Q768" s="68"/>
      <c r="R768" s="68"/>
      <c r="S768" s="68"/>
    </row>
    <row r="769" spans="1:19" ht="15.75" customHeight="1">
      <c r="A769" s="68"/>
      <c r="B769" s="68"/>
      <c r="D769" s="68"/>
      <c r="E769" s="69"/>
      <c r="O769" s="68"/>
      <c r="P769" s="68"/>
      <c r="Q769" s="68"/>
      <c r="R769" s="68"/>
      <c r="S769" s="68"/>
    </row>
    <row r="770" spans="1:19" ht="15.75" customHeight="1">
      <c r="A770" s="68"/>
      <c r="B770" s="68"/>
      <c r="D770" s="68"/>
      <c r="E770" s="69"/>
      <c r="O770" s="68"/>
      <c r="P770" s="68"/>
      <c r="Q770" s="68"/>
      <c r="R770" s="68"/>
      <c r="S770" s="68"/>
    </row>
    <row r="771" spans="1:19" ht="15.75" customHeight="1">
      <c r="A771" s="68"/>
      <c r="B771" s="68"/>
      <c r="D771" s="68"/>
      <c r="E771" s="69"/>
      <c r="O771" s="68"/>
      <c r="P771" s="68"/>
      <c r="Q771" s="68"/>
      <c r="R771" s="68"/>
      <c r="S771" s="68"/>
    </row>
    <row r="772" spans="1:19" ht="15.75" customHeight="1">
      <c r="A772" s="68"/>
      <c r="B772" s="68"/>
      <c r="D772" s="68"/>
      <c r="E772" s="69"/>
      <c r="O772" s="68"/>
      <c r="P772" s="68"/>
      <c r="Q772" s="68"/>
      <c r="R772" s="68"/>
      <c r="S772" s="68"/>
    </row>
    <row r="773" spans="1:19" ht="15.75" customHeight="1">
      <c r="A773" s="68"/>
      <c r="B773" s="68"/>
      <c r="D773" s="68"/>
      <c r="E773" s="69"/>
      <c r="O773" s="68"/>
      <c r="P773" s="68"/>
      <c r="Q773" s="68"/>
      <c r="R773" s="68"/>
      <c r="S773" s="68"/>
    </row>
    <row r="774" spans="1:19" ht="15.75" customHeight="1">
      <c r="A774" s="68"/>
      <c r="B774" s="68"/>
      <c r="D774" s="68"/>
      <c r="E774" s="69"/>
      <c r="O774" s="68"/>
      <c r="P774" s="68"/>
      <c r="Q774" s="68"/>
      <c r="R774" s="68"/>
      <c r="S774" s="68"/>
    </row>
    <row r="775" spans="1:19" ht="15.75" customHeight="1">
      <c r="A775" s="68"/>
      <c r="B775" s="68"/>
      <c r="D775" s="68"/>
      <c r="E775" s="69"/>
      <c r="O775" s="68"/>
      <c r="P775" s="68"/>
      <c r="Q775" s="68"/>
      <c r="R775" s="68"/>
      <c r="S775" s="68"/>
    </row>
    <row r="776" spans="1:19" ht="15.75" customHeight="1">
      <c r="A776" s="68"/>
      <c r="B776" s="68"/>
      <c r="D776" s="68"/>
      <c r="E776" s="69"/>
      <c r="O776" s="68"/>
      <c r="P776" s="68"/>
      <c r="Q776" s="68"/>
      <c r="R776" s="68"/>
      <c r="S776" s="68"/>
    </row>
    <row r="777" spans="1:19" ht="15.75" customHeight="1">
      <c r="A777" s="68"/>
      <c r="B777" s="68"/>
      <c r="D777" s="68"/>
      <c r="E777" s="69"/>
      <c r="O777" s="68"/>
      <c r="P777" s="68"/>
      <c r="Q777" s="68"/>
      <c r="R777" s="68"/>
      <c r="S777" s="68"/>
    </row>
    <row r="778" spans="1:19" ht="15.75" customHeight="1">
      <c r="A778" s="68"/>
      <c r="B778" s="68"/>
      <c r="D778" s="68"/>
      <c r="E778" s="69"/>
      <c r="O778" s="68"/>
      <c r="P778" s="68"/>
      <c r="Q778" s="68"/>
      <c r="R778" s="68"/>
      <c r="S778" s="68"/>
    </row>
    <row r="779" spans="1:19" ht="15.75" customHeight="1">
      <c r="A779" s="68"/>
      <c r="B779" s="68"/>
      <c r="D779" s="68"/>
      <c r="E779" s="69"/>
      <c r="O779" s="68"/>
      <c r="P779" s="68"/>
      <c r="Q779" s="68"/>
      <c r="R779" s="68"/>
      <c r="S779" s="68"/>
    </row>
    <row r="780" spans="1:19" ht="15.75" customHeight="1">
      <c r="A780" s="68"/>
      <c r="B780" s="68"/>
      <c r="D780" s="68"/>
      <c r="E780" s="69"/>
      <c r="O780" s="68"/>
      <c r="P780" s="68"/>
      <c r="Q780" s="68"/>
      <c r="R780" s="68"/>
      <c r="S780" s="68"/>
    </row>
    <row r="781" spans="1:19" ht="15.75" customHeight="1">
      <c r="A781" s="68"/>
      <c r="B781" s="68"/>
      <c r="D781" s="68"/>
      <c r="E781" s="69"/>
      <c r="O781" s="68"/>
      <c r="P781" s="68"/>
      <c r="Q781" s="68"/>
      <c r="R781" s="68"/>
      <c r="S781" s="68"/>
    </row>
    <row r="782" spans="1:19" ht="15.75" customHeight="1">
      <c r="A782" s="68"/>
      <c r="B782" s="68"/>
      <c r="D782" s="68"/>
      <c r="E782" s="69"/>
      <c r="O782" s="68"/>
      <c r="P782" s="68"/>
      <c r="Q782" s="68"/>
      <c r="R782" s="68"/>
      <c r="S782" s="68"/>
    </row>
    <row r="783" spans="1:19" ht="15.75" customHeight="1">
      <c r="A783" s="68"/>
      <c r="B783" s="68"/>
      <c r="D783" s="68"/>
      <c r="E783" s="69"/>
      <c r="O783" s="68"/>
      <c r="P783" s="68"/>
      <c r="Q783" s="68"/>
      <c r="R783" s="68"/>
      <c r="S783" s="68"/>
    </row>
    <row r="784" spans="1:19" ht="15.75" customHeight="1">
      <c r="A784" s="68"/>
      <c r="B784" s="68"/>
      <c r="D784" s="68"/>
      <c r="E784" s="69"/>
      <c r="O784" s="68"/>
      <c r="P784" s="68"/>
      <c r="Q784" s="68"/>
      <c r="R784" s="68"/>
      <c r="S784" s="68"/>
    </row>
    <row r="785" spans="1:19" ht="15.75" customHeight="1">
      <c r="A785" s="68"/>
      <c r="B785" s="68"/>
      <c r="D785" s="68"/>
      <c r="E785" s="69"/>
      <c r="O785" s="68"/>
      <c r="P785" s="68"/>
      <c r="Q785" s="68"/>
      <c r="R785" s="68"/>
      <c r="S785" s="68"/>
    </row>
    <row r="786" spans="1:19" ht="15.75" customHeight="1">
      <c r="A786" s="68"/>
      <c r="B786" s="68"/>
      <c r="D786" s="68"/>
      <c r="E786" s="69"/>
      <c r="O786" s="68"/>
      <c r="P786" s="68"/>
      <c r="Q786" s="68"/>
      <c r="R786" s="68"/>
      <c r="S786" s="68"/>
    </row>
    <row r="787" spans="1:19" ht="15.75" customHeight="1">
      <c r="A787" s="68"/>
      <c r="B787" s="68"/>
      <c r="D787" s="68"/>
      <c r="E787" s="69"/>
      <c r="O787" s="68"/>
      <c r="P787" s="68"/>
      <c r="Q787" s="68"/>
      <c r="R787" s="68"/>
      <c r="S787" s="68"/>
    </row>
    <row r="788" spans="1:19" ht="15.75" customHeight="1">
      <c r="A788" s="68"/>
      <c r="B788" s="68"/>
      <c r="D788" s="68"/>
      <c r="E788" s="69"/>
      <c r="O788" s="68"/>
      <c r="P788" s="68"/>
      <c r="Q788" s="68"/>
      <c r="R788" s="68"/>
      <c r="S788" s="68"/>
    </row>
    <row r="789" spans="1:19" ht="15.75" customHeight="1">
      <c r="A789" s="68"/>
      <c r="B789" s="68"/>
      <c r="D789" s="68"/>
      <c r="E789" s="69"/>
      <c r="O789" s="68"/>
      <c r="P789" s="68"/>
      <c r="Q789" s="68"/>
      <c r="R789" s="68"/>
      <c r="S789" s="68"/>
    </row>
    <row r="790" spans="1:19" ht="15.75" customHeight="1">
      <c r="A790" s="68"/>
      <c r="B790" s="68"/>
      <c r="D790" s="68"/>
      <c r="E790" s="69"/>
      <c r="O790" s="68"/>
      <c r="P790" s="68"/>
      <c r="Q790" s="68"/>
      <c r="R790" s="68"/>
      <c r="S790" s="68"/>
    </row>
    <row r="791" spans="1:19" ht="15.75" customHeight="1">
      <c r="A791" s="68"/>
      <c r="B791" s="68"/>
      <c r="D791" s="68"/>
      <c r="E791" s="69"/>
      <c r="O791" s="68"/>
      <c r="P791" s="68"/>
      <c r="Q791" s="68"/>
      <c r="R791" s="68"/>
      <c r="S791" s="68"/>
    </row>
    <row r="792" spans="1:19" ht="15.75" customHeight="1">
      <c r="A792" s="68"/>
      <c r="B792" s="68"/>
      <c r="D792" s="68"/>
      <c r="E792" s="69"/>
      <c r="O792" s="68"/>
      <c r="P792" s="68"/>
      <c r="Q792" s="68"/>
      <c r="R792" s="68"/>
      <c r="S792" s="68"/>
    </row>
    <row r="793" spans="1:19" ht="15.75" customHeight="1">
      <c r="A793" s="68"/>
      <c r="B793" s="68"/>
      <c r="D793" s="68"/>
      <c r="E793" s="69"/>
      <c r="O793" s="68"/>
      <c r="P793" s="68"/>
      <c r="Q793" s="68"/>
      <c r="R793" s="68"/>
      <c r="S793" s="68"/>
    </row>
    <row r="794" spans="1:19" ht="15.75" customHeight="1">
      <c r="A794" s="68"/>
      <c r="B794" s="68"/>
      <c r="D794" s="68"/>
      <c r="E794" s="69"/>
      <c r="O794" s="68"/>
      <c r="P794" s="68"/>
      <c r="Q794" s="68"/>
      <c r="R794" s="68"/>
      <c r="S794" s="68"/>
    </row>
    <row r="795" spans="1:19" ht="15.75" customHeight="1">
      <c r="A795" s="68"/>
      <c r="B795" s="68"/>
      <c r="D795" s="68"/>
      <c r="E795" s="69"/>
      <c r="O795" s="68"/>
      <c r="P795" s="68"/>
      <c r="Q795" s="68"/>
      <c r="R795" s="68"/>
      <c r="S795" s="68"/>
    </row>
    <row r="796" spans="1:19" ht="15.75" customHeight="1">
      <c r="A796" s="68"/>
      <c r="B796" s="68"/>
      <c r="D796" s="68"/>
      <c r="E796" s="69"/>
      <c r="O796" s="68"/>
      <c r="P796" s="68"/>
      <c r="Q796" s="68"/>
      <c r="R796" s="68"/>
      <c r="S796" s="68"/>
    </row>
    <row r="797" spans="1:19" ht="15.75" customHeight="1">
      <c r="A797" s="68"/>
      <c r="B797" s="68"/>
      <c r="D797" s="68"/>
      <c r="E797" s="69"/>
      <c r="O797" s="68"/>
      <c r="P797" s="68"/>
      <c r="Q797" s="68"/>
      <c r="R797" s="68"/>
      <c r="S797" s="68"/>
    </row>
    <row r="798" spans="1:19" ht="15.75" customHeight="1">
      <c r="A798" s="68"/>
      <c r="B798" s="68"/>
      <c r="D798" s="68"/>
      <c r="E798" s="69"/>
      <c r="O798" s="68"/>
      <c r="P798" s="68"/>
      <c r="Q798" s="68"/>
      <c r="R798" s="68"/>
      <c r="S798" s="68"/>
    </row>
    <row r="799" spans="1:19" ht="15.75" customHeight="1">
      <c r="A799" s="68"/>
      <c r="B799" s="68"/>
      <c r="D799" s="68"/>
      <c r="E799" s="69"/>
      <c r="O799" s="68"/>
      <c r="P799" s="68"/>
      <c r="Q799" s="68"/>
      <c r="R799" s="68"/>
      <c r="S799" s="68"/>
    </row>
    <row r="800" spans="1:19" ht="15.75" customHeight="1">
      <c r="A800" s="68"/>
      <c r="B800" s="68"/>
      <c r="D800" s="68"/>
      <c r="E800" s="69"/>
      <c r="O800" s="68"/>
      <c r="P800" s="68"/>
      <c r="Q800" s="68"/>
      <c r="R800" s="68"/>
      <c r="S800" s="68"/>
    </row>
    <row r="801" spans="1:19" ht="15.75" customHeight="1">
      <c r="A801" s="68"/>
      <c r="B801" s="68"/>
      <c r="D801" s="68"/>
      <c r="E801" s="69"/>
      <c r="O801" s="68"/>
      <c r="P801" s="68"/>
      <c r="Q801" s="68"/>
      <c r="R801" s="68"/>
      <c r="S801" s="68"/>
    </row>
    <row r="802" spans="1:19" ht="15.75" customHeight="1">
      <c r="A802" s="68"/>
      <c r="B802" s="68"/>
      <c r="D802" s="68"/>
      <c r="E802" s="69"/>
      <c r="O802" s="68"/>
      <c r="P802" s="68"/>
      <c r="Q802" s="68"/>
      <c r="R802" s="68"/>
      <c r="S802" s="68"/>
    </row>
    <row r="803" spans="1:19" ht="15.75" customHeight="1">
      <c r="A803" s="68"/>
      <c r="B803" s="68"/>
      <c r="D803" s="68"/>
      <c r="E803" s="69"/>
      <c r="O803" s="68"/>
      <c r="P803" s="68"/>
      <c r="Q803" s="68"/>
      <c r="R803" s="68"/>
      <c r="S803" s="68"/>
    </row>
    <row r="804" spans="1:19" ht="15.75" customHeight="1">
      <c r="A804" s="68"/>
      <c r="B804" s="68"/>
      <c r="D804" s="68"/>
      <c r="E804" s="69"/>
      <c r="O804" s="68"/>
      <c r="P804" s="68"/>
      <c r="Q804" s="68"/>
      <c r="R804" s="68"/>
      <c r="S804" s="68"/>
    </row>
    <row r="805" spans="1:19" ht="15.75" customHeight="1">
      <c r="A805" s="68"/>
      <c r="B805" s="68"/>
      <c r="D805" s="68"/>
      <c r="E805" s="69"/>
      <c r="O805" s="68"/>
      <c r="P805" s="68"/>
      <c r="Q805" s="68"/>
      <c r="R805" s="68"/>
      <c r="S805" s="68"/>
    </row>
    <row r="806" spans="1:19" ht="15.75" customHeight="1">
      <c r="A806" s="68"/>
      <c r="B806" s="68"/>
      <c r="D806" s="68"/>
      <c r="E806" s="69"/>
      <c r="O806" s="68"/>
      <c r="P806" s="68"/>
      <c r="Q806" s="68"/>
      <c r="R806" s="68"/>
      <c r="S806" s="68"/>
    </row>
    <row r="807" spans="1:19" ht="15.75" customHeight="1">
      <c r="A807" s="68"/>
      <c r="B807" s="68"/>
      <c r="D807" s="68"/>
      <c r="E807" s="69"/>
      <c r="O807" s="68"/>
      <c r="P807" s="68"/>
      <c r="Q807" s="68"/>
      <c r="R807" s="68"/>
      <c r="S807" s="68"/>
    </row>
    <row r="808" spans="1:19" ht="15.75" customHeight="1">
      <c r="A808" s="68"/>
      <c r="B808" s="68"/>
      <c r="D808" s="68"/>
      <c r="E808" s="69"/>
      <c r="O808" s="68"/>
      <c r="P808" s="68"/>
      <c r="Q808" s="68"/>
      <c r="R808" s="68"/>
      <c r="S808" s="68"/>
    </row>
    <row r="809" spans="1:19" ht="15.75" customHeight="1">
      <c r="A809" s="68"/>
      <c r="B809" s="68"/>
      <c r="D809" s="68"/>
      <c r="E809" s="69"/>
      <c r="O809" s="68"/>
      <c r="P809" s="68"/>
      <c r="Q809" s="68"/>
      <c r="R809" s="68"/>
      <c r="S809" s="68"/>
    </row>
    <row r="810" spans="1:19" ht="15.75" customHeight="1">
      <c r="A810" s="68"/>
      <c r="B810" s="68"/>
      <c r="D810" s="68"/>
      <c r="E810" s="69"/>
      <c r="O810" s="68"/>
      <c r="P810" s="68"/>
      <c r="Q810" s="68"/>
      <c r="R810" s="68"/>
      <c r="S810" s="68"/>
    </row>
    <row r="811" spans="1:19" ht="15.75" customHeight="1">
      <c r="A811" s="68"/>
      <c r="B811" s="68"/>
      <c r="D811" s="68"/>
      <c r="E811" s="69"/>
      <c r="O811" s="68"/>
      <c r="P811" s="68"/>
      <c r="Q811" s="68"/>
      <c r="R811" s="68"/>
      <c r="S811" s="68"/>
    </row>
    <row r="812" spans="1:19" ht="15.75" customHeight="1">
      <c r="A812" s="68"/>
      <c r="B812" s="68"/>
      <c r="D812" s="68"/>
      <c r="E812" s="69"/>
      <c r="O812" s="68"/>
      <c r="P812" s="68"/>
      <c r="Q812" s="68"/>
      <c r="R812" s="68"/>
      <c r="S812" s="68"/>
    </row>
    <row r="813" spans="1:19" ht="15.75" customHeight="1">
      <c r="A813" s="68"/>
      <c r="B813" s="68"/>
      <c r="D813" s="68"/>
      <c r="E813" s="69"/>
      <c r="O813" s="68"/>
      <c r="P813" s="68"/>
      <c r="Q813" s="68"/>
      <c r="R813" s="68"/>
      <c r="S813" s="68"/>
    </row>
    <row r="814" spans="1:19" ht="15.75" customHeight="1">
      <c r="A814" s="68"/>
      <c r="B814" s="68"/>
      <c r="D814" s="68"/>
      <c r="E814" s="69"/>
      <c r="O814" s="68"/>
      <c r="P814" s="68"/>
      <c r="Q814" s="68"/>
      <c r="R814" s="68"/>
      <c r="S814" s="68"/>
    </row>
    <row r="815" spans="1:19" ht="15.75" customHeight="1">
      <c r="A815" s="68"/>
      <c r="B815" s="68"/>
      <c r="D815" s="68"/>
      <c r="E815" s="69"/>
      <c r="O815" s="68"/>
      <c r="P815" s="68"/>
      <c r="Q815" s="68"/>
      <c r="R815" s="68"/>
      <c r="S815" s="68"/>
    </row>
    <row r="816" spans="1:19" ht="15.75" customHeight="1">
      <c r="A816" s="68"/>
      <c r="B816" s="68"/>
      <c r="D816" s="68"/>
      <c r="E816" s="69"/>
      <c r="O816" s="68"/>
      <c r="P816" s="68"/>
      <c r="Q816" s="68"/>
      <c r="R816" s="68"/>
      <c r="S816" s="68"/>
    </row>
    <row r="817" spans="1:19" ht="15.75" customHeight="1">
      <c r="A817" s="68"/>
      <c r="B817" s="68"/>
      <c r="D817" s="68"/>
      <c r="E817" s="69"/>
      <c r="O817" s="68"/>
      <c r="P817" s="68"/>
      <c r="Q817" s="68"/>
      <c r="R817" s="68"/>
      <c r="S817" s="68"/>
    </row>
    <row r="818" spans="1:19" ht="15.75" customHeight="1">
      <c r="A818" s="68"/>
      <c r="B818" s="68"/>
      <c r="D818" s="68"/>
      <c r="E818" s="69"/>
      <c r="O818" s="68"/>
      <c r="P818" s="68"/>
      <c r="Q818" s="68"/>
      <c r="R818" s="68"/>
      <c r="S818" s="68"/>
    </row>
    <row r="819" spans="1:19" ht="15.75" customHeight="1">
      <c r="A819" s="68"/>
      <c r="B819" s="68"/>
      <c r="D819" s="68"/>
      <c r="E819" s="69"/>
      <c r="O819" s="68"/>
      <c r="P819" s="68"/>
      <c r="Q819" s="68"/>
      <c r="R819" s="68"/>
      <c r="S819" s="68"/>
    </row>
    <row r="820" spans="1:19" ht="15.75" customHeight="1">
      <c r="A820" s="68"/>
      <c r="B820" s="68"/>
      <c r="D820" s="68"/>
      <c r="E820" s="69"/>
      <c r="O820" s="68"/>
      <c r="P820" s="68"/>
      <c r="Q820" s="68"/>
      <c r="R820" s="68"/>
      <c r="S820" s="68"/>
    </row>
    <row r="821" spans="1:19" ht="15.75" customHeight="1">
      <c r="A821" s="68"/>
      <c r="B821" s="68"/>
      <c r="D821" s="68"/>
      <c r="E821" s="69"/>
      <c r="O821" s="68"/>
      <c r="P821" s="68"/>
      <c r="Q821" s="68"/>
      <c r="R821" s="68"/>
      <c r="S821" s="68"/>
    </row>
    <row r="822" spans="1:19" ht="15.75" customHeight="1">
      <c r="A822" s="68"/>
      <c r="B822" s="68"/>
      <c r="D822" s="68"/>
      <c r="E822" s="69"/>
      <c r="O822" s="68"/>
      <c r="P822" s="68"/>
      <c r="Q822" s="68"/>
      <c r="R822" s="68"/>
      <c r="S822" s="68"/>
    </row>
    <row r="823" spans="1:19" ht="15.75" customHeight="1">
      <c r="A823" s="68"/>
      <c r="B823" s="68"/>
      <c r="D823" s="68"/>
      <c r="E823" s="69"/>
      <c r="O823" s="68"/>
      <c r="P823" s="68"/>
      <c r="Q823" s="68"/>
      <c r="R823" s="68"/>
      <c r="S823" s="68"/>
    </row>
    <row r="824" spans="1:19" ht="15.75" customHeight="1">
      <c r="A824" s="68"/>
      <c r="B824" s="68"/>
      <c r="D824" s="68"/>
      <c r="E824" s="69"/>
      <c r="O824" s="68"/>
      <c r="P824" s="68"/>
      <c r="Q824" s="68"/>
      <c r="R824" s="68"/>
      <c r="S824" s="68"/>
    </row>
    <row r="825" spans="1:19" ht="15.75" customHeight="1">
      <c r="A825" s="68"/>
      <c r="B825" s="68"/>
      <c r="D825" s="68"/>
      <c r="E825" s="69"/>
      <c r="O825" s="68"/>
      <c r="P825" s="68"/>
      <c r="Q825" s="68"/>
      <c r="R825" s="68"/>
      <c r="S825" s="68"/>
    </row>
    <row r="826" spans="1:19" ht="15.75" customHeight="1">
      <c r="A826" s="68"/>
      <c r="B826" s="68"/>
      <c r="D826" s="68"/>
      <c r="E826" s="69"/>
      <c r="O826" s="68"/>
      <c r="P826" s="68"/>
      <c r="Q826" s="68"/>
      <c r="R826" s="68"/>
      <c r="S826" s="68"/>
    </row>
    <row r="827" spans="1:19" ht="15.75" customHeight="1">
      <c r="A827" s="68"/>
      <c r="B827" s="68"/>
      <c r="D827" s="68"/>
      <c r="E827" s="69"/>
      <c r="O827" s="68"/>
      <c r="P827" s="68"/>
      <c r="Q827" s="68"/>
      <c r="R827" s="68"/>
      <c r="S827" s="68"/>
    </row>
    <row r="828" spans="1:19" ht="15.75" customHeight="1">
      <c r="A828" s="68"/>
      <c r="B828" s="68"/>
      <c r="D828" s="68"/>
      <c r="E828" s="69"/>
      <c r="O828" s="68"/>
      <c r="P828" s="68"/>
      <c r="Q828" s="68"/>
      <c r="R828" s="68"/>
      <c r="S828" s="68"/>
    </row>
    <row r="829" spans="1:19" ht="15.75" customHeight="1">
      <c r="A829" s="68"/>
      <c r="B829" s="68"/>
      <c r="D829" s="68"/>
      <c r="E829" s="69"/>
      <c r="O829" s="68"/>
      <c r="P829" s="68"/>
      <c r="Q829" s="68"/>
      <c r="R829" s="68"/>
      <c r="S829" s="68"/>
    </row>
    <row r="830" spans="1:19" ht="15.75" customHeight="1">
      <c r="A830" s="68"/>
      <c r="B830" s="68"/>
      <c r="D830" s="68"/>
      <c r="E830" s="69"/>
      <c r="O830" s="68"/>
      <c r="P830" s="68"/>
      <c r="Q830" s="68"/>
      <c r="R830" s="68"/>
      <c r="S830" s="68"/>
    </row>
    <row r="831" spans="1:19" ht="15.75" customHeight="1">
      <c r="A831" s="68"/>
      <c r="B831" s="68"/>
      <c r="D831" s="68"/>
      <c r="E831" s="69"/>
      <c r="O831" s="68"/>
      <c r="P831" s="68"/>
      <c r="Q831" s="68"/>
      <c r="R831" s="68"/>
      <c r="S831" s="68"/>
    </row>
    <row r="832" spans="1:19" ht="15.75" customHeight="1">
      <c r="A832" s="68"/>
      <c r="B832" s="68"/>
      <c r="D832" s="68"/>
      <c r="E832" s="69"/>
      <c r="O832" s="68"/>
      <c r="P832" s="68"/>
      <c r="Q832" s="68"/>
      <c r="R832" s="68"/>
      <c r="S832" s="68"/>
    </row>
    <row r="833" spans="1:19" ht="15.75" customHeight="1">
      <c r="A833" s="68"/>
      <c r="B833" s="68"/>
      <c r="D833" s="68"/>
      <c r="E833" s="69"/>
      <c r="O833" s="68"/>
      <c r="P833" s="68"/>
      <c r="Q833" s="68"/>
      <c r="R833" s="68"/>
      <c r="S833" s="68"/>
    </row>
    <row r="834" spans="1:19" ht="15.75" customHeight="1">
      <c r="A834" s="68"/>
      <c r="B834" s="68"/>
      <c r="D834" s="68"/>
      <c r="E834" s="69"/>
      <c r="O834" s="68"/>
      <c r="P834" s="68"/>
      <c r="Q834" s="68"/>
      <c r="R834" s="68"/>
      <c r="S834" s="68"/>
    </row>
    <row r="835" spans="1:19" ht="15.75" customHeight="1">
      <c r="A835" s="68"/>
      <c r="B835" s="68"/>
      <c r="D835" s="68"/>
      <c r="E835" s="69"/>
      <c r="O835" s="68"/>
      <c r="P835" s="68"/>
      <c r="Q835" s="68"/>
      <c r="R835" s="68"/>
      <c r="S835" s="68"/>
    </row>
    <row r="836" spans="1:19" ht="15.75" customHeight="1">
      <c r="A836" s="68"/>
      <c r="B836" s="68"/>
      <c r="D836" s="68"/>
      <c r="E836" s="69"/>
      <c r="O836" s="68"/>
      <c r="P836" s="68"/>
      <c r="Q836" s="68"/>
      <c r="R836" s="68"/>
      <c r="S836" s="68"/>
    </row>
    <row r="837" spans="1:19" ht="15.75" customHeight="1">
      <c r="A837" s="68"/>
      <c r="B837" s="68"/>
      <c r="D837" s="68"/>
      <c r="E837" s="69"/>
      <c r="O837" s="68"/>
      <c r="P837" s="68"/>
      <c r="Q837" s="68"/>
      <c r="R837" s="68"/>
      <c r="S837" s="68"/>
    </row>
    <row r="838" spans="1:19" ht="15.75" customHeight="1">
      <c r="A838" s="68"/>
      <c r="B838" s="68"/>
      <c r="D838" s="68"/>
      <c r="E838" s="69"/>
      <c r="O838" s="68"/>
      <c r="P838" s="68"/>
      <c r="Q838" s="68"/>
      <c r="R838" s="68"/>
      <c r="S838" s="68"/>
    </row>
    <row r="839" spans="1:19" ht="15.75" customHeight="1">
      <c r="A839" s="68"/>
      <c r="B839" s="68"/>
      <c r="D839" s="68"/>
      <c r="E839" s="69"/>
      <c r="O839" s="68"/>
      <c r="P839" s="68"/>
      <c r="Q839" s="68"/>
      <c r="R839" s="68"/>
      <c r="S839" s="68"/>
    </row>
    <row r="840" spans="1:19" ht="15.75" customHeight="1">
      <c r="A840" s="68"/>
      <c r="B840" s="68"/>
      <c r="D840" s="68"/>
      <c r="E840" s="69"/>
      <c r="O840" s="68"/>
      <c r="P840" s="68"/>
      <c r="Q840" s="68"/>
      <c r="R840" s="68"/>
      <c r="S840" s="68"/>
    </row>
    <row r="841" spans="1:19" ht="15.75" customHeight="1">
      <c r="A841" s="68"/>
      <c r="B841" s="68"/>
      <c r="D841" s="68"/>
      <c r="E841" s="69"/>
      <c r="O841" s="68"/>
      <c r="P841" s="68"/>
      <c r="Q841" s="68"/>
      <c r="R841" s="68"/>
      <c r="S841" s="68"/>
    </row>
    <row r="842" spans="1:19" ht="15.75" customHeight="1">
      <c r="A842" s="68"/>
      <c r="B842" s="68"/>
      <c r="D842" s="68"/>
      <c r="E842" s="69"/>
      <c r="O842" s="68"/>
      <c r="P842" s="68"/>
      <c r="Q842" s="68"/>
      <c r="R842" s="68"/>
      <c r="S842" s="68"/>
    </row>
    <row r="843" spans="1:19" ht="15.75" customHeight="1">
      <c r="A843" s="68"/>
      <c r="B843" s="68"/>
      <c r="D843" s="68"/>
      <c r="E843" s="69"/>
      <c r="O843" s="68"/>
      <c r="P843" s="68"/>
      <c r="Q843" s="68"/>
      <c r="R843" s="68"/>
      <c r="S843" s="68"/>
    </row>
    <row r="844" spans="1:19" ht="15.75" customHeight="1">
      <c r="A844" s="68"/>
      <c r="B844" s="68"/>
      <c r="D844" s="68"/>
      <c r="E844" s="69"/>
      <c r="O844" s="68"/>
      <c r="P844" s="68"/>
      <c r="Q844" s="68"/>
      <c r="R844" s="68"/>
      <c r="S844" s="68"/>
    </row>
    <row r="845" spans="1:19" ht="15.75" customHeight="1">
      <c r="A845" s="68"/>
      <c r="B845" s="68"/>
      <c r="D845" s="68"/>
      <c r="E845" s="69"/>
      <c r="O845" s="68"/>
      <c r="P845" s="68"/>
      <c r="Q845" s="68"/>
      <c r="R845" s="68"/>
      <c r="S845" s="68"/>
    </row>
    <row r="846" spans="1:19" ht="15.75" customHeight="1">
      <c r="A846" s="68"/>
      <c r="B846" s="68"/>
      <c r="D846" s="68"/>
      <c r="E846" s="69"/>
      <c r="O846" s="68"/>
      <c r="P846" s="68"/>
      <c r="Q846" s="68"/>
      <c r="R846" s="68"/>
      <c r="S846" s="68"/>
    </row>
    <row r="847" spans="1:19" ht="15.75" customHeight="1">
      <c r="A847" s="68"/>
      <c r="B847" s="68"/>
      <c r="D847" s="68"/>
      <c r="E847" s="69"/>
      <c r="O847" s="68"/>
      <c r="P847" s="68"/>
      <c r="Q847" s="68"/>
      <c r="R847" s="68"/>
      <c r="S847" s="68"/>
    </row>
    <row r="848" spans="1:19" ht="15.75" customHeight="1">
      <c r="A848" s="68"/>
      <c r="B848" s="68"/>
      <c r="D848" s="68"/>
      <c r="E848" s="69"/>
      <c r="O848" s="68"/>
      <c r="P848" s="68"/>
      <c r="Q848" s="68"/>
      <c r="R848" s="68"/>
      <c r="S848" s="68"/>
    </row>
    <row r="849" spans="1:19" ht="15.75" customHeight="1">
      <c r="A849" s="68"/>
      <c r="B849" s="68"/>
      <c r="D849" s="68"/>
      <c r="E849" s="69"/>
      <c r="O849" s="68"/>
      <c r="P849" s="68"/>
      <c r="Q849" s="68"/>
      <c r="R849" s="68"/>
      <c r="S849" s="68"/>
    </row>
    <row r="850" spans="1:19" ht="15.75" customHeight="1">
      <c r="A850" s="68"/>
      <c r="B850" s="68"/>
      <c r="D850" s="68"/>
      <c r="E850" s="69"/>
      <c r="O850" s="68"/>
      <c r="P850" s="68"/>
      <c r="Q850" s="68"/>
      <c r="R850" s="68"/>
      <c r="S850" s="68"/>
    </row>
    <row r="851" spans="1:19" ht="15.75" customHeight="1">
      <c r="A851" s="68"/>
      <c r="B851" s="68"/>
      <c r="D851" s="68"/>
      <c r="E851" s="69"/>
      <c r="O851" s="68"/>
      <c r="P851" s="68"/>
      <c r="Q851" s="68"/>
      <c r="R851" s="68"/>
      <c r="S851" s="68"/>
    </row>
    <row r="852" spans="1:19" ht="15.75" customHeight="1">
      <c r="A852" s="68"/>
      <c r="B852" s="68"/>
      <c r="D852" s="68"/>
      <c r="E852" s="69"/>
      <c r="O852" s="68"/>
      <c r="P852" s="68"/>
      <c r="Q852" s="68"/>
      <c r="R852" s="68"/>
      <c r="S852" s="68"/>
    </row>
    <row r="853" spans="1:19" ht="15.75" customHeight="1">
      <c r="A853" s="68"/>
      <c r="B853" s="68"/>
      <c r="D853" s="68"/>
      <c r="E853" s="69"/>
      <c r="O853" s="68"/>
      <c r="P853" s="68"/>
      <c r="Q853" s="68"/>
      <c r="R853" s="68"/>
      <c r="S853" s="68"/>
    </row>
    <row r="854" spans="1:19" ht="15.75" customHeight="1">
      <c r="A854" s="68"/>
      <c r="B854" s="68"/>
      <c r="D854" s="68"/>
      <c r="E854" s="69"/>
      <c r="O854" s="68"/>
      <c r="P854" s="68"/>
      <c r="Q854" s="68"/>
      <c r="R854" s="68"/>
      <c r="S854" s="68"/>
    </row>
    <row r="855" spans="1:19" ht="15.75" customHeight="1">
      <c r="A855" s="68"/>
      <c r="B855" s="68"/>
      <c r="D855" s="68"/>
      <c r="E855" s="69"/>
      <c r="O855" s="68"/>
      <c r="P855" s="68"/>
      <c r="Q855" s="68"/>
      <c r="R855" s="68"/>
      <c r="S855" s="68"/>
    </row>
    <row r="856" spans="1:19" ht="15.75" customHeight="1">
      <c r="A856" s="68"/>
      <c r="B856" s="68"/>
      <c r="D856" s="68"/>
      <c r="E856" s="69"/>
      <c r="O856" s="68"/>
      <c r="P856" s="68"/>
      <c r="Q856" s="68"/>
      <c r="R856" s="68"/>
      <c r="S856" s="68"/>
    </row>
    <row r="857" spans="1:19" ht="15.75" customHeight="1">
      <c r="A857" s="68"/>
      <c r="B857" s="68"/>
      <c r="D857" s="68"/>
      <c r="E857" s="69"/>
      <c r="O857" s="68"/>
      <c r="P857" s="68"/>
      <c r="Q857" s="68"/>
      <c r="R857" s="68"/>
      <c r="S857" s="68"/>
    </row>
    <row r="858" spans="1:19" ht="15.75" customHeight="1">
      <c r="A858" s="68"/>
      <c r="B858" s="68"/>
      <c r="D858" s="68"/>
      <c r="E858" s="69"/>
      <c r="O858" s="68"/>
      <c r="P858" s="68"/>
      <c r="Q858" s="68"/>
      <c r="R858" s="68"/>
      <c r="S858" s="68"/>
    </row>
    <row r="859" spans="1:19" ht="15.75" customHeight="1">
      <c r="A859" s="68"/>
      <c r="B859" s="68"/>
      <c r="D859" s="68"/>
      <c r="E859" s="69"/>
      <c r="O859" s="68"/>
      <c r="P859" s="68"/>
      <c r="Q859" s="68"/>
      <c r="R859" s="68"/>
      <c r="S859" s="68"/>
    </row>
    <row r="860" spans="1:19" ht="15.75" customHeight="1">
      <c r="A860" s="68"/>
      <c r="B860" s="68"/>
      <c r="D860" s="68"/>
      <c r="E860" s="69"/>
      <c r="O860" s="68"/>
      <c r="P860" s="68"/>
      <c r="Q860" s="68"/>
      <c r="R860" s="68"/>
      <c r="S860" s="68"/>
    </row>
    <row r="861" spans="1:19" ht="15.75" customHeight="1">
      <c r="A861" s="68"/>
      <c r="B861" s="68"/>
      <c r="D861" s="68"/>
      <c r="E861" s="69"/>
      <c r="O861" s="68"/>
      <c r="P861" s="68"/>
      <c r="Q861" s="68"/>
      <c r="R861" s="68"/>
      <c r="S861" s="68"/>
    </row>
    <row r="862" spans="1:19" ht="15.75" customHeight="1">
      <c r="A862" s="68"/>
      <c r="B862" s="68"/>
      <c r="D862" s="68"/>
      <c r="E862" s="69"/>
      <c r="O862" s="68"/>
      <c r="P862" s="68"/>
      <c r="Q862" s="68"/>
      <c r="R862" s="68"/>
      <c r="S862" s="68"/>
    </row>
    <row r="863" spans="1:19" ht="15.75" customHeight="1">
      <c r="A863" s="68"/>
      <c r="B863" s="68"/>
      <c r="D863" s="68"/>
      <c r="E863" s="69"/>
      <c r="O863" s="68"/>
      <c r="P863" s="68"/>
      <c r="Q863" s="68"/>
      <c r="R863" s="68"/>
      <c r="S863" s="68"/>
    </row>
    <row r="864" spans="1:19" ht="15.75" customHeight="1">
      <c r="A864" s="68"/>
      <c r="B864" s="68"/>
      <c r="D864" s="68"/>
      <c r="E864" s="69"/>
      <c r="O864" s="68"/>
      <c r="P864" s="68"/>
      <c r="Q864" s="68"/>
      <c r="R864" s="68"/>
      <c r="S864" s="68"/>
    </row>
    <row r="865" spans="1:19" ht="15.75" customHeight="1">
      <c r="A865" s="68"/>
      <c r="B865" s="68"/>
      <c r="D865" s="68"/>
      <c r="E865" s="69"/>
      <c r="O865" s="68"/>
      <c r="P865" s="68"/>
      <c r="Q865" s="68"/>
      <c r="R865" s="68"/>
      <c r="S865" s="68"/>
    </row>
    <row r="866" spans="1:19" ht="15.75" customHeight="1">
      <c r="A866" s="68"/>
      <c r="B866" s="68"/>
      <c r="D866" s="68"/>
      <c r="E866" s="69"/>
      <c r="O866" s="68"/>
      <c r="P866" s="68"/>
      <c r="Q866" s="68"/>
      <c r="R866" s="68"/>
      <c r="S866" s="68"/>
    </row>
    <row r="867" spans="1:19" ht="15.75" customHeight="1">
      <c r="A867" s="68"/>
      <c r="B867" s="68"/>
      <c r="D867" s="68"/>
      <c r="E867" s="69"/>
      <c r="O867" s="68"/>
      <c r="P867" s="68"/>
      <c r="Q867" s="68"/>
      <c r="R867" s="68"/>
      <c r="S867" s="68"/>
    </row>
    <row r="868" spans="1:19" ht="15.75" customHeight="1">
      <c r="A868" s="68"/>
      <c r="B868" s="68"/>
      <c r="D868" s="68"/>
      <c r="E868" s="69"/>
      <c r="O868" s="68"/>
      <c r="P868" s="68"/>
      <c r="Q868" s="68"/>
      <c r="R868" s="68"/>
      <c r="S868" s="68"/>
    </row>
    <row r="869" spans="1:19" ht="15.75" customHeight="1">
      <c r="A869" s="68"/>
      <c r="B869" s="68"/>
      <c r="D869" s="68"/>
      <c r="E869" s="69"/>
      <c r="O869" s="68"/>
      <c r="P869" s="68"/>
      <c r="Q869" s="68"/>
      <c r="R869" s="68"/>
      <c r="S869" s="68"/>
    </row>
    <row r="870" spans="1:19" ht="15.75" customHeight="1">
      <c r="A870" s="68"/>
      <c r="B870" s="68"/>
      <c r="D870" s="68"/>
      <c r="E870" s="69"/>
      <c r="O870" s="68"/>
      <c r="P870" s="68"/>
      <c r="Q870" s="68"/>
      <c r="R870" s="68"/>
      <c r="S870" s="68"/>
    </row>
    <row r="871" spans="1:19" ht="15.75" customHeight="1">
      <c r="A871" s="68"/>
      <c r="B871" s="68"/>
      <c r="D871" s="68"/>
      <c r="E871" s="69"/>
      <c r="O871" s="68"/>
      <c r="P871" s="68"/>
      <c r="Q871" s="68"/>
      <c r="R871" s="68"/>
      <c r="S871" s="68"/>
    </row>
    <row r="872" spans="1:19" ht="15.75" customHeight="1">
      <c r="A872" s="68"/>
      <c r="B872" s="68"/>
      <c r="D872" s="68"/>
      <c r="E872" s="69"/>
      <c r="O872" s="68"/>
      <c r="P872" s="68"/>
      <c r="Q872" s="68"/>
      <c r="R872" s="68"/>
      <c r="S872" s="68"/>
    </row>
    <row r="873" spans="1:19" ht="15.75" customHeight="1">
      <c r="A873" s="68"/>
      <c r="B873" s="68"/>
      <c r="D873" s="68"/>
      <c r="E873" s="69"/>
      <c r="O873" s="68"/>
      <c r="P873" s="68"/>
      <c r="Q873" s="68"/>
      <c r="R873" s="68"/>
      <c r="S873" s="68"/>
    </row>
    <row r="874" spans="1:19" ht="15.75" customHeight="1">
      <c r="A874" s="68"/>
      <c r="B874" s="68"/>
      <c r="D874" s="68"/>
      <c r="E874" s="69"/>
      <c r="O874" s="68"/>
      <c r="P874" s="68"/>
      <c r="Q874" s="68"/>
      <c r="R874" s="68"/>
      <c r="S874" s="68"/>
    </row>
    <row r="875" spans="1:19" ht="15.75" customHeight="1">
      <c r="A875" s="68"/>
      <c r="B875" s="68"/>
      <c r="D875" s="68"/>
      <c r="E875" s="69"/>
      <c r="O875" s="68"/>
      <c r="P875" s="68"/>
      <c r="Q875" s="68"/>
      <c r="R875" s="68"/>
      <c r="S875" s="68"/>
    </row>
    <row r="876" spans="1:19" ht="15.75" customHeight="1">
      <c r="A876" s="68"/>
      <c r="B876" s="68"/>
      <c r="D876" s="68"/>
      <c r="E876" s="69"/>
      <c r="O876" s="68"/>
      <c r="P876" s="68"/>
      <c r="Q876" s="68"/>
      <c r="R876" s="68"/>
      <c r="S876" s="68"/>
    </row>
    <row r="877" spans="1:19" ht="15.75" customHeight="1">
      <c r="A877" s="68"/>
      <c r="B877" s="68"/>
      <c r="D877" s="68"/>
      <c r="E877" s="69"/>
      <c r="O877" s="68"/>
      <c r="P877" s="68"/>
      <c r="Q877" s="68"/>
      <c r="R877" s="68"/>
      <c r="S877" s="68"/>
    </row>
    <row r="878" spans="1:19" ht="15.75" customHeight="1">
      <c r="A878" s="68"/>
      <c r="B878" s="68"/>
      <c r="D878" s="68"/>
      <c r="E878" s="69"/>
      <c r="O878" s="68"/>
      <c r="P878" s="68"/>
      <c r="Q878" s="68"/>
      <c r="R878" s="68"/>
      <c r="S878" s="68"/>
    </row>
    <row r="879" spans="1:19" ht="15.75" customHeight="1">
      <c r="A879" s="68"/>
      <c r="B879" s="68"/>
      <c r="D879" s="68"/>
      <c r="E879" s="69"/>
      <c r="O879" s="68"/>
      <c r="P879" s="68"/>
      <c r="Q879" s="68"/>
      <c r="R879" s="68"/>
      <c r="S879" s="68"/>
    </row>
    <row r="880" spans="1:19" ht="15.75" customHeight="1">
      <c r="A880" s="68"/>
      <c r="B880" s="68"/>
      <c r="D880" s="68"/>
      <c r="E880" s="69"/>
      <c r="O880" s="68"/>
      <c r="P880" s="68"/>
      <c r="Q880" s="68"/>
      <c r="R880" s="68"/>
      <c r="S880" s="68"/>
    </row>
    <row r="881" spans="1:19" ht="15.75" customHeight="1">
      <c r="A881" s="68"/>
      <c r="B881" s="68"/>
      <c r="D881" s="68"/>
      <c r="E881" s="69"/>
      <c r="O881" s="68"/>
      <c r="P881" s="68"/>
      <c r="Q881" s="68"/>
      <c r="R881" s="68"/>
      <c r="S881" s="68"/>
    </row>
    <row r="882" spans="1:19" ht="15.75" customHeight="1">
      <c r="A882" s="68"/>
      <c r="B882" s="68"/>
      <c r="D882" s="68"/>
      <c r="E882" s="69"/>
      <c r="O882" s="68"/>
      <c r="P882" s="68"/>
      <c r="Q882" s="68"/>
      <c r="R882" s="68"/>
      <c r="S882" s="68"/>
    </row>
    <row r="883" spans="1:19" ht="15.75" customHeight="1">
      <c r="A883" s="68"/>
      <c r="B883" s="68"/>
      <c r="D883" s="68"/>
      <c r="E883" s="69"/>
      <c r="O883" s="68"/>
      <c r="P883" s="68"/>
      <c r="Q883" s="68"/>
      <c r="R883" s="68"/>
      <c r="S883" s="68"/>
    </row>
    <row r="884" spans="1:19" ht="15.75" customHeight="1">
      <c r="A884" s="68"/>
      <c r="B884" s="68"/>
      <c r="D884" s="68"/>
      <c r="E884" s="69"/>
      <c r="O884" s="68"/>
      <c r="P884" s="68"/>
      <c r="Q884" s="68"/>
      <c r="R884" s="68"/>
      <c r="S884" s="68"/>
    </row>
    <row r="885" spans="1:19" ht="15.75" customHeight="1">
      <c r="A885" s="68"/>
      <c r="B885" s="68"/>
      <c r="D885" s="68"/>
      <c r="E885" s="69"/>
      <c r="O885" s="68"/>
      <c r="P885" s="68"/>
      <c r="Q885" s="68"/>
      <c r="R885" s="68"/>
      <c r="S885" s="68"/>
    </row>
    <row r="886" spans="1:19" ht="15.75" customHeight="1">
      <c r="A886" s="68"/>
      <c r="B886" s="68"/>
      <c r="D886" s="68"/>
      <c r="E886" s="69"/>
      <c r="O886" s="68"/>
      <c r="P886" s="68"/>
      <c r="Q886" s="68"/>
      <c r="R886" s="68"/>
      <c r="S886" s="68"/>
    </row>
    <row r="887" spans="1:19" ht="15.75" customHeight="1">
      <c r="A887" s="68"/>
      <c r="B887" s="68"/>
      <c r="D887" s="68"/>
      <c r="E887" s="69"/>
      <c r="O887" s="68"/>
      <c r="P887" s="68"/>
      <c r="Q887" s="68"/>
      <c r="R887" s="68"/>
      <c r="S887" s="68"/>
    </row>
    <row r="888" spans="1:19" ht="15.75" customHeight="1">
      <c r="A888" s="68"/>
      <c r="B888" s="68"/>
      <c r="D888" s="68"/>
      <c r="E888" s="69"/>
      <c r="O888" s="68"/>
      <c r="P888" s="68"/>
      <c r="Q888" s="68"/>
      <c r="R888" s="68"/>
      <c r="S888" s="68"/>
    </row>
    <row r="889" spans="1:19" ht="15.75" customHeight="1">
      <c r="A889" s="68"/>
      <c r="B889" s="68"/>
      <c r="D889" s="68"/>
      <c r="E889" s="69"/>
      <c r="O889" s="68"/>
      <c r="P889" s="68"/>
      <c r="Q889" s="68"/>
      <c r="R889" s="68"/>
      <c r="S889" s="68"/>
    </row>
    <row r="890" spans="1:19" ht="15.75" customHeight="1">
      <c r="A890" s="68"/>
      <c r="B890" s="68"/>
      <c r="D890" s="68"/>
      <c r="E890" s="69"/>
      <c r="O890" s="68"/>
      <c r="P890" s="68"/>
      <c r="Q890" s="68"/>
      <c r="R890" s="68"/>
      <c r="S890" s="68"/>
    </row>
    <row r="891" spans="1:19" ht="15.75" customHeight="1">
      <c r="A891" s="68"/>
      <c r="B891" s="68"/>
      <c r="D891" s="68"/>
      <c r="E891" s="69"/>
      <c r="O891" s="68"/>
      <c r="P891" s="68"/>
      <c r="Q891" s="68"/>
      <c r="R891" s="68"/>
      <c r="S891" s="68"/>
    </row>
    <row r="892" spans="1:19" ht="15.75" customHeight="1">
      <c r="A892" s="68"/>
      <c r="B892" s="68"/>
      <c r="D892" s="68"/>
      <c r="E892" s="69"/>
      <c r="O892" s="68"/>
      <c r="P892" s="68"/>
      <c r="Q892" s="68"/>
      <c r="R892" s="68"/>
      <c r="S892" s="68"/>
    </row>
    <row r="893" spans="1:19" ht="15.75" customHeight="1">
      <c r="A893" s="68"/>
      <c r="B893" s="68"/>
      <c r="D893" s="68"/>
      <c r="E893" s="69"/>
      <c r="O893" s="68"/>
      <c r="P893" s="68"/>
      <c r="Q893" s="68"/>
      <c r="R893" s="68"/>
      <c r="S893" s="68"/>
    </row>
    <row r="894" spans="1:19" ht="15.75" customHeight="1">
      <c r="A894" s="68"/>
      <c r="B894" s="68"/>
      <c r="D894" s="68"/>
      <c r="E894" s="69"/>
      <c r="O894" s="68"/>
      <c r="P894" s="68"/>
      <c r="Q894" s="68"/>
      <c r="R894" s="68"/>
      <c r="S894" s="68"/>
    </row>
    <row r="895" spans="1:19" ht="15.75" customHeight="1">
      <c r="A895" s="68"/>
      <c r="B895" s="68"/>
      <c r="D895" s="68"/>
      <c r="E895" s="69"/>
      <c r="O895" s="68"/>
      <c r="P895" s="68"/>
      <c r="Q895" s="68"/>
      <c r="R895" s="68"/>
      <c r="S895" s="68"/>
    </row>
    <row r="896" spans="1:19" ht="15.75" customHeight="1">
      <c r="A896" s="68"/>
      <c r="B896" s="68"/>
      <c r="D896" s="68"/>
      <c r="E896" s="69"/>
      <c r="O896" s="68"/>
      <c r="P896" s="68"/>
      <c r="Q896" s="68"/>
      <c r="R896" s="68"/>
      <c r="S896" s="68"/>
    </row>
    <row r="897" spans="1:19" ht="15.75" customHeight="1">
      <c r="A897" s="68"/>
      <c r="B897" s="68"/>
      <c r="D897" s="68"/>
      <c r="E897" s="69"/>
      <c r="O897" s="68"/>
      <c r="P897" s="68"/>
      <c r="Q897" s="68"/>
      <c r="R897" s="68"/>
      <c r="S897" s="68"/>
    </row>
    <row r="898" spans="1:19" ht="15.75" customHeight="1">
      <c r="A898" s="68"/>
      <c r="B898" s="68"/>
      <c r="D898" s="68"/>
      <c r="E898" s="69"/>
      <c r="O898" s="68"/>
      <c r="P898" s="68"/>
      <c r="Q898" s="68"/>
      <c r="R898" s="68"/>
      <c r="S898" s="68"/>
    </row>
    <row r="899" spans="1:19" ht="15.75" customHeight="1">
      <c r="A899" s="68"/>
      <c r="B899" s="68"/>
      <c r="D899" s="68"/>
      <c r="E899" s="69"/>
      <c r="O899" s="68"/>
      <c r="P899" s="68"/>
      <c r="Q899" s="68"/>
      <c r="R899" s="68"/>
      <c r="S899" s="68"/>
    </row>
    <row r="900" spans="1:19" ht="15.75" customHeight="1">
      <c r="A900" s="68"/>
      <c r="B900" s="68"/>
      <c r="D900" s="68"/>
      <c r="E900" s="69"/>
      <c r="O900" s="68"/>
      <c r="P900" s="68"/>
      <c r="Q900" s="68"/>
      <c r="R900" s="68"/>
      <c r="S900" s="68"/>
    </row>
    <row r="901" spans="1:19" ht="15.75" customHeight="1">
      <c r="A901" s="68"/>
      <c r="B901" s="68"/>
      <c r="D901" s="68"/>
      <c r="E901" s="69"/>
      <c r="O901" s="68"/>
      <c r="P901" s="68"/>
      <c r="Q901" s="68"/>
      <c r="R901" s="68"/>
      <c r="S901" s="68"/>
    </row>
    <row r="902" spans="1:19" ht="15.75" customHeight="1">
      <c r="A902" s="68"/>
      <c r="B902" s="68"/>
      <c r="D902" s="68"/>
      <c r="E902" s="69"/>
      <c r="O902" s="68"/>
      <c r="P902" s="68"/>
      <c r="Q902" s="68"/>
      <c r="R902" s="68"/>
      <c r="S902" s="68"/>
    </row>
    <row r="903" spans="1:19" ht="15.75" customHeight="1">
      <c r="A903" s="68"/>
      <c r="B903" s="68"/>
      <c r="D903" s="68"/>
      <c r="E903" s="69"/>
      <c r="O903" s="68"/>
      <c r="P903" s="68"/>
      <c r="Q903" s="68"/>
      <c r="R903" s="68"/>
      <c r="S903" s="68"/>
    </row>
    <row r="904" spans="1:19" ht="15.75" customHeight="1">
      <c r="A904" s="68"/>
      <c r="B904" s="68"/>
      <c r="D904" s="68"/>
      <c r="E904" s="69"/>
      <c r="O904" s="68"/>
      <c r="P904" s="68"/>
      <c r="Q904" s="68"/>
      <c r="R904" s="68"/>
      <c r="S904" s="68"/>
    </row>
    <row r="905" spans="1:19" ht="15.75" customHeight="1">
      <c r="A905" s="68"/>
      <c r="B905" s="68"/>
      <c r="D905" s="68"/>
      <c r="E905" s="69"/>
      <c r="O905" s="68"/>
      <c r="P905" s="68"/>
      <c r="Q905" s="68"/>
      <c r="R905" s="68"/>
      <c r="S905" s="68"/>
    </row>
    <row r="906" spans="1:19" ht="15.75" customHeight="1">
      <c r="A906" s="68"/>
      <c r="B906" s="68"/>
      <c r="D906" s="68"/>
      <c r="E906" s="69"/>
      <c r="O906" s="68"/>
      <c r="P906" s="68"/>
      <c r="Q906" s="68"/>
      <c r="R906" s="68"/>
      <c r="S906" s="68"/>
    </row>
    <row r="907" spans="1:19" ht="15.75" customHeight="1">
      <c r="A907" s="68"/>
      <c r="B907" s="68"/>
      <c r="D907" s="68"/>
      <c r="E907" s="69"/>
      <c r="O907" s="68"/>
      <c r="P907" s="68"/>
      <c r="Q907" s="68"/>
      <c r="R907" s="68"/>
      <c r="S907" s="68"/>
    </row>
    <row r="908" spans="1:19" ht="15.75" customHeight="1">
      <c r="A908" s="68"/>
      <c r="B908" s="68"/>
      <c r="D908" s="68"/>
      <c r="E908" s="69"/>
      <c r="O908" s="68"/>
      <c r="P908" s="68"/>
      <c r="Q908" s="68"/>
      <c r="R908" s="68"/>
      <c r="S908" s="68"/>
    </row>
    <row r="909" spans="1:19" ht="15.75" customHeight="1">
      <c r="A909" s="68"/>
      <c r="B909" s="68"/>
      <c r="D909" s="68"/>
      <c r="E909" s="69"/>
      <c r="O909" s="68"/>
      <c r="P909" s="68"/>
      <c r="Q909" s="68"/>
      <c r="R909" s="68"/>
      <c r="S909" s="68"/>
    </row>
    <row r="910" spans="1:19" ht="15.75" customHeight="1">
      <c r="A910" s="68"/>
      <c r="B910" s="68"/>
      <c r="D910" s="68"/>
      <c r="E910" s="69"/>
      <c r="O910" s="68"/>
      <c r="P910" s="68"/>
      <c r="Q910" s="68"/>
      <c r="R910" s="68"/>
      <c r="S910" s="68"/>
    </row>
    <row r="911" spans="1:19" ht="15.75" customHeight="1">
      <c r="A911" s="68"/>
      <c r="B911" s="68"/>
      <c r="D911" s="68"/>
      <c r="E911" s="69"/>
      <c r="O911" s="68"/>
      <c r="P911" s="68"/>
      <c r="Q911" s="68"/>
      <c r="R911" s="68"/>
      <c r="S911" s="68"/>
    </row>
    <row r="912" spans="1:19" ht="15.75" customHeight="1">
      <c r="A912" s="68"/>
      <c r="B912" s="68"/>
      <c r="D912" s="68"/>
      <c r="E912" s="69"/>
      <c r="O912" s="68"/>
      <c r="P912" s="68"/>
      <c r="Q912" s="68"/>
      <c r="R912" s="68"/>
      <c r="S912" s="68"/>
    </row>
    <row r="913" spans="1:19" ht="15.75" customHeight="1">
      <c r="A913" s="68"/>
      <c r="B913" s="68"/>
      <c r="D913" s="68"/>
      <c r="E913" s="69"/>
      <c r="O913" s="68"/>
      <c r="P913" s="68"/>
      <c r="Q913" s="68"/>
      <c r="R913" s="68"/>
      <c r="S913" s="68"/>
    </row>
    <row r="914" spans="1:19" ht="15.75" customHeight="1">
      <c r="A914" s="68"/>
      <c r="B914" s="68"/>
      <c r="D914" s="68"/>
      <c r="E914" s="69"/>
      <c r="O914" s="68"/>
      <c r="P914" s="68"/>
      <c r="Q914" s="68"/>
      <c r="R914" s="68"/>
      <c r="S914" s="68"/>
    </row>
    <row r="915" spans="1:19" ht="15.75" customHeight="1">
      <c r="A915" s="68"/>
      <c r="B915" s="68"/>
      <c r="D915" s="68"/>
      <c r="E915" s="69"/>
      <c r="O915" s="68"/>
      <c r="P915" s="68"/>
      <c r="Q915" s="68"/>
      <c r="R915" s="68"/>
      <c r="S915" s="68"/>
    </row>
    <row r="916" spans="1:19" ht="15.75" customHeight="1">
      <c r="A916" s="68"/>
      <c r="B916" s="68"/>
      <c r="D916" s="68"/>
      <c r="E916" s="69"/>
      <c r="O916" s="68"/>
      <c r="P916" s="68"/>
      <c r="Q916" s="68"/>
      <c r="R916" s="68"/>
      <c r="S916" s="68"/>
    </row>
    <row r="917" spans="1:19" ht="15.75" customHeight="1">
      <c r="A917" s="68"/>
      <c r="B917" s="68"/>
      <c r="D917" s="68"/>
      <c r="E917" s="69"/>
      <c r="O917" s="68"/>
      <c r="P917" s="68"/>
      <c r="Q917" s="68"/>
      <c r="R917" s="68"/>
      <c r="S917" s="68"/>
    </row>
    <row r="918" spans="1:19" ht="15.75" customHeight="1">
      <c r="A918" s="68"/>
      <c r="B918" s="68"/>
      <c r="D918" s="68"/>
      <c r="E918" s="69"/>
      <c r="O918" s="68"/>
      <c r="P918" s="68"/>
      <c r="Q918" s="68"/>
      <c r="R918" s="68"/>
      <c r="S918" s="68"/>
    </row>
    <row r="919" spans="1:19" ht="15.75" customHeight="1">
      <c r="A919" s="68"/>
      <c r="B919" s="68"/>
      <c r="D919" s="68"/>
      <c r="E919" s="69"/>
      <c r="O919" s="68"/>
      <c r="P919" s="68"/>
      <c r="Q919" s="68"/>
      <c r="R919" s="68"/>
      <c r="S919" s="68"/>
    </row>
    <row r="920" spans="1:19" ht="15.75" customHeight="1">
      <c r="A920" s="68"/>
      <c r="B920" s="68"/>
      <c r="D920" s="68"/>
      <c r="E920" s="69"/>
      <c r="O920" s="68"/>
      <c r="P920" s="68"/>
      <c r="Q920" s="68"/>
      <c r="R920" s="68"/>
      <c r="S920" s="68"/>
    </row>
    <row r="921" spans="1:19" ht="15.75" customHeight="1">
      <c r="A921" s="68"/>
      <c r="B921" s="68"/>
      <c r="D921" s="68"/>
      <c r="E921" s="69"/>
      <c r="O921" s="68"/>
      <c r="P921" s="68"/>
      <c r="Q921" s="68"/>
      <c r="R921" s="68"/>
      <c r="S921" s="68"/>
    </row>
    <row r="922" spans="1:19" ht="15.75" customHeight="1">
      <c r="A922" s="68"/>
      <c r="B922" s="68"/>
      <c r="D922" s="68"/>
      <c r="E922" s="69"/>
      <c r="O922" s="68"/>
      <c r="P922" s="68"/>
      <c r="Q922" s="68"/>
      <c r="R922" s="68"/>
      <c r="S922" s="68"/>
    </row>
    <row r="923" spans="1:19" ht="15.75" customHeight="1">
      <c r="A923" s="68"/>
      <c r="B923" s="68"/>
      <c r="D923" s="68"/>
      <c r="E923" s="69"/>
      <c r="O923" s="68"/>
      <c r="P923" s="68"/>
      <c r="Q923" s="68"/>
      <c r="R923" s="68"/>
      <c r="S923" s="68"/>
    </row>
    <row r="924" spans="1:19" ht="15.75" customHeight="1">
      <c r="A924" s="68"/>
      <c r="B924" s="68"/>
      <c r="D924" s="68"/>
      <c r="E924" s="69"/>
      <c r="O924" s="68"/>
      <c r="P924" s="68"/>
      <c r="Q924" s="68"/>
      <c r="R924" s="68"/>
      <c r="S924" s="68"/>
    </row>
    <row r="925" spans="1:19" ht="15.75" customHeight="1">
      <c r="A925" s="68"/>
      <c r="B925" s="68"/>
      <c r="D925" s="68"/>
      <c r="E925" s="69"/>
      <c r="O925" s="68"/>
      <c r="P925" s="68"/>
      <c r="Q925" s="68"/>
      <c r="R925" s="68"/>
      <c r="S925" s="68"/>
    </row>
    <row r="926" spans="1:19" ht="15.75" customHeight="1">
      <c r="A926" s="68"/>
      <c r="B926" s="68"/>
      <c r="D926" s="68"/>
      <c r="E926" s="69"/>
      <c r="O926" s="68"/>
      <c r="P926" s="68"/>
      <c r="Q926" s="68"/>
      <c r="R926" s="68"/>
      <c r="S926" s="68"/>
    </row>
    <row r="927" spans="1:19" ht="15.75" customHeight="1">
      <c r="A927" s="68"/>
      <c r="B927" s="68"/>
      <c r="D927" s="68"/>
      <c r="E927" s="69"/>
      <c r="O927" s="68"/>
      <c r="P927" s="68"/>
      <c r="Q927" s="68"/>
      <c r="R927" s="68"/>
      <c r="S927" s="68"/>
    </row>
    <row r="928" spans="1:19" ht="15.75" customHeight="1">
      <c r="A928" s="68"/>
      <c r="B928" s="68"/>
      <c r="D928" s="68"/>
      <c r="E928" s="69"/>
      <c r="O928" s="68"/>
      <c r="P928" s="68"/>
      <c r="Q928" s="68"/>
      <c r="R928" s="68"/>
      <c r="S928" s="68"/>
    </row>
    <row r="929" spans="1:19" ht="15.75" customHeight="1">
      <c r="A929" s="68"/>
      <c r="B929" s="68"/>
      <c r="D929" s="68"/>
      <c r="E929" s="69"/>
      <c r="O929" s="68"/>
      <c r="P929" s="68"/>
      <c r="Q929" s="68"/>
      <c r="R929" s="68"/>
      <c r="S929" s="68"/>
    </row>
    <row r="930" spans="1:19" ht="15.75" customHeight="1">
      <c r="A930" s="68"/>
      <c r="B930" s="68"/>
      <c r="D930" s="68"/>
      <c r="E930" s="69"/>
      <c r="O930" s="68"/>
      <c r="P930" s="68"/>
      <c r="Q930" s="68"/>
      <c r="R930" s="68"/>
      <c r="S930" s="68"/>
    </row>
    <row r="931" spans="1:19" ht="15.75" customHeight="1">
      <c r="A931" s="68"/>
      <c r="B931" s="68"/>
      <c r="D931" s="68"/>
      <c r="E931" s="69"/>
      <c r="O931" s="68"/>
      <c r="P931" s="68"/>
      <c r="Q931" s="68"/>
      <c r="R931" s="68"/>
      <c r="S931" s="68"/>
    </row>
    <row r="932" spans="1:19" ht="15.75" customHeight="1">
      <c r="A932" s="68"/>
      <c r="B932" s="68"/>
      <c r="D932" s="68"/>
      <c r="E932" s="69"/>
      <c r="O932" s="68"/>
      <c r="P932" s="68"/>
      <c r="Q932" s="68"/>
      <c r="R932" s="68"/>
      <c r="S932" s="68"/>
    </row>
    <row r="933" spans="1:19" ht="15.75" customHeight="1">
      <c r="A933" s="68"/>
      <c r="B933" s="68"/>
      <c r="D933" s="68"/>
      <c r="E933" s="69"/>
      <c r="O933" s="68"/>
      <c r="P933" s="68"/>
      <c r="Q933" s="68"/>
      <c r="R933" s="68"/>
      <c r="S933" s="68"/>
    </row>
    <row r="934" spans="1:19" ht="15.75" customHeight="1">
      <c r="A934" s="68"/>
      <c r="B934" s="68"/>
      <c r="D934" s="68"/>
      <c r="E934" s="69"/>
      <c r="O934" s="68"/>
      <c r="P934" s="68"/>
      <c r="Q934" s="68"/>
      <c r="R934" s="68"/>
      <c r="S934" s="68"/>
    </row>
    <row r="935" spans="1:19" ht="15.75" customHeight="1">
      <c r="A935" s="68"/>
      <c r="B935" s="68"/>
      <c r="D935" s="68"/>
      <c r="E935" s="69"/>
      <c r="O935" s="68"/>
      <c r="P935" s="68"/>
      <c r="Q935" s="68"/>
      <c r="R935" s="68"/>
      <c r="S935" s="68"/>
    </row>
    <row r="936" spans="1:19" ht="15.75" customHeight="1">
      <c r="A936" s="68"/>
      <c r="B936" s="68"/>
      <c r="D936" s="68"/>
      <c r="E936" s="69"/>
      <c r="O936" s="68"/>
      <c r="P936" s="68"/>
      <c r="Q936" s="68"/>
      <c r="R936" s="68"/>
      <c r="S936" s="68"/>
    </row>
    <row r="937" spans="1:19" ht="15.75" customHeight="1">
      <c r="A937" s="68"/>
      <c r="B937" s="68"/>
      <c r="D937" s="68"/>
      <c r="E937" s="69"/>
      <c r="O937" s="68"/>
      <c r="P937" s="68"/>
      <c r="Q937" s="68"/>
      <c r="R937" s="68"/>
      <c r="S937" s="68"/>
    </row>
    <row r="938" spans="1:19" ht="15.75" customHeight="1">
      <c r="A938" s="68"/>
      <c r="B938" s="68"/>
      <c r="D938" s="68"/>
      <c r="E938" s="69"/>
      <c r="O938" s="68"/>
      <c r="P938" s="68"/>
      <c r="Q938" s="68"/>
      <c r="R938" s="68"/>
      <c r="S938" s="68"/>
    </row>
    <row r="939" spans="1:19" ht="15.75" customHeight="1">
      <c r="A939" s="68"/>
      <c r="B939" s="68"/>
      <c r="D939" s="68"/>
      <c r="E939" s="69"/>
      <c r="O939" s="68"/>
      <c r="P939" s="68"/>
      <c r="Q939" s="68"/>
      <c r="R939" s="68"/>
      <c r="S939" s="68"/>
    </row>
    <row r="940" spans="1:19" ht="15.75" customHeight="1">
      <c r="A940" s="68"/>
      <c r="B940" s="68"/>
      <c r="D940" s="68"/>
      <c r="E940" s="69"/>
      <c r="O940" s="68"/>
      <c r="P940" s="68"/>
      <c r="Q940" s="68"/>
      <c r="R940" s="68"/>
      <c r="S940" s="68"/>
    </row>
    <row r="941" spans="1:19" ht="15.75" customHeight="1">
      <c r="A941" s="68"/>
      <c r="B941" s="68"/>
      <c r="D941" s="68"/>
      <c r="E941" s="69"/>
      <c r="O941" s="68"/>
      <c r="P941" s="68"/>
      <c r="Q941" s="68"/>
      <c r="R941" s="68"/>
      <c r="S941" s="68"/>
    </row>
    <row r="942" spans="1:19" ht="15.75" customHeight="1">
      <c r="A942" s="68"/>
      <c r="B942" s="68"/>
      <c r="D942" s="68"/>
      <c r="E942" s="69"/>
      <c r="O942" s="68"/>
      <c r="P942" s="68"/>
      <c r="Q942" s="68"/>
      <c r="R942" s="68"/>
      <c r="S942" s="68"/>
    </row>
    <row r="943" spans="1:19" ht="15.75" customHeight="1">
      <c r="A943" s="68"/>
      <c r="B943" s="68"/>
      <c r="D943" s="68"/>
      <c r="E943" s="69"/>
      <c r="O943" s="68"/>
      <c r="P943" s="68"/>
      <c r="Q943" s="68"/>
      <c r="R943" s="68"/>
      <c r="S943" s="68"/>
    </row>
    <row r="944" spans="1:19" ht="15.75" customHeight="1">
      <c r="A944" s="68"/>
      <c r="B944" s="68"/>
      <c r="D944" s="68"/>
      <c r="E944" s="69"/>
      <c r="O944" s="68"/>
      <c r="P944" s="68"/>
      <c r="Q944" s="68"/>
      <c r="R944" s="68"/>
      <c r="S944" s="68"/>
    </row>
    <row r="945" spans="1:19" ht="15.75" customHeight="1">
      <c r="A945" s="68"/>
      <c r="B945" s="68"/>
      <c r="D945" s="68"/>
      <c r="E945" s="69"/>
      <c r="O945" s="68"/>
      <c r="P945" s="68"/>
      <c r="Q945" s="68"/>
      <c r="R945" s="68"/>
      <c r="S945" s="68"/>
    </row>
    <row r="946" spans="1:19" ht="15.75" customHeight="1">
      <c r="A946" s="68"/>
      <c r="B946" s="68"/>
      <c r="D946" s="68"/>
      <c r="E946" s="69"/>
      <c r="O946" s="68"/>
      <c r="P946" s="68"/>
      <c r="Q946" s="68"/>
      <c r="R946" s="68"/>
      <c r="S946" s="68"/>
    </row>
    <row r="947" spans="1:19" ht="15.75" customHeight="1">
      <c r="A947" s="68"/>
      <c r="B947" s="68"/>
      <c r="D947" s="68"/>
      <c r="E947" s="69"/>
      <c r="O947" s="68"/>
      <c r="P947" s="68"/>
      <c r="Q947" s="68"/>
      <c r="R947" s="68"/>
      <c r="S947" s="68"/>
    </row>
    <row r="948" spans="1:19" ht="15.75" customHeight="1">
      <c r="A948" s="68"/>
      <c r="B948" s="68"/>
      <c r="D948" s="68"/>
      <c r="E948" s="69"/>
      <c r="O948" s="68"/>
      <c r="P948" s="68"/>
      <c r="Q948" s="68"/>
      <c r="R948" s="68"/>
      <c r="S948" s="68"/>
    </row>
    <row r="949" spans="1:19" ht="15.75" customHeight="1">
      <c r="A949" s="68"/>
      <c r="B949" s="68"/>
      <c r="D949" s="68"/>
      <c r="E949" s="69"/>
      <c r="O949" s="68"/>
      <c r="P949" s="68"/>
      <c r="Q949" s="68"/>
      <c r="R949" s="68"/>
      <c r="S949" s="68"/>
    </row>
    <row r="950" spans="1:19" ht="15.75" customHeight="1">
      <c r="A950" s="68"/>
      <c r="B950" s="68"/>
      <c r="D950" s="68"/>
      <c r="E950" s="69"/>
      <c r="O950" s="68"/>
      <c r="P950" s="68"/>
      <c r="Q950" s="68"/>
      <c r="R950" s="68"/>
      <c r="S950" s="68"/>
    </row>
    <row r="951" spans="1:19" ht="15.75" customHeight="1">
      <c r="A951" s="68"/>
      <c r="B951" s="68"/>
      <c r="D951" s="68"/>
      <c r="E951" s="69"/>
      <c r="O951" s="68"/>
      <c r="P951" s="68"/>
      <c r="Q951" s="68"/>
      <c r="R951" s="68"/>
      <c r="S951" s="68"/>
    </row>
    <row r="952" spans="1:19" ht="15.75" customHeight="1">
      <c r="A952" s="68"/>
      <c r="B952" s="68"/>
      <c r="D952" s="68"/>
      <c r="E952" s="69"/>
      <c r="O952" s="68"/>
      <c r="P952" s="68"/>
      <c r="Q952" s="68"/>
      <c r="R952" s="68"/>
      <c r="S952" s="68"/>
    </row>
    <row r="953" spans="1:19" ht="15.75" customHeight="1">
      <c r="A953" s="68"/>
      <c r="B953" s="68"/>
      <c r="D953" s="68"/>
      <c r="E953" s="69"/>
      <c r="O953" s="68"/>
      <c r="P953" s="68"/>
      <c r="Q953" s="68"/>
      <c r="R953" s="68"/>
      <c r="S953" s="68"/>
    </row>
    <row r="954" spans="1:19" ht="15.75" customHeight="1">
      <c r="A954" s="68"/>
      <c r="B954" s="68"/>
      <c r="D954" s="68"/>
      <c r="E954" s="69"/>
      <c r="O954" s="68"/>
      <c r="P954" s="68"/>
      <c r="Q954" s="68"/>
      <c r="R954" s="68"/>
      <c r="S954" s="68"/>
    </row>
    <row r="955" spans="1:19" ht="15.75" customHeight="1">
      <c r="A955" s="68"/>
      <c r="B955" s="68"/>
      <c r="D955" s="68"/>
      <c r="E955" s="69"/>
      <c r="O955" s="68"/>
      <c r="P955" s="68"/>
      <c r="Q955" s="68"/>
      <c r="R955" s="68"/>
      <c r="S955" s="68"/>
    </row>
    <row r="956" spans="1:19" ht="15.75" customHeight="1">
      <c r="A956" s="68"/>
      <c r="B956" s="68"/>
      <c r="D956" s="68"/>
      <c r="E956" s="69"/>
      <c r="O956" s="68"/>
      <c r="P956" s="68"/>
      <c r="Q956" s="68"/>
      <c r="R956" s="68"/>
      <c r="S956" s="68"/>
    </row>
    <row r="957" spans="1:19" ht="15.75" customHeight="1">
      <c r="A957" s="68"/>
      <c r="B957" s="68"/>
      <c r="D957" s="68"/>
      <c r="E957" s="69"/>
      <c r="O957" s="68"/>
      <c r="P957" s="68"/>
      <c r="Q957" s="68"/>
      <c r="R957" s="68"/>
      <c r="S957" s="68"/>
    </row>
    <row r="958" spans="1:19" ht="15.75" customHeight="1">
      <c r="A958" s="68"/>
      <c r="B958" s="68"/>
      <c r="D958" s="68"/>
      <c r="E958" s="69"/>
      <c r="O958" s="68"/>
      <c r="P958" s="68"/>
      <c r="Q958" s="68"/>
      <c r="R958" s="68"/>
      <c r="S958" s="68"/>
    </row>
    <row r="959" spans="1:19" ht="15.75" customHeight="1">
      <c r="A959" s="68"/>
      <c r="B959" s="68"/>
      <c r="D959" s="68"/>
      <c r="E959" s="69"/>
      <c r="O959" s="68"/>
      <c r="P959" s="68"/>
      <c r="Q959" s="68"/>
      <c r="R959" s="68"/>
      <c r="S959" s="68"/>
    </row>
    <row r="960" spans="1:19" ht="15.75" customHeight="1">
      <c r="A960" s="68"/>
      <c r="B960" s="68"/>
      <c r="D960" s="68"/>
      <c r="E960" s="69"/>
      <c r="O960" s="68"/>
      <c r="P960" s="68"/>
      <c r="Q960" s="68"/>
      <c r="R960" s="68"/>
      <c r="S960" s="68"/>
    </row>
    <row r="961" spans="1:19" ht="15.75" customHeight="1">
      <c r="A961" s="68"/>
      <c r="B961" s="68"/>
      <c r="D961" s="68"/>
      <c r="E961" s="69"/>
      <c r="O961" s="68"/>
      <c r="P961" s="68"/>
      <c r="Q961" s="68"/>
      <c r="R961" s="68"/>
      <c r="S961" s="68"/>
    </row>
    <row r="962" spans="1:19" ht="15.75" customHeight="1">
      <c r="A962" s="68"/>
      <c r="B962" s="68"/>
      <c r="D962" s="68"/>
      <c r="E962" s="69"/>
      <c r="O962" s="68"/>
      <c r="P962" s="68"/>
      <c r="Q962" s="68"/>
      <c r="R962" s="68"/>
      <c r="S962" s="68"/>
    </row>
    <row r="963" spans="1:19" ht="15.75" customHeight="1">
      <c r="A963" s="68"/>
      <c r="B963" s="68"/>
      <c r="D963" s="68"/>
      <c r="E963" s="69"/>
      <c r="O963" s="68"/>
      <c r="P963" s="68"/>
      <c r="Q963" s="68"/>
      <c r="R963" s="68"/>
      <c r="S963" s="68"/>
    </row>
    <row r="964" spans="1:19" ht="15.75" customHeight="1">
      <c r="A964" s="68"/>
      <c r="B964" s="68"/>
      <c r="D964" s="68"/>
      <c r="E964" s="69"/>
      <c r="O964" s="68"/>
      <c r="P964" s="68"/>
      <c r="Q964" s="68"/>
      <c r="R964" s="68"/>
      <c r="S964" s="68"/>
    </row>
    <row r="965" spans="1:19" ht="15.75" customHeight="1">
      <c r="A965" s="68"/>
      <c r="B965" s="68"/>
      <c r="D965" s="68"/>
      <c r="E965" s="69"/>
      <c r="O965" s="68"/>
      <c r="P965" s="68"/>
      <c r="Q965" s="68"/>
      <c r="R965" s="68"/>
      <c r="S965" s="68"/>
    </row>
    <row r="966" spans="1:19" ht="15.75" customHeight="1">
      <c r="A966" s="68"/>
      <c r="B966" s="68"/>
      <c r="D966" s="68"/>
      <c r="E966" s="69"/>
      <c r="O966" s="68"/>
      <c r="P966" s="68"/>
      <c r="Q966" s="68"/>
      <c r="R966" s="68"/>
      <c r="S966" s="68"/>
    </row>
    <row r="967" spans="1:19" ht="15.75" customHeight="1">
      <c r="A967" s="68"/>
      <c r="B967" s="68"/>
      <c r="D967" s="68"/>
      <c r="E967" s="69"/>
      <c r="O967" s="68"/>
      <c r="P967" s="68"/>
      <c r="Q967" s="68"/>
      <c r="R967" s="68"/>
      <c r="S967" s="68"/>
    </row>
    <row r="968" spans="1:19" ht="15.75" customHeight="1">
      <c r="A968" s="68"/>
      <c r="B968" s="68"/>
      <c r="D968" s="68"/>
      <c r="E968" s="69"/>
      <c r="O968" s="68"/>
      <c r="P968" s="68"/>
      <c r="Q968" s="68"/>
      <c r="R968" s="68"/>
      <c r="S968" s="68"/>
    </row>
    <row r="969" spans="1:19" ht="15.75" customHeight="1">
      <c r="A969" s="68"/>
      <c r="B969" s="68"/>
      <c r="D969" s="68"/>
      <c r="E969" s="69"/>
      <c r="O969" s="68"/>
      <c r="P969" s="68"/>
      <c r="Q969" s="68"/>
      <c r="R969" s="68"/>
      <c r="S969" s="68"/>
    </row>
    <row r="970" spans="1:19" ht="15.75" customHeight="1">
      <c r="A970" s="68"/>
      <c r="B970" s="68"/>
      <c r="D970" s="68"/>
      <c r="E970" s="69"/>
      <c r="O970" s="68"/>
      <c r="P970" s="68"/>
      <c r="Q970" s="68"/>
      <c r="R970" s="68"/>
      <c r="S970" s="68"/>
    </row>
    <row r="971" spans="1:19" ht="15.75" customHeight="1">
      <c r="A971" s="68"/>
      <c r="B971" s="68"/>
      <c r="D971" s="68"/>
      <c r="E971" s="69"/>
      <c r="O971" s="68"/>
      <c r="P971" s="68"/>
      <c r="Q971" s="68"/>
      <c r="R971" s="68"/>
      <c r="S971" s="68"/>
    </row>
    <row r="972" spans="1:19" ht="15.75" customHeight="1">
      <c r="A972" s="68"/>
      <c r="B972" s="68"/>
      <c r="D972" s="68"/>
      <c r="E972" s="69"/>
      <c r="O972" s="68"/>
      <c r="P972" s="68"/>
      <c r="Q972" s="68"/>
      <c r="R972" s="68"/>
      <c r="S972" s="68"/>
    </row>
    <row r="973" spans="1:19" ht="15.75" customHeight="1">
      <c r="A973" s="68"/>
      <c r="B973" s="68"/>
      <c r="D973" s="68"/>
      <c r="E973" s="69"/>
      <c r="O973" s="68"/>
      <c r="P973" s="68"/>
      <c r="Q973" s="68"/>
      <c r="R973" s="68"/>
      <c r="S973" s="68"/>
    </row>
    <row r="974" spans="1:19" ht="15.75" customHeight="1">
      <c r="A974" s="68"/>
      <c r="B974" s="68"/>
      <c r="D974" s="68"/>
      <c r="E974" s="69"/>
      <c r="O974" s="68"/>
      <c r="P974" s="68"/>
      <c r="Q974" s="68"/>
      <c r="R974" s="68"/>
      <c r="S974" s="68"/>
    </row>
    <row r="975" spans="1:19" ht="15.75" customHeight="1">
      <c r="A975" s="68"/>
      <c r="B975" s="68"/>
      <c r="D975" s="68"/>
      <c r="E975" s="69"/>
      <c r="O975" s="68"/>
      <c r="P975" s="68"/>
      <c r="Q975" s="68"/>
      <c r="R975" s="68"/>
      <c r="S975" s="68"/>
    </row>
    <row r="976" spans="1:19" ht="15.75" customHeight="1">
      <c r="A976" s="68"/>
      <c r="B976" s="68"/>
      <c r="D976" s="68"/>
      <c r="E976" s="69"/>
      <c r="O976" s="68"/>
      <c r="P976" s="68"/>
      <c r="Q976" s="68"/>
      <c r="R976" s="68"/>
      <c r="S976" s="68"/>
    </row>
    <row r="977" spans="1:19" ht="15.75" customHeight="1">
      <c r="A977" s="68"/>
      <c r="B977" s="68"/>
      <c r="D977" s="68"/>
      <c r="E977" s="69"/>
      <c r="O977" s="68"/>
      <c r="P977" s="68"/>
      <c r="Q977" s="68"/>
      <c r="R977" s="68"/>
      <c r="S977" s="68"/>
    </row>
    <row r="978" spans="1:19" ht="15.75" customHeight="1">
      <c r="A978" s="68"/>
      <c r="B978" s="68"/>
      <c r="D978" s="68"/>
      <c r="E978" s="69"/>
      <c r="O978" s="68"/>
      <c r="P978" s="68"/>
      <c r="Q978" s="68"/>
      <c r="R978" s="68"/>
      <c r="S978" s="68"/>
    </row>
    <row r="979" spans="1:19" ht="15.75" customHeight="1">
      <c r="A979" s="68"/>
      <c r="B979" s="68"/>
      <c r="D979" s="68"/>
      <c r="E979" s="69"/>
      <c r="O979" s="68"/>
      <c r="P979" s="68"/>
      <c r="Q979" s="68"/>
      <c r="R979" s="68"/>
      <c r="S979" s="68"/>
    </row>
    <row r="980" spans="1:19" ht="15.75" customHeight="1">
      <c r="A980" s="68"/>
      <c r="B980" s="68"/>
      <c r="D980" s="68"/>
      <c r="E980" s="69"/>
      <c r="O980" s="68"/>
      <c r="P980" s="68"/>
      <c r="Q980" s="68"/>
      <c r="R980" s="68"/>
      <c r="S980" s="68"/>
    </row>
    <row r="981" spans="1:19" ht="15.75" customHeight="1">
      <c r="A981" s="68"/>
      <c r="B981" s="68"/>
      <c r="D981" s="68"/>
      <c r="E981" s="69"/>
      <c r="O981" s="68"/>
      <c r="P981" s="68"/>
      <c r="Q981" s="68"/>
      <c r="R981" s="68"/>
      <c r="S981" s="68"/>
    </row>
    <row r="982" spans="1:19" ht="15.75" customHeight="1">
      <c r="A982" s="68"/>
      <c r="B982" s="68"/>
      <c r="D982" s="68"/>
      <c r="E982" s="69"/>
      <c r="O982" s="68"/>
      <c r="P982" s="68"/>
      <c r="Q982" s="68"/>
      <c r="R982" s="68"/>
      <c r="S982" s="68"/>
    </row>
    <row r="983" spans="1:19" ht="15.75" customHeight="1">
      <c r="A983" s="68"/>
      <c r="B983" s="68"/>
      <c r="D983" s="68"/>
      <c r="E983" s="69"/>
      <c r="O983" s="68"/>
      <c r="P983" s="68"/>
      <c r="Q983" s="68"/>
      <c r="R983" s="68"/>
      <c r="S983" s="68"/>
    </row>
    <row r="984" spans="1:19" ht="15.75" customHeight="1">
      <c r="A984" s="68"/>
      <c r="B984" s="68"/>
      <c r="D984" s="68"/>
      <c r="E984" s="69"/>
      <c r="O984" s="68"/>
      <c r="P984" s="68"/>
      <c r="Q984" s="68"/>
      <c r="R984" s="68"/>
      <c r="S984" s="68"/>
    </row>
    <row r="985" spans="1:19" ht="15.75" customHeight="1">
      <c r="A985" s="68"/>
      <c r="B985" s="68"/>
      <c r="D985" s="68"/>
      <c r="E985" s="69"/>
      <c r="O985" s="68"/>
      <c r="P985" s="68"/>
      <c r="Q985" s="68"/>
      <c r="R985" s="68"/>
      <c r="S985" s="68"/>
    </row>
    <row r="986" spans="1:19" ht="15.75" customHeight="1">
      <c r="A986" s="68"/>
      <c r="B986" s="68"/>
      <c r="D986" s="68"/>
      <c r="E986" s="69"/>
      <c r="O986" s="68"/>
      <c r="P986" s="68"/>
      <c r="Q986" s="68"/>
      <c r="R986" s="68"/>
      <c r="S986" s="68"/>
    </row>
    <row r="987" spans="1:19" ht="15.75" customHeight="1">
      <c r="A987" s="68"/>
      <c r="B987" s="68"/>
      <c r="D987" s="68"/>
      <c r="E987" s="69"/>
      <c r="O987" s="68"/>
      <c r="P987" s="68"/>
      <c r="Q987" s="68"/>
      <c r="R987" s="68"/>
      <c r="S987" s="68"/>
    </row>
    <row r="988" spans="1:19" ht="15.75" customHeight="1">
      <c r="A988" s="68"/>
      <c r="B988" s="68"/>
      <c r="D988" s="68"/>
      <c r="E988" s="69"/>
      <c r="O988" s="68"/>
      <c r="P988" s="68"/>
      <c r="Q988" s="68"/>
      <c r="R988" s="68"/>
      <c r="S988" s="68"/>
    </row>
    <row r="989" spans="1:19" ht="15.75" customHeight="1">
      <c r="A989" s="68"/>
      <c r="B989" s="68"/>
      <c r="D989" s="68"/>
      <c r="E989" s="69"/>
      <c r="O989" s="68"/>
      <c r="P989" s="68"/>
      <c r="Q989" s="68"/>
      <c r="R989" s="68"/>
      <c r="S989" s="68"/>
    </row>
    <row r="990" spans="1:19" ht="15.75" customHeight="1">
      <c r="A990" s="68"/>
      <c r="B990" s="68"/>
      <c r="D990" s="68"/>
      <c r="E990" s="69"/>
      <c r="O990" s="68"/>
      <c r="P990" s="68"/>
      <c r="Q990" s="68"/>
      <c r="R990" s="68"/>
      <c r="S990" s="68"/>
    </row>
    <row r="991" spans="1:19" ht="15.75" customHeight="1">
      <c r="A991" s="68"/>
      <c r="B991" s="68"/>
      <c r="D991" s="68"/>
      <c r="E991" s="69"/>
      <c r="O991" s="68"/>
      <c r="P991" s="68"/>
      <c r="Q991" s="68"/>
      <c r="R991" s="68"/>
      <c r="S991" s="68"/>
    </row>
    <row r="992" spans="1:19" ht="15.75" customHeight="1">
      <c r="A992" s="68"/>
      <c r="B992" s="68"/>
      <c r="D992" s="68"/>
      <c r="E992" s="69"/>
      <c r="O992" s="68"/>
      <c r="P992" s="68"/>
      <c r="Q992" s="68"/>
      <c r="R992" s="68"/>
      <c r="S992" s="68"/>
    </row>
    <row r="993" spans="1:19" ht="15.75" customHeight="1">
      <c r="A993" s="68"/>
      <c r="B993" s="68"/>
      <c r="D993" s="68"/>
      <c r="E993" s="69"/>
      <c r="O993" s="68"/>
      <c r="P993" s="68"/>
      <c r="Q993" s="68"/>
      <c r="R993" s="68"/>
      <c r="S993" s="68"/>
    </row>
    <row r="994" spans="1:19" ht="15.75" customHeight="1">
      <c r="A994" s="68"/>
      <c r="B994" s="68"/>
      <c r="D994" s="68"/>
      <c r="E994" s="69"/>
      <c r="O994" s="68"/>
      <c r="P994" s="68"/>
      <c r="Q994" s="68"/>
      <c r="R994" s="68"/>
      <c r="S994" s="68"/>
    </row>
    <row r="995" spans="1:19" ht="15.75" customHeight="1">
      <c r="A995" s="68"/>
      <c r="B995" s="68"/>
      <c r="D995" s="68"/>
      <c r="E995" s="69"/>
      <c r="O995" s="68"/>
      <c r="P995" s="68"/>
      <c r="Q995" s="68"/>
      <c r="R995" s="68"/>
      <c r="S995" s="68"/>
    </row>
    <row r="996" spans="1:19" ht="15.75" customHeight="1">
      <c r="A996" s="68"/>
      <c r="B996" s="68"/>
      <c r="D996" s="68"/>
      <c r="E996" s="69"/>
      <c r="O996" s="68"/>
      <c r="P996" s="68"/>
      <c r="Q996" s="68"/>
      <c r="R996" s="68"/>
      <c r="S996" s="68"/>
    </row>
    <row r="997" spans="1:19" ht="15.75" customHeight="1">
      <c r="A997" s="68"/>
      <c r="B997" s="68"/>
      <c r="D997" s="68"/>
      <c r="E997" s="69"/>
      <c r="O997" s="68"/>
      <c r="P997" s="68"/>
      <c r="Q997" s="68"/>
      <c r="R997" s="68"/>
      <c r="S997" s="68"/>
    </row>
    <row r="998" spans="1:19" ht="15.75" customHeight="1">
      <c r="A998" s="68"/>
      <c r="B998" s="68"/>
      <c r="D998" s="68"/>
      <c r="E998" s="69"/>
      <c r="O998" s="68"/>
      <c r="P998" s="68"/>
      <c r="Q998" s="68"/>
      <c r="R998" s="68"/>
      <c r="S998" s="68"/>
    </row>
    <row r="999" spans="1:19" ht="15.75" customHeight="1">
      <c r="A999" s="68"/>
      <c r="B999" s="68"/>
      <c r="D999" s="68"/>
      <c r="E999" s="69"/>
      <c r="O999" s="68"/>
      <c r="P999" s="68"/>
      <c r="Q999" s="68"/>
      <c r="R999" s="68"/>
      <c r="S999" s="68"/>
    </row>
    <row r="1000" spans="1:19" ht="15.75" customHeight="1">
      <c r="A1000" s="68"/>
      <c r="B1000" s="68"/>
      <c r="D1000" s="68"/>
      <c r="E1000" s="69"/>
      <c r="O1000" s="68"/>
      <c r="P1000" s="68"/>
      <c r="Q1000" s="68"/>
      <c r="R1000" s="68"/>
      <c r="S1000" s="68"/>
    </row>
  </sheetData>
  <mergeCells count="425">
    <mergeCell ref="D238:D248"/>
    <mergeCell ref="D249:D253"/>
    <mergeCell ref="A224:A234"/>
    <mergeCell ref="B224:B234"/>
    <mergeCell ref="D224:D234"/>
    <mergeCell ref="A235:A237"/>
    <mergeCell ref="B235:B237"/>
    <mergeCell ref="D235:D237"/>
    <mergeCell ref="A238:A248"/>
    <mergeCell ref="B238:B248"/>
    <mergeCell ref="A249:A253"/>
    <mergeCell ref="B249:B253"/>
    <mergeCell ref="A157:A164"/>
    <mergeCell ref="B157:B164"/>
    <mergeCell ref="D201:D212"/>
    <mergeCell ref="D213:D222"/>
    <mergeCell ref="A177:A188"/>
    <mergeCell ref="B177:B188"/>
    <mergeCell ref="D177:D188"/>
    <mergeCell ref="A189:A200"/>
    <mergeCell ref="B189:B200"/>
    <mergeCell ref="D189:D200"/>
    <mergeCell ref="A201:A212"/>
    <mergeCell ref="B201:B212"/>
    <mergeCell ref="A213:A222"/>
    <mergeCell ref="B213:B222"/>
    <mergeCell ref="A166:A175"/>
    <mergeCell ref="B166:B175"/>
    <mergeCell ref="D166:D175"/>
    <mergeCell ref="E224:E226"/>
    <mergeCell ref="F224:F226"/>
    <mergeCell ref="E227:E229"/>
    <mergeCell ref="F227:F229"/>
    <mergeCell ref="E241:E243"/>
    <mergeCell ref="F241:F243"/>
    <mergeCell ref="E235:E237"/>
    <mergeCell ref="F235:F237"/>
    <mergeCell ref="E238:E240"/>
    <mergeCell ref="F238:F240"/>
    <mergeCell ref="E213:E214"/>
    <mergeCell ref="F213:F214"/>
    <mergeCell ref="G213:G214"/>
    <mergeCell ref="H213:H214"/>
    <mergeCell ref="H215:H216"/>
    <mergeCell ref="E251:E253"/>
    <mergeCell ref="F251:F253"/>
    <mergeCell ref="E255:E260"/>
    <mergeCell ref="F255:F260"/>
    <mergeCell ref="G255:G260"/>
    <mergeCell ref="E244:E248"/>
    <mergeCell ref="F244:F248"/>
    <mergeCell ref="E249:E250"/>
    <mergeCell ref="F249:F250"/>
    <mergeCell ref="E215:E216"/>
    <mergeCell ref="F215:F216"/>
    <mergeCell ref="E217:E218"/>
    <mergeCell ref="F217:F218"/>
    <mergeCell ref="E219:E220"/>
    <mergeCell ref="F219:F220"/>
    <mergeCell ref="E221:E222"/>
    <mergeCell ref="F221:F222"/>
    <mergeCell ref="E230:E234"/>
    <mergeCell ref="F230:F234"/>
    <mergeCell ref="G205:G208"/>
    <mergeCell ref="H205:H208"/>
    <mergeCell ref="G209:G212"/>
    <mergeCell ref="H209:H212"/>
    <mergeCell ref="E197:E200"/>
    <mergeCell ref="F197:F200"/>
    <mergeCell ref="G197:G200"/>
    <mergeCell ref="H197:H200"/>
    <mergeCell ref="H201:H204"/>
    <mergeCell ref="E201:E204"/>
    <mergeCell ref="F201:F204"/>
    <mergeCell ref="E205:E208"/>
    <mergeCell ref="F205:F208"/>
    <mergeCell ref="E209:E212"/>
    <mergeCell ref="F209:F212"/>
    <mergeCell ref="G219:G220"/>
    <mergeCell ref="H219:H220"/>
    <mergeCell ref="G238:G240"/>
    <mergeCell ref="G241:G243"/>
    <mergeCell ref="G244:G248"/>
    <mergeCell ref="G249:G250"/>
    <mergeCell ref="G251:G253"/>
    <mergeCell ref="H251:H253"/>
    <mergeCell ref="G221:G222"/>
    <mergeCell ref="H221:H222"/>
    <mergeCell ref="G224:G226"/>
    <mergeCell ref="G227:G229"/>
    <mergeCell ref="G230:G234"/>
    <mergeCell ref="G235:G237"/>
    <mergeCell ref="E185:E188"/>
    <mergeCell ref="F185:F188"/>
    <mergeCell ref="G185:G188"/>
    <mergeCell ref="G215:G216"/>
    <mergeCell ref="G217:G218"/>
    <mergeCell ref="H217:H218"/>
    <mergeCell ref="E177:E180"/>
    <mergeCell ref="F177:F180"/>
    <mergeCell ref="G177:G180"/>
    <mergeCell ref="H177:H180"/>
    <mergeCell ref="E181:E184"/>
    <mergeCell ref="F181:F184"/>
    <mergeCell ref="G181:G184"/>
    <mergeCell ref="H181:H184"/>
    <mergeCell ref="H185:H188"/>
    <mergeCell ref="E189:E192"/>
    <mergeCell ref="F189:F192"/>
    <mergeCell ref="G189:G192"/>
    <mergeCell ref="H189:H192"/>
    <mergeCell ref="E193:E196"/>
    <mergeCell ref="F193:F196"/>
    <mergeCell ref="G193:G196"/>
    <mergeCell ref="H193:H196"/>
    <mergeCell ref="G201:G204"/>
    <mergeCell ref="A134:A136"/>
    <mergeCell ref="B134:B136"/>
    <mergeCell ref="F137:F139"/>
    <mergeCell ref="G137:G139"/>
    <mergeCell ref="D134:D136"/>
    <mergeCell ref="E134:E136"/>
    <mergeCell ref="F134:F135"/>
    <mergeCell ref="G134:G135"/>
    <mergeCell ref="E137:E139"/>
    <mergeCell ref="A137:A155"/>
    <mergeCell ref="B137:B155"/>
    <mergeCell ref="D137:D155"/>
    <mergeCell ref="E151:E155"/>
    <mergeCell ref="F151:F155"/>
    <mergeCell ref="G151:G155"/>
    <mergeCell ref="A103:A117"/>
    <mergeCell ref="B103:B117"/>
    <mergeCell ref="D103:D117"/>
    <mergeCell ref="E106:E108"/>
    <mergeCell ref="A118:A125"/>
    <mergeCell ref="B118:B125"/>
    <mergeCell ref="D118:D125"/>
    <mergeCell ref="E122:E124"/>
    <mergeCell ref="A126:A132"/>
    <mergeCell ref="B126:B132"/>
    <mergeCell ref="D126:D132"/>
    <mergeCell ref="F161:F164"/>
    <mergeCell ref="G161:G164"/>
    <mergeCell ref="D157:D164"/>
    <mergeCell ref="E158:E160"/>
    <mergeCell ref="F158:F160"/>
    <mergeCell ref="G158:G160"/>
    <mergeCell ref="E161:E164"/>
    <mergeCell ref="A344:A348"/>
    <mergeCell ref="B344:B348"/>
    <mergeCell ref="D344:D348"/>
    <mergeCell ref="F334:F337"/>
    <mergeCell ref="G334:G337"/>
    <mergeCell ref="E338:E339"/>
    <mergeCell ref="F338:F339"/>
    <mergeCell ref="G338:G339"/>
    <mergeCell ref="E340:E343"/>
    <mergeCell ref="F340:F343"/>
    <mergeCell ref="G340:G343"/>
    <mergeCell ref="A333:A343"/>
    <mergeCell ref="B333:B343"/>
    <mergeCell ref="D333:D343"/>
    <mergeCell ref="E334:E337"/>
    <mergeCell ref="E328:E330"/>
    <mergeCell ref="F328:F330"/>
    <mergeCell ref="A349:A354"/>
    <mergeCell ref="B349:B354"/>
    <mergeCell ref="A355:A356"/>
    <mergeCell ref="B355:B356"/>
    <mergeCell ref="D355:D356"/>
    <mergeCell ref="A357:A361"/>
    <mergeCell ref="B357:B361"/>
    <mergeCell ref="D357:D361"/>
    <mergeCell ref="E379:E384"/>
    <mergeCell ref="A362:A363"/>
    <mergeCell ref="B362:B363"/>
    <mergeCell ref="A364:A368"/>
    <mergeCell ref="B364:B368"/>
    <mergeCell ref="A373:A378"/>
    <mergeCell ref="B373:B378"/>
    <mergeCell ref="A379:A387"/>
    <mergeCell ref="B379:B387"/>
    <mergeCell ref="A369:A370"/>
    <mergeCell ref="B369:B370"/>
    <mergeCell ref="A371:A372"/>
    <mergeCell ref="B371:B372"/>
    <mergeCell ref="F379:F384"/>
    <mergeCell ref="G379:G384"/>
    <mergeCell ref="D373:D378"/>
    <mergeCell ref="D379:D387"/>
    <mergeCell ref="F353:F354"/>
    <mergeCell ref="G353:G354"/>
    <mergeCell ref="D349:D354"/>
    <mergeCell ref="E349:E352"/>
    <mergeCell ref="F349:F352"/>
    <mergeCell ref="G349:G352"/>
    <mergeCell ref="E353:E354"/>
    <mergeCell ref="D364:D368"/>
    <mergeCell ref="E367:E368"/>
    <mergeCell ref="D362:D363"/>
    <mergeCell ref="D369:D370"/>
    <mergeCell ref="G328:G330"/>
    <mergeCell ref="E331:E332"/>
    <mergeCell ref="F331:F332"/>
    <mergeCell ref="G331:G332"/>
    <mergeCell ref="A324:A332"/>
    <mergeCell ref="B324:B332"/>
    <mergeCell ref="D324:D332"/>
    <mergeCell ref="E325:E327"/>
    <mergeCell ref="E318:E320"/>
    <mergeCell ref="F318:F320"/>
    <mergeCell ref="G318:G320"/>
    <mergeCell ref="A314:A323"/>
    <mergeCell ref="B314:B323"/>
    <mergeCell ref="D314:D323"/>
    <mergeCell ref="E314:E317"/>
    <mergeCell ref="F325:F327"/>
    <mergeCell ref="G325:G327"/>
    <mergeCell ref="E308:E313"/>
    <mergeCell ref="F308:F313"/>
    <mergeCell ref="G308:G313"/>
    <mergeCell ref="H308:H313"/>
    <mergeCell ref="A302:A313"/>
    <mergeCell ref="B302:B313"/>
    <mergeCell ref="D302:D313"/>
    <mergeCell ref="E302:E307"/>
    <mergeCell ref="F314:F317"/>
    <mergeCell ref="G314:G317"/>
    <mergeCell ref="E297:E300"/>
    <mergeCell ref="F297:F300"/>
    <mergeCell ref="G297:G300"/>
    <mergeCell ref="H297:H300"/>
    <mergeCell ref="F302:F307"/>
    <mergeCell ref="G302:G307"/>
    <mergeCell ref="A289:A300"/>
    <mergeCell ref="B289:B300"/>
    <mergeCell ref="D289:D300"/>
    <mergeCell ref="E289:E292"/>
    <mergeCell ref="F289:F292"/>
    <mergeCell ref="G289:G292"/>
    <mergeCell ref="H289:H292"/>
    <mergeCell ref="E293:E296"/>
    <mergeCell ref="F293:F296"/>
    <mergeCell ref="G293:G296"/>
    <mergeCell ref="H293:H296"/>
    <mergeCell ref="A277:A288"/>
    <mergeCell ref="B277:B288"/>
    <mergeCell ref="D277:D288"/>
    <mergeCell ref="E277:E280"/>
    <mergeCell ref="H265:H268"/>
    <mergeCell ref="E269:E272"/>
    <mergeCell ref="F269:F272"/>
    <mergeCell ref="H269:H272"/>
    <mergeCell ref="E273:E276"/>
    <mergeCell ref="F273:F276"/>
    <mergeCell ref="G273:G276"/>
    <mergeCell ref="H273:H276"/>
    <mergeCell ref="F277:F280"/>
    <mergeCell ref="G277:G280"/>
    <mergeCell ref="H277:H280"/>
    <mergeCell ref="E281:E284"/>
    <mergeCell ref="F281:F284"/>
    <mergeCell ref="G281:G284"/>
    <mergeCell ref="H281:H284"/>
    <mergeCell ref="E285:E288"/>
    <mergeCell ref="F285:F288"/>
    <mergeCell ref="G285:G288"/>
    <mergeCell ref="H285:H288"/>
    <mergeCell ref="D263:D264"/>
    <mergeCell ref="D265:D276"/>
    <mergeCell ref="G269:G272"/>
    <mergeCell ref="A255:A260"/>
    <mergeCell ref="B255:B260"/>
    <mergeCell ref="D255:D260"/>
    <mergeCell ref="A261:A262"/>
    <mergeCell ref="B261:B262"/>
    <mergeCell ref="D261:D262"/>
    <mergeCell ref="E265:E268"/>
    <mergeCell ref="F265:F268"/>
    <mergeCell ref="G265:G268"/>
    <mergeCell ref="A263:A264"/>
    <mergeCell ref="B263:B264"/>
    <mergeCell ref="A265:A276"/>
    <mergeCell ref="B265:B276"/>
    <mergeCell ref="F122:F124"/>
    <mergeCell ref="G122:G124"/>
    <mergeCell ref="E114:E115"/>
    <mergeCell ref="E148:E150"/>
    <mergeCell ref="F148:F150"/>
    <mergeCell ref="G148:G150"/>
    <mergeCell ref="H158:H160"/>
    <mergeCell ref="E140:E142"/>
    <mergeCell ref="F140:F142"/>
    <mergeCell ref="G140:G142"/>
    <mergeCell ref="E143:E147"/>
    <mergeCell ref="F143:F147"/>
    <mergeCell ref="G143:G147"/>
    <mergeCell ref="F106:F108"/>
    <mergeCell ref="G106:G108"/>
    <mergeCell ref="E110:E112"/>
    <mergeCell ref="F110:F112"/>
    <mergeCell ref="G110:G112"/>
    <mergeCell ref="E116:E117"/>
    <mergeCell ref="E118:E120"/>
    <mergeCell ref="F118:F120"/>
    <mergeCell ref="G118:G120"/>
    <mergeCell ref="F94:F99"/>
    <mergeCell ref="G94:G99"/>
    <mergeCell ref="A94:A102"/>
    <mergeCell ref="B94:B102"/>
    <mergeCell ref="D94:D102"/>
    <mergeCell ref="E94:E99"/>
    <mergeCell ref="A73:A81"/>
    <mergeCell ref="B73:B81"/>
    <mergeCell ref="D73:D81"/>
    <mergeCell ref="E73:E79"/>
    <mergeCell ref="A82:A93"/>
    <mergeCell ref="B82:B93"/>
    <mergeCell ref="D82:D93"/>
    <mergeCell ref="E82:E84"/>
    <mergeCell ref="E85:E87"/>
    <mergeCell ref="F85:F87"/>
    <mergeCell ref="G85:G87"/>
    <mergeCell ref="E88:E90"/>
    <mergeCell ref="F88:F90"/>
    <mergeCell ref="G88:G90"/>
    <mergeCell ref="E91:E93"/>
    <mergeCell ref="F91:F93"/>
    <mergeCell ref="G91:G93"/>
    <mergeCell ref="F73:F79"/>
    <mergeCell ref="G73:G79"/>
    <mergeCell ref="M80:M81"/>
    <mergeCell ref="A58:A62"/>
    <mergeCell ref="B58:B62"/>
    <mergeCell ref="A63:A68"/>
    <mergeCell ref="B63:B68"/>
    <mergeCell ref="F82:F84"/>
    <mergeCell ref="G82:G84"/>
    <mergeCell ref="F65:F68"/>
    <mergeCell ref="G65:G68"/>
    <mergeCell ref="D63:D68"/>
    <mergeCell ref="E65:E68"/>
    <mergeCell ref="F70:F72"/>
    <mergeCell ref="G70:G72"/>
    <mergeCell ref="A69:A72"/>
    <mergeCell ref="B69:B72"/>
    <mergeCell ref="D69:D72"/>
    <mergeCell ref="E70:E72"/>
    <mergeCell ref="E63:E64"/>
    <mergeCell ref="F63:F64"/>
    <mergeCell ref="G63:G64"/>
    <mergeCell ref="E55:E56"/>
    <mergeCell ref="D58:D62"/>
    <mergeCell ref="E58:E59"/>
    <mergeCell ref="F58:F59"/>
    <mergeCell ref="G58:G59"/>
    <mergeCell ref="G60:G62"/>
    <mergeCell ref="G55:G56"/>
    <mergeCell ref="A48:A57"/>
    <mergeCell ref="B48:B57"/>
    <mergeCell ref="D48:D57"/>
    <mergeCell ref="E50:E52"/>
    <mergeCell ref="F50:F52"/>
    <mergeCell ref="F55:F56"/>
    <mergeCell ref="E60:E62"/>
    <mergeCell ref="F60:F62"/>
    <mergeCell ref="H40:H42"/>
    <mergeCell ref="A21:A37"/>
    <mergeCell ref="B21:B37"/>
    <mergeCell ref="D21:D37"/>
    <mergeCell ref="A38:A47"/>
    <mergeCell ref="B38:B47"/>
    <mergeCell ref="G50:G52"/>
    <mergeCell ref="H50:H52"/>
    <mergeCell ref="E53:E54"/>
    <mergeCell ref="E45:E46"/>
    <mergeCell ref="E48:E49"/>
    <mergeCell ref="F48:F49"/>
    <mergeCell ref="G48:G49"/>
    <mergeCell ref="F45:F46"/>
    <mergeCell ref="G45:G46"/>
    <mergeCell ref="D38:D47"/>
    <mergeCell ref="E40:E42"/>
    <mergeCell ref="F40:F42"/>
    <mergeCell ref="G40:G42"/>
    <mergeCell ref="F34:F37"/>
    <mergeCell ref="G34:G37"/>
    <mergeCell ref="E38:E39"/>
    <mergeCell ref="F38:F39"/>
    <mergeCell ref="G38:G39"/>
    <mergeCell ref="E30:E33"/>
    <mergeCell ref="F30:F33"/>
    <mergeCell ref="G30:G33"/>
    <mergeCell ref="E34:E37"/>
    <mergeCell ref="A4:A5"/>
    <mergeCell ref="B4:B5"/>
    <mergeCell ref="D4:D5"/>
    <mergeCell ref="E4:E5"/>
    <mergeCell ref="E9:E11"/>
    <mergeCell ref="E12:E15"/>
    <mergeCell ref="F12:F15"/>
    <mergeCell ref="G12:G15"/>
    <mergeCell ref="F4:F5"/>
    <mergeCell ref="G4:G5"/>
    <mergeCell ref="E6:E8"/>
    <mergeCell ref="F6:F8"/>
    <mergeCell ref="G6:G8"/>
    <mergeCell ref="F9:F11"/>
    <mergeCell ref="G9:G11"/>
    <mergeCell ref="A6:A19"/>
    <mergeCell ref="B6:B19"/>
    <mergeCell ref="D6:D19"/>
    <mergeCell ref="E16:E19"/>
    <mergeCell ref="F16:F19"/>
    <mergeCell ref="G16:G19"/>
    <mergeCell ref="E21:E23"/>
    <mergeCell ref="E24:E26"/>
    <mergeCell ref="F24:F26"/>
    <mergeCell ref="G24:G26"/>
    <mergeCell ref="E27:E29"/>
    <mergeCell ref="F27:F29"/>
    <mergeCell ref="G27:G29"/>
    <mergeCell ref="F21:F23"/>
    <mergeCell ref="G21:G23"/>
  </mergeCells>
  <conditionalFormatting sqref="I3:J3">
    <cfRule type="cellIs" dxfId="1488" priority="1" stopIfTrue="1" operator="equal">
      <formula>"OK"</formula>
    </cfRule>
  </conditionalFormatting>
  <conditionalFormatting sqref="I3:J3">
    <cfRule type="cellIs" dxfId="1487" priority="2" stopIfTrue="1" operator="equal">
      <formula>"Fail"</formula>
    </cfRule>
  </conditionalFormatting>
  <conditionalFormatting sqref="I3:J3">
    <cfRule type="cellIs" dxfId="1486" priority="3" stopIfTrue="1" operator="equal">
      <formula>"OK"</formula>
    </cfRule>
  </conditionalFormatting>
  <conditionalFormatting sqref="I3:J3">
    <cfRule type="cellIs" dxfId="1485" priority="4" stopIfTrue="1" operator="equal">
      <formula>"Fail"</formula>
    </cfRule>
  </conditionalFormatting>
  <conditionalFormatting sqref="K3:K130 L3:L19 L38:L47 L58:L62 L69:L72 K133:L133 L213:L214 K223:L223 L251:L253 K301:L301 L308:L313">
    <cfRule type="containsText" dxfId="1484" priority="5" operator="containsText" text="NG">
      <formula>NOT(ISERROR(SEARCH(("NG"),(K3))))</formula>
    </cfRule>
  </conditionalFormatting>
  <conditionalFormatting sqref="K3:K130 L3:L19 L38:L47 L58:L62 L69:L72 K133:L133 L213:L214 K223:L223 L251:L253 K301:L301 L308:L313">
    <cfRule type="containsText" dxfId="1483" priority="6" operator="containsText" text="OK">
      <formula>NOT(ISERROR(SEARCH(("OK"),(K3))))</formula>
    </cfRule>
  </conditionalFormatting>
  <conditionalFormatting sqref="I133:J133 I223:J223 I301:J301">
    <cfRule type="cellIs" dxfId="1482" priority="7" stopIfTrue="1" operator="equal">
      <formula>"OK"</formula>
    </cfRule>
  </conditionalFormatting>
  <conditionalFormatting sqref="I133:J133 I223:J223 I301:J301">
    <cfRule type="cellIs" dxfId="1481" priority="8" stopIfTrue="1" operator="equal">
      <formula>"Fail"</formula>
    </cfRule>
  </conditionalFormatting>
  <conditionalFormatting sqref="I133:J133 I223:J223 I301:J301">
    <cfRule type="cellIs" dxfId="1480" priority="9" stopIfTrue="1" operator="equal">
      <formula>"OK"</formula>
    </cfRule>
  </conditionalFormatting>
  <conditionalFormatting sqref="I133:J133 I223:J223 I301:J301">
    <cfRule type="cellIs" dxfId="1479" priority="10" stopIfTrue="1" operator="equal">
      <formula>"Fail"</formula>
    </cfRule>
  </conditionalFormatting>
  <conditionalFormatting sqref="L73:L77 L80:L93">
    <cfRule type="containsText" dxfId="1478" priority="11" operator="containsText" text="NG">
      <formula>NOT(ISERROR(SEARCH(("NG"),(L73))))</formula>
    </cfRule>
  </conditionalFormatting>
  <conditionalFormatting sqref="L73:L77 L80:L93">
    <cfRule type="containsText" dxfId="1477" priority="12" operator="containsText" text="OK">
      <formula>NOT(ISERROR(SEARCH(("OK"),(L73))))</formula>
    </cfRule>
  </conditionalFormatting>
  <conditionalFormatting sqref="K134:K222 L134:L135 L137:L155 L157 L161:L164 L166:L175">
    <cfRule type="containsText" dxfId="1476" priority="13" operator="containsText" text="NG">
      <formula>NOT(ISERROR(SEARCH(("NG"),(K134))))</formula>
    </cfRule>
  </conditionalFormatting>
  <conditionalFormatting sqref="K134:K222 L134:L135 L137:L155 L157 L161:L164 L166:L175">
    <cfRule type="containsText" dxfId="1475" priority="14" operator="containsText" text="OK">
      <formula>NOT(ISERROR(SEARCH(("OK"),(K134))))</formula>
    </cfRule>
  </conditionalFormatting>
  <conditionalFormatting sqref="L177:L188">
    <cfRule type="containsText" dxfId="1474" priority="15" operator="containsText" text="NG">
      <formula>NOT(ISERROR(SEARCH(("NG"),(L177))))</formula>
    </cfRule>
  </conditionalFormatting>
  <conditionalFormatting sqref="L177:L188">
    <cfRule type="containsText" dxfId="1473" priority="16" operator="containsText" text="OK">
      <formula>NOT(ISERROR(SEARCH(("OK"),(L177))))</formula>
    </cfRule>
  </conditionalFormatting>
  <conditionalFormatting sqref="L189:L200">
    <cfRule type="containsText" dxfId="1472" priority="17" operator="containsText" text="NG">
      <formula>NOT(ISERROR(SEARCH(("NG"),(L189))))</formula>
    </cfRule>
  </conditionalFormatting>
  <conditionalFormatting sqref="L189:L200">
    <cfRule type="containsText" dxfId="1471" priority="18" operator="containsText" text="OK">
      <formula>NOT(ISERROR(SEARCH(("OK"),(L189))))</formula>
    </cfRule>
  </conditionalFormatting>
  <conditionalFormatting sqref="L201:L212">
    <cfRule type="containsText" dxfId="1470" priority="19" operator="containsText" text="NG">
      <formula>NOT(ISERROR(SEARCH(("NG"),(L201))))</formula>
    </cfRule>
  </conditionalFormatting>
  <conditionalFormatting sqref="L201:L212">
    <cfRule type="containsText" dxfId="1469" priority="20" operator="containsText" text="OK">
      <formula>NOT(ISERROR(SEARCH(("OK"),(L201))))</formula>
    </cfRule>
  </conditionalFormatting>
  <conditionalFormatting sqref="K224:K300 L224:L234 L241:L250 L255:L260">
    <cfRule type="containsText" dxfId="1468" priority="21" operator="containsText" text="NG">
      <formula>NOT(ISERROR(SEARCH(("NG"),(K224))))</formula>
    </cfRule>
  </conditionalFormatting>
  <conditionalFormatting sqref="K224:K300 L224:L234 L241:L250 L255:L260">
    <cfRule type="containsText" dxfId="1467" priority="22" operator="containsText" text="OK">
      <formula>NOT(ISERROR(SEARCH(("OK"),(K224))))</formula>
    </cfRule>
  </conditionalFormatting>
  <conditionalFormatting sqref="L261:L264">
    <cfRule type="containsText" dxfId="1466" priority="23" operator="containsText" text="NG">
      <formula>NOT(ISERROR(SEARCH(("NG"),(L261))))</formula>
    </cfRule>
  </conditionalFormatting>
  <conditionalFormatting sqref="L261:L264">
    <cfRule type="containsText" dxfId="1465" priority="24" operator="containsText" text="OK">
      <formula>NOT(ISERROR(SEARCH(("OK"),(L261))))</formula>
    </cfRule>
  </conditionalFormatting>
  <conditionalFormatting sqref="L238:L240">
    <cfRule type="containsText" dxfId="1464" priority="25" operator="containsText" text="NG">
      <formula>NOT(ISERROR(SEARCH(("NG"),(L238))))</formula>
    </cfRule>
  </conditionalFormatting>
  <conditionalFormatting sqref="L238:L240">
    <cfRule type="containsText" dxfId="1463" priority="26" operator="containsText" text="OK">
      <formula>NOT(ISERROR(SEARCH(("OK"),(L238))))</formula>
    </cfRule>
  </conditionalFormatting>
  <conditionalFormatting sqref="L265:L276">
    <cfRule type="containsText" dxfId="1462" priority="27" operator="containsText" text="NG">
      <formula>NOT(ISERROR(SEARCH(("NG"),(L265))))</formula>
    </cfRule>
  </conditionalFormatting>
  <conditionalFormatting sqref="L265:L276">
    <cfRule type="containsText" dxfId="1461" priority="28" operator="containsText" text="OK">
      <formula>NOT(ISERROR(SEARCH(("OK"),(L265))))</formula>
    </cfRule>
  </conditionalFormatting>
  <conditionalFormatting sqref="L277:L288">
    <cfRule type="containsText" dxfId="1460" priority="29" operator="containsText" text="NG">
      <formula>NOT(ISERROR(SEARCH(("NG"),(L277))))</formula>
    </cfRule>
  </conditionalFormatting>
  <conditionalFormatting sqref="L277:L288">
    <cfRule type="containsText" dxfId="1459" priority="30" operator="containsText" text="OK">
      <formula>NOT(ISERROR(SEARCH(("OK"),(L277))))</formula>
    </cfRule>
  </conditionalFormatting>
  <conditionalFormatting sqref="L289:L300">
    <cfRule type="containsText" dxfId="1458" priority="31" operator="containsText" text="NG">
      <formula>NOT(ISERROR(SEARCH(("NG"),(L289))))</formula>
    </cfRule>
  </conditionalFormatting>
  <conditionalFormatting sqref="L289:L300">
    <cfRule type="containsText" dxfId="1457" priority="32" operator="containsText" text="OK">
      <formula>NOT(ISERROR(SEARCH(("OK"),(L289))))</formula>
    </cfRule>
  </conditionalFormatting>
  <conditionalFormatting sqref="K302:K365 L302:L307">
    <cfRule type="containsText" dxfId="1456" priority="33" operator="containsText" text="NG">
      <formula>NOT(ISERROR(SEARCH(("NG"),(K302))))</formula>
    </cfRule>
  </conditionalFormatting>
  <conditionalFormatting sqref="K302:K365 L302:L307">
    <cfRule type="containsText" dxfId="1455" priority="34" operator="containsText" text="OK">
      <formula>NOT(ISERROR(SEARCH(("OK"),(K302))))</formula>
    </cfRule>
  </conditionalFormatting>
  <conditionalFormatting sqref="L314:L323">
    <cfRule type="containsText" dxfId="1454" priority="35" operator="containsText" text="NG">
      <formula>NOT(ISERROR(SEARCH(("NG"),(L314))))</formula>
    </cfRule>
  </conditionalFormatting>
  <conditionalFormatting sqref="L314:L323">
    <cfRule type="containsText" dxfId="1453" priority="36" operator="containsText" text="OK">
      <formula>NOT(ISERROR(SEARCH(("OK"),(L314))))</formula>
    </cfRule>
  </conditionalFormatting>
  <conditionalFormatting sqref="L324:L332">
    <cfRule type="containsText" dxfId="1452" priority="37" operator="containsText" text="NG">
      <formula>NOT(ISERROR(SEARCH(("NG"),(L324))))</formula>
    </cfRule>
  </conditionalFormatting>
  <conditionalFormatting sqref="L324:L332">
    <cfRule type="containsText" dxfId="1451" priority="38" operator="containsText" text="OK">
      <formula>NOT(ISERROR(SEARCH(("OK"),(L324))))</formula>
    </cfRule>
  </conditionalFormatting>
  <conditionalFormatting sqref="L333:L343">
    <cfRule type="containsText" dxfId="1450" priority="39" operator="containsText" text="NG">
      <formula>NOT(ISERROR(SEARCH(("NG"),(L333))))</formula>
    </cfRule>
  </conditionalFormatting>
  <conditionalFormatting sqref="L333:L343">
    <cfRule type="containsText" dxfId="1449" priority="40" operator="containsText" text="OK">
      <formula>NOT(ISERROR(SEARCH(("OK"),(L333))))</formula>
    </cfRule>
  </conditionalFormatting>
  <conditionalFormatting sqref="L344:L354 K366:K387">
    <cfRule type="containsText" dxfId="1448" priority="41" operator="containsText" text="NG">
      <formula>NOT(ISERROR(SEARCH(("NG"),(L344))))</formula>
    </cfRule>
  </conditionalFormatting>
  <conditionalFormatting sqref="L344:L354 K366:K387">
    <cfRule type="containsText" dxfId="1447" priority="42" operator="containsText" text="OK">
      <formula>NOT(ISERROR(SEARCH(("OK"),(L344))))</formula>
    </cfRule>
  </conditionalFormatting>
  <conditionalFormatting sqref="L355:L356">
    <cfRule type="containsText" dxfId="1446" priority="43" operator="containsText" text="NG">
      <formula>NOT(ISERROR(SEARCH(("NG"),(L355))))</formula>
    </cfRule>
  </conditionalFormatting>
  <conditionalFormatting sqref="L355:L356">
    <cfRule type="containsText" dxfId="1445" priority="44" operator="containsText" text="OK">
      <formula>NOT(ISERROR(SEARCH(("OK"),(L355))))</formula>
    </cfRule>
  </conditionalFormatting>
  <conditionalFormatting sqref="L357:L361">
    <cfRule type="containsText" dxfId="1444" priority="45" operator="containsText" text="NG">
      <formula>NOT(ISERROR(SEARCH(("NG"),(L357))))</formula>
    </cfRule>
  </conditionalFormatting>
  <conditionalFormatting sqref="L357:L361">
    <cfRule type="containsText" dxfId="1443" priority="46" operator="containsText" text="OK">
      <formula>NOT(ISERROR(SEARCH(("OK"),(L357))))</formula>
    </cfRule>
  </conditionalFormatting>
  <conditionalFormatting sqref="L158:L160">
    <cfRule type="containsText" dxfId="1442" priority="47" operator="containsText" text="NG">
      <formula>NOT(ISERROR(SEARCH(("NG"),(L158))))</formula>
    </cfRule>
  </conditionalFormatting>
  <conditionalFormatting sqref="L158:L160">
    <cfRule type="containsText" dxfId="1441" priority="48" operator="containsText" text="OK">
      <formula>NOT(ISERROR(SEARCH(("OK"),(L158))))</formula>
    </cfRule>
  </conditionalFormatting>
  <conditionalFormatting sqref="L136">
    <cfRule type="containsText" dxfId="1440" priority="49" operator="containsText" text="NG">
      <formula>NOT(ISERROR(SEARCH(("NG"),(L136))))</formula>
    </cfRule>
  </conditionalFormatting>
  <conditionalFormatting sqref="L136">
    <cfRule type="containsText" dxfId="1439" priority="50" operator="containsText" text="OK">
      <formula>NOT(ISERROR(SEARCH(("OK"),(L136))))</formula>
    </cfRule>
  </conditionalFormatting>
  <conditionalFormatting sqref="L217:L218">
    <cfRule type="containsText" dxfId="1438" priority="51" operator="containsText" text="NG">
      <formula>NOT(ISERROR(SEARCH(("NG"),(L217))))</formula>
    </cfRule>
  </conditionalFormatting>
  <conditionalFormatting sqref="L217:L218">
    <cfRule type="containsText" dxfId="1437" priority="52" operator="containsText" text="OK">
      <formula>NOT(ISERROR(SEARCH(("OK"),(L217))))</formula>
    </cfRule>
  </conditionalFormatting>
  <conditionalFormatting sqref="L215:L216">
    <cfRule type="containsText" dxfId="1436" priority="53" operator="containsText" text="NG">
      <formula>NOT(ISERROR(SEARCH(("NG"),(L215))))</formula>
    </cfRule>
  </conditionalFormatting>
  <conditionalFormatting sqref="L215:L216">
    <cfRule type="containsText" dxfId="1435" priority="54" operator="containsText" text="OK">
      <formula>NOT(ISERROR(SEARCH(("OK"),(L215))))</formula>
    </cfRule>
  </conditionalFormatting>
  <conditionalFormatting sqref="L219:L220">
    <cfRule type="containsText" dxfId="1434" priority="55" operator="containsText" text="NG">
      <formula>NOT(ISERROR(SEARCH(("NG"),(L219))))</formula>
    </cfRule>
  </conditionalFormatting>
  <conditionalFormatting sqref="L219:L220">
    <cfRule type="containsText" dxfId="1433" priority="56" operator="containsText" text="OK">
      <formula>NOT(ISERROR(SEARCH(("OK"),(L219))))</formula>
    </cfRule>
  </conditionalFormatting>
  <conditionalFormatting sqref="L221:L222">
    <cfRule type="containsText" dxfId="1432" priority="57" operator="containsText" text="NG">
      <formula>NOT(ISERROR(SEARCH(("NG"),(L221))))</formula>
    </cfRule>
  </conditionalFormatting>
  <conditionalFormatting sqref="L221:L222">
    <cfRule type="containsText" dxfId="1431" priority="58" operator="containsText" text="OK">
      <formula>NOT(ISERROR(SEARCH(("OK"),(L221))))</formula>
    </cfRule>
  </conditionalFormatting>
  <conditionalFormatting sqref="L103:L117 K131:K132">
    <cfRule type="containsText" dxfId="1430" priority="59" operator="containsText" text="NG">
      <formula>NOT(ISERROR(SEARCH(("NG"),(L103))))</formula>
    </cfRule>
  </conditionalFormatting>
  <conditionalFormatting sqref="L103:L117 K131:K132">
    <cfRule type="containsText" dxfId="1429" priority="60" operator="containsText" text="OK">
      <formula>NOT(ISERROR(SEARCH(("OK"),(L103))))</formula>
    </cfRule>
  </conditionalFormatting>
  <conditionalFormatting sqref="L126:L132">
    <cfRule type="containsText" dxfId="1428" priority="61" operator="containsText" text="NG">
      <formula>NOT(ISERROR(SEARCH(("NG"),(L126))))</formula>
    </cfRule>
  </conditionalFormatting>
  <conditionalFormatting sqref="L126:L132">
    <cfRule type="containsText" dxfId="1427" priority="62" operator="containsText" text="OK">
      <formula>NOT(ISERROR(SEARCH(("OK"),(L126))))</formula>
    </cfRule>
  </conditionalFormatting>
  <conditionalFormatting sqref="L78:L79">
    <cfRule type="containsText" dxfId="1426" priority="63" operator="containsText" text="NG">
      <formula>NOT(ISERROR(SEARCH(("NG"),(L78))))</formula>
    </cfRule>
  </conditionalFormatting>
  <conditionalFormatting sqref="L78:L79">
    <cfRule type="containsText" dxfId="1425" priority="64" operator="containsText" text="OK">
      <formula>NOT(ISERROR(SEARCH(("OK"),(L78))))</formula>
    </cfRule>
  </conditionalFormatting>
  <conditionalFormatting sqref="L20">
    <cfRule type="containsText" dxfId="1424" priority="65" operator="containsText" text="NG">
      <formula>NOT(ISERROR(SEARCH(("NG"),(L20))))</formula>
    </cfRule>
  </conditionalFormatting>
  <conditionalFormatting sqref="L20">
    <cfRule type="containsText" dxfId="1423" priority="66" operator="containsText" text="OK">
      <formula>NOT(ISERROR(SEARCH(("OK"),(L20))))</formula>
    </cfRule>
  </conditionalFormatting>
  <conditionalFormatting sqref="L21:L37">
    <cfRule type="containsText" dxfId="1422" priority="67" operator="containsText" text="NG">
      <formula>NOT(ISERROR(SEARCH(("NG"),(L21))))</formula>
    </cfRule>
  </conditionalFormatting>
  <conditionalFormatting sqref="L21:L37">
    <cfRule type="containsText" dxfId="1421" priority="68" operator="containsText" text="OK">
      <formula>NOT(ISERROR(SEARCH(("OK"),(L21))))</formula>
    </cfRule>
  </conditionalFormatting>
  <conditionalFormatting sqref="L48:L57">
    <cfRule type="containsText" dxfId="1420" priority="69" operator="containsText" text="NG">
      <formula>NOT(ISERROR(SEARCH(("NG"),(L48))))</formula>
    </cfRule>
  </conditionalFormatting>
  <conditionalFormatting sqref="L48:L57">
    <cfRule type="containsText" dxfId="1419" priority="70" operator="containsText" text="OK">
      <formula>NOT(ISERROR(SEARCH(("OK"),(L48))))</formula>
    </cfRule>
  </conditionalFormatting>
  <conditionalFormatting sqref="L63:L68">
    <cfRule type="containsText" dxfId="1418" priority="71" operator="containsText" text="NG">
      <formula>NOT(ISERROR(SEARCH(("NG"),(L63))))</formula>
    </cfRule>
  </conditionalFormatting>
  <conditionalFormatting sqref="L63:L68">
    <cfRule type="containsText" dxfId="1417" priority="72" operator="containsText" text="OK">
      <formula>NOT(ISERROR(SEARCH(("OK"),(L63))))</formula>
    </cfRule>
  </conditionalFormatting>
  <conditionalFormatting sqref="L94:L102">
    <cfRule type="containsText" dxfId="1416" priority="73" operator="containsText" text="NG">
      <formula>NOT(ISERROR(SEARCH(("NG"),(L94))))</formula>
    </cfRule>
  </conditionalFormatting>
  <conditionalFormatting sqref="L94:L102">
    <cfRule type="containsText" dxfId="1415" priority="74" operator="containsText" text="OK">
      <formula>NOT(ISERROR(SEARCH(("OK"),(L94))))</formula>
    </cfRule>
  </conditionalFormatting>
  <conditionalFormatting sqref="L118:L125">
    <cfRule type="containsText" dxfId="1414" priority="75" operator="containsText" text="NG">
      <formula>NOT(ISERROR(SEARCH(("NG"),(L118))))</formula>
    </cfRule>
  </conditionalFormatting>
  <conditionalFormatting sqref="L118:L125">
    <cfRule type="containsText" dxfId="1413" priority="76" operator="containsText" text="OK">
      <formula>NOT(ISERROR(SEARCH(("OK"),(L118))))</formula>
    </cfRule>
  </conditionalFormatting>
  <conditionalFormatting sqref="L156">
    <cfRule type="containsText" dxfId="1412" priority="77" operator="containsText" text="NG">
      <formula>NOT(ISERROR(SEARCH(("NG"),(L156))))</formula>
    </cfRule>
  </conditionalFormatting>
  <conditionalFormatting sqref="L156">
    <cfRule type="containsText" dxfId="1411" priority="78" operator="containsText" text="OK">
      <formula>NOT(ISERROR(SEARCH(("OK"),(L156))))</formula>
    </cfRule>
  </conditionalFormatting>
  <conditionalFormatting sqref="L165">
    <cfRule type="containsText" dxfId="1410" priority="79" operator="containsText" text="NG">
      <formula>NOT(ISERROR(SEARCH(("NG"),(L165))))</formula>
    </cfRule>
  </conditionalFormatting>
  <conditionalFormatting sqref="L165">
    <cfRule type="containsText" dxfId="1409" priority="80" operator="containsText" text="OK">
      <formula>NOT(ISERROR(SEARCH(("OK"),(L165))))</formula>
    </cfRule>
  </conditionalFormatting>
  <conditionalFormatting sqref="L176">
    <cfRule type="containsText" dxfId="1408" priority="81" operator="containsText" text="NG">
      <formula>NOT(ISERROR(SEARCH(("NG"),(L176))))</formula>
    </cfRule>
  </conditionalFormatting>
  <conditionalFormatting sqref="L176">
    <cfRule type="containsText" dxfId="1407" priority="82" operator="containsText" text="OK">
      <formula>NOT(ISERROR(SEARCH(("OK"),(L176))))</formula>
    </cfRule>
  </conditionalFormatting>
  <conditionalFormatting sqref="L235:L237">
    <cfRule type="containsText" dxfId="1406" priority="83" operator="containsText" text="NG">
      <formula>NOT(ISERROR(SEARCH(("NG"),(L235))))</formula>
    </cfRule>
  </conditionalFormatting>
  <conditionalFormatting sqref="L235:L237">
    <cfRule type="containsText" dxfId="1405" priority="84" operator="containsText" text="OK">
      <formula>NOT(ISERROR(SEARCH(("OK"),(L235))))</formula>
    </cfRule>
  </conditionalFormatting>
  <conditionalFormatting sqref="L254">
    <cfRule type="containsText" dxfId="1404" priority="85" operator="containsText" text="NG">
      <formula>NOT(ISERROR(SEARCH(("NG"),(L254))))</formula>
    </cfRule>
  </conditionalFormatting>
  <conditionalFormatting sqref="L254">
    <cfRule type="containsText" dxfId="1403" priority="86" operator="containsText" text="OK">
      <formula>NOT(ISERROR(SEARCH(("OK"),(L254))))</formula>
    </cfRule>
  </conditionalFormatting>
  <conditionalFormatting sqref="L364:L372">
    <cfRule type="containsText" dxfId="1402" priority="87" operator="containsText" text="NG">
      <formula>NOT(ISERROR(SEARCH(("NG"),(L364))))</formula>
    </cfRule>
  </conditionalFormatting>
  <conditionalFormatting sqref="L364:L372">
    <cfRule type="containsText" dxfId="1401" priority="88" operator="containsText" text="OK">
      <formula>NOT(ISERROR(SEARCH(("OK"),(L364))))</formula>
    </cfRule>
  </conditionalFormatting>
  <conditionalFormatting sqref="L375:L378">
    <cfRule type="containsText" dxfId="1400" priority="89" operator="containsText" text="NG">
      <formula>NOT(ISERROR(SEARCH(("NG"),(L375))))</formula>
    </cfRule>
  </conditionalFormatting>
  <conditionalFormatting sqref="L375:L378">
    <cfRule type="containsText" dxfId="1399" priority="90" operator="containsText" text="OK">
      <formula>NOT(ISERROR(SEARCH(("OK"),(L375))))</formula>
    </cfRule>
  </conditionalFormatting>
  <conditionalFormatting sqref="L374">
    <cfRule type="containsText" dxfId="1398" priority="91" operator="containsText" text="NG">
      <formula>NOT(ISERROR(SEARCH(("NG"),(L374))))</formula>
    </cfRule>
  </conditionalFormatting>
  <conditionalFormatting sqref="L374">
    <cfRule type="containsText" dxfId="1397" priority="92" operator="containsText" text="OK">
      <formula>NOT(ISERROR(SEARCH(("OK"),(L374))))</formula>
    </cfRule>
  </conditionalFormatting>
  <conditionalFormatting sqref="L373">
    <cfRule type="containsText" dxfId="1396" priority="93" operator="containsText" text="NG">
      <formula>NOT(ISERROR(SEARCH(("NG"),(L373))))</formula>
    </cfRule>
  </conditionalFormatting>
  <conditionalFormatting sqref="L373">
    <cfRule type="containsText" dxfId="1395" priority="94" operator="containsText" text="OK">
      <formula>NOT(ISERROR(SEARCH(("OK"),(L373))))</formula>
    </cfRule>
  </conditionalFormatting>
  <conditionalFormatting sqref="L379">
    <cfRule type="containsText" dxfId="1394" priority="95" operator="containsText" text="NG">
      <formula>NOT(ISERROR(SEARCH(("NG"),(L379))))</formula>
    </cfRule>
  </conditionalFormatting>
  <conditionalFormatting sqref="L379">
    <cfRule type="containsText" dxfId="1393" priority="96" operator="containsText" text="OK">
      <formula>NOT(ISERROR(SEARCH(("OK"),(L379))))</formula>
    </cfRule>
  </conditionalFormatting>
  <conditionalFormatting sqref="L380">
    <cfRule type="containsText" dxfId="1392" priority="97" operator="containsText" text="NG">
      <formula>NOT(ISERROR(SEARCH(("NG"),(L380))))</formula>
    </cfRule>
  </conditionalFormatting>
  <conditionalFormatting sqref="L380">
    <cfRule type="containsText" dxfId="1391" priority="98" operator="containsText" text="OK">
      <formula>NOT(ISERROR(SEARCH(("OK"),(L380))))</formula>
    </cfRule>
  </conditionalFormatting>
  <conditionalFormatting sqref="L381">
    <cfRule type="containsText" dxfId="1390" priority="99" operator="containsText" text="NG">
      <formula>NOT(ISERROR(SEARCH(("NG"),(L381))))</formula>
    </cfRule>
  </conditionalFormatting>
  <conditionalFormatting sqref="L381">
    <cfRule type="containsText" dxfId="1389" priority="100" operator="containsText" text="OK">
      <formula>NOT(ISERROR(SEARCH(("OK"),(L381))))</formula>
    </cfRule>
  </conditionalFormatting>
  <conditionalFormatting sqref="L382">
    <cfRule type="containsText" dxfId="1388" priority="101" operator="containsText" text="NG">
      <formula>NOT(ISERROR(SEARCH(("NG"),(L382))))</formula>
    </cfRule>
  </conditionalFormatting>
  <conditionalFormatting sqref="L382">
    <cfRule type="containsText" dxfId="1387" priority="102" operator="containsText" text="OK">
      <formula>NOT(ISERROR(SEARCH(("OK"),(L382))))</formula>
    </cfRule>
  </conditionalFormatting>
  <conditionalFormatting sqref="L383">
    <cfRule type="containsText" dxfId="1386" priority="103" operator="containsText" text="NG">
      <formula>NOT(ISERROR(SEARCH(("NG"),(L383))))</formula>
    </cfRule>
  </conditionalFormatting>
  <conditionalFormatting sqref="L383">
    <cfRule type="containsText" dxfId="1385" priority="104" operator="containsText" text="OK">
      <formula>NOT(ISERROR(SEARCH(("OK"),(L383))))</formula>
    </cfRule>
  </conditionalFormatting>
  <conditionalFormatting sqref="L384">
    <cfRule type="containsText" dxfId="1384" priority="105" operator="containsText" text="NG">
      <formula>NOT(ISERROR(SEARCH(("NG"),(L384))))</formula>
    </cfRule>
  </conditionalFormatting>
  <conditionalFormatting sqref="L384">
    <cfRule type="containsText" dxfId="1383" priority="106" operator="containsText" text="OK">
      <formula>NOT(ISERROR(SEARCH(("OK"),(L384))))</formula>
    </cfRule>
  </conditionalFormatting>
  <conditionalFormatting sqref="L385">
    <cfRule type="containsText" dxfId="1382" priority="107" operator="containsText" text="NG">
      <formula>NOT(ISERROR(SEARCH(("NG"),(L385))))</formula>
    </cfRule>
  </conditionalFormatting>
  <conditionalFormatting sqref="L385">
    <cfRule type="containsText" dxfId="1381" priority="108" operator="containsText" text="OK">
      <formula>NOT(ISERROR(SEARCH(("OK"),(L385))))</formula>
    </cfRule>
  </conditionalFormatting>
  <conditionalFormatting sqref="L386">
    <cfRule type="containsText" dxfId="1380" priority="109" operator="containsText" text="NG">
      <formula>NOT(ISERROR(SEARCH(("NG"),(L386))))</formula>
    </cfRule>
  </conditionalFormatting>
  <conditionalFormatting sqref="L386">
    <cfRule type="containsText" dxfId="1379" priority="110" operator="containsText" text="OK">
      <formula>NOT(ISERROR(SEARCH(("OK"),(L386))))</formula>
    </cfRule>
  </conditionalFormatting>
  <conditionalFormatting sqref="L387">
    <cfRule type="containsText" dxfId="1378" priority="111" operator="containsText" text="NG">
      <formula>NOT(ISERROR(SEARCH(("NG"),(L387))))</formula>
    </cfRule>
  </conditionalFormatting>
  <conditionalFormatting sqref="L387">
    <cfRule type="containsText" dxfId="1377" priority="112" operator="containsText" text="OK">
      <formula>NOT(ISERROR(SEARCH(("OK"),(L387))))</formula>
    </cfRule>
  </conditionalFormatting>
  <conditionalFormatting sqref="L362:L363">
    <cfRule type="containsText" dxfId="1376" priority="113" operator="containsText" text="NG">
      <formula>NOT(ISERROR(SEARCH(("NG"),(L362))))</formula>
    </cfRule>
  </conditionalFormatting>
  <conditionalFormatting sqref="L362:L363">
    <cfRule type="containsText" dxfId="1375" priority="114" operator="containsText" text="OK">
      <formula>NOT(ISERROR(SEARCH(("OK"),(L362))))</formula>
    </cfRule>
  </conditionalFormatting>
  <conditionalFormatting sqref="M3 M133 M223 M301">
    <cfRule type="containsText" dxfId="1374" priority="115" operator="containsText" text="NG">
      <formula>NOT(ISERROR(SEARCH(("NG"),(M3))))</formula>
    </cfRule>
  </conditionalFormatting>
  <conditionalFormatting sqref="M3 M133 M223 M301">
    <cfRule type="containsText" dxfId="1373" priority="116" operator="containsText" text="OK">
      <formula>NOT(ISERROR(SEARCH(("OK"),(M3))))</formula>
    </cfRule>
  </conditionalFormatting>
  <conditionalFormatting sqref="M116">
    <cfRule type="containsText" dxfId="1372" priority="117" operator="containsText" text="NG">
      <formula>NOT(ISERROR(SEARCH(("NG"),(M116))))</formula>
    </cfRule>
  </conditionalFormatting>
  <conditionalFormatting sqref="M116">
    <cfRule type="containsText" dxfId="1371" priority="118" operator="containsText" text="OK">
      <formula>NOT(ISERROR(SEARCH(("OK"),(M116))))</formula>
    </cfRule>
  </conditionalFormatting>
  <conditionalFormatting sqref="M117">
    <cfRule type="containsText" dxfId="1370" priority="119" operator="containsText" text="NG">
      <formula>NOT(ISERROR(SEARCH(("NG"),(M117))))</formula>
    </cfRule>
  </conditionalFormatting>
  <conditionalFormatting sqref="M117">
    <cfRule type="containsText" dxfId="1369" priority="120" operator="containsText" text="OK">
      <formula>NOT(ISERROR(SEARCH(("OK"),(M117))))</formula>
    </cfRule>
  </conditionalFormatting>
  <dataValidations count="7">
    <dataValidation type="list" allowBlank="1" showErrorMessage="1" sqref="O4:P5 O6:O19 O20:P37 O38:O47 O48:P136 O137:O155 O156:P260 O261:O262 O263:P323 O324:O327 O328:P356 O357:O361 O362:P363 O373:P387">
      <formula1>"필수,중요,선택"</formula1>
    </dataValidation>
    <dataValidation type="list" allowBlank="1" showInputMessage="1" showErrorMessage="1" prompt="[사양 무관: 빈칸]_x000a_[해당 사양에서만 사용되는 T/C 일 경우에만 선택]_x000a_" sqref="R116:R117">
      <formula1>$BG$2:$BG$59</formula1>
    </dataValidation>
    <dataValidation type="list" allowBlank="1" showErrorMessage="1" sqref="K3:L3">
      <formula1>"OK,NG,미검증"</formula1>
    </dataValidation>
    <dataValidation type="list" allowBlank="1" showErrorMessage="1" sqref="K4:M79 K80:L81 K82:M387">
      <formula1>"Pass,Fail,NA"</formula1>
    </dataValidation>
    <dataValidation type="list" allowBlank="1" showInputMessage="1" showErrorMessage="1" prompt="[사양 무관: 빈칸]_x000a_[해당 사양에서만 사용되는 T/C 일 경우에만 선택]_x000a_" sqref="R134:R135 R314:R363 R302:R307 R255:R300 R238:R250 R224:R234 R177:R222 R166:R175 R161:R164 R157 R137:R155">
      <formula1>$BF$2</formula1>
    </dataValidation>
    <dataValidation type="list" allowBlank="1" showInputMessage="1" showErrorMessage="1" prompt="[사양 무관: 빈칸]_x000a_[해당 사양에서만 사용되는 T/C 일 경우에만 선택]_x000a_" sqref="R6:R19 R308:R313 R251:R253 R158:R160 R69:R93 R58:R62 R38:R47">
      <formula1>$BF$2:$BF$46</formula1>
    </dataValidation>
    <dataValidation type="list" allowBlank="1" showInputMessage="1" showErrorMessage="1" prompt="[사양 무관: 빈칸]_x000a_[해당 사양에서만 사용되는 T/C 일 경우에만 선택]_x000a_" sqref="R103:R115 R126:R131">
      <formula1>$BG$2</formula1>
    </dataValidation>
  </dataValidations>
  <pageMargins left="0.7" right="0.7" top="0.75" bottom="0.75" header="0" footer="0"/>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2E75B5"/>
  </sheetPr>
  <dimension ref="A1:AA1000"/>
  <sheetViews>
    <sheetView topLeftCell="I1" workbookViewId="0">
      <pane ySplit="2" topLeftCell="A3" activePane="bottomLeft" state="frozen"/>
      <selection pane="bottomLeft" activeCell="J3" sqref="J3"/>
    </sheetView>
  </sheetViews>
  <sheetFormatPr defaultColWidth="14.42578125" defaultRowHeight="15" customHeight="1"/>
  <cols>
    <col min="1" max="1" width="45" customWidth="1"/>
    <col min="2" max="2" width="9.5703125" customWidth="1"/>
    <col min="3" max="3" width="9" customWidth="1"/>
    <col min="4" max="4" width="43.28515625" customWidth="1"/>
    <col min="5" max="5" width="60.28515625" customWidth="1"/>
    <col min="6" max="7" width="5.42578125" customWidth="1"/>
    <col min="8" max="8" width="81.42578125" customWidth="1"/>
    <col min="9" max="9" width="79.5703125" customWidth="1"/>
    <col min="10" max="10" width="53.42578125" style="326" customWidth="1"/>
    <col min="11" max="11" width="10.5703125" customWidth="1"/>
    <col min="12" max="12" width="15.28515625" customWidth="1"/>
    <col min="13" max="13" width="21.5703125" customWidth="1"/>
    <col min="14" max="15" width="9" customWidth="1"/>
    <col min="16" max="17" width="7.42578125" customWidth="1"/>
    <col min="18" max="18" width="18.140625" customWidth="1"/>
    <col min="19" max="19" width="7.42578125" customWidth="1"/>
    <col min="20" max="27" width="9" customWidth="1"/>
  </cols>
  <sheetData>
    <row r="1" spans="1:27" ht="39.75" customHeight="1">
      <c r="A1" s="8"/>
      <c r="B1" s="11" t="str">
        <f t="array" ref="B1">"OWP_"&amp;TEXT(MAX(IFERROR(--MID($B$2:$B$5000,5,3),0)),"000")</f>
        <v>OWP_025</v>
      </c>
      <c r="C1" s="3"/>
      <c r="D1" s="8"/>
      <c r="E1" s="9"/>
      <c r="F1" s="3"/>
      <c r="G1" s="3"/>
      <c r="H1" s="7"/>
      <c r="I1" s="7"/>
      <c r="J1" s="10"/>
      <c r="K1" s="3"/>
      <c r="L1" s="3"/>
      <c r="M1" s="11"/>
      <c r="N1" s="3"/>
      <c r="O1" s="11"/>
      <c r="P1" s="11"/>
      <c r="Q1" s="11"/>
      <c r="R1" s="11"/>
      <c r="S1" s="11"/>
    </row>
    <row r="2" spans="1:27" ht="39" customHeight="1">
      <c r="A2" s="12" t="s">
        <v>309</v>
      </c>
      <c r="B2" s="70" t="s">
        <v>310</v>
      </c>
      <c r="C2" s="70" t="s">
        <v>311</v>
      </c>
      <c r="D2" s="12" t="s">
        <v>312</v>
      </c>
      <c r="E2" s="12" t="s">
        <v>313</v>
      </c>
      <c r="F2" s="70" t="s">
        <v>314</v>
      </c>
      <c r="G2" s="70" t="s">
        <v>315</v>
      </c>
      <c r="H2" s="12" t="s">
        <v>316</v>
      </c>
      <c r="I2" s="12" t="s">
        <v>317</v>
      </c>
      <c r="J2" s="70" t="s">
        <v>7999</v>
      </c>
      <c r="K2" s="70" t="s">
        <v>291</v>
      </c>
      <c r="L2" s="70" t="s">
        <v>318</v>
      </c>
      <c r="M2" s="70" t="s">
        <v>293</v>
      </c>
      <c r="N2" s="13"/>
      <c r="O2" s="70" t="s">
        <v>319</v>
      </c>
      <c r="P2" s="70" t="s">
        <v>320</v>
      </c>
      <c r="Q2" s="70" t="s">
        <v>321</v>
      </c>
      <c r="R2" s="70" t="s">
        <v>1</v>
      </c>
      <c r="S2" s="70" t="s">
        <v>322</v>
      </c>
      <c r="T2" s="14"/>
      <c r="U2" s="14"/>
      <c r="V2" s="14"/>
      <c r="W2" s="14"/>
      <c r="X2" s="14"/>
      <c r="Y2" s="14"/>
      <c r="Z2" s="14"/>
      <c r="AA2" s="14"/>
    </row>
    <row r="3" spans="1:27" ht="37.5">
      <c r="A3" s="15" t="s">
        <v>898</v>
      </c>
      <c r="B3" s="16"/>
      <c r="C3" s="16"/>
      <c r="D3" s="17"/>
      <c r="E3" s="18"/>
      <c r="F3" s="19"/>
      <c r="G3" s="19"/>
      <c r="H3" s="17"/>
      <c r="I3" s="20"/>
      <c r="J3" s="20"/>
      <c r="K3" s="16"/>
      <c r="L3" s="16"/>
      <c r="M3" s="71"/>
      <c r="N3" s="3"/>
      <c r="O3" s="16"/>
      <c r="P3" s="16"/>
      <c r="Q3" s="16"/>
      <c r="R3" s="16"/>
      <c r="S3" s="16"/>
    </row>
    <row r="4" spans="1:27" ht="75">
      <c r="A4" s="356" t="s">
        <v>899</v>
      </c>
      <c r="B4" s="360" t="s">
        <v>48</v>
      </c>
      <c r="C4" s="31">
        <v>1</v>
      </c>
      <c r="D4" s="356" t="s">
        <v>900</v>
      </c>
      <c r="E4" s="356" t="s">
        <v>901</v>
      </c>
      <c r="F4" s="360" t="s">
        <v>326</v>
      </c>
      <c r="G4" s="360" t="s">
        <v>327</v>
      </c>
      <c r="H4" s="35" t="s">
        <v>356</v>
      </c>
      <c r="I4" s="35" t="s">
        <v>902</v>
      </c>
      <c r="J4" s="172"/>
      <c r="K4" s="25" t="s">
        <v>294</v>
      </c>
      <c r="L4" s="57"/>
      <c r="M4" s="26"/>
      <c r="N4" s="55"/>
      <c r="O4" s="28"/>
      <c r="P4" s="28"/>
      <c r="Q4" s="50" t="s">
        <v>140</v>
      </c>
      <c r="R4" s="25" t="s">
        <v>7</v>
      </c>
      <c r="S4" s="50"/>
      <c r="T4" s="30"/>
      <c r="U4" s="30"/>
      <c r="V4" s="30"/>
      <c r="W4" s="30"/>
      <c r="X4" s="30"/>
      <c r="Y4" s="30"/>
      <c r="Z4" s="30"/>
      <c r="AA4" s="30"/>
    </row>
    <row r="5" spans="1:27" ht="105">
      <c r="A5" s="344"/>
      <c r="B5" s="344"/>
      <c r="C5" s="31">
        <v>2</v>
      </c>
      <c r="D5" s="344"/>
      <c r="E5" s="344"/>
      <c r="F5" s="344"/>
      <c r="G5" s="344"/>
      <c r="H5" s="35" t="s">
        <v>903</v>
      </c>
      <c r="I5" s="35" t="s">
        <v>904</v>
      </c>
      <c r="J5" s="172"/>
      <c r="K5" s="25" t="s">
        <v>294</v>
      </c>
      <c r="L5" s="57"/>
      <c r="M5" s="26"/>
      <c r="N5" s="55"/>
      <c r="O5" s="28"/>
      <c r="P5" s="28"/>
      <c r="Q5" s="50" t="s">
        <v>140</v>
      </c>
      <c r="R5" s="25" t="s">
        <v>7</v>
      </c>
      <c r="S5" s="50"/>
      <c r="T5" s="30"/>
      <c r="U5" s="30"/>
      <c r="V5" s="30"/>
      <c r="W5" s="30"/>
      <c r="X5" s="30"/>
      <c r="Y5" s="30"/>
      <c r="Z5" s="30"/>
      <c r="AA5" s="30"/>
    </row>
    <row r="6" spans="1:27" ht="15.75">
      <c r="A6" s="344"/>
      <c r="B6" s="344"/>
      <c r="C6" s="31">
        <v>3</v>
      </c>
      <c r="D6" s="344"/>
      <c r="E6" s="345"/>
      <c r="F6" s="345"/>
      <c r="G6" s="345"/>
      <c r="H6" s="35" t="s">
        <v>905</v>
      </c>
      <c r="I6" s="35" t="s">
        <v>906</v>
      </c>
      <c r="J6" s="172"/>
      <c r="K6" s="25" t="s">
        <v>294</v>
      </c>
      <c r="L6" s="57"/>
      <c r="M6" s="26"/>
      <c r="N6" s="55"/>
      <c r="O6" s="28"/>
      <c r="P6" s="28"/>
      <c r="Q6" s="50" t="s">
        <v>140</v>
      </c>
      <c r="R6" s="25" t="s">
        <v>7</v>
      </c>
      <c r="S6" s="50"/>
      <c r="T6" s="30"/>
      <c r="U6" s="30"/>
      <c r="V6" s="30"/>
      <c r="W6" s="30"/>
      <c r="X6" s="30"/>
      <c r="Y6" s="30"/>
      <c r="Z6" s="30"/>
      <c r="AA6" s="30"/>
    </row>
    <row r="7" spans="1:27" ht="30">
      <c r="A7" s="344"/>
      <c r="B7" s="344"/>
      <c r="C7" s="31">
        <v>4</v>
      </c>
      <c r="D7" s="344"/>
      <c r="E7" s="23" t="s">
        <v>907</v>
      </c>
      <c r="F7" s="31" t="s">
        <v>326</v>
      </c>
      <c r="G7" s="31" t="s">
        <v>327</v>
      </c>
      <c r="H7" s="35" t="s">
        <v>908</v>
      </c>
      <c r="I7" s="35" t="s">
        <v>909</v>
      </c>
      <c r="J7" s="172"/>
      <c r="K7" s="25" t="s">
        <v>294</v>
      </c>
      <c r="L7" s="57"/>
      <c r="M7" s="26"/>
      <c r="N7" s="55"/>
      <c r="O7" s="28" t="s">
        <v>140</v>
      </c>
      <c r="P7" s="28"/>
      <c r="Q7" s="50" t="s">
        <v>140</v>
      </c>
      <c r="R7" s="25" t="s">
        <v>7</v>
      </c>
      <c r="S7" s="50"/>
      <c r="T7" s="30"/>
      <c r="U7" s="30"/>
      <c r="V7" s="30"/>
      <c r="W7" s="30"/>
      <c r="X7" s="30"/>
      <c r="Y7" s="30"/>
      <c r="Z7" s="30"/>
      <c r="AA7" s="30"/>
    </row>
    <row r="8" spans="1:27" ht="75">
      <c r="A8" s="344"/>
      <c r="B8" s="344"/>
      <c r="C8" s="31">
        <v>5</v>
      </c>
      <c r="D8" s="344"/>
      <c r="E8" s="356" t="s">
        <v>910</v>
      </c>
      <c r="F8" s="360" t="s">
        <v>326</v>
      </c>
      <c r="G8" s="360" t="s">
        <v>524</v>
      </c>
      <c r="H8" s="35" t="s">
        <v>911</v>
      </c>
      <c r="I8" s="35" t="s">
        <v>912</v>
      </c>
      <c r="J8" s="172"/>
      <c r="K8" s="25" t="s">
        <v>294</v>
      </c>
      <c r="L8" s="57"/>
      <c r="M8" s="26"/>
      <c r="N8" s="55"/>
      <c r="O8" s="28" t="s">
        <v>140</v>
      </c>
      <c r="P8" s="50" t="s">
        <v>140</v>
      </c>
      <c r="Q8" s="50" t="s">
        <v>140</v>
      </c>
      <c r="R8" s="25" t="s">
        <v>7</v>
      </c>
      <c r="S8" s="50"/>
      <c r="T8" s="30"/>
      <c r="U8" s="30"/>
      <c r="V8" s="30"/>
      <c r="W8" s="30"/>
      <c r="X8" s="30"/>
      <c r="Y8" s="30"/>
      <c r="Z8" s="30"/>
      <c r="AA8" s="30"/>
    </row>
    <row r="9" spans="1:27" ht="30">
      <c r="A9" s="344"/>
      <c r="B9" s="344"/>
      <c r="C9" s="31">
        <v>6</v>
      </c>
      <c r="D9" s="344"/>
      <c r="E9" s="344"/>
      <c r="F9" s="344"/>
      <c r="G9" s="344"/>
      <c r="H9" s="35" t="s">
        <v>336</v>
      </c>
      <c r="I9" s="35" t="s">
        <v>346</v>
      </c>
      <c r="J9" s="172"/>
      <c r="K9" s="25"/>
      <c r="L9" s="57"/>
      <c r="M9" s="26"/>
      <c r="N9" s="55"/>
      <c r="O9" s="28" t="s">
        <v>140</v>
      </c>
      <c r="P9" s="50" t="s">
        <v>282</v>
      </c>
      <c r="Q9" s="50" t="s">
        <v>282</v>
      </c>
      <c r="R9" s="25" t="s">
        <v>7</v>
      </c>
      <c r="S9" s="50"/>
      <c r="T9" s="30"/>
      <c r="U9" s="30"/>
      <c r="V9" s="30"/>
      <c r="W9" s="30"/>
      <c r="X9" s="30"/>
      <c r="Y9" s="30"/>
      <c r="Z9" s="30"/>
      <c r="AA9" s="30"/>
    </row>
    <row r="10" spans="1:27" ht="15.75">
      <c r="A10" s="345"/>
      <c r="B10" s="345"/>
      <c r="C10" s="31">
        <v>7</v>
      </c>
      <c r="D10" s="345"/>
      <c r="E10" s="345"/>
      <c r="F10" s="345"/>
      <c r="G10" s="345"/>
      <c r="H10" s="35" t="s">
        <v>338</v>
      </c>
      <c r="I10" s="35" t="s">
        <v>347</v>
      </c>
      <c r="J10" s="172"/>
      <c r="K10" s="25" t="s">
        <v>294</v>
      </c>
      <c r="L10" s="57"/>
      <c r="M10" s="26"/>
      <c r="N10" s="55"/>
      <c r="O10" s="28" t="s">
        <v>140</v>
      </c>
      <c r="P10" s="50" t="s">
        <v>140</v>
      </c>
      <c r="Q10" s="50" t="s">
        <v>140</v>
      </c>
      <c r="R10" s="25" t="s">
        <v>7</v>
      </c>
      <c r="S10" s="50"/>
      <c r="T10" s="30"/>
      <c r="U10" s="30"/>
      <c r="V10" s="30"/>
      <c r="W10" s="30"/>
      <c r="X10" s="30"/>
      <c r="Y10" s="30"/>
      <c r="Z10" s="30"/>
      <c r="AA10" s="30"/>
    </row>
    <row r="11" spans="1:27" ht="30">
      <c r="A11" s="356" t="s">
        <v>913</v>
      </c>
      <c r="B11" s="360" t="s">
        <v>125</v>
      </c>
      <c r="C11" s="31">
        <v>1</v>
      </c>
      <c r="D11" s="356" t="s">
        <v>914</v>
      </c>
      <c r="E11" s="23" t="s">
        <v>915</v>
      </c>
      <c r="F11" s="31" t="s">
        <v>326</v>
      </c>
      <c r="G11" s="31" t="s">
        <v>327</v>
      </c>
      <c r="H11" s="35" t="s">
        <v>916</v>
      </c>
      <c r="I11" s="35" t="s">
        <v>917</v>
      </c>
      <c r="J11" s="172"/>
      <c r="K11" s="25" t="s">
        <v>294</v>
      </c>
      <c r="L11" s="57"/>
      <c r="M11" s="26"/>
      <c r="N11" s="55"/>
      <c r="O11" s="28" t="s">
        <v>140</v>
      </c>
      <c r="P11" s="50" t="s">
        <v>140</v>
      </c>
      <c r="Q11" s="50" t="s">
        <v>140</v>
      </c>
      <c r="R11" s="25" t="s">
        <v>7</v>
      </c>
      <c r="S11" s="50"/>
      <c r="T11" s="30"/>
      <c r="U11" s="30"/>
      <c r="V11" s="30"/>
      <c r="W11" s="30"/>
      <c r="X11" s="30"/>
      <c r="Y11" s="30"/>
      <c r="Z11" s="30"/>
      <c r="AA11" s="30"/>
    </row>
    <row r="12" spans="1:27" ht="15.75">
      <c r="A12" s="344"/>
      <c r="B12" s="344"/>
      <c r="C12" s="31">
        <v>2</v>
      </c>
      <c r="D12" s="344"/>
      <c r="E12" s="365" t="s">
        <v>918</v>
      </c>
      <c r="F12" s="371" t="s">
        <v>326</v>
      </c>
      <c r="G12" s="371" t="s">
        <v>524</v>
      </c>
      <c r="H12" s="35" t="s">
        <v>334</v>
      </c>
      <c r="I12" s="35" t="s">
        <v>919</v>
      </c>
      <c r="J12" s="172"/>
      <c r="K12" s="25" t="s">
        <v>294</v>
      </c>
      <c r="L12" s="57"/>
      <c r="M12" s="26"/>
      <c r="N12" s="55"/>
      <c r="O12" s="28" t="s">
        <v>140</v>
      </c>
      <c r="P12" s="50" t="s">
        <v>140</v>
      </c>
      <c r="Q12" s="50" t="s">
        <v>140</v>
      </c>
      <c r="R12" s="25" t="s">
        <v>7</v>
      </c>
      <c r="S12" s="50"/>
      <c r="T12" s="30"/>
      <c r="U12" s="30"/>
      <c r="V12" s="30"/>
      <c r="W12" s="30"/>
      <c r="X12" s="30"/>
      <c r="Y12" s="30"/>
      <c r="Z12" s="30"/>
      <c r="AA12" s="30"/>
    </row>
    <row r="13" spans="1:27" ht="15.75">
      <c r="A13" s="344"/>
      <c r="B13" s="344"/>
      <c r="C13" s="31">
        <v>3</v>
      </c>
      <c r="D13" s="344"/>
      <c r="E13" s="344"/>
      <c r="F13" s="344"/>
      <c r="G13" s="344"/>
      <c r="H13" s="35" t="s">
        <v>336</v>
      </c>
      <c r="I13" s="35" t="s">
        <v>337</v>
      </c>
      <c r="J13" s="172"/>
      <c r="K13" s="25"/>
      <c r="L13" s="57"/>
      <c r="M13" s="26"/>
      <c r="N13" s="55"/>
      <c r="O13" s="28" t="s">
        <v>140</v>
      </c>
      <c r="P13" s="50" t="s">
        <v>282</v>
      </c>
      <c r="Q13" s="50" t="s">
        <v>282</v>
      </c>
      <c r="R13" s="25" t="s">
        <v>7</v>
      </c>
      <c r="S13" s="50"/>
      <c r="T13" s="30"/>
      <c r="U13" s="30"/>
      <c r="V13" s="30"/>
      <c r="W13" s="30"/>
      <c r="X13" s="30"/>
      <c r="Y13" s="30"/>
      <c r="Z13" s="30"/>
      <c r="AA13" s="30"/>
    </row>
    <row r="14" spans="1:27" ht="15.75">
      <c r="A14" s="344"/>
      <c r="B14" s="344"/>
      <c r="C14" s="31">
        <v>4</v>
      </c>
      <c r="D14" s="344"/>
      <c r="E14" s="345"/>
      <c r="F14" s="345"/>
      <c r="G14" s="345"/>
      <c r="H14" s="35" t="s">
        <v>338</v>
      </c>
      <c r="I14" s="35" t="s">
        <v>339</v>
      </c>
      <c r="J14" s="172"/>
      <c r="K14" s="25" t="s">
        <v>294</v>
      </c>
      <c r="L14" s="57"/>
      <c r="M14" s="26"/>
      <c r="N14" s="55"/>
      <c r="O14" s="28" t="s">
        <v>140</v>
      </c>
      <c r="P14" s="50" t="s">
        <v>140</v>
      </c>
      <c r="Q14" s="50" t="s">
        <v>140</v>
      </c>
      <c r="R14" s="25" t="s">
        <v>7</v>
      </c>
      <c r="S14" s="50"/>
      <c r="T14" s="30"/>
      <c r="U14" s="30"/>
      <c r="V14" s="30"/>
      <c r="W14" s="30"/>
      <c r="X14" s="30"/>
      <c r="Y14" s="30"/>
      <c r="Z14" s="30"/>
      <c r="AA14" s="30"/>
    </row>
    <row r="15" spans="1:27" ht="45">
      <c r="A15" s="352"/>
      <c r="B15" s="352"/>
      <c r="C15" s="86">
        <v>5</v>
      </c>
      <c r="D15" s="352"/>
      <c r="E15" s="175" t="s">
        <v>920</v>
      </c>
      <c r="F15" s="86" t="s">
        <v>326</v>
      </c>
      <c r="G15" s="86" t="s">
        <v>327</v>
      </c>
      <c r="H15" s="175" t="s">
        <v>921</v>
      </c>
      <c r="I15" s="35" t="s">
        <v>922</v>
      </c>
      <c r="J15" s="172"/>
      <c r="K15" s="25"/>
      <c r="L15" s="57"/>
      <c r="M15" s="26"/>
      <c r="N15" s="55"/>
      <c r="O15" s="28" t="s">
        <v>140</v>
      </c>
      <c r="P15" s="50" t="s">
        <v>140</v>
      </c>
      <c r="Q15" s="50" t="s">
        <v>140</v>
      </c>
      <c r="R15" s="25" t="s">
        <v>306</v>
      </c>
      <c r="S15" s="50"/>
      <c r="T15" s="30"/>
      <c r="U15" s="30"/>
      <c r="V15" s="30"/>
      <c r="W15" s="30"/>
      <c r="X15" s="30"/>
      <c r="Y15" s="30"/>
      <c r="Z15" s="30"/>
      <c r="AA15" s="30"/>
    </row>
    <row r="16" spans="1:27" ht="75">
      <c r="A16" s="344"/>
      <c r="B16" s="344"/>
      <c r="C16" s="31">
        <v>6</v>
      </c>
      <c r="D16" s="344"/>
      <c r="E16" s="35" t="s">
        <v>923</v>
      </c>
      <c r="F16" s="46" t="s">
        <v>361</v>
      </c>
      <c r="G16" s="46" t="s">
        <v>524</v>
      </c>
      <c r="H16" s="35" t="s">
        <v>924</v>
      </c>
      <c r="I16" s="35" t="s">
        <v>925</v>
      </c>
      <c r="J16" s="172"/>
      <c r="K16" s="25" t="s">
        <v>294</v>
      </c>
      <c r="L16" s="57"/>
      <c r="M16" s="26"/>
      <c r="N16" s="55"/>
      <c r="O16" s="28"/>
      <c r="P16" s="28"/>
      <c r="Q16" s="50" t="s">
        <v>140</v>
      </c>
      <c r="R16" s="25" t="s">
        <v>7</v>
      </c>
      <c r="S16" s="50"/>
      <c r="T16" s="30"/>
      <c r="U16" s="30"/>
      <c r="V16" s="30"/>
      <c r="W16" s="30"/>
      <c r="X16" s="30"/>
      <c r="Y16" s="30"/>
      <c r="Z16" s="30"/>
      <c r="AA16" s="30"/>
    </row>
    <row r="17" spans="1:27" ht="90">
      <c r="A17" s="344"/>
      <c r="B17" s="344"/>
      <c r="C17" s="31">
        <v>7</v>
      </c>
      <c r="D17" s="344"/>
      <c r="E17" s="73" t="s">
        <v>926</v>
      </c>
      <c r="F17" s="46" t="s">
        <v>326</v>
      </c>
      <c r="G17" s="46" t="s">
        <v>327</v>
      </c>
      <c r="H17" s="35" t="s">
        <v>927</v>
      </c>
      <c r="I17" s="35" t="s">
        <v>928</v>
      </c>
      <c r="J17" s="172"/>
      <c r="K17" s="25"/>
      <c r="L17" s="57"/>
      <c r="M17" s="362" t="s">
        <v>929</v>
      </c>
      <c r="N17" s="55"/>
      <c r="O17" s="28" t="s">
        <v>140</v>
      </c>
      <c r="P17" s="28"/>
      <c r="Q17" s="50" t="s">
        <v>282</v>
      </c>
      <c r="R17" s="25" t="s">
        <v>7</v>
      </c>
      <c r="S17" s="50" t="s">
        <v>140</v>
      </c>
      <c r="T17" s="30"/>
      <c r="U17" s="30"/>
      <c r="V17" s="30"/>
      <c r="W17" s="30"/>
      <c r="X17" s="30"/>
      <c r="Y17" s="30"/>
      <c r="Z17" s="30"/>
      <c r="AA17" s="30"/>
    </row>
    <row r="18" spans="1:27" ht="30">
      <c r="A18" s="344"/>
      <c r="B18" s="344"/>
      <c r="C18" s="31">
        <v>8</v>
      </c>
      <c r="D18" s="344"/>
      <c r="E18" s="73" t="s">
        <v>930</v>
      </c>
      <c r="F18" s="46" t="s">
        <v>326</v>
      </c>
      <c r="G18" s="46" t="s">
        <v>327</v>
      </c>
      <c r="H18" s="35" t="s">
        <v>931</v>
      </c>
      <c r="I18" s="35" t="s">
        <v>932</v>
      </c>
      <c r="J18" s="172"/>
      <c r="K18" s="25" t="s">
        <v>294</v>
      </c>
      <c r="L18" s="57"/>
      <c r="M18" s="344"/>
      <c r="N18" s="55"/>
      <c r="O18" s="28" t="s">
        <v>140</v>
      </c>
      <c r="P18" s="28"/>
      <c r="Q18" s="50" t="s">
        <v>140</v>
      </c>
      <c r="R18" s="25" t="s">
        <v>7</v>
      </c>
      <c r="S18" s="50" t="s">
        <v>140</v>
      </c>
      <c r="T18" s="65"/>
      <c r="U18" s="65"/>
      <c r="V18" s="65"/>
      <c r="W18" s="65"/>
      <c r="X18" s="65"/>
      <c r="Y18" s="65"/>
      <c r="Z18" s="65"/>
      <c r="AA18" s="65"/>
    </row>
    <row r="19" spans="1:27" ht="45">
      <c r="A19" s="345"/>
      <c r="B19" s="345"/>
      <c r="C19" s="31">
        <v>9</v>
      </c>
      <c r="D19" s="345"/>
      <c r="E19" s="73" t="s">
        <v>933</v>
      </c>
      <c r="F19" s="46" t="s">
        <v>326</v>
      </c>
      <c r="G19" s="46" t="s">
        <v>327</v>
      </c>
      <c r="H19" s="35" t="s">
        <v>934</v>
      </c>
      <c r="I19" s="35" t="s">
        <v>935</v>
      </c>
      <c r="J19" s="172"/>
      <c r="K19" s="25" t="s">
        <v>294</v>
      </c>
      <c r="L19" s="57"/>
      <c r="M19" s="344"/>
      <c r="N19" s="55"/>
      <c r="O19" s="28"/>
      <c r="P19" s="28"/>
      <c r="Q19" s="50" t="s">
        <v>140</v>
      </c>
      <c r="R19" s="25" t="s">
        <v>7</v>
      </c>
      <c r="S19" s="50" t="s">
        <v>140</v>
      </c>
      <c r="T19" s="65"/>
      <c r="U19" s="65"/>
      <c r="V19" s="65"/>
      <c r="W19" s="65"/>
      <c r="X19" s="65"/>
      <c r="Y19" s="65"/>
      <c r="Z19" s="65"/>
      <c r="AA19" s="65"/>
    </row>
    <row r="20" spans="1:27" ht="45">
      <c r="A20" s="356" t="s">
        <v>936</v>
      </c>
      <c r="B20" s="360" t="s">
        <v>235</v>
      </c>
      <c r="C20" s="31">
        <v>1</v>
      </c>
      <c r="D20" s="356" t="s">
        <v>937</v>
      </c>
      <c r="E20" s="39" t="s">
        <v>938</v>
      </c>
      <c r="F20" s="31" t="s">
        <v>326</v>
      </c>
      <c r="G20" s="31" t="s">
        <v>327</v>
      </c>
      <c r="H20" s="23" t="s">
        <v>939</v>
      </c>
      <c r="I20" s="23" t="s">
        <v>940</v>
      </c>
      <c r="J20" s="170"/>
      <c r="K20" s="25"/>
      <c r="L20" s="57"/>
      <c r="M20" s="344"/>
      <c r="N20" s="55"/>
      <c r="O20" s="28"/>
      <c r="P20" s="28"/>
      <c r="Q20" s="50" t="s">
        <v>282</v>
      </c>
      <c r="R20" s="25" t="s">
        <v>7</v>
      </c>
      <c r="S20" s="50" t="s">
        <v>140</v>
      </c>
      <c r="T20" s="30"/>
      <c r="U20" s="30"/>
      <c r="V20" s="30"/>
      <c r="W20" s="30"/>
      <c r="X20" s="30"/>
      <c r="Y20" s="30"/>
      <c r="Z20" s="30"/>
      <c r="AA20" s="30"/>
    </row>
    <row r="21" spans="1:27" ht="15.75" customHeight="1">
      <c r="A21" s="344"/>
      <c r="B21" s="344"/>
      <c r="C21" s="31">
        <v>2</v>
      </c>
      <c r="D21" s="344"/>
      <c r="E21" s="39" t="s">
        <v>941</v>
      </c>
      <c r="F21" s="31" t="s">
        <v>326</v>
      </c>
      <c r="G21" s="31" t="s">
        <v>524</v>
      </c>
      <c r="H21" s="23" t="s">
        <v>942</v>
      </c>
      <c r="I21" s="23" t="s">
        <v>943</v>
      </c>
      <c r="J21" s="170"/>
      <c r="K21" s="25"/>
      <c r="L21" s="57"/>
      <c r="M21" s="344"/>
      <c r="N21" s="55"/>
      <c r="O21" s="28"/>
      <c r="P21" s="28"/>
      <c r="Q21" s="50" t="s">
        <v>282</v>
      </c>
      <c r="R21" s="25" t="s">
        <v>7</v>
      </c>
      <c r="S21" s="50" t="s">
        <v>140</v>
      </c>
      <c r="T21" s="30"/>
      <c r="U21" s="30"/>
      <c r="V21" s="30"/>
      <c r="W21" s="30"/>
      <c r="X21" s="30"/>
      <c r="Y21" s="30"/>
      <c r="Z21" s="30"/>
      <c r="AA21" s="30"/>
    </row>
    <row r="22" spans="1:27" ht="15.75" customHeight="1">
      <c r="A22" s="344"/>
      <c r="B22" s="344"/>
      <c r="C22" s="31">
        <v>3</v>
      </c>
      <c r="D22" s="344"/>
      <c r="E22" s="39" t="s">
        <v>944</v>
      </c>
      <c r="F22" s="31" t="s">
        <v>326</v>
      </c>
      <c r="G22" s="31" t="s">
        <v>327</v>
      </c>
      <c r="H22" s="23" t="s">
        <v>945</v>
      </c>
      <c r="I22" s="23" t="s">
        <v>946</v>
      </c>
      <c r="J22" s="170"/>
      <c r="K22" s="25"/>
      <c r="L22" s="57"/>
      <c r="M22" s="344"/>
      <c r="N22" s="55"/>
      <c r="O22" s="28"/>
      <c r="P22" s="28"/>
      <c r="Q22" s="50" t="s">
        <v>282</v>
      </c>
      <c r="R22" s="25" t="s">
        <v>7</v>
      </c>
      <c r="S22" s="50" t="s">
        <v>140</v>
      </c>
      <c r="T22" s="30"/>
      <c r="U22" s="30"/>
      <c r="V22" s="30"/>
      <c r="W22" s="30"/>
      <c r="X22" s="30"/>
      <c r="Y22" s="30"/>
      <c r="Z22" s="30"/>
      <c r="AA22" s="30"/>
    </row>
    <row r="23" spans="1:27" ht="15.75" customHeight="1">
      <c r="A23" s="344"/>
      <c r="B23" s="344"/>
      <c r="C23" s="31">
        <v>4</v>
      </c>
      <c r="D23" s="344"/>
      <c r="E23" s="39" t="s">
        <v>947</v>
      </c>
      <c r="F23" s="31" t="s">
        <v>326</v>
      </c>
      <c r="G23" s="31" t="s">
        <v>327</v>
      </c>
      <c r="H23" s="23" t="s">
        <v>948</v>
      </c>
      <c r="I23" s="23" t="s">
        <v>949</v>
      </c>
      <c r="J23" s="170"/>
      <c r="K23" s="25"/>
      <c r="L23" s="57"/>
      <c r="M23" s="344"/>
      <c r="N23" s="55"/>
      <c r="O23" s="28"/>
      <c r="P23" s="28"/>
      <c r="Q23" s="50" t="s">
        <v>282</v>
      </c>
      <c r="R23" s="25" t="s">
        <v>7</v>
      </c>
      <c r="S23" s="50" t="s">
        <v>140</v>
      </c>
      <c r="T23" s="30"/>
      <c r="U23" s="30"/>
      <c r="V23" s="30"/>
      <c r="W23" s="30"/>
      <c r="X23" s="30"/>
      <c r="Y23" s="30"/>
      <c r="Z23" s="30"/>
      <c r="AA23" s="30"/>
    </row>
    <row r="24" spans="1:27" ht="15.75" customHeight="1">
      <c r="A24" s="344"/>
      <c r="B24" s="344"/>
      <c r="C24" s="31">
        <v>5</v>
      </c>
      <c r="D24" s="344"/>
      <c r="E24" s="39" t="s">
        <v>950</v>
      </c>
      <c r="F24" s="31" t="s">
        <v>326</v>
      </c>
      <c r="G24" s="31" t="s">
        <v>327</v>
      </c>
      <c r="H24" s="23" t="s">
        <v>951</v>
      </c>
      <c r="I24" s="23" t="s">
        <v>952</v>
      </c>
      <c r="J24" s="170"/>
      <c r="K24" s="25"/>
      <c r="L24" s="57"/>
      <c r="M24" s="344"/>
      <c r="N24" s="55"/>
      <c r="O24" s="28"/>
      <c r="P24" s="28"/>
      <c r="Q24" s="50" t="s">
        <v>282</v>
      </c>
      <c r="R24" s="25" t="s">
        <v>7</v>
      </c>
      <c r="S24" s="50" t="s">
        <v>140</v>
      </c>
      <c r="T24" s="30"/>
      <c r="U24" s="30"/>
      <c r="V24" s="30"/>
      <c r="W24" s="30"/>
      <c r="X24" s="30"/>
      <c r="Y24" s="30"/>
      <c r="Z24" s="30"/>
      <c r="AA24" s="30"/>
    </row>
    <row r="25" spans="1:27" ht="79.5" customHeight="1">
      <c r="A25" s="344"/>
      <c r="B25" s="344"/>
      <c r="C25" s="31">
        <v>6</v>
      </c>
      <c r="D25" s="344"/>
      <c r="E25" s="37" t="s">
        <v>398</v>
      </c>
      <c r="F25" s="41" t="s">
        <v>326</v>
      </c>
      <c r="G25" s="41" t="s">
        <v>524</v>
      </c>
      <c r="H25" s="38" t="s">
        <v>953</v>
      </c>
      <c r="I25" s="23" t="s">
        <v>954</v>
      </c>
      <c r="J25" s="170"/>
      <c r="K25" s="25"/>
      <c r="L25" s="57"/>
      <c r="M25" s="344"/>
      <c r="N25" s="55"/>
      <c r="O25" s="28"/>
      <c r="P25" s="28"/>
      <c r="Q25" s="50" t="s">
        <v>282</v>
      </c>
      <c r="R25" s="25" t="s">
        <v>7</v>
      </c>
      <c r="S25" s="50" t="s">
        <v>140</v>
      </c>
      <c r="T25" s="30"/>
      <c r="U25" s="30"/>
      <c r="V25" s="30"/>
      <c r="W25" s="30"/>
      <c r="X25" s="30"/>
      <c r="Y25" s="30"/>
      <c r="Z25" s="30"/>
      <c r="AA25" s="30"/>
    </row>
    <row r="26" spans="1:27" ht="15.75" customHeight="1">
      <c r="A26" s="344"/>
      <c r="B26" s="344"/>
      <c r="C26" s="31">
        <v>7</v>
      </c>
      <c r="D26" s="344"/>
      <c r="E26" s="359" t="s">
        <v>385</v>
      </c>
      <c r="F26" s="360" t="s">
        <v>326</v>
      </c>
      <c r="G26" s="360" t="s">
        <v>327</v>
      </c>
      <c r="H26" s="356" t="s">
        <v>386</v>
      </c>
      <c r="I26" s="23" t="s">
        <v>955</v>
      </c>
      <c r="J26" s="170"/>
      <c r="K26" s="25"/>
      <c r="L26" s="26"/>
      <c r="M26" s="344"/>
      <c r="N26" s="27"/>
      <c r="O26" s="28" t="s">
        <v>140</v>
      </c>
      <c r="P26" s="28"/>
      <c r="Q26" s="50" t="s">
        <v>282</v>
      </c>
      <c r="R26" s="25" t="s">
        <v>7</v>
      </c>
      <c r="S26" s="50" t="s">
        <v>140</v>
      </c>
      <c r="T26" s="30"/>
      <c r="U26" s="30"/>
      <c r="V26" s="30"/>
      <c r="W26" s="30"/>
      <c r="X26" s="30"/>
      <c r="Y26" s="30"/>
      <c r="Z26" s="30"/>
      <c r="AA26" s="30"/>
    </row>
    <row r="27" spans="1:27" ht="15.75" customHeight="1">
      <c r="A27" s="344"/>
      <c r="B27" s="344"/>
      <c r="C27" s="31">
        <v>8</v>
      </c>
      <c r="D27" s="344"/>
      <c r="E27" s="344"/>
      <c r="F27" s="344"/>
      <c r="G27" s="344"/>
      <c r="H27" s="344"/>
      <c r="I27" s="35" t="s">
        <v>956</v>
      </c>
      <c r="J27" s="172"/>
      <c r="K27" s="25"/>
      <c r="L27" s="26"/>
      <c r="M27" s="344"/>
      <c r="N27" s="27"/>
      <c r="O27" s="28" t="s">
        <v>140</v>
      </c>
      <c r="P27" s="28"/>
      <c r="Q27" s="50" t="s">
        <v>282</v>
      </c>
      <c r="R27" s="25" t="s">
        <v>7</v>
      </c>
      <c r="S27" s="50" t="s">
        <v>140</v>
      </c>
      <c r="T27" s="30"/>
      <c r="U27" s="30"/>
      <c r="V27" s="30"/>
      <c r="W27" s="30"/>
      <c r="X27" s="30"/>
      <c r="Y27" s="30"/>
      <c r="Z27" s="30"/>
      <c r="AA27" s="30"/>
    </row>
    <row r="28" spans="1:27" ht="15.75" customHeight="1">
      <c r="A28" s="345"/>
      <c r="B28" s="345"/>
      <c r="C28" s="31">
        <v>9</v>
      </c>
      <c r="D28" s="345"/>
      <c r="E28" s="345"/>
      <c r="F28" s="345"/>
      <c r="G28" s="345"/>
      <c r="H28" s="345"/>
      <c r="I28" s="23" t="s">
        <v>389</v>
      </c>
      <c r="J28" s="170"/>
      <c r="K28" s="25"/>
      <c r="L28" s="26"/>
      <c r="M28" s="345"/>
      <c r="N28" s="27"/>
      <c r="O28" s="28" t="s">
        <v>140</v>
      </c>
      <c r="P28" s="28"/>
      <c r="Q28" s="50" t="s">
        <v>282</v>
      </c>
      <c r="R28" s="25" t="s">
        <v>7</v>
      </c>
      <c r="S28" s="50" t="s">
        <v>140</v>
      </c>
      <c r="T28" s="30"/>
      <c r="U28" s="30"/>
      <c r="V28" s="30"/>
      <c r="W28" s="30"/>
      <c r="X28" s="30"/>
      <c r="Y28" s="30"/>
      <c r="Z28" s="30"/>
      <c r="AA28" s="30"/>
    </row>
    <row r="29" spans="1:27" ht="15.75" customHeight="1">
      <c r="A29" s="356" t="s">
        <v>957</v>
      </c>
      <c r="B29" s="360" t="s">
        <v>958</v>
      </c>
      <c r="C29" s="31">
        <v>1</v>
      </c>
      <c r="D29" s="356" t="s">
        <v>959</v>
      </c>
      <c r="E29" s="23" t="s">
        <v>960</v>
      </c>
      <c r="F29" s="31" t="s">
        <v>326</v>
      </c>
      <c r="G29" s="31" t="s">
        <v>327</v>
      </c>
      <c r="H29" s="23" t="s">
        <v>961</v>
      </c>
      <c r="I29" s="23" t="s">
        <v>962</v>
      </c>
      <c r="J29" s="170"/>
      <c r="K29" s="25" t="s">
        <v>294</v>
      </c>
      <c r="L29" s="57"/>
      <c r="M29" s="26"/>
      <c r="N29" s="55"/>
      <c r="O29" s="28"/>
      <c r="P29" s="28"/>
      <c r="Q29" s="50" t="s">
        <v>140</v>
      </c>
      <c r="R29" s="25" t="s">
        <v>7</v>
      </c>
      <c r="S29" s="50"/>
      <c r="T29" s="65"/>
      <c r="U29" s="65"/>
      <c r="V29" s="65"/>
      <c r="W29" s="65"/>
      <c r="X29" s="65"/>
      <c r="Y29" s="65"/>
      <c r="Z29" s="65"/>
      <c r="AA29" s="65"/>
    </row>
    <row r="30" spans="1:27" ht="15.75" customHeight="1">
      <c r="A30" s="345"/>
      <c r="B30" s="345"/>
      <c r="C30" s="31">
        <v>2</v>
      </c>
      <c r="D30" s="345"/>
      <c r="E30" s="23" t="s">
        <v>963</v>
      </c>
      <c r="F30" s="31" t="s">
        <v>326</v>
      </c>
      <c r="G30" s="31" t="s">
        <v>327</v>
      </c>
      <c r="H30" s="23" t="s">
        <v>964</v>
      </c>
      <c r="I30" s="23" t="s">
        <v>965</v>
      </c>
      <c r="J30" s="170"/>
      <c r="K30" s="25"/>
      <c r="L30" s="57"/>
      <c r="M30" s="26"/>
      <c r="N30" s="55"/>
      <c r="O30" s="28"/>
      <c r="P30" s="28"/>
      <c r="Q30" s="50" t="s">
        <v>282</v>
      </c>
      <c r="R30" s="25" t="s">
        <v>7</v>
      </c>
      <c r="S30" s="50"/>
      <c r="T30" s="65"/>
      <c r="U30" s="65"/>
      <c r="V30" s="65"/>
      <c r="W30" s="65"/>
      <c r="X30" s="65"/>
      <c r="Y30" s="65"/>
      <c r="Z30" s="65"/>
      <c r="AA30" s="65"/>
    </row>
    <row r="31" spans="1:27" ht="15.75" customHeight="1">
      <c r="A31" s="364" t="s">
        <v>496</v>
      </c>
      <c r="B31" s="363" t="s">
        <v>105</v>
      </c>
      <c r="C31" s="74">
        <v>1</v>
      </c>
      <c r="D31" s="364" t="s">
        <v>496</v>
      </c>
      <c r="E31" s="75" t="s">
        <v>966</v>
      </c>
      <c r="F31" s="74" t="s">
        <v>326</v>
      </c>
      <c r="G31" s="74" t="s">
        <v>524</v>
      </c>
      <c r="H31" s="47" t="s">
        <v>967</v>
      </c>
      <c r="I31" s="35" t="s">
        <v>968</v>
      </c>
      <c r="J31" s="172"/>
      <c r="K31" s="25"/>
      <c r="L31" s="57"/>
      <c r="M31" s="43"/>
      <c r="N31" s="76"/>
      <c r="O31" s="28"/>
      <c r="P31" s="28"/>
      <c r="Q31" s="50" t="s">
        <v>282</v>
      </c>
      <c r="R31" s="25" t="s">
        <v>7</v>
      </c>
      <c r="S31" s="50"/>
      <c r="T31" s="30"/>
      <c r="U31" s="30"/>
      <c r="V31" s="30"/>
      <c r="W31" s="30"/>
      <c r="X31" s="30"/>
      <c r="Y31" s="30"/>
      <c r="Z31" s="30"/>
      <c r="AA31" s="30"/>
    </row>
    <row r="32" spans="1:27" ht="15.75" customHeight="1">
      <c r="A32" s="344"/>
      <c r="B32" s="344"/>
      <c r="C32" s="74">
        <v>2</v>
      </c>
      <c r="D32" s="344"/>
      <c r="E32" s="47" t="s">
        <v>969</v>
      </c>
      <c r="F32" s="74" t="s">
        <v>326</v>
      </c>
      <c r="G32" s="74" t="s">
        <v>524</v>
      </c>
      <c r="H32" s="47" t="s">
        <v>970</v>
      </c>
      <c r="I32" s="35" t="s">
        <v>971</v>
      </c>
      <c r="J32" s="172"/>
      <c r="K32" s="25"/>
      <c r="L32" s="57"/>
      <c r="M32" s="43"/>
      <c r="N32" s="76"/>
      <c r="O32" s="28"/>
      <c r="P32" s="28"/>
      <c r="Q32" s="50" t="s">
        <v>282</v>
      </c>
      <c r="R32" s="25" t="s">
        <v>7</v>
      </c>
      <c r="S32" s="50"/>
      <c r="T32" s="30"/>
      <c r="U32" s="30"/>
      <c r="V32" s="30"/>
      <c r="W32" s="30"/>
      <c r="X32" s="30"/>
      <c r="Y32" s="30"/>
      <c r="Z32" s="30"/>
      <c r="AA32" s="30"/>
    </row>
    <row r="33" spans="1:27" ht="15.75" customHeight="1">
      <c r="A33" s="344"/>
      <c r="B33" s="344"/>
      <c r="C33" s="74">
        <v>3</v>
      </c>
      <c r="D33" s="344"/>
      <c r="E33" s="47" t="s">
        <v>972</v>
      </c>
      <c r="F33" s="74" t="s">
        <v>326</v>
      </c>
      <c r="G33" s="74" t="s">
        <v>524</v>
      </c>
      <c r="H33" s="47" t="s">
        <v>973</v>
      </c>
      <c r="I33" s="35" t="s">
        <v>968</v>
      </c>
      <c r="J33" s="172"/>
      <c r="K33" s="25"/>
      <c r="L33" s="57"/>
      <c r="M33" s="43"/>
      <c r="N33" s="76"/>
      <c r="O33" s="28"/>
      <c r="P33" s="28"/>
      <c r="Q33" s="50" t="s">
        <v>282</v>
      </c>
      <c r="R33" s="25" t="s">
        <v>7</v>
      </c>
      <c r="S33" s="50"/>
      <c r="T33" s="30"/>
      <c r="U33" s="30"/>
      <c r="V33" s="30"/>
      <c r="W33" s="30"/>
      <c r="X33" s="30"/>
      <c r="Y33" s="30"/>
      <c r="Z33" s="30"/>
      <c r="AA33" s="30"/>
    </row>
    <row r="34" spans="1:27" ht="15.75" customHeight="1">
      <c r="A34" s="344"/>
      <c r="B34" s="344"/>
      <c r="C34" s="74">
        <v>4</v>
      </c>
      <c r="D34" s="344"/>
      <c r="E34" s="47" t="s">
        <v>974</v>
      </c>
      <c r="F34" s="74" t="s">
        <v>326</v>
      </c>
      <c r="G34" s="74" t="s">
        <v>327</v>
      </c>
      <c r="H34" s="47" t="s">
        <v>975</v>
      </c>
      <c r="I34" s="35" t="s">
        <v>976</v>
      </c>
      <c r="J34" s="172"/>
      <c r="K34" s="25"/>
      <c r="L34" s="57"/>
      <c r="M34" s="43"/>
      <c r="N34" s="76"/>
      <c r="O34" s="28"/>
      <c r="P34" s="28"/>
      <c r="Q34" s="50" t="s">
        <v>282</v>
      </c>
      <c r="R34" s="25" t="s">
        <v>7</v>
      </c>
      <c r="S34" s="50"/>
      <c r="T34" s="30"/>
      <c r="U34" s="30"/>
      <c r="V34" s="30"/>
      <c r="W34" s="30"/>
      <c r="X34" s="30"/>
      <c r="Y34" s="30"/>
      <c r="Z34" s="30"/>
      <c r="AA34" s="30"/>
    </row>
    <row r="35" spans="1:27" ht="15.75" customHeight="1">
      <c r="A35" s="344"/>
      <c r="B35" s="344"/>
      <c r="C35" s="74">
        <v>5</v>
      </c>
      <c r="D35" s="344"/>
      <c r="E35" s="47" t="s">
        <v>977</v>
      </c>
      <c r="F35" s="74" t="s">
        <v>326</v>
      </c>
      <c r="G35" s="74" t="s">
        <v>327</v>
      </c>
      <c r="H35" s="47" t="s">
        <v>975</v>
      </c>
      <c r="I35" s="35" t="s">
        <v>512</v>
      </c>
      <c r="J35" s="172"/>
      <c r="K35" s="25"/>
      <c r="L35" s="57"/>
      <c r="M35" s="43"/>
      <c r="N35" s="76"/>
      <c r="O35" s="28"/>
      <c r="P35" s="28"/>
      <c r="Q35" s="50" t="s">
        <v>282</v>
      </c>
      <c r="R35" s="25" t="s">
        <v>7</v>
      </c>
      <c r="S35" s="50"/>
      <c r="T35" s="30"/>
      <c r="U35" s="30"/>
      <c r="V35" s="30"/>
      <c r="W35" s="30"/>
      <c r="X35" s="30"/>
      <c r="Y35" s="30"/>
      <c r="Z35" s="30"/>
      <c r="AA35" s="30"/>
    </row>
    <row r="36" spans="1:27" ht="15.75" customHeight="1">
      <c r="A36" s="344"/>
      <c r="B36" s="344"/>
      <c r="C36" s="74">
        <v>6</v>
      </c>
      <c r="D36" s="344"/>
      <c r="E36" s="47" t="s">
        <v>978</v>
      </c>
      <c r="F36" s="74" t="s">
        <v>326</v>
      </c>
      <c r="G36" s="74" t="s">
        <v>524</v>
      </c>
      <c r="H36" s="47" t="s">
        <v>979</v>
      </c>
      <c r="I36" s="35" t="s">
        <v>976</v>
      </c>
      <c r="J36" s="172"/>
      <c r="K36" s="25"/>
      <c r="L36" s="57"/>
      <c r="M36" s="43"/>
      <c r="N36" s="76"/>
      <c r="O36" s="28"/>
      <c r="P36" s="28"/>
      <c r="Q36" s="50" t="s">
        <v>282</v>
      </c>
      <c r="R36" s="25" t="s">
        <v>7</v>
      </c>
      <c r="S36" s="50"/>
      <c r="T36" s="30"/>
      <c r="U36" s="30"/>
      <c r="V36" s="30"/>
      <c r="W36" s="30"/>
      <c r="X36" s="30"/>
      <c r="Y36" s="30"/>
      <c r="Z36" s="30"/>
      <c r="AA36" s="30"/>
    </row>
    <row r="37" spans="1:27" ht="15.75" customHeight="1">
      <c r="A37" s="344"/>
      <c r="B37" s="344"/>
      <c r="C37" s="74">
        <v>7</v>
      </c>
      <c r="D37" s="344"/>
      <c r="E37" s="364" t="s">
        <v>980</v>
      </c>
      <c r="F37" s="363" t="s">
        <v>326</v>
      </c>
      <c r="G37" s="363" t="s">
        <v>327</v>
      </c>
      <c r="H37" s="47" t="s">
        <v>981</v>
      </c>
      <c r="I37" s="35" t="s">
        <v>982</v>
      </c>
      <c r="J37" s="172"/>
      <c r="K37" s="25"/>
      <c r="L37" s="57"/>
      <c r="M37" s="43"/>
      <c r="N37" s="76"/>
      <c r="O37" s="28"/>
      <c r="P37" s="28"/>
      <c r="Q37" s="50" t="s">
        <v>282</v>
      </c>
      <c r="R37" s="25" t="s">
        <v>7</v>
      </c>
      <c r="S37" s="50"/>
      <c r="T37" s="30"/>
      <c r="U37" s="30"/>
      <c r="V37" s="30"/>
      <c r="W37" s="30"/>
      <c r="X37" s="30"/>
      <c r="Y37" s="30"/>
      <c r="Z37" s="30"/>
      <c r="AA37" s="30"/>
    </row>
    <row r="38" spans="1:27" ht="15.75" customHeight="1">
      <c r="A38" s="344"/>
      <c r="B38" s="344"/>
      <c r="C38" s="74">
        <v>8</v>
      </c>
      <c r="D38" s="344"/>
      <c r="E38" s="345"/>
      <c r="F38" s="345"/>
      <c r="G38" s="345"/>
      <c r="H38" s="47" t="s">
        <v>983</v>
      </c>
      <c r="I38" s="35" t="s">
        <v>984</v>
      </c>
      <c r="J38" s="172"/>
      <c r="K38" s="25"/>
      <c r="L38" s="57"/>
      <c r="M38" s="43"/>
      <c r="N38" s="76"/>
      <c r="O38" s="28"/>
      <c r="P38" s="28"/>
      <c r="Q38" s="50" t="s">
        <v>282</v>
      </c>
      <c r="R38" s="25" t="s">
        <v>7</v>
      </c>
      <c r="S38" s="50"/>
      <c r="T38" s="30"/>
      <c r="U38" s="30"/>
      <c r="V38" s="30"/>
      <c r="W38" s="30"/>
      <c r="X38" s="30"/>
      <c r="Y38" s="30"/>
      <c r="Z38" s="30"/>
      <c r="AA38" s="30"/>
    </row>
    <row r="39" spans="1:27" ht="15.75" customHeight="1">
      <c r="A39" s="344"/>
      <c r="B39" s="344"/>
      <c r="C39" s="74">
        <v>9</v>
      </c>
      <c r="D39" s="344"/>
      <c r="E39" s="47" t="s">
        <v>985</v>
      </c>
      <c r="F39" s="74" t="s">
        <v>326</v>
      </c>
      <c r="G39" s="74" t="s">
        <v>327</v>
      </c>
      <c r="H39" s="47" t="s">
        <v>986</v>
      </c>
      <c r="I39" s="35" t="s">
        <v>512</v>
      </c>
      <c r="J39" s="172"/>
      <c r="K39" s="25"/>
      <c r="L39" s="57"/>
      <c r="M39" s="43"/>
      <c r="N39" s="76"/>
      <c r="O39" s="28"/>
      <c r="P39" s="28"/>
      <c r="Q39" s="50" t="s">
        <v>282</v>
      </c>
      <c r="R39" s="25" t="s">
        <v>7</v>
      </c>
      <c r="S39" s="50"/>
      <c r="T39" s="30"/>
      <c r="U39" s="30"/>
      <c r="V39" s="30"/>
      <c r="W39" s="30"/>
      <c r="X39" s="30"/>
      <c r="Y39" s="30"/>
      <c r="Z39" s="30"/>
      <c r="AA39" s="30"/>
    </row>
    <row r="40" spans="1:27" ht="15.75" customHeight="1">
      <c r="A40" s="344"/>
      <c r="B40" s="344"/>
      <c r="C40" s="74">
        <v>10</v>
      </c>
      <c r="D40" s="344"/>
      <c r="E40" s="364" t="s">
        <v>987</v>
      </c>
      <c r="F40" s="74" t="s">
        <v>326</v>
      </c>
      <c r="G40" s="74" t="s">
        <v>524</v>
      </c>
      <c r="H40" s="47" t="s">
        <v>988</v>
      </c>
      <c r="I40" s="35" t="s">
        <v>989</v>
      </c>
      <c r="J40" s="172"/>
      <c r="K40" s="25"/>
      <c r="L40" s="57"/>
      <c r="M40" s="43"/>
      <c r="N40" s="55"/>
      <c r="O40" s="28"/>
      <c r="P40" s="28"/>
      <c r="Q40" s="50" t="s">
        <v>282</v>
      </c>
      <c r="R40" s="25" t="s">
        <v>7</v>
      </c>
      <c r="S40" s="50"/>
      <c r="T40" s="30"/>
      <c r="U40" s="30"/>
      <c r="V40" s="30"/>
      <c r="W40" s="30"/>
      <c r="X40" s="30"/>
      <c r="Y40" s="30"/>
      <c r="Z40" s="30"/>
      <c r="AA40" s="30"/>
    </row>
    <row r="41" spans="1:27" ht="15.75" customHeight="1">
      <c r="A41" s="344"/>
      <c r="B41" s="344"/>
      <c r="C41" s="74">
        <v>11</v>
      </c>
      <c r="D41" s="344"/>
      <c r="E41" s="345"/>
      <c r="F41" s="74" t="s">
        <v>326</v>
      </c>
      <c r="G41" s="74" t="s">
        <v>524</v>
      </c>
      <c r="H41" s="47" t="s">
        <v>522</v>
      </c>
      <c r="I41" s="35" t="s">
        <v>521</v>
      </c>
      <c r="J41" s="172"/>
      <c r="K41" s="25"/>
      <c r="L41" s="57"/>
      <c r="M41" s="43"/>
      <c r="N41" s="55"/>
      <c r="O41" s="28"/>
      <c r="P41" s="28"/>
      <c r="Q41" s="50" t="s">
        <v>282</v>
      </c>
      <c r="R41" s="25" t="s">
        <v>7</v>
      </c>
      <c r="S41" s="50"/>
      <c r="T41" s="30"/>
      <c r="U41" s="30"/>
      <c r="V41" s="30"/>
      <c r="W41" s="30"/>
      <c r="X41" s="30"/>
      <c r="Y41" s="30"/>
      <c r="Z41" s="30"/>
      <c r="AA41" s="30"/>
    </row>
    <row r="42" spans="1:27" ht="15.75" customHeight="1">
      <c r="A42" s="344"/>
      <c r="B42" s="344"/>
      <c r="C42" s="74">
        <v>12</v>
      </c>
      <c r="D42" s="344"/>
      <c r="E42" s="75" t="s">
        <v>990</v>
      </c>
      <c r="F42" s="74" t="s">
        <v>326</v>
      </c>
      <c r="G42" s="74" t="s">
        <v>524</v>
      </c>
      <c r="H42" s="47" t="s">
        <v>991</v>
      </c>
      <c r="I42" s="35" t="s">
        <v>992</v>
      </c>
      <c r="J42" s="172"/>
      <c r="K42" s="25"/>
      <c r="L42" s="57"/>
      <c r="M42" s="43"/>
      <c r="N42" s="76"/>
      <c r="O42" s="28"/>
      <c r="P42" s="28"/>
      <c r="Q42" s="50" t="s">
        <v>282</v>
      </c>
      <c r="R42" s="25" t="s">
        <v>298</v>
      </c>
      <c r="S42" s="50"/>
      <c r="T42" s="30"/>
      <c r="U42" s="30"/>
      <c r="V42" s="30"/>
      <c r="W42" s="30"/>
      <c r="X42" s="30"/>
      <c r="Y42" s="30"/>
      <c r="Z42" s="30"/>
      <c r="AA42" s="30"/>
    </row>
    <row r="43" spans="1:27" ht="15.75" customHeight="1">
      <c r="A43" s="344"/>
      <c r="B43" s="344"/>
      <c r="C43" s="74">
        <v>13</v>
      </c>
      <c r="D43" s="344"/>
      <c r="E43" s="47" t="s">
        <v>993</v>
      </c>
      <c r="F43" s="74" t="s">
        <v>326</v>
      </c>
      <c r="G43" s="74" t="s">
        <v>524</v>
      </c>
      <c r="H43" s="47" t="s">
        <v>994</v>
      </c>
      <c r="I43" s="35" t="s">
        <v>992</v>
      </c>
      <c r="J43" s="172"/>
      <c r="K43" s="25"/>
      <c r="L43" s="57"/>
      <c r="M43" s="43"/>
      <c r="N43" s="55"/>
      <c r="O43" s="28"/>
      <c r="P43" s="28"/>
      <c r="Q43" s="50" t="s">
        <v>282</v>
      </c>
      <c r="R43" s="25" t="s">
        <v>298</v>
      </c>
      <c r="S43" s="50"/>
      <c r="T43" s="30"/>
      <c r="U43" s="30"/>
      <c r="V43" s="30"/>
      <c r="W43" s="30"/>
      <c r="X43" s="30"/>
      <c r="Y43" s="30"/>
      <c r="Z43" s="30"/>
      <c r="AA43" s="30"/>
    </row>
    <row r="44" spans="1:27" ht="15.75" customHeight="1">
      <c r="A44" s="344"/>
      <c r="B44" s="344"/>
      <c r="C44" s="74">
        <v>14</v>
      </c>
      <c r="D44" s="344"/>
      <c r="E44" s="47" t="s">
        <v>995</v>
      </c>
      <c r="F44" s="74" t="s">
        <v>326</v>
      </c>
      <c r="G44" s="74" t="s">
        <v>524</v>
      </c>
      <c r="H44" s="47" t="s">
        <v>996</v>
      </c>
      <c r="I44" s="35" t="s">
        <v>992</v>
      </c>
      <c r="J44" s="172"/>
      <c r="K44" s="25"/>
      <c r="L44" s="57"/>
      <c r="M44" s="43"/>
      <c r="N44" s="55"/>
      <c r="O44" s="28"/>
      <c r="P44" s="28"/>
      <c r="Q44" s="50" t="s">
        <v>282</v>
      </c>
      <c r="R44" s="25" t="s">
        <v>298</v>
      </c>
      <c r="S44" s="50"/>
      <c r="T44" s="30"/>
      <c r="U44" s="30"/>
      <c r="V44" s="30"/>
      <c r="W44" s="30"/>
      <c r="X44" s="30"/>
      <c r="Y44" s="30"/>
      <c r="Z44" s="30"/>
      <c r="AA44" s="30"/>
    </row>
    <row r="45" spans="1:27" ht="15.75" customHeight="1">
      <c r="A45" s="344"/>
      <c r="B45" s="344"/>
      <c r="C45" s="74">
        <v>15</v>
      </c>
      <c r="D45" s="344"/>
      <c r="E45" s="47" t="s">
        <v>997</v>
      </c>
      <c r="F45" s="74" t="s">
        <v>326</v>
      </c>
      <c r="G45" s="74" t="s">
        <v>327</v>
      </c>
      <c r="H45" s="47" t="s">
        <v>998</v>
      </c>
      <c r="I45" s="35" t="s">
        <v>999</v>
      </c>
      <c r="J45" s="172"/>
      <c r="K45" s="25"/>
      <c r="L45" s="57"/>
      <c r="M45" s="43"/>
      <c r="N45" s="55"/>
      <c r="O45" s="28"/>
      <c r="P45" s="28"/>
      <c r="Q45" s="50" t="s">
        <v>282</v>
      </c>
      <c r="R45" s="25" t="s">
        <v>298</v>
      </c>
      <c r="S45" s="50"/>
      <c r="T45" s="30"/>
      <c r="U45" s="30"/>
      <c r="V45" s="30"/>
      <c r="W45" s="30"/>
      <c r="X45" s="30"/>
      <c r="Y45" s="30"/>
      <c r="Z45" s="30"/>
      <c r="AA45" s="30"/>
    </row>
    <row r="46" spans="1:27" ht="15.75" customHeight="1">
      <c r="A46" s="344"/>
      <c r="B46" s="344"/>
      <c r="C46" s="74">
        <v>16</v>
      </c>
      <c r="D46" s="344"/>
      <c r="E46" s="47" t="s">
        <v>1000</v>
      </c>
      <c r="F46" s="74" t="s">
        <v>326</v>
      </c>
      <c r="G46" s="74" t="s">
        <v>327</v>
      </c>
      <c r="H46" s="47" t="s">
        <v>1001</v>
      </c>
      <c r="I46" s="35" t="s">
        <v>512</v>
      </c>
      <c r="J46" s="172"/>
      <c r="K46" s="25"/>
      <c r="L46" s="57"/>
      <c r="M46" s="43"/>
      <c r="N46" s="55"/>
      <c r="O46" s="28"/>
      <c r="P46" s="28"/>
      <c r="Q46" s="50" t="s">
        <v>282</v>
      </c>
      <c r="R46" s="25" t="s">
        <v>298</v>
      </c>
      <c r="S46" s="50"/>
      <c r="T46" s="30"/>
      <c r="U46" s="30"/>
      <c r="V46" s="30"/>
      <c r="W46" s="30"/>
      <c r="X46" s="30"/>
      <c r="Y46" s="30"/>
      <c r="Z46" s="30"/>
      <c r="AA46" s="30"/>
    </row>
    <row r="47" spans="1:27" ht="15.75" customHeight="1">
      <c r="A47" s="344"/>
      <c r="B47" s="344"/>
      <c r="C47" s="74">
        <v>17</v>
      </c>
      <c r="D47" s="344"/>
      <c r="E47" s="47" t="s">
        <v>1002</v>
      </c>
      <c r="F47" s="74" t="s">
        <v>326</v>
      </c>
      <c r="G47" s="74" t="s">
        <v>327</v>
      </c>
      <c r="H47" s="47" t="s">
        <v>1003</v>
      </c>
      <c r="I47" s="35" t="s">
        <v>999</v>
      </c>
      <c r="J47" s="172"/>
      <c r="K47" s="25"/>
      <c r="L47" s="57"/>
      <c r="M47" s="43"/>
      <c r="N47" s="55"/>
      <c r="O47" s="28"/>
      <c r="P47" s="28"/>
      <c r="Q47" s="50" t="s">
        <v>282</v>
      </c>
      <c r="R47" s="25" t="s">
        <v>298</v>
      </c>
      <c r="S47" s="50"/>
      <c r="T47" s="30"/>
      <c r="U47" s="30"/>
      <c r="V47" s="30"/>
      <c r="W47" s="30"/>
      <c r="X47" s="30"/>
      <c r="Y47" s="30"/>
      <c r="Z47" s="30"/>
      <c r="AA47" s="30"/>
    </row>
    <row r="48" spans="1:27" ht="15.75" customHeight="1">
      <c r="A48" s="344"/>
      <c r="B48" s="344"/>
      <c r="C48" s="74">
        <v>18</v>
      </c>
      <c r="D48" s="344"/>
      <c r="E48" s="47" t="s">
        <v>1004</v>
      </c>
      <c r="F48" s="74" t="s">
        <v>326</v>
      </c>
      <c r="G48" s="74" t="s">
        <v>327</v>
      </c>
      <c r="H48" s="47" t="s">
        <v>1003</v>
      </c>
      <c r="I48" s="35" t="s">
        <v>512</v>
      </c>
      <c r="J48" s="172"/>
      <c r="K48" s="25"/>
      <c r="L48" s="57"/>
      <c r="M48" s="43"/>
      <c r="N48" s="55"/>
      <c r="O48" s="28"/>
      <c r="P48" s="28"/>
      <c r="Q48" s="50" t="s">
        <v>282</v>
      </c>
      <c r="R48" s="25" t="s">
        <v>298</v>
      </c>
      <c r="S48" s="50"/>
      <c r="T48" s="30"/>
      <c r="U48" s="30"/>
      <c r="V48" s="30"/>
      <c r="W48" s="30"/>
      <c r="X48" s="30"/>
      <c r="Y48" s="30"/>
      <c r="Z48" s="30"/>
      <c r="AA48" s="30"/>
    </row>
    <row r="49" spans="1:27" ht="15.75" customHeight="1">
      <c r="A49" s="344"/>
      <c r="B49" s="344"/>
      <c r="C49" s="74">
        <v>19</v>
      </c>
      <c r="D49" s="344"/>
      <c r="E49" s="364" t="s">
        <v>1005</v>
      </c>
      <c r="F49" s="363" t="s">
        <v>326</v>
      </c>
      <c r="G49" s="363" t="s">
        <v>327</v>
      </c>
      <c r="H49" s="47" t="s">
        <v>1006</v>
      </c>
      <c r="I49" s="35" t="s">
        <v>982</v>
      </c>
      <c r="J49" s="172"/>
      <c r="K49" s="25"/>
      <c r="L49" s="57"/>
      <c r="M49" s="43"/>
      <c r="N49" s="55"/>
      <c r="O49" s="28"/>
      <c r="P49" s="28"/>
      <c r="Q49" s="50" t="s">
        <v>282</v>
      </c>
      <c r="R49" s="25" t="s">
        <v>298</v>
      </c>
      <c r="S49" s="50"/>
      <c r="T49" s="30"/>
      <c r="U49" s="30"/>
      <c r="V49" s="30"/>
      <c r="W49" s="30"/>
      <c r="X49" s="30"/>
      <c r="Y49" s="30"/>
      <c r="Z49" s="30"/>
      <c r="AA49" s="30"/>
    </row>
    <row r="50" spans="1:27" ht="15.75" customHeight="1">
      <c r="A50" s="344"/>
      <c r="B50" s="344"/>
      <c r="C50" s="74">
        <v>20</v>
      </c>
      <c r="D50" s="344"/>
      <c r="E50" s="345"/>
      <c r="F50" s="345"/>
      <c r="G50" s="345"/>
      <c r="H50" s="47" t="s">
        <v>983</v>
      </c>
      <c r="I50" s="35" t="s">
        <v>984</v>
      </c>
      <c r="J50" s="172"/>
      <c r="K50" s="25"/>
      <c r="L50" s="57"/>
      <c r="M50" s="43"/>
      <c r="N50" s="55"/>
      <c r="O50" s="28"/>
      <c r="P50" s="28"/>
      <c r="Q50" s="50" t="s">
        <v>282</v>
      </c>
      <c r="R50" s="25" t="s">
        <v>298</v>
      </c>
      <c r="S50" s="50"/>
      <c r="T50" s="30"/>
      <c r="U50" s="30"/>
      <c r="V50" s="30"/>
      <c r="W50" s="30"/>
      <c r="X50" s="30"/>
      <c r="Y50" s="30"/>
      <c r="Z50" s="30"/>
      <c r="AA50" s="30"/>
    </row>
    <row r="51" spans="1:27" ht="15.75" customHeight="1">
      <c r="A51" s="344"/>
      <c r="B51" s="344"/>
      <c r="C51" s="74">
        <v>21</v>
      </c>
      <c r="D51" s="344"/>
      <c r="E51" s="364" t="s">
        <v>1007</v>
      </c>
      <c r="F51" s="74" t="s">
        <v>326</v>
      </c>
      <c r="G51" s="74" t="s">
        <v>524</v>
      </c>
      <c r="H51" s="47" t="s">
        <v>1008</v>
      </c>
      <c r="I51" s="35" t="s">
        <v>1009</v>
      </c>
      <c r="J51" s="172"/>
      <c r="K51" s="25"/>
      <c r="L51" s="57"/>
      <c r="M51" s="43"/>
      <c r="N51" s="55"/>
      <c r="O51" s="28"/>
      <c r="P51" s="28"/>
      <c r="Q51" s="50" t="s">
        <v>282</v>
      </c>
      <c r="R51" s="25" t="s">
        <v>298</v>
      </c>
      <c r="S51" s="50"/>
      <c r="T51" s="30"/>
      <c r="U51" s="30"/>
      <c r="V51" s="30"/>
      <c r="W51" s="30"/>
      <c r="X51" s="30"/>
      <c r="Y51" s="30"/>
      <c r="Z51" s="30"/>
      <c r="AA51" s="30"/>
    </row>
    <row r="52" spans="1:27" ht="15.75" customHeight="1">
      <c r="A52" s="344"/>
      <c r="B52" s="344"/>
      <c r="C52" s="74">
        <v>22</v>
      </c>
      <c r="D52" s="344"/>
      <c r="E52" s="345"/>
      <c r="F52" s="74" t="s">
        <v>326</v>
      </c>
      <c r="G52" s="74" t="s">
        <v>524</v>
      </c>
      <c r="H52" s="47" t="s">
        <v>522</v>
      </c>
      <c r="I52" s="35" t="s">
        <v>521</v>
      </c>
      <c r="J52" s="172"/>
      <c r="K52" s="25"/>
      <c r="L52" s="57"/>
      <c r="M52" s="43"/>
      <c r="N52" s="55"/>
      <c r="O52" s="28"/>
      <c r="P52" s="28"/>
      <c r="Q52" s="50" t="s">
        <v>282</v>
      </c>
      <c r="R52" s="25" t="s">
        <v>298</v>
      </c>
      <c r="S52" s="50"/>
      <c r="T52" s="30"/>
      <c r="U52" s="30"/>
      <c r="V52" s="30"/>
      <c r="W52" s="30"/>
      <c r="X52" s="30"/>
      <c r="Y52" s="30"/>
      <c r="Z52" s="30"/>
      <c r="AA52" s="30"/>
    </row>
    <row r="53" spans="1:27" ht="15.75" customHeight="1">
      <c r="A53" s="344"/>
      <c r="B53" s="344"/>
      <c r="C53" s="74">
        <v>23</v>
      </c>
      <c r="D53" s="344"/>
      <c r="E53" s="77" t="s">
        <v>1010</v>
      </c>
      <c r="F53" s="74" t="s">
        <v>361</v>
      </c>
      <c r="G53" s="74" t="s">
        <v>524</v>
      </c>
      <c r="H53" s="47" t="s">
        <v>1011</v>
      </c>
      <c r="I53" s="35" t="s">
        <v>1012</v>
      </c>
      <c r="J53" s="172"/>
      <c r="K53" s="25"/>
      <c r="L53" s="57"/>
      <c r="M53" s="43"/>
      <c r="N53" s="55"/>
      <c r="O53" s="28"/>
      <c r="P53" s="28"/>
      <c r="Q53" s="50" t="s">
        <v>282</v>
      </c>
      <c r="R53" s="25" t="s">
        <v>298</v>
      </c>
      <c r="S53" s="50"/>
      <c r="T53" s="30"/>
      <c r="U53" s="30"/>
      <c r="V53" s="30"/>
      <c r="W53" s="30"/>
      <c r="X53" s="30"/>
      <c r="Y53" s="30"/>
      <c r="Z53" s="30"/>
      <c r="AA53" s="30"/>
    </row>
    <row r="54" spans="1:27" ht="15.75" customHeight="1">
      <c r="A54" s="344"/>
      <c r="B54" s="344"/>
      <c r="C54" s="74">
        <v>24</v>
      </c>
      <c r="D54" s="344"/>
      <c r="E54" s="364" t="s">
        <v>1013</v>
      </c>
      <c r="F54" s="74" t="s">
        <v>361</v>
      </c>
      <c r="G54" s="74" t="s">
        <v>524</v>
      </c>
      <c r="H54" s="47" t="s">
        <v>1014</v>
      </c>
      <c r="I54" s="35" t="s">
        <v>1015</v>
      </c>
      <c r="J54" s="172"/>
      <c r="K54" s="25"/>
      <c r="L54" s="57"/>
      <c r="M54" s="43"/>
      <c r="N54" s="55"/>
      <c r="O54" s="28"/>
      <c r="P54" s="28"/>
      <c r="Q54" s="50" t="s">
        <v>282</v>
      </c>
      <c r="R54" s="25" t="s">
        <v>298</v>
      </c>
      <c r="S54" s="50"/>
      <c r="T54" s="30"/>
      <c r="U54" s="30"/>
      <c r="V54" s="30"/>
      <c r="W54" s="30"/>
      <c r="X54" s="30"/>
      <c r="Y54" s="30"/>
      <c r="Z54" s="30"/>
      <c r="AA54" s="30"/>
    </row>
    <row r="55" spans="1:27" ht="15.75" customHeight="1">
      <c r="A55" s="344"/>
      <c r="B55" s="344"/>
      <c r="C55" s="74">
        <v>25</v>
      </c>
      <c r="D55" s="344"/>
      <c r="E55" s="344"/>
      <c r="F55" s="74" t="s">
        <v>361</v>
      </c>
      <c r="G55" s="74" t="s">
        <v>524</v>
      </c>
      <c r="H55" s="47" t="s">
        <v>1016</v>
      </c>
      <c r="I55" s="35" t="s">
        <v>1015</v>
      </c>
      <c r="J55" s="172"/>
      <c r="K55" s="25"/>
      <c r="L55" s="57"/>
      <c r="M55" s="43"/>
      <c r="N55" s="55"/>
      <c r="O55" s="28"/>
      <c r="P55" s="28"/>
      <c r="Q55" s="50" t="s">
        <v>282</v>
      </c>
      <c r="R55" s="25" t="s">
        <v>298</v>
      </c>
      <c r="S55" s="50"/>
      <c r="T55" s="30"/>
      <c r="U55" s="30"/>
      <c r="V55" s="30"/>
      <c r="W55" s="30"/>
      <c r="X55" s="30"/>
      <c r="Y55" s="30"/>
      <c r="Z55" s="30"/>
      <c r="AA55" s="30"/>
    </row>
    <row r="56" spans="1:27" ht="15.75" customHeight="1">
      <c r="A56" s="345"/>
      <c r="B56" s="345"/>
      <c r="C56" s="74">
        <v>26</v>
      </c>
      <c r="D56" s="345"/>
      <c r="E56" s="345"/>
      <c r="F56" s="74" t="s">
        <v>361</v>
      </c>
      <c r="G56" s="74" t="s">
        <v>524</v>
      </c>
      <c r="H56" s="47" t="s">
        <v>1017</v>
      </c>
      <c r="I56" s="78" t="s">
        <v>1018</v>
      </c>
      <c r="J56" s="78"/>
      <c r="K56" s="25"/>
      <c r="L56" s="57"/>
      <c r="M56" s="43"/>
      <c r="N56" s="55"/>
      <c r="O56" s="28"/>
      <c r="P56" s="28"/>
      <c r="Q56" s="50" t="s">
        <v>282</v>
      </c>
      <c r="R56" s="25" t="s">
        <v>298</v>
      </c>
      <c r="S56" s="50"/>
      <c r="T56" s="30"/>
      <c r="U56" s="30"/>
      <c r="V56" s="30"/>
      <c r="W56" s="30"/>
      <c r="X56" s="30"/>
      <c r="Y56" s="30"/>
      <c r="Z56" s="30"/>
      <c r="AA56" s="30"/>
    </row>
    <row r="57" spans="1:27" ht="15.75" customHeight="1">
      <c r="A57" s="364" t="s">
        <v>1019</v>
      </c>
      <c r="B57" s="363" t="s">
        <v>117</v>
      </c>
      <c r="C57" s="74">
        <v>1</v>
      </c>
      <c r="D57" s="364" t="s">
        <v>1020</v>
      </c>
      <c r="E57" s="47" t="s">
        <v>1021</v>
      </c>
      <c r="F57" s="74" t="s">
        <v>326</v>
      </c>
      <c r="G57" s="74" t="s">
        <v>524</v>
      </c>
      <c r="H57" s="47" t="s">
        <v>1022</v>
      </c>
      <c r="I57" s="23" t="s">
        <v>1023</v>
      </c>
      <c r="J57" s="170"/>
      <c r="K57" s="25"/>
      <c r="L57" s="57"/>
      <c r="M57" s="26"/>
      <c r="N57" s="55"/>
      <c r="O57" s="28"/>
      <c r="P57" s="28"/>
      <c r="Q57" s="50" t="s">
        <v>282</v>
      </c>
      <c r="R57" s="25" t="s">
        <v>7</v>
      </c>
      <c r="S57" s="50"/>
      <c r="T57" s="30"/>
      <c r="U57" s="30"/>
      <c r="V57" s="30"/>
      <c r="W57" s="30"/>
      <c r="X57" s="30"/>
      <c r="Y57" s="30"/>
      <c r="Z57" s="30"/>
      <c r="AA57" s="30"/>
    </row>
    <row r="58" spans="1:27" ht="15.75" customHeight="1">
      <c r="A58" s="344"/>
      <c r="B58" s="344"/>
      <c r="C58" s="74">
        <v>2</v>
      </c>
      <c r="D58" s="344"/>
      <c r="E58" s="47" t="s">
        <v>1024</v>
      </c>
      <c r="F58" s="74" t="s">
        <v>326</v>
      </c>
      <c r="G58" s="74" t="s">
        <v>524</v>
      </c>
      <c r="H58" s="47" t="s">
        <v>1025</v>
      </c>
      <c r="I58" s="23" t="s">
        <v>1023</v>
      </c>
      <c r="J58" s="170"/>
      <c r="K58" s="25"/>
      <c r="L58" s="57"/>
      <c r="M58" s="26"/>
      <c r="N58" s="55"/>
      <c r="O58" s="28"/>
      <c r="P58" s="28"/>
      <c r="Q58" s="50" t="s">
        <v>282</v>
      </c>
      <c r="R58" s="25" t="s">
        <v>7</v>
      </c>
      <c r="S58" s="50"/>
      <c r="T58" s="30"/>
      <c r="U58" s="30"/>
      <c r="V58" s="30"/>
      <c r="W58" s="30"/>
      <c r="X58" s="30"/>
      <c r="Y58" s="30"/>
      <c r="Z58" s="30"/>
      <c r="AA58" s="30"/>
    </row>
    <row r="59" spans="1:27" ht="15.75" customHeight="1">
      <c r="A59" s="344"/>
      <c r="B59" s="344"/>
      <c r="C59" s="74">
        <v>3</v>
      </c>
      <c r="D59" s="344"/>
      <c r="E59" s="47" t="s">
        <v>1026</v>
      </c>
      <c r="F59" s="74" t="s">
        <v>326</v>
      </c>
      <c r="G59" s="74" t="s">
        <v>524</v>
      </c>
      <c r="H59" s="47" t="s">
        <v>1027</v>
      </c>
      <c r="I59" s="23" t="s">
        <v>1023</v>
      </c>
      <c r="J59" s="170"/>
      <c r="K59" s="25"/>
      <c r="L59" s="57"/>
      <c r="M59" s="26"/>
      <c r="N59" s="55"/>
      <c r="O59" s="28"/>
      <c r="P59" s="28"/>
      <c r="Q59" s="50" t="s">
        <v>282</v>
      </c>
      <c r="R59" s="25" t="s">
        <v>7</v>
      </c>
      <c r="S59" s="50"/>
      <c r="T59" s="30"/>
      <c r="U59" s="30"/>
      <c r="V59" s="30"/>
      <c r="W59" s="30"/>
      <c r="X59" s="30"/>
      <c r="Y59" s="30"/>
      <c r="Z59" s="30"/>
      <c r="AA59" s="30"/>
    </row>
    <row r="60" spans="1:27" ht="15.75" customHeight="1">
      <c r="A60" s="345"/>
      <c r="B60" s="344"/>
      <c r="C60" s="74">
        <v>4</v>
      </c>
      <c r="D60" s="344"/>
      <c r="E60" s="47" t="s">
        <v>1028</v>
      </c>
      <c r="F60" s="74" t="s">
        <v>326</v>
      </c>
      <c r="G60" s="74" t="s">
        <v>524</v>
      </c>
      <c r="H60" s="47" t="s">
        <v>1029</v>
      </c>
      <c r="I60" s="23" t="s">
        <v>1023</v>
      </c>
      <c r="J60" s="170"/>
      <c r="K60" s="25"/>
      <c r="L60" s="57"/>
      <c r="M60" s="26"/>
      <c r="N60" s="55"/>
      <c r="O60" s="28" t="s">
        <v>140</v>
      </c>
      <c r="P60" s="28"/>
      <c r="Q60" s="50" t="s">
        <v>282</v>
      </c>
      <c r="R60" s="25" t="s">
        <v>7</v>
      </c>
      <c r="S60" s="50"/>
      <c r="T60" s="30"/>
      <c r="U60" s="30"/>
      <c r="V60" s="30"/>
      <c r="W60" s="30"/>
      <c r="X60" s="30"/>
      <c r="Y60" s="30"/>
      <c r="Z60" s="30"/>
      <c r="AA60" s="30"/>
    </row>
    <row r="61" spans="1:27" ht="15.75" customHeight="1">
      <c r="A61" s="47" t="s">
        <v>1030</v>
      </c>
      <c r="B61" s="344"/>
      <c r="C61" s="74">
        <v>5</v>
      </c>
      <c r="D61" s="344"/>
      <c r="E61" s="47" t="s">
        <v>1031</v>
      </c>
      <c r="F61" s="74" t="s">
        <v>326</v>
      </c>
      <c r="G61" s="74" t="s">
        <v>524</v>
      </c>
      <c r="H61" s="47" t="s">
        <v>1032</v>
      </c>
      <c r="I61" s="23" t="s">
        <v>1023</v>
      </c>
      <c r="J61" s="170"/>
      <c r="K61" s="25"/>
      <c r="L61" s="57"/>
      <c r="M61" s="26"/>
      <c r="N61" s="79"/>
      <c r="O61" s="28"/>
      <c r="P61" s="28"/>
      <c r="Q61" s="50" t="s">
        <v>282</v>
      </c>
      <c r="R61" s="25" t="s">
        <v>7</v>
      </c>
      <c r="S61" s="50"/>
      <c r="T61" s="30"/>
      <c r="U61" s="30"/>
      <c r="V61" s="30"/>
      <c r="W61" s="30"/>
      <c r="X61" s="30"/>
      <c r="Y61" s="30"/>
      <c r="Z61" s="30"/>
      <c r="AA61" s="30"/>
    </row>
    <row r="62" spans="1:27" ht="15.75" customHeight="1">
      <c r="A62" s="364" t="s">
        <v>1033</v>
      </c>
      <c r="B62" s="344"/>
      <c r="C62" s="74">
        <v>6</v>
      </c>
      <c r="D62" s="344"/>
      <c r="E62" s="47" t="s">
        <v>1034</v>
      </c>
      <c r="F62" s="74" t="s">
        <v>326</v>
      </c>
      <c r="G62" s="74" t="s">
        <v>524</v>
      </c>
      <c r="H62" s="47" t="s">
        <v>1035</v>
      </c>
      <c r="I62" s="35" t="s">
        <v>1023</v>
      </c>
      <c r="J62" s="172"/>
      <c r="K62" s="25"/>
      <c r="L62" s="57"/>
      <c r="M62" s="26"/>
      <c r="N62" s="55"/>
      <c r="O62" s="28"/>
      <c r="P62" s="28"/>
      <c r="Q62" s="50" t="s">
        <v>282</v>
      </c>
      <c r="R62" s="25" t="s">
        <v>298</v>
      </c>
      <c r="S62" s="50"/>
      <c r="T62" s="30"/>
      <c r="U62" s="30"/>
      <c r="V62" s="30"/>
      <c r="W62" s="30"/>
      <c r="X62" s="30"/>
      <c r="Y62" s="30"/>
      <c r="Z62" s="30"/>
      <c r="AA62" s="30"/>
    </row>
    <row r="63" spans="1:27" ht="15.75" customHeight="1">
      <c r="A63" s="345"/>
      <c r="B63" s="345"/>
      <c r="C63" s="74">
        <v>7</v>
      </c>
      <c r="D63" s="345"/>
      <c r="E63" s="47" t="s">
        <v>1036</v>
      </c>
      <c r="F63" s="74" t="s">
        <v>326</v>
      </c>
      <c r="G63" s="74" t="s">
        <v>524</v>
      </c>
      <c r="H63" s="47" t="s">
        <v>1037</v>
      </c>
      <c r="I63" s="35" t="s">
        <v>1023</v>
      </c>
      <c r="J63" s="172"/>
      <c r="K63" s="25"/>
      <c r="L63" s="57"/>
      <c r="M63" s="26"/>
      <c r="N63" s="55"/>
      <c r="O63" s="28"/>
      <c r="P63" s="28"/>
      <c r="Q63" s="50" t="s">
        <v>282</v>
      </c>
      <c r="R63" s="25" t="s">
        <v>298</v>
      </c>
      <c r="S63" s="50"/>
      <c r="T63" s="30"/>
      <c r="U63" s="30"/>
      <c r="V63" s="30"/>
      <c r="W63" s="30"/>
      <c r="X63" s="30"/>
      <c r="Y63" s="30"/>
      <c r="Z63" s="30"/>
      <c r="AA63" s="30"/>
    </row>
    <row r="64" spans="1:27" ht="15.75" customHeight="1">
      <c r="A64" s="15" t="s">
        <v>1038</v>
      </c>
      <c r="B64" s="16"/>
      <c r="C64" s="16"/>
      <c r="D64" s="17"/>
      <c r="E64" s="18"/>
      <c r="F64" s="19"/>
      <c r="G64" s="19"/>
      <c r="H64" s="17"/>
      <c r="I64" s="20"/>
      <c r="J64" s="20"/>
      <c r="K64" s="16"/>
      <c r="L64" s="16"/>
      <c r="M64" s="71"/>
      <c r="N64" s="3"/>
      <c r="O64" s="16"/>
      <c r="P64" s="16"/>
      <c r="Q64" s="16"/>
      <c r="R64" s="16"/>
      <c r="S64" s="16"/>
    </row>
    <row r="65" spans="1:27" ht="15.75" customHeight="1">
      <c r="A65" s="356" t="s">
        <v>1039</v>
      </c>
      <c r="B65" s="360" t="s">
        <v>126</v>
      </c>
      <c r="C65" s="31">
        <v>1</v>
      </c>
      <c r="D65" s="356" t="s">
        <v>1040</v>
      </c>
      <c r="E65" s="356" t="s">
        <v>1041</v>
      </c>
      <c r="F65" s="360" t="s">
        <v>326</v>
      </c>
      <c r="G65" s="360" t="s">
        <v>327</v>
      </c>
      <c r="H65" s="35" t="s">
        <v>1042</v>
      </c>
      <c r="I65" s="35" t="s">
        <v>1043</v>
      </c>
      <c r="J65" s="172"/>
      <c r="K65" s="25" t="s">
        <v>294</v>
      </c>
      <c r="L65" s="57"/>
      <c r="M65" s="26"/>
      <c r="N65" s="55"/>
      <c r="O65" s="28"/>
      <c r="P65" s="28"/>
      <c r="Q65" s="50" t="s">
        <v>140</v>
      </c>
      <c r="R65" s="25" t="s">
        <v>7</v>
      </c>
      <c r="S65" s="50"/>
      <c r="T65" s="30"/>
      <c r="U65" s="30"/>
      <c r="V65" s="30"/>
      <c r="W65" s="30"/>
      <c r="X65" s="30"/>
      <c r="Y65" s="30"/>
      <c r="Z65" s="30"/>
      <c r="AA65" s="30"/>
    </row>
    <row r="66" spans="1:27" ht="15.75" customHeight="1">
      <c r="A66" s="344"/>
      <c r="B66" s="344"/>
      <c r="C66" s="31">
        <v>2</v>
      </c>
      <c r="D66" s="344"/>
      <c r="E66" s="345"/>
      <c r="F66" s="345"/>
      <c r="G66" s="345"/>
      <c r="H66" s="35" t="s">
        <v>1044</v>
      </c>
      <c r="I66" s="35" t="s">
        <v>1045</v>
      </c>
      <c r="J66" s="172"/>
      <c r="K66" s="25" t="s">
        <v>294</v>
      </c>
      <c r="L66" s="57"/>
      <c r="M66" s="26"/>
      <c r="N66" s="55"/>
      <c r="O66" s="28"/>
      <c r="P66" s="28"/>
      <c r="Q66" s="50" t="s">
        <v>140</v>
      </c>
      <c r="R66" s="25" t="s">
        <v>7</v>
      </c>
      <c r="S66" s="50"/>
      <c r="T66" s="30"/>
      <c r="U66" s="30"/>
      <c r="V66" s="30"/>
      <c r="W66" s="30"/>
      <c r="X66" s="30"/>
      <c r="Y66" s="30"/>
      <c r="Z66" s="30"/>
      <c r="AA66" s="30"/>
    </row>
    <row r="67" spans="1:27" ht="15.75" customHeight="1">
      <c r="A67" s="344"/>
      <c r="B67" s="344"/>
      <c r="C67" s="31">
        <v>3</v>
      </c>
      <c r="D67" s="344"/>
      <c r="E67" s="23" t="s">
        <v>1046</v>
      </c>
      <c r="F67" s="31" t="s">
        <v>326</v>
      </c>
      <c r="G67" s="31" t="s">
        <v>327</v>
      </c>
      <c r="H67" s="35" t="s">
        <v>1047</v>
      </c>
      <c r="I67" s="35" t="s">
        <v>1048</v>
      </c>
      <c r="J67" s="172"/>
      <c r="K67" s="25" t="s">
        <v>294</v>
      </c>
      <c r="L67" s="57"/>
      <c r="M67" s="26"/>
      <c r="N67" s="55"/>
      <c r="O67" s="28" t="s">
        <v>140</v>
      </c>
      <c r="P67" s="28"/>
      <c r="Q67" s="50" t="s">
        <v>140</v>
      </c>
      <c r="R67" s="25" t="s">
        <v>7</v>
      </c>
      <c r="S67" s="50"/>
      <c r="T67" s="30"/>
      <c r="U67" s="30"/>
      <c r="V67" s="30"/>
      <c r="W67" s="30"/>
      <c r="X67" s="30"/>
      <c r="Y67" s="30"/>
      <c r="Z67" s="30"/>
      <c r="AA67" s="30"/>
    </row>
    <row r="68" spans="1:27" ht="15.75" customHeight="1">
      <c r="A68" s="352"/>
      <c r="B68" s="352"/>
      <c r="C68" s="86"/>
      <c r="D68" s="352"/>
      <c r="E68" s="175" t="s">
        <v>1049</v>
      </c>
      <c r="F68" s="86"/>
      <c r="G68" s="86"/>
      <c r="H68" s="175" t="s">
        <v>1047</v>
      </c>
      <c r="I68" s="35" t="s">
        <v>1050</v>
      </c>
      <c r="J68" s="172"/>
      <c r="K68" s="25"/>
      <c r="L68" s="57"/>
      <c r="M68" s="26"/>
      <c r="N68" s="55"/>
      <c r="O68" s="28" t="s">
        <v>140</v>
      </c>
      <c r="P68" s="28"/>
      <c r="Q68" s="50" t="s">
        <v>140</v>
      </c>
      <c r="R68" s="25" t="s">
        <v>306</v>
      </c>
      <c r="S68" s="50"/>
      <c r="T68" s="30"/>
      <c r="U68" s="30"/>
      <c r="V68" s="30"/>
      <c r="W68" s="30"/>
      <c r="X68" s="30"/>
      <c r="Y68" s="30"/>
      <c r="Z68" s="30"/>
      <c r="AA68" s="30"/>
    </row>
    <row r="69" spans="1:27" ht="15.75" customHeight="1">
      <c r="A69" s="344"/>
      <c r="B69" s="344"/>
      <c r="C69" s="31">
        <v>4</v>
      </c>
      <c r="D69" s="344"/>
      <c r="E69" s="356" t="s">
        <v>1051</v>
      </c>
      <c r="F69" s="31" t="s">
        <v>326</v>
      </c>
      <c r="G69" s="31" t="s">
        <v>327</v>
      </c>
      <c r="H69" s="35" t="s">
        <v>1052</v>
      </c>
      <c r="I69" s="35" t="s">
        <v>1053</v>
      </c>
      <c r="J69" s="172"/>
      <c r="K69" s="25" t="s">
        <v>294</v>
      </c>
      <c r="L69" s="57"/>
      <c r="M69" s="26"/>
      <c r="N69" s="55"/>
      <c r="O69" s="28" t="s">
        <v>140</v>
      </c>
      <c r="P69" s="28"/>
      <c r="Q69" s="50" t="s">
        <v>140</v>
      </c>
      <c r="R69" s="25" t="s">
        <v>7</v>
      </c>
      <c r="S69" s="50"/>
      <c r="T69" s="30"/>
      <c r="U69" s="30"/>
      <c r="V69" s="30"/>
      <c r="W69" s="30"/>
      <c r="X69" s="30"/>
      <c r="Y69" s="30"/>
      <c r="Z69" s="30"/>
      <c r="AA69" s="30"/>
    </row>
    <row r="70" spans="1:27" ht="15.75" customHeight="1">
      <c r="A70" s="344"/>
      <c r="B70" s="344"/>
      <c r="C70" s="31">
        <v>5</v>
      </c>
      <c r="D70" s="344"/>
      <c r="E70" s="344"/>
      <c r="F70" s="360" t="s">
        <v>326</v>
      </c>
      <c r="G70" s="360" t="s">
        <v>524</v>
      </c>
      <c r="H70" s="23" t="s">
        <v>336</v>
      </c>
      <c r="I70" s="23" t="s">
        <v>1054</v>
      </c>
      <c r="J70" s="170"/>
      <c r="K70" s="25"/>
      <c r="L70" s="57"/>
      <c r="M70" s="26"/>
      <c r="N70" s="55"/>
      <c r="O70" s="28" t="s">
        <v>140</v>
      </c>
      <c r="P70" s="28"/>
      <c r="Q70" s="50" t="s">
        <v>282</v>
      </c>
      <c r="R70" s="25" t="s">
        <v>7</v>
      </c>
      <c r="S70" s="50"/>
      <c r="T70" s="30"/>
      <c r="U70" s="30"/>
      <c r="V70" s="30"/>
      <c r="W70" s="30"/>
      <c r="X70" s="30"/>
      <c r="Y70" s="30"/>
      <c r="Z70" s="30"/>
      <c r="AA70" s="30"/>
    </row>
    <row r="71" spans="1:27" ht="15.75" customHeight="1">
      <c r="A71" s="344"/>
      <c r="B71" s="344"/>
      <c r="C71" s="31">
        <v>6</v>
      </c>
      <c r="D71" s="344"/>
      <c r="E71" s="345"/>
      <c r="F71" s="345"/>
      <c r="G71" s="345"/>
      <c r="H71" s="23" t="s">
        <v>338</v>
      </c>
      <c r="I71" s="23" t="s">
        <v>1055</v>
      </c>
      <c r="J71" s="170"/>
      <c r="K71" s="25" t="s">
        <v>294</v>
      </c>
      <c r="L71" s="57"/>
      <c r="M71" s="26"/>
      <c r="N71" s="55"/>
      <c r="O71" s="28" t="s">
        <v>140</v>
      </c>
      <c r="P71" s="28"/>
      <c r="Q71" s="50" t="s">
        <v>140</v>
      </c>
      <c r="R71" s="25" t="s">
        <v>7</v>
      </c>
      <c r="S71" s="50"/>
      <c r="T71" s="30"/>
      <c r="U71" s="30"/>
      <c r="V71" s="30"/>
      <c r="W71" s="30"/>
      <c r="X71" s="30"/>
      <c r="Y71" s="30"/>
      <c r="Z71" s="30"/>
      <c r="AA71" s="30"/>
    </row>
    <row r="72" spans="1:27" ht="15.75" customHeight="1">
      <c r="A72" s="344"/>
      <c r="B72" s="344"/>
      <c r="C72" s="31">
        <v>7</v>
      </c>
      <c r="D72" s="344"/>
      <c r="E72" s="356" t="s">
        <v>1056</v>
      </c>
      <c r="F72" s="360" t="s">
        <v>326</v>
      </c>
      <c r="G72" s="360" t="s">
        <v>524</v>
      </c>
      <c r="H72" s="23" t="s">
        <v>563</v>
      </c>
      <c r="I72" s="23" t="s">
        <v>1057</v>
      </c>
      <c r="J72" s="170"/>
      <c r="K72" s="25" t="s">
        <v>294</v>
      </c>
      <c r="L72" s="57"/>
      <c r="M72" s="26"/>
      <c r="N72" s="55"/>
      <c r="O72" s="28" t="s">
        <v>140</v>
      </c>
      <c r="P72" s="28"/>
      <c r="Q72" s="50" t="s">
        <v>140</v>
      </c>
      <c r="R72" s="25" t="s">
        <v>7</v>
      </c>
      <c r="S72" s="50"/>
      <c r="T72" s="30"/>
      <c r="U72" s="30"/>
      <c r="V72" s="30"/>
      <c r="W72" s="30"/>
      <c r="X72" s="30"/>
      <c r="Y72" s="30"/>
      <c r="Z72" s="30"/>
      <c r="AA72" s="30"/>
    </row>
    <row r="73" spans="1:27" ht="15.75" customHeight="1">
      <c r="A73" s="344"/>
      <c r="B73" s="344"/>
      <c r="C73" s="31">
        <v>8</v>
      </c>
      <c r="D73" s="344"/>
      <c r="E73" s="344"/>
      <c r="F73" s="344"/>
      <c r="G73" s="344"/>
      <c r="H73" s="23" t="s">
        <v>336</v>
      </c>
      <c r="I73" s="23" t="s">
        <v>1058</v>
      </c>
      <c r="J73" s="170"/>
      <c r="K73" s="25"/>
      <c r="L73" s="57"/>
      <c r="M73" s="26"/>
      <c r="N73" s="55"/>
      <c r="O73" s="28" t="s">
        <v>140</v>
      </c>
      <c r="P73" s="28"/>
      <c r="Q73" s="50" t="s">
        <v>282</v>
      </c>
      <c r="R73" s="25" t="s">
        <v>7</v>
      </c>
      <c r="S73" s="50"/>
      <c r="T73" s="30"/>
      <c r="U73" s="30"/>
      <c r="V73" s="30"/>
      <c r="W73" s="30"/>
      <c r="X73" s="30"/>
      <c r="Y73" s="30"/>
      <c r="Z73" s="30"/>
      <c r="AA73" s="30"/>
    </row>
    <row r="74" spans="1:27" ht="15.75" customHeight="1">
      <c r="A74" s="344"/>
      <c r="B74" s="344"/>
      <c r="C74" s="31">
        <v>9</v>
      </c>
      <c r="D74" s="344"/>
      <c r="E74" s="345"/>
      <c r="F74" s="345"/>
      <c r="G74" s="345"/>
      <c r="H74" s="23" t="s">
        <v>338</v>
      </c>
      <c r="I74" s="23" t="s">
        <v>1059</v>
      </c>
      <c r="J74" s="170"/>
      <c r="K74" s="25" t="s">
        <v>294</v>
      </c>
      <c r="L74" s="57"/>
      <c r="M74" s="26"/>
      <c r="N74" s="55"/>
      <c r="O74" s="28" t="s">
        <v>140</v>
      </c>
      <c r="P74" s="28"/>
      <c r="Q74" s="50" t="s">
        <v>140</v>
      </c>
      <c r="R74" s="25" t="s">
        <v>7</v>
      </c>
      <c r="S74" s="50"/>
      <c r="T74" s="30"/>
      <c r="U74" s="30"/>
      <c r="V74" s="30"/>
      <c r="W74" s="30"/>
      <c r="X74" s="30"/>
      <c r="Y74" s="30"/>
      <c r="Z74" s="30"/>
      <c r="AA74" s="30"/>
    </row>
    <row r="75" spans="1:27" ht="15.75" customHeight="1">
      <c r="A75" s="344"/>
      <c r="B75" s="344"/>
      <c r="C75" s="31">
        <v>10</v>
      </c>
      <c r="D75" s="344"/>
      <c r="E75" s="23" t="s">
        <v>1060</v>
      </c>
      <c r="F75" s="31" t="s">
        <v>326</v>
      </c>
      <c r="G75" s="31" t="s">
        <v>327</v>
      </c>
      <c r="H75" s="23" t="s">
        <v>1061</v>
      </c>
      <c r="I75" s="23" t="s">
        <v>1062</v>
      </c>
      <c r="J75" s="170"/>
      <c r="K75" s="25" t="s">
        <v>294</v>
      </c>
      <c r="L75" s="57"/>
      <c r="M75" s="26"/>
      <c r="N75" s="55"/>
      <c r="O75" s="28" t="s">
        <v>140</v>
      </c>
      <c r="P75" s="28"/>
      <c r="Q75" s="50" t="s">
        <v>140</v>
      </c>
      <c r="R75" s="25" t="s">
        <v>7</v>
      </c>
      <c r="S75" s="50"/>
      <c r="T75" s="30"/>
      <c r="U75" s="30"/>
      <c r="V75" s="30"/>
      <c r="W75" s="30"/>
      <c r="X75" s="30"/>
      <c r="Y75" s="30"/>
      <c r="Z75" s="30"/>
      <c r="AA75" s="30"/>
    </row>
    <row r="76" spans="1:27" ht="15.75" customHeight="1">
      <c r="A76" s="344"/>
      <c r="B76" s="344"/>
      <c r="C76" s="31">
        <v>11</v>
      </c>
      <c r="D76" s="344"/>
      <c r="E76" s="23" t="s">
        <v>1063</v>
      </c>
      <c r="F76" s="31" t="s">
        <v>326</v>
      </c>
      <c r="G76" s="31" t="s">
        <v>327</v>
      </c>
      <c r="H76" s="23" t="s">
        <v>1064</v>
      </c>
      <c r="I76" s="23" t="s">
        <v>1065</v>
      </c>
      <c r="J76" s="170"/>
      <c r="K76" s="25" t="s">
        <v>294</v>
      </c>
      <c r="L76" s="57"/>
      <c r="M76" s="26"/>
      <c r="N76" s="55"/>
      <c r="O76" s="28" t="s">
        <v>140</v>
      </c>
      <c r="P76" s="28"/>
      <c r="Q76" s="50" t="s">
        <v>140</v>
      </c>
      <c r="R76" s="25" t="s">
        <v>7</v>
      </c>
      <c r="S76" s="50"/>
      <c r="T76" s="30"/>
      <c r="U76" s="30"/>
      <c r="V76" s="30"/>
      <c r="W76" s="30"/>
      <c r="X76" s="30"/>
      <c r="Y76" s="30"/>
      <c r="Z76" s="30"/>
      <c r="AA76" s="30"/>
    </row>
    <row r="77" spans="1:27" ht="15.75" customHeight="1">
      <c r="A77" s="344"/>
      <c r="B77" s="344"/>
      <c r="C77" s="31">
        <v>12</v>
      </c>
      <c r="D77" s="344"/>
      <c r="E77" s="39" t="s">
        <v>679</v>
      </c>
      <c r="F77" s="31" t="s">
        <v>326</v>
      </c>
      <c r="G77" s="31" t="s">
        <v>327</v>
      </c>
      <c r="H77" s="23" t="s">
        <v>1066</v>
      </c>
      <c r="I77" s="23" t="s">
        <v>1067</v>
      </c>
      <c r="J77" s="170"/>
      <c r="K77" s="25"/>
      <c r="L77" s="57"/>
      <c r="M77" s="26"/>
      <c r="N77" s="55"/>
      <c r="O77" s="28" t="s">
        <v>140</v>
      </c>
      <c r="P77" s="28"/>
      <c r="Q77" s="50" t="s">
        <v>282</v>
      </c>
      <c r="R77" s="25" t="s">
        <v>7</v>
      </c>
      <c r="S77" s="50"/>
      <c r="T77" s="30"/>
      <c r="U77" s="30"/>
      <c r="V77" s="30"/>
      <c r="W77" s="30"/>
      <c r="X77" s="30"/>
      <c r="Y77" s="30"/>
      <c r="Z77" s="30"/>
      <c r="AA77" s="30"/>
    </row>
    <row r="78" spans="1:27" ht="15.75" customHeight="1">
      <c r="A78" s="344"/>
      <c r="B78" s="344"/>
      <c r="C78" s="31">
        <v>13</v>
      </c>
      <c r="D78" s="344"/>
      <c r="E78" s="359" t="s">
        <v>385</v>
      </c>
      <c r="F78" s="360" t="s">
        <v>326</v>
      </c>
      <c r="G78" s="360" t="s">
        <v>327</v>
      </c>
      <c r="H78" s="356" t="s">
        <v>386</v>
      </c>
      <c r="I78" s="23" t="s">
        <v>1068</v>
      </c>
      <c r="J78" s="170"/>
      <c r="K78" s="25"/>
      <c r="L78" s="26"/>
      <c r="M78" s="26"/>
      <c r="N78" s="27"/>
      <c r="O78" s="28" t="s">
        <v>140</v>
      </c>
      <c r="P78" s="28"/>
      <c r="Q78" s="50" t="s">
        <v>282</v>
      </c>
      <c r="R78" s="25" t="s">
        <v>7</v>
      </c>
      <c r="S78" s="50"/>
      <c r="T78" s="30"/>
      <c r="U78" s="30"/>
      <c r="V78" s="30"/>
      <c r="W78" s="30"/>
      <c r="X78" s="30"/>
      <c r="Y78" s="30"/>
      <c r="Z78" s="30"/>
      <c r="AA78" s="30"/>
    </row>
    <row r="79" spans="1:27" ht="15.75" customHeight="1">
      <c r="A79" s="344"/>
      <c r="B79" s="344"/>
      <c r="C79" s="31">
        <v>14</v>
      </c>
      <c r="D79" s="344"/>
      <c r="E79" s="344"/>
      <c r="F79" s="344"/>
      <c r="G79" s="344"/>
      <c r="H79" s="344"/>
      <c r="I79" s="35" t="s">
        <v>1069</v>
      </c>
      <c r="J79" s="172"/>
      <c r="K79" s="25"/>
      <c r="L79" s="26"/>
      <c r="M79" s="26"/>
      <c r="N79" s="27"/>
      <c r="O79" s="28" t="s">
        <v>140</v>
      </c>
      <c r="P79" s="28"/>
      <c r="Q79" s="50" t="s">
        <v>282</v>
      </c>
      <c r="R79" s="25" t="s">
        <v>7</v>
      </c>
      <c r="S79" s="50"/>
      <c r="T79" s="30"/>
      <c r="U79" s="30"/>
      <c r="V79" s="30"/>
      <c r="W79" s="30"/>
      <c r="X79" s="30"/>
      <c r="Y79" s="30"/>
      <c r="Z79" s="30"/>
      <c r="AA79" s="30"/>
    </row>
    <row r="80" spans="1:27" ht="15.75" customHeight="1">
      <c r="A80" s="344"/>
      <c r="B80" s="344"/>
      <c r="C80" s="31">
        <v>15</v>
      </c>
      <c r="D80" s="344"/>
      <c r="E80" s="345"/>
      <c r="F80" s="345"/>
      <c r="G80" s="345"/>
      <c r="H80" s="345"/>
      <c r="I80" s="23" t="s">
        <v>389</v>
      </c>
      <c r="J80" s="170"/>
      <c r="K80" s="25"/>
      <c r="L80" s="26"/>
      <c r="M80" s="26"/>
      <c r="N80" s="27"/>
      <c r="O80" s="28" t="s">
        <v>140</v>
      </c>
      <c r="P80" s="28"/>
      <c r="Q80" s="50" t="s">
        <v>282</v>
      </c>
      <c r="R80" s="25" t="s">
        <v>7</v>
      </c>
      <c r="S80" s="50"/>
      <c r="T80" s="30"/>
      <c r="U80" s="30"/>
      <c r="V80" s="30"/>
      <c r="W80" s="30"/>
      <c r="X80" s="30"/>
      <c r="Y80" s="30"/>
      <c r="Z80" s="30"/>
      <c r="AA80" s="30"/>
    </row>
    <row r="81" spans="1:27" ht="15.75" customHeight="1">
      <c r="A81" s="345"/>
      <c r="B81" s="345"/>
      <c r="C81" s="31">
        <v>16</v>
      </c>
      <c r="D81" s="345"/>
      <c r="E81" s="39" t="s">
        <v>1070</v>
      </c>
      <c r="F81" s="31" t="s">
        <v>326</v>
      </c>
      <c r="G81" s="31" t="s">
        <v>524</v>
      </c>
      <c r="H81" s="23" t="s">
        <v>1071</v>
      </c>
      <c r="I81" s="23" t="s">
        <v>1072</v>
      </c>
      <c r="J81" s="170"/>
      <c r="K81" s="25" t="s">
        <v>294</v>
      </c>
      <c r="L81" s="57"/>
      <c r="M81" s="26"/>
      <c r="N81" s="55"/>
      <c r="O81" s="28"/>
      <c r="P81" s="28"/>
      <c r="Q81" s="50" t="s">
        <v>140</v>
      </c>
      <c r="R81" s="25" t="s">
        <v>7</v>
      </c>
      <c r="S81" s="50"/>
      <c r="T81" s="30"/>
      <c r="U81" s="30"/>
      <c r="V81" s="30"/>
      <c r="W81" s="30"/>
      <c r="X81" s="30"/>
      <c r="Y81" s="30"/>
      <c r="Z81" s="30"/>
      <c r="AA81" s="30"/>
    </row>
    <row r="82" spans="1:27" ht="15.75" customHeight="1">
      <c r="A82" s="356" t="s">
        <v>1073</v>
      </c>
      <c r="B82" s="360" t="s">
        <v>116</v>
      </c>
      <c r="C82" s="31">
        <v>1</v>
      </c>
      <c r="D82" s="356" t="s">
        <v>1040</v>
      </c>
      <c r="E82" s="356" t="s">
        <v>583</v>
      </c>
      <c r="F82" s="31" t="s">
        <v>326</v>
      </c>
      <c r="G82" s="31" t="s">
        <v>327</v>
      </c>
      <c r="H82" s="23" t="s">
        <v>1074</v>
      </c>
      <c r="I82" s="23" t="s">
        <v>1075</v>
      </c>
      <c r="J82" s="170"/>
      <c r="K82" s="25" t="s">
        <v>294</v>
      </c>
      <c r="L82" s="57"/>
      <c r="M82" s="26"/>
      <c r="N82" s="55"/>
      <c r="O82" s="28"/>
      <c r="P82" s="28"/>
      <c r="Q82" s="50" t="s">
        <v>140</v>
      </c>
      <c r="R82" s="25" t="s">
        <v>7</v>
      </c>
      <c r="S82" s="50"/>
      <c r="T82" s="30"/>
      <c r="U82" s="30"/>
      <c r="V82" s="30"/>
      <c r="W82" s="30"/>
      <c r="X82" s="30"/>
      <c r="Y82" s="30"/>
      <c r="Z82" s="30"/>
      <c r="AA82" s="30"/>
    </row>
    <row r="83" spans="1:27" ht="15.75" customHeight="1">
      <c r="A83" s="344"/>
      <c r="B83" s="344"/>
      <c r="C83" s="31">
        <v>2</v>
      </c>
      <c r="D83" s="344"/>
      <c r="E83" s="344"/>
      <c r="F83" s="360" t="s">
        <v>326</v>
      </c>
      <c r="G83" s="360" t="s">
        <v>524</v>
      </c>
      <c r="H83" s="23" t="s">
        <v>342</v>
      </c>
      <c r="I83" s="23" t="s">
        <v>1076</v>
      </c>
      <c r="J83" s="170"/>
      <c r="K83" s="25" t="s">
        <v>294</v>
      </c>
      <c r="L83" s="57"/>
      <c r="M83" s="26"/>
      <c r="N83" s="55"/>
      <c r="O83" s="28"/>
      <c r="P83" s="28"/>
      <c r="Q83" s="50" t="s">
        <v>140</v>
      </c>
      <c r="R83" s="25" t="s">
        <v>7</v>
      </c>
      <c r="S83" s="50"/>
      <c r="T83" s="30"/>
      <c r="U83" s="30"/>
      <c r="V83" s="30"/>
      <c r="W83" s="30"/>
      <c r="X83" s="30"/>
      <c r="Y83" s="30"/>
      <c r="Z83" s="30"/>
      <c r="AA83" s="30"/>
    </row>
    <row r="84" spans="1:27" ht="15.75" customHeight="1">
      <c r="A84" s="344"/>
      <c r="B84" s="344"/>
      <c r="C84" s="31">
        <v>3</v>
      </c>
      <c r="D84" s="344"/>
      <c r="E84" s="344"/>
      <c r="F84" s="344"/>
      <c r="G84" s="344"/>
      <c r="H84" s="23" t="s">
        <v>336</v>
      </c>
      <c r="I84" s="23" t="s">
        <v>1077</v>
      </c>
      <c r="J84" s="170"/>
      <c r="K84" s="25"/>
      <c r="L84" s="57"/>
      <c r="M84" s="26"/>
      <c r="N84" s="55"/>
      <c r="O84" s="28"/>
      <c r="P84" s="28"/>
      <c r="Q84" s="50" t="s">
        <v>282</v>
      </c>
      <c r="R84" s="25" t="s">
        <v>7</v>
      </c>
      <c r="S84" s="50"/>
      <c r="T84" s="30"/>
      <c r="U84" s="30"/>
      <c r="V84" s="30"/>
      <c r="W84" s="30"/>
      <c r="X84" s="30"/>
      <c r="Y84" s="30"/>
      <c r="Z84" s="30"/>
      <c r="AA84" s="30"/>
    </row>
    <row r="85" spans="1:27" ht="15.75" customHeight="1">
      <c r="A85" s="344"/>
      <c r="B85" s="344"/>
      <c r="C85" s="31">
        <v>4</v>
      </c>
      <c r="D85" s="344"/>
      <c r="E85" s="345"/>
      <c r="F85" s="345"/>
      <c r="G85" s="345"/>
      <c r="H85" s="23" t="s">
        <v>338</v>
      </c>
      <c r="I85" s="23" t="s">
        <v>1055</v>
      </c>
      <c r="J85" s="170"/>
      <c r="K85" s="25" t="s">
        <v>294</v>
      </c>
      <c r="L85" s="57"/>
      <c r="M85" s="26"/>
      <c r="N85" s="55"/>
      <c r="O85" s="28"/>
      <c r="P85" s="28"/>
      <c r="Q85" s="50" t="s">
        <v>140</v>
      </c>
      <c r="R85" s="25" t="s">
        <v>7</v>
      </c>
      <c r="S85" s="50"/>
      <c r="T85" s="30"/>
      <c r="U85" s="30"/>
      <c r="V85" s="30"/>
      <c r="W85" s="30"/>
      <c r="X85" s="30"/>
      <c r="Y85" s="30"/>
      <c r="Z85" s="30"/>
      <c r="AA85" s="30"/>
    </row>
    <row r="86" spans="1:27" ht="15.75" customHeight="1">
      <c r="A86" s="344"/>
      <c r="B86" s="344"/>
      <c r="C86" s="31">
        <v>5</v>
      </c>
      <c r="D86" s="344"/>
      <c r="E86" s="23" t="s">
        <v>1078</v>
      </c>
      <c r="F86" s="31" t="s">
        <v>326</v>
      </c>
      <c r="G86" s="31" t="s">
        <v>327</v>
      </c>
      <c r="H86" s="23" t="s">
        <v>1079</v>
      </c>
      <c r="I86" s="23" t="s">
        <v>1080</v>
      </c>
      <c r="J86" s="170"/>
      <c r="K86" s="25"/>
      <c r="L86" s="57"/>
      <c r="M86" s="26"/>
      <c r="N86" s="55"/>
      <c r="O86" s="28"/>
      <c r="P86" s="28"/>
      <c r="Q86" s="50" t="s">
        <v>282</v>
      </c>
      <c r="R86" s="25" t="s">
        <v>7</v>
      </c>
      <c r="S86" s="50"/>
      <c r="T86" s="30"/>
      <c r="U86" s="30"/>
      <c r="V86" s="30"/>
      <c r="W86" s="30"/>
      <c r="X86" s="30"/>
      <c r="Y86" s="30"/>
      <c r="Z86" s="30"/>
      <c r="AA86" s="30"/>
    </row>
    <row r="87" spans="1:27" ht="15.75" customHeight="1">
      <c r="A87" s="344"/>
      <c r="B87" s="344"/>
      <c r="C87" s="31">
        <v>6</v>
      </c>
      <c r="D87" s="344"/>
      <c r="E87" s="365" t="s">
        <v>1081</v>
      </c>
      <c r="F87" s="46" t="s">
        <v>361</v>
      </c>
      <c r="G87" s="46" t="s">
        <v>524</v>
      </c>
      <c r="H87" s="35" t="s">
        <v>1082</v>
      </c>
      <c r="I87" s="35" t="s">
        <v>1083</v>
      </c>
      <c r="J87" s="172"/>
      <c r="K87" s="25"/>
      <c r="L87" s="57"/>
      <c r="M87" s="26"/>
      <c r="N87" s="55"/>
      <c r="O87" s="28"/>
      <c r="P87" s="28"/>
      <c r="Q87" s="50" t="s">
        <v>282</v>
      </c>
      <c r="R87" s="25" t="s">
        <v>7</v>
      </c>
      <c r="S87" s="50"/>
      <c r="T87" s="30"/>
      <c r="U87" s="30"/>
      <c r="V87" s="30"/>
      <c r="W87" s="30"/>
      <c r="X87" s="30"/>
      <c r="Y87" s="30"/>
      <c r="Z87" s="30"/>
      <c r="AA87" s="30"/>
    </row>
    <row r="88" spans="1:27" ht="15.75" customHeight="1">
      <c r="A88" s="344"/>
      <c r="B88" s="344"/>
      <c r="C88" s="31">
        <v>7</v>
      </c>
      <c r="D88" s="344"/>
      <c r="E88" s="345"/>
      <c r="F88" s="46" t="s">
        <v>361</v>
      </c>
      <c r="G88" s="46" t="s">
        <v>524</v>
      </c>
      <c r="H88" s="35" t="s">
        <v>1084</v>
      </c>
      <c r="I88" s="35" t="s">
        <v>1083</v>
      </c>
      <c r="J88" s="172"/>
      <c r="K88" s="25"/>
      <c r="L88" s="57"/>
      <c r="M88" s="26"/>
      <c r="N88" s="55"/>
      <c r="O88" s="28"/>
      <c r="P88" s="28"/>
      <c r="Q88" s="50" t="s">
        <v>282</v>
      </c>
      <c r="R88" s="25" t="s">
        <v>7</v>
      </c>
      <c r="S88" s="50"/>
      <c r="T88" s="30"/>
      <c r="U88" s="30"/>
      <c r="V88" s="30"/>
      <c r="W88" s="30"/>
      <c r="X88" s="30"/>
      <c r="Y88" s="30"/>
      <c r="Z88" s="30"/>
      <c r="AA88" s="30"/>
    </row>
    <row r="89" spans="1:27" ht="15.75" customHeight="1">
      <c r="A89" s="344"/>
      <c r="B89" s="344"/>
      <c r="C89" s="31">
        <v>8</v>
      </c>
      <c r="D89" s="344"/>
      <c r="E89" s="365" t="s">
        <v>1081</v>
      </c>
      <c r="F89" s="46" t="s">
        <v>361</v>
      </c>
      <c r="G89" s="46" t="s">
        <v>524</v>
      </c>
      <c r="H89" s="35" t="s">
        <v>1085</v>
      </c>
      <c r="I89" s="35" t="s">
        <v>1083</v>
      </c>
      <c r="J89" s="172"/>
      <c r="K89" s="25"/>
      <c r="L89" s="57"/>
      <c r="M89" s="26"/>
      <c r="N89" s="55"/>
      <c r="O89" s="28"/>
      <c r="P89" s="28"/>
      <c r="Q89" s="50" t="s">
        <v>282</v>
      </c>
      <c r="R89" s="25" t="s">
        <v>7</v>
      </c>
      <c r="S89" s="50"/>
      <c r="T89" s="30"/>
      <c r="U89" s="30"/>
      <c r="V89" s="30"/>
      <c r="W89" s="30"/>
      <c r="X89" s="30"/>
      <c r="Y89" s="30"/>
      <c r="Z89" s="30"/>
      <c r="AA89" s="30"/>
    </row>
    <row r="90" spans="1:27" ht="15.75" customHeight="1">
      <c r="A90" s="344"/>
      <c r="B90" s="344"/>
      <c r="C90" s="31">
        <v>9</v>
      </c>
      <c r="D90" s="344"/>
      <c r="E90" s="345"/>
      <c r="F90" s="46" t="s">
        <v>361</v>
      </c>
      <c r="G90" s="46" t="s">
        <v>524</v>
      </c>
      <c r="H90" s="35" t="s">
        <v>1086</v>
      </c>
      <c r="I90" s="35" t="s">
        <v>1083</v>
      </c>
      <c r="J90" s="172"/>
      <c r="K90" s="25"/>
      <c r="L90" s="57"/>
      <c r="M90" s="26"/>
      <c r="N90" s="55"/>
      <c r="O90" s="28"/>
      <c r="P90" s="28"/>
      <c r="Q90" s="50" t="s">
        <v>282</v>
      </c>
      <c r="R90" s="25" t="s">
        <v>7</v>
      </c>
      <c r="S90" s="50"/>
      <c r="T90" s="30"/>
      <c r="U90" s="30"/>
      <c r="V90" s="30"/>
      <c r="W90" s="30"/>
      <c r="X90" s="30"/>
      <c r="Y90" s="30"/>
      <c r="Z90" s="30"/>
      <c r="AA90" s="30"/>
    </row>
    <row r="91" spans="1:27" ht="15.75" customHeight="1">
      <c r="A91" s="344"/>
      <c r="B91" s="344"/>
      <c r="C91" s="31">
        <v>10</v>
      </c>
      <c r="D91" s="344"/>
      <c r="E91" s="365" t="s">
        <v>1087</v>
      </c>
      <c r="F91" s="371" t="s">
        <v>326</v>
      </c>
      <c r="G91" s="371" t="s">
        <v>524</v>
      </c>
      <c r="H91" s="35" t="s">
        <v>1088</v>
      </c>
      <c r="I91" s="35" t="s">
        <v>1089</v>
      </c>
      <c r="J91" s="172"/>
      <c r="K91" s="25" t="s">
        <v>294</v>
      </c>
      <c r="L91" s="57"/>
      <c r="M91" s="26"/>
      <c r="N91" s="55"/>
      <c r="O91" s="28"/>
      <c r="P91" s="28"/>
      <c r="Q91" s="50" t="s">
        <v>140</v>
      </c>
      <c r="R91" s="25" t="s">
        <v>7</v>
      </c>
      <c r="S91" s="50"/>
      <c r="T91" s="30"/>
      <c r="U91" s="30"/>
      <c r="V91" s="30"/>
      <c r="W91" s="30"/>
      <c r="X91" s="30"/>
      <c r="Y91" s="30"/>
      <c r="Z91" s="30"/>
      <c r="AA91" s="30"/>
    </row>
    <row r="92" spans="1:27" ht="15.75" customHeight="1">
      <c r="A92" s="344"/>
      <c r="B92" s="344"/>
      <c r="C92" s="31">
        <v>11</v>
      </c>
      <c r="D92" s="344"/>
      <c r="E92" s="345"/>
      <c r="F92" s="345"/>
      <c r="G92" s="345"/>
      <c r="H92" s="35" t="s">
        <v>1090</v>
      </c>
      <c r="I92" s="35" t="s">
        <v>1091</v>
      </c>
      <c r="J92" s="172"/>
      <c r="K92" s="25" t="s">
        <v>294</v>
      </c>
      <c r="L92" s="57"/>
      <c r="M92" s="26"/>
      <c r="N92" s="55"/>
      <c r="O92" s="28"/>
      <c r="P92" s="28"/>
      <c r="Q92" s="50" t="s">
        <v>140</v>
      </c>
      <c r="R92" s="25" t="s">
        <v>7</v>
      </c>
      <c r="S92" s="50"/>
      <c r="T92" s="30"/>
      <c r="U92" s="30"/>
      <c r="V92" s="30"/>
      <c r="W92" s="30"/>
      <c r="X92" s="30"/>
      <c r="Y92" s="30"/>
      <c r="Z92" s="30"/>
      <c r="AA92" s="30"/>
    </row>
    <row r="93" spans="1:27" ht="15.75" customHeight="1">
      <c r="A93" s="344"/>
      <c r="B93" s="344"/>
      <c r="C93" s="31">
        <v>12</v>
      </c>
      <c r="D93" s="344"/>
      <c r="E93" s="356" t="s">
        <v>1092</v>
      </c>
      <c r="F93" s="360" t="s">
        <v>326</v>
      </c>
      <c r="G93" s="360" t="s">
        <v>524</v>
      </c>
      <c r="H93" s="23" t="s">
        <v>1093</v>
      </c>
      <c r="I93" s="23" t="s">
        <v>1089</v>
      </c>
      <c r="J93" s="170"/>
      <c r="K93" s="25" t="s">
        <v>294</v>
      </c>
      <c r="L93" s="57"/>
      <c r="M93" s="26"/>
      <c r="N93" s="55"/>
      <c r="O93" s="28"/>
      <c r="P93" s="28"/>
      <c r="Q93" s="50" t="s">
        <v>140</v>
      </c>
      <c r="R93" s="25" t="s">
        <v>7</v>
      </c>
      <c r="S93" s="50"/>
      <c r="T93" s="30"/>
      <c r="U93" s="30"/>
      <c r="V93" s="30"/>
      <c r="W93" s="30"/>
      <c r="X93" s="30"/>
      <c r="Y93" s="30"/>
      <c r="Z93" s="30"/>
      <c r="AA93" s="30"/>
    </row>
    <row r="94" spans="1:27" ht="15.75" customHeight="1">
      <c r="A94" s="344"/>
      <c r="B94" s="344"/>
      <c r="C94" s="31">
        <v>13</v>
      </c>
      <c r="D94" s="344"/>
      <c r="E94" s="345"/>
      <c r="F94" s="345"/>
      <c r="G94" s="345"/>
      <c r="H94" s="23" t="s">
        <v>1090</v>
      </c>
      <c r="I94" s="23" t="s">
        <v>1094</v>
      </c>
      <c r="J94" s="170"/>
      <c r="K94" s="25" t="s">
        <v>294</v>
      </c>
      <c r="L94" s="57"/>
      <c r="M94" s="26"/>
      <c r="N94" s="55"/>
      <c r="O94" s="28"/>
      <c r="P94" s="28"/>
      <c r="Q94" s="50" t="s">
        <v>140</v>
      </c>
      <c r="R94" s="25" t="s">
        <v>7</v>
      </c>
      <c r="S94" s="50"/>
      <c r="T94" s="30"/>
      <c r="U94" s="30"/>
      <c r="V94" s="30"/>
      <c r="W94" s="30"/>
      <c r="X94" s="30"/>
      <c r="Y94" s="30"/>
      <c r="Z94" s="30"/>
      <c r="AA94" s="30"/>
    </row>
    <row r="95" spans="1:27" ht="15.75" customHeight="1">
      <c r="A95" s="345"/>
      <c r="B95" s="345"/>
      <c r="C95" s="31">
        <v>14</v>
      </c>
      <c r="D95" s="345"/>
      <c r="E95" s="39" t="s">
        <v>933</v>
      </c>
      <c r="F95" s="31" t="s">
        <v>326</v>
      </c>
      <c r="G95" s="31" t="s">
        <v>524</v>
      </c>
      <c r="H95" s="23" t="s">
        <v>1095</v>
      </c>
      <c r="I95" s="23" t="s">
        <v>1096</v>
      </c>
      <c r="J95" s="170"/>
      <c r="K95" s="25" t="s">
        <v>294</v>
      </c>
      <c r="L95" s="57"/>
      <c r="M95" s="26"/>
      <c r="N95" s="55"/>
      <c r="O95" s="28"/>
      <c r="P95" s="28"/>
      <c r="Q95" s="50" t="s">
        <v>140</v>
      </c>
      <c r="R95" s="25" t="s">
        <v>7</v>
      </c>
      <c r="S95" s="50"/>
      <c r="T95" s="30"/>
      <c r="U95" s="30"/>
      <c r="V95" s="30"/>
      <c r="W95" s="30"/>
      <c r="X95" s="30"/>
      <c r="Y95" s="30"/>
      <c r="Z95" s="30"/>
      <c r="AA95" s="30"/>
    </row>
    <row r="96" spans="1:27" ht="15.75" customHeight="1">
      <c r="A96" s="356" t="s">
        <v>1097</v>
      </c>
      <c r="B96" s="360" t="s">
        <v>1098</v>
      </c>
      <c r="C96" s="31">
        <v>1</v>
      </c>
      <c r="D96" s="356" t="s">
        <v>1099</v>
      </c>
      <c r="E96" s="39" t="s">
        <v>1100</v>
      </c>
      <c r="F96" s="360" t="s">
        <v>326</v>
      </c>
      <c r="G96" s="360" t="s">
        <v>327</v>
      </c>
      <c r="H96" s="23" t="s">
        <v>1101</v>
      </c>
      <c r="I96" s="23" t="s">
        <v>1102</v>
      </c>
      <c r="J96" s="170"/>
      <c r="K96" s="25"/>
      <c r="L96" s="57"/>
      <c r="M96" s="26"/>
      <c r="N96" s="55"/>
      <c r="O96" s="28" t="s">
        <v>140</v>
      </c>
      <c r="P96" s="28"/>
      <c r="Q96" s="50" t="s">
        <v>282</v>
      </c>
      <c r="R96" s="25" t="s">
        <v>7</v>
      </c>
      <c r="S96" s="50"/>
      <c r="T96" s="30"/>
      <c r="U96" s="30"/>
      <c r="V96" s="30"/>
      <c r="W96" s="30"/>
      <c r="X96" s="30"/>
      <c r="Y96" s="30"/>
      <c r="Z96" s="30"/>
      <c r="AA96" s="30"/>
    </row>
    <row r="97" spans="1:27" ht="15.75" customHeight="1">
      <c r="A97" s="344"/>
      <c r="B97" s="344"/>
      <c r="C97" s="31">
        <v>2</v>
      </c>
      <c r="D97" s="344"/>
      <c r="E97" s="39" t="s">
        <v>1103</v>
      </c>
      <c r="F97" s="344"/>
      <c r="G97" s="344"/>
      <c r="H97" s="23" t="s">
        <v>1101</v>
      </c>
      <c r="I97" s="23" t="s">
        <v>1104</v>
      </c>
      <c r="J97" s="170"/>
      <c r="K97" s="25"/>
      <c r="L97" s="57"/>
      <c r="M97" s="26"/>
      <c r="N97" s="55"/>
      <c r="O97" s="28"/>
      <c r="P97" s="28"/>
      <c r="Q97" s="50" t="s">
        <v>282</v>
      </c>
      <c r="R97" s="25" t="s">
        <v>7</v>
      </c>
      <c r="S97" s="50"/>
      <c r="T97" s="30"/>
      <c r="U97" s="30"/>
      <c r="V97" s="30"/>
      <c r="W97" s="30"/>
      <c r="X97" s="30"/>
      <c r="Y97" s="30"/>
      <c r="Z97" s="30"/>
      <c r="AA97" s="30"/>
    </row>
    <row r="98" spans="1:27" ht="15.75" customHeight="1">
      <c r="A98" s="344"/>
      <c r="B98" s="344"/>
      <c r="C98" s="31">
        <v>3</v>
      </c>
      <c r="D98" s="344"/>
      <c r="E98" s="39" t="s">
        <v>1105</v>
      </c>
      <c r="F98" s="344"/>
      <c r="G98" s="344"/>
      <c r="H98" s="23" t="s">
        <v>1101</v>
      </c>
      <c r="I98" s="23" t="s">
        <v>1106</v>
      </c>
      <c r="J98" s="170"/>
      <c r="K98" s="25"/>
      <c r="L98" s="57"/>
      <c r="M98" s="26"/>
      <c r="N98" s="55"/>
      <c r="O98" s="28"/>
      <c r="P98" s="28"/>
      <c r="Q98" s="50" t="s">
        <v>282</v>
      </c>
      <c r="R98" s="25" t="s">
        <v>7</v>
      </c>
      <c r="S98" s="50"/>
      <c r="T98" s="30"/>
      <c r="U98" s="30"/>
      <c r="V98" s="30"/>
      <c r="W98" s="30"/>
      <c r="X98" s="30"/>
      <c r="Y98" s="30"/>
      <c r="Z98" s="30"/>
      <c r="AA98" s="30"/>
    </row>
    <row r="99" spans="1:27" ht="15.75" customHeight="1">
      <c r="A99" s="344"/>
      <c r="B99" s="344"/>
      <c r="C99" s="31">
        <v>4</v>
      </c>
      <c r="D99" s="344"/>
      <c r="E99" s="39" t="s">
        <v>1107</v>
      </c>
      <c r="F99" s="344"/>
      <c r="G99" s="344"/>
      <c r="H99" s="23" t="s">
        <v>1101</v>
      </c>
      <c r="I99" s="23" t="s">
        <v>1108</v>
      </c>
      <c r="J99" s="170"/>
      <c r="K99" s="25"/>
      <c r="L99" s="57"/>
      <c r="M99" s="26"/>
      <c r="N99" s="55"/>
      <c r="O99" s="28"/>
      <c r="P99" s="28"/>
      <c r="Q99" s="50" t="s">
        <v>282</v>
      </c>
      <c r="R99" s="25" t="s">
        <v>7</v>
      </c>
      <c r="S99" s="50"/>
      <c r="T99" s="30"/>
      <c r="U99" s="30"/>
      <c r="V99" s="30"/>
      <c r="W99" s="30"/>
      <c r="X99" s="30"/>
      <c r="Y99" s="30"/>
      <c r="Z99" s="30"/>
      <c r="AA99" s="30"/>
    </row>
    <row r="100" spans="1:27" ht="15.75" customHeight="1">
      <c r="A100" s="344"/>
      <c r="B100" s="344"/>
      <c r="C100" s="31">
        <v>5</v>
      </c>
      <c r="D100" s="344"/>
      <c r="E100" s="39" t="s">
        <v>1109</v>
      </c>
      <c r="F100" s="344"/>
      <c r="G100" s="344"/>
      <c r="H100" s="23" t="s">
        <v>1101</v>
      </c>
      <c r="I100" s="23" t="s">
        <v>1110</v>
      </c>
      <c r="J100" s="170"/>
      <c r="K100" s="25"/>
      <c r="L100" s="57"/>
      <c r="M100" s="26"/>
      <c r="N100" s="55"/>
      <c r="O100" s="28"/>
      <c r="P100" s="28"/>
      <c r="Q100" s="50" t="s">
        <v>282</v>
      </c>
      <c r="R100" s="25" t="s">
        <v>7</v>
      </c>
      <c r="S100" s="50"/>
      <c r="T100" s="30"/>
      <c r="U100" s="30"/>
      <c r="V100" s="30"/>
      <c r="W100" s="30"/>
      <c r="X100" s="30"/>
      <c r="Y100" s="30"/>
      <c r="Z100" s="30"/>
      <c r="AA100" s="30"/>
    </row>
    <row r="101" spans="1:27" ht="15.75" customHeight="1">
      <c r="A101" s="344"/>
      <c r="B101" s="344"/>
      <c r="C101" s="31">
        <v>6</v>
      </c>
      <c r="D101" s="344"/>
      <c r="E101" s="39" t="s">
        <v>1111</v>
      </c>
      <c r="F101" s="344"/>
      <c r="G101" s="344"/>
      <c r="H101" s="23" t="s">
        <v>1101</v>
      </c>
      <c r="I101" s="23" t="s">
        <v>1112</v>
      </c>
      <c r="J101" s="170"/>
      <c r="K101" s="25"/>
      <c r="L101" s="57"/>
      <c r="M101" s="26"/>
      <c r="N101" s="55"/>
      <c r="O101" s="28"/>
      <c r="P101" s="28"/>
      <c r="Q101" s="50" t="s">
        <v>282</v>
      </c>
      <c r="R101" s="25" t="s">
        <v>7</v>
      </c>
      <c r="S101" s="50"/>
      <c r="T101" s="30"/>
      <c r="U101" s="30"/>
      <c r="V101" s="30"/>
      <c r="W101" s="30"/>
      <c r="X101" s="30"/>
      <c r="Y101" s="30"/>
      <c r="Z101" s="30"/>
      <c r="AA101" s="30"/>
    </row>
    <row r="102" spans="1:27" ht="15.75" customHeight="1">
      <c r="A102" s="344"/>
      <c r="B102" s="344"/>
      <c r="C102" s="31">
        <v>7</v>
      </c>
      <c r="D102" s="344"/>
      <c r="E102" s="39" t="s">
        <v>1113</v>
      </c>
      <c r="F102" s="344"/>
      <c r="G102" s="344"/>
      <c r="H102" s="23" t="s">
        <v>1101</v>
      </c>
      <c r="I102" s="23" t="s">
        <v>1114</v>
      </c>
      <c r="J102" s="170"/>
      <c r="K102" s="25"/>
      <c r="L102" s="57"/>
      <c r="M102" s="26"/>
      <c r="N102" s="55"/>
      <c r="O102" s="28"/>
      <c r="P102" s="28"/>
      <c r="Q102" s="50" t="s">
        <v>282</v>
      </c>
      <c r="R102" s="25" t="s">
        <v>7</v>
      </c>
      <c r="S102" s="50"/>
      <c r="T102" s="30"/>
      <c r="U102" s="30"/>
      <c r="V102" s="30"/>
      <c r="W102" s="30"/>
      <c r="X102" s="30"/>
      <c r="Y102" s="30"/>
      <c r="Z102" s="30"/>
      <c r="AA102" s="30"/>
    </row>
    <row r="103" spans="1:27" ht="15.75" customHeight="1">
      <c r="A103" s="344"/>
      <c r="B103" s="344"/>
      <c r="C103" s="31">
        <v>8</v>
      </c>
      <c r="D103" s="344"/>
      <c r="E103" s="39" t="s">
        <v>1115</v>
      </c>
      <c r="F103" s="344"/>
      <c r="G103" s="344"/>
      <c r="H103" s="23" t="s">
        <v>1101</v>
      </c>
      <c r="I103" s="23" t="s">
        <v>1116</v>
      </c>
      <c r="J103" s="170"/>
      <c r="K103" s="25"/>
      <c r="L103" s="57"/>
      <c r="M103" s="26"/>
      <c r="N103" s="55"/>
      <c r="O103" s="28"/>
      <c r="P103" s="28"/>
      <c r="Q103" s="50" t="s">
        <v>282</v>
      </c>
      <c r="R103" s="25" t="s">
        <v>7</v>
      </c>
      <c r="S103" s="50"/>
      <c r="T103" s="30"/>
      <c r="U103" s="30"/>
      <c r="V103" s="30"/>
      <c r="W103" s="30"/>
      <c r="X103" s="30"/>
      <c r="Y103" s="30"/>
      <c r="Z103" s="30"/>
      <c r="AA103" s="30"/>
    </row>
    <row r="104" spans="1:27" ht="15.75" customHeight="1">
      <c r="A104" s="345"/>
      <c r="B104" s="345"/>
      <c r="C104" s="31">
        <v>9</v>
      </c>
      <c r="D104" s="345"/>
      <c r="E104" s="39" t="s">
        <v>1117</v>
      </c>
      <c r="F104" s="345"/>
      <c r="G104" s="345"/>
      <c r="H104" s="23" t="s">
        <v>1101</v>
      </c>
      <c r="I104" s="23" t="s">
        <v>1118</v>
      </c>
      <c r="J104" s="170"/>
      <c r="K104" s="25"/>
      <c r="L104" s="57"/>
      <c r="M104" s="26"/>
      <c r="N104" s="55"/>
      <c r="O104" s="28" t="s">
        <v>140</v>
      </c>
      <c r="P104" s="28"/>
      <c r="Q104" s="50" t="s">
        <v>282</v>
      </c>
      <c r="R104" s="25" t="s">
        <v>7</v>
      </c>
      <c r="S104" s="50"/>
      <c r="T104" s="30"/>
      <c r="U104" s="30"/>
      <c r="V104" s="30"/>
      <c r="W104" s="30"/>
      <c r="X104" s="30"/>
      <c r="Y104" s="30"/>
      <c r="Z104" s="30"/>
      <c r="AA104" s="30"/>
    </row>
    <row r="105" spans="1:27" ht="15.75" customHeight="1">
      <c r="A105" s="355" t="s">
        <v>651</v>
      </c>
      <c r="B105" s="350" t="s">
        <v>96</v>
      </c>
      <c r="C105" s="31">
        <v>1</v>
      </c>
      <c r="D105" s="355" t="s">
        <v>653</v>
      </c>
      <c r="E105" s="359" t="s">
        <v>1119</v>
      </c>
      <c r="F105" s="350" t="s">
        <v>326</v>
      </c>
      <c r="G105" s="41" t="s">
        <v>327</v>
      </c>
      <c r="H105" s="23" t="s">
        <v>1120</v>
      </c>
      <c r="I105" s="23" t="s">
        <v>1121</v>
      </c>
      <c r="J105" s="170"/>
      <c r="K105" s="25" t="s">
        <v>294</v>
      </c>
      <c r="L105" s="26"/>
      <c r="M105" s="26"/>
      <c r="N105" s="27"/>
      <c r="O105" s="28"/>
      <c r="P105" s="28"/>
      <c r="Q105" s="50" t="s">
        <v>140</v>
      </c>
      <c r="R105" s="25" t="s">
        <v>7</v>
      </c>
      <c r="S105" s="50"/>
      <c r="T105" s="30"/>
      <c r="U105" s="30"/>
      <c r="V105" s="30"/>
      <c r="W105" s="30"/>
      <c r="X105" s="30"/>
      <c r="Y105" s="30"/>
      <c r="Z105" s="30"/>
      <c r="AA105" s="30"/>
    </row>
    <row r="106" spans="1:27" ht="15.75" customHeight="1">
      <c r="A106" s="344"/>
      <c r="B106" s="344"/>
      <c r="C106" s="31">
        <v>2</v>
      </c>
      <c r="D106" s="344"/>
      <c r="E106" s="344"/>
      <c r="F106" s="345"/>
      <c r="G106" s="41" t="s">
        <v>524</v>
      </c>
      <c r="H106" s="23" t="s">
        <v>1122</v>
      </c>
      <c r="I106" s="23" t="s">
        <v>1123</v>
      </c>
      <c r="J106" s="170"/>
      <c r="K106" s="25" t="s">
        <v>294</v>
      </c>
      <c r="L106" s="26"/>
      <c r="M106" s="26"/>
      <c r="N106" s="27"/>
      <c r="O106" s="28"/>
      <c r="P106" s="28"/>
      <c r="Q106" s="50" t="s">
        <v>140</v>
      </c>
      <c r="R106" s="25" t="s">
        <v>7</v>
      </c>
      <c r="S106" s="50"/>
      <c r="T106" s="30"/>
      <c r="U106" s="30"/>
      <c r="V106" s="30"/>
      <c r="W106" s="30"/>
      <c r="X106" s="30"/>
      <c r="Y106" s="30"/>
      <c r="Z106" s="30"/>
      <c r="AA106" s="30"/>
    </row>
    <row r="107" spans="1:27" ht="15.75" customHeight="1">
      <c r="A107" s="344"/>
      <c r="B107" s="344"/>
      <c r="C107" s="31">
        <v>3</v>
      </c>
      <c r="D107" s="344"/>
      <c r="E107" s="359" t="s">
        <v>1124</v>
      </c>
      <c r="F107" s="350" t="s">
        <v>326</v>
      </c>
      <c r="G107" s="41" t="s">
        <v>327</v>
      </c>
      <c r="H107" s="23" t="s">
        <v>1125</v>
      </c>
      <c r="I107" s="23" t="s">
        <v>1126</v>
      </c>
      <c r="J107" s="170"/>
      <c r="K107" s="25" t="s">
        <v>294</v>
      </c>
      <c r="L107" s="26"/>
      <c r="M107" s="26"/>
      <c r="N107" s="27"/>
      <c r="O107" s="28"/>
      <c r="P107" s="28"/>
      <c r="Q107" s="50" t="s">
        <v>140</v>
      </c>
      <c r="R107" s="25" t="s">
        <v>7</v>
      </c>
      <c r="S107" s="50"/>
      <c r="T107" s="30"/>
      <c r="U107" s="30"/>
      <c r="V107" s="30"/>
      <c r="W107" s="30"/>
      <c r="X107" s="30"/>
      <c r="Y107" s="30"/>
      <c r="Z107" s="30"/>
      <c r="AA107" s="30"/>
    </row>
    <row r="108" spans="1:27" ht="15.75" customHeight="1">
      <c r="A108" s="344"/>
      <c r="B108" s="344"/>
      <c r="C108" s="31">
        <v>4</v>
      </c>
      <c r="D108" s="344"/>
      <c r="E108" s="344"/>
      <c r="F108" s="345"/>
      <c r="G108" s="41" t="s">
        <v>524</v>
      </c>
      <c r="H108" s="23" t="s">
        <v>1122</v>
      </c>
      <c r="I108" s="23" t="s">
        <v>1123</v>
      </c>
      <c r="J108" s="170"/>
      <c r="K108" s="25" t="s">
        <v>294</v>
      </c>
      <c r="L108" s="26"/>
      <c r="M108" s="26"/>
      <c r="N108" s="27"/>
      <c r="O108" s="28"/>
      <c r="P108" s="28"/>
      <c r="Q108" s="50" t="s">
        <v>140</v>
      </c>
      <c r="R108" s="25" t="s">
        <v>7</v>
      </c>
      <c r="S108" s="50"/>
      <c r="T108" s="30"/>
      <c r="U108" s="30"/>
      <c r="V108" s="30"/>
      <c r="W108" s="30"/>
      <c r="X108" s="30"/>
      <c r="Y108" s="30"/>
      <c r="Z108" s="30"/>
      <c r="AA108" s="30"/>
    </row>
    <row r="109" spans="1:27" ht="15.75" customHeight="1">
      <c r="A109" s="344"/>
      <c r="B109" s="344"/>
      <c r="C109" s="31">
        <v>5</v>
      </c>
      <c r="D109" s="344"/>
      <c r="E109" s="359" t="s">
        <v>1127</v>
      </c>
      <c r="F109" s="350" t="s">
        <v>326</v>
      </c>
      <c r="G109" s="41" t="s">
        <v>327</v>
      </c>
      <c r="H109" s="23" t="s">
        <v>1128</v>
      </c>
      <c r="I109" s="23" t="s">
        <v>1129</v>
      </c>
      <c r="J109" s="170"/>
      <c r="K109" s="25" t="s">
        <v>294</v>
      </c>
      <c r="L109" s="26"/>
      <c r="M109" s="26"/>
      <c r="N109" s="27"/>
      <c r="O109" s="28"/>
      <c r="P109" s="28"/>
      <c r="Q109" s="50" t="s">
        <v>140</v>
      </c>
      <c r="R109" s="25" t="s">
        <v>7</v>
      </c>
      <c r="S109" s="50"/>
      <c r="T109" s="30"/>
      <c r="U109" s="30"/>
      <c r="V109" s="30"/>
      <c r="W109" s="30"/>
      <c r="X109" s="30"/>
      <c r="Y109" s="30"/>
      <c r="Z109" s="30"/>
      <c r="AA109" s="30"/>
    </row>
    <row r="110" spans="1:27" ht="15.75" customHeight="1">
      <c r="A110" s="344"/>
      <c r="B110" s="344"/>
      <c r="C110" s="31">
        <v>6</v>
      </c>
      <c r="D110" s="344"/>
      <c r="E110" s="344"/>
      <c r="F110" s="345"/>
      <c r="G110" s="41" t="s">
        <v>524</v>
      </c>
      <c r="H110" s="23" t="s">
        <v>1122</v>
      </c>
      <c r="I110" s="23" t="s">
        <v>1123</v>
      </c>
      <c r="J110" s="170"/>
      <c r="K110" s="25" t="s">
        <v>294</v>
      </c>
      <c r="L110" s="26"/>
      <c r="M110" s="26"/>
      <c r="N110" s="27"/>
      <c r="O110" s="28"/>
      <c r="P110" s="28"/>
      <c r="Q110" s="50" t="s">
        <v>140</v>
      </c>
      <c r="R110" s="25" t="s">
        <v>7</v>
      </c>
      <c r="S110" s="50"/>
      <c r="T110" s="30"/>
      <c r="U110" s="30"/>
      <c r="V110" s="30"/>
      <c r="W110" s="30"/>
      <c r="X110" s="30"/>
      <c r="Y110" s="30"/>
      <c r="Z110" s="30"/>
      <c r="AA110" s="30"/>
    </row>
    <row r="111" spans="1:27" ht="15.75" customHeight="1">
      <c r="A111" s="344"/>
      <c r="B111" s="344"/>
      <c r="C111" s="31">
        <v>7</v>
      </c>
      <c r="D111" s="344"/>
      <c r="E111" s="359" t="s">
        <v>1130</v>
      </c>
      <c r="F111" s="350" t="s">
        <v>326</v>
      </c>
      <c r="G111" s="41" t="s">
        <v>327</v>
      </c>
      <c r="H111" s="23" t="s">
        <v>1131</v>
      </c>
      <c r="I111" s="23" t="s">
        <v>1132</v>
      </c>
      <c r="J111" s="170"/>
      <c r="K111" s="25" t="s">
        <v>294</v>
      </c>
      <c r="L111" s="26"/>
      <c r="M111" s="26"/>
      <c r="N111" s="27"/>
      <c r="O111" s="28"/>
      <c r="P111" s="28"/>
      <c r="Q111" s="50" t="s">
        <v>140</v>
      </c>
      <c r="R111" s="25" t="s">
        <v>7</v>
      </c>
      <c r="S111" s="50"/>
      <c r="T111" s="30"/>
      <c r="U111" s="30"/>
      <c r="V111" s="30"/>
      <c r="W111" s="30"/>
      <c r="X111" s="30"/>
      <c r="Y111" s="30"/>
      <c r="Z111" s="30"/>
      <c r="AA111" s="30"/>
    </row>
    <row r="112" spans="1:27" ht="15.75" customHeight="1">
      <c r="A112" s="344"/>
      <c r="B112" s="344"/>
      <c r="C112" s="31">
        <v>8</v>
      </c>
      <c r="D112" s="344"/>
      <c r="E112" s="344"/>
      <c r="F112" s="345"/>
      <c r="G112" s="41" t="s">
        <v>524</v>
      </c>
      <c r="H112" s="23" t="s">
        <v>1122</v>
      </c>
      <c r="I112" s="23" t="s">
        <v>1123</v>
      </c>
      <c r="J112" s="170"/>
      <c r="K112" s="25" t="s">
        <v>294</v>
      </c>
      <c r="L112" s="26"/>
      <c r="M112" s="26"/>
      <c r="N112" s="27"/>
      <c r="O112" s="28"/>
      <c r="P112" s="28"/>
      <c r="Q112" s="50" t="s">
        <v>140</v>
      </c>
      <c r="R112" s="25" t="s">
        <v>7</v>
      </c>
      <c r="S112" s="50"/>
      <c r="T112" s="30"/>
      <c r="U112" s="30"/>
      <c r="V112" s="30"/>
      <c r="W112" s="30"/>
      <c r="X112" s="30"/>
      <c r="Y112" s="30"/>
      <c r="Z112" s="30"/>
      <c r="AA112" s="30"/>
    </row>
    <row r="113" spans="1:27" ht="15.75" customHeight="1">
      <c r="A113" s="344"/>
      <c r="B113" s="344"/>
      <c r="C113" s="31">
        <v>9</v>
      </c>
      <c r="D113" s="344"/>
      <c r="E113" s="359" t="s">
        <v>1133</v>
      </c>
      <c r="F113" s="350" t="s">
        <v>326</v>
      </c>
      <c r="G113" s="41" t="s">
        <v>327</v>
      </c>
      <c r="H113" s="23" t="s">
        <v>1134</v>
      </c>
      <c r="I113" s="23" t="s">
        <v>1135</v>
      </c>
      <c r="J113" s="170"/>
      <c r="K113" s="25" t="s">
        <v>294</v>
      </c>
      <c r="L113" s="26"/>
      <c r="M113" s="26"/>
      <c r="N113" s="27"/>
      <c r="O113" s="28"/>
      <c r="P113" s="28"/>
      <c r="Q113" s="50" t="s">
        <v>140</v>
      </c>
      <c r="R113" s="25" t="s">
        <v>7</v>
      </c>
      <c r="S113" s="50"/>
      <c r="T113" s="30"/>
      <c r="U113" s="30"/>
      <c r="V113" s="30"/>
      <c r="W113" s="30"/>
      <c r="X113" s="30"/>
      <c r="Y113" s="30"/>
      <c r="Z113" s="30"/>
      <c r="AA113" s="30"/>
    </row>
    <row r="114" spans="1:27" ht="15.75" customHeight="1">
      <c r="A114" s="344"/>
      <c r="B114" s="369"/>
      <c r="C114" s="31">
        <v>10</v>
      </c>
      <c r="D114" s="344"/>
      <c r="E114" s="344"/>
      <c r="F114" s="345"/>
      <c r="G114" s="41" t="s">
        <v>524</v>
      </c>
      <c r="H114" s="23" t="s">
        <v>1122</v>
      </c>
      <c r="I114" s="23" t="s">
        <v>1123</v>
      </c>
      <c r="J114" s="170"/>
      <c r="K114" s="25" t="s">
        <v>294</v>
      </c>
      <c r="L114" s="26"/>
      <c r="M114" s="26"/>
      <c r="N114" s="27"/>
      <c r="O114" s="28"/>
      <c r="P114" s="28"/>
      <c r="Q114" s="50" t="s">
        <v>140</v>
      </c>
      <c r="R114" s="25" t="s">
        <v>7</v>
      </c>
      <c r="S114" s="50"/>
      <c r="T114" s="30"/>
      <c r="U114" s="30"/>
      <c r="V114" s="30"/>
      <c r="W114" s="30"/>
      <c r="X114" s="30"/>
      <c r="Y114" s="30"/>
      <c r="Z114" s="30"/>
      <c r="AA114" s="30"/>
    </row>
    <row r="115" spans="1:27" ht="15.75" customHeight="1">
      <c r="A115" s="364" t="s">
        <v>1136</v>
      </c>
      <c r="B115" s="363" t="s">
        <v>118</v>
      </c>
      <c r="C115" s="74">
        <v>11</v>
      </c>
      <c r="D115" s="364" t="s">
        <v>1137</v>
      </c>
      <c r="E115" s="372" t="s">
        <v>1138</v>
      </c>
      <c r="F115" s="363" t="s">
        <v>326</v>
      </c>
      <c r="G115" s="74" t="s">
        <v>327</v>
      </c>
      <c r="H115" s="47" t="s">
        <v>1139</v>
      </c>
      <c r="I115" s="63" t="s">
        <v>1140</v>
      </c>
      <c r="J115" s="171"/>
      <c r="K115" s="25" t="s">
        <v>294</v>
      </c>
      <c r="L115" s="26"/>
      <c r="M115" s="26"/>
      <c r="N115" s="27"/>
      <c r="O115" s="28"/>
      <c r="P115" s="28"/>
      <c r="Q115" s="50" t="s">
        <v>140</v>
      </c>
      <c r="R115" s="25" t="s">
        <v>298</v>
      </c>
      <c r="S115" s="50"/>
      <c r="T115" s="30"/>
      <c r="U115" s="30"/>
      <c r="V115" s="30"/>
      <c r="W115" s="30"/>
      <c r="X115" s="30"/>
      <c r="Y115" s="30"/>
      <c r="Z115" s="30"/>
      <c r="AA115" s="30"/>
    </row>
    <row r="116" spans="1:27" ht="15.75" customHeight="1">
      <c r="A116" s="344"/>
      <c r="B116" s="344"/>
      <c r="C116" s="74">
        <v>12</v>
      </c>
      <c r="D116" s="344"/>
      <c r="E116" s="344"/>
      <c r="F116" s="345"/>
      <c r="G116" s="74" t="s">
        <v>524</v>
      </c>
      <c r="H116" s="47" t="s">
        <v>1141</v>
      </c>
      <c r="I116" s="63" t="s">
        <v>1142</v>
      </c>
      <c r="J116" s="171"/>
      <c r="K116" s="25" t="s">
        <v>294</v>
      </c>
      <c r="L116" s="26"/>
      <c r="M116" s="26"/>
      <c r="N116" s="27"/>
      <c r="O116" s="50" t="s">
        <v>140</v>
      </c>
      <c r="P116" s="50" t="s">
        <v>140</v>
      </c>
      <c r="Q116" s="50" t="s">
        <v>140</v>
      </c>
      <c r="R116" s="25" t="s">
        <v>298</v>
      </c>
      <c r="S116" s="50"/>
      <c r="T116" s="30"/>
      <c r="U116" s="30"/>
      <c r="V116" s="30"/>
      <c r="W116" s="30"/>
      <c r="X116" s="30"/>
      <c r="Y116" s="30"/>
      <c r="Z116" s="30"/>
      <c r="AA116" s="30"/>
    </row>
    <row r="117" spans="1:27" ht="15.75" customHeight="1">
      <c r="A117" s="344"/>
      <c r="B117" s="344"/>
      <c r="C117" s="74">
        <v>13</v>
      </c>
      <c r="D117" s="344"/>
      <c r="E117" s="372" t="s">
        <v>1143</v>
      </c>
      <c r="F117" s="363" t="s">
        <v>326</v>
      </c>
      <c r="G117" s="74" t="s">
        <v>327</v>
      </c>
      <c r="H117" s="47" t="s">
        <v>1144</v>
      </c>
      <c r="I117" s="35" t="s">
        <v>1145</v>
      </c>
      <c r="J117" s="172"/>
      <c r="K117" s="25" t="s">
        <v>294</v>
      </c>
      <c r="L117" s="26"/>
      <c r="M117" s="26" t="s">
        <v>1146</v>
      </c>
      <c r="N117" s="27"/>
      <c r="O117" s="50" t="s">
        <v>140</v>
      </c>
      <c r="P117" s="50" t="s">
        <v>140</v>
      </c>
      <c r="Q117" s="50" t="s">
        <v>140</v>
      </c>
      <c r="R117" s="25" t="s">
        <v>298</v>
      </c>
      <c r="S117" s="50"/>
      <c r="T117" s="30"/>
      <c r="U117" s="30"/>
      <c r="V117" s="30"/>
      <c r="W117" s="30"/>
      <c r="X117" s="30"/>
      <c r="Y117" s="30"/>
      <c r="Z117" s="30"/>
      <c r="AA117" s="30"/>
    </row>
    <row r="118" spans="1:27" ht="15.75" customHeight="1">
      <c r="A118" s="344"/>
      <c r="B118" s="344"/>
      <c r="C118" s="74">
        <v>14</v>
      </c>
      <c r="D118" s="344"/>
      <c r="E118" s="344"/>
      <c r="F118" s="345"/>
      <c r="G118" s="74" t="s">
        <v>524</v>
      </c>
      <c r="H118" s="47" t="s">
        <v>1141</v>
      </c>
      <c r="I118" s="35" t="s">
        <v>1142</v>
      </c>
      <c r="J118" s="172"/>
      <c r="K118" s="25" t="s">
        <v>294</v>
      </c>
      <c r="L118" s="26"/>
      <c r="M118" s="26"/>
      <c r="N118" s="27"/>
      <c r="O118" s="50" t="s">
        <v>140</v>
      </c>
      <c r="P118" s="50" t="s">
        <v>140</v>
      </c>
      <c r="Q118" s="50" t="s">
        <v>140</v>
      </c>
      <c r="R118" s="25" t="s">
        <v>298</v>
      </c>
      <c r="S118" s="50"/>
      <c r="T118" s="30"/>
      <c r="U118" s="30"/>
      <c r="V118" s="30"/>
      <c r="W118" s="30"/>
      <c r="X118" s="30"/>
      <c r="Y118" s="30"/>
      <c r="Z118" s="30"/>
      <c r="AA118" s="30"/>
    </row>
    <row r="119" spans="1:27" ht="15.75" customHeight="1">
      <c r="A119" s="344"/>
      <c r="B119" s="344"/>
      <c r="C119" s="74">
        <v>15</v>
      </c>
      <c r="D119" s="344"/>
      <c r="E119" s="372" t="s">
        <v>1147</v>
      </c>
      <c r="F119" s="363" t="s">
        <v>326</v>
      </c>
      <c r="G119" s="74" t="s">
        <v>327</v>
      </c>
      <c r="H119" s="47" t="s">
        <v>1148</v>
      </c>
      <c r="I119" s="35" t="s">
        <v>1145</v>
      </c>
      <c r="J119" s="172"/>
      <c r="K119" s="25" t="s">
        <v>294</v>
      </c>
      <c r="L119" s="26"/>
      <c r="M119" s="26"/>
      <c r="N119" s="27"/>
      <c r="O119" s="50" t="s">
        <v>140</v>
      </c>
      <c r="P119" s="50" t="s">
        <v>140</v>
      </c>
      <c r="Q119" s="50" t="s">
        <v>140</v>
      </c>
      <c r="R119" s="25" t="s">
        <v>298</v>
      </c>
      <c r="S119" s="50"/>
      <c r="T119" s="30"/>
      <c r="U119" s="30"/>
      <c r="V119" s="30"/>
      <c r="W119" s="30"/>
      <c r="X119" s="30"/>
      <c r="Y119" s="30"/>
      <c r="Z119" s="30"/>
      <c r="AA119" s="30"/>
    </row>
    <row r="120" spans="1:27" ht="15.75" customHeight="1">
      <c r="A120" s="345"/>
      <c r="B120" s="345"/>
      <c r="C120" s="74">
        <v>16</v>
      </c>
      <c r="D120" s="344"/>
      <c r="E120" s="344"/>
      <c r="F120" s="345"/>
      <c r="G120" s="74" t="s">
        <v>524</v>
      </c>
      <c r="H120" s="47" t="s">
        <v>1141</v>
      </c>
      <c r="I120" s="35" t="s">
        <v>1142</v>
      </c>
      <c r="J120" s="172"/>
      <c r="K120" s="25" t="s">
        <v>294</v>
      </c>
      <c r="L120" s="26"/>
      <c r="M120" s="26"/>
      <c r="N120" s="27"/>
      <c r="O120" s="50" t="s">
        <v>140</v>
      </c>
      <c r="P120" s="50" t="s">
        <v>140</v>
      </c>
      <c r="Q120" s="50" t="s">
        <v>140</v>
      </c>
      <c r="R120" s="25" t="s">
        <v>298</v>
      </c>
      <c r="S120" s="50"/>
      <c r="T120" s="30"/>
      <c r="U120" s="30"/>
      <c r="V120" s="30"/>
      <c r="W120" s="30"/>
      <c r="X120" s="30"/>
      <c r="Y120" s="30"/>
      <c r="Z120" s="30"/>
      <c r="AA120" s="30"/>
    </row>
    <row r="121" spans="1:27" ht="66" customHeight="1">
      <c r="A121" s="356" t="s">
        <v>1149</v>
      </c>
      <c r="B121" s="360" t="s">
        <v>95</v>
      </c>
      <c r="C121" s="31">
        <v>1</v>
      </c>
      <c r="D121" s="356" t="s">
        <v>1150</v>
      </c>
      <c r="E121" s="359" t="s">
        <v>1151</v>
      </c>
      <c r="F121" s="360" t="s">
        <v>326</v>
      </c>
      <c r="G121" s="360" t="s">
        <v>327</v>
      </c>
      <c r="H121" s="23" t="s">
        <v>1152</v>
      </c>
      <c r="I121" s="23" t="s">
        <v>1153</v>
      </c>
      <c r="J121" s="170"/>
      <c r="K121" s="25" t="s">
        <v>294</v>
      </c>
      <c r="L121" s="57"/>
      <c r="M121" s="26"/>
      <c r="N121" s="55"/>
      <c r="O121" s="28"/>
      <c r="P121" s="28"/>
      <c r="Q121" s="50" t="s">
        <v>140</v>
      </c>
      <c r="R121" s="25" t="s">
        <v>307</v>
      </c>
      <c r="S121" s="50"/>
      <c r="T121" s="30"/>
      <c r="U121" s="30"/>
      <c r="V121" s="30"/>
      <c r="W121" s="30"/>
      <c r="X121" s="30"/>
      <c r="Y121" s="30"/>
      <c r="Z121" s="30"/>
      <c r="AA121" s="30"/>
    </row>
    <row r="122" spans="1:27" ht="15.75" customHeight="1">
      <c r="A122" s="344"/>
      <c r="B122" s="344"/>
      <c r="C122" s="31">
        <v>2</v>
      </c>
      <c r="D122" s="344"/>
      <c r="E122" s="344"/>
      <c r="F122" s="344"/>
      <c r="G122" s="344"/>
      <c r="H122" s="23" t="s">
        <v>1154</v>
      </c>
      <c r="I122" s="23" t="s">
        <v>1155</v>
      </c>
      <c r="J122" s="170"/>
      <c r="K122" s="25" t="s">
        <v>294</v>
      </c>
      <c r="L122" s="57"/>
      <c r="M122" s="26"/>
      <c r="N122" s="55"/>
      <c r="O122" s="28"/>
      <c r="P122" s="28"/>
      <c r="Q122" s="50" t="s">
        <v>140</v>
      </c>
      <c r="R122" s="25" t="s">
        <v>307</v>
      </c>
      <c r="S122" s="50"/>
      <c r="T122" s="30"/>
      <c r="U122" s="30"/>
      <c r="V122" s="30"/>
      <c r="W122" s="30"/>
      <c r="X122" s="30"/>
      <c r="Y122" s="30"/>
      <c r="Z122" s="30"/>
      <c r="AA122" s="30"/>
    </row>
    <row r="123" spans="1:27" ht="15.75" customHeight="1">
      <c r="A123" s="344"/>
      <c r="B123" s="344"/>
      <c r="C123" s="31">
        <v>3</v>
      </c>
      <c r="D123" s="344"/>
      <c r="E123" s="344"/>
      <c r="F123" s="344"/>
      <c r="G123" s="344"/>
      <c r="H123" s="23" t="s">
        <v>336</v>
      </c>
      <c r="I123" s="23" t="s">
        <v>1156</v>
      </c>
      <c r="J123" s="170"/>
      <c r="K123" s="25"/>
      <c r="L123" s="57"/>
      <c r="M123" s="26"/>
      <c r="N123" s="55"/>
      <c r="O123" s="28"/>
      <c r="P123" s="28"/>
      <c r="Q123" s="50" t="s">
        <v>282</v>
      </c>
      <c r="R123" s="25" t="s">
        <v>307</v>
      </c>
      <c r="S123" s="50"/>
      <c r="T123" s="30"/>
      <c r="U123" s="30"/>
      <c r="V123" s="30"/>
      <c r="W123" s="30"/>
      <c r="X123" s="30"/>
      <c r="Y123" s="30"/>
      <c r="Z123" s="30"/>
      <c r="AA123" s="30"/>
    </row>
    <row r="124" spans="1:27" ht="15.75" customHeight="1">
      <c r="A124" s="344"/>
      <c r="B124" s="344"/>
      <c r="C124" s="31">
        <v>4</v>
      </c>
      <c r="D124" s="344"/>
      <c r="E124" s="345"/>
      <c r="F124" s="345"/>
      <c r="G124" s="345"/>
      <c r="H124" s="23" t="s">
        <v>1157</v>
      </c>
      <c r="I124" s="23" t="s">
        <v>1158</v>
      </c>
      <c r="J124" s="170"/>
      <c r="K124" s="25" t="s">
        <v>294</v>
      </c>
      <c r="L124" s="57"/>
      <c r="M124" s="26"/>
      <c r="N124" s="55"/>
      <c r="O124" s="28"/>
      <c r="P124" s="28"/>
      <c r="Q124" s="50" t="s">
        <v>140</v>
      </c>
      <c r="R124" s="25" t="s">
        <v>307</v>
      </c>
      <c r="S124" s="50"/>
      <c r="T124" s="30"/>
      <c r="U124" s="30"/>
      <c r="V124" s="30"/>
      <c r="W124" s="30"/>
      <c r="X124" s="30"/>
      <c r="Y124" s="30"/>
      <c r="Z124" s="30"/>
      <c r="AA124" s="30"/>
    </row>
    <row r="125" spans="1:27" ht="15.75" customHeight="1">
      <c r="A125" s="344"/>
      <c r="B125" s="344"/>
      <c r="C125" s="31">
        <v>5</v>
      </c>
      <c r="D125" s="344"/>
      <c r="E125" s="359" t="s">
        <v>1159</v>
      </c>
      <c r="F125" s="360" t="s">
        <v>326</v>
      </c>
      <c r="G125" s="360" t="s">
        <v>524</v>
      </c>
      <c r="H125" s="23" t="s">
        <v>1160</v>
      </c>
      <c r="I125" s="23" t="s">
        <v>1161</v>
      </c>
      <c r="J125" s="170"/>
      <c r="K125" s="25" t="s">
        <v>294</v>
      </c>
      <c r="L125" s="57"/>
      <c r="M125" s="26"/>
      <c r="N125" s="55"/>
      <c r="O125" s="28"/>
      <c r="P125" s="28"/>
      <c r="Q125" s="50" t="s">
        <v>140</v>
      </c>
      <c r="R125" s="25" t="s">
        <v>307</v>
      </c>
      <c r="S125" s="50"/>
      <c r="T125" s="30"/>
      <c r="U125" s="30"/>
      <c r="V125" s="30"/>
      <c r="W125" s="30"/>
      <c r="X125" s="30"/>
      <c r="Y125" s="30"/>
      <c r="Z125" s="30"/>
      <c r="AA125" s="30"/>
    </row>
    <row r="126" spans="1:27" ht="15.75" customHeight="1">
      <c r="A126" s="344"/>
      <c r="B126" s="344"/>
      <c r="C126" s="31">
        <v>6</v>
      </c>
      <c r="D126" s="344"/>
      <c r="E126" s="344"/>
      <c r="F126" s="344"/>
      <c r="G126" s="344"/>
      <c r="H126" s="47" t="s">
        <v>1162</v>
      </c>
      <c r="I126" s="47" t="s">
        <v>1163</v>
      </c>
      <c r="J126" s="168"/>
      <c r="K126" s="25" t="s">
        <v>294</v>
      </c>
      <c r="L126" s="57"/>
      <c r="M126" s="26"/>
      <c r="N126" s="55"/>
      <c r="O126" s="28"/>
      <c r="P126" s="28"/>
      <c r="Q126" s="50" t="s">
        <v>140</v>
      </c>
      <c r="R126" s="25" t="s">
        <v>307</v>
      </c>
      <c r="S126" s="50"/>
      <c r="T126" s="30"/>
      <c r="U126" s="30"/>
      <c r="V126" s="30"/>
      <c r="W126" s="30"/>
      <c r="X126" s="30"/>
      <c r="Y126" s="30"/>
      <c r="Z126" s="30"/>
      <c r="AA126" s="30"/>
    </row>
    <row r="127" spans="1:27" ht="15.75" customHeight="1">
      <c r="A127" s="344"/>
      <c r="B127" s="344"/>
      <c r="C127" s="31">
        <v>7</v>
      </c>
      <c r="D127" s="344"/>
      <c r="E127" s="344"/>
      <c r="F127" s="344"/>
      <c r="G127" s="344"/>
      <c r="H127" s="23" t="s">
        <v>336</v>
      </c>
      <c r="I127" s="23" t="s">
        <v>1164</v>
      </c>
      <c r="J127" s="170"/>
      <c r="K127" s="25"/>
      <c r="L127" s="57"/>
      <c r="M127" s="26"/>
      <c r="N127" s="55"/>
      <c r="O127" s="28"/>
      <c r="P127" s="28"/>
      <c r="Q127" s="50" t="s">
        <v>282</v>
      </c>
      <c r="R127" s="25" t="s">
        <v>307</v>
      </c>
      <c r="S127" s="50"/>
      <c r="T127" s="30"/>
      <c r="U127" s="30"/>
      <c r="V127" s="30"/>
      <c r="W127" s="30"/>
      <c r="X127" s="30"/>
      <c r="Y127" s="30"/>
      <c r="Z127" s="30"/>
      <c r="AA127" s="30"/>
    </row>
    <row r="128" spans="1:27" ht="15.75" customHeight="1">
      <c r="A128" s="344"/>
      <c r="B128" s="344"/>
      <c r="C128" s="31">
        <v>8</v>
      </c>
      <c r="D128" s="344"/>
      <c r="E128" s="345"/>
      <c r="F128" s="345"/>
      <c r="G128" s="345"/>
      <c r="H128" s="23" t="s">
        <v>1157</v>
      </c>
      <c r="I128" s="23" t="s">
        <v>1165</v>
      </c>
      <c r="J128" s="170"/>
      <c r="K128" s="25" t="s">
        <v>294</v>
      </c>
      <c r="L128" s="57"/>
      <c r="M128" s="26"/>
      <c r="N128" s="55"/>
      <c r="O128" s="28"/>
      <c r="P128" s="28"/>
      <c r="Q128" s="50" t="s">
        <v>140</v>
      </c>
      <c r="R128" s="25" t="s">
        <v>307</v>
      </c>
      <c r="S128" s="50"/>
      <c r="T128" s="30"/>
      <c r="U128" s="30"/>
      <c r="V128" s="30"/>
      <c r="W128" s="30"/>
      <c r="X128" s="30"/>
      <c r="Y128" s="30"/>
      <c r="Z128" s="30"/>
      <c r="AA128" s="30"/>
    </row>
    <row r="129" spans="1:27" ht="33" customHeight="1">
      <c r="A129" s="344"/>
      <c r="B129" s="344"/>
      <c r="C129" s="31">
        <v>9</v>
      </c>
      <c r="D129" s="344"/>
      <c r="E129" s="359" t="s">
        <v>1166</v>
      </c>
      <c r="F129" s="360" t="s">
        <v>326</v>
      </c>
      <c r="G129" s="360" t="s">
        <v>327</v>
      </c>
      <c r="H129" s="23" t="s">
        <v>1167</v>
      </c>
      <c r="I129" s="23" t="s">
        <v>1168</v>
      </c>
      <c r="J129" s="170"/>
      <c r="K129" s="25"/>
      <c r="L129" s="57"/>
      <c r="M129" s="26"/>
      <c r="N129" s="55"/>
      <c r="O129" s="28"/>
      <c r="P129" s="28"/>
      <c r="Q129" s="50" t="s">
        <v>282</v>
      </c>
      <c r="R129" s="25" t="s">
        <v>307</v>
      </c>
      <c r="S129" s="50"/>
      <c r="T129" s="30"/>
      <c r="U129" s="30"/>
      <c r="V129" s="30"/>
      <c r="W129" s="30"/>
      <c r="X129" s="30"/>
      <c r="Y129" s="30"/>
      <c r="Z129" s="30"/>
      <c r="AA129" s="30"/>
    </row>
    <row r="130" spans="1:27" ht="15.75" customHeight="1">
      <c r="A130" s="344"/>
      <c r="B130" s="344"/>
      <c r="C130" s="31">
        <v>10</v>
      </c>
      <c r="D130" s="344"/>
      <c r="E130" s="345"/>
      <c r="F130" s="345"/>
      <c r="G130" s="345"/>
      <c r="H130" s="23" t="s">
        <v>681</v>
      </c>
      <c r="I130" s="23" t="s">
        <v>1169</v>
      </c>
      <c r="J130" s="170"/>
      <c r="K130" s="25"/>
      <c r="L130" s="57"/>
      <c r="M130" s="26"/>
      <c r="N130" s="55"/>
      <c r="O130" s="28"/>
      <c r="P130" s="28"/>
      <c r="Q130" s="50" t="s">
        <v>282</v>
      </c>
      <c r="R130" s="25" t="s">
        <v>307</v>
      </c>
      <c r="S130" s="50"/>
      <c r="T130" s="30"/>
      <c r="U130" s="30"/>
      <c r="V130" s="30"/>
      <c r="W130" s="30"/>
      <c r="X130" s="30"/>
      <c r="Y130" s="30"/>
      <c r="Z130" s="30"/>
      <c r="AA130" s="30"/>
    </row>
    <row r="131" spans="1:27" ht="15.75" customHeight="1">
      <c r="A131" s="344"/>
      <c r="B131" s="344"/>
      <c r="C131" s="31">
        <v>11</v>
      </c>
      <c r="D131" s="344"/>
      <c r="E131" s="359" t="s">
        <v>1170</v>
      </c>
      <c r="F131" s="360" t="s">
        <v>326</v>
      </c>
      <c r="G131" s="360" t="s">
        <v>524</v>
      </c>
      <c r="H131" s="23" t="s">
        <v>1171</v>
      </c>
      <c r="I131" s="23" t="s">
        <v>1172</v>
      </c>
      <c r="J131" s="170"/>
      <c r="K131" s="25" t="s">
        <v>294</v>
      </c>
      <c r="L131" s="57"/>
      <c r="M131" s="26"/>
      <c r="N131" s="55"/>
      <c r="O131" s="28"/>
      <c r="P131" s="28"/>
      <c r="Q131" s="50" t="s">
        <v>140</v>
      </c>
      <c r="R131" s="25" t="s">
        <v>307</v>
      </c>
      <c r="S131" s="50"/>
      <c r="T131" s="30"/>
      <c r="U131" s="30"/>
      <c r="V131" s="30"/>
      <c r="W131" s="30"/>
      <c r="X131" s="30"/>
      <c r="Y131" s="30"/>
      <c r="Z131" s="30"/>
      <c r="AA131" s="30"/>
    </row>
    <row r="132" spans="1:27" ht="15.75" customHeight="1">
      <c r="A132" s="344"/>
      <c r="B132" s="344"/>
      <c r="C132" s="31">
        <v>12</v>
      </c>
      <c r="D132" s="344"/>
      <c r="E132" s="344"/>
      <c r="F132" s="344"/>
      <c r="G132" s="344"/>
      <c r="H132" s="23" t="s">
        <v>336</v>
      </c>
      <c r="I132" s="23" t="s">
        <v>1156</v>
      </c>
      <c r="J132" s="170"/>
      <c r="K132" s="25"/>
      <c r="L132" s="57"/>
      <c r="M132" s="26"/>
      <c r="N132" s="55"/>
      <c r="O132" s="28"/>
      <c r="P132" s="28"/>
      <c r="Q132" s="50" t="s">
        <v>282</v>
      </c>
      <c r="R132" s="25" t="s">
        <v>307</v>
      </c>
      <c r="S132" s="50"/>
      <c r="T132" s="30"/>
      <c r="U132" s="30"/>
      <c r="V132" s="30"/>
      <c r="W132" s="30"/>
      <c r="X132" s="30"/>
      <c r="Y132" s="30"/>
      <c r="Z132" s="30"/>
      <c r="AA132" s="30"/>
    </row>
    <row r="133" spans="1:27" ht="15.75" customHeight="1">
      <c r="A133" s="344"/>
      <c r="B133" s="344"/>
      <c r="C133" s="31">
        <v>13</v>
      </c>
      <c r="D133" s="345"/>
      <c r="E133" s="345"/>
      <c r="F133" s="345"/>
      <c r="G133" s="345"/>
      <c r="H133" s="23" t="s">
        <v>1157</v>
      </c>
      <c r="I133" s="23" t="s">
        <v>1158</v>
      </c>
      <c r="J133" s="170"/>
      <c r="K133" s="25" t="s">
        <v>294</v>
      </c>
      <c r="L133" s="57"/>
      <c r="M133" s="26"/>
      <c r="N133" s="55"/>
      <c r="O133" s="28"/>
      <c r="P133" s="28"/>
      <c r="Q133" s="50" t="s">
        <v>140</v>
      </c>
      <c r="R133" s="25" t="s">
        <v>307</v>
      </c>
      <c r="S133" s="50"/>
      <c r="T133" s="30"/>
      <c r="U133" s="30"/>
      <c r="V133" s="30"/>
      <c r="W133" s="30"/>
      <c r="X133" s="30"/>
      <c r="Y133" s="30"/>
      <c r="Z133" s="30"/>
      <c r="AA133" s="30"/>
    </row>
    <row r="134" spans="1:27" ht="15.75" customHeight="1">
      <c r="A134" s="344"/>
      <c r="B134" s="344"/>
      <c r="C134" s="74">
        <v>14</v>
      </c>
      <c r="D134" s="364" t="s">
        <v>1173</v>
      </c>
      <c r="E134" s="372" t="s">
        <v>1151</v>
      </c>
      <c r="F134" s="363" t="s">
        <v>326</v>
      </c>
      <c r="G134" s="363" t="s">
        <v>327</v>
      </c>
      <c r="H134" s="47" t="s">
        <v>1174</v>
      </c>
      <c r="I134" s="47" t="s">
        <v>1175</v>
      </c>
      <c r="J134" s="168"/>
      <c r="K134" s="25" t="s">
        <v>294</v>
      </c>
      <c r="L134" s="57"/>
      <c r="M134" s="26"/>
      <c r="N134" s="55"/>
      <c r="O134" s="28"/>
      <c r="P134" s="28"/>
      <c r="Q134" s="50" t="s">
        <v>140</v>
      </c>
      <c r="R134" s="25" t="s">
        <v>298</v>
      </c>
      <c r="S134" s="50"/>
      <c r="T134" s="30"/>
      <c r="U134" s="30"/>
      <c r="V134" s="30"/>
      <c r="W134" s="30"/>
      <c r="X134" s="30"/>
      <c r="Y134" s="30"/>
      <c r="Z134" s="30"/>
      <c r="AA134" s="30"/>
    </row>
    <row r="135" spans="1:27" ht="15.75" customHeight="1">
      <c r="A135" s="344"/>
      <c r="B135" s="344"/>
      <c r="C135" s="74">
        <v>15</v>
      </c>
      <c r="D135" s="344"/>
      <c r="E135" s="344"/>
      <c r="F135" s="344"/>
      <c r="G135" s="344"/>
      <c r="H135" s="47" t="s">
        <v>1154</v>
      </c>
      <c r="I135" s="47" t="s">
        <v>1155</v>
      </c>
      <c r="J135" s="168"/>
      <c r="K135" s="25" t="s">
        <v>294</v>
      </c>
      <c r="L135" s="57"/>
      <c r="M135" s="26"/>
      <c r="N135" s="55"/>
      <c r="O135" s="28"/>
      <c r="P135" s="28"/>
      <c r="Q135" s="50" t="s">
        <v>140</v>
      </c>
      <c r="R135" s="25" t="s">
        <v>298</v>
      </c>
      <c r="S135" s="50"/>
      <c r="T135" s="30"/>
      <c r="U135" s="30"/>
      <c r="V135" s="30"/>
      <c r="W135" s="30"/>
      <c r="X135" s="30"/>
      <c r="Y135" s="30"/>
      <c r="Z135" s="30"/>
      <c r="AA135" s="30"/>
    </row>
    <row r="136" spans="1:27" ht="15.75" customHeight="1">
      <c r="A136" s="344"/>
      <c r="B136" s="344"/>
      <c r="C136" s="74">
        <v>16</v>
      </c>
      <c r="D136" s="344"/>
      <c r="E136" s="344"/>
      <c r="F136" s="344"/>
      <c r="G136" s="344"/>
      <c r="H136" s="47" t="s">
        <v>336</v>
      </c>
      <c r="I136" s="47" t="s">
        <v>1176</v>
      </c>
      <c r="J136" s="168"/>
      <c r="K136" s="25"/>
      <c r="L136" s="57"/>
      <c r="M136" s="26"/>
      <c r="N136" s="55"/>
      <c r="O136" s="28"/>
      <c r="P136" s="28"/>
      <c r="Q136" s="50" t="s">
        <v>282</v>
      </c>
      <c r="R136" s="25" t="s">
        <v>298</v>
      </c>
      <c r="S136" s="50"/>
      <c r="T136" s="30"/>
      <c r="U136" s="30"/>
      <c r="V136" s="30"/>
      <c r="W136" s="30"/>
      <c r="X136" s="30"/>
      <c r="Y136" s="30"/>
      <c r="Z136" s="30"/>
      <c r="AA136" s="30"/>
    </row>
    <row r="137" spans="1:27" ht="15.75" customHeight="1">
      <c r="A137" s="344"/>
      <c r="B137" s="344"/>
      <c r="C137" s="74">
        <v>17</v>
      </c>
      <c r="D137" s="344"/>
      <c r="E137" s="345"/>
      <c r="F137" s="345"/>
      <c r="G137" s="345"/>
      <c r="H137" s="47" t="s">
        <v>1157</v>
      </c>
      <c r="I137" s="47" t="s">
        <v>1158</v>
      </c>
      <c r="J137" s="168"/>
      <c r="K137" s="25" t="s">
        <v>294</v>
      </c>
      <c r="L137" s="57"/>
      <c r="M137" s="26"/>
      <c r="N137" s="55"/>
      <c r="O137" s="28"/>
      <c r="P137" s="28"/>
      <c r="Q137" s="50" t="s">
        <v>140</v>
      </c>
      <c r="R137" s="25" t="s">
        <v>298</v>
      </c>
      <c r="S137" s="50"/>
      <c r="T137" s="30"/>
      <c r="U137" s="30"/>
      <c r="V137" s="30"/>
      <c r="W137" s="30"/>
      <c r="X137" s="30"/>
      <c r="Y137" s="30"/>
      <c r="Z137" s="30"/>
      <c r="AA137" s="30"/>
    </row>
    <row r="138" spans="1:27" ht="15.75" customHeight="1">
      <c r="A138" s="344"/>
      <c r="B138" s="344"/>
      <c r="C138" s="74">
        <v>18</v>
      </c>
      <c r="D138" s="344"/>
      <c r="E138" s="372" t="s">
        <v>1159</v>
      </c>
      <c r="F138" s="363" t="s">
        <v>326</v>
      </c>
      <c r="G138" s="363" t="s">
        <v>524</v>
      </c>
      <c r="H138" s="47" t="s">
        <v>1160</v>
      </c>
      <c r="I138" s="47" t="s">
        <v>1177</v>
      </c>
      <c r="J138" s="168"/>
      <c r="K138" s="25" t="s">
        <v>294</v>
      </c>
      <c r="L138" s="57"/>
      <c r="M138" s="26"/>
      <c r="N138" s="55"/>
      <c r="O138" s="28"/>
      <c r="P138" s="28"/>
      <c r="Q138" s="50" t="s">
        <v>140</v>
      </c>
      <c r="R138" s="25" t="s">
        <v>298</v>
      </c>
      <c r="S138" s="50"/>
      <c r="T138" s="30"/>
      <c r="U138" s="30"/>
      <c r="V138" s="30"/>
      <c r="W138" s="30"/>
      <c r="X138" s="30"/>
      <c r="Y138" s="30"/>
      <c r="Z138" s="30"/>
      <c r="AA138" s="30"/>
    </row>
    <row r="139" spans="1:27" ht="15.75" customHeight="1">
      <c r="A139" s="344"/>
      <c r="B139" s="344"/>
      <c r="C139" s="74">
        <v>19</v>
      </c>
      <c r="D139" s="344"/>
      <c r="E139" s="344"/>
      <c r="F139" s="344"/>
      <c r="G139" s="344"/>
      <c r="H139" s="47" t="s">
        <v>1162</v>
      </c>
      <c r="I139" s="47" t="s">
        <v>1163</v>
      </c>
      <c r="J139" s="168"/>
      <c r="K139" s="25" t="s">
        <v>294</v>
      </c>
      <c r="L139" s="57"/>
      <c r="M139" s="26"/>
      <c r="N139" s="55"/>
      <c r="O139" s="28"/>
      <c r="P139" s="28"/>
      <c r="Q139" s="50" t="s">
        <v>140</v>
      </c>
      <c r="R139" s="25" t="s">
        <v>298</v>
      </c>
      <c r="S139" s="50"/>
      <c r="T139" s="30"/>
      <c r="U139" s="30"/>
      <c r="V139" s="30"/>
      <c r="W139" s="30"/>
      <c r="X139" s="30"/>
      <c r="Y139" s="30"/>
      <c r="Z139" s="30"/>
      <c r="AA139" s="30"/>
    </row>
    <row r="140" spans="1:27" ht="15.75" customHeight="1">
      <c r="A140" s="344"/>
      <c r="B140" s="344"/>
      <c r="C140" s="74">
        <v>20</v>
      </c>
      <c r="D140" s="344"/>
      <c r="E140" s="344"/>
      <c r="F140" s="344"/>
      <c r="G140" s="344"/>
      <c r="H140" s="47" t="s">
        <v>336</v>
      </c>
      <c r="I140" s="47" t="s">
        <v>1164</v>
      </c>
      <c r="J140" s="168"/>
      <c r="K140" s="25"/>
      <c r="L140" s="57"/>
      <c r="M140" s="26"/>
      <c r="N140" s="55"/>
      <c r="O140" s="28"/>
      <c r="P140" s="28"/>
      <c r="Q140" s="50" t="s">
        <v>282</v>
      </c>
      <c r="R140" s="25" t="s">
        <v>298</v>
      </c>
      <c r="S140" s="50"/>
      <c r="T140" s="30"/>
      <c r="U140" s="30"/>
      <c r="V140" s="30"/>
      <c r="W140" s="30"/>
      <c r="X140" s="30"/>
      <c r="Y140" s="30"/>
      <c r="Z140" s="30"/>
      <c r="AA140" s="30"/>
    </row>
    <row r="141" spans="1:27" ht="15.75" customHeight="1">
      <c r="A141" s="344"/>
      <c r="B141" s="344"/>
      <c r="C141" s="74">
        <v>21</v>
      </c>
      <c r="D141" s="344"/>
      <c r="E141" s="345"/>
      <c r="F141" s="345"/>
      <c r="G141" s="345"/>
      <c r="H141" s="47" t="s">
        <v>1157</v>
      </c>
      <c r="I141" s="47" t="s">
        <v>1165</v>
      </c>
      <c r="J141" s="168"/>
      <c r="K141" s="25" t="s">
        <v>294</v>
      </c>
      <c r="L141" s="57"/>
      <c r="M141" s="26"/>
      <c r="N141" s="55"/>
      <c r="O141" s="28"/>
      <c r="P141" s="28"/>
      <c r="Q141" s="50" t="s">
        <v>140</v>
      </c>
      <c r="R141" s="25" t="s">
        <v>298</v>
      </c>
      <c r="S141" s="50"/>
      <c r="T141" s="30"/>
      <c r="U141" s="30"/>
      <c r="V141" s="30"/>
      <c r="W141" s="30"/>
      <c r="X141" s="30"/>
      <c r="Y141" s="30"/>
      <c r="Z141" s="30"/>
      <c r="AA141" s="30"/>
    </row>
    <row r="142" spans="1:27" ht="15.75" customHeight="1">
      <c r="A142" s="344"/>
      <c r="B142" s="344"/>
      <c r="C142" s="74">
        <v>22</v>
      </c>
      <c r="D142" s="344"/>
      <c r="E142" s="80" t="s">
        <v>1178</v>
      </c>
      <c r="F142" s="74" t="s">
        <v>361</v>
      </c>
      <c r="G142" s="74" t="s">
        <v>327</v>
      </c>
      <c r="H142" s="47" t="s">
        <v>1179</v>
      </c>
      <c r="I142" s="47" t="s">
        <v>1180</v>
      </c>
      <c r="J142" s="168"/>
      <c r="K142" s="25" t="s">
        <v>294</v>
      </c>
      <c r="L142" s="57"/>
      <c r="M142" s="26"/>
      <c r="N142" s="55"/>
      <c r="O142" s="28"/>
      <c r="P142" s="28"/>
      <c r="Q142" s="50" t="s">
        <v>140</v>
      </c>
      <c r="R142" s="25" t="s">
        <v>298</v>
      </c>
      <c r="S142" s="50"/>
      <c r="T142" s="30"/>
      <c r="U142" s="30"/>
      <c r="V142" s="30"/>
      <c r="W142" s="30"/>
      <c r="X142" s="30"/>
      <c r="Y142" s="30"/>
      <c r="Z142" s="30"/>
      <c r="AA142" s="30"/>
    </row>
    <row r="143" spans="1:27" ht="33" customHeight="1">
      <c r="A143" s="344"/>
      <c r="B143" s="344"/>
      <c r="C143" s="74">
        <v>23</v>
      </c>
      <c r="D143" s="344"/>
      <c r="E143" s="372" t="s">
        <v>1166</v>
      </c>
      <c r="F143" s="363" t="s">
        <v>326</v>
      </c>
      <c r="G143" s="363" t="s">
        <v>327</v>
      </c>
      <c r="H143" s="47" t="s">
        <v>1167</v>
      </c>
      <c r="I143" s="47" t="s">
        <v>1168</v>
      </c>
      <c r="J143" s="168"/>
      <c r="K143" s="25"/>
      <c r="L143" s="57"/>
      <c r="M143" s="26"/>
      <c r="N143" s="55"/>
      <c r="O143" s="28"/>
      <c r="P143" s="28"/>
      <c r="Q143" s="50" t="s">
        <v>282</v>
      </c>
      <c r="R143" s="25" t="s">
        <v>298</v>
      </c>
      <c r="S143" s="50"/>
      <c r="T143" s="30"/>
      <c r="U143" s="30"/>
      <c r="V143" s="30"/>
      <c r="W143" s="30"/>
      <c r="X143" s="30"/>
      <c r="Y143" s="30"/>
      <c r="Z143" s="30"/>
      <c r="AA143" s="30"/>
    </row>
    <row r="144" spans="1:27" ht="15.75" customHeight="1">
      <c r="A144" s="344"/>
      <c r="B144" s="344"/>
      <c r="C144" s="74">
        <v>24</v>
      </c>
      <c r="D144" s="344"/>
      <c r="E144" s="345"/>
      <c r="F144" s="345"/>
      <c r="G144" s="345"/>
      <c r="H144" s="47" t="s">
        <v>681</v>
      </c>
      <c r="I144" s="47" t="s">
        <v>1169</v>
      </c>
      <c r="J144" s="168"/>
      <c r="K144" s="25"/>
      <c r="L144" s="57"/>
      <c r="M144" s="26"/>
      <c r="N144" s="55"/>
      <c r="O144" s="28"/>
      <c r="P144" s="28"/>
      <c r="Q144" s="50" t="s">
        <v>282</v>
      </c>
      <c r="R144" s="25" t="s">
        <v>298</v>
      </c>
      <c r="S144" s="50"/>
      <c r="T144" s="30"/>
      <c r="U144" s="30"/>
      <c r="V144" s="30"/>
      <c r="W144" s="30"/>
      <c r="X144" s="30"/>
      <c r="Y144" s="30"/>
      <c r="Z144" s="30"/>
      <c r="AA144" s="30"/>
    </row>
    <row r="145" spans="1:27" ht="15.75" customHeight="1">
      <c r="A145" s="344"/>
      <c r="B145" s="344"/>
      <c r="C145" s="74">
        <v>25</v>
      </c>
      <c r="D145" s="344"/>
      <c r="E145" s="372" t="s">
        <v>1170</v>
      </c>
      <c r="F145" s="363" t="s">
        <v>326</v>
      </c>
      <c r="G145" s="363" t="s">
        <v>524</v>
      </c>
      <c r="H145" s="47" t="s">
        <v>1171</v>
      </c>
      <c r="I145" s="47" t="s">
        <v>1172</v>
      </c>
      <c r="J145" s="168"/>
      <c r="K145" s="25" t="s">
        <v>294</v>
      </c>
      <c r="L145" s="57"/>
      <c r="M145" s="26"/>
      <c r="N145" s="55"/>
      <c r="O145" s="28"/>
      <c r="P145" s="28"/>
      <c r="Q145" s="50" t="s">
        <v>140</v>
      </c>
      <c r="R145" s="25" t="s">
        <v>298</v>
      </c>
      <c r="S145" s="50"/>
      <c r="T145" s="30"/>
      <c r="U145" s="30"/>
      <c r="V145" s="30"/>
      <c r="W145" s="30"/>
      <c r="X145" s="30"/>
      <c r="Y145" s="30"/>
      <c r="Z145" s="30"/>
      <c r="AA145" s="30"/>
    </row>
    <row r="146" spans="1:27" ht="15.75" customHeight="1">
      <c r="A146" s="344"/>
      <c r="B146" s="344"/>
      <c r="C146" s="74">
        <v>26</v>
      </c>
      <c r="D146" s="344"/>
      <c r="E146" s="344"/>
      <c r="F146" s="344"/>
      <c r="G146" s="344"/>
      <c r="H146" s="47" t="s">
        <v>336</v>
      </c>
      <c r="I146" s="47" t="s">
        <v>1156</v>
      </c>
      <c r="J146" s="168"/>
      <c r="K146" s="25"/>
      <c r="L146" s="57"/>
      <c r="M146" s="26"/>
      <c r="N146" s="55"/>
      <c r="O146" s="28"/>
      <c r="P146" s="28"/>
      <c r="Q146" s="50" t="s">
        <v>282</v>
      </c>
      <c r="R146" s="25" t="s">
        <v>298</v>
      </c>
      <c r="S146" s="50"/>
      <c r="T146" s="30"/>
      <c r="U146" s="30"/>
      <c r="V146" s="30"/>
      <c r="W146" s="30"/>
      <c r="X146" s="30"/>
      <c r="Y146" s="30"/>
      <c r="Z146" s="30"/>
      <c r="AA146" s="30"/>
    </row>
    <row r="147" spans="1:27" ht="15.75" customHeight="1">
      <c r="A147" s="345"/>
      <c r="B147" s="345"/>
      <c r="C147" s="74">
        <v>27</v>
      </c>
      <c r="D147" s="345"/>
      <c r="E147" s="345"/>
      <c r="F147" s="345"/>
      <c r="G147" s="345"/>
      <c r="H147" s="47" t="s">
        <v>1157</v>
      </c>
      <c r="I147" s="47" t="s">
        <v>1158</v>
      </c>
      <c r="J147" s="168"/>
      <c r="K147" s="25" t="s">
        <v>294</v>
      </c>
      <c r="L147" s="57"/>
      <c r="M147" s="26"/>
      <c r="N147" s="55"/>
      <c r="O147" s="28"/>
      <c r="P147" s="28"/>
      <c r="Q147" s="50" t="s">
        <v>140</v>
      </c>
      <c r="R147" s="25" t="s">
        <v>298</v>
      </c>
      <c r="S147" s="50"/>
      <c r="T147" s="30"/>
      <c r="U147" s="30"/>
      <c r="V147" s="30"/>
      <c r="W147" s="30"/>
      <c r="X147" s="30"/>
      <c r="Y147" s="30"/>
      <c r="Z147" s="30"/>
      <c r="AA147" s="30"/>
    </row>
    <row r="148" spans="1:27" ht="15.75" customHeight="1">
      <c r="A148" s="356" t="s">
        <v>1181</v>
      </c>
      <c r="B148" s="373" t="s">
        <v>1182</v>
      </c>
      <c r="C148" s="41">
        <v>1</v>
      </c>
      <c r="D148" s="356" t="s">
        <v>1183</v>
      </c>
      <c r="E148" s="39" t="s">
        <v>1184</v>
      </c>
      <c r="F148" s="31" t="s">
        <v>326</v>
      </c>
      <c r="G148" s="31" t="s">
        <v>327</v>
      </c>
      <c r="H148" s="23" t="s">
        <v>1185</v>
      </c>
      <c r="I148" s="23" t="s">
        <v>1186</v>
      </c>
      <c r="J148" s="170"/>
      <c r="K148" s="25"/>
      <c r="L148" s="57"/>
      <c r="M148" s="26"/>
      <c r="N148" s="55"/>
      <c r="O148" s="28" t="s">
        <v>140</v>
      </c>
      <c r="P148" s="28"/>
      <c r="Q148" s="50" t="s">
        <v>282</v>
      </c>
      <c r="R148" s="25" t="s">
        <v>7</v>
      </c>
      <c r="S148" s="50"/>
      <c r="T148" s="65"/>
      <c r="U148" s="65"/>
      <c r="V148" s="65"/>
      <c r="W148" s="65"/>
      <c r="X148" s="65"/>
      <c r="Y148" s="65"/>
      <c r="Z148" s="65"/>
      <c r="AA148" s="65"/>
    </row>
    <row r="149" spans="1:27" ht="15.75" customHeight="1">
      <c r="A149" s="344"/>
      <c r="B149" s="344"/>
      <c r="C149" s="41">
        <v>2</v>
      </c>
      <c r="D149" s="344"/>
      <c r="E149" s="39" t="s">
        <v>1187</v>
      </c>
      <c r="F149" s="31" t="s">
        <v>326</v>
      </c>
      <c r="G149" s="31" t="s">
        <v>524</v>
      </c>
      <c r="H149" s="23" t="s">
        <v>1188</v>
      </c>
      <c r="I149" s="23" t="s">
        <v>1186</v>
      </c>
      <c r="J149" s="170"/>
      <c r="K149" s="25"/>
      <c r="L149" s="57"/>
      <c r="M149" s="26"/>
      <c r="N149" s="55"/>
      <c r="O149" s="28" t="s">
        <v>140</v>
      </c>
      <c r="P149" s="28"/>
      <c r="Q149" s="50" t="s">
        <v>282</v>
      </c>
      <c r="R149" s="25" t="s">
        <v>7</v>
      </c>
      <c r="S149" s="50"/>
      <c r="T149" s="65"/>
      <c r="U149" s="65"/>
      <c r="V149" s="65"/>
      <c r="W149" s="65"/>
      <c r="X149" s="65"/>
      <c r="Y149" s="65"/>
      <c r="Z149" s="65"/>
      <c r="AA149" s="65"/>
    </row>
    <row r="150" spans="1:27" ht="15.75" customHeight="1">
      <c r="A150" s="344"/>
      <c r="B150" s="344"/>
      <c r="C150" s="41">
        <v>3</v>
      </c>
      <c r="D150" s="344"/>
      <c r="E150" s="39" t="s">
        <v>9</v>
      </c>
      <c r="F150" s="31" t="s">
        <v>326</v>
      </c>
      <c r="G150" s="31" t="s">
        <v>524</v>
      </c>
      <c r="H150" s="23" t="s">
        <v>1189</v>
      </c>
      <c r="I150" s="23" t="s">
        <v>1186</v>
      </c>
      <c r="J150" s="170"/>
      <c r="K150" s="25"/>
      <c r="L150" s="57"/>
      <c r="M150" s="26"/>
      <c r="N150" s="55"/>
      <c r="O150" s="28"/>
      <c r="P150" s="28"/>
      <c r="Q150" s="50" t="s">
        <v>282</v>
      </c>
      <c r="R150" s="25" t="s">
        <v>7</v>
      </c>
      <c r="S150" s="50"/>
      <c r="T150" s="65"/>
      <c r="U150" s="65"/>
      <c r="V150" s="65"/>
      <c r="W150" s="65"/>
      <c r="X150" s="65"/>
      <c r="Y150" s="65"/>
      <c r="Z150" s="65"/>
      <c r="AA150" s="65"/>
    </row>
    <row r="151" spans="1:27" ht="15.75" customHeight="1">
      <c r="A151" s="344"/>
      <c r="B151" s="344"/>
      <c r="C151" s="41">
        <v>4</v>
      </c>
      <c r="D151" s="344"/>
      <c r="E151" s="39" t="s">
        <v>10</v>
      </c>
      <c r="F151" s="31" t="s">
        <v>326</v>
      </c>
      <c r="G151" s="31" t="s">
        <v>524</v>
      </c>
      <c r="H151" s="23" t="s">
        <v>1190</v>
      </c>
      <c r="I151" s="23" t="s">
        <v>1186</v>
      </c>
      <c r="J151" s="170"/>
      <c r="K151" s="25"/>
      <c r="L151" s="57"/>
      <c r="M151" s="26"/>
      <c r="N151" s="55"/>
      <c r="O151" s="28"/>
      <c r="P151" s="28"/>
      <c r="Q151" s="50" t="s">
        <v>282</v>
      </c>
      <c r="R151" s="25" t="s">
        <v>7</v>
      </c>
      <c r="S151" s="50"/>
      <c r="T151" s="65"/>
      <c r="U151" s="65"/>
      <c r="V151" s="65"/>
      <c r="W151" s="65"/>
      <c r="X151" s="65"/>
      <c r="Y151" s="65"/>
      <c r="Z151" s="65"/>
      <c r="AA151" s="65"/>
    </row>
    <row r="152" spans="1:27" ht="15.75" customHeight="1">
      <c r="A152" s="344"/>
      <c r="B152" s="344"/>
      <c r="C152" s="41">
        <v>5</v>
      </c>
      <c r="D152" s="344"/>
      <c r="E152" s="39" t="s">
        <v>1191</v>
      </c>
      <c r="F152" s="31" t="s">
        <v>326</v>
      </c>
      <c r="G152" s="31" t="s">
        <v>524</v>
      </c>
      <c r="H152" s="23" t="s">
        <v>1192</v>
      </c>
      <c r="I152" s="23" t="s">
        <v>1186</v>
      </c>
      <c r="J152" s="170"/>
      <c r="K152" s="25"/>
      <c r="L152" s="57"/>
      <c r="M152" s="26"/>
      <c r="N152" s="55"/>
      <c r="O152" s="28"/>
      <c r="P152" s="28"/>
      <c r="Q152" s="50" t="s">
        <v>282</v>
      </c>
      <c r="R152" s="25" t="s">
        <v>7</v>
      </c>
      <c r="S152" s="50"/>
      <c r="T152" s="65"/>
      <c r="U152" s="65"/>
      <c r="V152" s="65"/>
      <c r="W152" s="65"/>
      <c r="X152" s="65"/>
      <c r="Y152" s="65"/>
      <c r="Z152" s="65"/>
      <c r="AA152" s="65"/>
    </row>
    <row r="153" spans="1:27" ht="15.75" customHeight="1">
      <c r="A153" s="344"/>
      <c r="B153" s="344"/>
      <c r="C153" s="41">
        <v>6</v>
      </c>
      <c r="D153" s="344"/>
      <c r="E153" s="39" t="s">
        <v>1193</v>
      </c>
      <c r="F153" s="31" t="s">
        <v>326</v>
      </c>
      <c r="G153" s="31" t="s">
        <v>524</v>
      </c>
      <c r="H153" s="23" t="s">
        <v>1194</v>
      </c>
      <c r="I153" s="23" t="s">
        <v>1186</v>
      </c>
      <c r="J153" s="170"/>
      <c r="K153" s="25"/>
      <c r="L153" s="57"/>
      <c r="M153" s="26"/>
      <c r="N153" s="55"/>
      <c r="O153" s="28"/>
      <c r="P153" s="28"/>
      <c r="Q153" s="50" t="s">
        <v>282</v>
      </c>
      <c r="R153" s="25" t="s">
        <v>7</v>
      </c>
      <c r="S153" s="50"/>
      <c r="T153" s="65"/>
      <c r="U153" s="65"/>
      <c r="V153" s="65"/>
      <c r="W153" s="65"/>
      <c r="X153" s="65"/>
      <c r="Y153" s="65"/>
      <c r="Z153" s="65"/>
      <c r="AA153" s="65"/>
    </row>
    <row r="154" spans="1:27" ht="15.75" customHeight="1">
      <c r="A154" s="344"/>
      <c r="B154" s="344"/>
      <c r="C154" s="41">
        <v>7</v>
      </c>
      <c r="D154" s="344"/>
      <c r="E154" s="39" t="s">
        <v>1195</v>
      </c>
      <c r="F154" s="31" t="s">
        <v>326</v>
      </c>
      <c r="G154" s="31" t="s">
        <v>524</v>
      </c>
      <c r="H154" s="23" t="s">
        <v>1196</v>
      </c>
      <c r="I154" s="23" t="s">
        <v>1186</v>
      </c>
      <c r="J154" s="170"/>
      <c r="K154" s="25"/>
      <c r="L154" s="57"/>
      <c r="M154" s="26"/>
      <c r="N154" s="55"/>
      <c r="O154" s="28"/>
      <c r="P154" s="28"/>
      <c r="Q154" s="50" t="s">
        <v>282</v>
      </c>
      <c r="R154" s="25" t="s">
        <v>7</v>
      </c>
      <c r="S154" s="50"/>
      <c r="T154" s="65"/>
      <c r="U154" s="65"/>
      <c r="V154" s="65"/>
      <c r="W154" s="65"/>
      <c r="X154" s="65"/>
      <c r="Y154" s="65"/>
      <c r="Z154" s="65"/>
      <c r="AA154" s="65"/>
    </row>
    <row r="155" spans="1:27" ht="15.75" customHeight="1">
      <c r="A155" s="344"/>
      <c r="B155" s="344"/>
      <c r="C155" s="41">
        <v>8</v>
      </c>
      <c r="D155" s="344"/>
      <c r="E155" s="39" t="s">
        <v>1197</v>
      </c>
      <c r="F155" s="31" t="s">
        <v>326</v>
      </c>
      <c r="G155" s="31" t="s">
        <v>524</v>
      </c>
      <c r="H155" s="23" t="s">
        <v>1198</v>
      </c>
      <c r="I155" s="23" t="s">
        <v>1186</v>
      </c>
      <c r="J155" s="170"/>
      <c r="K155" s="25"/>
      <c r="L155" s="57"/>
      <c r="M155" s="26"/>
      <c r="N155" s="55"/>
      <c r="O155" s="28"/>
      <c r="P155" s="28"/>
      <c r="Q155" s="50" t="s">
        <v>282</v>
      </c>
      <c r="R155" s="25" t="s">
        <v>7</v>
      </c>
      <c r="S155" s="50"/>
      <c r="T155" s="65"/>
      <c r="U155" s="65"/>
      <c r="V155" s="65"/>
      <c r="W155" s="65"/>
      <c r="X155" s="65"/>
      <c r="Y155" s="65"/>
      <c r="Z155" s="65"/>
      <c r="AA155" s="65"/>
    </row>
    <row r="156" spans="1:27" ht="15.75" customHeight="1">
      <c r="A156" s="344"/>
      <c r="B156" s="344"/>
      <c r="C156" s="41">
        <v>9</v>
      </c>
      <c r="D156" s="344"/>
      <c r="E156" s="39" t="s">
        <v>11</v>
      </c>
      <c r="F156" s="31" t="s">
        <v>326</v>
      </c>
      <c r="G156" s="31" t="s">
        <v>524</v>
      </c>
      <c r="H156" s="23" t="s">
        <v>1199</v>
      </c>
      <c r="I156" s="23" t="s">
        <v>1186</v>
      </c>
      <c r="J156" s="170"/>
      <c r="K156" s="25"/>
      <c r="L156" s="57"/>
      <c r="M156" s="26"/>
      <c r="N156" s="55"/>
      <c r="O156" s="28" t="s">
        <v>140</v>
      </c>
      <c r="P156" s="28"/>
      <c r="Q156" s="50" t="s">
        <v>282</v>
      </c>
      <c r="R156" s="25" t="s">
        <v>7</v>
      </c>
      <c r="S156" s="50"/>
      <c r="T156" s="65"/>
      <c r="U156" s="65"/>
      <c r="V156" s="65"/>
      <c r="W156" s="65"/>
      <c r="X156" s="65"/>
      <c r="Y156" s="65"/>
      <c r="Z156" s="65"/>
      <c r="AA156" s="65"/>
    </row>
    <row r="157" spans="1:27" ht="15.75" customHeight="1">
      <c r="A157" s="344"/>
      <c r="B157" s="344"/>
      <c r="C157" s="41">
        <v>10</v>
      </c>
      <c r="D157" s="344"/>
      <c r="E157" s="39" t="s">
        <v>1200</v>
      </c>
      <c r="F157" s="31" t="s">
        <v>326</v>
      </c>
      <c r="G157" s="31" t="s">
        <v>524</v>
      </c>
      <c r="H157" s="23" t="s">
        <v>1201</v>
      </c>
      <c r="I157" s="23" t="s">
        <v>1202</v>
      </c>
      <c r="J157" s="170"/>
      <c r="K157" s="25"/>
      <c r="L157" s="57"/>
      <c r="M157" s="26"/>
      <c r="N157" s="55"/>
      <c r="O157" s="28" t="s">
        <v>140</v>
      </c>
      <c r="P157" s="28"/>
      <c r="Q157" s="50" t="s">
        <v>282</v>
      </c>
      <c r="R157" s="25" t="s">
        <v>7</v>
      </c>
      <c r="S157" s="50"/>
      <c r="T157" s="65"/>
      <c r="U157" s="65"/>
      <c r="V157" s="65"/>
      <c r="W157" s="65"/>
      <c r="X157" s="65"/>
      <c r="Y157" s="65"/>
      <c r="Z157" s="65"/>
      <c r="AA157" s="65"/>
    </row>
    <row r="158" spans="1:27" ht="15.75" customHeight="1">
      <c r="A158" s="344"/>
      <c r="B158" s="344"/>
      <c r="C158" s="41">
        <v>11</v>
      </c>
      <c r="D158" s="344"/>
      <c r="E158" s="39" t="s">
        <v>1203</v>
      </c>
      <c r="F158" s="31" t="s">
        <v>326</v>
      </c>
      <c r="G158" s="31" t="s">
        <v>524</v>
      </c>
      <c r="H158" s="23" t="s">
        <v>1204</v>
      </c>
      <c r="I158" s="23" t="s">
        <v>1202</v>
      </c>
      <c r="J158" s="170"/>
      <c r="K158" s="25"/>
      <c r="L158" s="57"/>
      <c r="M158" s="26"/>
      <c r="N158" s="55"/>
      <c r="O158" s="28"/>
      <c r="P158" s="28"/>
      <c r="Q158" s="50" t="s">
        <v>282</v>
      </c>
      <c r="R158" s="25" t="s">
        <v>7</v>
      </c>
      <c r="S158" s="50"/>
      <c r="T158" s="65"/>
      <c r="U158" s="65"/>
      <c r="V158" s="65"/>
      <c r="W158" s="65"/>
      <c r="X158" s="65"/>
      <c r="Y158" s="65"/>
      <c r="Z158" s="65"/>
      <c r="AA158" s="65"/>
    </row>
    <row r="159" spans="1:27" ht="15.75" customHeight="1">
      <c r="A159" s="345"/>
      <c r="B159" s="345"/>
      <c r="C159" s="41">
        <v>12</v>
      </c>
      <c r="D159" s="345"/>
      <c r="E159" s="39" t="s">
        <v>1205</v>
      </c>
      <c r="F159" s="31" t="s">
        <v>326</v>
      </c>
      <c r="G159" s="31" t="s">
        <v>524</v>
      </c>
      <c r="H159" s="23" t="s">
        <v>1206</v>
      </c>
      <c r="I159" s="23" t="s">
        <v>1202</v>
      </c>
      <c r="J159" s="170"/>
      <c r="K159" s="25"/>
      <c r="L159" s="57"/>
      <c r="M159" s="26"/>
      <c r="N159" s="55"/>
      <c r="O159" s="28"/>
      <c r="P159" s="28"/>
      <c r="Q159" s="50" t="s">
        <v>282</v>
      </c>
      <c r="R159" s="25" t="s">
        <v>7</v>
      </c>
      <c r="S159" s="50"/>
      <c r="T159" s="65"/>
      <c r="U159" s="65"/>
      <c r="V159" s="65"/>
      <c r="W159" s="65"/>
      <c r="X159" s="65"/>
      <c r="Y159" s="65"/>
      <c r="Z159" s="65"/>
      <c r="AA159" s="65"/>
    </row>
    <row r="160" spans="1:27" ht="15.75" customHeight="1">
      <c r="A160" s="356" t="s">
        <v>1207</v>
      </c>
      <c r="B160" s="373" t="s">
        <v>86</v>
      </c>
      <c r="C160" s="41">
        <v>1</v>
      </c>
      <c r="D160" s="356" t="s">
        <v>1208</v>
      </c>
      <c r="E160" s="39" t="s">
        <v>1184</v>
      </c>
      <c r="F160" s="31" t="s">
        <v>326</v>
      </c>
      <c r="G160" s="31" t="s">
        <v>327</v>
      </c>
      <c r="H160" s="23" t="s">
        <v>1209</v>
      </c>
      <c r="I160" s="23" t="s">
        <v>1186</v>
      </c>
      <c r="J160" s="170"/>
      <c r="K160" s="25"/>
      <c r="L160" s="57"/>
      <c r="M160" s="26"/>
      <c r="N160" s="55"/>
      <c r="O160" s="28"/>
      <c r="P160" s="28"/>
      <c r="Q160" s="50" t="s">
        <v>282</v>
      </c>
      <c r="R160" s="25" t="s">
        <v>7</v>
      </c>
      <c r="S160" s="50"/>
      <c r="T160" s="65"/>
      <c r="U160" s="65"/>
      <c r="V160" s="65"/>
      <c r="W160" s="65"/>
      <c r="X160" s="65"/>
      <c r="Y160" s="65"/>
      <c r="Z160" s="65"/>
      <c r="AA160" s="65"/>
    </row>
    <row r="161" spans="1:27" ht="15.75" customHeight="1">
      <c r="A161" s="344"/>
      <c r="B161" s="344"/>
      <c r="C161" s="41">
        <v>2</v>
      </c>
      <c r="D161" s="344"/>
      <c r="E161" s="39" t="s">
        <v>1187</v>
      </c>
      <c r="F161" s="31" t="s">
        <v>326</v>
      </c>
      <c r="G161" s="31" t="s">
        <v>524</v>
      </c>
      <c r="H161" s="23" t="s">
        <v>1210</v>
      </c>
      <c r="I161" s="23" t="s">
        <v>1186</v>
      </c>
      <c r="J161" s="170"/>
      <c r="K161" s="25"/>
      <c r="L161" s="57"/>
      <c r="M161" s="26"/>
      <c r="N161" s="55"/>
      <c r="O161" s="28"/>
      <c r="P161" s="28"/>
      <c r="Q161" s="50" t="s">
        <v>282</v>
      </c>
      <c r="R161" s="25" t="s">
        <v>7</v>
      </c>
      <c r="S161" s="50"/>
      <c r="T161" s="65"/>
      <c r="U161" s="65"/>
      <c r="V161" s="65"/>
      <c r="W161" s="65"/>
      <c r="X161" s="65"/>
      <c r="Y161" s="65"/>
      <c r="Z161" s="65"/>
      <c r="AA161" s="65"/>
    </row>
    <row r="162" spans="1:27" ht="15.75" customHeight="1">
      <c r="A162" s="344"/>
      <c r="B162" s="344"/>
      <c r="C162" s="41">
        <v>3</v>
      </c>
      <c r="D162" s="344"/>
      <c r="E162" s="39" t="s">
        <v>9</v>
      </c>
      <c r="F162" s="31" t="s">
        <v>326</v>
      </c>
      <c r="G162" s="31" t="s">
        <v>524</v>
      </c>
      <c r="H162" s="23" t="s">
        <v>1211</v>
      </c>
      <c r="I162" s="23" t="s">
        <v>1186</v>
      </c>
      <c r="J162" s="170"/>
      <c r="K162" s="25"/>
      <c r="L162" s="57"/>
      <c r="M162" s="26"/>
      <c r="N162" s="55"/>
      <c r="O162" s="28"/>
      <c r="P162" s="28"/>
      <c r="Q162" s="50" t="s">
        <v>282</v>
      </c>
      <c r="R162" s="25" t="s">
        <v>7</v>
      </c>
      <c r="S162" s="50"/>
      <c r="T162" s="65"/>
      <c r="U162" s="65"/>
      <c r="V162" s="65"/>
      <c r="W162" s="65"/>
      <c r="X162" s="65"/>
      <c r="Y162" s="65"/>
      <c r="Z162" s="65"/>
      <c r="AA162" s="65"/>
    </row>
    <row r="163" spans="1:27" ht="15.75" customHeight="1">
      <c r="A163" s="344"/>
      <c r="B163" s="344"/>
      <c r="C163" s="41">
        <v>4</v>
      </c>
      <c r="D163" s="344"/>
      <c r="E163" s="39" t="s">
        <v>10</v>
      </c>
      <c r="F163" s="31" t="s">
        <v>326</v>
      </c>
      <c r="G163" s="31" t="s">
        <v>524</v>
      </c>
      <c r="H163" s="23" t="s">
        <v>1212</v>
      </c>
      <c r="I163" s="23" t="s">
        <v>1186</v>
      </c>
      <c r="J163" s="170"/>
      <c r="K163" s="25"/>
      <c r="L163" s="57"/>
      <c r="M163" s="26"/>
      <c r="N163" s="55"/>
      <c r="O163" s="28"/>
      <c r="P163" s="28"/>
      <c r="Q163" s="50" t="s">
        <v>282</v>
      </c>
      <c r="R163" s="25" t="s">
        <v>7</v>
      </c>
      <c r="S163" s="50"/>
      <c r="T163" s="65"/>
      <c r="U163" s="65"/>
      <c r="V163" s="65"/>
      <c r="W163" s="65"/>
      <c r="X163" s="65"/>
      <c r="Y163" s="65"/>
      <c r="Z163" s="65"/>
      <c r="AA163" s="65"/>
    </row>
    <row r="164" spans="1:27" ht="15.75" customHeight="1">
      <c r="A164" s="344"/>
      <c r="B164" s="344"/>
      <c r="C164" s="41">
        <v>5</v>
      </c>
      <c r="D164" s="344"/>
      <c r="E164" s="39" t="s">
        <v>1191</v>
      </c>
      <c r="F164" s="31" t="s">
        <v>326</v>
      </c>
      <c r="G164" s="31" t="s">
        <v>524</v>
      </c>
      <c r="H164" s="23" t="s">
        <v>1213</v>
      </c>
      <c r="I164" s="23" t="s">
        <v>1186</v>
      </c>
      <c r="J164" s="170"/>
      <c r="K164" s="25"/>
      <c r="L164" s="57"/>
      <c r="M164" s="26"/>
      <c r="N164" s="55"/>
      <c r="O164" s="28"/>
      <c r="P164" s="28"/>
      <c r="Q164" s="50" t="s">
        <v>282</v>
      </c>
      <c r="R164" s="25" t="s">
        <v>7</v>
      </c>
      <c r="S164" s="50"/>
      <c r="T164" s="65"/>
      <c r="U164" s="65"/>
      <c r="V164" s="65"/>
      <c r="W164" s="65"/>
      <c r="X164" s="65"/>
      <c r="Y164" s="65"/>
      <c r="Z164" s="65"/>
      <c r="AA164" s="65"/>
    </row>
    <row r="165" spans="1:27" ht="15.75" customHeight="1">
      <c r="A165" s="344"/>
      <c r="B165" s="344"/>
      <c r="C165" s="41">
        <v>6</v>
      </c>
      <c r="D165" s="344"/>
      <c r="E165" s="39" t="s">
        <v>1193</v>
      </c>
      <c r="F165" s="31" t="s">
        <v>326</v>
      </c>
      <c r="G165" s="31" t="s">
        <v>524</v>
      </c>
      <c r="H165" s="23" t="s">
        <v>1214</v>
      </c>
      <c r="I165" s="23" t="s">
        <v>1186</v>
      </c>
      <c r="J165" s="170"/>
      <c r="K165" s="25"/>
      <c r="L165" s="57"/>
      <c r="M165" s="26"/>
      <c r="N165" s="55"/>
      <c r="O165" s="28"/>
      <c r="P165" s="28"/>
      <c r="Q165" s="50" t="s">
        <v>282</v>
      </c>
      <c r="R165" s="25" t="s">
        <v>7</v>
      </c>
      <c r="S165" s="50"/>
      <c r="T165" s="65"/>
      <c r="U165" s="65"/>
      <c r="V165" s="65"/>
      <c r="W165" s="65"/>
      <c r="X165" s="65"/>
      <c r="Y165" s="65"/>
      <c r="Z165" s="65"/>
      <c r="AA165" s="65"/>
    </row>
    <row r="166" spans="1:27" ht="15.75" customHeight="1">
      <c r="A166" s="344"/>
      <c r="B166" s="344"/>
      <c r="C166" s="41">
        <v>7</v>
      </c>
      <c r="D166" s="344"/>
      <c r="E166" s="39" t="s">
        <v>1195</v>
      </c>
      <c r="F166" s="31" t="s">
        <v>326</v>
      </c>
      <c r="G166" s="31" t="s">
        <v>524</v>
      </c>
      <c r="H166" s="23" t="s">
        <v>1215</v>
      </c>
      <c r="I166" s="23" t="s">
        <v>1186</v>
      </c>
      <c r="J166" s="170"/>
      <c r="K166" s="25"/>
      <c r="L166" s="57"/>
      <c r="M166" s="26"/>
      <c r="N166" s="55"/>
      <c r="O166" s="28"/>
      <c r="P166" s="28"/>
      <c r="Q166" s="50" t="s">
        <v>282</v>
      </c>
      <c r="R166" s="25" t="s">
        <v>7</v>
      </c>
      <c r="S166" s="50"/>
      <c r="T166" s="65"/>
      <c r="U166" s="65"/>
      <c r="V166" s="65"/>
      <c r="W166" s="65"/>
      <c r="X166" s="65"/>
      <c r="Y166" s="65"/>
      <c r="Z166" s="65"/>
      <c r="AA166" s="65"/>
    </row>
    <row r="167" spans="1:27" ht="15.75" customHeight="1">
      <c r="A167" s="345"/>
      <c r="B167" s="345"/>
      <c r="C167" s="41">
        <v>8</v>
      </c>
      <c r="D167" s="345"/>
      <c r="E167" s="39" t="s">
        <v>1197</v>
      </c>
      <c r="F167" s="31" t="s">
        <v>326</v>
      </c>
      <c r="G167" s="31" t="s">
        <v>524</v>
      </c>
      <c r="H167" s="23" t="s">
        <v>1216</v>
      </c>
      <c r="I167" s="23" t="s">
        <v>1186</v>
      </c>
      <c r="J167" s="170"/>
      <c r="K167" s="25"/>
      <c r="L167" s="57"/>
      <c r="M167" s="26"/>
      <c r="N167" s="55"/>
      <c r="O167" s="28"/>
      <c r="P167" s="28"/>
      <c r="Q167" s="50" t="s">
        <v>282</v>
      </c>
      <c r="R167" s="25" t="s">
        <v>7</v>
      </c>
      <c r="S167" s="50"/>
      <c r="T167" s="65"/>
      <c r="U167" s="65"/>
      <c r="V167" s="65"/>
      <c r="W167" s="65"/>
      <c r="X167" s="65"/>
      <c r="Y167" s="65"/>
      <c r="Z167" s="65"/>
      <c r="AA167" s="65"/>
    </row>
    <row r="168" spans="1:27" ht="15.75" customHeight="1">
      <c r="A168" s="15" t="s">
        <v>1217</v>
      </c>
      <c r="B168" s="16"/>
      <c r="C168" s="16"/>
      <c r="D168" s="17"/>
      <c r="E168" s="18"/>
      <c r="F168" s="19"/>
      <c r="G168" s="19"/>
      <c r="H168" s="17"/>
      <c r="I168" s="20"/>
      <c r="J168" s="20"/>
      <c r="K168" s="16"/>
      <c r="L168" s="16"/>
      <c r="M168" s="71"/>
      <c r="N168" s="3"/>
      <c r="O168" s="16"/>
      <c r="P168" s="16"/>
      <c r="Q168" s="16"/>
      <c r="R168" s="16"/>
      <c r="S168" s="16"/>
    </row>
    <row r="169" spans="1:27" ht="15.75" customHeight="1">
      <c r="A169" s="356" t="s">
        <v>1218</v>
      </c>
      <c r="B169" s="360" t="s">
        <v>135</v>
      </c>
      <c r="C169" s="41">
        <v>1</v>
      </c>
      <c r="D169" s="356" t="s">
        <v>1219</v>
      </c>
      <c r="E169" s="356" t="s">
        <v>1051</v>
      </c>
      <c r="F169" s="31" t="s">
        <v>326</v>
      </c>
      <c r="G169" s="31" t="s">
        <v>327</v>
      </c>
      <c r="H169" s="23" t="s">
        <v>1220</v>
      </c>
      <c r="I169" s="23" t="s">
        <v>1221</v>
      </c>
      <c r="J169" s="170"/>
      <c r="K169" s="25" t="s">
        <v>294</v>
      </c>
      <c r="L169" s="57"/>
      <c r="M169" s="26"/>
      <c r="N169" s="55"/>
      <c r="O169" s="28"/>
      <c r="P169" s="28"/>
      <c r="Q169" s="50" t="s">
        <v>140</v>
      </c>
      <c r="R169" s="25" t="s">
        <v>7</v>
      </c>
      <c r="S169" s="50"/>
      <c r="T169" s="30"/>
      <c r="U169" s="30"/>
      <c r="V169" s="30"/>
      <c r="W169" s="30"/>
      <c r="X169" s="30"/>
      <c r="Y169" s="30"/>
      <c r="Z169" s="30"/>
      <c r="AA169" s="30"/>
    </row>
    <row r="170" spans="1:27" ht="15.75" customHeight="1">
      <c r="A170" s="344"/>
      <c r="B170" s="344"/>
      <c r="C170" s="41">
        <v>2</v>
      </c>
      <c r="D170" s="344"/>
      <c r="E170" s="344"/>
      <c r="F170" s="360" t="s">
        <v>326</v>
      </c>
      <c r="G170" s="360" t="s">
        <v>524</v>
      </c>
      <c r="H170" s="23" t="s">
        <v>336</v>
      </c>
      <c r="I170" s="23" t="s">
        <v>1054</v>
      </c>
      <c r="J170" s="170"/>
      <c r="K170" s="25"/>
      <c r="L170" s="57"/>
      <c r="M170" s="26"/>
      <c r="N170" s="55"/>
      <c r="O170" s="28"/>
      <c r="P170" s="28"/>
      <c r="Q170" s="50" t="s">
        <v>282</v>
      </c>
      <c r="R170" s="25" t="s">
        <v>7</v>
      </c>
      <c r="S170" s="50"/>
      <c r="T170" s="30"/>
      <c r="U170" s="30"/>
      <c r="V170" s="30"/>
      <c r="W170" s="30"/>
      <c r="X170" s="30"/>
      <c r="Y170" s="30"/>
      <c r="Z170" s="30"/>
      <c r="AA170" s="30"/>
    </row>
    <row r="171" spans="1:27" ht="15.75" customHeight="1">
      <c r="A171" s="344"/>
      <c r="B171" s="344"/>
      <c r="C171" s="41">
        <v>3</v>
      </c>
      <c r="D171" s="344"/>
      <c r="E171" s="345"/>
      <c r="F171" s="345"/>
      <c r="G171" s="345"/>
      <c r="H171" s="23" t="s">
        <v>338</v>
      </c>
      <c r="I171" s="23" t="s">
        <v>339</v>
      </c>
      <c r="J171" s="170"/>
      <c r="K171" s="25" t="s">
        <v>294</v>
      </c>
      <c r="L171" s="57"/>
      <c r="M171" s="26"/>
      <c r="N171" s="55"/>
      <c r="O171" s="28"/>
      <c r="P171" s="28"/>
      <c r="Q171" s="50" t="s">
        <v>140</v>
      </c>
      <c r="R171" s="25" t="s">
        <v>7</v>
      </c>
      <c r="S171" s="50"/>
      <c r="T171" s="30"/>
      <c r="U171" s="30"/>
      <c r="V171" s="30"/>
      <c r="W171" s="30"/>
      <c r="X171" s="30"/>
      <c r="Y171" s="30"/>
      <c r="Z171" s="30"/>
      <c r="AA171" s="30"/>
    </row>
    <row r="172" spans="1:27" ht="15.75" customHeight="1">
      <c r="A172" s="344"/>
      <c r="B172" s="344"/>
      <c r="C172" s="41">
        <v>4</v>
      </c>
      <c r="D172" s="344"/>
      <c r="E172" s="356" t="s">
        <v>1056</v>
      </c>
      <c r="F172" s="360" t="s">
        <v>326</v>
      </c>
      <c r="G172" s="360" t="s">
        <v>524</v>
      </c>
      <c r="H172" s="356" t="s">
        <v>664</v>
      </c>
      <c r="I172" s="23" t="s">
        <v>1222</v>
      </c>
      <c r="J172" s="170"/>
      <c r="K172" s="25" t="s">
        <v>294</v>
      </c>
      <c r="L172" s="57"/>
      <c r="M172" s="26"/>
      <c r="N172" s="55"/>
      <c r="O172" s="28" t="s">
        <v>140</v>
      </c>
      <c r="P172" s="50" t="s">
        <v>140</v>
      </c>
      <c r="Q172" s="50" t="s">
        <v>140</v>
      </c>
      <c r="R172" s="25" t="s">
        <v>7</v>
      </c>
      <c r="S172" s="50"/>
      <c r="T172" s="30"/>
      <c r="U172" s="30"/>
      <c r="V172" s="30"/>
      <c r="W172" s="30"/>
      <c r="X172" s="30"/>
      <c r="Y172" s="30"/>
      <c r="Z172" s="30"/>
      <c r="AA172" s="30"/>
    </row>
    <row r="173" spans="1:27" ht="15.75" customHeight="1">
      <c r="A173" s="344"/>
      <c r="B173" s="344"/>
      <c r="C173" s="41">
        <v>5</v>
      </c>
      <c r="D173" s="344"/>
      <c r="E173" s="344"/>
      <c r="F173" s="344"/>
      <c r="G173" s="344"/>
      <c r="H173" s="345"/>
      <c r="I173" s="23" t="s">
        <v>1223</v>
      </c>
      <c r="J173" s="170"/>
      <c r="K173" s="25" t="s">
        <v>294</v>
      </c>
      <c r="L173" s="57"/>
      <c r="M173" s="26"/>
      <c r="N173" s="55"/>
      <c r="O173" s="28" t="s">
        <v>140</v>
      </c>
      <c r="P173" s="50" t="s">
        <v>140</v>
      </c>
      <c r="Q173" s="50" t="s">
        <v>140</v>
      </c>
      <c r="R173" s="25" t="s">
        <v>7</v>
      </c>
      <c r="S173" s="50"/>
      <c r="T173" s="30"/>
      <c r="U173" s="30"/>
      <c r="V173" s="30"/>
      <c r="W173" s="30"/>
      <c r="X173" s="30"/>
      <c r="Y173" s="30"/>
      <c r="Z173" s="30"/>
      <c r="AA173" s="30"/>
    </row>
    <row r="174" spans="1:27" ht="15.75" customHeight="1">
      <c r="A174" s="344"/>
      <c r="B174" s="344"/>
      <c r="C174" s="41">
        <v>6</v>
      </c>
      <c r="D174" s="344"/>
      <c r="E174" s="344"/>
      <c r="F174" s="344"/>
      <c r="G174" s="344"/>
      <c r="H174" s="356" t="s">
        <v>336</v>
      </c>
      <c r="I174" s="23" t="s">
        <v>567</v>
      </c>
      <c r="J174" s="170"/>
      <c r="K174" s="25"/>
      <c r="L174" s="57"/>
      <c r="M174" s="26"/>
      <c r="N174" s="55"/>
      <c r="O174" s="28" t="s">
        <v>140</v>
      </c>
      <c r="P174" s="50" t="s">
        <v>282</v>
      </c>
      <c r="Q174" s="50" t="s">
        <v>282</v>
      </c>
      <c r="R174" s="25" t="s">
        <v>7</v>
      </c>
      <c r="S174" s="50"/>
      <c r="T174" s="30"/>
      <c r="U174" s="30"/>
      <c r="V174" s="30"/>
      <c r="W174" s="30"/>
      <c r="X174" s="30"/>
      <c r="Y174" s="30"/>
      <c r="Z174" s="30"/>
      <c r="AA174" s="30"/>
    </row>
    <row r="175" spans="1:27" ht="15.75" customHeight="1">
      <c r="A175" s="344"/>
      <c r="B175" s="344"/>
      <c r="C175" s="41">
        <v>7</v>
      </c>
      <c r="D175" s="344"/>
      <c r="E175" s="344"/>
      <c r="F175" s="344"/>
      <c r="G175" s="344"/>
      <c r="H175" s="345"/>
      <c r="I175" s="23" t="s">
        <v>1223</v>
      </c>
      <c r="J175" s="170"/>
      <c r="K175" s="25"/>
      <c r="L175" s="57"/>
      <c r="M175" s="26"/>
      <c r="N175" s="55"/>
      <c r="O175" s="28" t="s">
        <v>140</v>
      </c>
      <c r="P175" s="50" t="s">
        <v>282</v>
      </c>
      <c r="Q175" s="50" t="s">
        <v>282</v>
      </c>
      <c r="R175" s="25" t="s">
        <v>7</v>
      </c>
      <c r="S175" s="50"/>
      <c r="T175" s="30"/>
      <c r="U175" s="30"/>
      <c r="V175" s="30"/>
      <c r="W175" s="30"/>
      <c r="X175" s="30"/>
      <c r="Y175" s="30"/>
      <c r="Z175" s="30"/>
      <c r="AA175" s="30"/>
    </row>
    <row r="176" spans="1:27" ht="15.75" customHeight="1">
      <c r="A176" s="344"/>
      <c r="B176" s="344"/>
      <c r="C176" s="41">
        <v>8</v>
      </c>
      <c r="D176" s="344"/>
      <c r="E176" s="344"/>
      <c r="F176" s="344"/>
      <c r="G176" s="344"/>
      <c r="H176" s="359" t="s">
        <v>338</v>
      </c>
      <c r="I176" s="23" t="s">
        <v>570</v>
      </c>
      <c r="J176" s="170"/>
      <c r="K176" s="25" t="s">
        <v>294</v>
      </c>
      <c r="L176" s="57"/>
      <c r="M176" s="26"/>
      <c r="N176" s="55"/>
      <c r="O176" s="28" t="s">
        <v>140</v>
      </c>
      <c r="P176" s="50" t="s">
        <v>140</v>
      </c>
      <c r="Q176" s="50" t="s">
        <v>140</v>
      </c>
      <c r="R176" s="25" t="s">
        <v>7</v>
      </c>
      <c r="S176" s="50"/>
      <c r="T176" s="30"/>
      <c r="U176" s="30"/>
      <c r="V176" s="30"/>
      <c r="W176" s="30"/>
      <c r="X176" s="30"/>
      <c r="Y176" s="30"/>
      <c r="Z176" s="30"/>
      <c r="AA176" s="30"/>
    </row>
    <row r="177" spans="1:27" ht="15.75" customHeight="1">
      <c r="A177" s="344"/>
      <c r="B177" s="344"/>
      <c r="C177" s="41">
        <v>9</v>
      </c>
      <c r="D177" s="344"/>
      <c r="E177" s="345"/>
      <c r="F177" s="345"/>
      <c r="G177" s="345"/>
      <c r="H177" s="345"/>
      <c r="I177" s="23" t="s">
        <v>1223</v>
      </c>
      <c r="J177" s="170"/>
      <c r="K177" s="25" t="s">
        <v>294</v>
      </c>
      <c r="L177" s="57"/>
      <c r="M177" s="26"/>
      <c r="N177" s="55"/>
      <c r="O177" s="28" t="s">
        <v>140</v>
      </c>
      <c r="P177" s="50" t="s">
        <v>140</v>
      </c>
      <c r="Q177" s="50" t="s">
        <v>140</v>
      </c>
      <c r="R177" s="25" t="s">
        <v>7</v>
      </c>
      <c r="S177" s="50"/>
      <c r="T177" s="30"/>
      <c r="U177" s="30"/>
      <c r="V177" s="30"/>
      <c r="W177" s="30"/>
      <c r="X177" s="30"/>
      <c r="Y177" s="30"/>
      <c r="Z177" s="30"/>
      <c r="AA177" s="30"/>
    </row>
    <row r="178" spans="1:27" ht="15.75" customHeight="1">
      <c r="A178" s="344"/>
      <c r="B178" s="344"/>
      <c r="C178" s="41">
        <v>10</v>
      </c>
      <c r="D178" s="344"/>
      <c r="E178" s="359" t="s">
        <v>679</v>
      </c>
      <c r="F178" s="360" t="s">
        <v>326</v>
      </c>
      <c r="G178" s="360" t="s">
        <v>327</v>
      </c>
      <c r="H178" s="23" t="s">
        <v>1224</v>
      </c>
      <c r="I178" s="23" t="s">
        <v>1225</v>
      </c>
      <c r="J178" s="170"/>
      <c r="K178" s="25"/>
      <c r="L178" s="57"/>
      <c r="M178" s="26"/>
      <c r="N178" s="55"/>
      <c r="O178" s="28" t="s">
        <v>140</v>
      </c>
      <c r="P178" s="28"/>
      <c r="Q178" s="50" t="s">
        <v>282</v>
      </c>
      <c r="R178" s="25" t="s">
        <v>7</v>
      </c>
      <c r="S178" s="50"/>
      <c r="T178" s="30"/>
      <c r="U178" s="30"/>
      <c r="V178" s="30"/>
      <c r="W178" s="30"/>
      <c r="X178" s="30"/>
      <c r="Y178" s="30"/>
      <c r="Z178" s="30"/>
      <c r="AA178" s="30"/>
    </row>
    <row r="179" spans="1:27" ht="15.75" customHeight="1">
      <c r="A179" s="344"/>
      <c r="B179" s="344"/>
      <c r="C179" s="41">
        <v>11</v>
      </c>
      <c r="D179" s="344"/>
      <c r="E179" s="345"/>
      <c r="F179" s="345"/>
      <c r="G179" s="345"/>
      <c r="H179" s="23" t="s">
        <v>681</v>
      </c>
      <c r="I179" s="35" t="s">
        <v>682</v>
      </c>
      <c r="J179" s="172"/>
      <c r="K179" s="25"/>
      <c r="L179" s="57"/>
      <c r="M179" s="26"/>
      <c r="N179" s="55"/>
      <c r="O179" s="28" t="s">
        <v>140</v>
      </c>
      <c r="P179" s="28"/>
      <c r="Q179" s="50" t="s">
        <v>282</v>
      </c>
      <c r="R179" s="25" t="s">
        <v>7</v>
      </c>
      <c r="S179" s="50"/>
      <c r="T179" s="30"/>
      <c r="U179" s="30"/>
      <c r="V179" s="30"/>
      <c r="W179" s="30"/>
      <c r="X179" s="30"/>
      <c r="Y179" s="30"/>
      <c r="Z179" s="30"/>
      <c r="AA179" s="30"/>
    </row>
    <row r="180" spans="1:27" ht="15.75" customHeight="1">
      <c r="A180" s="344"/>
      <c r="B180" s="344"/>
      <c r="C180" s="31">
        <v>12</v>
      </c>
      <c r="D180" s="344"/>
      <c r="E180" s="359" t="s">
        <v>385</v>
      </c>
      <c r="F180" s="360" t="s">
        <v>326</v>
      </c>
      <c r="G180" s="360" t="s">
        <v>327</v>
      </c>
      <c r="H180" s="356" t="s">
        <v>386</v>
      </c>
      <c r="I180" s="35" t="s">
        <v>1068</v>
      </c>
      <c r="J180" s="172"/>
      <c r="K180" s="25"/>
      <c r="L180" s="26"/>
      <c r="M180" s="26"/>
      <c r="N180" s="27"/>
      <c r="O180" s="28" t="s">
        <v>140</v>
      </c>
      <c r="P180" s="28"/>
      <c r="Q180" s="50" t="s">
        <v>282</v>
      </c>
      <c r="R180" s="25" t="s">
        <v>7</v>
      </c>
      <c r="S180" s="50"/>
      <c r="T180" s="30"/>
      <c r="U180" s="30"/>
      <c r="V180" s="30"/>
      <c r="W180" s="30"/>
      <c r="X180" s="30"/>
      <c r="Y180" s="30"/>
      <c r="Z180" s="30"/>
      <c r="AA180" s="30"/>
    </row>
    <row r="181" spans="1:27" ht="15.75" customHeight="1">
      <c r="A181" s="344"/>
      <c r="B181" s="344"/>
      <c r="C181" s="31">
        <v>13</v>
      </c>
      <c r="D181" s="344"/>
      <c r="E181" s="344"/>
      <c r="F181" s="344"/>
      <c r="G181" s="344"/>
      <c r="H181" s="344"/>
      <c r="I181" s="35" t="s">
        <v>1069</v>
      </c>
      <c r="J181" s="172"/>
      <c r="K181" s="25"/>
      <c r="L181" s="26"/>
      <c r="M181" s="26"/>
      <c r="N181" s="27"/>
      <c r="O181" s="28" t="s">
        <v>140</v>
      </c>
      <c r="P181" s="28"/>
      <c r="Q181" s="50" t="s">
        <v>282</v>
      </c>
      <c r="R181" s="25" t="s">
        <v>7</v>
      </c>
      <c r="S181" s="50"/>
      <c r="T181" s="30"/>
      <c r="U181" s="30"/>
      <c r="V181" s="30"/>
      <c r="W181" s="30"/>
      <c r="X181" s="30"/>
      <c r="Y181" s="30"/>
      <c r="Z181" s="30"/>
      <c r="AA181" s="30"/>
    </row>
    <row r="182" spans="1:27" ht="15.75" customHeight="1">
      <c r="A182" s="344"/>
      <c r="B182" s="344"/>
      <c r="C182" s="31">
        <v>14</v>
      </c>
      <c r="D182" s="344"/>
      <c r="E182" s="345"/>
      <c r="F182" s="345"/>
      <c r="G182" s="345"/>
      <c r="H182" s="345"/>
      <c r="I182" s="23" t="s">
        <v>389</v>
      </c>
      <c r="J182" s="170"/>
      <c r="K182" s="25"/>
      <c r="L182" s="26"/>
      <c r="M182" s="26"/>
      <c r="N182" s="27"/>
      <c r="O182" s="28" t="s">
        <v>140</v>
      </c>
      <c r="P182" s="28"/>
      <c r="Q182" s="50" t="s">
        <v>282</v>
      </c>
      <c r="R182" s="25" t="s">
        <v>7</v>
      </c>
      <c r="S182" s="50"/>
      <c r="T182" s="30"/>
      <c r="U182" s="30"/>
      <c r="V182" s="30"/>
      <c r="W182" s="30"/>
      <c r="X182" s="30"/>
      <c r="Y182" s="30"/>
      <c r="Z182" s="30"/>
      <c r="AA182" s="30"/>
    </row>
    <row r="183" spans="1:27" ht="15.75" customHeight="1">
      <c r="A183" s="344"/>
      <c r="B183" s="344"/>
      <c r="C183" s="41">
        <v>15</v>
      </c>
      <c r="D183" s="344"/>
      <c r="E183" s="356" t="s">
        <v>583</v>
      </c>
      <c r="F183" s="31" t="s">
        <v>326</v>
      </c>
      <c r="G183" s="31" t="s">
        <v>327</v>
      </c>
      <c r="H183" s="23" t="s">
        <v>1226</v>
      </c>
      <c r="I183" s="23" t="s">
        <v>1227</v>
      </c>
      <c r="J183" s="170"/>
      <c r="K183" s="25" t="s">
        <v>294</v>
      </c>
      <c r="L183" s="57"/>
      <c r="M183" s="26"/>
      <c r="N183" s="55"/>
      <c r="O183" s="28"/>
      <c r="P183" s="28"/>
      <c r="Q183" s="50" t="s">
        <v>140</v>
      </c>
      <c r="R183" s="25" t="s">
        <v>7</v>
      </c>
      <c r="S183" s="50"/>
      <c r="T183" s="30"/>
      <c r="U183" s="30"/>
      <c r="V183" s="30"/>
      <c r="W183" s="30"/>
      <c r="X183" s="30"/>
      <c r="Y183" s="30"/>
      <c r="Z183" s="30"/>
      <c r="AA183" s="30"/>
    </row>
    <row r="184" spans="1:27" ht="15.75" customHeight="1">
      <c r="A184" s="344"/>
      <c r="B184" s="344"/>
      <c r="C184" s="41">
        <v>16</v>
      </c>
      <c r="D184" s="344"/>
      <c r="E184" s="344"/>
      <c r="F184" s="360" t="s">
        <v>326</v>
      </c>
      <c r="G184" s="360" t="s">
        <v>524</v>
      </c>
      <c r="H184" s="23" t="s">
        <v>334</v>
      </c>
      <c r="I184" s="23" t="s">
        <v>1221</v>
      </c>
      <c r="J184" s="170"/>
      <c r="K184" s="25" t="s">
        <v>294</v>
      </c>
      <c r="L184" s="57"/>
      <c r="M184" s="26"/>
      <c r="N184" s="55"/>
      <c r="O184" s="28"/>
      <c r="P184" s="28"/>
      <c r="Q184" s="50" t="s">
        <v>140</v>
      </c>
      <c r="R184" s="25" t="s">
        <v>7</v>
      </c>
      <c r="S184" s="50"/>
      <c r="T184" s="30"/>
      <c r="U184" s="30"/>
      <c r="V184" s="30"/>
      <c r="W184" s="30"/>
      <c r="X184" s="30"/>
      <c r="Y184" s="30"/>
      <c r="Z184" s="30"/>
      <c r="AA184" s="30"/>
    </row>
    <row r="185" spans="1:27" ht="15.75" customHeight="1">
      <c r="A185" s="344"/>
      <c r="B185" s="344"/>
      <c r="C185" s="41">
        <v>17</v>
      </c>
      <c r="D185" s="344"/>
      <c r="E185" s="344"/>
      <c r="F185" s="344"/>
      <c r="G185" s="344"/>
      <c r="H185" s="23" t="s">
        <v>336</v>
      </c>
      <c r="I185" s="23" t="s">
        <v>337</v>
      </c>
      <c r="J185" s="170"/>
      <c r="K185" s="25"/>
      <c r="L185" s="57"/>
      <c r="M185" s="26"/>
      <c r="N185" s="55"/>
      <c r="O185" s="28"/>
      <c r="P185" s="28"/>
      <c r="Q185" s="50" t="s">
        <v>282</v>
      </c>
      <c r="R185" s="25" t="s">
        <v>7</v>
      </c>
      <c r="S185" s="50"/>
      <c r="T185" s="30"/>
      <c r="U185" s="30"/>
      <c r="V185" s="30"/>
      <c r="W185" s="30"/>
      <c r="X185" s="30"/>
      <c r="Y185" s="30"/>
      <c r="Z185" s="30"/>
      <c r="AA185" s="30"/>
    </row>
    <row r="186" spans="1:27" ht="15.75" customHeight="1">
      <c r="A186" s="345"/>
      <c r="B186" s="345"/>
      <c r="C186" s="41">
        <v>18</v>
      </c>
      <c r="D186" s="345"/>
      <c r="E186" s="345"/>
      <c r="F186" s="345"/>
      <c r="G186" s="345"/>
      <c r="H186" s="23" t="s">
        <v>338</v>
      </c>
      <c r="I186" s="23" t="s">
        <v>339</v>
      </c>
      <c r="J186" s="170"/>
      <c r="K186" s="25" t="s">
        <v>294</v>
      </c>
      <c r="L186" s="57"/>
      <c r="M186" s="26"/>
      <c r="N186" s="55"/>
      <c r="O186" s="28"/>
      <c r="P186" s="28"/>
      <c r="Q186" s="50" t="s">
        <v>140</v>
      </c>
      <c r="R186" s="25" t="s">
        <v>7</v>
      </c>
      <c r="S186" s="50"/>
      <c r="T186" s="30"/>
      <c r="U186" s="30"/>
      <c r="V186" s="30"/>
      <c r="W186" s="30"/>
      <c r="X186" s="30"/>
      <c r="Y186" s="30"/>
      <c r="Z186" s="30"/>
      <c r="AA186" s="30"/>
    </row>
    <row r="187" spans="1:27" ht="15.75" customHeight="1">
      <c r="A187" s="356" t="s">
        <v>1228</v>
      </c>
      <c r="B187" s="360" t="s">
        <v>1229</v>
      </c>
      <c r="C187" s="41">
        <v>1</v>
      </c>
      <c r="D187" s="356" t="s">
        <v>1230</v>
      </c>
      <c r="E187" s="356" t="s">
        <v>1051</v>
      </c>
      <c r="F187" s="31" t="s">
        <v>326</v>
      </c>
      <c r="G187" s="31" t="s">
        <v>327</v>
      </c>
      <c r="H187" s="23" t="s">
        <v>1231</v>
      </c>
      <c r="I187" s="23" t="s">
        <v>1221</v>
      </c>
      <c r="J187" s="170"/>
      <c r="K187" s="25" t="s">
        <v>294</v>
      </c>
      <c r="L187" s="57"/>
      <c r="M187" s="26"/>
      <c r="N187" s="55"/>
      <c r="O187" s="28"/>
      <c r="P187" s="28"/>
      <c r="Q187" s="50" t="s">
        <v>140</v>
      </c>
      <c r="R187" s="25" t="s">
        <v>7</v>
      </c>
      <c r="S187" s="50"/>
      <c r="T187" s="30"/>
      <c r="U187" s="30"/>
      <c r="V187" s="30"/>
      <c r="W187" s="30"/>
      <c r="X187" s="30"/>
      <c r="Y187" s="30"/>
      <c r="Z187" s="30"/>
      <c r="AA187" s="30"/>
    </row>
    <row r="188" spans="1:27" ht="15.75" customHeight="1">
      <c r="A188" s="344"/>
      <c r="B188" s="344"/>
      <c r="C188" s="41">
        <v>2</v>
      </c>
      <c r="D188" s="344"/>
      <c r="E188" s="344"/>
      <c r="F188" s="360" t="s">
        <v>326</v>
      </c>
      <c r="G188" s="360" t="s">
        <v>524</v>
      </c>
      <c r="H188" s="23" t="s">
        <v>336</v>
      </c>
      <c r="I188" s="23" t="s">
        <v>1054</v>
      </c>
      <c r="J188" s="170"/>
      <c r="K188" s="25"/>
      <c r="L188" s="57"/>
      <c r="M188" s="26"/>
      <c r="N188" s="55"/>
      <c r="O188" s="28"/>
      <c r="P188" s="28"/>
      <c r="Q188" s="50" t="s">
        <v>282</v>
      </c>
      <c r="R188" s="25" t="s">
        <v>7</v>
      </c>
      <c r="S188" s="50"/>
      <c r="T188" s="30"/>
      <c r="U188" s="30"/>
      <c r="V188" s="30"/>
      <c r="W188" s="30"/>
      <c r="X188" s="30"/>
      <c r="Y188" s="30"/>
      <c r="Z188" s="30"/>
      <c r="AA188" s="30"/>
    </row>
    <row r="189" spans="1:27" ht="15.75" customHeight="1">
      <c r="A189" s="344"/>
      <c r="B189" s="344"/>
      <c r="C189" s="41">
        <v>3</v>
      </c>
      <c r="D189" s="344"/>
      <c r="E189" s="345"/>
      <c r="F189" s="345"/>
      <c r="G189" s="345"/>
      <c r="H189" s="23" t="s">
        <v>338</v>
      </c>
      <c r="I189" s="23" t="s">
        <v>347</v>
      </c>
      <c r="J189" s="170"/>
      <c r="K189" s="25" t="s">
        <v>294</v>
      </c>
      <c r="L189" s="57"/>
      <c r="M189" s="26"/>
      <c r="N189" s="55"/>
      <c r="O189" s="28"/>
      <c r="P189" s="28"/>
      <c r="Q189" s="50" t="s">
        <v>140</v>
      </c>
      <c r="R189" s="25" t="s">
        <v>7</v>
      </c>
      <c r="S189" s="50"/>
      <c r="T189" s="30"/>
      <c r="U189" s="30"/>
      <c r="V189" s="30"/>
      <c r="W189" s="30"/>
      <c r="X189" s="30"/>
      <c r="Y189" s="30"/>
      <c r="Z189" s="30"/>
      <c r="AA189" s="30"/>
    </row>
    <row r="190" spans="1:27" ht="15.75" customHeight="1">
      <c r="A190" s="344"/>
      <c r="B190" s="344"/>
      <c r="C190" s="41">
        <v>4</v>
      </c>
      <c r="D190" s="344"/>
      <c r="E190" s="356" t="s">
        <v>1056</v>
      </c>
      <c r="F190" s="360" t="s">
        <v>326</v>
      </c>
      <c r="G190" s="360" t="s">
        <v>524</v>
      </c>
      <c r="H190" s="356" t="s">
        <v>664</v>
      </c>
      <c r="I190" s="23" t="s">
        <v>1222</v>
      </c>
      <c r="J190" s="170"/>
      <c r="K190" s="25" t="s">
        <v>294</v>
      </c>
      <c r="L190" s="57"/>
      <c r="M190" s="26"/>
      <c r="N190" s="55"/>
      <c r="O190" s="28"/>
      <c r="P190" s="28"/>
      <c r="Q190" s="50" t="s">
        <v>140</v>
      </c>
      <c r="R190" s="25" t="s">
        <v>7</v>
      </c>
      <c r="S190" s="50"/>
      <c r="T190" s="30"/>
      <c r="U190" s="30"/>
      <c r="V190" s="30"/>
      <c r="W190" s="30"/>
      <c r="X190" s="30"/>
      <c r="Y190" s="30"/>
      <c r="Z190" s="30"/>
      <c r="AA190" s="30"/>
    </row>
    <row r="191" spans="1:27" ht="15.75" customHeight="1">
      <c r="A191" s="344"/>
      <c r="B191" s="344"/>
      <c r="C191" s="41">
        <v>5</v>
      </c>
      <c r="D191" s="344"/>
      <c r="E191" s="344"/>
      <c r="F191" s="344"/>
      <c r="G191" s="344"/>
      <c r="H191" s="345"/>
      <c r="I191" s="23" t="s">
        <v>1223</v>
      </c>
      <c r="J191" s="170"/>
      <c r="K191" s="25" t="s">
        <v>294</v>
      </c>
      <c r="L191" s="57"/>
      <c r="M191" s="26"/>
      <c r="N191" s="55"/>
      <c r="O191" s="28"/>
      <c r="P191" s="28"/>
      <c r="Q191" s="50" t="s">
        <v>140</v>
      </c>
      <c r="R191" s="25" t="s">
        <v>7</v>
      </c>
      <c r="S191" s="50"/>
      <c r="T191" s="30"/>
      <c r="U191" s="30"/>
      <c r="V191" s="30"/>
      <c r="W191" s="30"/>
      <c r="X191" s="30"/>
      <c r="Y191" s="30"/>
      <c r="Z191" s="30"/>
      <c r="AA191" s="30"/>
    </row>
    <row r="192" spans="1:27" ht="15.75" customHeight="1">
      <c r="A192" s="344"/>
      <c r="B192" s="344"/>
      <c r="C192" s="41">
        <v>6</v>
      </c>
      <c r="D192" s="344"/>
      <c r="E192" s="344"/>
      <c r="F192" s="344"/>
      <c r="G192" s="344"/>
      <c r="H192" s="356" t="s">
        <v>336</v>
      </c>
      <c r="I192" s="23" t="s">
        <v>567</v>
      </c>
      <c r="J192" s="170"/>
      <c r="K192" s="25"/>
      <c r="L192" s="57"/>
      <c r="M192" s="26"/>
      <c r="N192" s="55"/>
      <c r="O192" s="28"/>
      <c r="P192" s="28"/>
      <c r="Q192" s="50" t="s">
        <v>282</v>
      </c>
      <c r="R192" s="25" t="s">
        <v>7</v>
      </c>
      <c r="S192" s="50"/>
      <c r="T192" s="30"/>
      <c r="U192" s="30"/>
      <c r="V192" s="30"/>
      <c r="W192" s="30"/>
      <c r="X192" s="30"/>
      <c r="Y192" s="30"/>
      <c r="Z192" s="30"/>
      <c r="AA192" s="30"/>
    </row>
    <row r="193" spans="1:27" ht="15.75" customHeight="1">
      <c r="A193" s="344"/>
      <c r="B193" s="344"/>
      <c r="C193" s="41">
        <v>7</v>
      </c>
      <c r="D193" s="344"/>
      <c r="E193" s="344"/>
      <c r="F193" s="344"/>
      <c r="G193" s="344"/>
      <c r="H193" s="345"/>
      <c r="I193" s="23" t="s">
        <v>1223</v>
      </c>
      <c r="J193" s="170"/>
      <c r="K193" s="25"/>
      <c r="L193" s="57"/>
      <c r="M193" s="26"/>
      <c r="N193" s="55"/>
      <c r="O193" s="28"/>
      <c r="P193" s="28"/>
      <c r="Q193" s="50" t="s">
        <v>282</v>
      </c>
      <c r="R193" s="25" t="s">
        <v>7</v>
      </c>
      <c r="S193" s="50"/>
      <c r="T193" s="30"/>
      <c r="U193" s="30"/>
      <c r="V193" s="30"/>
      <c r="W193" s="30"/>
      <c r="X193" s="30"/>
      <c r="Y193" s="30"/>
      <c r="Z193" s="30"/>
      <c r="AA193" s="30"/>
    </row>
    <row r="194" spans="1:27" ht="15.75" customHeight="1">
      <c r="A194" s="344"/>
      <c r="B194" s="344"/>
      <c r="C194" s="41">
        <v>8</v>
      </c>
      <c r="D194" s="344"/>
      <c r="E194" s="344"/>
      <c r="F194" s="344"/>
      <c r="G194" s="344"/>
      <c r="H194" s="356" t="s">
        <v>338</v>
      </c>
      <c r="I194" s="23" t="s">
        <v>570</v>
      </c>
      <c r="J194" s="170"/>
      <c r="K194" s="25" t="s">
        <v>294</v>
      </c>
      <c r="L194" s="57"/>
      <c r="M194" s="26"/>
      <c r="N194" s="55"/>
      <c r="O194" s="28"/>
      <c r="P194" s="28"/>
      <c r="Q194" s="50" t="s">
        <v>140</v>
      </c>
      <c r="R194" s="25" t="s">
        <v>7</v>
      </c>
      <c r="S194" s="50"/>
      <c r="T194" s="30"/>
      <c r="U194" s="30"/>
      <c r="V194" s="30"/>
      <c r="W194" s="30"/>
      <c r="X194" s="30"/>
      <c r="Y194" s="30"/>
      <c r="Z194" s="30"/>
      <c r="AA194" s="30"/>
    </row>
    <row r="195" spans="1:27" ht="15.75" customHeight="1">
      <c r="A195" s="345"/>
      <c r="B195" s="345"/>
      <c r="C195" s="41">
        <v>9</v>
      </c>
      <c r="D195" s="345"/>
      <c r="E195" s="345"/>
      <c r="F195" s="345"/>
      <c r="G195" s="345"/>
      <c r="H195" s="345"/>
      <c r="I195" s="23" t="s">
        <v>1223</v>
      </c>
      <c r="J195" s="170"/>
      <c r="K195" s="25" t="s">
        <v>294</v>
      </c>
      <c r="L195" s="57"/>
      <c r="M195" s="26"/>
      <c r="N195" s="55"/>
      <c r="O195" s="28"/>
      <c r="P195" s="28"/>
      <c r="Q195" s="50" t="s">
        <v>140</v>
      </c>
      <c r="R195" s="25" t="s">
        <v>7</v>
      </c>
      <c r="S195" s="50"/>
      <c r="T195" s="30"/>
      <c r="U195" s="30"/>
      <c r="V195" s="30"/>
      <c r="W195" s="30"/>
      <c r="X195" s="30"/>
      <c r="Y195" s="30"/>
      <c r="Z195" s="30"/>
      <c r="AA195" s="30"/>
    </row>
    <row r="196" spans="1:27" ht="15.75" customHeight="1">
      <c r="A196" s="15" t="s">
        <v>1232</v>
      </c>
      <c r="B196" s="16"/>
      <c r="C196" s="16"/>
      <c r="D196" s="17"/>
      <c r="E196" s="18"/>
      <c r="F196" s="19"/>
      <c r="G196" s="19"/>
      <c r="H196" s="17"/>
      <c r="I196" s="20"/>
      <c r="J196" s="20"/>
      <c r="K196" s="16"/>
      <c r="L196" s="16"/>
      <c r="M196" s="71"/>
      <c r="N196" s="3"/>
      <c r="O196" s="16"/>
      <c r="P196" s="16"/>
      <c r="Q196" s="16"/>
      <c r="R196" s="16"/>
      <c r="S196" s="16"/>
    </row>
    <row r="197" spans="1:27" ht="15.75" customHeight="1">
      <c r="A197" s="364" t="s">
        <v>1233</v>
      </c>
      <c r="B197" s="363" t="s">
        <v>54</v>
      </c>
      <c r="C197" s="74">
        <v>1</v>
      </c>
      <c r="D197" s="364" t="s">
        <v>1234</v>
      </c>
      <c r="E197" s="364" t="s">
        <v>1235</v>
      </c>
      <c r="F197" s="363" t="s">
        <v>326</v>
      </c>
      <c r="G197" s="363" t="s">
        <v>327</v>
      </c>
      <c r="H197" s="80" t="s">
        <v>356</v>
      </c>
      <c r="I197" s="80" t="s">
        <v>1236</v>
      </c>
      <c r="J197" s="84"/>
      <c r="K197" s="25" t="s">
        <v>294</v>
      </c>
      <c r="L197" s="57"/>
      <c r="M197" s="26"/>
      <c r="N197" s="55"/>
      <c r="O197" s="28"/>
      <c r="P197" s="50" t="s">
        <v>140</v>
      </c>
      <c r="Q197" s="50" t="s">
        <v>140</v>
      </c>
      <c r="R197" s="25" t="s">
        <v>298</v>
      </c>
      <c r="S197" s="50"/>
    </row>
    <row r="198" spans="1:27" ht="15.75" customHeight="1">
      <c r="A198" s="344"/>
      <c r="B198" s="344"/>
      <c r="C198" s="74">
        <v>2</v>
      </c>
      <c r="D198" s="344"/>
      <c r="E198" s="344"/>
      <c r="F198" s="344"/>
      <c r="G198" s="344"/>
      <c r="H198" s="47" t="s">
        <v>903</v>
      </c>
      <c r="I198" s="35" t="s">
        <v>1237</v>
      </c>
      <c r="J198" s="172"/>
      <c r="K198" s="25" t="s">
        <v>294</v>
      </c>
      <c r="L198" s="57"/>
      <c r="M198" s="26"/>
      <c r="N198" s="55"/>
      <c r="O198" s="28"/>
      <c r="P198" s="50" t="s">
        <v>140</v>
      </c>
      <c r="Q198" s="50" t="s">
        <v>140</v>
      </c>
      <c r="R198" s="25" t="s">
        <v>298</v>
      </c>
      <c r="S198" s="50"/>
    </row>
    <row r="199" spans="1:27" ht="15.75" customHeight="1">
      <c r="A199" s="344"/>
      <c r="B199" s="344"/>
      <c r="C199" s="74">
        <v>3</v>
      </c>
      <c r="D199" s="344"/>
      <c r="E199" s="344"/>
      <c r="F199" s="344"/>
      <c r="G199" s="344"/>
      <c r="H199" s="80" t="s">
        <v>1238</v>
      </c>
      <c r="I199" s="80" t="s">
        <v>1239</v>
      </c>
      <c r="J199" s="84"/>
      <c r="K199" s="25" t="s">
        <v>294</v>
      </c>
      <c r="L199" s="57"/>
      <c r="M199" s="26"/>
      <c r="N199" s="55"/>
      <c r="O199" s="28"/>
      <c r="P199" s="50" t="s">
        <v>140</v>
      </c>
      <c r="Q199" s="50" t="s">
        <v>140</v>
      </c>
      <c r="R199" s="25" t="s">
        <v>298</v>
      </c>
      <c r="S199" s="50"/>
    </row>
    <row r="200" spans="1:27" ht="15.75" customHeight="1">
      <c r="A200" s="344"/>
      <c r="B200" s="344"/>
      <c r="C200" s="74">
        <v>4</v>
      </c>
      <c r="D200" s="344"/>
      <c r="E200" s="345"/>
      <c r="F200" s="345"/>
      <c r="G200" s="345"/>
      <c r="H200" s="47" t="s">
        <v>1240</v>
      </c>
      <c r="I200" s="63" t="s">
        <v>1241</v>
      </c>
      <c r="J200" s="171"/>
      <c r="K200" s="25" t="s">
        <v>294</v>
      </c>
      <c r="L200" s="57"/>
      <c r="M200" s="26"/>
      <c r="N200" s="55"/>
      <c r="O200" s="28"/>
      <c r="P200" s="50" t="s">
        <v>140</v>
      </c>
      <c r="Q200" s="50" t="s">
        <v>140</v>
      </c>
      <c r="R200" s="25" t="s">
        <v>298</v>
      </c>
      <c r="S200" s="50"/>
    </row>
    <row r="201" spans="1:27" ht="15.75" customHeight="1">
      <c r="A201" s="344"/>
      <c r="B201" s="344"/>
      <c r="C201" s="74">
        <v>5</v>
      </c>
      <c r="D201" s="344"/>
      <c r="E201" s="47" t="s">
        <v>1242</v>
      </c>
      <c r="F201" s="74" t="s">
        <v>326</v>
      </c>
      <c r="G201" s="74" t="s">
        <v>327</v>
      </c>
      <c r="H201" s="47" t="s">
        <v>1243</v>
      </c>
      <c r="I201" s="35" t="s">
        <v>909</v>
      </c>
      <c r="J201" s="172"/>
      <c r="K201" s="25" t="s">
        <v>294</v>
      </c>
      <c r="L201" s="57"/>
      <c r="M201" s="26"/>
      <c r="N201" s="55"/>
      <c r="O201" s="28"/>
      <c r="P201" s="50" t="s">
        <v>140</v>
      </c>
      <c r="Q201" s="50" t="s">
        <v>140</v>
      </c>
      <c r="R201" s="25" t="s">
        <v>298</v>
      </c>
      <c r="S201" s="50"/>
    </row>
    <row r="202" spans="1:27" ht="15.75" customHeight="1">
      <c r="A202" s="344"/>
      <c r="B202" s="345"/>
      <c r="C202" s="74">
        <v>6</v>
      </c>
      <c r="D202" s="345"/>
      <c r="E202" s="47" t="s">
        <v>1244</v>
      </c>
      <c r="F202" s="74" t="s">
        <v>326</v>
      </c>
      <c r="G202" s="74" t="s">
        <v>327</v>
      </c>
      <c r="H202" s="47" t="s">
        <v>1245</v>
      </c>
      <c r="I202" s="35" t="s">
        <v>1246</v>
      </c>
      <c r="J202" s="172"/>
      <c r="K202" s="25" t="s">
        <v>294</v>
      </c>
      <c r="L202" s="57"/>
      <c r="M202" s="26"/>
      <c r="N202" s="55"/>
      <c r="O202" s="28"/>
      <c r="P202" s="50" t="s">
        <v>140</v>
      </c>
      <c r="Q202" s="50" t="s">
        <v>140</v>
      </c>
      <c r="R202" s="25" t="s">
        <v>298</v>
      </c>
      <c r="S202" s="50"/>
    </row>
    <row r="203" spans="1:27" ht="15.75" customHeight="1">
      <c r="A203" s="344"/>
      <c r="B203" s="363" t="s">
        <v>55</v>
      </c>
      <c r="C203" s="74">
        <v>1</v>
      </c>
      <c r="D203" s="364" t="s">
        <v>1247</v>
      </c>
      <c r="E203" s="364" t="s">
        <v>1248</v>
      </c>
      <c r="F203" s="363"/>
      <c r="G203" s="363" t="s">
        <v>524</v>
      </c>
      <c r="H203" s="47" t="s">
        <v>1249</v>
      </c>
      <c r="I203" s="47" t="s">
        <v>1250</v>
      </c>
      <c r="J203" s="168"/>
      <c r="K203" s="25"/>
      <c r="L203" s="57"/>
      <c r="M203" s="26"/>
      <c r="N203" s="55"/>
      <c r="O203" s="28"/>
      <c r="P203" s="50" t="s">
        <v>282</v>
      </c>
      <c r="Q203" s="50" t="s">
        <v>282</v>
      </c>
      <c r="R203" s="25" t="s">
        <v>298</v>
      </c>
      <c r="S203" s="50"/>
    </row>
    <row r="204" spans="1:27" ht="15.75" customHeight="1">
      <c r="A204" s="344"/>
      <c r="B204" s="344"/>
      <c r="C204" s="74">
        <v>2</v>
      </c>
      <c r="D204" s="344"/>
      <c r="E204" s="344"/>
      <c r="F204" s="344"/>
      <c r="G204" s="344"/>
      <c r="H204" s="47" t="s">
        <v>336</v>
      </c>
      <c r="I204" s="47" t="s">
        <v>337</v>
      </c>
      <c r="J204" s="168"/>
      <c r="K204" s="25"/>
      <c r="L204" s="57"/>
      <c r="M204" s="26"/>
      <c r="N204" s="55"/>
      <c r="O204" s="28"/>
      <c r="P204" s="50" t="s">
        <v>282</v>
      </c>
      <c r="Q204" s="50" t="s">
        <v>282</v>
      </c>
      <c r="R204" s="25" t="s">
        <v>298</v>
      </c>
      <c r="S204" s="50"/>
    </row>
    <row r="205" spans="1:27" ht="15.75" customHeight="1">
      <c r="A205" s="344"/>
      <c r="B205" s="344"/>
      <c r="C205" s="74">
        <v>3</v>
      </c>
      <c r="D205" s="344"/>
      <c r="E205" s="345"/>
      <c r="F205" s="345"/>
      <c r="G205" s="345"/>
      <c r="H205" s="47" t="s">
        <v>338</v>
      </c>
      <c r="I205" s="47" t="s">
        <v>339</v>
      </c>
      <c r="J205" s="168"/>
      <c r="K205" s="25" t="s">
        <v>294</v>
      </c>
      <c r="L205" s="57"/>
      <c r="M205" s="26"/>
      <c r="N205" s="55"/>
      <c r="O205" s="28"/>
      <c r="P205" s="50" t="s">
        <v>140</v>
      </c>
      <c r="Q205" s="50" t="s">
        <v>140</v>
      </c>
      <c r="R205" s="25" t="s">
        <v>298</v>
      </c>
      <c r="S205" s="50"/>
    </row>
    <row r="206" spans="1:27" ht="15.75" customHeight="1">
      <c r="A206" s="344"/>
      <c r="B206" s="344"/>
      <c r="C206" s="74">
        <v>4</v>
      </c>
      <c r="D206" s="344"/>
      <c r="E206" s="364" t="s">
        <v>1251</v>
      </c>
      <c r="F206" s="363" t="s">
        <v>326</v>
      </c>
      <c r="G206" s="363" t="s">
        <v>524</v>
      </c>
      <c r="H206" s="47" t="s">
        <v>1252</v>
      </c>
      <c r="I206" s="47" t="s">
        <v>1253</v>
      </c>
      <c r="J206" s="168"/>
      <c r="K206" s="25" t="s">
        <v>294</v>
      </c>
      <c r="L206" s="57"/>
      <c r="M206" s="26"/>
      <c r="N206" s="55"/>
      <c r="O206" s="28"/>
      <c r="P206" s="50" t="s">
        <v>140</v>
      </c>
      <c r="Q206" s="50" t="s">
        <v>140</v>
      </c>
      <c r="R206" s="25" t="s">
        <v>298</v>
      </c>
      <c r="S206" s="50"/>
    </row>
    <row r="207" spans="1:27" ht="15.75" customHeight="1">
      <c r="A207" s="344"/>
      <c r="B207" s="344"/>
      <c r="C207" s="74">
        <v>5</v>
      </c>
      <c r="D207" s="344"/>
      <c r="E207" s="344"/>
      <c r="F207" s="344"/>
      <c r="G207" s="344"/>
      <c r="H207" s="47" t="s">
        <v>1249</v>
      </c>
      <c r="I207" s="47" t="s">
        <v>1254</v>
      </c>
      <c r="J207" s="168"/>
      <c r="K207" s="25"/>
      <c r="L207" s="57"/>
      <c r="M207" s="26"/>
      <c r="N207" s="55"/>
      <c r="O207" s="28"/>
      <c r="P207" s="50" t="s">
        <v>282</v>
      </c>
      <c r="Q207" s="50" t="s">
        <v>282</v>
      </c>
      <c r="R207" s="25" t="s">
        <v>298</v>
      </c>
      <c r="S207" s="50"/>
    </row>
    <row r="208" spans="1:27" ht="65.25" customHeight="1">
      <c r="A208" s="344"/>
      <c r="B208" s="344"/>
      <c r="C208" s="74">
        <v>6</v>
      </c>
      <c r="D208" s="344"/>
      <c r="E208" s="344"/>
      <c r="F208" s="344"/>
      <c r="G208" s="344"/>
      <c r="H208" s="47" t="s">
        <v>1255</v>
      </c>
      <c r="I208" s="47" t="s">
        <v>1256</v>
      </c>
      <c r="J208" s="168"/>
      <c r="K208" s="25"/>
      <c r="L208" s="57"/>
      <c r="M208" s="26"/>
      <c r="N208" s="55"/>
      <c r="O208" s="28"/>
      <c r="P208" s="50" t="s">
        <v>282</v>
      </c>
      <c r="Q208" s="50" t="s">
        <v>282</v>
      </c>
      <c r="R208" s="25" t="s">
        <v>298</v>
      </c>
      <c r="S208" s="50"/>
      <c r="T208" s="5"/>
      <c r="U208" s="5"/>
      <c r="V208" s="5"/>
      <c r="W208" s="5"/>
      <c r="X208" s="5"/>
      <c r="Y208" s="5"/>
      <c r="Z208" s="5"/>
      <c r="AA208" s="5"/>
    </row>
    <row r="209" spans="1:19" ht="15.75" customHeight="1">
      <c r="A209" s="344"/>
      <c r="B209" s="344"/>
      <c r="C209" s="74">
        <v>7</v>
      </c>
      <c r="D209" s="344"/>
      <c r="E209" s="344"/>
      <c r="F209" s="344"/>
      <c r="G209" s="344"/>
      <c r="H209" s="47" t="s">
        <v>336</v>
      </c>
      <c r="I209" s="47" t="s">
        <v>1257</v>
      </c>
      <c r="J209" s="168"/>
      <c r="K209" s="25"/>
      <c r="L209" s="57"/>
      <c r="M209" s="26"/>
      <c r="N209" s="55"/>
      <c r="O209" s="28"/>
      <c r="P209" s="50" t="s">
        <v>282</v>
      </c>
      <c r="Q209" s="50" t="s">
        <v>282</v>
      </c>
      <c r="R209" s="25" t="s">
        <v>298</v>
      </c>
      <c r="S209" s="50"/>
    </row>
    <row r="210" spans="1:19" ht="15.75" customHeight="1">
      <c r="A210" s="344"/>
      <c r="B210" s="344"/>
      <c r="C210" s="74">
        <v>8</v>
      </c>
      <c r="D210" s="344"/>
      <c r="E210" s="344"/>
      <c r="F210" s="344"/>
      <c r="G210" s="344"/>
      <c r="H210" s="47" t="s">
        <v>338</v>
      </c>
      <c r="I210" s="35" t="s">
        <v>347</v>
      </c>
      <c r="J210" s="172"/>
      <c r="K210" s="25" t="s">
        <v>294</v>
      </c>
      <c r="L210" s="57"/>
      <c r="M210" s="26"/>
      <c r="N210" s="55"/>
      <c r="O210" s="28"/>
      <c r="P210" s="50" t="s">
        <v>140</v>
      </c>
      <c r="Q210" s="50" t="s">
        <v>140</v>
      </c>
      <c r="R210" s="25" t="s">
        <v>298</v>
      </c>
      <c r="S210" s="50"/>
    </row>
    <row r="211" spans="1:19" ht="15.75" customHeight="1">
      <c r="A211" s="344"/>
      <c r="B211" s="344"/>
      <c r="C211" s="74">
        <v>9</v>
      </c>
      <c r="D211" s="344"/>
      <c r="E211" s="344"/>
      <c r="F211" s="345"/>
      <c r="G211" s="345"/>
      <c r="H211" s="47" t="s">
        <v>1258</v>
      </c>
      <c r="I211" s="47" t="s">
        <v>1259</v>
      </c>
      <c r="J211" s="168"/>
      <c r="K211" s="25" t="s">
        <v>294</v>
      </c>
      <c r="L211" s="57"/>
      <c r="M211" s="26"/>
      <c r="N211" s="55"/>
      <c r="O211" s="28"/>
      <c r="P211" s="50" t="s">
        <v>140</v>
      </c>
      <c r="Q211" s="50" t="s">
        <v>140</v>
      </c>
      <c r="R211" s="25" t="s">
        <v>298</v>
      </c>
      <c r="S211" s="50"/>
    </row>
    <row r="212" spans="1:19" ht="15.75" customHeight="1">
      <c r="A212" s="344"/>
      <c r="B212" s="344"/>
      <c r="C212" s="74">
        <v>10</v>
      </c>
      <c r="D212" s="344"/>
      <c r="E212" s="345"/>
      <c r="F212" s="74" t="s">
        <v>326</v>
      </c>
      <c r="G212" s="74" t="s">
        <v>327</v>
      </c>
      <c r="H212" s="47" t="s">
        <v>1260</v>
      </c>
      <c r="I212" s="47" t="s">
        <v>1261</v>
      </c>
      <c r="J212" s="168"/>
      <c r="K212" s="25"/>
      <c r="L212" s="57"/>
      <c r="M212" s="26"/>
      <c r="N212" s="55"/>
      <c r="O212" s="28"/>
      <c r="P212" s="50" t="s">
        <v>282</v>
      </c>
      <c r="Q212" s="50" t="s">
        <v>282</v>
      </c>
      <c r="R212" s="25" t="s">
        <v>298</v>
      </c>
      <c r="S212" s="50"/>
    </row>
    <row r="213" spans="1:19" ht="15.75" customHeight="1">
      <c r="A213" s="344"/>
      <c r="B213" s="344"/>
      <c r="C213" s="74">
        <v>11</v>
      </c>
      <c r="D213" s="344"/>
      <c r="E213" s="364" t="s">
        <v>1262</v>
      </c>
      <c r="F213" s="74" t="s">
        <v>326</v>
      </c>
      <c r="G213" s="74" t="s">
        <v>524</v>
      </c>
      <c r="H213" s="47" t="s">
        <v>1263</v>
      </c>
      <c r="I213" s="47" t="s">
        <v>1254</v>
      </c>
      <c r="J213" s="168"/>
      <c r="K213" s="25"/>
      <c r="L213" s="57"/>
      <c r="M213" s="26"/>
      <c r="N213" s="55"/>
      <c r="O213" s="28"/>
      <c r="P213" s="50" t="s">
        <v>282</v>
      </c>
      <c r="Q213" s="50" t="s">
        <v>282</v>
      </c>
      <c r="R213" s="25" t="s">
        <v>298</v>
      </c>
      <c r="S213" s="50"/>
    </row>
    <row r="214" spans="1:19" ht="15.75" customHeight="1">
      <c r="A214" s="344"/>
      <c r="B214" s="344"/>
      <c r="C214" s="74">
        <v>12</v>
      </c>
      <c r="D214" s="344"/>
      <c r="E214" s="344"/>
      <c r="F214" s="74" t="s">
        <v>361</v>
      </c>
      <c r="G214" s="74" t="s">
        <v>1264</v>
      </c>
      <c r="H214" s="47" t="s">
        <v>1265</v>
      </c>
      <c r="I214" s="47" t="s">
        <v>1266</v>
      </c>
      <c r="J214" s="168"/>
      <c r="K214" s="25"/>
      <c r="L214" s="57"/>
      <c r="M214" s="26"/>
      <c r="N214" s="55"/>
      <c r="O214" s="28"/>
      <c r="P214" s="50" t="s">
        <v>282</v>
      </c>
      <c r="Q214" s="50" t="s">
        <v>282</v>
      </c>
      <c r="R214" s="25" t="s">
        <v>298</v>
      </c>
      <c r="S214" s="50"/>
    </row>
    <row r="215" spans="1:19" ht="15.75" customHeight="1">
      <c r="A215" s="344"/>
      <c r="B215" s="344"/>
      <c r="C215" s="74">
        <v>13</v>
      </c>
      <c r="D215" s="344"/>
      <c r="E215" s="344"/>
      <c r="F215" s="74" t="s">
        <v>361</v>
      </c>
      <c r="G215" s="74" t="s">
        <v>327</v>
      </c>
      <c r="H215" s="47" t="s">
        <v>1267</v>
      </c>
      <c r="I215" s="47" t="s">
        <v>1268</v>
      </c>
      <c r="J215" s="168"/>
      <c r="K215" s="25"/>
      <c r="L215" s="57"/>
      <c r="M215" s="26"/>
      <c r="N215" s="55"/>
      <c r="O215" s="28"/>
      <c r="P215" s="50" t="s">
        <v>282</v>
      </c>
      <c r="Q215" s="50" t="s">
        <v>282</v>
      </c>
      <c r="R215" s="25" t="s">
        <v>298</v>
      </c>
      <c r="S215" s="50"/>
    </row>
    <row r="216" spans="1:19" ht="15.75" customHeight="1">
      <c r="A216" s="344"/>
      <c r="B216" s="344"/>
      <c r="C216" s="74">
        <v>14</v>
      </c>
      <c r="D216" s="344"/>
      <c r="E216" s="345"/>
      <c r="F216" s="74" t="s">
        <v>326</v>
      </c>
      <c r="G216" s="74" t="s">
        <v>524</v>
      </c>
      <c r="H216" s="47" t="s">
        <v>1269</v>
      </c>
      <c r="I216" s="47" t="s">
        <v>1270</v>
      </c>
      <c r="J216" s="168"/>
      <c r="K216" s="25"/>
      <c r="L216" s="57"/>
      <c r="M216" s="26"/>
      <c r="N216" s="55"/>
      <c r="O216" s="28"/>
      <c r="P216" s="50" t="s">
        <v>282</v>
      </c>
      <c r="Q216" s="50" t="s">
        <v>282</v>
      </c>
      <c r="R216" s="25" t="s">
        <v>298</v>
      </c>
      <c r="S216" s="50"/>
    </row>
    <row r="217" spans="1:19" ht="15.75" customHeight="1">
      <c r="A217" s="344"/>
      <c r="B217" s="344"/>
      <c r="C217" s="74">
        <v>15</v>
      </c>
      <c r="D217" s="344"/>
      <c r="E217" s="364" t="s">
        <v>1271</v>
      </c>
      <c r="F217" s="74" t="s">
        <v>326</v>
      </c>
      <c r="G217" s="74" t="s">
        <v>524</v>
      </c>
      <c r="H217" s="47" t="s">
        <v>1272</v>
      </c>
      <c r="I217" s="47" t="s">
        <v>1254</v>
      </c>
      <c r="J217" s="168"/>
      <c r="K217" s="25"/>
      <c r="L217" s="57"/>
      <c r="M217" s="26"/>
      <c r="N217" s="55"/>
      <c r="O217" s="28"/>
      <c r="P217" s="50" t="s">
        <v>282</v>
      </c>
      <c r="Q217" s="50" t="s">
        <v>282</v>
      </c>
      <c r="R217" s="25" t="s">
        <v>298</v>
      </c>
      <c r="S217" s="50"/>
    </row>
    <row r="218" spans="1:19" ht="15.75" customHeight="1">
      <c r="A218" s="344"/>
      <c r="B218" s="344"/>
      <c r="C218" s="74">
        <v>16</v>
      </c>
      <c r="D218" s="344"/>
      <c r="E218" s="345"/>
      <c r="F218" s="74" t="s">
        <v>326</v>
      </c>
      <c r="G218" s="74" t="s">
        <v>524</v>
      </c>
      <c r="H218" s="47" t="s">
        <v>1273</v>
      </c>
      <c r="I218" s="47" t="s">
        <v>1274</v>
      </c>
      <c r="J218" s="168"/>
      <c r="K218" s="25"/>
      <c r="L218" s="57"/>
      <c r="M218" s="26"/>
      <c r="N218" s="55"/>
      <c r="O218" s="28"/>
      <c r="P218" s="50" t="s">
        <v>282</v>
      </c>
      <c r="Q218" s="50" t="s">
        <v>282</v>
      </c>
      <c r="R218" s="25" t="s">
        <v>298</v>
      </c>
      <c r="S218" s="50"/>
    </row>
    <row r="219" spans="1:19" ht="15.75" customHeight="1">
      <c r="A219" s="344"/>
      <c r="B219" s="344"/>
      <c r="C219" s="74">
        <v>17</v>
      </c>
      <c r="D219" s="344"/>
      <c r="E219" s="81" t="s">
        <v>1275</v>
      </c>
      <c r="F219" s="74" t="s">
        <v>361</v>
      </c>
      <c r="G219" s="74" t="s">
        <v>524</v>
      </c>
      <c r="H219" s="44" t="s">
        <v>1276</v>
      </c>
      <c r="I219" s="47" t="s">
        <v>1277</v>
      </c>
      <c r="J219" s="168"/>
      <c r="K219" s="25"/>
      <c r="L219" s="57"/>
      <c r="M219" s="26"/>
      <c r="N219" s="55"/>
      <c r="O219" s="28"/>
      <c r="P219" s="50" t="s">
        <v>282</v>
      </c>
      <c r="Q219" s="50" t="s">
        <v>282</v>
      </c>
      <c r="R219" s="25" t="s">
        <v>298</v>
      </c>
      <c r="S219" s="50"/>
    </row>
    <row r="220" spans="1:19" ht="15.75" customHeight="1">
      <c r="A220" s="344"/>
      <c r="B220" s="344"/>
      <c r="C220" s="74">
        <v>18</v>
      </c>
      <c r="D220" s="344"/>
      <c r="E220" s="364" t="s">
        <v>385</v>
      </c>
      <c r="F220" s="363" t="s">
        <v>361</v>
      </c>
      <c r="G220" s="363" t="s">
        <v>327</v>
      </c>
      <c r="H220" s="364" t="s">
        <v>386</v>
      </c>
      <c r="I220" s="47" t="s">
        <v>1278</v>
      </c>
      <c r="J220" s="168"/>
      <c r="K220" s="25"/>
      <c r="L220" s="57"/>
      <c r="M220" s="26"/>
      <c r="N220" s="55"/>
      <c r="O220" s="28"/>
      <c r="P220" s="50" t="s">
        <v>282</v>
      </c>
      <c r="Q220" s="50" t="s">
        <v>282</v>
      </c>
      <c r="R220" s="25" t="s">
        <v>298</v>
      </c>
      <c r="S220" s="50"/>
    </row>
    <row r="221" spans="1:19" ht="15.75" customHeight="1">
      <c r="A221" s="344"/>
      <c r="B221" s="344"/>
      <c r="C221" s="74">
        <v>19</v>
      </c>
      <c r="D221" s="344"/>
      <c r="E221" s="344"/>
      <c r="F221" s="344"/>
      <c r="G221" s="344"/>
      <c r="H221" s="344"/>
      <c r="I221" s="47" t="s">
        <v>1279</v>
      </c>
      <c r="J221" s="168"/>
      <c r="K221" s="25"/>
      <c r="L221" s="57"/>
      <c r="M221" s="26"/>
      <c r="N221" s="55"/>
      <c r="O221" s="28"/>
      <c r="P221" s="50" t="s">
        <v>282</v>
      </c>
      <c r="Q221" s="50" t="s">
        <v>282</v>
      </c>
      <c r="R221" s="25" t="s">
        <v>298</v>
      </c>
      <c r="S221" s="50"/>
    </row>
    <row r="222" spans="1:19" ht="15.75" customHeight="1">
      <c r="A222" s="345"/>
      <c r="B222" s="345"/>
      <c r="C222" s="74">
        <v>20</v>
      </c>
      <c r="D222" s="345"/>
      <c r="E222" s="345"/>
      <c r="F222" s="345"/>
      <c r="G222" s="345"/>
      <c r="H222" s="345"/>
      <c r="I222" s="47" t="s">
        <v>389</v>
      </c>
      <c r="J222" s="168"/>
      <c r="K222" s="25"/>
      <c r="L222" s="57"/>
      <c r="M222" s="26"/>
      <c r="N222" s="55"/>
      <c r="O222" s="28"/>
      <c r="P222" s="50" t="s">
        <v>282</v>
      </c>
      <c r="Q222" s="50" t="s">
        <v>282</v>
      </c>
      <c r="R222" s="25" t="s">
        <v>298</v>
      </c>
      <c r="S222" s="50"/>
    </row>
    <row r="223" spans="1:19" ht="15.75" customHeight="1">
      <c r="A223" s="364" t="s">
        <v>1280</v>
      </c>
      <c r="B223" s="363" t="s">
        <v>56</v>
      </c>
      <c r="C223" s="74">
        <v>1</v>
      </c>
      <c r="D223" s="364" t="s">
        <v>1281</v>
      </c>
      <c r="E223" s="364" t="s">
        <v>1282</v>
      </c>
      <c r="F223" s="74" t="s">
        <v>326</v>
      </c>
      <c r="G223" s="74" t="s">
        <v>327</v>
      </c>
      <c r="H223" s="80" t="s">
        <v>1283</v>
      </c>
      <c r="I223" s="80" t="s">
        <v>1284</v>
      </c>
      <c r="J223" s="84"/>
      <c r="K223" s="25" t="s">
        <v>294</v>
      </c>
      <c r="L223" s="57"/>
      <c r="M223" s="26"/>
      <c r="N223" s="55"/>
      <c r="O223" s="28"/>
      <c r="P223" s="28"/>
      <c r="Q223" s="50" t="s">
        <v>140</v>
      </c>
      <c r="R223" s="25" t="s">
        <v>298</v>
      </c>
      <c r="S223" s="50"/>
    </row>
    <row r="224" spans="1:19" ht="15.75" customHeight="1">
      <c r="A224" s="344"/>
      <c r="B224" s="344"/>
      <c r="C224" s="74">
        <v>2</v>
      </c>
      <c r="D224" s="344"/>
      <c r="E224" s="344"/>
      <c r="F224" s="74" t="s">
        <v>326</v>
      </c>
      <c r="G224" s="74" t="s">
        <v>327</v>
      </c>
      <c r="H224" s="80" t="s">
        <v>1285</v>
      </c>
      <c r="I224" s="80" t="s">
        <v>1286</v>
      </c>
      <c r="J224" s="84"/>
      <c r="K224" s="25"/>
      <c r="L224" s="57"/>
      <c r="M224" s="26"/>
      <c r="N224" s="55"/>
      <c r="O224" s="28"/>
      <c r="P224" s="28"/>
      <c r="Q224" s="50" t="s">
        <v>282</v>
      </c>
      <c r="R224" s="25" t="s">
        <v>298</v>
      </c>
      <c r="S224" s="50"/>
    </row>
    <row r="225" spans="1:19" ht="15.75" customHeight="1">
      <c r="A225" s="344"/>
      <c r="B225" s="345"/>
      <c r="C225" s="74">
        <v>3</v>
      </c>
      <c r="D225" s="344"/>
      <c r="E225" s="345"/>
      <c r="F225" s="74" t="s">
        <v>326</v>
      </c>
      <c r="G225" s="74" t="s">
        <v>327</v>
      </c>
      <c r="H225" s="80" t="s">
        <v>1287</v>
      </c>
      <c r="I225" s="80" t="s">
        <v>1288</v>
      </c>
      <c r="J225" s="84"/>
      <c r="K225" s="25" t="s">
        <v>294</v>
      </c>
      <c r="L225" s="57"/>
      <c r="M225" s="26"/>
      <c r="N225" s="55"/>
      <c r="O225" s="28"/>
      <c r="P225" s="28"/>
      <c r="Q225" s="50" t="s">
        <v>140</v>
      </c>
      <c r="R225" s="25" t="s">
        <v>298</v>
      </c>
      <c r="S225" s="50"/>
    </row>
    <row r="226" spans="1:19" ht="15.75" customHeight="1">
      <c r="A226" s="344"/>
      <c r="B226" s="363" t="s">
        <v>57</v>
      </c>
      <c r="C226" s="74">
        <v>1</v>
      </c>
      <c r="D226" s="344"/>
      <c r="E226" s="364" t="s">
        <v>1289</v>
      </c>
      <c r="F226" s="74" t="s">
        <v>326</v>
      </c>
      <c r="G226" s="74" t="s">
        <v>327</v>
      </c>
      <c r="H226" s="80" t="s">
        <v>1290</v>
      </c>
      <c r="I226" s="80" t="s">
        <v>1291</v>
      </c>
      <c r="J226" s="84"/>
      <c r="K226" s="25"/>
      <c r="L226" s="57"/>
      <c r="M226" s="26"/>
      <c r="N226" s="55"/>
      <c r="O226" s="28"/>
      <c r="P226" s="28"/>
      <c r="Q226" s="50" t="s">
        <v>282</v>
      </c>
      <c r="R226" s="25" t="s">
        <v>298</v>
      </c>
      <c r="S226" s="50"/>
    </row>
    <row r="227" spans="1:19" ht="15.75" customHeight="1">
      <c r="A227" s="344"/>
      <c r="B227" s="344"/>
      <c r="C227" s="74">
        <v>2</v>
      </c>
      <c r="D227" s="344"/>
      <c r="E227" s="344"/>
      <c r="F227" s="74" t="s">
        <v>326</v>
      </c>
      <c r="G227" s="74" t="s">
        <v>327</v>
      </c>
      <c r="H227" s="80" t="s">
        <v>1292</v>
      </c>
      <c r="I227" s="80" t="s">
        <v>1293</v>
      </c>
      <c r="J227" s="84"/>
      <c r="K227" s="25" t="s">
        <v>294</v>
      </c>
      <c r="L227" s="57"/>
      <c r="M227" s="26"/>
      <c r="N227" s="55"/>
      <c r="O227" s="28"/>
      <c r="P227" s="28"/>
      <c r="Q227" s="50" t="s">
        <v>140</v>
      </c>
      <c r="R227" s="25" t="s">
        <v>298</v>
      </c>
      <c r="S227" s="50"/>
    </row>
    <row r="228" spans="1:19" ht="15.75" customHeight="1">
      <c r="A228" s="344"/>
      <c r="B228" s="344"/>
      <c r="C228" s="74">
        <v>3</v>
      </c>
      <c r="D228" s="344"/>
      <c r="E228" s="344"/>
      <c r="F228" s="74" t="s">
        <v>326</v>
      </c>
      <c r="G228" s="74" t="s">
        <v>327</v>
      </c>
      <c r="H228" s="80" t="s">
        <v>1294</v>
      </c>
      <c r="I228" s="80" t="s">
        <v>1295</v>
      </c>
      <c r="J228" s="84"/>
      <c r="K228" s="25"/>
      <c r="L228" s="57"/>
      <c r="M228" s="26"/>
      <c r="N228" s="55"/>
      <c r="O228" s="28"/>
      <c r="P228" s="28"/>
      <c r="Q228" s="50" t="s">
        <v>282</v>
      </c>
      <c r="R228" s="25" t="s">
        <v>298</v>
      </c>
      <c r="S228" s="50"/>
    </row>
    <row r="229" spans="1:19" ht="15.75" customHeight="1">
      <c r="A229" s="344"/>
      <c r="B229" s="344"/>
      <c r="C229" s="74">
        <v>4</v>
      </c>
      <c r="D229" s="344"/>
      <c r="E229" s="344"/>
      <c r="F229" s="74" t="s">
        <v>326</v>
      </c>
      <c r="G229" s="74" t="s">
        <v>327</v>
      </c>
      <c r="H229" s="80" t="s">
        <v>1292</v>
      </c>
      <c r="I229" s="80" t="s">
        <v>1293</v>
      </c>
      <c r="J229" s="84"/>
      <c r="K229" s="25" t="s">
        <v>294</v>
      </c>
      <c r="L229" s="57"/>
      <c r="M229" s="26"/>
      <c r="N229" s="55"/>
      <c r="O229" s="28"/>
      <c r="P229" s="28"/>
      <c r="Q229" s="50" t="s">
        <v>140</v>
      </c>
      <c r="R229" s="25" t="s">
        <v>298</v>
      </c>
      <c r="S229" s="50"/>
    </row>
    <row r="230" spans="1:19" ht="15.75" customHeight="1">
      <c r="A230" s="344"/>
      <c r="B230" s="344"/>
      <c r="C230" s="74">
        <v>5</v>
      </c>
      <c r="D230" s="344"/>
      <c r="E230" s="344"/>
      <c r="F230" s="74" t="s">
        <v>326</v>
      </c>
      <c r="G230" s="74" t="s">
        <v>327</v>
      </c>
      <c r="H230" s="80" t="s">
        <v>1296</v>
      </c>
      <c r="I230" s="80" t="s">
        <v>1297</v>
      </c>
      <c r="J230" s="84"/>
      <c r="K230" s="25"/>
      <c r="L230" s="57"/>
      <c r="M230" s="26"/>
      <c r="N230" s="55"/>
      <c r="O230" s="28"/>
      <c r="P230" s="28"/>
      <c r="Q230" s="50" t="s">
        <v>282</v>
      </c>
      <c r="R230" s="25" t="s">
        <v>298</v>
      </c>
      <c r="S230" s="50"/>
    </row>
    <row r="231" spans="1:19" ht="15.75" customHeight="1">
      <c r="A231" s="344"/>
      <c r="B231" s="344"/>
      <c r="C231" s="74">
        <v>6</v>
      </c>
      <c r="D231" s="344"/>
      <c r="E231" s="344"/>
      <c r="F231" s="74" t="s">
        <v>326</v>
      </c>
      <c r="G231" s="74" t="s">
        <v>327</v>
      </c>
      <c r="H231" s="80" t="s">
        <v>1292</v>
      </c>
      <c r="I231" s="80" t="s">
        <v>1298</v>
      </c>
      <c r="J231" s="84"/>
      <c r="K231" s="25" t="s">
        <v>294</v>
      </c>
      <c r="L231" s="57"/>
      <c r="M231" s="26"/>
      <c r="N231" s="55"/>
      <c r="O231" s="28"/>
      <c r="P231" s="28"/>
      <c r="Q231" s="50" t="s">
        <v>140</v>
      </c>
      <c r="R231" s="25" t="s">
        <v>298</v>
      </c>
      <c r="S231" s="50"/>
    </row>
    <row r="232" spans="1:19" ht="15.75" customHeight="1">
      <c r="A232" s="344"/>
      <c r="B232" s="344"/>
      <c r="C232" s="74">
        <v>7</v>
      </c>
      <c r="D232" s="344"/>
      <c r="E232" s="344"/>
      <c r="F232" s="74" t="s">
        <v>326</v>
      </c>
      <c r="G232" s="74" t="s">
        <v>327</v>
      </c>
      <c r="H232" s="80" t="s">
        <v>1299</v>
      </c>
      <c r="I232" s="80" t="s">
        <v>1300</v>
      </c>
      <c r="J232" s="84"/>
      <c r="K232" s="25"/>
      <c r="L232" s="57"/>
      <c r="M232" s="26"/>
      <c r="N232" s="55"/>
      <c r="O232" s="28"/>
      <c r="P232" s="28"/>
      <c r="Q232" s="50" t="s">
        <v>282</v>
      </c>
      <c r="R232" s="25" t="s">
        <v>298</v>
      </c>
      <c r="S232" s="50"/>
    </row>
    <row r="233" spans="1:19" ht="15.75" customHeight="1">
      <c r="A233" s="344"/>
      <c r="B233" s="344"/>
      <c r="C233" s="74">
        <v>8</v>
      </c>
      <c r="D233" s="344"/>
      <c r="E233" s="344"/>
      <c r="F233" s="74" t="s">
        <v>326</v>
      </c>
      <c r="G233" s="74" t="s">
        <v>327</v>
      </c>
      <c r="H233" s="80" t="s">
        <v>1292</v>
      </c>
      <c r="I233" s="80" t="s">
        <v>1301</v>
      </c>
      <c r="J233" s="84"/>
      <c r="K233" s="25" t="s">
        <v>294</v>
      </c>
      <c r="L233" s="57"/>
      <c r="M233" s="26"/>
      <c r="N233" s="55"/>
      <c r="O233" s="28"/>
      <c r="P233" s="28"/>
      <c r="Q233" s="50" t="s">
        <v>140</v>
      </c>
      <c r="R233" s="25" t="s">
        <v>298</v>
      </c>
      <c r="S233" s="50"/>
    </row>
    <row r="234" spans="1:19" ht="15.75" customHeight="1">
      <c r="A234" s="345"/>
      <c r="B234" s="345"/>
      <c r="C234" s="74">
        <v>9</v>
      </c>
      <c r="D234" s="345"/>
      <c r="E234" s="345"/>
      <c r="F234" s="74" t="s">
        <v>326</v>
      </c>
      <c r="G234" s="74" t="s">
        <v>327</v>
      </c>
      <c r="H234" s="80" t="s">
        <v>1302</v>
      </c>
      <c r="I234" s="80" t="s">
        <v>1303</v>
      </c>
      <c r="J234" s="84"/>
      <c r="K234" s="25" t="s">
        <v>294</v>
      </c>
      <c r="L234" s="57"/>
      <c r="M234" s="26"/>
      <c r="N234" s="55"/>
      <c r="O234" s="28"/>
      <c r="P234" s="28"/>
      <c r="Q234" s="50" t="s">
        <v>140</v>
      </c>
      <c r="R234" s="25" t="s">
        <v>298</v>
      </c>
      <c r="S234" s="50"/>
    </row>
    <row r="235" spans="1:19" ht="15.75" customHeight="1">
      <c r="A235" s="364" t="s">
        <v>1304</v>
      </c>
      <c r="B235" s="363" t="s">
        <v>104</v>
      </c>
      <c r="C235" s="74">
        <v>1</v>
      </c>
      <c r="D235" s="364" t="s">
        <v>1305</v>
      </c>
      <c r="E235" s="364" t="s">
        <v>1306</v>
      </c>
      <c r="F235" s="74" t="s">
        <v>326</v>
      </c>
      <c r="G235" s="74" t="s">
        <v>327</v>
      </c>
      <c r="H235" s="47" t="s">
        <v>1307</v>
      </c>
      <c r="I235" s="35" t="s">
        <v>1308</v>
      </c>
      <c r="J235" s="172"/>
      <c r="K235" s="25" t="s">
        <v>294</v>
      </c>
      <c r="L235" s="57"/>
      <c r="M235" s="26"/>
      <c r="N235" s="55"/>
      <c r="O235" s="28"/>
      <c r="P235" s="28"/>
      <c r="Q235" s="50" t="s">
        <v>140</v>
      </c>
      <c r="R235" s="25" t="s">
        <v>298</v>
      </c>
      <c r="S235" s="50"/>
    </row>
    <row r="236" spans="1:19" ht="15.75" customHeight="1">
      <c r="A236" s="344"/>
      <c r="B236" s="344"/>
      <c r="C236" s="74">
        <v>2</v>
      </c>
      <c r="D236" s="344"/>
      <c r="E236" s="345"/>
      <c r="F236" s="74" t="s">
        <v>326</v>
      </c>
      <c r="G236" s="74" t="s">
        <v>327</v>
      </c>
      <c r="H236" s="47" t="s">
        <v>1309</v>
      </c>
      <c r="I236" s="35" t="s">
        <v>1310</v>
      </c>
      <c r="J236" s="172"/>
      <c r="K236" s="25"/>
      <c r="L236" s="57"/>
      <c r="M236" s="26"/>
      <c r="N236" s="55"/>
      <c r="O236" s="28"/>
      <c r="P236" s="28"/>
      <c r="Q236" s="50" t="s">
        <v>282</v>
      </c>
      <c r="R236" s="25" t="s">
        <v>298</v>
      </c>
      <c r="S236" s="50"/>
    </row>
    <row r="237" spans="1:19" ht="15.75" customHeight="1">
      <c r="A237" s="344"/>
      <c r="B237" s="344"/>
      <c r="C237" s="74">
        <v>3</v>
      </c>
      <c r="D237" s="344"/>
      <c r="E237" s="364" t="s">
        <v>1311</v>
      </c>
      <c r="F237" s="74" t="s">
        <v>326</v>
      </c>
      <c r="G237" s="74" t="s">
        <v>327</v>
      </c>
      <c r="H237" s="47" t="s">
        <v>1312</v>
      </c>
      <c r="I237" s="35" t="s">
        <v>1313</v>
      </c>
      <c r="J237" s="172"/>
      <c r="K237" s="25" t="s">
        <v>294</v>
      </c>
      <c r="L237" s="57"/>
      <c r="M237" s="26"/>
      <c r="N237" s="3"/>
      <c r="O237" s="28"/>
      <c r="P237" s="28"/>
      <c r="Q237" s="50" t="s">
        <v>140</v>
      </c>
      <c r="R237" s="25" t="s">
        <v>298</v>
      </c>
      <c r="S237" s="50"/>
    </row>
    <row r="238" spans="1:19" ht="15.75" customHeight="1">
      <c r="A238" s="345"/>
      <c r="B238" s="345"/>
      <c r="C238" s="74">
        <v>4</v>
      </c>
      <c r="D238" s="345"/>
      <c r="E238" s="345"/>
      <c r="F238" s="74" t="s">
        <v>326</v>
      </c>
      <c r="G238" s="74" t="s">
        <v>327</v>
      </c>
      <c r="H238" s="47" t="s">
        <v>1309</v>
      </c>
      <c r="I238" s="35" t="s">
        <v>1310</v>
      </c>
      <c r="J238" s="172"/>
      <c r="K238" s="25"/>
      <c r="L238" s="57"/>
      <c r="M238" s="26"/>
      <c r="N238" s="3"/>
      <c r="O238" s="28"/>
      <c r="P238" s="28"/>
      <c r="Q238" s="50" t="s">
        <v>282</v>
      </c>
      <c r="R238" s="25" t="s">
        <v>298</v>
      </c>
      <c r="S238" s="50"/>
    </row>
    <row r="239" spans="1:19" ht="15.75" customHeight="1">
      <c r="A239" s="364" t="s">
        <v>1314</v>
      </c>
      <c r="B239" s="363" t="s">
        <v>119</v>
      </c>
      <c r="C239" s="74">
        <v>1</v>
      </c>
      <c r="D239" s="364" t="s">
        <v>1315</v>
      </c>
      <c r="E239" s="47" t="s">
        <v>1316</v>
      </c>
      <c r="F239" s="74" t="s">
        <v>361</v>
      </c>
      <c r="G239" s="74" t="s">
        <v>524</v>
      </c>
      <c r="H239" s="47" t="s">
        <v>1317</v>
      </c>
      <c r="I239" s="80" t="s">
        <v>1318</v>
      </c>
      <c r="J239" s="84"/>
      <c r="K239" s="25" t="s">
        <v>294</v>
      </c>
      <c r="L239" s="57"/>
      <c r="M239" s="82" t="s">
        <v>1319</v>
      </c>
      <c r="N239" s="3"/>
      <c r="O239" s="28"/>
      <c r="P239" s="28"/>
      <c r="Q239" s="50" t="s">
        <v>140</v>
      </c>
      <c r="R239" s="25" t="s">
        <v>298</v>
      </c>
      <c r="S239" s="50" t="s">
        <v>140</v>
      </c>
    </row>
    <row r="240" spans="1:19" ht="15.75" customHeight="1">
      <c r="A240" s="344"/>
      <c r="B240" s="344"/>
      <c r="C240" s="74">
        <v>2</v>
      </c>
      <c r="D240" s="344"/>
      <c r="E240" s="364" t="s">
        <v>1320</v>
      </c>
      <c r="F240" s="74" t="s">
        <v>361</v>
      </c>
      <c r="G240" s="74" t="s">
        <v>524</v>
      </c>
      <c r="H240" s="47" t="s">
        <v>1321</v>
      </c>
      <c r="I240" s="83" t="s">
        <v>1318</v>
      </c>
      <c r="J240" s="271"/>
      <c r="K240" s="25" t="s">
        <v>294</v>
      </c>
      <c r="L240" s="57"/>
      <c r="M240" s="26"/>
      <c r="N240" s="3"/>
      <c r="O240" s="28"/>
      <c r="P240" s="28"/>
      <c r="Q240" s="50" t="s">
        <v>140</v>
      </c>
      <c r="R240" s="25" t="s">
        <v>298</v>
      </c>
      <c r="S240" s="50"/>
    </row>
    <row r="241" spans="1:19" ht="15.75" customHeight="1">
      <c r="A241" s="344"/>
      <c r="B241" s="344"/>
      <c r="C241" s="74">
        <v>3</v>
      </c>
      <c r="D241" s="344"/>
      <c r="E241" s="345"/>
      <c r="F241" s="74" t="s">
        <v>361</v>
      </c>
      <c r="G241" s="74" t="s">
        <v>524</v>
      </c>
      <c r="H241" s="47" t="s">
        <v>1322</v>
      </c>
      <c r="I241" s="83" t="s">
        <v>1318</v>
      </c>
      <c r="J241" s="271"/>
      <c r="K241" s="25"/>
      <c r="L241" s="57"/>
      <c r="M241" s="26"/>
      <c r="N241" s="3"/>
      <c r="O241" s="28"/>
      <c r="P241" s="28"/>
      <c r="Q241" s="50" t="s">
        <v>282</v>
      </c>
      <c r="R241" s="25" t="s">
        <v>298</v>
      </c>
      <c r="S241" s="50"/>
    </row>
    <row r="242" spans="1:19" ht="15.75" customHeight="1">
      <c r="A242" s="344"/>
      <c r="B242" s="344"/>
      <c r="C242" s="74">
        <v>4</v>
      </c>
      <c r="D242" s="344"/>
      <c r="E242" s="47" t="s">
        <v>1323</v>
      </c>
      <c r="F242" s="74" t="s">
        <v>361</v>
      </c>
      <c r="G242" s="74" t="s">
        <v>524</v>
      </c>
      <c r="H242" s="80" t="s">
        <v>1321</v>
      </c>
      <c r="I242" s="83" t="s">
        <v>1318</v>
      </c>
      <c r="J242" s="271"/>
      <c r="K242" s="25" t="s">
        <v>294</v>
      </c>
      <c r="L242" s="57"/>
      <c r="M242" s="26"/>
      <c r="N242" s="3"/>
      <c r="O242" s="28"/>
      <c r="P242" s="28"/>
      <c r="Q242" s="50" t="s">
        <v>140</v>
      </c>
      <c r="R242" s="25" t="s">
        <v>298</v>
      </c>
      <c r="S242" s="50"/>
    </row>
    <row r="243" spans="1:19" ht="15.75" customHeight="1">
      <c r="A243" s="344"/>
      <c r="B243" s="344"/>
      <c r="C243" s="74">
        <v>5</v>
      </c>
      <c r="D243" s="344"/>
      <c r="E243" s="364" t="s">
        <v>1324</v>
      </c>
      <c r="F243" s="74" t="s">
        <v>361</v>
      </c>
      <c r="G243" s="74" t="s">
        <v>524</v>
      </c>
      <c r="H243" s="47" t="s">
        <v>1317</v>
      </c>
      <c r="I243" s="83" t="s">
        <v>1318</v>
      </c>
      <c r="J243" s="271"/>
      <c r="K243" s="25" t="s">
        <v>294</v>
      </c>
      <c r="L243" s="57"/>
      <c r="M243" s="82" t="s">
        <v>1319</v>
      </c>
      <c r="N243" s="3"/>
      <c r="O243" s="28"/>
      <c r="P243" s="28"/>
      <c r="Q243" s="50" t="s">
        <v>140</v>
      </c>
      <c r="R243" s="25" t="s">
        <v>298</v>
      </c>
      <c r="S243" s="50" t="s">
        <v>140</v>
      </c>
    </row>
    <row r="244" spans="1:19" ht="15.75" customHeight="1">
      <c r="A244" s="344"/>
      <c r="B244" s="344"/>
      <c r="C244" s="74">
        <v>6</v>
      </c>
      <c r="D244" s="344"/>
      <c r="E244" s="345"/>
      <c r="F244" s="74" t="s">
        <v>361</v>
      </c>
      <c r="G244" s="74" t="s">
        <v>524</v>
      </c>
      <c r="H244" s="47" t="s">
        <v>1322</v>
      </c>
      <c r="I244" s="83" t="s">
        <v>1318</v>
      </c>
      <c r="J244" s="271"/>
      <c r="K244" s="25"/>
      <c r="L244" s="57"/>
      <c r="M244" s="26"/>
      <c r="N244" s="3"/>
      <c r="O244" s="28"/>
      <c r="P244" s="28"/>
      <c r="Q244" s="50" t="s">
        <v>282</v>
      </c>
      <c r="R244" s="25" t="s">
        <v>298</v>
      </c>
      <c r="S244" s="50"/>
    </row>
    <row r="245" spans="1:19" ht="15.75" customHeight="1">
      <c r="A245" s="344"/>
      <c r="B245" s="344"/>
      <c r="C245" s="74">
        <v>7</v>
      </c>
      <c r="D245" s="344"/>
      <c r="E245" s="47" t="s">
        <v>1325</v>
      </c>
      <c r="F245" s="74" t="s">
        <v>361</v>
      </c>
      <c r="G245" s="74" t="s">
        <v>524</v>
      </c>
      <c r="H245" s="47" t="s">
        <v>1317</v>
      </c>
      <c r="I245" s="83" t="s">
        <v>1318</v>
      </c>
      <c r="J245" s="271"/>
      <c r="K245" s="25" t="s">
        <v>294</v>
      </c>
      <c r="L245" s="57"/>
      <c r="M245" s="82" t="s">
        <v>1319</v>
      </c>
      <c r="N245" s="3"/>
      <c r="O245" s="28"/>
      <c r="P245" s="28"/>
      <c r="Q245" s="50" t="s">
        <v>140</v>
      </c>
      <c r="R245" s="25" t="s">
        <v>298</v>
      </c>
      <c r="S245" s="50" t="s">
        <v>140</v>
      </c>
    </row>
    <row r="246" spans="1:19" ht="15.75" customHeight="1">
      <c r="A246" s="344"/>
      <c r="B246" s="344"/>
      <c r="C246" s="74">
        <v>8</v>
      </c>
      <c r="D246" s="344"/>
      <c r="E246" s="364" t="s">
        <v>1326</v>
      </c>
      <c r="F246" s="74" t="s">
        <v>361</v>
      </c>
      <c r="G246" s="74" t="s">
        <v>524</v>
      </c>
      <c r="H246" s="47" t="s">
        <v>1327</v>
      </c>
      <c r="I246" s="83" t="s">
        <v>1318</v>
      </c>
      <c r="J246" s="271"/>
      <c r="K246" s="25" t="s">
        <v>294</v>
      </c>
      <c r="L246" s="57"/>
      <c r="M246" s="26"/>
      <c r="N246" s="3"/>
      <c r="O246" s="28"/>
      <c r="P246" s="28"/>
      <c r="Q246" s="50" t="s">
        <v>140</v>
      </c>
      <c r="R246" s="25" t="s">
        <v>298</v>
      </c>
      <c r="S246" s="50"/>
    </row>
    <row r="247" spans="1:19" ht="15.75" customHeight="1">
      <c r="A247" s="344"/>
      <c r="B247" s="344"/>
      <c r="C247" s="74">
        <v>9</v>
      </c>
      <c r="D247" s="344"/>
      <c r="E247" s="344"/>
      <c r="F247" s="74" t="s">
        <v>361</v>
      </c>
      <c r="G247" s="74" t="s">
        <v>524</v>
      </c>
      <c r="H247" s="47" t="s">
        <v>1328</v>
      </c>
      <c r="I247" s="83" t="s">
        <v>1318</v>
      </c>
      <c r="J247" s="271"/>
      <c r="K247" s="25" t="s">
        <v>294</v>
      </c>
      <c r="L247" s="57"/>
      <c r="M247" s="26"/>
      <c r="N247" s="3"/>
      <c r="O247" s="28"/>
      <c r="P247" s="28"/>
      <c r="Q247" s="50" t="s">
        <v>140</v>
      </c>
      <c r="R247" s="25" t="s">
        <v>298</v>
      </c>
      <c r="S247" s="50"/>
    </row>
    <row r="248" spans="1:19" ht="15.75" customHeight="1">
      <c r="A248" s="345"/>
      <c r="B248" s="345"/>
      <c r="C248" s="74">
        <v>10</v>
      </c>
      <c r="D248" s="345"/>
      <c r="E248" s="345"/>
      <c r="F248" s="74" t="s">
        <v>361</v>
      </c>
      <c r="G248" s="74" t="s">
        <v>524</v>
      </c>
      <c r="H248" s="47" t="s">
        <v>1322</v>
      </c>
      <c r="I248" s="83" t="s">
        <v>1318</v>
      </c>
      <c r="J248" s="271"/>
      <c r="K248" s="25"/>
      <c r="L248" s="57"/>
      <c r="M248" s="26"/>
      <c r="N248" s="3"/>
      <c r="O248" s="28"/>
      <c r="P248" s="28"/>
      <c r="Q248" s="50" t="s">
        <v>282</v>
      </c>
      <c r="R248" s="25" t="s">
        <v>298</v>
      </c>
      <c r="S248" s="50"/>
    </row>
    <row r="249" spans="1:19" ht="15.75" customHeight="1">
      <c r="A249" s="364" t="s">
        <v>1329</v>
      </c>
      <c r="B249" s="363" t="s">
        <v>136</v>
      </c>
      <c r="C249" s="74">
        <v>1</v>
      </c>
      <c r="D249" s="363" t="s">
        <v>1330</v>
      </c>
      <c r="E249" s="47" t="s">
        <v>1331</v>
      </c>
      <c r="F249" s="74" t="s">
        <v>361</v>
      </c>
      <c r="G249" s="74" t="s">
        <v>524</v>
      </c>
      <c r="H249" s="47" t="s">
        <v>1332</v>
      </c>
      <c r="I249" s="80" t="s">
        <v>1333</v>
      </c>
      <c r="J249" s="84"/>
      <c r="K249" s="25"/>
      <c r="L249" s="57"/>
      <c r="M249" s="26"/>
      <c r="N249" s="3"/>
      <c r="O249" s="28"/>
      <c r="P249" s="28"/>
      <c r="Q249" s="50" t="s">
        <v>282</v>
      </c>
      <c r="R249" s="25" t="s">
        <v>298</v>
      </c>
      <c r="S249" s="50"/>
    </row>
    <row r="250" spans="1:19" ht="15.75" customHeight="1">
      <c r="A250" s="344"/>
      <c r="B250" s="344"/>
      <c r="C250" s="74">
        <v>2</v>
      </c>
      <c r="D250" s="344"/>
      <c r="E250" s="364" t="s">
        <v>1334</v>
      </c>
      <c r="F250" s="74" t="s">
        <v>361</v>
      </c>
      <c r="G250" s="74" t="s">
        <v>524</v>
      </c>
      <c r="H250" s="80" t="s">
        <v>1335</v>
      </c>
      <c r="I250" s="80" t="s">
        <v>1336</v>
      </c>
      <c r="J250" s="84"/>
      <c r="K250" s="25"/>
      <c r="L250" s="57"/>
      <c r="M250" s="26"/>
      <c r="N250" s="3"/>
      <c r="O250" s="28"/>
      <c r="P250" s="28"/>
      <c r="Q250" s="50" t="s">
        <v>282</v>
      </c>
      <c r="R250" s="25" t="s">
        <v>298</v>
      </c>
      <c r="S250" s="50"/>
    </row>
    <row r="251" spans="1:19" ht="15.75" customHeight="1">
      <c r="A251" s="344"/>
      <c r="B251" s="344"/>
      <c r="C251" s="74">
        <v>3</v>
      </c>
      <c r="D251" s="344"/>
      <c r="E251" s="345"/>
      <c r="F251" s="74" t="s">
        <v>361</v>
      </c>
      <c r="G251" s="74" t="s">
        <v>327</v>
      </c>
      <c r="H251" s="80" t="s">
        <v>1337</v>
      </c>
      <c r="I251" s="80" t="s">
        <v>1338</v>
      </c>
      <c r="J251" s="84"/>
      <c r="K251" s="25"/>
      <c r="L251" s="57"/>
      <c r="M251" s="26"/>
      <c r="N251" s="3"/>
      <c r="O251" s="28"/>
      <c r="P251" s="28"/>
      <c r="Q251" s="50" t="s">
        <v>282</v>
      </c>
      <c r="R251" s="25" t="s">
        <v>298</v>
      </c>
      <c r="S251" s="50"/>
    </row>
    <row r="252" spans="1:19" ht="15.75" customHeight="1">
      <c r="A252" s="344"/>
      <c r="B252" s="344"/>
      <c r="C252" s="74">
        <v>4</v>
      </c>
      <c r="D252" s="344"/>
      <c r="E252" s="364" t="s">
        <v>1339</v>
      </c>
      <c r="F252" s="74" t="s">
        <v>361</v>
      </c>
      <c r="G252" s="74" t="s">
        <v>524</v>
      </c>
      <c r="H252" s="80" t="s">
        <v>1340</v>
      </c>
      <c r="I252" s="80" t="s">
        <v>1341</v>
      </c>
      <c r="J252" s="84"/>
      <c r="K252" s="25"/>
      <c r="L252" s="57"/>
      <c r="M252" s="26"/>
      <c r="N252" s="3"/>
      <c r="O252" s="28"/>
      <c r="P252" s="28"/>
      <c r="Q252" s="50" t="s">
        <v>282</v>
      </c>
      <c r="R252" s="25" t="s">
        <v>298</v>
      </c>
      <c r="S252" s="50"/>
    </row>
    <row r="253" spans="1:19" ht="15.75" customHeight="1">
      <c r="A253" s="344"/>
      <c r="B253" s="344"/>
      <c r="C253" s="74">
        <v>5</v>
      </c>
      <c r="D253" s="344"/>
      <c r="E253" s="345"/>
      <c r="F253" s="74" t="s">
        <v>361</v>
      </c>
      <c r="G253" s="74" t="s">
        <v>327</v>
      </c>
      <c r="H253" s="80" t="s">
        <v>1342</v>
      </c>
      <c r="I253" s="80" t="s">
        <v>1343</v>
      </c>
      <c r="J253" s="84"/>
      <c r="K253" s="25"/>
      <c r="L253" s="57"/>
      <c r="M253" s="26"/>
      <c r="N253" s="3"/>
      <c r="O253" s="28"/>
      <c r="P253" s="28"/>
      <c r="Q253" s="50" t="s">
        <v>282</v>
      </c>
      <c r="R253" s="25" t="s">
        <v>298</v>
      </c>
      <c r="S253" s="50"/>
    </row>
    <row r="254" spans="1:19" ht="15.75" customHeight="1">
      <c r="A254" s="344"/>
      <c r="B254" s="344"/>
      <c r="C254" s="74">
        <v>6</v>
      </c>
      <c r="D254" s="344"/>
      <c r="E254" s="364" t="s">
        <v>1344</v>
      </c>
      <c r="F254" s="74" t="s">
        <v>361</v>
      </c>
      <c r="G254" s="74" t="s">
        <v>524</v>
      </c>
      <c r="H254" s="80" t="s">
        <v>1345</v>
      </c>
      <c r="I254" s="80" t="s">
        <v>1336</v>
      </c>
      <c r="J254" s="84"/>
      <c r="K254" s="25"/>
      <c r="L254" s="57"/>
      <c r="M254" s="26"/>
      <c r="N254" s="3"/>
      <c r="O254" s="28"/>
      <c r="P254" s="28"/>
      <c r="Q254" s="50" t="s">
        <v>282</v>
      </c>
      <c r="R254" s="25" t="s">
        <v>298</v>
      </c>
      <c r="S254" s="50"/>
    </row>
    <row r="255" spans="1:19" ht="15.75" customHeight="1">
      <c r="A255" s="344"/>
      <c r="B255" s="344"/>
      <c r="C255" s="74">
        <v>7</v>
      </c>
      <c r="D255" s="344"/>
      <c r="E255" s="345"/>
      <c r="F255" s="74" t="s">
        <v>361</v>
      </c>
      <c r="G255" s="74" t="s">
        <v>327</v>
      </c>
      <c r="H255" s="80" t="s">
        <v>1337</v>
      </c>
      <c r="I255" s="80" t="s">
        <v>1346</v>
      </c>
      <c r="J255" s="84"/>
      <c r="K255" s="25"/>
      <c r="L255" s="57"/>
      <c r="M255" s="26"/>
      <c r="N255" s="3"/>
      <c r="O255" s="28"/>
      <c r="P255" s="28"/>
      <c r="Q255" s="50" t="s">
        <v>282</v>
      </c>
      <c r="R255" s="25" t="s">
        <v>298</v>
      </c>
      <c r="S255" s="50"/>
    </row>
    <row r="256" spans="1:19" ht="15.75" customHeight="1">
      <c r="A256" s="344"/>
      <c r="B256" s="344"/>
      <c r="C256" s="74">
        <v>8</v>
      </c>
      <c r="D256" s="344"/>
      <c r="E256" s="47" t="s">
        <v>1347</v>
      </c>
      <c r="F256" s="74" t="s">
        <v>361</v>
      </c>
      <c r="G256" s="74" t="s">
        <v>327</v>
      </c>
      <c r="H256" s="80" t="s">
        <v>1348</v>
      </c>
      <c r="I256" s="80" t="s">
        <v>1349</v>
      </c>
      <c r="J256" s="84"/>
      <c r="K256" s="25"/>
      <c r="L256" s="57"/>
      <c r="M256" s="26"/>
      <c r="N256" s="3"/>
      <c r="O256" s="28"/>
      <c r="P256" s="28"/>
      <c r="Q256" s="50" t="s">
        <v>282</v>
      </c>
      <c r="R256" s="25" t="s">
        <v>298</v>
      </c>
      <c r="S256" s="50"/>
    </row>
    <row r="257" spans="1:19" ht="15.75" customHeight="1">
      <c r="A257" s="344"/>
      <c r="B257" s="344"/>
      <c r="C257" s="74">
        <v>9</v>
      </c>
      <c r="D257" s="344"/>
      <c r="E257" s="364" t="s">
        <v>1350</v>
      </c>
      <c r="F257" s="74" t="s">
        <v>361</v>
      </c>
      <c r="G257" s="74" t="s">
        <v>524</v>
      </c>
      <c r="H257" s="80" t="s">
        <v>1351</v>
      </c>
      <c r="I257" s="80" t="s">
        <v>1352</v>
      </c>
      <c r="J257" s="84"/>
      <c r="K257" s="25"/>
      <c r="L257" s="57"/>
      <c r="M257" s="26"/>
      <c r="N257" s="3"/>
      <c r="O257" s="28"/>
      <c r="P257" s="28"/>
      <c r="Q257" s="50" t="s">
        <v>282</v>
      </c>
      <c r="R257" s="25" t="s">
        <v>298</v>
      </c>
      <c r="S257" s="50"/>
    </row>
    <row r="258" spans="1:19" ht="15.75" customHeight="1">
      <c r="A258" s="344"/>
      <c r="B258" s="344"/>
      <c r="C258" s="74">
        <v>10</v>
      </c>
      <c r="D258" s="344"/>
      <c r="E258" s="345"/>
      <c r="F258" s="74" t="s">
        <v>361</v>
      </c>
      <c r="G258" s="74" t="s">
        <v>327</v>
      </c>
      <c r="H258" s="80" t="s">
        <v>462</v>
      </c>
      <c r="I258" s="80" t="s">
        <v>1353</v>
      </c>
      <c r="J258" s="84"/>
      <c r="K258" s="25"/>
      <c r="L258" s="57"/>
      <c r="M258" s="26"/>
      <c r="N258" s="3"/>
      <c r="O258" s="28"/>
      <c r="P258" s="28"/>
      <c r="Q258" s="50" t="s">
        <v>282</v>
      </c>
      <c r="R258" s="25" t="s">
        <v>298</v>
      </c>
      <c r="S258" s="50"/>
    </row>
    <row r="259" spans="1:19" ht="15.75" customHeight="1">
      <c r="A259" s="344"/>
      <c r="B259" s="344"/>
      <c r="C259" s="74">
        <v>11</v>
      </c>
      <c r="D259" s="344"/>
      <c r="E259" s="80" t="s">
        <v>1354</v>
      </c>
      <c r="F259" s="74" t="s">
        <v>361</v>
      </c>
      <c r="G259" s="74" t="s">
        <v>327</v>
      </c>
      <c r="H259" s="80" t="s">
        <v>1355</v>
      </c>
      <c r="I259" s="80" t="s">
        <v>1356</v>
      </c>
      <c r="J259" s="84"/>
      <c r="K259" s="25"/>
      <c r="L259" s="57"/>
      <c r="M259" s="26"/>
      <c r="N259" s="3"/>
      <c r="O259" s="28"/>
      <c r="P259" s="28"/>
      <c r="Q259" s="50" t="s">
        <v>282</v>
      </c>
      <c r="R259" s="25" t="s">
        <v>298</v>
      </c>
      <c r="S259" s="50"/>
    </row>
    <row r="260" spans="1:19" ht="15.75" customHeight="1">
      <c r="A260" s="344"/>
      <c r="B260" s="344"/>
      <c r="C260" s="74">
        <v>12</v>
      </c>
      <c r="D260" s="344"/>
      <c r="E260" s="364" t="s">
        <v>1357</v>
      </c>
      <c r="F260" s="74" t="s">
        <v>361</v>
      </c>
      <c r="G260" s="74" t="s">
        <v>524</v>
      </c>
      <c r="H260" s="80" t="s">
        <v>1358</v>
      </c>
      <c r="I260" s="80" t="s">
        <v>1352</v>
      </c>
      <c r="J260" s="84"/>
      <c r="K260" s="25"/>
      <c r="L260" s="57"/>
      <c r="M260" s="26"/>
      <c r="N260" s="3"/>
      <c r="O260" s="28"/>
      <c r="P260" s="28"/>
      <c r="Q260" s="50" t="s">
        <v>282</v>
      </c>
      <c r="R260" s="25" t="s">
        <v>298</v>
      </c>
      <c r="S260" s="50"/>
    </row>
    <row r="261" spans="1:19" ht="15.75" customHeight="1">
      <c r="A261" s="344"/>
      <c r="B261" s="344"/>
      <c r="C261" s="74">
        <v>13</v>
      </c>
      <c r="D261" s="344"/>
      <c r="E261" s="345"/>
      <c r="F261" s="74" t="s">
        <v>361</v>
      </c>
      <c r="G261" s="74" t="s">
        <v>327</v>
      </c>
      <c r="H261" s="80" t="s">
        <v>1359</v>
      </c>
      <c r="I261" s="80" t="s">
        <v>1360</v>
      </c>
      <c r="J261" s="84"/>
      <c r="K261" s="25"/>
      <c r="L261" s="57"/>
      <c r="M261" s="26"/>
      <c r="N261" s="3"/>
      <c r="O261" s="28"/>
      <c r="P261" s="28"/>
      <c r="Q261" s="50" t="s">
        <v>282</v>
      </c>
      <c r="R261" s="25" t="s">
        <v>298</v>
      </c>
      <c r="S261" s="50"/>
    </row>
    <row r="262" spans="1:19" ht="15.75" customHeight="1">
      <c r="A262" s="344"/>
      <c r="B262" s="344"/>
      <c r="C262" s="74">
        <v>14</v>
      </c>
      <c r="D262" s="344"/>
      <c r="E262" s="80" t="s">
        <v>1361</v>
      </c>
      <c r="F262" s="74" t="s">
        <v>361</v>
      </c>
      <c r="G262" s="74" t="s">
        <v>524</v>
      </c>
      <c r="H262" s="80" t="s">
        <v>1362</v>
      </c>
      <c r="I262" s="80" t="s">
        <v>1363</v>
      </c>
      <c r="J262" s="84"/>
      <c r="K262" s="25"/>
      <c r="L262" s="57"/>
      <c r="M262" s="26"/>
      <c r="N262" s="3"/>
      <c r="O262" s="28"/>
      <c r="P262" s="28"/>
      <c r="Q262" s="50" t="s">
        <v>282</v>
      </c>
      <c r="R262" s="25" t="s">
        <v>298</v>
      </c>
      <c r="S262" s="50"/>
    </row>
    <row r="263" spans="1:19" ht="15.75" customHeight="1">
      <c r="A263" s="344"/>
      <c r="B263" s="344"/>
      <c r="C263" s="74">
        <v>15</v>
      </c>
      <c r="D263" s="344"/>
      <c r="E263" s="80" t="s">
        <v>1364</v>
      </c>
      <c r="F263" s="84" t="s">
        <v>361</v>
      </c>
      <c r="G263" s="74" t="s">
        <v>327</v>
      </c>
      <c r="H263" s="80" t="s">
        <v>1365</v>
      </c>
      <c r="I263" s="80" t="s">
        <v>1366</v>
      </c>
      <c r="J263" s="84"/>
      <c r="K263" s="25"/>
      <c r="L263" s="57"/>
      <c r="M263" s="26"/>
      <c r="N263" s="3"/>
      <c r="O263" s="28"/>
      <c r="P263" s="28"/>
      <c r="Q263" s="50" t="s">
        <v>282</v>
      </c>
      <c r="R263" s="25" t="s">
        <v>298</v>
      </c>
      <c r="S263" s="50"/>
    </row>
    <row r="264" spans="1:19" ht="15.75" customHeight="1">
      <c r="A264" s="344"/>
      <c r="B264" s="344"/>
      <c r="C264" s="74">
        <v>16</v>
      </c>
      <c r="D264" s="344"/>
      <c r="E264" s="80" t="s">
        <v>1367</v>
      </c>
      <c r="F264" s="74" t="s">
        <v>361</v>
      </c>
      <c r="G264" s="74" t="s">
        <v>524</v>
      </c>
      <c r="H264" s="80" t="s">
        <v>1368</v>
      </c>
      <c r="I264" s="80" t="s">
        <v>1369</v>
      </c>
      <c r="J264" s="84"/>
      <c r="K264" s="25"/>
      <c r="L264" s="66"/>
      <c r="M264" s="50"/>
      <c r="N264" s="3"/>
      <c r="O264" s="50"/>
      <c r="P264" s="50"/>
      <c r="Q264" s="50" t="s">
        <v>282</v>
      </c>
      <c r="R264" s="25" t="s">
        <v>298</v>
      </c>
      <c r="S264" s="50"/>
    </row>
    <row r="265" spans="1:19" ht="15.75" customHeight="1">
      <c r="A265" s="344"/>
      <c r="B265" s="344"/>
      <c r="C265" s="74">
        <v>17</v>
      </c>
      <c r="D265" s="344"/>
      <c r="E265" s="80" t="s">
        <v>1370</v>
      </c>
      <c r="F265" s="74" t="s">
        <v>361</v>
      </c>
      <c r="G265" s="74" t="s">
        <v>524</v>
      </c>
      <c r="H265" s="80" t="s">
        <v>1371</v>
      </c>
      <c r="I265" s="80" t="s">
        <v>1372</v>
      </c>
      <c r="J265" s="84"/>
      <c r="K265" s="25"/>
      <c r="L265" s="66"/>
      <c r="M265" s="50"/>
      <c r="N265" s="3"/>
      <c r="O265" s="50"/>
      <c r="P265" s="50"/>
      <c r="Q265" s="50" t="s">
        <v>282</v>
      </c>
      <c r="R265" s="25" t="s">
        <v>298</v>
      </c>
      <c r="S265" s="50"/>
    </row>
    <row r="266" spans="1:19" ht="15.75" customHeight="1">
      <c r="A266" s="344"/>
      <c r="B266" s="344"/>
      <c r="C266" s="74">
        <v>18</v>
      </c>
      <c r="D266" s="344"/>
      <c r="E266" s="80" t="s">
        <v>1373</v>
      </c>
      <c r="F266" s="74" t="s">
        <v>361</v>
      </c>
      <c r="G266" s="74" t="s">
        <v>524</v>
      </c>
      <c r="H266" s="80" t="s">
        <v>1374</v>
      </c>
      <c r="I266" s="80" t="s">
        <v>1363</v>
      </c>
      <c r="J266" s="84"/>
      <c r="K266" s="25"/>
      <c r="L266" s="66"/>
      <c r="M266" s="50"/>
      <c r="N266" s="3"/>
      <c r="O266" s="50"/>
      <c r="P266" s="50"/>
      <c r="Q266" s="50" t="s">
        <v>282</v>
      </c>
      <c r="R266" s="25" t="s">
        <v>298</v>
      </c>
      <c r="S266" s="50"/>
    </row>
    <row r="267" spans="1:19" ht="15.75" customHeight="1">
      <c r="A267" s="344"/>
      <c r="B267" s="344"/>
      <c r="C267" s="74">
        <v>19</v>
      </c>
      <c r="D267" s="344"/>
      <c r="E267" s="80" t="s">
        <v>1375</v>
      </c>
      <c r="F267" s="74" t="s">
        <v>361</v>
      </c>
      <c r="G267" s="74" t="s">
        <v>524</v>
      </c>
      <c r="H267" s="80" t="s">
        <v>1376</v>
      </c>
      <c r="I267" s="80" t="s">
        <v>1377</v>
      </c>
      <c r="J267" s="84"/>
      <c r="K267" s="25"/>
      <c r="L267" s="66"/>
      <c r="M267" s="50"/>
      <c r="N267" s="3"/>
      <c r="O267" s="50"/>
      <c r="P267" s="50"/>
      <c r="Q267" s="50" t="s">
        <v>282</v>
      </c>
      <c r="R267" s="25" t="s">
        <v>298</v>
      </c>
      <c r="S267" s="50"/>
    </row>
    <row r="268" spans="1:19" ht="15.75" customHeight="1">
      <c r="A268" s="345"/>
      <c r="B268" s="344"/>
      <c r="C268" s="74">
        <v>20</v>
      </c>
      <c r="D268" s="344"/>
      <c r="E268" s="80" t="s">
        <v>1378</v>
      </c>
      <c r="F268" s="74" t="s">
        <v>361</v>
      </c>
      <c r="G268" s="74" t="s">
        <v>524</v>
      </c>
      <c r="H268" s="80" t="s">
        <v>1379</v>
      </c>
      <c r="I268" s="80" t="s">
        <v>1380</v>
      </c>
      <c r="J268" s="84"/>
      <c r="K268" s="25"/>
      <c r="L268" s="66"/>
      <c r="M268" s="50"/>
      <c r="N268" s="3"/>
      <c r="O268" s="50"/>
      <c r="P268" s="50"/>
      <c r="Q268" s="50" t="s">
        <v>282</v>
      </c>
      <c r="R268" s="25" t="s">
        <v>298</v>
      </c>
      <c r="S268" s="50"/>
    </row>
    <row r="269" spans="1:19" ht="15.75" customHeight="1">
      <c r="A269" s="85"/>
      <c r="B269" s="345"/>
      <c r="C269" s="74">
        <v>21</v>
      </c>
      <c r="D269" s="345"/>
      <c r="E269" s="80" t="s">
        <v>1381</v>
      </c>
      <c r="F269" s="74" t="s">
        <v>361</v>
      </c>
      <c r="G269" s="6" t="s">
        <v>524</v>
      </c>
      <c r="H269" s="80" t="s">
        <v>1382</v>
      </c>
      <c r="I269" s="80" t="s">
        <v>1383</v>
      </c>
      <c r="J269" s="84"/>
      <c r="K269" s="25"/>
      <c r="L269" s="66"/>
      <c r="M269" s="50"/>
      <c r="N269" s="3"/>
      <c r="O269" s="50"/>
      <c r="P269" s="50"/>
      <c r="Q269" s="50" t="s">
        <v>282</v>
      </c>
      <c r="R269" s="25" t="s">
        <v>298</v>
      </c>
      <c r="S269" s="50"/>
    </row>
    <row r="270" spans="1:19" ht="15.75" customHeight="1">
      <c r="A270" s="351" t="s">
        <v>1384</v>
      </c>
      <c r="B270" s="354" t="s">
        <v>236</v>
      </c>
      <c r="C270" s="86">
        <v>1</v>
      </c>
      <c r="D270" s="354" t="s">
        <v>1385</v>
      </c>
      <c r="E270" s="351" t="s">
        <v>1386</v>
      </c>
      <c r="F270" s="86" t="s">
        <v>326</v>
      </c>
      <c r="G270" s="86" t="s">
        <v>327</v>
      </c>
      <c r="H270" s="175" t="s">
        <v>1387</v>
      </c>
      <c r="I270" s="35" t="s">
        <v>1388</v>
      </c>
      <c r="J270" s="172"/>
      <c r="K270" s="25"/>
      <c r="L270" s="57"/>
      <c r="M270" s="362" t="s">
        <v>1389</v>
      </c>
      <c r="N270" s="55"/>
      <c r="O270" s="28"/>
      <c r="P270" s="28"/>
      <c r="Q270" s="40" t="s">
        <v>393</v>
      </c>
      <c r="R270" s="25" t="s">
        <v>308</v>
      </c>
      <c r="S270" s="50"/>
    </row>
    <row r="271" spans="1:19" ht="15.75" customHeight="1">
      <c r="A271" s="352"/>
      <c r="B271" s="352"/>
      <c r="C271" s="86">
        <v>2</v>
      </c>
      <c r="D271" s="353"/>
      <c r="E271" s="353"/>
      <c r="F271" s="86" t="s">
        <v>326</v>
      </c>
      <c r="G271" s="86" t="s">
        <v>327</v>
      </c>
      <c r="H271" s="175" t="s">
        <v>1390</v>
      </c>
      <c r="I271" s="35" t="s">
        <v>1391</v>
      </c>
      <c r="J271" s="172"/>
      <c r="K271" s="25"/>
      <c r="L271" s="57"/>
      <c r="M271" s="344"/>
      <c r="N271" s="55"/>
      <c r="O271" s="28"/>
      <c r="P271" s="28"/>
      <c r="Q271" s="40" t="s">
        <v>393</v>
      </c>
      <c r="R271" s="25" t="s">
        <v>308</v>
      </c>
      <c r="S271" s="50"/>
    </row>
    <row r="272" spans="1:19" ht="15.75" customHeight="1">
      <c r="A272" s="353"/>
      <c r="B272" s="353"/>
      <c r="C272" s="86">
        <v>3</v>
      </c>
      <c r="D272" s="86" t="s">
        <v>1392</v>
      </c>
      <c r="E272" s="175" t="s">
        <v>1393</v>
      </c>
      <c r="F272" s="86" t="s">
        <v>326</v>
      </c>
      <c r="G272" s="86" t="s">
        <v>327</v>
      </c>
      <c r="H272" s="175" t="s">
        <v>1394</v>
      </c>
      <c r="I272" s="63" t="s">
        <v>1395</v>
      </c>
      <c r="J272" s="171"/>
      <c r="K272" s="25"/>
      <c r="L272" s="57"/>
      <c r="M272" s="345"/>
      <c r="N272" s="55"/>
      <c r="O272" s="28"/>
      <c r="P272" s="28"/>
      <c r="Q272" s="40" t="s">
        <v>393</v>
      </c>
      <c r="R272" s="25" t="s">
        <v>308</v>
      </c>
      <c r="S272" s="50"/>
    </row>
    <row r="273" spans="1:19" ht="15.75" customHeight="1">
      <c r="A273" s="364" t="s">
        <v>1396</v>
      </c>
      <c r="B273" s="363" t="s">
        <v>268</v>
      </c>
      <c r="C273" s="74">
        <v>1</v>
      </c>
      <c r="D273" s="363" t="s">
        <v>1397</v>
      </c>
      <c r="E273" s="364" t="s">
        <v>1398</v>
      </c>
      <c r="F273" s="74" t="s">
        <v>361</v>
      </c>
      <c r="G273" s="74" t="s">
        <v>524</v>
      </c>
      <c r="H273" s="47" t="s">
        <v>1399</v>
      </c>
      <c r="I273" s="63" t="s">
        <v>1400</v>
      </c>
      <c r="J273" s="171"/>
      <c r="K273" s="25"/>
      <c r="L273" s="57"/>
      <c r="M273" s="26"/>
      <c r="N273" s="3"/>
      <c r="O273" s="28"/>
      <c r="P273" s="28"/>
      <c r="Q273" s="50" t="s">
        <v>282</v>
      </c>
      <c r="R273" s="25" t="s">
        <v>298</v>
      </c>
      <c r="S273" s="50"/>
    </row>
    <row r="274" spans="1:19" ht="15.75" customHeight="1">
      <c r="A274" s="344"/>
      <c r="B274" s="344"/>
      <c r="C274" s="74">
        <v>2</v>
      </c>
      <c r="D274" s="344"/>
      <c r="E274" s="345"/>
      <c r="F274" s="74" t="s">
        <v>361</v>
      </c>
      <c r="G274" s="74" t="s">
        <v>524</v>
      </c>
      <c r="H274" s="47" t="s">
        <v>1401</v>
      </c>
      <c r="I274" s="63" t="s">
        <v>1402</v>
      </c>
      <c r="J274" s="171"/>
      <c r="K274" s="25"/>
      <c r="L274" s="57"/>
      <c r="M274" s="26"/>
      <c r="N274" s="3"/>
      <c r="O274" s="28"/>
      <c r="P274" s="28"/>
      <c r="Q274" s="50" t="s">
        <v>282</v>
      </c>
      <c r="R274" s="25" t="s">
        <v>298</v>
      </c>
      <c r="S274" s="50"/>
    </row>
    <row r="275" spans="1:19" ht="15.75" customHeight="1">
      <c r="A275" s="344"/>
      <c r="B275" s="344"/>
      <c r="C275" s="74">
        <v>3</v>
      </c>
      <c r="D275" s="344"/>
      <c r="E275" s="364" t="s">
        <v>1403</v>
      </c>
      <c r="F275" s="74" t="s">
        <v>361</v>
      </c>
      <c r="G275" s="74" t="s">
        <v>524</v>
      </c>
      <c r="H275" s="47" t="s">
        <v>1404</v>
      </c>
      <c r="I275" s="63" t="s">
        <v>1405</v>
      </c>
      <c r="J275" s="171"/>
      <c r="K275" s="25"/>
      <c r="L275" s="57"/>
      <c r="M275" s="26"/>
      <c r="N275" s="3"/>
      <c r="O275" s="28"/>
      <c r="P275" s="28"/>
      <c r="Q275" s="50" t="s">
        <v>282</v>
      </c>
      <c r="R275" s="25" t="s">
        <v>298</v>
      </c>
      <c r="S275" s="50"/>
    </row>
    <row r="276" spans="1:19" ht="15.75" customHeight="1">
      <c r="A276" s="344"/>
      <c r="B276" s="344"/>
      <c r="C276" s="74">
        <v>4</v>
      </c>
      <c r="D276" s="344"/>
      <c r="E276" s="344"/>
      <c r="F276" s="74" t="s">
        <v>361</v>
      </c>
      <c r="G276" s="74" t="s">
        <v>524</v>
      </c>
      <c r="H276" s="47" t="s">
        <v>1406</v>
      </c>
      <c r="I276" s="63" t="s">
        <v>1407</v>
      </c>
      <c r="J276" s="171"/>
      <c r="K276" s="25"/>
      <c r="L276" s="57"/>
      <c r="M276" s="26"/>
      <c r="N276" s="3"/>
      <c r="O276" s="28"/>
      <c r="P276" s="28"/>
      <c r="Q276" s="50" t="s">
        <v>282</v>
      </c>
      <c r="R276" s="25" t="s">
        <v>298</v>
      </c>
      <c r="S276" s="50"/>
    </row>
    <row r="277" spans="1:19" ht="15.75" customHeight="1">
      <c r="A277" s="344"/>
      <c r="B277" s="344"/>
      <c r="C277" s="74">
        <v>5</v>
      </c>
      <c r="D277" s="344"/>
      <c r="E277" s="344"/>
      <c r="F277" s="74" t="s">
        <v>361</v>
      </c>
      <c r="G277" s="74" t="s">
        <v>524</v>
      </c>
      <c r="H277" s="47" t="s">
        <v>1408</v>
      </c>
      <c r="I277" s="63" t="s">
        <v>1405</v>
      </c>
      <c r="J277" s="171"/>
      <c r="K277" s="25"/>
      <c r="L277" s="57"/>
      <c r="M277" s="26"/>
      <c r="N277" s="3"/>
      <c r="O277" s="28"/>
      <c r="P277" s="28"/>
      <c r="Q277" s="50" t="s">
        <v>282</v>
      </c>
      <c r="R277" s="25" t="s">
        <v>298</v>
      </c>
      <c r="S277" s="50"/>
    </row>
    <row r="278" spans="1:19" ht="15.75" customHeight="1">
      <c r="A278" s="344"/>
      <c r="B278" s="344"/>
      <c r="C278" s="74">
        <v>6</v>
      </c>
      <c r="D278" s="344"/>
      <c r="E278" s="345"/>
      <c r="F278" s="74" t="s">
        <v>361</v>
      </c>
      <c r="G278" s="74" t="s">
        <v>524</v>
      </c>
      <c r="H278" s="47" t="s">
        <v>1406</v>
      </c>
      <c r="I278" s="35" t="s">
        <v>1407</v>
      </c>
      <c r="J278" s="172"/>
      <c r="K278" s="25"/>
      <c r="L278" s="57"/>
      <c r="M278" s="26"/>
      <c r="N278" s="3"/>
      <c r="O278" s="28"/>
      <c r="P278" s="28"/>
      <c r="Q278" s="50" t="s">
        <v>282</v>
      </c>
      <c r="R278" s="25" t="s">
        <v>298</v>
      </c>
      <c r="S278" s="50"/>
    </row>
    <row r="279" spans="1:19" ht="15.75" customHeight="1">
      <c r="A279" s="344"/>
      <c r="B279" s="344"/>
      <c r="C279" s="74">
        <v>7</v>
      </c>
      <c r="D279" s="344"/>
      <c r="E279" s="364" t="s">
        <v>1409</v>
      </c>
      <c r="F279" s="74" t="s">
        <v>361</v>
      </c>
      <c r="G279" s="74" t="s">
        <v>524</v>
      </c>
      <c r="H279" s="47" t="s">
        <v>1410</v>
      </c>
      <c r="I279" s="35" t="s">
        <v>1411</v>
      </c>
      <c r="J279" s="172"/>
      <c r="K279" s="25"/>
      <c r="L279" s="57"/>
      <c r="M279" s="26"/>
      <c r="N279" s="3"/>
      <c r="O279" s="28"/>
      <c r="P279" s="28"/>
      <c r="Q279" s="50" t="s">
        <v>282</v>
      </c>
      <c r="R279" s="25" t="s">
        <v>298</v>
      </c>
      <c r="S279" s="50"/>
    </row>
    <row r="280" spans="1:19" ht="15.75" customHeight="1">
      <c r="A280" s="344"/>
      <c r="B280" s="344"/>
      <c r="C280" s="74">
        <v>8</v>
      </c>
      <c r="D280" s="344"/>
      <c r="E280" s="344"/>
      <c r="F280" s="74" t="s">
        <v>361</v>
      </c>
      <c r="G280" s="74" t="s">
        <v>524</v>
      </c>
      <c r="H280" s="80" t="s">
        <v>1412</v>
      </c>
      <c r="I280" s="35" t="s">
        <v>1413</v>
      </c>
      <c r="J280" s="172"/>
      <c r="K280" s="25"/>
      <c r="L280" s="57"/>
      <c r="M280" s="26"/>
      <c r="N280" s="3"/>
      <c r="O280" s="28"/>
      <c r="P280" s="28"/>
      <c r="Q280" s="50" t="s">
        <v>282</v>
      </c>
      <c r="R280" s="25" t="s">
        <v>298</v>
      </c>
      <c r="S280" s="50"/>
    </row>
    <row r="281" spans="1:19" ht="15.75" customHeight="1">
      <c r="A281" s="344"/>
      <c r="B281" s="344"/>
      <c r="C281" s="74">
        <v>8</v>
      </c>
      <c r="D281" s="344"/>
      <c r="E281" s="344"/>
      <c r="F281" s="74" t="s">
        <v>361</v>
      </c>
      <c r="G281" s="74" t="s">
        <v>524</v>
      </c>
      <c r="H281" s="80" t="s">
        <v>1414</v>
      </c>
      <c r="I281" s="35" t="s">
        <v>1405</v>
      </c>
      <c r="J281" s="172"/>
      <c r="K281" s="25"/>
      <c r="L281" s="57"/>
      <c r="M281" s="26"/>
      <c r="N281" s="3"/>
      <c r="O281" s="28"/>
      <c r="P281" s="28"/>
      <c r="Q281" s="50" t="s">
        <v>282</v>
      </c>
      <c r="R281" s="25" t="s">
        <v>298</v>
      </c>
      <c r="S281" s="50"/>
    </row>
    <row r="282" spans="1:19" ht="15.75" customHeight="1">
      <c r="A282" s="344"/>
      <c r="B282" s="344"/>
      <c r="C282" s="74">
        <v>9</v>
      </c>
      <c r="D282" s="344"/>
      <c r="E282" s="344"/>
      <c r="F282" s="74" t="s">
        <v>361</v>
      </c>
      <c r="G282" s="74" t="s">
        <v>524</v>
      </c>
      <c r="H282" s="47" t="s">
        <v>1406</v>
      </c>
      <c r="I282" s="35" t="s">
        <v>1407</v>
      </c>
      <c r="J282" s="172"/>
      <c r="K282" s="25"/>
      <c r="L282" s="57"/>
      <c r="M282" s="26"/>
      <c r="N282" s="3"/>
      <c r="O282" s="28"/>
      <c r="P282" s="28"/>
      <c r="Q282" s="50" t="s">
        <v>282</v>
      </c>
      <c r="R282" s="25" t="s">
        <v>298</v>
      </c>
      <c r="S282" s="50"/>
    </row>
    <row r="283" spans="1:19" ht="15.75" customHeight="1">
      <c r="A283" s="344"/>
      <c r="B283" s="344"/>
      <c r="C283" s="74">
        <v>10</v>
      </c>
      <c r="D283" s="344"/>
      <c r="E283" s="344"/>
      <c r="F283" s="74" t="s">
        <v>361</v>
      </c>
      <c r="G283" s="74" t="s">
        <v>524</v>
      </c>
      <c r="H283" s="47" t="s">
        <v>1415</v>
      </c>
      <c r="I283" s="35" t="s">
        <v>1411</v>
      </c>
      <c r="J283" s="172"/>
      <c r="K283" s="25"/>
      <c r="L283" s="57"/>
      <c r="M283" s="26"/>
      <c r="N283" s="3"/>
      <c r="O283" s="28"/>
      <c r="P283" s="28"/>
      <c r="Q283" s="50" t="s">
        <v>282</v>
      </c>
      <c r="R283" s="25" t="s">
        <v>298</v>
      </c>
      <c r="S283" s="50"/>
    </row>
    <row r="284" spans="1:19" ht="15.75" customHeight="1">
      <c r="A284" s="344"/>
      <c r="B284" s="344"/>
      <c r="C284" s="74">
        <v>11</v>
      </c>
      <c r="D284" s="344"/>
      <c r="E284" s="344"/>
      <c r="F284" s="74" t="s">
        <v>361</v>
      </c>
      <c r="G284" s="74" t="s">
        <v>524</v>
      </c>
      <c r="H284" s="80" t="s">
        <v>1416</v>
      </c>
      <c r="I284" s="35" t="s">
        <v>1413</v>
      </c>
      <c r="J284" s="172"/>
      <c r="K284" s="25"/>
      <c r="L284" s="57"/>
      <c r="M284" s="26"/>
      <c r="N284" s="3"/>
      <c r="O284" s="28"/>
      <c r="P284" s="28"/>
      <c r="Q284" s="50" t="s">
        <v>282</v>
      </c>
      <c r="R284" s="25" t="s">
        <v>298</v>
      </c>
      <c r="S284" s="50"/>
    </row>
    <row r="285" spans="1:19" ht="15.75" customHeight="1">
      <c r="A285" s="344"/>
      <c r="B285" s="344"/>
      <c r="C285" s="74">
        <v>11</v>
      </c>
      <c r="D285" s="344"/>
      <c r="E285" s="344"/>
      <c r="F285" s="74" t="s">
        <v>361</v>
      </c>
      <c r="G285" s="74" t="s">
        <v>524</v>
      </c>
      <c r="H285" s="80" t="s">
        <v>1417</v>
      </c>
      <c r="I285" s="35" t="s">
        <v>1405</v>
      </c>
      <c r="J285" s="172"/>
      <c r="K285" s="25"/>
      <c r="L285" s="57"/>
      <c r="M285" s="26"/>
      <c r="N285" s="3"/>
      <c r="O285" s="28"/>
      <c r="P285" s="28"/>
      <c r="Q285" s="50" t="s">
        <v>282</v>
      </c>
      <c r="R285" s="25" t="s">
        <v>298</v>
      </c>
      <c r="S285" s="50"/>
    </row>
    <row r="286" spans="1:19" ht="15.75" customHeight="1">
      <c r="A286" s="344"/>
      <c r="B286" s="344"/>
      <c r="C286" s="74">
        <v>12</v>
      </c>
      <c r="D286" s="344"/>
      <c r="E286" s="345"/>
      <c r="F286" s="74" t="s">
        <v>361</v>
      </c>
      <c r="G286" s="74" t="s">
        <v>524</v>
      </c>
      <c r="H286" s="47" t="s">
        <v>1418</v>
      </c>
      <c r="I286" s="35" t="s">
        <v>1407</v>
      </c>
      <c r="J286" s="172"/>
      <c r="K286" s="25"/>
      <c r="L286" s="57"/>
      <c r="M286" s="26"/>
      <c r="N286" s="3"/>
      <c r="O286" s="28"/>
      <c r="P286" s="28"/>
      <c r="Q286" s="50" t="s">
        <v>282</v>
      </c>
      <c r="R286" s="25" t="s">
        <v>298</v>
      </c>
      <c r="S286" s="50"/>
    </row>
    <row r="287" spans="1:19" ht="15.75" customHeight="1">
      <c r="A287" s="344"/>
      <c r="B287" s="344"/>
      <c r="C287" s="74">
        <v>13</v>
      </c>
      <c r="D287" s="344"/>
      <c r="E287" s="364" t="s">
        <v>1419</v>
      </c>
      <c r="F287" s="74" t="s">
        <v>361</v>
      </c>
      <c r="G287" s="74" t="s">
        <v>524</v>
      </c>
      <c r="H287" s="80" t="s">
        <v>1420</v>
      </c>
      <c r="I287" s="35" t="s">
        <v>1421</v>
      </c>
      <c r="J287" s="172"/>
      <c r="K287" s="25"/>
      <c r="L287" s="57"/>
      <c r="M287" s="26"/>
      <c r="N287" s="3"/>
      <c r="O287" s="28"/>
      <c r="P287" s="28"/>
      <c r="Q287" s="50" t="s">
        <v>282</v>
      </c>
      <c r="R287" s="25" t="s">
        <v>298</v>
      </c>
      <c r="S287" s="50"/>
    </row>
    <row r="288" spans="1:19" ht="15.75" customHeight="1">
      <c r="A288" s="344"/>
      <c r="B288" s="344"/>
      <c r="C288" s="74">
        <v>14</v>
      </c>
      <c r="D288" s="344"/>
      <c r="E288" s="344"/>
      <c r="F288" s="74" t="s">
        <v>361</v>
      </c>
      <c r="G288" s="74" t="s">
        <v>524</v>
      </c>
      <c r="H288" s="47" t="s">
        <v>1422</v>
      </c>
      <c r="I288" s="80" t="s">
        <v>1423</v>
      </c>
      <c r="J288" s="84"/>
      <c r="K288" s="25"/>
      <c r="L288" s="57"/>
      <c r="M288" s="26"/>
      <c r="N288" s="3"/>
      <c r="O288" s="28"/>
      <c r="P288" s="28"/>
      <c r="Q288" s="50" t="s">
        <v>282</v>
      </c>
      <c r="R288" s="25" t="s">
        <v>298</v>
      </c>
      <c r="S288" s="50"/>
    </row>
    <row r="289" spans="1:19" ht="15.75" customHeight="1">
      <c r="A289" s="344"/>
      <c r="B289" s="344"/>
      <c r="C289" s="74">
        <v>15</v>
      </c>
      <c r="D289" s="344"/>
      <c r="E289" s="344"/>
      <c r="F289" s="74" t="s">
        <v>361</v>
      </c>
      <c r="G289" s="74" t="s">
        <v>524</v>
      </c>
      <c r="H289" s="80" t="s">
        <v>1420</v>
      </c>
      <c r="I289" s="63" t="s">
        <v>1424</v>
      </c>
      <c r="J289" s="171"/>
      <c r="K289" s="25"/>
      <c r="L289" s="57"/>
      <c r="M289" s="26"/>
      <c r="N289" s="3"/>
      <c r="O289" s="28"/>
      <c r="P289" s="28"/>
      <c r="Q289" s="50" t="s">
        <v>282</v>
      </c>
      <c r="R289" s="25" t="s">
        <v>298</v>
      </c>
      <c r="S289" s="50"/>
    </row>
    <row r="290" spans="1:19" ht="15.75" customHeight="1">
      <c r="A290" s="344"/>
      <c r="B290" s="344"/>
      <c r="C290" s="74">
        <v>16</v>
      </c>
      <c r="D290" s="344"/>
      <c r="E290" s="345"/>
      <c r="F290" s="74" t="s">
        <v>361</v>
      </c>
      <c r="G290" s="74" t="s">
        <v>524</v>
      </c>
      <c r="H290" s="47" t="s">
        <v>1425</v>
      </c>
      <c r="I290" s="83" t="s">
        <v>1423</v>
      </c>
      <c r="J290" s="271"/>
      <c r="K290" s="25"/>
      <c r="L290" s="57"/>
      <c r="M290" s="26"/>
      <c r="N290" s="3"/>
      <c r="O290" s="28"/>
      <c r="P290" s="28"/>
      <c r="Q290" s="50" t="s">
        <v>282</v>
      </c>
      <c r="R290" s="25" t="s">
        <v>298</v>
      </c>
      <c r="S290" s="50"/>
    </row>
    <row r="291" spans="1:19" ht="15.75" customHeight="1">
      <c r="A291" s="344"/>
      <c r="B291" s="344"/>
      <c r="C291" s="74">
        <v>17</v>
      </c>
      <c r="D291" s="344"/>
      <c r="E291" s="364" t="s">
        <v>1426</v>
      </c>
      <c r="F291" s="74" t="s">
        <v>361</v>
      </c>
      <c r="G291" s="74" t="s">
        <v>524</v>
      </c>
      <c r="H291" s="80" t="s">
        <v>1427</v>
      </c>
      <c r="I291" s="63" t="s">
        <v>1428</v>
      </c>
      <c r="J291" s="171"/>
      <c r="K291" s="25"/>
      <c r="L291" s="57"/>
      <c r="M291" s="26"/>
      <c r="N291" s="3"/>
      <c r="O291" s="28"/>
      <c r="P291" s="28"/>
      <c r="Q291" s="50" t="s">
        <v>282</v>
      </c>
      <c r="R291" s="25" t="s">
        <v>298</v>
      </c>
      <c r="S291" s="50"/>
    </row>
    <row r="292" spans="1:19" ht="15.75" customHeight="1">
      <c r="A292" s="344"/>
      <c r="B292" s="344"/>
      <c r="C292" s="74">
        <v>18</v>
      </c>
      <c r="D292" s="344"/>
      <c r="E292" s="344"/>
      <c r="F292" s="74" t="s">
        <v>361</v>
      </c>
      <c r="G292" s="74" t="s">
        <v>524</v>
      </c>
      <c r="H292" s="47" t="s">
        <v>1429</v>
      </c>
      <c r="I292" s="83" t="s">
        <v>1430</v>
      </c>
      <c r="J292" s="271"/>
      <c r="K292" s="25"/>
      <c r="L292" s="57"/>
      <c r="M292" s="26"/>
      <c r="N292" s="3"/>
      <c r="O292" s="28"/>
      <c r="P292" s="28"/>
      <c r="Q292" s="50" t="s">
        <v>282</v>
      </c>
      <c r="R292" s="25" t="s">
        <v>298</v>
      </c>
      <c r="S292" s="50"/>
    </row>
    <row r="293" spans="1:19" ht="15.75" customHeight="1">
      <c r="A293" s="344"/>
      <c r="B293" s="344"/>
      <c r="C293" s="74">
        <v>19</v>
      </c>
      <c r="D293" s="344"/>
      <c r="E293" s="344"/>
      <c r="F293" s="74" t="s">
        <v>361</v>
      </c>
      <c r="G293" s="74" t="s">
        <v>524</v>
      </c>
      <c r="H293" s="80" t="s">
        <v>1427</v>
      </c>
      <c r="I293" s="63" t="s">
        <v>1428</v>
      </c>
      <c r="J293" s="171"/>
      <c r="K293" s="25"/>
      <c r="L293" s="57"/>
      <c r="M293" s="26"/>
      <c r="N293" s="3"/>
      <c r="O293" s="28"/>
      <c r="P293" s="28"/>
      <c r="Q293" s="50" t="s">
        <v>282</v>
      </c>
      <c r="R293" s="25" t="s">
        <v>298</v>
      </c>
      <c r="S293" s="50"/>
    </row>
    <row r="294" spans="1:19" ht="15.75" customHeight="1">
      <c r="A294" s="345"/>
      <c r="B294" s="345"/>
      <c r="C294" s="74">
        <v>20</v>
      </c>
      <c r="D294" s="345"/>
      <c r="E294" s="345"/>
      <c r="F294" s="74" t="s">
        <v>361</v>
      </c>
      <c r="G294" s="74" t="s">
        <v>524</v>
      </c>
      <c r="H294" s="47" t="s">
        <v>1431</v>
      </c>
      <c r="I294" s="83" t="s">
        <v>1430</v>
      </c>
      <c r="J294" s="271"/>
      <c r="K294" s="25"/>
      <c r="L294" s="57"/>
      <c r="M294" s="26"/>
      <c r="N294" s="3"/>
      <c r="O294" s="28"/>
      <c r="P294" s="28"/>
      <c r="Q294" s="50" t="s">
        <v>282</v>
      </c>
      <c r="R294" s="25" t="s">
        <v>298</v>
      </c>
      <c r="S294" s="50"/>
    </row>
    <row r="295" spans="1:19" ht="15.75" customHeight="1">
      <c r="A295" s="68"/>
      <c r="B295" s="68"/>
      <c r="D295" s="68"/>
      <c r="E295" s="69"/>
      <c r="M295" s="68"/>
      <c r="O295" s="68"/>
      <c r="P295" s="68"/>
      <c r="Q295" s="68"/>
      <c r="R295" s="68"/>
      <c r="S295" s="68"/>
    </row>
    <row r="296" spans="1:19" ht="15.75" customHeight="1">
      <c r="A296" s="68"/>
      <c r="B296" s="68"/>
      <c r="D296" s="68"/>
      <c r="E296" s="69"/>
      <c r="M296" s="68"/>
      <c r="O296" s="68"/>
      <c r="P296" s="68"/>
      <c r="Q296" s="68"/>
      <c r="R296" s="68"/>
      <c r="S296" s="68"/>
    </row>
    <row r="297" spans="1:19" ht="15.75" customHeight="1">
      <c r="A297" s="68"/>
      <c r="B297" s="68"/>
      <c r="D297" s="68"/>
      <c r="E297" s="69"/>
      <c r="M297" s="68"/>
      <c r="O297" s="68"/>
      <c r="P297" s="68"/>
      <c r="Q297" s="68"/>
      <c r="R297" s="68"/>
      <c r="S297" s="68"/>
    </row>
    <row r="298" spans="1:19" ht="15.75" customHeight="1">
      <c r="A298" s="68"/>
      <c r="B298" s="68"/>
      <c r="D298" s="68"/>
      <c r="E298" s="69"/>
      <c r="M298" s="68"/>
      <c r="O298" s="68"/>
      <c r="P298" s="68"/>
      <c r="Q298" s="68"/>
      <c r="R298" s="68"/>
      <c r="S298" s="68"/>
    </row>
    <row r="299" spans="1:19" ht="15.75" customHeight="1">
      <c r="A299" s="68"/>
      <c r="B299" s="68"/>
      <c r="D299" s="68"/>
      <c r="E299" s="69"/>
      <c r="M299" s="68"/>
      <c r="O299" s="68"/>
      <c r="P299" s="68"/>
      <c r="Q299" s="68"/>
      <c r="R299" s="68"/>
      <c r="S299" s="68"/>
    </row>
    <row r="300" spans="1:19" ht="15.75" customHeight="1">
      <c r="A300" s="68"/>
      <c r="B300" s="68"/>
      <c r="D300" s="68"/>
      <c r="E300" s="69"/>
      <c r="M300" s="68"/>
      <c r="O300" s="68"/>
      <c r="P300" s="68"/>
      <c r="Q300" s="68"/>
      <c r="R300" s="68"/>
      <c r="S300" s="68"/>
    </row>
    <row r="301" spans="1:19" ht="15.75" customHeight="1">
      <c r="A301" s="68"/>
      <c r="B301" s="68"/>
      <c r="D301" s="68"/>
      <c r="E301" s="69"/>
      <c r="M301" s="68"/>
      <c r="O301" s="68"/>
      <c r="P301" s="68"/>
      <c r="Q301" s="68"/>
      <c r="R301" s="68"/>
      <c r="S301" s="68"/>
    </row>
    <row r="302" spans="1:19" ht="15.75" customHeight="1">
      <c r="A302" s="68"/>
      <c r="B302" s="68"/>
      <c r="D302" s="68"/>
      <c r="E302" s="69"/>
      <c r="M302" s="68"/>
      <c r="O302" s="68"/>
      <c r="P302" s="68"/>
      <c r="Q302" s="68"/>
      <c r="R302" s="68"/>
      <c r="S302" s="68"/>
    </row>
    <row r="303" spans="1:19" ht="15.75" customHeight="1">
      <c r="A303" s="68"/>
      <c r="B303" s="68"/>
      <c r="D303" s="68"/>
      <c r="E303" s="69"/>
      <c r="M303" s="68"/>
      <c r="O303" s="68"/>
      <c r="P303" s="68"/>
      <c r="Q303" s="68"/>
      <c r="R303" s="68"/>
      <c r="S303" s="68"/>
    </row>
    <row r="304" spans="1:19" ht="15.75" customHeight="1">
      <c r="A304" s="68"/>
      <c r="B304" s="68"/>
      <c r="D304" s="68"/>
      <c r="E304" s="69"/>
      <c r="M304" s="68"/>
      <c r="O304" s="68"/>
      <c r="P304" s="68"/>
      <c r="Q304" s="68"/>
      <c r="R304" s="68"/>
      <c r="S304" s="68"/>
    </row>
    <row r="305" spans="1:19" ht="15.75" customHeight="1">
      <c r="A305" s="68"/>
      <c r="B305" s="68"/>
      <c r="D305" s="68"/>
      <c r="E305" s="69"/>
      <c r="M305" s="68"/>
      <c r="O305" s="68"/>
      <c r="P305" s="68"/>
      <c r="Q305" s="68"/>
      <c r="R305" s="68"/>
      <c r="S305" s="68"/>
    </row>
    <row r="306" spans="1:19" ht="15.75" customHeight="1">
      <c r="A306" s="68"/>
      <c r="B306" s="68"/>
      <c r="D306" s="68"/>
      <c r="E306" s="69"/>
      <c r="M306" s="68"/>
      <c r="O306" s="68"/>
      <c r="P306" s="68"/>
      <c r="Q306" s="68"/>
      <c r="R306" s="68"/>
      <c r="S306" s="68"/>
    </row>
    <row r="307" spans="1:19" ht="15.75" customHeight="1">
      <c r="A307" s="68"/>
      <c r="B307" s="68"/>
      <c r="D307" s="68"/>
      <c r="E307" s="69"/>
      <c r="M307" s="68"/>
      <c r="O307" s="68"/>
      <c r="P307" s="68"/>
      <c r="Q307" s="68"/>
      <c r="R307" s="68"/>
      <c r="S307" s="68"/>
    </row>
    <row r="308" spans="1:19" ht="15.75" customHeight="1">
      <c r="A308" s="68"/>
      <c r="B308" s="68"/>
      <c r="D308" s="68"/>
      <c r="E308" s="69"/>
      <c r="M308" s="68"/>
      <c r="O308" s="68"/>
      <c r="P308" s="68"/>
      <c r="Q308" s="68"/>
      <c r="R308" s="68"/>
      <c r="S308" s="68"/>
    </row>
    <row r="309" spans="1:19" ht="15.75" customHeight="1">
      <c r="A309" s="68"/>
      <c r="B309" s="68"/>
      <c r="D309" s="68"/>
      <c r="E309" s="69"/>
      <c r="M309" s="68"/>
      <c r="O309" s="68"/>
      <c r="P309" s="68"/>
      <c r="Q309" s="68"/>
      <c r="R309" s="68"/>
      <c r="S309" s="68"/>
    </row>
    <row r="310" spans="1:19" ht="15.75" customHeight="1">
      <c r="A310" s="68"/>
      <c r="B310" s="68"/>
      <c r="D310" s="68"/>
      <c r="E310" s="69"/>
      <c r="M310" s="68"/>
      <c r="O310" s="68"/>
      <c r="P310" s="68"/>
      <c r="Q310" s="68"/>
      <c r="R310" s="68"/>
      <c r="S310" s="68"/>
    </row>
    <row r="311" spans="1:19" ht="15.75" customHeight="1">
      <c r="A311" s="68"/>
      <c r="B311" s="68"/>
      <c r="D311" s="68"/>
      <c r="E311" s="69"/>
      <c r="M311" s="68"/>
      <c r="O311" s="68"/>
      <c r="P311" s="68"/>
      <c r="Q311" s="68"/>
      <c r="R311" s="68"/>
      <c r="S311" s="68"/>
    </row>
    <row r="312" spans="1:19" ht="15.75" customHeight="1">
      <c r="A312" s="68"/>
      <c r="B312" s="68"/>
      <c r="D312" s="68"/>
      <c r="E312" s="69"/>
      <c r="M312" s="68"/>
      <c r="O312" s="68"/>
      <c r="P312" s="68"/>
      <c r="Q312" s="68"/>
      <c r="R312" s="68"/>
      <c r="S312" s="68"/>
    </row>
    <row r="313" spans="1:19" ht="15.75" customHeight="1">
      <c r="A313" s="68"/>
      <c r="B313" s="68"/>
      <c r="D313" s="68"/>
      <c r="E313" s="69"/>
      <c r="M313" s="68"/>
      <c r="O313" s="68"/>
      <c r="P313" s="68"/>
      <c r="Q313" s="68"/>
      <c r="R313" s="68"/>
      <c r="S313" s="68"/>
    </row>
    <row r="314" spans="1:19" ht="15.75" customHeight="1">
      <c r="A314" s="68"/>
      <c r="B314" s="68"/>
      <c r="D314" s="68"/>
      <c r="E314" s="69"/>
      <c r="M314" s="68"/>
      <c r="O314" s="68"/>
      <c r="P314" s="68"/>
      <c r="Q314" s="68"/>
      <c r="R314" s="68"/>
      <c r="S314" s="68"/>
    </row>
    <row r="315" spans="1:19" ht="15.75" customHeight="1">
      <c r="A315" s="68"/>
      <c r="B315" s="68"/>
      <c r="D315" s="68"/>
      <c r="E315" s="69"/>
      <c r="M315" s="68"/>
      <c r="O315" s="68"/>
      <c r="P315" s="68"/>
      <c r="Q315" s="68"/>
      <c r="R315" s="68"/>
      <c r="S315" s="68"/>
    </row>
    <row r="316" spans="1:19" ht="15.75" customHeight="1">
      <c r="A316" s="68"/>
      <c r="B316" s="68"/>
      <c r="D316" s="68"/>
      <c r="E316" s="69"/>
      <c r="M316" s="68"/>
      <c r="O316" s="68"/>
      <c r="P316" s="68"/>
      <c r="Q316" s="68"/>
      <c r="R316" s="68"/>
      <c r="S316" s="68"/>
    </row>
    <row r="317" spans="1:19" ht="15.75" customHeight="1">
      <c r="A317" s="68"/>
      <c r="B317" s="68"/>
      <c r="D317" s="68"/>
      <c r="E317" s="69"/>
      <c r="M317" s="68"/>
      <c r="O317" s="68"/>
      <c r="P317" s="68"/>
      <c r="Q317" s="68"/>
      <c r="R317" s="68"/>
      <c r="S317" s="68"/>
    </row>
    <row r="318" spans="1:19" ht="15.75" customHeight="1">
      <c r="A318" s="68"/>
      <c r="B318" s="68"/>
      <c r="D318" s="68"/>
      <c r="E318" s="69"/>
      <c r="M318" s="68"/>
      <c r="O318" s="68"/>
      <c r="P318" s="68"/>
      <c r="Q318" s="68"/>
      <c r="R318" s="68"/>
      <c r="S318" s="68"/>
    </row>
    <row r="319" spans="1:19" ht="15.75" customHeight="1">
      <c r="A319" s="68"/>
      <c r="B319" s="68"/>
      <c r="D319" s="68"/>
      <c r="E319" s="69"/>
      <c r="M319" s="68"/>
      <c r="O319" s="68"/>
      <c r="P319" s="68"/>
      <c r="Q319" s="68"/>
      <c r="R319" s="68"/>
      <c r="S319" s="68"/>
    </row>
    <row r="320" spans="1:19" ht="15.75" customHeight="1">
      <c r="A320" s="68"/>
      <c r="B320" s="68"/>
      <c r="D320" s="68"/>
      <c r="E320" s="69"/>
      <c r="M320" s="68"/>
      <c r="O320" s="68"/>
      <c r="P320" s="68"/>
      <c r="Q320" s="68"/>
      <c r="R320" s="68"/>
      <c r="S320" s="68"/>
    </row>
    <row r="321" spans="1:19" ht="15.75" customHeight="1">
      <c r="A321" s="68"/>
      <c r="B321" s="68"/>
      <c r="D321" s="68"/>
      <c r="E321" s="69"/>
      <c r="M321" s="68"/>
      <c r="O321" s="68"/>
      <c r="P321" s="68"/>
      <c r="Q321" s="68"/>
      <c r="R321" s="68"/>
      <c r="S321" s="68"/>
    </row>
    <row r="322" spans="1:19" ht="15.75" customHeight="1">
      <c r="A322" s="68"/>
      <c r="B322" s="68"/>
      <c r="D322" s="68"/>
      <c r="E322" s="69"/>
      <c r="M322" s="68"/>
      <c r="O322" s="68"/>
      <c r="P322" s="68"/>
      <c r="Q322" s="68"/>
      <c r="R322" s="68"/>
      <c r="S322" s="68"/>
    </row>
    <row r="323" spans="1:19" ht="15.75" customHeight="1">
      <c r="A323" s="68"/>
      <c r="B323" s="68"/>
      <c r="D323" s="68"/>
      <c r="E323" s="69"/>
      <c r="M323" s="68"/>
      <c r="O323" s="68"/>
      <c r="P323" s="68"/>
      <c r="Q323" s="68"/>
      <c r="R323" s="68"/>
      <c r="S323" s="68"/>
    </row>
    <row r="324" spans="1:19" ht="15.75" customHeight="1">
      <c r="A324" s="68"/>
      <c r="B324" s="68"/>
      <c r="D324" s="68"/>
      <c r="E324" s="69"/>
      <c r="M324" s="68"/>
      <c r="O324" s="68"/>
      <c r="P324" s="68"/>
      <c r="Q324" s="68"/>
      <c r="R324" s="68"/>
      <c r="S324" s="68"/>
    </row>
    <row r="325" spans="1:19" ht="15.75" customHeight="1">
      <c r="A325" s="68"/>
      <c r="B325" s="68"/>
      <c r="D325" s="68"/>
      <c r="E325" s="69"/>
      <c r="M325" s="68"/>
      <c r="O325" s="68"/>
      <c r="P325" s="68"/>
      <c r="Q325" s="68"/>
      <c r="R325" s="68"/>
      <c r="S325" s="68"/>
    </row>
    <row r="326" spans="1:19" ht="15.75" customHeight="1">
      <c r="A326" s="68"/>
      <c r="B326" s="68"/>
      <c r="D326" s="68"/>
      <c r="E326" s="69"/>
      <c r="M326" s="68"/>
      <c r="O326" s="68"/>
      <c r="P326" s="68"/>
      <c r="Q326" s="68"/>
      <c r="R326" s="68"/>
      <c r="S326" s="68"/>
    </row>
    <row r="327" spans="1:19" ht="15.75" customHeight="1">
      <c r="A327" s="68"/>
      <c r="B327" s="68"/>
      <c r="D327" s="68"/>
      <c r="E327" s="69"/>
      <c r="M327" s="68"/>
      <c r="O327" s="68"/>
      <c r="P327" s="68"/>
      <c r="Q327" s="68"/>
      <c r="R327" s="68"/>
      <c r="S327" s="68"/>
    </row>
    <row r="328" spans="1:19" ht="15.75" customHeight="1">
      <c r="A328" s="68"/>
      <c r="B328" s="68"/>
      <c r="D328" s="68"/>
      <c r="E328" s="69"/>
      <c r="M328" s="68"/>
      <c r="O328" s="68"/>
      <c r="P328" s="68"/>
      <c r="Q328" s="68"/>
      <c r="R328" s="68"/>
      <c r="S328" s="68"/>
    </row>
    <row r="329" spans="1:19" ht="15.75" customHeight="1">
      <c r="A329" s="68"/>
      <c r="B329" s="68"/>
      <c r="D329" s="68"/>
      <c r="E329" s="69"/>
      <c r="M329" s="68"/>
      <c r="O329" s="68"/>
      <c r="P329" s="68"/>
      <c r="Q329" s="68"/>
      <c r="R329" s="68"/>
      <c r="S329" s="68"/>
    </row>
    <row r="330" spans="1:19" ht="15.75" customHeight="1">
      <c r="A330" s="68"/>
      <c r="B330" s="68"/>
      <c r="D330" s="68"/>
      <c r="E330" s="69"/>
      <c r="M330" s="68"/>
      <c r="O330" s="68"/>
      <c r="P330" s="68"/>
      <c r="Q330" s="68"/>
      <c r="R330" s="68"/>
      <c r="S330" s="68"/>
    </row>
    <row r="331" spans="1:19" ht="15.75" customHeight="1">
      <c r="A331" s="68"/>
      <c r="B331" s="68"/>
      <c r="D331" s="68"/>
      <c r="E331" s="69"/>
      <c r="M331" s="68"/>
      <c r="O331" s="68"/>
      <c r="P331" s="68"/>
      <c r="Q331" s="68"/>
      <c r="R331" s="68"/>
      <c r="S331" s="68"/>
    </row>
    <row r="332" spans="1:19" ht="15.75" customHeight="1">
      <c r="A332" s="68"/>
      <c r="B332" s="68"/>
      <c r="D332" s="68"/>
      <c r="E332" s="69"/>
      <c r="M332" s="68"/>
      <c r="O332" s="68"/>
      <c r="P332" s="68"/>
      <c r="Q332" s="68"/>
      <c r="R332" s="68"/>
      <c r="S332" s="68"/>
    </row>
    <row r="333" spans="1:19" ht="15.75" customHeight="1">
      <c r="A333" s="68"/>
      <c r="B333" s="68"/>
      <c r="D333" s="68"/>
      <c r="E333" s="69"/>
      <c r="M333" s="68"/>
      <c r="O333" s="68"/>
      <c r="P333" s="68"/>
      <c r="Q333" s="68"/>
      <c r="R333" s="68"/>
      <c r="S333" s="68"/>
    </row>
    <row r="334" spans="1:19" ht="15.75" customHeight="1">
      <c r="A334" s="68"/>
      <c r="B334" s="68"/>
      <c r="D334" s="68"/>
      <c r="E334" s="69"/>
      <c r="M334" s="68"/>
      <c r="O334" s="68"/>
      <c r="P334" s="68"/>
      <c r="Q334" s="68"/>
      <c r="R334" s="68"/>
      <c r="S334" s="68"/>
    </row>
    <row r="335" spans="1:19" ht="15.75" customHeight="1">
      <c r="A335" s="68"/>
      <c r="B335" s="68"/>
      <c r="D335" s="68"/>
      <c r="E335" s="69"/>
      <c r="M335" s="68"/>
      <c r="O335" s="68"/>
      <c r="P335" s="68"/>
      <c r="Q335" s="68"/>
      <c r="R335" s="68"/>
      <c r="S335" s="68"/>
    </row>
    <row r="336" spans="1:19" ht="15.75" customHeight="1">
      <c r="A336" s="68"/>
      <c r="B336" s="68"/>
      <c r="D336" s="68"/>
      <c r="E336" s="69"/>
      <c r="M336" s="68"/>
      <c r="O336" s="68"/>
      <c r="P336" s="68"/>
      <c r="Q336" s="68"/>
      <c r="R336" s="68"/>
      <c r="S336" s="68"/>
    </row>
    <row r="337" spans="1:19" ht="15.75" customHeight="1">
      <c r="A337" s="68"/>
      <c r="B337" s="68"/>
      <c r="D337" s="68"/>
      <c r="E337" s="69"/>
      <c r="M337" s="68"/>
      <c r="O337" s="68"/>
      <c r="P337" s="68"/>
      <c r="Q337" s="68"/>
      <c r="R337" s="68"/>
      <c r="S337" s="68"/>
    </row>
    <row r="338" spans="1:19" ht="15.75" customHeight="1">
      <c r="A338" s="68"/>
      <c r="B338" s="68"/>
      <c r="D338" s="68"/>
      <c r="E338" s="69"/>
      <c r="M338" s="68"/>
      <c r="O338" s="68"/>
      <c r="P338" s="68"/>
      <c r="Q338" s="68"/>
      <c r="R338" s="68"/>
      <c r="S338" s="68"/>
    </row>
    <row r="339" spans="1:19" ht="15.75" customHeight="1">
      <c r="A339" s="68"/>
      <c r="B339" s="68"/>
      <c r="D339" s="68"/>
      <c r="E339" s="69"/>
      <c r="M339" s="68"/>
      <c r="O339" s="68"/>
      <c r="P339" s="68"/>
      <c r="Q339" s="68"/>
      <c r="R339" s="68"/>
      <c r="S339" s="68"/>
    </row>
    <row r="340" spans="1:19" ht="15.75" customHeight="1">
      <c r="A340" s="68"/>
      <c r="B340" s="68"/>
      <c r="D340" s="68"/>
      <c r="E340" s="69"/>
      <c r="M340" s="68"/>
      <c r="O340" s="68"/>
      <c r="P340" s="68"/>
      <c r="Q340" s="68"/>
      <c r="R340" s="68"/>
      <c r="S340" s="68"/>
    </row>
    <row r="341" spans="1:19" ht="15.75" customHeight="1">
      <c r="A341" s="68"/>
      <c r="B341" s="68"/>
      <c r="D341" s="68"/>
      <c r="E341" s="69"/>
      <c r="M341" s="68"/>
      <c r="O341" s="68"/>
      <c r="P341" s="68"/>
      <c r="Q341" s="68"/>
      <c r="R341" s="68"/>
      <c r="S341" s="68"/>
    </row>
    <row r="342" spans="1:19" ht="15.75" customHeight="1">
      <c r="A342" s="68"/>
      <c r="B342" s="68"/>
      <c r="D342" s="68"/>
      <c r="E342" s="69"/>
      <c r="M342" s="68"/>
      <c r="O342" s="68"/>
      <c r="P342" s="68"/>
      <c r="Q342" s="68"/>
      <c r="R342" s="68"/>
      <c r="S342" s="68"/>
    </row>
    <row r="343" spans="1:19" ht="15.75" customHeight="1">
      <c r="A343" s="68"/>
      <c r="B343" s="68"/>
      <c r="D343" s="68"/>
      <c r="E343" s="69"/>
      <c r="M343" s="68"/>
      <c r="O343" s="68"/>
      <c r="P343" s="68"/>
      <c r="Q343" s="68"/>
      <c r="R343" s="68"/>
      <c r="S343" s="68"/>
    </row>
    <row r="344" spans="1:19" ht="15.75" customHeight="1">
      <c r="A344" s="68"/>
      <c r="B344" s="68"/>
      <c r="D344" s="68"/>
      <c r="E344" s="69"/>
      <c r="M344" s="68"/>
      <c r="O344" s="68"/>
      <c r="P344" s="68"/>
      <c r="Q344" s="68"/>
      <c r="R344" s="68"/>
      <c r="S344" s="68"/>
    </row>
    <row r="345" spans="1:19" ht="15.75" customHeight="1">
      <c r="A345" s="68"/>
      <c r="B345" s="68"/>
      <c r="D345" s="68"/>
      <c r="E345" s="69"/>
      <c r="M345" s="68"/>
      <c r="O345" s="68"/>
      <c r="P345" s="68"/>
      <c r="Q345" s="68"/>
      <c r="R345" s="68"/>
      <c r="S345" s="68"/>
    </row>
    <row r="346" spans="1:19" ht="15.75" customHeight="1">
      <c r="A346" s="68"/>
      <c r="B346" s="68"/>
      <c r="D346" s="68"/>
      <c r="E346" s="69"/>
      <c r="M346" s="68"/>
      <c r="O346" s="68"/>
      <c r="P346" s="68"/>
      <c r="Q346" s="68"/>
      <c r="R346" s="68"/>
      <c r="S346" s="68"/>
    </row>
    <row r="347" spans="1:19" ht="15.75" customHeight="1">
      <c r="A347" s="68"/>
      <c r="B347" s="68"/>
      <c r="D347" s="68"/>
      <c r="E347" s="69"/>
      <c r="M347" s="68"/>
      <c r="O347" s="68"/>
      <c r="P347" s="68"/>
      <c r="Q347" s="68"/>
      <c r="R347" s="68"/>
      <c r="S347" s="68"/>
    </row>
    <row r="348" spans="1:19" ht="15.75" customHeight="1">
      <c r="A348" s="68"/>
      <c r="B348" s="68"/>
      <c r="D348" s="68"/>
      <c r="E348" s="69"/>
      <c r="M348" s="68"/>
      <c r="O348" s="68"/>
      <c r="P348" s="68"/>
      <c r="Q348" s="68"/>
      <c r="R348" s="68"/>
      <c r="S348" s="68"/>
    </row>
    <row r="349" spans="1:19" ht="15.75" customHeight="1">
      <c r="A349" s="68"/>
      <c r="B349" s="68"/>
      <c r="D349" s="68"/>
      <c r="E349" s="69"/>
      <c r="M349" s="68"/>
      <c r="O349" s="68"/>
      <c r="P349" s="68"/>
      <c r="Q349" s="68"/>
      <c r="R349" s="68"/>
      <c r="S349" s="68"/>
    </row>
    <row r="350" spans="1:19" ht="15.75" customHeight="1">
      <c r="A350" s="68"/>
      <c r="B350" s="68"/>
      <c r="D350" s="68"/>
      <c r="E350" s="69"/>
      <c r="M350" s="68"/>
      <c r="O350" s="68"/>
      <c r="P350" s="68"/>
      <c r="Q350" s="68"/>
      <c r="R350" s="68"/>
      <c r="S350" s="68"/>
    </row>
    <row r="351" spans="1:19" ht="15.75" customHeight="1">
      <c r="A351" s="68"/>
      <c r="B351" s="68"/>
      <c r="D351" s="68"/>
      <c r="E351" s="69"/>
      <c r="M351" s="68"/>
      <c r="O351" s="68"/>
      <c r="P351" s="68"/>
      <c r="Q351" s="68"/>
      <c r="R351" s="68"/>
      <c r="S351" s="68"/>
    </row>
    <row r="352" spans="1:19" ht="15.75" customHeight="1">
      <c r="A352" s="68"/>
      <c r="B352" s="68"/>
      <c r="D352" s="68"/>
      <c r="E352" s="69"/>
      <c r="M352" s="68"/>
      <c r="O352" s="68"/>
      <c r="P352" s="68"/>
      <c r="Q352" s="68"/>
      <c r="R352" s="68"/>
      <c r="S352" s="68"/>
    </row>
    <row r="353" spans="1:19" ht="15.75" customHeight="1">
      <c r="A353" s="68"/>
      <c r="B353" s="68"/>
      <c r="D353" s="68"/>
      <c r="E353" s="69"/>
      <c r="M353" s="68"/>
      <c r="O353" s="68"/>
      <c r="P353" s="68"/>
      <c r="Q353" s="68"/>
      <c r="R353" s="68"/>
      <c r="S353" s="68"/>
    </row>
    <row r="354" spans="1:19" ht="15.75" customHeight="1">
      <c r="A354" s="68"/>
      <c r="B354" s="68"/>
      <c r="D354" s="68"/>
      <c r="E354" s="69"/>
      <c r="M354" s="68"/>
      <c r="O354" s="68"/>
      <c r="P354" s="68"/>
      <c r="Q354" s="68"/>
      <c r="R354" s="68"/>
      <c r="S354" s="68"/>
    </row>
    <row r="355" spans="1:19" ht="15.75" customHeight="1">
      <c r="A355" s="68"/>
      <c r="B355" s="68"/>
      <c r="D355" s="68"/>
      <c r="E355" s="69"/>
      <c r="M355" s="68"/>
      <c r="O355" s="68"/>
      <c r="P355" s="68"/>
      <c r="Q355" s="68"/>
      <c r="R355" s="68"/>
      <c r="S355" s="68"/>
    </row>
    <row r="356" spans="1:19" ht="15.75" customHeight="1">
      <c r="A356" s="68"/>
      <c r="B356" s="68"/>
      <c r="D356" s="68"/>
      <c r="E356" s="69"/>
      <c r="M356" s="68"/>
      <c r="O356" s="68"/>
      <c r="P356" s="68"/>
      <c r="Q356" s="68"/>
      <c r="R356" s="68"/>
      <c r="S356" s="68"/>
    </row>
    <row r="357" spans="1:19" ht="15.75" customHeight="1">
      <c r="A357" s="68"/>
      <c r="B357" s="68"/>
      <c r="D357" s="68"/>
      <c r="E357" s="69"/>
      <c r="M357" s="68"/>
      <c r="O357" s="68"/>
      <c r="P357" s="68"/>
      <c r="Q357" s="68"/>
      <c r="R357" s="68"/>
      <c r="S357" s="68"/>
    </row>
    <row r="358" spans="1:19" ht="15.75" customHeight="1">
      <c r="A358" s="68"/>
      <c r="B358" s="68"/>
      <c r="D358" s="68"/>
      <c r="E358" s="69"/>
      <c r="M358" s="68"/>
      <c r="O358" s="68"/>
      <c r="P358" s="68"/>
      <c r="Q358" s="68"/>
      <c r="R358" s="68"/>
      <c r="S358" s="68"/>
    </row>
    <row r="359" spans="1:19" ht="15.75" customHeight="1">
      <c r="A359" s="68"/>
      <c r="B359" s="68"/>
      <c r="D359" s="68"/>
      <c r="E359" s="69"/>
      <c r="M359" s="68"/>
      <c r="O359" s="68"/>
      <c r="P359" s="68"/>
      <c r="Q359" s="68"/>
      <c r="R359" s="68"/>
      <c r="S359" s="68"/>
    </row>
    <row r="360" spans="1:19" ht="15.75" customHeight="1">
      <c r="A360" s="68"/>
      <c r="B360" s="68"/>
      <c r="D360" s="68"/>
      <c r="E360" s="69"/>
      <c r="M360" s="68"/>
      <c r="O360" s="68"/>
      <c r="P360" s="68"/>
      <c r="Q360" s="68"/>
      <c r="R360" s="68"/>
      <c r="S360" s="68"/>
    </row>
    <row r="361" spans="1:19" ht="15.75" customHeight="1">
      <c r="A361" s="68"/>
      <c r="B361" s="68"/>
      <c r="D361" s="68"/>
      <c r="E361" s="69"/>
      <c r="M361" s="68"/>
      <c r="O361" s="68"/>
      <c r="P361" s="68"/>
      <c r="Q361" s="68"/>
      <c r="R361" s="68"/>
      <c r="S361" s="68"/>
    </row>
    <row r="362" spans="1:19" ht="15.75" customHeight="1">
      <c r="A362" s="68"/>
      <c r="B362" s="68"/>
      <c r="D362" s="68"/>
      <c r="E362" s="69"/>
      <c r="M362" s="68"/>
      <c r="O362" s="68"/>
      <c r="P362" s="68"/>
      <c r="Q362" s="68"/>
      <c r="R362" s="68"/>
      <c r="S362" s="68"/>
    </row>
    <row r="363" spans="1:19" ht="15.75" customHeight="1">
      <c r="A363" s="68"/>
      <c r="B363" s="68"/>
      <c r="D363" s="68"/>
      <c r="E363" s="69"/>
      <c r="M363" s="68"/>
      <c r="O363" s="68"/>
      <c r="P363" s="68"/>
      <c r="Q363" s="68"/>
      <c r="R363" s="68"/>
      <c r="S363" s="68"/>
    </row>
    <row r="364" spans="1:19" ht="15.75" customHeight="1">
      <c r="A364" s="68"/>
      <c r="B364" s="68"/>
      <c r="D364" s="68"/>
      <c r="E364" s="69"/>
      <c r="M364" s="68"/>
      <c r="O364" s="68"/>
      <c r="P364" s="68"/>
      <c r="Q364" s="68"/>
      <c r="R364" s="68"/>
      <c r="S364" s="68"/>
    </row>
    <row r="365" spans="1:19" ht="15.75" customHeight="1">
      <c r="A365" s="68"/>
      <c r="B365" s="68"/>
      <c r="D365" s="68"/>
      <c r="E365" s="69"/>
      <c r="M365" s="68"/>
      <c r="O365" s="68"/>
      <c r="P365" s="68"/>
      <c r="Q365" s="68"/>
      <c r="R365" s="68"/>
      <c r="S365" s="68"/>
    </row>
    <row r="366" spans="1:19" ht="15.75" customHeight="1">
      <c r="A366" s="68"/>
      <c r="B366" s="68"/>
      <c r="D366" s="68"/>
      <c r="E366" s="69"/>
      <c r="M366" s="68"/>
      <c r="O366" s="68"/>
      <c r="P366" s="68"/>
      <c r="Q366" s="68"/>
      <c r="R366" s="68"/>
      <c r="S366" s="68"/>
    </row>
    <row r="367" spans="1:19" ht="15.75" customHeight="1">
      <c r="A367" s="68"/>
      <c r="B367" s="68"/>
      <c r="D367" s="68"/>
      <c r="E367" s="69"/>
      <c r="M367" s="68"/>
      <c r="O367" s="68"/>
      <c r="P367" s="68"/>
      <c r="Q367" s="68"/>
      <c r="R367" s="68"/>
      <c r="S367" s="68"/>
    </row>
    <row r="368" spans="1:19" ht="15.75" customHeight="1">
      <c r="A368" s="68"/>
      <c r="B368" s="68"/>
      <c r="D368" s="68"/>
      <c r="E368" s="69"/>
      <c r="M368" s="68"/>
      <c r="O368" s="68"/>
      <c r="P368" s="68"/>
      <c r="Q368" s="68"/>
      <c r="R368" s="68"/>
      <c r="S368" s="68"/>
    </row>
    <row r="369" spans="1:19" ht="15.75" customHeight="1">
      <c r="A369" s="68"/>
      <c r="B369" s="68"/>
      <c r="D369" s="68"/>
      <c r="E369" s="69"/>
      <c r="M369" s="68"/>
      <c r="O369" s="68"/>
      <c r="P369" s="68"/>
      <c r="Q369" s="68"/>
      <c r="R369" s="68"/>
      <c r="S369" s="68"/>
    </row>
    <row r="370" spans="1:19" ht="15.75" customHeight="1">
      <c r="A370" s="68"/>
      <c r="B370" s="68"/>
      <c r="D370" s="68"/>
      <c r="E370" s="69"/>
      <c r="M370" s="68"/>
      <c r="O370" s="68"/>
      <c r="P370" s="68"/>
      <c r="Q370" s="68"/>
      <c r="R370" s="68"/>
      <c r="S370" s="68"/>
    </row>
    <row r="371" spans="1:19" ht="15.75" customHeight="1">
      <c r="A371" s="68"/>
      <c r="B371" s="68"/>
      <c r="D371" s="68"/>
      <c r="E371" s="69"/>
      <c r="M371" s="68"/>
      <c r="O371" s="68"/>
      <c r="P371" s="68"/>
      <c r="Q371" s="68"/>
      <c r="R371" s="68"/>
      <c r="S371" s="68"/>
    </row>
    <row r="372" spans="1:19" ht="15.75" customHeight="1">
      <c r="A372" s="68"/>
      <c r="B372" s="68"/>
      <c r="D372" s="68"/>
      <c r="E372" s="69"/>
      <c r="M372" s="68"/>
      <c r="O372" s="68"/>
      <c r="P372" s="68"/>
      <c r="Q372" s="68"/>
      <c r="R372" s="68"/>
      <c r="S372" s="68"/>
    </row>
    <row r="373" spans="1:19" ht="15.75" customHeight="1">
      <c r="A373" s="68"/>
      <c r="B373" s="68"/>
      <c r="D373" s="68"/>
      <c r="E373" s="69"/>
      <c r="M373" s="68"/>
      <c r="O373" s="68"/>
      <c r="P373" s="68"/>
      <c r="Q373" s="68"/>
      <c r="R373" s="68"/>
      <c r="S373" s="68"/>
    </row>
    <row r="374" spans="1:19" ht="15.75" customHeight="1">
      <c r="A374" s="68"/>
      <c r="B374" s="68"/>
      <c r="D374" s="68"/>
      <c r="E374" s="69"/>
      <c r="M374" s="68"/>
      <c r="O374" s="68"/>
      <c r="P374" s="68"/>
      <c r="Q374" s="68"/>
      <c r="R374" s="68"/>
      <c r="S374" s="68"/>
    </row>
    <row r="375" spans="1:19" ht="15.75" customHeight="1">
      <c r="A375" s="68"/>
      <c r="B375" s="68"/>
      <c r="D375" s="68"/>
      <c r="E375" s="69"/>
      <c r="M375" s="68"/>
      <c r="O375" s="68"/>
      <c r="P375" s="68"/>
      <c r="Q375" s="68"/>
      <c r="R375" s="68"/>
      <c r="S375" s="68"/>
    </row>
    <row r="376" spans="1:19" ht="15.75" customHeight="1">
      <c r="A376" s="68"/>
      <c r="B376" s="68"/>
      <c r="D376" s="68"/>
      <c r="E376" s="69"/>
      <c r="M376" s="68"/>
      <c r="O376" s="68"/>
      <c r="P376" s="68"/>
      <c r="Q376" s="68"/>
      <c r="R376" s="68"/>
      <c r="S376" s="68"/>
    </row>
    <row r="377" spans="1:19" ht="15.75" customHeight="1">
      <c r="A377" s="68"/>
      <c r="B377" s="68"/>
      <c r="D377" s="68"/>
      <c r="E377" s="69"/>
      <c r="M377" s="68"/>
      <c r="O377" s="68"/>
      <c r="P377" s="68"/>
      <c r="Q377" s="68"/>
      <c r="R377" s="68"/>
      <c r="S377" s="68"/>
    </row>
    <row r="378" spans="1:19" ht="15.75" customHeight="1">
      <c r="A378" s="68"/>
      <c r="B378" s="68"/>
      <c r="D378" s="68"/>
      <c r="E378" s="69"/>
      <c r="M378" s="68"/>
      <c r="O378" s="68"/>
      <c r="P378" s="68"/>
      <c r="Q378" s="68"/>
      <c r="R378" s="68"/>
      <c r="S378" s="68"/>
    </row>
    <row r="379" spans="1:19" ht="15.75" customHeight="1">
      <c r="A379" s="68"/>
      <c r="B379" s="68"/>
      <c r="D379" s="68"/>
      <c r="E379" s="69"/>
      <c r="M379" s="68"/>
      <c r="O379" s="68"/>
      <c r="P379" s="68"/>
      <c r="Q379" s="68"/>
      <c r="R379" s="68"/>
      <c r="S379" s="68"/>
    </row>
    <row r="380" spans="1:19" ht="15.75" customHeight="1">
      <c r="A380" s="68"/>
      <c r="B380" s="68"/>
      <c r="D380" s="68"/>
      <c r="E380" s="69"/>
      <c r="M380" s="68"/>
      <c r="O380" s="68"/>
      <c r="P380" s="68"/>
      <c r="Q380" s="68"/>
      <c r="R380" s="68"/>
      <c r="S380" s="68"/>
    </row>
    <row r="381" spans="1:19" ht="15.75" customHeight="1">
      <c r="A381" s="68"/>
      <c r="B381" s="68"/>
      <c r="D381" s="68"/>
      <c r="E381" s="69"/>
      <c r="M381" s="68"/>
      <c r="O381" s="68"/>
      <c r="P381" s="68"/>
      <c r="Q381" s="68"/>
      <c r="R381" s="68"/>
      <c r="S381" s="68"/>
    </row>
    <row r="382" spans="1:19" ht="15.75" customHeight="1">
      <c r="A382" s="68"/>
      <c r="B382" s="68"/>
      <c r="D382" s="68"/>
      <c r="E382" s="69"/>
      <c r="M382" s="68"/>
      <c r="O382" s="68"/>
      <c r="P382" s="68"/>
      <c r="Q382" s="68"/>
      <c r="R382" s="68"/>
      <c r="S382" s="68"/>
    </row>
    <row r="383" spans="1:19" ht="15.75" customHeight="1">
      <c r="A383" s="68"/>
      <c r="B383" s="68"/>
      <c r="D383" s="68"/>
      <c r="E383" s="69"/>
      <c r="M383" s="68"/>
      <c r="O383" s="68"/>
      <c r="P383" s="68"/>
      <c r="Q383" s="68"/>
      <c r="R383" s="68"/>
      <c r="S383" s="68"/>
    </row>
    <row r="384" spans="1:19" ht="15.75" customHeight="1">
      <c r="A384" s="68"/>
      <c r="B384" s="68"/>
      <c r="D384" s="68"/>
      <c r="E384" s="69"/>
      <c r="M384" s="68"/>
      <c r="O384" s="68"/>
      <c r="P384" s="68"/>
      <c r="Q384" s="68"/>
      <c r="R384" s="68"/>
      <c r="S384" s="68"/>
    </row>
    <row r="385" spans="1:19" ht="15.75" customHeight="1">
      <c r="A385" s="68"/>
      <c r="B385" s="68"/>
      <c r="D385" s="68"/>
      <c r="E385" s="69"/>
      <c r="M385" s="68"/>
      <c r="O385" s="68"/>
      <c r="P385" s="68"/>
      <c r="Q385" s="68"/>
      <c r="R385" s="68"/>
      <c r="S385" s="68"/>
    </row>
    <row r="386" spans="1:19" ht="15.75" customHeight="1">
      <c r="A386" s="68"/>
      <c r="B386" s="68"/>
      <c r="D386" s="68"/>
      <c r="E386" s="69"/>
      <c r="M386" s="68"/>
      <c r="O386" s="68"/>
      <c r="P386" s="68"/>
      <c r="Q386" s="68"/>
      <c r="R386" s="68"/>
      <c r="S386" s="68"/>
    </row>
    <row r="387" spans="1:19" ht="15.75" customHeight="1">
      <c r="A387" s="68"/>
      <c r="B387" s="68"/>
      <c r="D387" s="68"/>
      <c r="E387" s="69"/>
      <c r="M387" s="68"/>
      <c r="O387" s="68"/>
      <c r="P387" s="68"/>
      <c r="Q387" s="68"/>
      <c r="R387" s="68"/>
      <c r="S387" s="68"/>
    </row>
    <row r="388" spans="1:19" ht="15.75" customHeight="1">
      <c r="A388" s="68"/>
      <c r="B388" s="68"/>
      <c r="D388" s="68"/>
      <c r="E388" s="69"/>
      <c r="M388" s="68"/>
      <c r="O388" s="68"/>
      <c r="P388" s="68"/>
      <c r="Q388" s="68"/>
      <c r="R388" s="68"/>
      <c r="S388" s="68"/>
    </row>
    <row r="389" spans="1:19" ht="15.75" customHeight="1">
      <c r="A389" s="68"/>
      <c r="B389" s="68"/>
      <c r="D389" s="68"/>
      <c r="E389" s="69"/>
      <c r="M389" s="68"/>
      <c r="O389" s="68"/>
      <c r="P389" s="68"/>
      <c r="Q389" s="68"/>
      <c r="R389" s="68"/>
      <c r="S389" s="68"/>
    </row>
    <row r="390" spans="1:19" ht="15.75" customHeight="1">
      <c r="A390" s="68"/>
      <c r="B390" s="68"/>
      <c r="D390" s="68"/>
      <c r="E390" s="69"/>
      <c r="M390" s="68"/>
      <c r="O390" s="68"/>
      <c r="P390" s="68"/>
      <c r="Q390" s="68"/>
      <c r="R390" s="68"/>
      <c r="S390" s="68"/>
    </row>
    <row r="391" spans="1:19" ht="15.75" customHeight="1">
      <c r="A391" s="68"/>
      <c r="B391" s="68"/>
      <c r="D391" s="68"/>
      <c r="E391" s="69"/>
      <c r="M391" s="68"/>
      <c r="O391" s="68"/>
      <c r="P391" s="68"/>
      <c r="Q391" s="68"/>
      <c r="R391" s="68"/>
      <c r="S391" s="68"/>
    </row>
    <row r="392" spans="1:19" ht="15.75" customHeight="1">
      <c r="A392" s="68"/>
      <c r="B392" s="68"/>
      <c r="D392" s="68"/>
      <c r="E392" s="69"/>
      <c r="M392" s="68"/>
      <c r="O392" s="68"/>
      <c r="P392" s="68"/>
      <c r="Q392" s="68"/>
      <c r="R392" s="68"/>
      <c r="S392" s="68"/>
    </row>
    <row r="393" spans="1:19" ht="15.75" customHeight="1">
      <c r="A393" s="68"/>
      <c r="B393" s="68"/>
      <c r="D393" s="68"/>
      <c r="E393" s="69"/>
      <c r="M393" s="68"/>
      <c r="O393" s="68"/>
      <c r="P393" s="68"/>
      <c r="Q393" s="68"/>
      <c r="R393" s="68"/>
      <c r="S393" s="68"/>
    </row>
    <row r="394" spans="1:19" ht="15.75" customHeight="1">
      <c r="A394" s="68"/>
      <c r="B394" s="68"/>
      <c r="D394" s="68"/>
      <c r="E394" s="69"/>
      <c r="M394" s="68"/>
      <c r="O394" s="68"/>
      <c r="P394" s="68"/>
      <c r="Q394" s="68"/>
      <c r="R394" s="68"/>
      <c r="S394" s="68"/>
    </row>
    <row r="395" spans="1:19" ht="15.75" customHeight="1">
      <c r="A395" s="68"/>
      <c r="B395" s="68"/>
      <c r="D395" s="68"/>
      <c r="E395" s="69"/>
      <c r="M395" s="68"/>
      <c r="O395" s="68"/>
      <c r="P395" s="68"/>
      <c r="Q395" s="68"/>
      <c r="R395" s="68"/>
      <c r="S395" s="68"/>
    </row>
    <row r="396" spans="1:19" ht="15.75" customHeight="1">
      <c r="A396" s="68"/>
      <c r="B396" s="68"/>
      <c r="D396" s="68"/>
      <c r="E396" s="69"/>
      <c r="M396" s="68"/>
      <c r="O396" s="68"/>
      <c r="P396" s="68"/>
      <c r="Q396" s="68"/>
      <c r="R396" s="68"/>
      <c r="S396" s="68"/>
    </row>
    <row r="397" spans="1:19" ht="15.75" customHeight="1">
      <c r="A397" s="68"/>
      <c r="B397" s="68"/>
      <c r="D397" s="68"/>
      <c r="E397" s="69"/>
      <c r="M397" s="68"/>
      <c r="O397" s="68"/>
      <c r="P397" s="68"/>
      <c r="Q397" s="68"/>
      <c r="R397" s="68"/>
      <c r="S397" s="68"/>
    </row>
    <row r="398" spans="1:19" ht="15.75" customHeight="1">
      <c r="A398" s="68"/>
      <c r="B398" s="68"/>
      <c r="D398" s="68"/>
      <c r="E398" s="69"/>
      <c r="M398" s="68"/>
      <c r="O398" s="68"/>
      <c r="P398" s="68"/>
      <c r="Q398" s="68"/>
      <c r="R398" s="68"/>
      <c r="S398" s="68"/>
    </row>
    <row r="399" spans="1:19" ht="15.75" customHeight="1">
      <c r="A399" s="68"/>
      <c r="B399" s="68"/>
      <c r="D399" s="68"/>
      <c r="E399" s="69"/>
      <c r="M399" s="68"/>
      <c r="O399" s="68"/>
      <c r="P399" s="68"/>
      <c r="Q399" s="68"/>
      <c r="R399" s="68"/>
      <c r="S399" s="68"/>
    </row>
    <row r="400" spans="1:19" ht="15.75" customHeight="1">
      <c r="A400" s="68"/>
      <c r="B400" s="68"/>
      <c r="D400" s="68"/>
      <c r="E400" s="69"/>
      <c r="M400" s="68"/>
      <c r="O400" s="68"/>
      <c r="P400" s="68"/>
      <c r="Q400" s="68"/>
      <c r="R400" s="68"/>
      <c r="S400" s="68"/>
    </row>
    <row r="401" spans="1:19" ht="15.75" customHeight="1">
      <c r="A401" s="68"/>
      <c r="B401" s="68"/>
      <c r="D401" s="68"/>
      <c r="E401" s="69"/>
      <c r="M401" s="68"/>
      <c r="O401" s="68"/>
      <c r="P401" s="68"/>
      <c r="Q401" s="68"/>
      <c r="R401" s="68"/>
      <c r="S401" s="68"/>
    </row>
    <row r="402" spans="1:19" ht="15.75" customHeight="1">
      <c r="A402" s="68"/>
      <c r="B402" s="68"/>
      <c r="D402" s="68"/>
      <c r="E402" s="69"/>
      <c r="M402" s="68"/>
      <c r="O402" s="68"/>
      <c r="P402" s="68"/>
      <c r="Q402" s="68"/>
      <c r="R402" s="68"/>
      <c r="S402" s="68"/>
    </row>
    <row r="403" spans="1:19" ht="15.75" customHeight="1">
      <c r="A403" s="68"/>
      <c r="B403" s="68"/>
      <c r="D403" s="68"/>
      <c r="E403" s="69"/>
      <c r="M403" s="68"/>
      <c r="O403" s="68"/>
      <c r="P403" s="68"/>
      <c r="Q403" s="68"/>
      <c r="R403" s="68"/>
      <c r="S403" s="68"/>
    </row>
    <row r="404" spans="1:19" ht="15.75" customHeight="1">
      <c r="A404" s="68"/>
      <c r="B404" s="68"/>
      <c r="D404" s="68"/>
      <c r="E404" s="69"/>
      <c r="M404" s="68"/>
      <c r="O404" s="68"/>
      <c r="P404" s="68"/>
      <c r="Q404" s="68"/>
      <c r="R404" s="68"/>
      <c r="S404" s="68"/>
    </row>
    <row r="405" spans="1:19" ht="15.75" customHeight="1">
      <c r="A405" s="68"/>
      <c r="B405" s="68"/>
      <c r="D405" s="68"/>
      <c r="E405" s="69"/>
      <c r="M405" s="68"/>
      <c r="O405" s="68"/>
      <c r="P405" s="68"/>
      <c r="Q405" s="68"/>
      <c r="R405" s="68"/>
      <c r="S405" s="68"/>
    </row>
    <row r="406" spans="1:19" ht="15.75" customHeight="1">
      <c r="A406" s="68"/>
      <c r="B406" s="68"/>
      <c r="D406" s="68"/>
      <c r="E406" s="69"/>
      <c r="M406" s="68"/>
      <c r="O406" s="68"/>
      <c r="P406" s="68"/>
      <c r="Q406" s="68"/>
      <c r="R406" s="68"/>
      <c r="S406" s="68"/>
    </row>
    <row r="407" spans="1:19" ht="15.75" customHeight="1">
      <c r="A407" s="68"/>
      <c r="B407" s="68"/>
      <c r="D407" s="68"/>
      <c r="E407" s="69"/>
      <c r="M407" s="68"/>
      <c r="O407" s="68"/>
      <c r="P407" s="68"/>
      <c r="Q407" s="68"/>
      <c r="R407" s="68"/>
      <c r="S407" s="68"/>
    </row>
    <row r="408" spans="1:19" ht="15.75" customHeight="1">
      <c r="A408" s="68"/>
      <c r="B408" s="68"/>
      <c r="D408" s="68"/>
      <c r="E408" s="69"/>
      <c r="M408" s="68"/>
      <c r="O408" s="68"/>
      <c r="P408" s="68"/>
      <c r="Q408" s="68"/>
      <c r="R408" s="68"/>
      <c r="S408" s="68"/>
    </row>
    <row r="409" spans="1:19" ht="15.75" customHeight="1">
      <c r="A409" s="68"/>
      <c r="B409" s="68"/>
      <c r="D409" s="68"/>
      <c r="E409" s="69"/>
      <c r="M409" s="68"/>
      <c r="O409" s="68"/>
      <c r="P409" s="68"/>
      <c r="Q409" s="68"/>
      <c r="R409" s="68"/>
      <c r="S409" s="68"/>
    </row>
    <row r="410" spans="1:19" ht="15.75" customHeight="1">
      <c r="A410" s="68"/>
      <c r="B410" s="68"/>
      <c r="D410" s="68"/>
      <c r="E410" s="69"/>
      <c r="M410" s="68"/>
      <c r="O410" s="68"/>
      <c r="P410" s="68"/>
      <c r="Q410" s="68"/>
      <c r="R410" s="68"/>
      <c r="S410" s="68"/>
    </row>
    <row r="411" spans="1:19" ht="15.75" customHeight="1">
      <c r="A411" s="68"/>
      <c r="B411" s="68"/>
      <c r="D411" s="68"/>
      <c r="E411" s="69"/>
      <c r="M411" s="68"/>
      <c r="O411" s="68"/>
      <c r="P411" s="68"/>
      <c r="Q411" s="68"/>
      <c r="R411" s="68"/>
      <c r="S411" s="68"/>
    </row>
    <row r="412" spans="1:19" ht="15.75" customHeight="1">
      <c r="A412" s="68"/>
      <c r="B412" s="68"/>
      <c r="D412" s="68"/>
      <c r="E412" s="69"/>
      <c r="M412" s="68"/>
      <c r="O412" s="68"/>
      <c r="P412" s="68"/>
      <c r="Q412" s="68"/>
      <c r="R412" s="68"/>
      <c r="S412" s="68"/>
    </row>
    <row r="413" spans="1:19" ht="15.75" customHeight="1">
      <c r="A413" s="68"/>
      <c r="B413" s="68"/>
      <c r="D413" s="68"/>
      <c r="E413" s="69"/>
      <c r="M413" s="68"/>
      <c r="O413" s="68"/>
      <c r="P413" s="68"/>
      <c r="Q413" s="68"/>
      <c r="R413" s="68"/>
      <c r="S413" s="68"/>
    </row>
    <row r="414" spans="1:19" ht="15.75" customHeight="1">
      <c r="A414" s="68"/>
      <c r="B414" s="68"/>
      <c r="D414" s="68"/>
      <c r="E414" s="69"/>
      <c r="M414" s="68"/>
      <c r="O414" s="68"/>
      <c r="P414" s="68"/>
      <c r="Q414" s="68"/>
      <c r="R414" s="68"/>
      <c r="S414" s="68"/>
    </row>
    <row r="415" spans="1:19" ht="15.75" customHeight="1">
      <c r="A415" s="68"/>
      <c r="B415" s="68"/>
      <c r="D415" s="68"/>
      <c r="E415" s="69"/>
      <c r="M415" s="68"/>
      <c r="O415" s="68"/>
      <c r="P415" s="68"/>
      <c r="Q415" s="68"/>
      <c r="R415" s="68"/>
      <c r="S415" s="68"/>
    </row>
    <row r="416" spans="1:19" ht="15.75" customHeight="1">
      <c r="A416" s="68"/>
      <c r="B416" s="68"/>
      <c r="D416" s="68"/>
      <c r="E416" s="69"/>
      <c r="M416" s="68"/>
      <c r="O416" s="68"/>
      <c r="P416" s="68"/>
      <c r="Q416" s="68"/>
      <c r="R416" s="68"/>
      <c r="S416" s="68"/>
    </row>
    <row r="417" spans="1:19" ht="15.75" customHeight="1">
      <c r="A417" s="68"/>
      <c r="B417" s="68"/>
      <c r="D417" s="68"/>
      <c r="E417" s="69"/>
      <c r="M417" s="68"/>
      <c r="O417" s="68"/>
      <c r="P417" s="68"/>
      <c r="Q417" s="68"/>
      <c r="R417" s="68"/>
      <c r="S417" s="68"/>
    </row>
    <row r="418" spans="1:19" ht="15.75" customHeight="1">
      <c r="A418" s="68"/>
      <c r="B418" s="68"/>
      <c r="D418" s="68"/>
      <c r="E418" s="69"/>
      <c r="M418" s="68"/>
      <c r="O418" s="68"/>
      <c r="P418" s="68"/>
      <c r="Q418" s="68"/>
      <c r="R418" s="68"/>
      <c r="S418" s="68"/>
    </row>
    <row r="419" spans="1:19" ht="15.75" customHeight="1">
      <c r="A419" s="68"/>
      <c r="B419" s="68"/>
      <c r="D419" s="68"/>
      <c r="E419" s="69"/>
      <c r="M419" s="68"/>
      <c r="O419" s="68"/>
      <c r="P419" s="68"/>
      <c r="Q419" s="68"/>
      <c r="R419" s="68"/>
      <c r="S419" s="68"/>
    </row>
    <row r="420" spans="1:19" ht="15.75" customHeight="1">
      <c r="A420" s="68"/>
      <c r="B420" s="68"/>
      <c r="D420" s="68"/>
      <c r="E420" s="69"/>
      <c r="M420" s="68"/>
      <c r="O420" s="68"/>
      <c r="P420" s="68"/>
      <c r="Q420" s="68"/>
      <c r="R420" s="68"/>
      <c r="S420" s="68"/>
    </row>
    <row r="421" spans="1:19" ht="15.75" customHeight="1">
      <c r="A421" s="68"/>
      <c r="B421" s="68"/>
      <c r="D421" s="68"/>
      <c r="E421" s="69"/>
      <c r="M421" s="68"/>
      <c r="O421" s="68"/>
      <c r="P421" s="68"/>
      <c r="Q421" s="68"/>
      <c r="R421" s="68"/>
      <c r="S421" s="68"/>
    </row>
    <row r="422" spans="1:19" ht="15.75" customHeight="1">
      <c r="A422" s="68"/>
      <c r="B422" s="68"/>
      <c r="D422" s="68"/>
      <c r="E422" s="69"/>
      <c r="M422" s="68"/>
      <c r="O422" s="68"/>
      <c r="P422" s="68"/>
      <c r="Q422" s="68"/>
      <c r="R422" s="68"/>
      <c r="S422" s="68"/>
    </row>
    <row r="423" spans="1:19" ht="15.75" customHeight="1">
      <c r="A423" s="68"/>
      <c r="B423" s="68"/>
      <c r="D423" s="68"/>
      <c r="E423" s="69"/>
      <c r="M423" s="68"/>
      <c r="O423" s="68"/>
      <c r="P423" s="68"/>
      <c r="Q423" s="68"/>
      <c r="R423" s="68"/>
      <c r="S423" s="68"/>
    </row>
    <row r="424" spans="1:19" ht="15.75" customHeight="1">
      <c r="A424" s="68"/>
      <c r="B424" s="68"/>
      <c r="D424" s="68"/>
      <c r="E424" s="69"/>
      <c r="M424" s="68"/>
      <c r="O424" s="68"/>
      <c r="P424" s="68"/>
      <c r="Q424" s="68"/>
      <c r="R424" s="68"/>
      <c r="S424" s="68"/>
    </row>
    <row r="425" spans="1:19" ht="15.75" customHeight="1">
      <c r="A425" s="68"/>
      <c r="B425" s="68"/>
      <c r="D425" s="68"/>
      <c r="E425" s="69"/>
      <c r="M425" s="68"/>
      <c r="O425" s="68"/>
      <c r="P425" s="68"/>
      <c r="Q425" s="68"/>
      <c r="R425" s="68"/>
      <c r="S425" s="68"/>
    </row>
    <row r="426" spans="1:19" ht="15.75" customHeight="1">
      <c r="A426" s="68"/>
      <c r="B426" s="68"/>
      <c r="D426" s="68"/>
      <c r="E426" s="69"/>
      <c r="M426" s="68"/>
      <c r="O426" s="68"/>
      <c r="P426" s="68"/>
      <c r="Q426" s="68"/>
      <c r="R426" s="68"/>
      <c r="S426" s="68"/>
    </row>
    <row r="427" spans="1:19" ht="15.75" customHeight="1">
      <c r="A427" s="68"/>
      <c r="B427" s="68"/>
      <c r="D427" s="68"/>
      <c r="E427" s="69"/>
      <c r="M427" s="68"/>
      <c r="O427" s="68"/>
      <c r="P427" s="68"/>
      <c r="Q427" s="68"/>
      <c r="R427" s="68"/>
      <c r="S427" s="68"/>
    </row>
    <row r="428" spans="1:19" ht="15.75" customHeight="1">
      <c r="A428" s="68"/>
      <c r="B428" s="68"/>
      <c r="D428" s="68"/>
      <c r="E428" s="69"/>
      <c r="M428" s="68"/>
      <c r="O428" s="68"/>
      <c r="P428" s="68"/>
      <c r="Q428" s="68"/>
      <c r="R428" s="68"/>
      <c r="S428" s="68"/>
    </row>
    <row r="429" spans="1:19" ht="15.75" customHeight="1">
      <c r="A429" s="68"/>
      <c r="B429" s="68"/>
      <c r="D429" s="68"/>
      <c r="E429" s="69"/>
      <c r="M429" s="68"/>
      <c r="O429" s="68"/>
      <c r="P429" s="68"/>
      <c r="Q429" s="68"/>
      <c r="R429" s="68"/>
      <c r="S429" s="68"/>
    </row>
    <row r="430" spans="1:19" ht="15.75" customHeight="1">
      <c r="A430" s="68"/>
      <c r="B430" s="68"/>
      <c r="D430" s="68"/>
      <c r="E430" s="69"/>
      <c r="M430" s="68"/>
      <c r="O430" s="68"/>
      <c r="P430" s="68"/>
      <c r="Q430" s="68"/>
      <c r="R430" s="68"/>
      <c r="S430" s="68"/>
    </row>
    <row r="431" spans="1:19" ht="15.75" customHeight="1">
      <c r="A431" s="68"/>
      <c r="B431" s="68"/>
      <c r="D431" s="68"/>
      <c r="E431" s="69"/>
      <c r="M431" s="68"/>
      <c r="O431" s="68"/>
      <c r="P431" s="68"/>
      <c r="Q431" s="68"/>
      <c r="R431" s="68"/>
      <c r="S431" s="68"/>
    </row>
    <row r="432" spans="1:19" ht="15.75" customHeight="1">
      <c r="A432" s="68"/>
      <c r="B432" s="68"/>
      <c r="D432" s="68"/>
      <c r="E432" s="69"/>
      <c r="M432" s="68"/>
      <c r="O432" s="68"/>
      <c r="P432" s="68"/>
      <c r="Q432" s="68"/>
      <c r="R432" s="68"/>
      <c r="S432" s="68"/>
    </row>
    <row r="433" spans="1:19" ht="15.75" customHeight="1">
      <c r="A433" s="68"/>
      <c r="B433" s="68"/>
      <c r="D433" s="68"/>
      <c r="E433" s="69"/>
      <c r="M433" s="68"/>
      <c r="O433" s="68"/>
      <c r="P433" s="68"/>
      <c r="Q433" s="68"/>
      <c r="R433" s="68"/>
      <c r="S433" s="68"/>
    </row>
    <row r="434" spans="1:19" ht="15.75" customHeight="1">
      <c r="A434" s="68"/>
      <c r="B434" s="68"/>
      <c r="D434" s="68"/>
      <c r="E434" s="69"/>
      <c r="M434" s="68"/>
      <c r="O434" s="68"/>
      <c r="P434" s="68"/>
      <c r="Q434" s="68"/>
      <c r="R434" s="68"/>
      <c r="S434" s="68"/>
    </row>
    <row r="435" spans="1:19" ht="15.75" customHeight="1">
      <c r="A435" s="68"/>
      <c r="B435" s="68"/>
      <c r="D435" s="68"/>
      <c r="E435" s="69"/>
      <c r="M435" s="68"/>
      <c r="O435" s="68"/>
      <c r="P435" s="68"/>
      <c r="Q435" s="68"/>
      <c r="R435" s="68"/>
      <c r="S435" s="68"/>
    </row>
    <row r="436" spans="1:19" ht="15.75" customHeight="1">
      <c r="A436" s="68"/>
      <c r="B436" s="68"/>
      <c r="D436" s="68"/>
      <c r="E436" s="69"/>
      <c r="M436" s="68"/>
      <c r="O436" s="68"/>
      <c r="P436" s="68"/>
      <c r="Q436" s="68"/>
      <c r="R436" s="68"/>
      <c r="S436" s="68"/>
    </row>
    <row r="437" spans="1:19" ht="15.75" customHeight="1">
      <c r="A437" s="68"/>
      <c r="B437" s="68"/>
      <c r="D437" s="68"/>
      <c r="E437" s="69"/>
      <c r="M437" s="68"/>
      <c r="O437" s="68"/>
      <c r="P437" s="68"/>
      <c r="Q437" s="68"/>
      <c r="R437" s="68"/>
      <c r="S437" s="68"/>
    </row>
    <row r="438" spans="1:19" ht="15.75" customHeight="1">
      <c r="A438" s="68"/>
      <c r="B438" s="68"/>
      <c r="D438" s="68"/>
      <c r="E438" s="69"/>
      <c r="M438" s="68"/>
      <c r="O438" s="68"/>
      <c r="P438" s="68"/>
      <c r="Q438" s="68"/>
      <c r="R438" s="68"/>
      <c r="S438" s="68"/>
    </row>
    <row r="439" spans="1:19" ht="15.75" customHeight="1">
      <c r="A439" s="68"/>
      <c r="B439" s="68"/>
      <c r="D439" s="68"/>
      <c r="E439" s="69"/>
      <c r="M439" s="68"/>
      <c r="O439" s="68"/>
      <c r="P439" s="68"/>
      <c r="Q439" s="68"/>
      <c r="R439" s="68"/>
      <c r="S439" s="68"/>
    </row>
    <row r="440" spans="1:19" ht="15.75" customHeight="1">
      <c r="A440" s="68"/>
      <c r="B440" s="68"/>
      <c r="D440" s="68"/>
      <c r="E440" s="69"/>
      <c r="M440" s="68"/>
      <c r="O440" s="68"/>
      <c r="P440" s="68"/>
      <c r="Q440" s="68"/>
      <c r="R440" s="68"/>
      <c r="S440" s="68"/>
    </row>
    <row r="441" spans="1:19" ht="15.75" customHeight="1">
      <c r="A441" s="68"/>
      <c r="B441" s="68"/>
      <c r="D441" s="68"/>
      <c r="E441" s="69"/>
      <c r="M441" s="68"/>
      <c r="O441" s="68"/>
      <c r="P441" s="68"/>
      <c r="Q441" s="68"/>
      <c r="R441" s="68"/>
      <c r="S441" s="68"/>
    </row>
    <row r="442" spans="1:19" ht="15.75" customHeight="1">
      <c r="A442" s="68"/>
      <c r="B442" s="68"/>
      <c r="D442" s="68"/>
      <c r="E442" s="69"/>
      <c r="M442" s="68"/>
      <c r="O442" s="68"/>
      <c r="P442" s="68"/>
      <c r="Q442" s="68"/>
      <c r="R442" s="68"/>
      <c r="S442" s="68"/>
    </row>
    <row r="443" spans="1:19" ht="15.75" customHeight="1">
      <c r="A443" s="68"/>
      <c r="B443" s="68"/>
      <c r="D443" s="68"/>
      <c r="E443" s="69"/>
      <c r="M443" s="68"/>
      <c r="O443" s="68"/>
      <c r="P443" s="68"/>
      <c r="Q443" s="68"/>
      <c r="R443" s="68"/>
      <c r="S443" s="68"/>
    </row>
    <row r="444" spans="1:19" ht="15.75" customHeight="1">
      <c r="A444" s="68"/>
      <c r="B444" s="68"/>
      <c r="D444" s="68"/>
      <c r="E444" s="69"/>
      <c r="M444" s="68"/>
      <c r="O444" s="68"/>
      <c r="P444" s="68"/>
      <c r="Q444" s="68"/>
      <c r="R444" s="68"/>
      <c r="S444" s="68"/>
    </row>
    <row r="445" spans="1:19" ht="15.75" customHeight="1">
      <c r="A445" s="68"/>
      <c r="B445" s="68"/>
      <c r="D445" s="68"/>
      <c r="E445" s="69"/>
      <c r="M445" s="68"/>
      <c r="O445" s="68"/>
      <c r="P445" s="68"/>
      <c r="Q445" s="68"/>
      <c r="R445" s="68"/>
      <c r="S445" s="68"/>
    </row>
    <row r="446" spans="1:19" ht="15.75" customHeight="1">
      <c r="A446" s="68"/>
      <c r="B446" s="68"/>
      <c r="D446" s="68"/>
      <c r="E446" s="69"/>
      <c r="M446" s="68"/>
      <c r="O446" s="68"/>
      <c r="P446" s="68"/>
      <c r="Q446" s="68"/>
      <c r="R446" s="68"/>
      <c r="S446" s="68"/>
    </row>
    <row r="447" spans="1:19" ht="15.75" customHeight="1">
      <c r="A447" s="68"/>
      <c r="B447" s="68"/>
      <c r="D447" s="68"/>
      <c r="E447" s="69"/>
      <c r="M447" s="68"/>
      <c r="O447" s="68"/>
      <c r="P447" s="68"/>
      <c r="Q447" s="68"/>
      <c r="R447" s="68"/>
      <c r="S447" s="68"/>
    </row>
    <row r="448" spans="1:19" ht="15.75" customHeight="1">
      <c r="A448" s="68"/>
      <c r="B448" s="68"/>
      <c r="D448" s="68"/>
      <c r="E448" s="69"/>
      <c r="M448" s="68"/>
      <c r="O448" s="68"/>
      <c r="P448" s="68"/>
      <c r="Q448" s="68"/>
      <c r="R448" s="68"/>
      <c r="S448" s="68"/>
    </row>
    <row r="449" spans="1:19" ht="15.75" customHeight="1">
      <c r="A449" s="68"/>
      <c r="B449" s="68"/>
      <c r="D449" s="68"/>
      <c r="E449" s="69"/>
      <c r="M449" s="68"/>
      <c r="O449" s="68"/>
      <c r="P449" s="68"/>
      <c r="Q449" s="68"/>
      <c r="R449" s="68"/>
      <c r="S449" s="68"/>
    </row>
    <row r="450" spans="1:19" ht="15.75" customHeight="1">
      <c r="A450" s="68"/>
      <c r="B450" s="68"/>
      <c r="D450" s="68"/>
      <c r="E450" s="69"/>
      <c r="M450" s="68"/>
      <c r="O450" s="68"/>
      <c r="P450" s="68"/>
      <c r="Q450" s="68"/>
      <c r="R450" s="68"/>
      <c r="S450" s="68"/>
    </row>
    <row r="451" spans="1:19" ht="15.75" customHeight="1">
      <c r="A451" s="68"/>
      <c r="B451" s="68"/>
      <c r="D451" s="68"/>
      <c r="E451" s="69"/>
      <c r="M451" s="68"/>
      <c r="O451" s="68"/>
      <c r="P451" s="68"/>
      <c r="Q451" s="68"/>
      <c r="R451" s="68"/>
      <c r="S451" s="68"/>
    </row>
    <row r="452" spans="1:19" ht="15.75" customHeight="1">
      <c r="A452" s="68"/>
      <c r="B452" s="68"/>
      <c r="D452" s="68"/>
      <c r="E452" s="69"/>
      <c r="M452" s="68"/>
      <c r="O452" s="68"/>
      <c r="P452" s="68"/>
      <c r="Q452" s="68"/>
      <c r="R452" s="68"/>
      <c r="S452" s="68"/>
    </row>
    <row r="453" spans="1:19" ht="15.75" customHeight="1">
      <c r="A453" s="68"/>
      <c r="B453" s="68"/>
      <c r="D453" s="68"/>
      <c r="E453" s="69"/>
      <c r="M453" s="68"/>
      <c r="O453" s="68"/>
      <c r="P453" s="68"/>
      <c r="Q453" s="68"/>
      <c r="R453" s="68"/>
      <c r="S453" s="68"/>
    </row>
    <row r="454" spans="1:19" ht="15.75" customHeight="1">
      <c r="A454" s="68"/>
      <c r="B454" s="68"/>
      <c r="D454" s="68"/>
      <c r="E454" s="69"/>
      <c r="M454" s="68"/>
      <c r="O454" s="68"/>
      <c r="P454" s="68"/>
      <c r="Q454" s="68"/>
      <c r="R454" s="68"/>
      <c r="S454" s="68"/>
    </row>
    <row r="455" spans="1:19" ht="15.75" customHeight="1">
      <c r="A455" s="68"/>
      <c r="B455" s="68"/>
      <c r="D455" s="68"/>
      <c r="E455" s="69"/>
      <c r="M455" s="68"/>
      <c r="O455" s="68"/>
      <c r="P455" s="68"/>
      <c r="Q455" s="68"/>
      <c r="R455" s="68"/>
      <c r="S455" s="68"/>
    </row>
    <row r="456" spans="1:19" ht="15.75" customHeight="1">
      <c r="A456" s="68"/>
      <c r="B456" s="68"/>
      <c r="D456" s="68"/>
      <c r="E456" s="69"/>
      <c r="M456" s="68"/>
      <c r="O456" s="68"/>
      <c r="P456" s="68"/>
      <c r="Q456" s="68"/>
      <c r="R456" s="68"/>
      <c r="S456" s="68"/>
    </row>
    <row r="457" spans="1:19" ht="15.75" customHeight="1">
      <c r="A457" s="68"/>
      <c r="B457" s="68"/>
      <c r="D457" s="68"/>
      <c r="E457" s="69"/>
      <c r="M457" s="68"/>
      <c r="O457" s="68"/>
      <c r="P457" s="68"/>
      <c r="Q457" s="68"/>
      <c r="R457" s="68"/>
      <c r="S457" s="68"/>
    </row>
    <row r="458" spans="1:19" ht="15.75" customHeight="1">
      <c r="A458" s="68"/>
      <c r="B458" s="68"/>
      <c r="D458" s="68"/>
      <c r="E458" s="69"/>
      <c r="M458" s="68"/>
      <c r="O458" s="68"/>
      <c r="P458" s="68"/>
      <c r="Q458" s="68"/>
      <c r="R458" s="68"/>
      <c r="S458" s="68"/>
    </row>
    <row r="459" spans="1:19" ht="15.75" customHeight="1">
      <c r="A459" s="68"/>
      <c r="B459" s="68"/>
      <c r="D459" s="68"/>
      <c r="E459" s="69"/>
      <c r="M459" s="68"/>
      <c r="O459" s="68"/>
      <c r="P459" s="68"/>
      <c r="Q459" s="68"/>
      <c r="R459" s="68"/>
      <c r="S459" s="68"/>
    </row>
    <row r="460" spans="1:19" ht="15.75" customHeight="1">
      <c r="A460" s="68"/>
      <c r="B460" s="68"/>
      <c r="D460" s="68"/>
      <c r="E460" s="69"/>
      <c r="M460" s="68"/>
      <c r="O460" s="68"/>
      <c r="P460" s="68"/>
      <c r="Q460" s="68"/>
      <c r="R460" s="68"/>
      <c r="S460" s="68"/>
    </row>
    <row r="461" spans="1:19" ht="15.75" customHeight="1">
      <c r="A461" s="68"/>
      <c r="B461" s="68"/>
      <c r="D461" s="68"/>
      <c r="E461" s="69"/>
      <c r="M461" s="68"/>
      <c r="O461" s="68"/>
      <c r="P461" s="68"/>
      <c r="Q461" s="68"/>
      <c r="R461" s="68"/>
      <c r="S461" s="68"/>
    </row>
    <row r="462" spans="1:19" ht="15.75" customHeight="1">
      <c r="A462" s="68"/>
      <c r="B462" s="68"/>
      <c r="D462" s="68"/>
      <c r="E462" s="69"/>
      <c r="M462" s="68"/>
      <c r="O462" s="68"/>
      <c r="P462" s="68"/>
      <c r="Q462" s="68"/>
      <c r="R462" s="68"/>
      <c r="S462" s="68"/>
    </row>
    <row r="463" spans="1:19" ht="15.75" customHeight="1">
      <c r="A463" s="68"/>
      <c r="B463" s="68"/>
      <c r="D463" s="68"/>
      <c r="E463" s="69"/>
      <c r="M463" s="68"/>
      <c r="O463" s="68"/>
      <c r="P463" s="68"/>
      <c r="Q463" s="68"/>
      <c r="R463" s="68"/>
      <c r="S463" s="68"/>
    </row>
    <row r="464" spans="1:19" ht="15.75" customHeight="1">
      <c r="A464" s="68"/>
      <c r="B464" s="68"/>
      <c r="D464" s="68"/>
      <c r="E464" s="69"/>
      <c r="M464" s="68"/>
      <c r="O464" s="68"/>
      <c r="P464" s="68"/>
      <c r="Q464" s="68"/>
      <c r="R464" s="68"/>
      <c r="S464" s="68"/>
    </row>
    <row r="465" spans="1:19" ht="15.75" customHeight="1">
      <c r="A465" s="68"/>
      <c r="B465" s="68"/>
      <c r="D465" s="68"/>
      <c r="E465" s="69"/>
      <c r="M465" s="68"/>
      <c r="O465" s="68"/>
      <c r="P465" s="68"/>
      <c r="Q465" s="68"/>
      <c r="R465" s="68"/>
      <c r="S465" s="68"/>
    </row>
    <row r="466" spans="1:19" ht="15.75" customHeight="1">
      <c r="A466" s="68"/>
      <c r="B466" s="68"/>
      <c r="D466" s="68"/>
      <c r="E466" s="69"/>
      <c r="M466" s="68"/>
      <c r="O466" s="68"/>
      <c r="P466" s="68"/>
      <c r="Q466" s="68"/>
      <c r="R466" s="68"/>
      <c r="S466" s="68"/>
    </row>
    <row r="467" spans="1:19" ht="15.75" customHeight="1">
      <c r="A467" s="68"/>
      <c r="B467" s="68"/>
      <c r="D467" s="68"/>
      <c r="E467" s="69"/>
      <c r="M467" s="68"/>
      <c r="O467" s="68"/>
      <c r="P467" s="68"/>
      <c r="Q467" s="68"/>
      <c r="R467" s="68"/>
      <c r="S467" s="68"/>
    </row>
    <row r="468" spans="1:19" ht="15.75" customHeight="1">
      <c r="A468" s="68"/>
      <c r="B468" s="68"/>
      <c r="D468" s="68"/>
      <c r="E468" s="69"/>
      <c r="M468" s="68"/>
      <c r="O468" s="68"/>
      <c r="P468" s="68"/>
      <c r="Q468" s="68"/>
      <c r="R468" s="68"/>
      <c r="S468" s="68"/>
    </row>
    <row r="469" spans="1:19" ht="15.75" customHeight="1">
      <c r="A469" s="68"/>
      <c r="B469" s="68"/>
      <c r="D469" s="68"/>
      <c r="E469" s="69"/>
      <c r="M469" s="68"/>
      <c r="O469" s="68"/>
      <c r="P469" s="68"/>
      <c r="Q469" s="68"/>
      <c r="R469" s="68"/>
      <c r="S469" s="68"/>
    </row>
    <row r="470" spans="1:19" ht="15.75" customHeight="1">
      <c r="A470" s="68"/>
      <c r="B470" s="68"/>
      <c r="D470" s="68"/>
      <c r="E470" s="69"/>
      <c r="M470" s="68"/>
      <c r="O470" s="68"/>
      <c r="P470" s="68"/>
      <c r="Q470" s="68"/>
      <c r="R470" s="68"/>
      <c r="S470" s="68"/>
    </row>
    <row r="471" spans="1:19" ht="15.75" customHeight="1">
      <c r="A471" s="68"/>
      <c r="B471" s="68"/>
      <c r="D471" s="68"/>
      <c r="E471" s="69"/>
      <c r="M471" s="68"/>
      <c r="O471" s="68"/>
      <c r="P471" s="68"/>
      <c r="Q471" s="68"/>
      <c r="R471" s="68"/>
      <c r="S471" s="68"/>
    </row>
    <row r="472" spans="1:19" ht="15.75" customHeight="1">
      <c r="A472" s="68"/>
      <c r="B472" s="68"/>
      <c r="D472" s="68"/>
      <c r="E472" s="69"/>
      <c r="M472" s="68"/>
      <c r="O472" s="68"/>
      <c r="P472" s="68"/>
      <c r="Q472" s="68"/>
      <c r="R472" s="68"/>
      <c r="S472" s="68"/>
    </row>
    <row r="473" spans="1:19" ht="15.75" customHeight="1">
      <c r="A473" s="68"/>
      <c r="B473" s="68"/>
      <c r="D473" s="68"/>
      <c r="E473" s="69"/>
      <c r="M473" s="68"/>
      <c r="O473" s="68"/>
      <c r="P473" s="68"/>
      <c r="Q473" s="68"/>
      <c r="R473" s="68"/>
      <c r="S473" s="68"/>
    </row>
    <row r="474" spans="1:19" ht="15.75" customHeight="1">
      <c r="A474" s="68"/>
      <c r="B474" s="68"/>
      <c r="D474" s="68"/>
      <c r="E474" s="69"/>
      <c r="M474" s="68"/>
      <c r="O474" s="68"/>
      <c r="P474" s="68"/>
      <c r="Q474" s="68"/>
      <c r="R474" s="68"/>
      <c r="S474" s="68"/>
    </row>
    <row r="475" spans="1:19" ht="15.75" customHeight="1">
      <c r="A475" s="68"/>
      <c r="B475" s="68"/>
      <c r="D475" s="68"/>
      <c r="E475" s="69"/>
      <c r="M475" s="68"/>
      <c r="O475" s="68"/>
      <c r="P475" s="68"/>
      <c r="Q475" s="68"/>
      <c r="R475" s="68"/>
      <c r="S475" s="68"/>
    </row>
    <row r="476" spans="1:19" ht="15.75" customHeight="1">
      <c r="A476" s="68"/>
      <c r="B476" s="68"/>
      <c r="D476" s="68"/>
      <c r="E476" s="69"/>
      <c r="M476" s="68"/>
      <c r="O476" s="68"/>
      <c r="P476" s="68"/>
      <c r="Q476" s="68"/>
      <c r="R476" s="68"/>
      <c r="S476" s="68"/>
    </row>
    <row r="477" spans="1:19" ht="15.75" customHeight="1">
      <c r="A477" s="68"/>
      <c r="B477" s="68"/>
      <c r="D477" s="68"/>
      <c r="E477" s="69"/>
      <c r="M477" s="68"/>
      <c r="O477" s="68"/>
      <c r="P477" s="68"/>
      <c r="Q477" s="68"/>
      <c r="R477" s="68"/>
      <c r="S477" s="68"/>
    </row>
    <row r="478" spans="1:19" ht="15.75" customHeight="1">
      <c r="A478" s="68"/>
      <c r="B478" s="68"/>
      <c r="D478" s="68"/>
      <c r="E478" s="69"/>
      <c r="M478" s="68"/>
      <c r="O478" s="68"/>
      <c r="P478" s="68"/>
      <c r="Q478" s="68"/>
      <c r="R478" s="68"/>
      <c r="S478" s="68"/>
    </row>
    <row r="479" spans="1:19" ht="15.75" customHeight="1">
      <c r="A479" s="68"/>
      <c r="B479" s="68"/>
      <c r="D479" s="68"/>
      <c r="E479" s="69"/>
      <c r="M479" s="68"/>
      <c r="O479" s="68"/>
      <c r="P479" s="68"/>
      <c r="Q479" s="68"/>
      <c r="R479" s="68"/>
      <c r="S479" s="68"/>
    </row>
    <row r="480" spans="1:19" ht="15.75" customHeight="1">
      <c r="A480" s="68"/>
      <c r="B480" s="68"/>
      <c r="D480" s="68"/>
      <c r="E480" s="69"/>
      <c r="M480" s="68"/>
      <c r="O480" s="68"/>
      <c r="P480" s="68"/>
      <c r="Q480" s="68"/>
      <c r="R480" s="68"/>
      <c r="S480" s="68"/>
    </row>
    <row r="481" spans="1:19" ht="15.75" customHeight="1">
      <c r="A481" s="68"/>
      <c r="B481" s="68"/>
      <c r="D481" s="68"/>
      <c r="E481" s="69"/>
      <c r="M481" s="68"/>
      <c r="O481" s="68"/>
      <c r="P481" s="68"/>
      <c r="Q481" s="68"/>
      <c r="R481" s="68"/>
      <c r="S481" s="68"/>
    </row>
    <row r="482" spans="1:19" ht="15.75" customHeight="1">
      <c r="A482" s="68"/>
      <c r="B482" s="68"/>
      <c r="D482" s="68"/>
      <c r="E482" s="69"/>
      <c r="M482" s="68"/>
      <c r="O482" s="68"/>
      <c r="P482" s="68"/>
      <c r="Q482" s="68"/>
      <c r="R482" s="68"/>
      <c r="S482" s="68"/>
    </row>
    <row r="483" spans="1:19" ht="15.75" customHeight="1">
      <c r="A483" s="68"/>
      <c r="B483" s="68"/>
      <c r="D483" s="68"/>
      <c r="E483" s="69"/>
      <c r="M483" s="68"/>
      <c r="O483" s="68"/>
      <c r="P483" s="68"/>
      <c r="Q483" s="68"/>
      <c r="R483" s="68"/>
      <c r="S483" s="68"/>
    </row>
    <row r="484" spans="1:19" ht="15.75" customHeight="1">
      <c r="A484" s="68"/>
      <c r="B484" s="68"/>
      <c r="D484" s="68"/>
      <c r="E484" s="69"/>
      <c r="M484" s="68"/>
      <c r="O484" s="68"/>
      <c r="P484" s="68"/>
      <c r="Q484" s="68"/>
      <c r="R484" s="68"/>
      <c r="S484" s="68"/>
    </row>
    <row r="485" spans="1:19" ht="15.75" customHeight="1">
      <c r="A485" s="68"/>
      <c r="B485" s="68"/>
      <c r="D485" s="68"/>
      <c r="E485" s="69"/>
      <c r="M485" s="68"/>
      <c r="O485" s="68"/>
      <c r="P485" s="68"/>
      <c r="Q485" s="68"/>
      <c r="R485" s="68"/>
      <c r="S485" s="68"/>
    </row>
    <row r="486" spans="1:19" ht="15.75" customHeight="1">
      <c r="A486" s="68"/>
      <c r="B486" s="68"/>
      <c r="D486" s="68"/>
      <c r="E486" s="69"/>
      <c r="M486" s="68"/>
      <c r="O486" s="68"/>
      <c r="P486" s="68"/>
      <c r="Q486" s="68"/>
      <c r="R486" s="68"/>
      <c r="S486" s="68"/>
    </row>
    <row r="487" spans="1:19" ht="15.75" customHeight="1">
      <c r="A487" s="68"/>
      <c r="B487" s="68"/>
      <c r="D487" s="68"/>
      <c r="E487" s="69"/>
      <c r="M487" s="68"/>
      <c r="O487" s="68"/>
      <c r="P487" s="68"/>
      <c r="Q487" s="68"/>
      <c r="R487" s="68"/>
      <c r="S487" s="68"/>
    </row>
    <row r="488" spans="1:19" ht="15.75" customHeight="1">
      <c r="A488" s="68"/>
      <c r="B488" s="68"/>
      <c r="D488" s="68"/>
      <c r="E488" s="69"/>
      <c r="M488" s="68"/>
      <c r="O488" s="68"/>
      <c r="P488" s="68"/>
      <c r="Q488" s="68"/>
      <c r="R488" s="68"/>
      <c r="S488" s="68"/>
    </row>
    <row r="489" spans="1:19" ht="15.75" customHeight="1">
      <c r="A489" s="68"/>
      <c r="B489" s="68"/>
      <c r="D489" s="68"/>
      <c r="E489" s="69"/>
      <c r="M489" s="68"/>
      <c r="O489" s="68"/>
      <c r="P489" s="68"/>
      <c r="Q489" s="68"/>
      <c r="R489" s="68"/>
      <c r="S489" s="68"/>
    </row>
    <row r="490" spans="1:19" ht="15.75" customHeight="1">
      <c r="A490" s="68"/>
      <c r="B490" s="68"/>
      <c r="D490" s="68"/>
      <c r="E490" s="69"/>
      <c r="M490" s="68"/>
      <c r="O490" s="68"/>
      <c r="P490" s="68"/>
      <c r="Q490" s="68"/>
      <c r="R490" s="68"/>
      <c r="S490" s="68"/>
    </row>
    <row r="491" spans="1:19" ht="15.75" customHeight="1">
      <c r="A491" s="68"/>
      <c r="B491" s="68"/>
      <c r="D491" s="68"/>
      <c r="E491" s="69"/>
      <c r="M491" s="68"/>
      <c r="O491" s="68"/>
      <c r="P491" s="68"/>
      <c r="Q491" s="68"/>
      <c r="R491" s="68"/>
      <c r="S491" s="68"/>
    </row>
    <row r="492" spans="1:19" ht="15.75" customHeight="1">
      <c r="A492" s="68"/>
      <c r="B492" s="68"/>
      <c r="D492" s="68"/>
      <c r="E492" s="69"/>
      <c r="M492" s="68"/>
      <c r="O492" s="68"/>
      <c r="P492" s="68"/>
      <c r="Q492" s="68"/>
      <c r="R492" s="68"/>
      <c r="S492" s="68"/>
    </row>
    <row r="493" spans="1:19" ht="15.75" customHeight="1">
      <c r="A493" s="68"/>
      <c r="B493" s="68"/>
      <c r="D493" s="68"/>
      <c r="E493" s="69"/>
      <c r="M493" s="68"/>
      <c r="O493" s="68"/>
      <c r="P493" s="68"/>
      <c r="Q493" s="68"/>
      <c r="R493" s="68"/>
      <c r="S493" s="68"/>
    </row>
    <row r="494" spans="1:19" ht="15.75" customHeight="1">
      <c r="A494" s="68"/>
      <c r="B494" s="68"/>
      <c r="D494" s="68"/>
      <c r="E494" s="69"/>
      <c r="M494" s="68"/>
      <c r="O494" s="68"/>
      <c r="P494" s="68"/>
      <c r="Q494" s="68"/>
      <c r="R494" s="68"/>
      <c r="S494" s="68"/>
    </row>
    <row r="495" spans="1:19" ht="15.75" customHeight="1">
      <c r="A495" s="68"/>
      <c r="B495" s="68"/>
      <c r="D495" s="68"/>
      <c r="E495" s="69"/>
      <c r="M495" s="68"/>
      <c r="O495" s="68"/>
      <c r="P495" s="68"/>
      <c r="Q495" s="68"/>
      <c r="R495" s="68"/>
      <c r="S495" s="68"/>
    </row>
    <row r="496" spans="1:19" ht="15.75" customHeight="1">
      <c r="A496" s="68"/>
      <c r="B496" s="68"/>
      <c r="D496" s="68"/>
      <c r="E496" s="69"/>
      <c r="M496" s="68"/>
      <c r="O496" s="68"/>
      <c r="P496" s="68"/>
      <c r="Q496" s="68"/>
      <c r="R496" s="68"/>
      <c r="S496" s="68"/>
    </row>
    <row r="497" spans="1:19" ht="15.75" customHeight="1">
      <c r="A497" s="68"/>
      <c r="B497" s="68"/>
      <c r="D497" s="68"/>
      <c r="E497" s="69"/>
      <c r="M497" s="68"/>
      <c r="O497" s="68"/>
      <c r="P497" s="68"/>
      <c r="Q497" s="68"/>
      <c r="R497" s="68"/>
      <c r="S497" s="68"/>
    </row>
    <row r="498" spans="1:19" ht="15.75" customHeight="1">
      <c r="A498" s="68"/>
      <c r="B498" s="68"/>
      <c r="D498" s="68"/>
      <c r="E498" s="69"/>
      <c r="M498" s="68"/>
      <c r="O498" s="68"/>
      <c r="P498" s="68"/>
      <c r="Q498" s="68"/>
      <c r="R498" s="68"/>
      <c r="S498" s="68"/>
    </row>
    <row r="499" spans="1:19" ht="15.75" customHeight="1">
      <c r="A499" s="68"/>
      <c r="B499" s="68"/>
      <c r="D499" s="68"/>
      <c r="E499" s="69"/>
      <c r="M499" s="68"/>
      <c r="O499" s="68"/>
      <c r="P499" s="68"/>
      <c r="Q499" s="68"/>
      <c r="R499" s="68"/>
      <c r="S499" s="68"/>
    </row>
    <row r="500" spans="1:19" ht="15.75" customHeight="1">
      <c r="A500" s="68"/>
      <c r="B500" s="68"/>
      <c r="D500" s="68"/>
      <c r="E500" s="69"/>
      <c r="M500" s="68"/>
      <c r="O500" s="68"/>
      <c r="P500" s="68"/>
      <c r="Q500" s="68"/>
      <c r="R500" s="68"/>
      <c r="S500" s="68"/>
    </row>
    <row r="501" spans="1:19" ht="15.75" customHeight="1">
      <c r="A501" s="68"/>
      <c r="B501" s="68"/>
      <c r="D501" s="68"/>
      <c r="E501" s="69"/>
      <c r="M501" s="68"/>
      <c r="O501" s="68"/>
      <c r="P501" s="68"/>
      <c r="Q501" s="68"/>
      <c r="R501" s="68"/>
      <c r="S501" s="68"/>
    </row>
    <row r="502" spans="1:19" ht="15.75" customHeight="1">
      <c r="A502" s="68"/>
      <c r="B502" s="68"/>
      <c r="D502" s="68"/>
      <c r="E502" s="69"/>
      <c r="M502" s="68"/>
      <c r="O502" s="68"/>
      <c r="P502" s="68"/>
      <c r="Q502" s="68"/>
      <c r="R502" s="68"/>
      <c r="S502" s="68"/>
    </row>
    <row r="503" spans="1:19" ht="15.75" customHeight="1">
      <c r="A503" s="68"/>
      <c r="B503" s="68"/>
      <c r="D503" s="68"/>
      <c r="E503" s="69"/>
      <c r="M503" s="68"/>
      <c r="O503" s="68"/>
      <c r="P503" s="68"/>
      <c r="Q503" s="68"/>
      <c r="R503" s="68"/>
      <c r="S503" s="68"/>
    </row>
    <row r="504" spans="1:19" ht="15.75" customHeight="1">
      <c r="A504" s="68"/>
      <c r="B504" s="68"/>
      <c r="D504" s="68"/>
      <c r="E504" s="69"/>
      <c r="M504" s="68"/>
      <c r="O504" s="68"/>
      <c r="P504" s="68"/>
      <c r="Q504" s="68"/>
      <c r="R504" s="68"/>
      <c r="S504" s="68"/>
    </row>
    <row r="505" spans="1:19" ht="15.75" customHeight="1">
      <c r="A505" s="68"/>
      <c r="B505" s="68"/>
      <c r="D505" s="68"/>
      <c r="E505" s="69"/>
      <c r="M505" s="68"/>
      <c r="O505" s="68"/>
      <c r="P505" s="68"/>
      <c r="Q505" s="68"/>
      <c r="R505" s="68"/>
      <c r="S505" s="68"/>
    </row>
    <row r="506" spans="1:19" ht="15.75" customHeight="1">
      <c r="A506" s="68"/>
      <c r="B506" s="68"/>
      <c r="D506" s="68"/>
      <c r="E506" s="69"/>
      <c r="M506" s="68"/>
      <c r="O506" s="68"/>
      <c r="P506" s="68"/>
      <c r="Q506" s="68"/>
      <c r="R506" s="68"/>
      <c r="S506" s="68"/>
    </row>
    <row r="507" spans="1:19" ht="15.75" customHeight="1">
      <c r="A507" s="68"/>
      <c r="B507" s="68"/>
      <c r="D507" s="68"/>
      <c r="E507" s="69"/>
      <c r="M507" s="68"/>
      <c r="O507" s="68"/>
      <c r="P507" s="68"/>
      <c r="Q507" s="68"/>
      <c r="R507" s="68"/>
      <c r="S507" s="68"/>
    </row>
    <row r="508" spans="1:19" ht="15.75" customHeight="1">
      <c r="A508" s="68"/>
      <c r="B508" s="68"/>
      <c r="D508" s="68"/>
      <c r="E508" s="69"/>
      <c r="M508" s="68"/>
      <c r="O508" s="68"/>
      <c r="P508" s="68"/>
      <c r="Q508" s="68"/>
      <c r="R508" s="68"/>
      <c r="S508" s="68"/>
    </row>
    <row r="509" spans="1:19" ht="15.75" customHeight="1">
      <c r="A509" s="68"/>
      <c r="B509" s="68"/>
      <c r="D509" s="68"/>
      <c r="E509" s="69"/>
      <c r="M509" s="68"/>
      <c r="O509" s="68"/>
      <c r="P509" s="68"/>
      <c r="Q509" s="68"/>
      <c r="R509" s="68"/>
      <c r="S509" s="68"/>
    </row>
    <row r="510" spans="1:19" ht="15.75" customHeight="1">
      <c r="A510" s="68"/>
      <c r="B510" s="68"/>
      <c r="D510" s="68"/>
      <c r="E510" s="69"/>
      <c r="M510" s="68"/>
      <c r="O510" s="68"/>
      <c r="P510" s="68"/>
      <c r="Q510" s="68"/>
      <c r="R510" s="68"/>
      <c r="S510" s="68"/>
    </row>
    <row r="511" spans="1:19" ht="15.75" customHeight="1">
      <c r="A511" s="68"/>
      <c r="B511" s="68"/>
      <c r="D511" s="68"/>
      <c r="E511" s="69"/>
      <c r="M511" s="68"/>
      <c r="O511" s="68"/>
      <c r="P511" s="68"/>
      <c r="Q511" s="68"/>
      <c r="R511" s="68"/>
      <c r="S511" s="68"/>
    </row>
    <row r="512" spans="1:19" ht="15.75" customHeight="1">
      <c r="A512" s="68"/>
      <c r="B512" s="68"/>
      <c r="D512" s="68"/>
      <c r="E512" s="69"/>
      <c r="M512" s="68"/>
      <c r="O512" s="68"/>
      <c r="P512" s="68"/>
      <c r="Q512" s="68"/>
      <c r="R512" s="68"/>
      <c r="S512" s="68"/>
    </row>
    <row r="513" spans="1:19" ht="15.75" customHeight="1">
      <c r="A513" s="68"/>
      <c r="B513" s="68"/>
      <c r="D513" s="68"/>
      <c r="E513" s="69"/>
      <c r="M513" s="68"/>
      <c r="O513" s="68"/>
      <c r="P513" s="68"/>
      <c r="Q513" s="68"/>
      <c r="R513" s="68"/>
      <c r="S513" s="68"/>
    </row>
    <row r="514" spans="1:19" ht="15.75" customHeight="1">
      <c r="A514" s="68"/>
      <c r="B514" s="68"/>
      <c r="D514" s="68"/>
      <c r="E514" s="69"/>
      <c r="M514" s="68"/>
      <c r="O514" s="68"/>
      <c r="P514" s="68"/>
      <c r="Q514" s="68"/>
      <c r="R514" s="68"/>
      <c r="S514" s="68"/>
    </row>
    <row r="515" spans="1:19" ht="15.75" customHeight="1">
      <c r="A515" s="68"/>
      <c r="B515" s="68"/>
      <c r="D515" s="68"/>
      <c r="E515" s="69"/>
      <c r="M515" s="68"/>
      <c r="O515" s="68"/>
      <c r="P515" s="68"/>
      <c r="Q515" s="68"/>
      <c r="R515" s="68"/>
      <c r="S515" s="68"/>
    </row>
    <row r="516" spans="1:19" ht="15.75" customHeight="1">
      <c r="A516" s="68"/>
      <c r="B516" s="68"/>
      <c r="D516" s="68"/>
      <c r="E516" s="69"/>
      <c r="M516" s="68"/>
      <c r="O516" s="68"/>
      <c r="P516" s="68"/>
      <c r="Q516" s="68"/>
      <c r="R516" s="68"/>
      <c r="S516" s="68"/>
    </row>
    <row r="517" spans="1:19" ht="15.75" customHeight="1">
      <c r="A517" s="68"/>
      <c r="B517" s="68"/>
      <c r="D517" s="68"/>
      <c r="E517" s="69"/>
      <c r="M517" s="68"/>
      <c r="O517" s="68"/>
      <c r="P517" s="68"/>
      <c r="Q517" s="68"/>
      <c r="R517" s="68"/>
      <c r="S517" s="68"/>
    </row>
    <row r="518" spans="1:19" ht="15.75" customHeight="1">
      <c r="A518" s="68"/>
      <c r="B518" s="68"/>
      <c r="D518" s="68"/>
      <c r="E518" s="69"/>
      <c r="M518" s="68"/>
      <c r="O518" s="68"/>
      <c r="P518" s="68"/>
      <c r="Q518" s="68"/>
      <c r="R518" s="68"/>
      <c r="S518" s="68"/>
    </row>
    <row r="519" spans="1:19" ht="15.75" customHeight="1">
      <c r="A519" s="68"/>
      <c r="B519" s="68"/>
      <c r="D519" s="68"/>
      <c r="E519" s="69"/>
      <c r="M519" s="68"/>
      <c r="O519" s="68"/>
      <c r="P519" s="68"/>
      <c r="Q519" s="68"/>
      <c r="R519" s="68"/>
      <c r="S519" s="68"/>
    </row>
    <row r="520" spans="1:19" ht="15.75" customHeight="1">
      <c r="A520" s="68"/>
      <c r="B520" s="68"/>
      <c r="D520" s="68"/>
      <c r="E520" s="69"/>
      <c r="M520" s="68"/>
      <c r="O520" s="68"/>
      <c r="P520" s="68"/>
      <c r="Q520" s="68"/>
      <c r="R520" s="68"/>
      <c r="S520" s="68"/>
    </row>
    <row r="521" spans="1:19" ht="15.75" customHeight="1">
      <c r="A521" s="68"/>
      <c r="B521" s="68"/>
      <c r="D521" s="68"/>
      <c r="E521" s="69"/>
      <c r="M521" s="68"/>
      <c r="O521" s="68"/>
      <c r="P521" s="68"/>
      <c r="Q521" s="68"/>
      <c r="R521" s="68"/>
      <c r="S521" s="68"/>
    </row>
    <row r="522" spans="1:19" ht="15.75" customHeight="1">
      <c r="A522" s="68"/>
      <c r="B522" s="68"/>
      <c r="D522" s="68"/>
      <c r="E522" s="69"/>
      <c r="M522" s="68"/>
      <c r="O522" s="68"/>
      <c r="P522" s="68"/>
      <c r="Q522" s="68"/>
      <c r="R522" s="68"/>
      <c r="S522" s="68"/>
    </row>
    <row r="523" spans="1:19" ht="15.75" customHeight="1">
      <c r="A523" s="68"/>
      <c r="B523" s="68"/>
      <c r="D523" s="68"/>
      <c r="E523" s="69"/>
      <c r="M523" s="68"/>
      <c r="O523" s="68"/>
      <c r="P523" s="68"/>
      <c r="Q523" s="68"/>
      <c r="R523" s="68"/>
      <c r="S523" s="68"/>
    </row>
    <row r="524" spans="1:19" ht="15.75" customHeight="1">
      <c r="A524" s="68"/>
      <c r="B524" s="68"/>
      <c r="D524" s="68"/>
      <c r="E524" s="69"/>
      <c r="M524" s="68"/>
      <c r="O524" s="68"/>
      <c r="P524" s="68"/>
      <c r="Q524" s="68"/>
      <c r="R524" s="68"/>
      <c r="S524" s="68"/>
    </row>
    <row r="525" spans="1:19" ht="15.75" customHeight="1">
      <c r="A525" s="68"/>
      <c r="B525" s="68"/>
      <c r="D525" s="68"/>
      <c r="E525" s="69"/>
      <c r="M525" s="68"/>
      <c r="O525" s="68"/>
      <c r="P525" s="68"/>
      <c r="Q525" s="68"/>
      <c r="R525" s="68"/>
      <c r="S525" s="68"/>
    </row>
    <row r="526" spans="1:19" ht="15.75" customHeight="1">
      <c r="A526" s="68"/>
      <c r="B526" s="68"/>
      <c r="D526" s="68"/>
      <c r="E526" s="69"/>
      <c r="M526" s="68"/>
      <c r="O526" s="68"/>
      <c r="P526" s="68"/>
      <c r="Q526" s="68"/>
      <c r="R526" s="68"/>
      <c r="S526" s="68"/>
    </row>
    <row r="527" spans="1:19" ht="15.75" customHeight="1">
      <c r="A527" s="68"/>
      <c r="B527" s="68"/>
      <c r="D527" s="68"/>
      <c r="E527" s="69"/>
      <c r="M527" s="68"/>
      <c r="O527" s="68"/>
      <c r="P527" s="68"/>
      <c r="Q527" s="68"/>
      <c r="R527" s="68"/>
      <c r="S527" s="68"/>
    </row>
    <row r="528" spans="1:19" ht="15.75" customHeight="1">
      <c r="A528" s="68"/>
      <c r="B528" s="68"/>
      <c r="D528" s="68"/>
      <c r="E528" s="69"/>
      <c r="M528" s="68"/>
      <c r="O528" s="68"/>
      <c r="P528" s="68"/>
      <c r="Q528" s="68"/>
      <c r="R528" s="68"/>
      <c r="S528" s="68"/>
    </row>
    <row r="529" spans="1:19" ht="15.75" customHeight="1">
      <c r="A529" s="68"/>
      <c r="B529" s="68"/>
      <c r="D529" s="68"/>
      <c r="E529" s="69"/>
      <c r="M529" s="68"/>
      <c r="O529" s="68"/>
      <c r="P529" s="68"/>
      <c r="Q529" s="68"/>
      <c r="R529" s="68"/>
      <c r="S529" s="68"/>
    </row>
    <row r="530" spans="1:19" ht="15.75" customHeight="1">
      <c r="A530" s="68"/>
      <c r="B530" s="68"/>
      <c r="D530" s="68"/>
      <c r="E530" s="69"/>
      <c r="M530" s="68"/>
      <c r="O530" s="68"/>
      <c r="P530" s="68"/>
      <c r="Q530" s="68"/>
      <c r="R530" s="68"/>
      <c r="S530" s="68"/>
    </row>
    <row r="531" spans="1:19" ht="15.75" customHeight="1">
      <c r="A531" s="68"/>
      <c r="B531" s="68"/>
      <c r="D531" s="68"/>
      <c r="E531" s="69"/>
      <c r="M531" s="68"/>
      <c r="O531" s="68"/>
      <c r="P531" s="68"/>
      <c r="Q531" s="68"/>
      <c r="R531" s="68"/>
      <c r="S531" s="68"/>
    </row>
    <row r="532" spans="1:19" ht="15.75" customHeight="1">
      <c r="A532" s="68"/>
      <c r="B532" s="68"/>
      <c r="D532" s="68"/>
      <c r="E532" s="69"/>
      <c r="M532" s="68"/>
      <c r="O532" s="68"/>
      <c r="P532" s="68"/>
      <c r="Q532" s="68"/>
      <c r="R532" s="68"/>
      <c r="S532" s="68"/>
    </row>
    <row r="533" spans="1:19" ht="15.75" customHeight="1">
      <c r="A533" s="68"/>
      <c r="B533" s="68"/>
      <c r="D533" s="68"/>
      <c r="E533" s="69"/>
      <c r="M533" s="68"/>
      <c r="O533" s="68"/>
      <c r="P533" s="68"/>
      <c r="Q533" s="68"/>
      <c r="R533" s="68"/>
      <c r="S533" s="68"/>
    </row>
    <row r="534" spans="1:19" ht="15.75" customHeight="1">
      <c r="A534" s="68"/>
      <c r="B534" s="68"/>
      <c r="D534" s="68"/>
      <c r="E534" s="69"/>
      <c r="M534" s="68"/>
      <c r="O534" s="68"/>
      <c r="P534" s="68"/>
      <c r="Q534" s="68"/>
      <c r="R534" s="68"/>
      <c r="S534" s="68"/>
    </row>
    <row r="535" spans="1:19" ht="15.75" customHeight="1">
      <c r="A535" s="68"/>
      <c r="B535" s="68"/>
      <c r="D535" s="68"/>
      <c r="E535" s="69"/>
      <c r="M535" s="68"/>
      <c r="O535" s="68"/>
      <c r="P535" s="68"/>
      <c r="Q535" s="68"/>
      <c r="R535" s="68"/>
      <c r="S535" s="68"/>
    </row>
    <row r="536" spans="1:19" ht="15.75" customHeight="1">
      <c r="A536" s="68"/>
      <c r="B536" s="68"/>
      <c r="D536" s="68"/>
      <c r="E536" s="69"/>
      <c r="M536" s="68"/>
      <c r="O536" s="68"/>
      <c r="P536" s="68"/>
      <c r="Q536" s="68"/>
      <c r="R536" s="68"/>
      <c r="S536" s="68"/>
    </row>
    <row r="537" spans="1:19" ht="15.75" customHeight="1">
      <c r="A537" s="68"/>
      <c r="B537" s="68"/>
      <c r="D537" s="68"/>
      <c r="E537" s="69"/>
      <c r="M537" s="68"/>
      <c r="O537" s="68"/>
      <c r="P537" s="68"/>
      <c r="Q537" s="68"/>
      <c r="R537" s="68"/>
      <c r="S537" s="68"/>
    </row>
    <row r="538" spans="1:19" ht="15.75" customHeight="1">
      <c r="A538" s="68"/>
      <c r="B538" s="68"/>
      <c r="D538" s="68"/>
      <c r="E538" s="69"/>
      <c r="M538" s="68"/>
      <c r="O538" s="68"/>
      <c r="P538" s="68"/>
      <c r="Q538" s="68"/>
      <c r="R538" s="68"/>
      <c r="S538" s="68"/>
    </row>
    <row r="539" spans="1:19" ht="15.75" customHeight="1">
      <c r="A539" s="68"/>
      <c r="B539" s="68"/>
      <c r="D539" s="68"/>
      <c r="E539" s="69"/>
      <c r="M539" s="68"/>
      <c r="O539" s="68"/>
      <c r="P539" s="68"/>
      <c r="Q539" s="68"/>
      <c r="R539" s="68"/>
      <c r="S539" s="68"/>
    </row>
    <row r="540" spans="1:19" ht="15.75" customHeight="1">
      <c r="A540" s="68"/>
      <c r="B540" s="68"/>
      <c r="D540" s="68"/>
      <c r="E540" s="69"/>
      <c r="M540" s="68"/>
      <c r="O540" s="68"/>
      <c r="P540" s="68"/>
      <c r="Q540" s="68"/>
      <c r="R540" s="68"/>
      <c r="S540" s="68"/>
    </row>
    <row r="541" spans="1:19" ht="15.75" customHeight="1">
      <c r="A541" s="68"/>
      <c r="B541" s="68"/>
      <c r="D541" s="68"/>
      <c r="E541" s="69"/>
      <c r="M541" s="68"/>
      <c r="O541" s="68"/>
      <c r="P541" s="68"/>
      <c r="Q541" s="68"/>
      <c r="R541" s="68"/>
      <c r="S541" s="68"/>
    </row>
    <row r="542" spans="1:19" ht="15.75" customHeight="1">
      <c r="A542" s="68"/>
      <c r="B542" s="68"/>
      <c r="D542" s="68"/>
      <c r="E542" s="69"/>
      <c r="M542" s="68"/>
      <c r="O542" s="68"/>
      <c r="P542" s="68"/>
      <c r="Q542" s="68"/>
      <c r="R542" s="68"/>
      <c r="S542" s="68"/>
    </row>
    <row r="543" spans="1:19" ht="15.75" customHeight="1">
      <c r="A543" s="68"/>
      <c r="B543" s="68"/>
      <c r="D543" s="68"/>
      <c r="E543" s="69"/>
      <c r="M543" s="68"/>
      <c r="O543" s="68"/>
      <c r="P543" s="68"/>
      <c r="Q543" s="68"/>
      <c r="R543" s="68"/>
      <c r="S543" s="68"/>
    </row>
    <row r="544" spans="1:19" ht="15.75" customHeight="1">
      <c r="A544" s="68"/>
      <c r="B544" s="68"/>
      <c r="D544" s="68"/>
      <c r="E544" s="69"/>
      <c r="M544" s="68"/>
      <c r="O544" s="68"/>
      <c r="P544" s="68"/>
      <c r="Q544" s="68"/>
      <c r="R544" s="68"/>
      <c r="S544" s="68"/>
    </row>
    <row r="545" spans="1:19" ht="15.75" customHeight="1">
      <c r="A545" s="68"/>
      <c r="B545" s="68"/>
      <c r="D545" s="68"/>
      <c r="E545" s="69"/>
      <c r="M545" s="68"/>
      <c r="O545" s="68"/>
      <c r="P545" s="68"/>
      <c r="Q545" s="68"/>
      <c r="R545" s="68"/>
      <c r="S545" s="68"/>
    </row>
    <row r="546" spans="1:19" ht="15.75" customHeight="1">
      <c r="A546" s="68"/>
      <c r="B546" s="68"/>
      <c r="D546" s="68"/>
      <c r="E546" s="69"/>
      <c r="M546" s="68"/>
      <c r="O546" s="68"/>
      <c r="P546" s="68"/>
      <c r="Q546" s="68"/>
      <c r="R546" s="68"/>
      <c r="S546" s="68"/>
    </row>
    <row r="547" spans="1:19" ht="15.75" customHeight="1">
      <c r="A547" s="68"/>
      <c r="B547" s="68"/>
      <c r="D547" s="68"/>
      <c r="E547" s="69"/>
      <c r="M547" s="68"/>
      <c r="O547" s="68"/>
      <c r="P547" s="68"/>
      <c r="Q547" s="68"/>
      <c r="R547" s="68"/>
      <c r="S547" s="68"/>
    </row>
    <row r="548" spans="1:19" ht="15.75" customHeight="1">
      <c r="A548" s="68"/>
      <c r="B548" s="68"/>
      <c r="D548" s="68"/>
      <c r="E548" s="69"/>
      <c r="M548" s="68"/>
      <c r="O548" s="68"/>
      <c r="P548" s="68"/>
      <c r="Q548" s="68"/>
      <c r="R548" s="68"/>
      <c r="S548" s="68"/>
    </row>
    <row r="549" spans="1:19" ht="15.75" customHeight="1">
      <c r="A549" s="68"/>
      <c r="B549" s="68"/>
      <c r="D549" s="68"/>
      <c r="E549" s="69"/>
      <c r="M549" s="68"/>
      <c r="O549" s="68"/>
      <c r="P549" s="68"/>
      <c r="Q549" s="68"/>
      <c r="R549" s="68"/>
      <c r="S549" s="68"/>
    </row>
    <row r="550" spans="1:19" ht="15.75" customHeight="1">
      <c r="A550" s="68"/>
      <c r="B550" s="68"/>
      <c r="D550" s="68"/>
      <c r="E550" s="69"/>
      <c r="M550" s="68"/>
      <c r="O550" s="68"/>
      <c r="P550" s="68"/>
      <c r="Q550" s="68"/>
      <c r="R550" s="68"/>
      <c r="S550" s="68"/>
    </row>
    <row r="551" spans="1:19" ht="15.75" customHeight="1">
      <c r="A551" s="68"/>
      <c r="B551" s="68"/>
      <c r="D551" s="68"/>
      <c r="E551" s="69"/>
      <c r="M551" s="68"/>
      <c r="O551" s="68"/>
      <c r="P551" s="68"/>
      <c r="Q551" s="68"/>
      <c r="R551" s="68"/>
      <c r="S551" s="68"/>
    </row>
    <row r="552" spans="1:19" ht="15.75" customHeight="1">
      <c r="A552" s="68"/>
      <c r="B552" s="68"/>
      <c r="D552" s="68"/>
      <c r="E552" s="69"/>
      <c r="M552" s="68"/>
      <c r="O552" s="68"/>
      <c r="P552" s="68"/>
      <c r="Q552" s="68"/>
      <c r="R552" s="68"/>
      <c r="S552" s="68"/>
    </row>
    <row r="553" spans="1:19" ht="15.75" customHeight="1">
      <c r="A553" s="68"/>
      <c r="B553" s="68"/>
      <c r="D553" s="68"/>
      <c r="E553" s="69"/>
      <c r="M553" s="68"/>
      <c r="O553" s="68"/>
      <c r="P553" s="68"/>
      <c r="Q553" s="68"/>
      <c r="R553" s="68"/>
      <c r="S553" s="68"/>
    </row>
    <row r="554" spans="1:19" ht="15.75" customHeight="1">
      <c r="A554" s="68"/>
      <c r="B554" s="68"/>
      <c r="D554" s="68"/>
      <c r="E554" s="69"/>
      <c r="M554" s="68"/>
      <c r="O554" s="68"/>
      <c r="P554" s="68"/>
      <c r="Q554" s="68"/>
      <c r="R554" s="68"/>
      <c r="S554" s="68"/>
    </row>
    <row r="555" spans="1:19" ht="15.75" customHeight="1">
      <c r="A555" s="68"/>
      <c r="B555" s="68"/>
      <c r="D555" s="68"/>
      <c r="E555" s="69"/>
      <c r="M555" s="68"/>
      <c r="O555" s="68"/>
      <c r="P555" s="68"/>
      <c r="Q555" s="68"/>
      <c r="R555" s="68"/>
      <c r="S555" s="68"/>
    </row>
    <row r="556" spans="1:19" ht="15.75" customHeight="1">
      <c r="A556" s="68"/>
      <c r="B556" s="68"/>
      <c r="D556" s="68"/>
      <c r="E556" s="69"/>
      <c r="M556" s="68"/>
      <c r="O556" s="68"/>
      <c r="P556" s="68"/>
      <c r="Q556" s="68"/>
      <c r="R556" s="68"/>
      <c r="S556" s="68"/>
    </row>
    <row r="557" spans="1:19" ht="15.75" customHeight="1">
      <c r="A557" s="68"/>
      <c r="B557" s="68"/>
      <c r="D557" s="68"/>
      <c r="E557" s="69"/>
      <c r="M557" s="68"/>
      <c r="O557" s="68"/>
      <c r="P557" s="68"/>
      <c r="Q557" s="68"/>
      <c r="R557" s="68"/>
      <c r="S557" s="68"/>
    </row>
    <row r="558" spans="1:19" ht="15.75" customHeight="1">
      <c r="A558" s="68"/>
      <c r="B558" s="68"/>
      <c r="D558" s="68"/>
      <c r="E558" s="69"/>
      <c r="M558" s="68"/>
      <c r="O558" s="68"/>
      <c r="P558" s="68"/>
      <c r="Q558" s="68"/>
      <c r="R558" s="68"/>
      <c r="S558" s="68"/>
    </row>
    <row r="559" spans="1:19" ht="15.75" customHeight="1">
      <c r="A559" s="68"/>
      <c r="B559" s="68"/>
      <c r="D559" s="68"/>
      <c r="E559" s="69"/>
      <c r="M559" s="68"/>
      <c r="O559" s="68"/>
      <c r="P559" s="68"/>
      <c r="Q559" s="68"/>
      <c r="R559" s="68"/>
      <c r="S559" s="68"/>
    </row>
    <row r="560" spans="1:19" ht="15.75" customHeight="1">
      <c r="A560" s="68"/>
      <c r="B560" s="68"/>
      <c r="D560" s="68"/>
      <c r="E560" s="69"/>
      <c r="M560" s="68"/>
      <c r="O560" s="68"/>
      <c r="P560" s="68"/>
      <c r="Q560" s="68"/>
      <c r="R560" s="68"/>
      <c r="S560" s="68"/>
    </row>
    <row r="561" spans="1:19" ht="15.75" customHeight="1">
      <c r="A561" s="68"/>
      <c r="B561" s="68"/>
      <c r="D561" s="68"/>
      <c r="E561" s="69"/>
      <c r="M561" s="68"/>
      <c r="O561" s="68"/>
      <c r="P561" s="68"/>
      <c r="Q561" s="68"/>
      <c r="R561" s="68"/>
      <c r="S561" s="68"/>
    </row>
    <row r="562" spans="1:19" ht="15.75" customHeight="1">
      <c r="A562" s="68"/>
      <c r="B562" s="68"/>
      <c r="D562" s="68"/>
      <c r="E562" s="69"/>
      <c r="M562" s="68"/>
      <c r="O562" s="68"/>
      <c r="P562" s="68"/>
      <c r="Q562" s="68"/>
      <c r="R562" s="68"/>
      <c r="S562" s="68"/>
    </row>
    <row r="563" spans="1:19" ht="15.75" customHeight="1">
      <c r="A563" s="68"/>
      <c r="B563" s="68"/>
      <c r="D563" s="68"/>
      <c r="E563" s="69"/>
      <c r="M563" s="68"/>
      <c r="O563" s="68"/>
      <c r="P563" s="68"/>
      <c r="Q563" s="68"/>
      <c r="R563" s="68"/>
      <c r="S563" s="68"/>
    </row>
    <row r="564" spans="1:19" ht="15.75" customHeight="1">
      <c r="A564" s="68"/>
      <c r="B564" s="68"/>
      <c r="D564" s="68"/>
      <c r="E564" s="69"/>
      <c r="M564" s="68"/>
      <c r="O564" s="68"/>
      <c r="P564" s="68"/>
      <c r="Q564" s="68"/>
      <c r="R564" s="68"/>
      <c r="S564" s="68"/>
    </row>
    <row r="565" spans="1:19" ht="15.75" customHeight="1">
      <c r="A565" s="68"/>
      <c r="B565" s="68"/>
      <c r="D565" s="68"/>
      <c r="E565" s="69"/>
      <c r="M565" s="68"/>
      <c r="O565" s="68"/>
      <c r="P565" s="68"/>
      <c r="Q565" s="68"/>
      <c r="R565" s="68"/>
      <c r="S565" s="68"/>
    </row>
    <row r="566" spans="1:19" ht="15.75" customHeight="1">
      <c r="A566" s="68"/>
      <c r="B566" s="68"/>
      <c r="D566" s="68"/>
      <c r="E566" s="69"/>
      <c r="M566" s="68"/>
      <c r="O566" s="68"/>
      <c r="P566" s="68"/>
      <c r="Q566" s="68"/>
      <c r="R566" s="68"/>
      <c r="S566" s="68"/>
    </row>
    <row r="567" spans="1:19" ht="15.75" customHeight="1">
      <c r="A567" s="68"/>
      <c r="B567" s="68"/>
      <c r="D567" s="68"/>
      <c r="E567" s="69"/>
      <c r="M567" s="68"/>
      <c r="O567" s="68"/>
      <c r="P567" s="68"/>
      <c r="Q567" s="68"/>
      <c r="R567" s="68"/>
      <c r="S567" s="68"/>
    </row>
    <row r="568" spans="1:19" ht="15.75" customHeight="1">
      <c r="A568" s="68"/>
      <c r="B568" s="68"/>
      <c r="D568" s="68"/>
      <c r="E568" s="69"/>
      <c r="M568" s="68"/>
      <c r="O568" s="68"/>
      <c r="P568" s="68"/>
      <c r="Q568" s="68"/>
      <c r="R568" s="68"/>
      <c r="S568" s="68"/>
    </row>
    <row r="569" spans="1:19" ht="15.75" customHeight="1">
      <c r="A569" s="68"/>
      <c r="B569" s="68"/>
      <c r="D569" s="68"/>
      <c r="E569" s="69"/>
      <c r="M569" s="68"/>
      <c r="O569" s="68"/>
      <c r="P569" s="68"/>
      <c r="Q569" s="68"/>
      <c r="R569" s="68"/>
      <c r="S569" s="68"/>
    </row>
    <row r="570" spans="1:19" ht="15.75" customHeight="1">
      <c r="A570" s="68"/>
      <c r="B570" s="68"/>
      <c r="D570" s="68"/>
      <c r="E570" s="69"/>
      <c r="M570" s="68"/>
      <c r="O570" s="68"/>
      <c r="P570" s="68"/>
      <c r="Q570" s="68"/>
      <c r="R570" s="68"/>
      <c r="S570" s="68"/>
    </row>
    <row r="571" spans="1:19" ht="15.75" customHeight="1">
      <c r="A571" s="68"/>
      <c r="B571" s="68"/>
      <c r="D571" s="68"/>
      <c r="E571" s="69"/>
      <c r="M571" s="68"/>
      <c r="O571" s="68"/>
      <c r="P571" s="68"/>
      <c r="Q571" s="68"/>
      <c r="R571" s="68"/>
      <c r="S571" s="68"/>
    </row>
    <row r="572" spans="1:19" ht="15.75" customHeight="1">
      <c r="A572" s="68"/>
      <c r="B572" s="68"/>
      <c r="D572" s="68"/>
      <c r="E572" s="69"/>
      <c r="M572" s="68"/>
      <c r="O572" s="68"/>
      <c r="P572" s="68"/>
      <c r="Q572" s="68"/>
      <c r="R572" s="68"/>
      <c r="S572" s="68"/>
    </row>
    <row r="573" spans="1:19" ht="15.75" customHeight="1">
      <c r="A573" s="68"/>
      <c r="B573" s="68"/>
      <c r="D573" s="68"/>
      <c r="E573" s="69"/>
      <c r="M573" s="68"/>
      <c r="O573" s="68"/>
      <c r="P573" s="68"/>
      <c r="Q573" s="68"/>
      <c r="R573" s="68"/>
      <c r="S573" s="68"/>
    </row>
    <row r="574" spans="1:19" ht="15.75" customHeight="1">
      <c r="A574" s="68"/>
      <c r="B574" s="68"/>
      <c r="D574" s="68"/>
      <c r="E574" s="69"/>
      <c r="M574" s="68"/>
      <c r="O574" s="68"/>
      <c r="P574" s="68"/>
      <c r="Q574" s="68"/>
      <c r="R574" s="68"/>
      <c r="S574" s="68"/>
    </row>
    <row r="575" spans="1:19" ht="15.75" customHeight="1">
      <c r="A575" s="68"/>
      <c r="B575" s="68"/>
      <c r="D575" s="68"/>
      <c r="E575" s="69"/>
      <c r="M575" s="68"/>
      <c r="O575" s="68"/>
      <c r="P575" s="68"/>
      <c r="Q575" s="68"/>
      <c r="R575" s="68"/>
      <c r="S575" s="68"/>
    </row>
    <row r="576" spans="1:19" ht="15.75" customHeight="1">
      <c r="A576" s="68"/>
      <c r="B576" s="68"/>
      <c r="D576" s="68"/>
      <c r="E576" s="69"/>
      <c r="M576" s="68"/>
      <c r="O576" s="68"/>
      <c r="P576" s="68"/>
      <c r="Q576" s="68"/>
      <c r="R576" s="68"/>
      <c r="S576" s="68"/>
    </row>
    <row r="577" spans="1:19" ht="15.75" customHeight="1">
      <c r="A577" s="68"/>
      <c r="B577" s="68"/>
      <c r="D577" s="68"/>
      <c r="E577" s="69"/>
      <c r="M577" s="68"/>
      <c r="O577" s="68"/>
      <c r="P577" s="68"/>
      <c r="Q577" s="68"/>
      <c r="R577" s="68"/>
      <c r="S577" s="68"/>
    </row>
    <row r="578" spans="1:19" ht="15.75" customHeight="1">
      <c r="A578" s="68"/>
      <c r="B578" s="68"/>
      <c r="D578" s="68"/>
      <c r="E578" s="69"/>
      <c r="M578" s="68"/>
      <c r="O578" s="68"/>
      <c r="P578" s="68"/>
      <c r="Q578" s="68"/>
      <c r="R578" s="68"/>
      <c r="S578" s="68"/>
    </row>
    <row r="579" spans="1:19" ht="15.75" customHeight="1">
      <c r="A579" s="68"/>
      <c r="B579" s="68"/>
      <c r="D579" s="68"/>
      <c r="E579" s="69"/>
      <c r="M579" s="68"/>
      <c r="O579" s="68"/>
      <c r="P579" s="68"/>
      <c r="Q579" s="68"/>
      <c r="R579" s="68"/>
      <c r="S579" s="68"/>
    </row>
    <row r="580" spans="1:19" ht="15.75" customHeight="1">
      <c r="A580" s="68"/>
      <c r="B580" s="68"/>
      <c r="D580" s="68"/>
      <c r="E580" s="69"/>
      <c r="M580" s="68"/>
      <c r="O580" s="68"/>
      <c r="P580" s="68"/>
      <c r="Q580" s="68"/>
      <c r="R580" s="68"/>
      <c r="S580" s="68"/>
    </row>
    <row r="581" spans="1:19" ht="15.75" customHeight="1">
      <c r="A581" s="68"/>
      <c r="B581" s="68"/>
      <c r="D581" s="68"/>
      <c r="E581" s="69"/>
      <c r="M581" s="68"/>
      <c r="O581" s="68"/>
      <c r="P581" s="68"/>
      <c r="Q581" s="68"/>
      <c r="R581" s="68"/>
      <c r="S581" s="68"/>
    </row>
    <row r="582" spans="1:19" ht="15.75" customHeight="1">
      <c r="A582" s="68"/>
      <c r="B582" s="68"/>
      <c r="D582" s="68"/>
      <c r="E582" s="69"/>
      <c r="M582" s="68"/>
      <c r="O582" s="68"/>
      <c r="P582" s="68"/>
      <c r="Q582" s="68"/>
      <c r="R582" s="68"/>
      <c r="S582" s="68"/>
    </row>
    <row r="583" spans="1:19" ht="15.75" customHeight="1">
      <c r="A583" s="68"/>
      <c r="B583" s="68"/>
      <c r="D583" s="68"/>
      <c r="E583" s="69"/>
      <c r="M583" s="68"/>
      <c r="O583" s="68"/>
      <c r="P583" s="68"/>
      <c r="Q583" s="68"/>
      <c r="R583" s="68"/>
      <c r="S583" s="68"/>
    </row>
    <row r="584" spans="1:19" ht="15.75" customHeight="1">
      <c r="A584" s="68"/>
      <c r="B584" s="68"/>
      <c r="D584" s="68"/>
      <c r="E584" s="69"/>
      <c r="M584" s="68"/>
      <c r="O584" s="68"/>
      <c r="P584" s="68"/>
      <c r="Q584" s="68"/>
      <c r="R584" s="68"/>
      <c r="S584" s="68"/>
    </row>
    <row r="585" spans="1:19" ht="15.75" customHeight="1">
      <c r="A585" s="68"/>
      <c r="B585" s="68"/>
      <c r="D585" s="68"/>
      <c r="E585" s="69"/>
      <c r="M585" s="68"/>
      <c r="O585" s="68"/>
      <c r="P585" s="68"/>
      <c r="Q585" s="68"/>
      <c r="R585" s="68"/>
      <c r="S585" s="68"/>
    </row>
    <row r="586" spans="1:19" ht="15.75" customHeight="1">
      <c r="A586" s="68"/>
      <c r="B586" s="68"/>
      <c r="D586" s="68"/>
      <c r="E586" s="69"/>
      <c r="M586" s="68"/>
      <c r="O586" s="68"/>
      <c r="P586" s="68"/>
      <c r="Q586" s="68"/>
      <c r="R586" s="68"/>
      <c r="S586" s="68"/>
    </row>
    <row r="587" spans="1:19" ht="15.75" customHeight="1">
      <c r="A587" s="68"/>
      <c r="B587" s="68"/>
      <c r="D587" s="68"/>
      <c r="E587" s="69"/>
      <c r="M587" s="68"/>
      <c r="O587" s="68"/>
      <c r="P587" s="68"/>
      <c r="Q587" s="68"/>
      <c r="R587" s="68"/>
      <c r="S587" s="68"/>
    </row>
    <row r="588" spans="1:19" ht="15.75" customHeight="1">
      <c r="A588" s="68"/>
      <c r="B588" s="68"/>
      <c r="D588" s="68"/>
      <c r="E588" s="69"/>
      <c r="M588" s="68"/>
      <c r="O588" s="68"/>
      <c r="P588" s="68"/>
      <c r="Q588" s="68"/>
      <c r="R588" s="68"/>
      <c r="S588" s="68"/>
    </row>
    <row r="589" spans="1:19" ht="15.75" customHeight="1">
      <c r="A589" s="68"/>
      <c r="B589" s="68"/>
      <c r="D589" s="68"/>
      <c r="E589" s="69"/>
      <c r="M589" s="68"/>
      <c r="O589" s="68"/>
      <c r="P589" s="68"/>
      <c r="Q589" s="68"/>
      <c r="R589" s="68"/>
      <c r="S589" s="68"/>
    </row>
    <row r="590" spans="1:19" ht="15.75" customHeight="1">
      <c r="A590" s="68"/>
      <c r="B590" s="68"/>
      <c r="D590" s="68"/>
      <c r="E590" s="69"/>
      <c r="M590" s="68"/>
      <c r="O590" s="68"/>
      <c r="P590" s="68"/>
      <c r="Q590" s="68"/>
      <c r="R590" s="68"/>
      <c r="S590" s="68"/>
    </row>
    <row r="591" spans="1:19" ht="15.75" customHeight="1">
      <c r="A591" s="68"/>
      <c r="B591" s="68"/>
      <c r="D591" s="68"/>
      <c r="E591" s="69"/>
      <c r="M591" s="68"/>
      <c r="O591" s="68"/>
      <c r="P591" s="68"/>
      <c r="Q591" s="68"/>
      <c r="R591" s="68"/>
      <c r="S591" s="68"/>
    </row>
    <row r="592" spans="1:19" ht="15.75" customHeight="1">
      <c r="A592" s="68"/>
      <c r="B592" s="68"/>
      <c r="D592" s="68"/>
      <c r="E592" s="69"/>
      <c r="M592" s="68"/>
      <c r="O592" s="68"/>
      <c r="P592" s="68"/>
      <c r="Q592" s="68"/>
      <c r="R592" s="68"/>
      <c r="S592" s="68"/>
    </row>
    <row r="593" spans="1:19" ht="15.75" customHeight="1">
      <c r="A593" s="68"/>
      <c r="B593" s="68"/>
      <c r="D593" s="68"/>
      <c r="E593" s="69"/>
      <c r="M593" s="68"/>
      <c r="O593" s="68"/>
      <c r="P593" s="68"/>
      <c r="Q593" s="68"/>
      <c r="R593" s="68"/>
      <c r="S593" s="68"/>
    </row>
    <row r="594" spans="1:19" ht="15.75" customHeight="1">
      <c r="A594" s="68"/>
      <c r="B594" s="68"/>
      <c r="D594" s="68"/>
      <c r="E594" s="69"/>
      <c r="M594" s="68"/>
      <c r="O594" s="68"/>
      <c r="P594" s="68"/>
      <c r="Q594" s="68"/>
      <c r="R594" s="68"/>
      <c r="S594" s="68"/>
    </row>
    <row r="595" spans="1:19" ht="15.75" customHeight="1">
      <c r="A595" s="68"/>
      <c r="B595" s="68"/>
      <c r="D595" s="68"/>
      <c r="E595" s="69"/>
      <c r="M595" s="68"/>
      <c r="O595" s="68"/>
      <c r="P595" s="68"/>
      <c r="Q595" s="68"/>
      <c r="R595" s="68"/>
      <c r="S595" s="68"/>
    </row>
    <row r="596" spans="1:19" ht="15.75" customHeight="1">
      <c r="A596" s="68"/>
      <c r="B596" s="68"/>
      <c r="D596" s="68"/>
      <c r="E596" s="69"/>
      <c r="M596" s="68"/>
      <c r="O596" s="68"/>
      <c r="P596" s="68"/>
      <c r="Q596" s="68"/>
      <c r="R596" s="68"/>
      <c r="S596" s="68"/>
    </row>
    <row r="597" spans="1:19" ht="15.75" customHeight="1">
      <c r="A597" s="68"/>
      <c r="B597" s="68"/>
      <c r="D597" s="68"/>
      <c r="E597" s="69"/>
      <c r="M597" s="68"/>
      <c r="O597" s="68"/>
      <c r="P597" s="68"/>
      <c r="Q597" s="68"/>
      <c r="R597" s="68"/>
      <c r="S597" s="68"/>
    </row>
    <row r="598" spans="1:19" ht="15.75" customHeight="1">
      <c r="A598" s="68"/>
      <c r="B598" s="68"/>
      <c r="D598" s="68"/>
      <c r="E598" s="69"/>
      <c r="M598" s="68"/>
      <c r="O598" s="68"/>
      <c r="P598" s="68"/>
      <c r="Q598" s="68"/>
      <c r="R598" s="68"/>
      <c r="S598" s="68"/>
    </row>
    <row r="599" spans="1:19" ht="15.75" customHeight="1">
      <c r="A599" s="68"/>
      <c r="B599" s="68"/>
      <c r="D599" s="68"/>
      <c r="E599" s="69"/>
      <c r="M599" s="68"/>
      <c r="O599" s="68"/>
      <c r="P599" s="68"/>
      <c r="Q599" s="68"/>
      <c r="R599" s="68"/>
      <c r="S599" s="68"/>
    </row>
    <row r="600" spans="1:19" ht="15.75" customHeight="1">
      <c r="A600" s="68"/>
      <c r="B600" s="68"/>
      <c r="D600" s="68"/>
      <c r="E600" s="69"/>
      <c r="M600" s="68"/>
      <c r="O600" s="68"/>
      <c r="P600" s="68"/>
      <c r="Q600" s="68"/>
      <c r="R600" s="68"/>
      <c r="S600" s="68"/>
    </row>
    <row r="601" spans="1:19" ht="15.75" customHeight="1">
      <c r="A601" s="68"/>
      <c r="B601" s="68"/>
      <c r="D601" s="68"/>
      <c r="E601" s="69"/>
      <c r="M601" s="68"/>
      <c r="O601" s="68"/>
      <c r="P601" s="68"/>
      <c r="Q601" s="68"/>
      <c r="R601" s="68"/>
      <c r="S601" s="68"/>
    </row>
    <row r="602" spans="1:19" ht="15.75" customHeight="1">
      <c r="A602" s="68"/>
      <c r="B602" s="68"/>
      <c r="D602" s="68"/>
      <c r="E602" s="69"/>
      <c r="M602" s="68"/>
      <c r="O602" s="68"/>
      <c r="P602" s="68"/>
      <c r="Q602" s="68"/>
      <c r="R602" s="68"/>
      <c r="S602" s="68"/>
    </row>
    <row r="603" spans="1:19" ht="15.75" customHeight="1">
      <c r="A603" s="68"/>
      <c r="B603" s="68"/>
      <c r="D603" s="68"/>
      <c r="E603" s="69"/>
      <c r="M603" s="68"/>
      <c r="O603" s="68"/>
      <c r="P603" s="68"/>
      <c r="Q603" s="68"/>
      <c r="R603" s="68"/>
      <c r="S603" s="68"/>
    </row>
    <row r="604" spans="1:19" ht="15.75" customHeight="1">
      <c r="A604" s="68"/>
      <c r="B604" s="68"/>
      <c r="D604" s="68"/>
      <c r="E604" s="69"/>
      <c r="M604" s="68"/>
      <c r="O604" s="68"/>
      <c r="P604" s="68"/>
      <c r="Q604" s="68"/>
      <c r="R604" s="68"/>
      <c r="S604" s="68"/>
    </row>
    <row r="605" spans="1:19" ht="15.75" customHeight="1">
      <c r="A605" s="68"/>
      <c r="B605" s="68"/>
      <c r="D605" s="68"/>
      <c r="E605" s="69"/>
      <c r="M605" s="68"/>
      <c r="O605" s="68"/>
      <c r="P605" s="68"/>
      <c r="Q605" s="68"/>
      <c r="R605" s="68"/>
      <c r="S605" s="68"/>
    </row>
    <row r="606" spans="1:19" ht="15.75" customHeight="1">
      <c r="A606" s="68"/>
      <c r="B606" s="68"/>
      <c r="D606" s="68"/>
      <c r="E606" s="69"/>
      <c r="M606" s="68"/>
      <c r="O606" s="68"/>
      <c r="P606" s="68"/>
      <c r="Q606" s="68"/>
      <c r="R606" s="68"/>
      <c r="S606" s="68"/>
    </row>
    <row r="607" spans="1:19" ht="15.75" customHeight="1">
      <c r="A607" s="68"/>
      <c r="B607" s="68"/>
      <c r="D607" s="68"/>
      <c r="E607" s="69"/>
      <c r="M607" s="68"/>
      <c r="O607" s="68"/>
      <c r="P607" s="68"/>
      <c r="Q607" s="68"/>
      <c r="R607" s="68"/>
      <c r="S607" s="68"/>
    </row>
    <row r="608" spans="1:19" ht="15.75" customHeight="1">
      <c r="A608" s="68"/>
      <c r="B608" s="68"/>
      <c r="D608" s="68"/>
      <c r="E608" s="69"/>
      <c r="M608" s="68"/>
      <c r="O608" s="68"/>
      <c r="P608" s="68"/>
      <c r="Q608" s="68"/>
      <c r="R608" s="68"/>
      <c r="S608" s="68"/>
    </row>
    <row r="609" spans="1:19" ht="15.75" customHeight="1">
      <c r="A609" s="68"/>
      <c r="B609" s="68"/>
      <c r="D609" s="68"/>
      <c r="E609" s="69"/>
      <c r="M609" s="68"/>
      <c r="O609" s="68"/>
      <c r="P609" s="68"/>
      <c r="Q609" s="68"/>
      <c r="R609" s="68"/>
      <c r="S609" s="68"/>
    </row>
    <row r="610" spans="1:19" ht="15.75" customHeight="1">
      <c r="A610" s="68"/>
      <c r="B610" s="68"/>
      <c r="D610" s="68"/>
      <c r="E610" s="69"/>
      <c r="M610" s="68"/>
      <c r="O610" s="68"/>
      <c r="P610" s="68"/>
      <c r="Q610" s="68"/>
      <c r="R610" s="68"/>
      <c r="S610" s="68"/>
    </row>
    <row r="611" spans="1:19" ht="15.75" customHeight="1">
      <c r="A611" s="68"/>
      <c r="B611" s="68"/>
      <c r="D611" s="68"/>
      <c r="E611" s="69"/>
      <c r="M611" s="68"/>
      <c r="O611" s="68"/>
      <c r="P611" s="68"/>
      <c r="Q611" s="68"/>
      <c r="R611" s="68"/>
      <c r="S611" s="68"/>
    </row>
    <row r="612" spans="1:19" ht="15.75" customHeight="1">
      <c r="A612" s="68"/>
      <c r="B612" s="68"/>
      <c r="D612" s="68"/>
      <c r="E612" s="69"/>
      <c r="M612" s="68"/>
      <c r="O612" s="68"/>
      <c r="P612" s="68"/>
      <c r="Q612" s="68"/>
      <c r="R612" s="68"/>
      <c r="S612" s="68"/>
    </row>
    <row r="613" spans="1:19" ht="15.75" customHeight="1">
      <c r="A613" s="68"/>
      <c r="B613" s="68"/>
      <c r="D613" s="68"/>
      <c r="E613" s="69"/>
      <c r="M613" s="68"/>
      <c r="O613" s="68"/>
      <c r="P613" s="68"/>
      <c r="Q613" s="68"/>
      <c r="R613" s="68"/>
      <c r="S613" s="68"/>
    </row>
    <row r="614" spans="1:19" ht="15.75" customHeight="1">
      <c r="A614" s="68"/>
      <c r="B614" s="68"/>
      <c r="D614" s="68"/>
      <c r="E614" s="69"/>
      <c r="M614" s="68"/>
      <c r="O614" s="68"/>
      <c r="P614" s="68"/>
      <c r="Q614" s="68"/>
      <c r="R614" s="68"/>
      <c r="S614" s="68"/>
    </row>
    <row r="615" spans="1:19" ht="15.75" customHeight="1">
      <c r="A615" s="68"/>
      <c r="B615" s="68"/>
      <c r="D615" s="68"/>
      <c r="E615" s="69"/>
      <c r="M615" s="68"/>
      <c r="O615" s="68"/>
      <c r="P615" s="68"/>
      <c r="Q615" s="68"/>
      <c r="R615" s="68"/>
      <c r="S615" s="68"/>
    </row>
    <row r="616" spans="1:19" ht="15.75" customHeight="1">
      <c r="A616" s="68"/>
      <c r="B616" s="68"/>
      <c r="D616" s="68"/>
      <c r="E616" s="69"/>
      <c r="M616" s="68"/>
      <c r="O616" s="68"/>
      <c r="P616" s="68"/>
      <c r="Q616" s="68"/>
      <c r="R616" s="68"/>
      <c r="S616" s="68"/>
    </row>
    <row r="617" spans="1:19" ht="15.75" customHeight="1">
      <c r="A617" s="68"/>
      <c r="B617" s="68"/>
      <c r="D617" s="68"/>
      <c r="E617" s="69"/>
      <c r="M617" s="68"/>
      <c r="O617" s="68"/>
      <c r="P617" s="68"/>
      <c r="Q617" s="68"/>
      <c r="R617" s="68"/>
      <c r="S617" s="68"/>
    </row>
    <row r="618" spans="1:19" ht="15.75" customHeight="1">
      <c r="A618" s="68"/>
      <c r="B618" s="68"/>
      <c r="D618" s="68"/>
      <c r="E618" s="69"/>
      <c r="M618" s="68"/>
      <c r="O618" s="68"/>
      <c r="P618" s="68"/>
      <c r="Q618" s="68"/>
      <c r="R618" s="68"/>
      <c r="S618" s="68"/>
    </row>
    <row r="619" spans="1:19" ht="15.75" customHeight="1">
      <c r="A619" s="68"/>
      <c r="B619" s="68"/>
      <c r="D619" s="68"/>
      <c r="E619" s="69"/>
      <c r="M619" s="68"/>
      <c r="O619" s="68"/>
      <c r="P619" s="68"/>
      <c r="Q619" s="68"/>
      <c r="R619" s="68"/>
      <c r="S619" s="68"/>
    </row>
    <row r="620" spans="1:19" ht="15.75" customHeight="1">
      <c r="A620" s="68"/>
      <c r="B620" s="68"/>
      <c r="D620" s="68"/>
      <c r="E620" s="69"/>
      <c r="M620" s="68"/>
      <c r="O620" s="68"/>
      <c r="P620" s="68"/>
      <c r="Q620" s="68"/>
      <c r="R620" s="68"/>
      <c r="S620" s="68"/>
    </row>
    <row r="621" spans="1:19" ht="15.75" customHeight="1">
      <c r="A621" s="68"/>
      <c r="B621" s="68"/>
      <c r="D621" s="68"/>
      <c r="E621" s="69"/>
      <c r="M621" s="68"/>
      <c r="O621" s="68"/>
      <c r="P621" s="68"/>
      <c r="Q621" s="68"/>
      <c r="R621" s="68"/>
      <c r="S621" s="68"/>
    </row>
    <row r="622" spans="1:19" ht="15.75" customHeight="1">
      <c r="A622" s="68"/>
      <c r="B622" s="68"/>
      <c r="D622" s="68"/>
      <c r="E622" s="69"/>
      <c r="M622" s="68"/>
      <c r="O622" s="68"/>
      <c r="P622" s="68"/>
      <c r="Q622" s="68"/>
      <c r="R622" s="68"/>
      <c r="S622" s="68"/>
    </row>
    <row r="623" spans="1:19" ht="15.75" customHeight="1">
      <c r="A623" s="68"/>
      <c r="B623" s="68"/>
      <c r="D623" s="68"/>
      <c r="E623" s="69"/>
      <c r="M623" s="68"/>
      <c r="O623" s="68"/>
      <c r="P623" s="68"/>
      <c r="Q623" s="68"/>
      <c r="R623" s="68"/>
      <c r="S623" s="68"/>
    </row>
    <row r="624" spans="1:19" ht="15.75" customHeight="1">
      <c r="A624" s="68"/>
      <c r="B624" s="68"/>
      <c r="D624" s="68"/>
      <c r="E624" s="69"/>
      <c r="M624" s="68"/>
      <c r="O624" s="68"/>
      <c r="P624" s="68"/>
      <c r="Q624" s="68"/>
      <c r="R624" s="68"/>
      <c r="S624" s="68"/>
    </row>
    <row r="625" spans="1:19" ht="15.75" customHeight="1">
      <c r="A625" s="68"/>
      <c r="B625" s="68"/>
      <c r="D625" s="68"/>
      <c r="E625" s="69"/>
      <c r="M625" s="68"/>
      <c r="O625" s="68"/>
      <c r="P625" s="68"/>
      <c r="Q625" s="68"/>
      <c r="R625" s="68"/>
      <c r="S625" s="68"/>
    </row>
    <row r="626" spans="1:19" ht="15.75" customHeight="1">
      <c r="A626" s="68"/>
      <c r="B626" s="68"/>
      <c r="D626" s="68"/>
      <c r="E626" s="69"/>
      <c r="M626" s="68"/>
      <c r="O626" s="68"/>
      <c r="P626" s="68"/>
      <c r="Q626" s="68"/>
      <c r="R626" s="68"/>
      <c r="S626" s="68"/>
    </row>
    <row r="627" spans="1:19" ht="15.75" customHeight="1">
      <c r="A627" s="68"/>
      <c r="B627" s="68"/>
      <c r="D627" s="68"/>
      <c r="E627" s="69"/>
      <c r="M627" s="68"/>
      <c r="O627" s="68"/>
      <c r="P627" s="68"/>
      <c r="Q627" s="68"/>
      <c r="R627" s="68"/>
      <c r="S627" s="68"/>
    </row>
    <row r="628" spans="1:19" ht="15.75" customHeight="1">
      <c r="A628" s="68"/>
      <c r="B628" s="68"/>
      <c r="D628" s="68"/>
      <c r="E628" s="69"/>
      <c r="M628" s="68"/>
      <c r="O628" s="68"/>
      <c r="P628" s="68"/>
      <c r="Q628" s="68"/>
      <c r="R628" s="68"/>
      <c r="S628" s="68"/>
    </row>
    <row r="629" spans="1:19" ht="15.75" customHeight="1">
      <c r="A629" s="68"/>
      <c r="B629" s="68"/>
      <c r="D629" s="68"/>
      <c r="E629" s="69"/>
      <c r="M629" s="68"/>
      <c r="O629" s="68"/>
      <c r="P629" s="68"/>
      <c r="Q629" s="68"/>
      <c r="R629" s="68"/>
      <c r="S629" s="68"/>
    </row>
    <row r="630" spans="1:19" ht="15.75" customHeight="1">
      <c r="A630" s="68"/>
      <c r="B630" s="68"/>
      <c r="D630" s="68"/>
      <c r="E630" s="69"/>
      <c r="M630" s="68"/>
      <c r="O630" s="68"/>
      <c r="P630" s="68"/>
      <c r="Q630" s="68"/>
      <c r="R630" s="68"/>
      <c r="S630" s="68"/>
    </row>
    <row r="631" spans="1:19" ht="15.75" customHeight="1">
      <c r="A631" s="68"/>
      <c r="B631" s="68"/>
      <c r="D631" s="68"/>
      <c r="E631" s="69"/>
      <c r="M631" s="68"/>
      <c r="O631" s="68"/>
      <c r="P631" s="68"/>
      <c r="Q631" s="68"/>
      <c r="R631" s="68"/>
      <c r="S631" s="68"/>
    </row>
    <row r="632" spans="1:19" ht="15.75" customHeight="1">
      <c r="A632" s="68"/>
      <c r="B632" s="68"/>
      <c r="D632" s="68"/>
      <c r="E632" s="69"/>
      <c r="M632" s="68"/>
      <c r="O632" s="68"/>
      <c r="P632" s="68"/>
      <c r="Q632" s="68"/>
      <c r="R632" s="68"/>
      <c r="S632" s="68"/>
    </row>
    <row r="633" spans="1:19" ht="15.75" customHeight="1">
      <c r="A633" s="68"/>
      <c r="B633" s="68"/>
      <c r="D633" s="68"/>
      <c r="E633" s="69"/>
      <c r="M633" s="68"/>
      <c r="O633" s="68"/>
      <c r="P633" s="68"/>
      <c r="Q633" s="68"/>
      <c r="R633" s="68"/>
      <c r="S633" s="68"/>
    </row>
    <row r="634" spans="1:19" ht="15.75" customHeight="1">
      <c r="A634" s="68"/>
      <c r="B634" s="68"/>
      <c r="D634" s="68"/>
      <c r="E634" s="69"/>
      <c r="M634" s="68"/>
      <c r="O634" s="68"/>
      <c r="P634" s="68"/>
      <c r="Q634" s="68"/>
      <c r="R634" s="68"/>
      <c r="S634" s="68"/>
    </row>
    <row r="635" spans="1:19" ht="15.75" customHeight="1">
      <c r="A635" s="68"/>
      <c r="B635" s="68"/>
      <c r="D635" s="68"/>
      <c r="E635" s="69"/>
      <c r="M635" s="68"/>
      <c r="O635" s="68"/>
      <c r="P635" s="68"/>
      <c r="Q635" s="68"/>
      <c r="R635" s="68"/>
      <c r="S635" s="68"/>
    </row>
    <row r="636" spans="1:19" ht="15.75" customHeight="1">
      <c r="A636" s="68"/>
      <c r="B636" s="68"/>
      <c r="D636" s="68"/>
      <c r="E636" s="69"/>
      <c r="M636" s="68"/>
      <c r="O636" s="68"/>
      <c r="P636" s="68"/>
      <c r="Q636" s="68"/>
      <c r="R636" s="68"/>
      <c r="S636" s="68"/>
    </row>
    <row r="637" spans="1:19" ht="15.75" customHeight="1">
      <c r="A637" s="68"/>
      <c r="B637" s="68"/>
      <c r="D637" s="68"/>
      <c r="E637" s="69"/>
      <c r="M637" s="68"/>
      <c r="O637" s="68"/>
      <c r="P637" s="68"/>
      <c r="Q637" s="68"/>
      <c r="R637" s="68"/>
      <c r="S637" s="68"/>
    </row>
    <row r="638" spans="1:19" ht="15.75" customHeight="1">
      <c r="A638" s="68"/>
      <c r="B638" s="68"/>
      <c r="D638" s="68"/>
      <c r="E638" s="69"/>
      <c r="M638" s="68"/>
      <c r="O638" s="68"/>
      <c r="P638" s="68"/>
      <c r="Q638" s="68"/>
      <c r="R638" s="68"/>
      <c r="S638" s="68"/>
    </row>
    <row r="639" spans="1:19" ht="15.75" customHeight="1">
      <c r="A639" s="68"/>
      <c r="B639" s="68"/>
      <c r="D639" s="68"/>
      <c r="E639" s="69"/>
      <c r="M639" s="68"/>
      <c r="O639" s="68"/>
      <c r="P639" s="68"/>
      <c r="Q639" s="68"/>
      <c r="R639" s="68"/>
      <c r="S639" s="68"/>
    </row>
    <row r="640" spans="1:19" ht="15.75" customHeight="1">
      <c r="A640" s="68"/>
      <c r="B640" s="68"/>
      <c r="D640" s="68"/>
      <c r="E640" s="69"/>
      <c r="M640" s="68"/>
      <c r="O640" s="68"/>
      <c r="P640" s="68"/>
      <c r="Q640" s="68"/>
      <c r="R640" s="68"/>
      <c r="S640" s="68"/>
    </row>
    <row r="641" spans="1:19" ht="15.75" customHeight="1">
      <c r="A641" s="68"/>
      <c r="B641" s="68"/>
      <c r="D641" s="68"/>
      <c r="E641" s="69"/>
      <c r="M641" s="68"/>
      <c r="O641" s="68"/>
      <c r="P641" s="68"/>
      <c r="Q641" s="68"/>
      <c r="R641" s="68"/>
      <c r="S641" s="68"/>
    </row>
    <row r="642" spans="1:19" ht="15.75" customHeight="1">
      <c r="A642" s="68"/>
      <c r="B642" s="68"/>
      <c r="D642" s="68"/>
      <c r="E642" s="69"/>
      <c r="M642" s="68"/>
      <c r="O642" s="68"/>
      <c r="P642" s="68"/>
      <c r="Q642" s="68"/>
      <c r="R642" s="68"/>
      <c r="S642" s="68"/>
    </row>
    <row r="643" spans="1:19" ht="15.75" customHeight="1">
      <c r="A643" s="68"/>
      <c r="B643" s="68"/>
      <c r="D643" s="68"/>
      <c r="E643" s="69"/>
      <c r="M643" s="68"/>
      <c r="O643" s="68"/>
      <c r="P643" s="68"/>
      <c r="Q643" s="68"/>
      <c r="R643" s="68"/>
      <c r="S643" s="68"/>
    </row>
    <row r="644" spans="1:19" ht="15.75" customHeight="1">
      <c r="A644" s="68"/>
      <c r="B644" s="68"/>
      <c r="D644" s="68"/>
      <c r="E644" s="69"/>
      <c r="M644" s="68"/>
      <c r="O644" s="68"/>
      <c r="P644" s="68"/>
      <c r="Q644" s="68"/>
      <c r="R644" s="68"/>
      <c r="S644" s="68"/>
    </row>
    <row r="645" spans="1:19" ht="15.75" customHeight="1">
      <c r="A645" s="68"/>
      <c r="B645" s="68"/>
      <c r="D645" s="68"/>
      <c r="E645" s="69"/>
      <c r="M645" s="68"/>
      <c r="O645" s="68"/>
      <c r="P645" s="68"/>
      <c r="Q645" s="68"/>
      <c r="R645" s="68"/>
      <c r="S645" s="68"/>
    </row>
    <row r="646" spans="1:19" ht="15.75" customHeight="1">
      <c r="A646" s="68"/>
      <c r="B646" s="68"/>
      <c r="D646" s="68"/>
      <c r="E646" s="69"/>
      <c r="M646" s="68"/>
      <c r="O646" s="68"/>
      <c r="P646" s="68"/>
      <c r="Q646" s="68"/>
      <c r="R646" s="68"/>
      <c r="S646" s="68"/>
    </row>
    <row r="647" spans="1:19" ht="15.75" customHeight="1">
      <c r="A647" s="68"/>
      <c r="B647" s="68"/>
      <c r="D647" s="68"/>
      <c r="E647" s="69"/>
      <c r="M647" s="68"/>
      <c r="O647" s="68"/>
      <c r="P647" s="68"/>
      <c r="Q647" s="68"/>
      <c r="R647" s="68"/>
      <c r="S647" s="68"/>
    </row>
    <row r="648" spans="1:19" ht="15.75" customHeight="1">
      <c r="A648" s="68"/>
      <c r="B648" s="68"/>
      <c r="D648" s="68"/>
      <c r="E648" s="69"/>
      <c r="M648" s="68"/>
      <c r="O648" s="68"/>
      <c r="P648" s="68"/>
      <c r="Q648" s="68"/>
      <c r="R648" s="68"/>
      <c r="S648" s="68"/>
    </row>
    <row r="649" spans="1:19" ht="15.75" customHeight="1">
      <c r="A649" s="68"/>
      <c r="B649" s="68"/>
      <c r="D649" s="68"/>
      <c r="E649" s="69"/>
      <c r="M649" s="68"/>
      <c r="O649" s="68"/>
      <c r="P649" s="68"/>
      <c r="Q649" s="68"/>
      <c r="R649" s="68"/>
      <c r="S649" s="68"/>
    </row>
    <row r="650" spans="1:19" ht="15.75" customHeight="1">
      <c r="A650" s="68"/>
      <c r="B650" s="68"/>
      <c r="D650" s="68"/>
      <c r="E650" s="69"/>
      <c r="M650" s="68"/>
      <c r="O650" s="68"/>
      <c r="P650" s="68"/>
      <c r="Q650" s="68"/>
      <c r="R650" s="68"/>
      <c r="S650" s="68"/>
    </row>
    <row r="651" spans="1:19" ht="15.75" customHeight="1">
      <c r="A651" s="68"/>
      <c r="B651" s="68"/>
      <c r="D651" s="68"/>
      <c r="E651" s="69"/>
      <c r="M651" s="68"/>
      <c r="O651" s="68"/>
      <c r="P651" s="68"/>
      <c r="Q651" s="68"/>
      <c r="R651" s="68"/>
      <c r="S651" s="68"/>
    </row>
    <row r="652" spans="1:19" ht="15.75" customHeight="1">
      <c r="A652" s="68"/>
      <c r="B652" s="68"/>
      <c r="D652" s="68"/>
      <c r="E652" s="69"/>
      <c r="M652" s="68"/>
      <c r="O652" s="68"/>
      <c r="P652" s="68"/>
      <c r="Q652" s="68"/>
      <c r="R652" s="68"/>
      <c r="S652" s="68"/>
    </row>
    <row r="653" spans="1:19" ht="15.75" customHeight="1">
      <c r="A653" s="68"/>
      <c r="B653" s="68"/>
      <c r="D653" s="68"/>
      <c r="E653" s="69"/>
      <c r="M653" s="68"/>
      <c r="O653" s="68"/>
      <c r="P653" s="68"/>
      <c r="Q653" s="68"/>
      <c r="R653" s="68"/>
      <c r="S653" s="68"/>
    </row>
    <row r="654" spans="1:19" ht="15.75" customHeight="1">
      <c r="A654" s="68"/>
      <c r="B654" s="68"/>
      <c r="D654" s="68"/>
      <c r="E654" s="69"/>
      <c r="M654" s="68"/>
      <c r="O654" s="68"/>
      <c r="P654" s="68"/>
      <c r="Q654" s="68"/>
      <c r="R654" s="68"/>
      <c r="S654" s="68"/>
    </row>
    <row r="655" spans="1:19" ht="15.75" customHeight="1">
      <c r="A655" s="68"/>
      <c r="B655" s="68"/>
      <c r="D655" s="68"/>
      <c r="E655" s="69"/>
      <c r="M655" s="68"/>
      <c r="O655" s="68"/>
      <c r="P655" s="68"/>
      <c r="Q655" s="68"/>
      <c r="R655" s="68"/>
      <c r="S655" s="68"/>
    </row>
    <row r="656" spans="1:19" ht="15.75" customHeight="1">
      <c r="A656" s="68"/>
      <c r="B656" s="68"/>
      <c r="D656" s="68"/>
      <c r="E656" s="69"/>
      <c r="M656" s="68"/>
      <c r="O656" s="68"/>
      <c r="P656" s="68"/>
      <c r="Q656" s="68"/>
      <c r="R656" s="68"/>
      <c r="S656" s="68"/>
    </row>
    <row r="657" spans="1:19" ht="15.75" customHeight="1">
      <c r="A657" s="68"/>
      <c r="B657" s="68"/>
      <c r="D657" s="68"/>
      <c r="E657" s="69"/>
      <c r="M657" s="68"/>
      <c r="O657" s="68"/>
      <c r="P657" s="68"/>
      <c r="Q657" s="68"/>
      <c r="R657" s="68"/>
      <c r="S657" s="68"/>
    </row>
    <row r="658" spans="1:19" ht="15.75" customHeight="1">
      <c r="A658" s="68"/>
      <c r="B658" s="68"/>
      <c r="D658" s="68"/>
      <c r="E658" s="69"/>
      <c r="M658" s="68"/>
      <c r="O658" s="68"/>
      <c r="P658" s="68"/>
      <c r="Q658" s="68"/>
      <c r="R658" s="68"/>
      <c r="S658" s="68"/>
    </row>
    <row r="659" spans="1:19" ht="15.75" customHeight="1">
      <c r="A659" s="68"/>
      <c r="B659" s="68"/>
      <c r="D659" s="68"/>
      <c r="E659" s="69"/>
      <c r="M659" s="68"/>
      <c r="O659" s="68"/>
      <c r="P659" s="68"/>
      <c r="Q659" s="68"/>
      <c r="R659" s="68"/>
      <c r="S659" s="68"/>
    </row>
    <row r="660" spans="1:19" ht="15.75" customHeight="1">
      <c r="A660" s="68"/>
      <c r="B660" s="68"/>
      <c r="D660" s="68"/>
      <c r="E660" s="69"/>
      <c r="M660" s="68"/>
      <c r="O660" s="68"/>
      <c r="P660" s="68"/>
      <c r="Q660" s="68"/>
      <c r="R660" s="68"/>
      <c r="S660" s="68"/>
    </row>
    <row r="661" spans="1:19" ht="15.75" customHeight="1">
      <c r="A661" s="68"/>
      <c r="B661" s="68"/>
      <c r="D661" s="68"/>
      <c r="E661" s="69"/>
      <c r="M661" s="68"/>
      <c r="O661" s="68"/>
      <c r="P661" s="68"/>
      <c r="Q661" s="68"/>
      <c r="R661" s="68"/>
      <c r="S661" s="68"/>
    </row>
    <row r="662" spans="1:19" ht="15.75" customHeight="1">
      <c r="A662" s="68"/>
      <c r="B662" s="68"/>
      <c r="D662" s="68"/>
      <c r="E662" s="69"/>
      <c r="M662" s="68"/>
      <c r="O662" s="68"/>
      <c r="P662" s="68"/>
      <c r="Q662" s="68"/>
      <c r="R662" s="68"/>
      <c r="S662" s="68"/>
    </row>
    <row r="663" spans="1:19" ht="15.75" customHeight="1">
      <c r="A663" s="68"/>
      <c r="B663" s="68"/>
      <c r="D663" s="68"/>
      <c r="E663" s="69"/>
      <c r="M663" s="68"/>
      <c r="O663" s="68"/>
      <c r="P663" s="68"/>
      <c r="Q663" s="68"/>
      <c r="R663" s="68"/>
      <c r="S663" s="68"/>
    </row>
    <row r="664" spans="1:19" ht="15.75" customHeight="1">
      <c r="A664" s="68"/>
      <c r="B664" s="68"/>
      <c r="D664" s="68"/>
      <c r="E664" s="69"/>
      <c r="M664" s="68"/>
      <c r="O664" s="68"/>
      <c r="P664" s="68"/>
      <c r="Q664" s="68"/>
      <c r="R664" s="68"/>
      <c r="S664" s="68"/>
    </row>
    <row r="665" spans="1:19" ht="15.75" customHeight="1">
      <c r="A665" s="68"/>
      <c r="B665" s="68"/>
      <c r="D665" s="68"/>
      <c r="E665" s="69"/>
      <c r="M665" s="68"/>
      <c r="O665" s="68"/>
      <c r="P665" s="68"/>
      <c r="Q665" s="68"/>
      <c r="R665" s="68"/>
      <c r="S665" s="68"/>
    </row>
    <row r="666" spans="1:19" ht="15.75" customHeight="1">
      <c r="A666" s="68"/>
      <c r="B666" s="68"/>
      <c r="D666" s="68"/>
      <c r="E666" s="69"/>
      <c r="M666" s="68"/>
      <c r="O666" s="68"/>
      <c r="P666" s="68"/>
      <c r="Q666" s="68"/>
      <c r="R666" s="68"/>
      <c r="S666" s="68"/>
    </row>
    <row r="667" spans="1:19" ht="15.75" customHeight="1">
      <c r="A667" s="68"/>
      <c r="B667" s="68"/>
      <c r="D667" s="68"/>
      <c r="E667" s="69"/>
      <c r="M667" s="68"/>
      <c r="O667" s="68"/>
      <c r="P667" s="68"/>
      <c r="Q667" s="68"/>
      <c r="R667" s="68"/>
      <c r="S667" s="68"/>
    </row>
    <row r="668" spans="1:19" ht="15.75" customHeight="1">
      <c r="A668" s="68"/>
      <c r="B668" s="68"/>
      <c r="D668" s="68"/>
      <c r="E668" s="69"/>
      <c r="M668" s="68"/>
      <c r="O668" s="68"/>
      <c r="P668" s="68"/>
      <c r="Q668" s="68"/>
      <c r="R668" s="68"/>
      <c r="S668" s="68"/>
    </row>
    <row r="669" spans="1:19" ht="15.75" customHeight="1">
      <c r="A669" s="68"/>
      <c r="B669" s="68"/>
      <c r="D669" s="68"/>
      <c r="E669" s="69"/>
      <c r="M669" s="68"/>
      <c r="O669" s="68"/>
      <c r="P669" s="68"/>
      <c r="Q669" s="68"/>
      <c r="R669" s="68"/>
      <c r="S669" s="68"/>
    </row>
    <row r="670" spans="1:19" ht="15.75" customHeight="1">
      <c r="A670" s="68"/>
      <c r="B670" s="68"/>
      <c r="D670" s="68"/>
      <c r="E670" s="69"/>
      <c r="M670" s="68"/>
      <c r="O670" s="68"/>
      <c r="P670" s="68"/>
      <c r="Q670" s="68"/>
      <c r="R670" s="68"/>
      <c r="S670" s="68"/>
    </row>
    <row r="671" spans="1:19" ht="15.75" customHeight="1">
      <c r="A671" s="68"/>
      <c r="B671" s="68"/>
      <c r="D671" s="68"/>
      <c r="E671" s="69"/>
      <c r="M671" s="68"/>
      <c r="O671" s="68"/>
      <c r="P671" s="68"/>
      <c r="Q671" s="68"/>
      <c r="R671" s="68"/>
      <c r="S671" s="68"/>
    </row>
    <row r="672" spans="1:19" ht="15.75" customHeight="1">
      <c r="A672" s="68"/>
      <c r="B672" s="68"/>
      <c r="D672" s="68"/>
      <c r="E672" s="69"/>
      <c r="M672" s="68"/>
      <c r="O672" s="68"/>
      <c r="P672" s="68"/>
      <c r="Q672" s="68"/>
      <c r="R672" s="68"/>
      <c r="S672" s="68"/>
    </row>
    <row r="673" spans="1:19" ht="15.75" customHeight="1">
      <c r="A673" s="68"/>
      <c r="B673" s="68"/>
      <c r="D673" s="68"/>
      <c r="E673" s="69"/>
      <c r="M673" s="68"/>
      <c r="O673" s="68"/>
      <c r="P673" s="68"/>
      <c r="Q673" s="68"/>
      <c r="R673" s="68"/>
      <c r="S673" s="68"/>
    </row>
    <row r="674" spans="1:19" ht="15.75" customHeight="1">
      <c r="A674" s="68"/>
      <c r="B674" s="68"/>
      <c r="D674" s="68"/>
      <c r="E674" s="69"/>
      <c r="M674" s="68"/>
      <c r="O674" s="68"/>
      <c r="P674" s="68"/>
      <c r="Q674" s="68"/>
      <c r="R674" s="68"/>
      <c r="S674" s="68"/>
    </row>
    <row r="675" spans="1:19" ht="15.75" customHeight="1">
      <c r="A675" s="68"/>
      <c r="B675" s="68"/>
      <c r="D675" s="68"/>
      <c r="E675" s="69"/>
      <c r="M675" s="68"/>
      <c r="O675" s="68"/>
      <c r="P675" s="68"/>
      <c r="Q675" s="68"/>
      <c r="R675" s="68"/>
      <c r="S675" s="68"/>
    </row>
    <row r="676" spans="1:19" ht="15.75" customHeight="1">
      <c r="A676" s="68"/>
      <c r="B676" s="68"/>
      <c r="D676" s="68"/>
      <c r="E676" s="69"/>
      <c r="M676" s="68"/>
      <c r="O676" s="68"/>
      <c r="P676" s="68"/>
      <c r="Q676" s="68"/>
      <c r="R676" s="68"/>
      <c r="S676" s="68"/>
    </row>
    <row r="677" spans="1:19" ht="15.75" customHeight="1">
      <c r="A677" s="68"/>
      <c r="B677" s="68"/>
      <c r="D677" s="68"/>
      <c r="E677" s="69"/>
      <c r="M677" s="68"/>
      <c r="O677" s="68"/>
      <c r="P677" s="68"/>
      <c r="Q677" s="68"/>
      <c r="R677" s="68"/>
      <c r="S677" s="68"/>
    </row>
    <row r="678" spans="1:19" ht="15.75" customHeight="1">
      <c r="A678" s="68"/>
      <c r="B678" s="68"/>
      <c r="D678" s="68"/>
      <c r="E678" s="69"/>
      <c r="M678" s="68"/>
      <c r="O678" s="68"/>
      <c r="P678" s="68"/>
      <c r="Q678" s="68"/>
      <c r="R678" s="68"/>
      <c r="S678" s="68"/>
    </row>
    <row r="679" spans="1:19" ht="15.75" customHeight="1">
      <c r="A679" s="68"/>
      <c r="B679" s="68"/>
      <c r="D679" s="68"/>
      <c r="E679" s="69"/>
      <c r="M679" s="68"/>
      <c r="O679" s="68"/>
      <c r="P679" s="68"/>
      <c r="Q679" s="68"/>
      <c r="R679" s="68"/>
      <c r="S679" s="68"/>
    </row>
    <row r="680" spans="1:19" ht="15.75" customHeight="1">
      <c r="A680" s="68"/>
      <c r="B680" s="68"/>
      <c r="D680" s="68"/>
      <c r="E680" s="69"/>
      <c r="M680" s="68"/>
      <c r="O680" s="68"/>
      <c r="P680" s="68"/>
      <c r="Q680" s="68"/>
      <c r="R680" s="68"/>
      <c r="S680" s="68"/>
    </row>
    <row r="681" spans="1:19" ht="15.75" customHeight="1">
      <c r="A681" s="68"/>
      <c r="B681" s="68"/>
      <c r="D681" s="68"/>
      <c r="E681" s="69"/>
      <c r="M681" s="68"/>
      <c r="O681" s="68"/>
      <c r="P681" s="68"/>
      <c r="Q681" s="68"/>
      <c r="R681" s="68"/>
      <c r="S681" s="68"/>
    </row>
    <row r="682" spans="1:19" ht="15.75" customHeight="1">
      <c r="A682" s="68"/>
      <c r="B682" s="68"/>
      <c r="D682" s="68"/>
      <c r="E682" s="69"/>
      <c r="M682" s="68"/>
      <c r="O682" s="68"/>
      <c r="P682" s="68"/>
      <c r="Q682" s="68"/>
      <c r="R682" s="68"/>
      <c r="S682" s="68"/>
    </row>
    <row r="683" spans="1:19" ht="15.75" customHeight="1">
      <c r="A683" s="68"/>
      <c r="B683" s="68"/>
      <c r="D683" s="68"/>
      <c r="E683" s="69"/>
      <c r="M683" s="68"/>
      <c r="O683" s="68"/>
      <c r="P683" s="68"/>
      <c r="Q683" s="68"/>
      <c r="R683" s="68"/>
      <c r="S683" s="68"/>
    </row>
    <row r="684" spans="1:19" ht="15.75" customHeight="1">
      <c r="A684" s="68"/>
      <c r="B684" s="68"/>
      <c r="D684" s="68"/>
      <c r="E684" s="69"/>
      <c r="M684" s="68"/>
      <c r="O684" s="68"/>
      <c r="P684" s="68"/>
      <c r="Q684" s="68"/>
      <c r="R684" s="68"/>
      <c r="S684" s="68"/>
    </row>
    <row r="685" spans="1:19" ht="15.75" customHeight="1">
      <c r="A685" s="68"/>
      <c r="B685" s="68"/>
      <c r="D685" s="68"/>
      <c r="E685" s="69"/>
      <c r="M685" s="68"/>
      <c r="O685" s="68"/>
      <c r="P685" s="68"/>
      <c r="Q685" s="68"/>
      <c r="R685" s="68"/>
      <c r="S685" s="68"/>
    </row>
    <row r="686" spans="1:19" ht="15.75" customHeight="1">
      <c r="A686" s="68"/>
      <c r="B686" s="68"/>
      <c r="D686" s="68"/>
      <c r="E686" s="69"/>
      <c r="M686" s="68"/>
      <c r="O686" s="68"/>
      <c r="P686" s="68"/>
      <c r="Q686" s="68"/>
      <c r="R686" s="68"/>
      <c r="S686" s="68"/>
    </row>
    <row r="687" spans="1:19" ht="15.75" customHeight="1">
      <c r="A687" s="68"/>
      <c r="B687" s="68"/>
      <c r="D687" s="68"/>
      <c r="E687" s="69"/>
      <c r="M687" s="68"/>
      <c r="O687" s="68"/>
      <c r="P687" s="68"/>
      <c r="Q687" s="68"/>
      <c r="R687" s="68"/>
      <c r="S687" s="68"/>
    </row>
    <row r="688" spans="1:19" ht="15.75" customHeight="1">
      <c r="A688" s="68"/>
      <c r="B688" s="68"/>
      <c r="D688" s="68"/>
      <c r="E688" s="69"/>
      <c r="M688" s="68"/>
      <c r="O688" s="68"/>
      <c r="P688" s="68"/>
      <c r="Q688" s="68"/>
      <c r="R688" s="68"/>
      <c r="S688" s="68"/>
    </row>
    <row r="689" spans="1:19" ht="15.75" customHeight="1">
      <c r="A689" s="68"/>
      <c r="B689" s="68"/>
      <c r="D689" s="68"/>
      <c r="E689" s="69"/>
      <c r="M689" s="68"/>
      <c r="O689" s="68"/>
      <c r="P689" s="68"/>
      <c r="Q689" s="68"/>
      <c r="R689" s="68"/>
      <c r="S689" s="68"/>
    </row>
    <row r="690" spans="1:19" ht="15.75" customHeight="1">
      <c r="A690" s="68"/>
      <c r="B690" s="68"/>
      <c r="D690" s="68"/>
      <c r="E690" s="69"/>
      <c r="M690" s="68"/>
      <c r="O690" s="68"/>
      <c r="P690" s="68"/>
      <c r="Q690" s="68"/>
      <c r="R690" s="68"/>
      <c r="S690" s="68"/>
    </row>
    <row r="691" spans="1:19" ht="15.75" customHeight="1">
      <c r="A691" s="68"/>
      <c r="B691" s="68"/>
      <c r="D691" s="68"/>
      <c r="E691" s="69"/>
      <c r="M691" s="68"/>
      <c r="O691" s="68"/>
      <c r="P691" s="68"/>
      <c r="Q691" s="68"/>
      <c r="R691" s="68"/>
      <c r="S691" s="68"/>
    </row>
    <row r="692" spans="1:19" ht="15.75" customHeight="1">
      <c r="A692" s="68"/>
      <c r="B692" s="68"/>
      <c r="D692" s="68"/>
      <c r="E692" s="69"/>
      <c r="M692" s="68"/>
      <c r="O692" s="68"/>
      <c r="P692" s="68"/>
      <c r="Q692" s="68"/>
      <c r="R692" s="68"/>
      <c r="S692" s="68"/>
    </row>
    <row r="693" spans="1:19" ht="15.75" customHeight="1">
      <c r="A693" s="68"/>
      <c r="B693" s="68"/>
      <c r="D693" s="68"/>
      <c r="E693" s="69"/>
      <c r="M693" s="68"/>
      <c r="O693" s="68"/>
      <c r="P693" s="68"/>
      <c r="Q693" s="68"/>
      <c r="R693" s="68"/>
      <c r="S693" s="68"/>
    </row>
    <row r="694" spans="1:19" ht="15.75" customHeight="1">
      <c r="A694" s="68"/>
      <c r="B694" s="68"/>
      <c r="D694" s="68"/>
      <c r="E694" s="69"/>
      <c r="M694" s="68"/>
      <c r="O694" s="68"/>
      <c r="P694" s="68"/>
      <c r="Q694" s="68"/>
      <c r="R694" s="68"/>
      <c r="S694" s="68"/>
    </row>
    <row r="695" spans="1:19" ht="15.75" customHeight="1">
      <c r="A695" s="68"/>
      <c r="B695" s="68"/>
      <c r="D695" s="68"/>
      <c r="E695" s="69"/>
      <c r="M695" s="68"/>
      <c r="O695" s="68"/>
      <c r="P695" s="68"/>
      <c r="Q695" s="68"/>
      <c r="R695" s="68"/>
      <c r="S695" s="68"/>
    </row>
    <row r="696" spans="1:19" ht="15.75" customHeight="1">
      <c r="A696" s="68"/>
      <c r="B696" s="68"/>
      <c r="D696" s="68"/>
      <c r="E696" s="69"/>
      <c r="M696" s="68"/>
      <c r="O696" s="68"/>
      <c r="P696" s="68"/>
      <c r="Q696" s="68"/>
      <c r="R696" s="68"/>
      <c r="S696" s="68"/>
    </row>
    <row r="697" spans="1:19" ht="15.75" customHeight="1">
      <c r="A697" s="68"/>
      <c r="B697" s="68"/>
      <c r="D697" s="68"/>
      <c r="E697" s="69"/>
      <c r="M697" s="68"/>
      <c r="O697" s="68"/>
      <c r="P697" s="68"/>
      <c r="Q697" s="68"/>
      <c r="R697" s="68"/>
      <c r="S697" s="68"/>
    </row>
    <row r="698" spans="1:19" ht="15.75" customHeight="1">
      <c r="A698" s="68"/>
      <c r="B698" s="68"/>
      <c r="D698" s="68"/>
      <c r="E698" s="69"/>
      <c r="M698" s="68"/>
      <c r="O698" s="68"/>
      <c r="P698" s="68"/>
      <c r="Q698" s="68"/>
      <c r="R698" s="68"/>
      <c r="S698" s="68"/>
    </row>
    <row r="699" spans="1:19" ht="15.75" customHeight="1">
      <c r="A699" s="68"/>
      <c r="B699" s="68"/>
      <c r="D699" s="68"/>
      <c r="E699" s="69"/>
      <c r="M699" s="68"/>
      <c r="O699" s="68"/>
      <c r="P699" s="68"/>
      <c r="Q699" s="68"/>
      <c r="R699" s="68"/>
      <c r="S699" s="68"/>
    </row>
    <row r="700" spans="1:19" ht="15.75" customHeight="1">
      <c r="A700" s="68"/>
      <c r="B700" s="68"/>
      <c r="D700" s="68"/>
      <c r="E700" s="69"/>
      <c r="M700" s="68"/>
      <c r="O700" s="68"/>
      <c r="P700" s="68"/>
      <c r="Q700" s="68"/>
      <c r="R700" s="68"/>
      <c r="S700" s="68"/>
    </row>
    <row r="701" spans="1:19" ht="15.75" customHeight="1">
      <c r="A701" s="68"/>
      <c r="B701" s="68"/>
      <c r="D701" s="68"/>
      <c r="E701" s="69"/>
      <c r="M701" s="68"/>
      <c r="O701" s="68"/>
      <c r="P701" s="68"/>
      <c r="Q701" s="68"/>
      <c r="R701" s="68"/>
      <c r="S701" s="68"/>
    </row>
    <row r="702" spans="1:19" ht="15.75" customHeight="1">
      <c r="A702" s="68"/>
      <c r="B702" s="68"/>
      <c r="D702" s="68"/>
      <c r="E702" s="69"/>
      <c r="M702" s="68"/>
      <c r="O702" s="68"/>
      <c r="P702" s="68"/>
      <c r="Q702" s="68"/>
      <c r="R702" s="68"/>
      <c r="S702" s="68"/>
    </row>
    <row r="703" spans="1:19" ht="15.75" customHeight="1">
      <c r="A703" s="68"/>
      <c r="B703" s="68"/>
      <c r="D703" s="68"/>
      <c r="E703" s="69"/>
      <c r="M703" s="68"/>
      <c r="O703" s="68"/>
      <c r="P703" s="68"/>
      <c r="Q703" s="68"/>
      <c r="R703" s="68"/>
      <c r="S703" s="68"/>
    </row>
    <row r="704" spans="1:19" ht="15.75" customHeight="1">
      <c r="A704" s="68"/>
      <c r="B704" s="68"/>
      <c r="D704" s="68"/>
      <c r="E704" s="69"/>
      <c r="M704" s="68"/>
      <c r="O704" s="68"/>
      <c r="P704" s="68"/>
      <c r="Q704" s="68"/>
      <c r="R704" s="68"/>
      <c r="S704" s="68"/>
    </row>
    <row r="705" spans="1:19" ht="15.75" customHeight="1">
      <c r="A705" s="68"/>
      <c r="B705" s="68"/>
      <c r="D705" s="68"/>
      <c r="E705" s="69"/>
      <c r="M705" s="68"/>
      <c r="O705" s="68"/>
      <c r="P705" s="68"/>
      <c r="Q705" s="68"/>
      <c r="R705" s="68"/>
      <c r="S705" s="68"/>
    </row>
    <row r="706" spans="1:19" ht="15.75" customHeight="1">
      <c r="A706" s="68"/>
      <c r="B706" s="68"/>
      <c r="D706" s="68"/>
      <c r="E706" s="69"/>
      <c r="M706" s="68"/>
      <c r="O706" s="68"/>
      <c r="P706" s="68"/>
      <c r="Q706" s="68"/>
      <c r="R706" s="68"/>
      <c r="S706" s="68"/>
    </row>
    <row r="707" spans="1:19" ht="15.75" customHeight="1">
      <c r="A707" s="68"/>
      <c r="B707" s="68"/>
      <c r="D707" s="68"/>
      <c r="E707" s="69"/>
      <c r="M707" s="68"/>
      <c r="O707" s="68"/>
      <c r="P707" s="68"/>
      <c r="Q707" s="68"/>
      <c r="R707" s="68"/>
      <c r="S707" s="68"/>
    </row>
    <row r="708" spans="1:19" ht="15.75" customHeight="1">
      <c r="A708" s="68"/>
      <c r="B708" s="68"/>
      <c r="D708" s="68"/>
      <c r="E708" s="69"/>
      <c r="M708" s="68"/>
      <c r="O708" s="68"/>
      <c r="P708" s="68"/>
      <c r="Q708" s="68"/>
      <c r="R708" s="68"/>
      <c r="S708" s="68"/>
    </row>
    <row r="709" spans="1:19" ht="15.75" customHeight="1">
      <c r="A709" s="68"/>
      <c r="B709" s="68"/>
      <c r="D709" s="68"/>
      <c r="E709" s="69"/>
      <c r="M709" s="68"/>
      <c r="O709" s="68"/>
      <c r="P709" s="68"/>
      <c r="Q709" s="68"/>
      <c r="R709" s="68"/>
      <c r="S709" s="68"/>
    </row>
    <row r="710" spans="1:19" ht="15.75" customHeight="1">
      <c r="A710" s="68"/>
      <c r="B710" s="68"/>
      <c r="D710" s="68"/>
      <c r="E710" s="69"/>
      <c r="M710" s="68"/>
      <c r="O710" s="68"/>
      <c r="P710" s="68"/>
      <c r="Q710" s="68"/>
      <c r="R710" s="68"/>
      <c r="S710" s="68"/>
    </row>
    <row r="711" spans="1:19" ht="15.75" customHeight="1">
      <c r="A711" s="68"/>
      <c r="B711" s="68"/>
      <c r="D711" s="68"/>
      <c r="E711" s="69"/>
      <c r="M711" s="68"/>
      <c r="O711" s="68"/>
      <c r="P711" s="68"/>
      <c r="Q711" s="68"/>
      <c r="R711" s="68"/>
      <c r="S711" s="68"/>
    </row>
    <row r="712" spans="1:19" ht="15.75" customHeight="1">
      <c r="A712" s="68"/>
      <c r="B712" s="68"/>
      <c r="D712" s="68"/>
      <c r="E712" s="69"/>
      <c r="M712" s="68"/>
      <c r="O712" s="68"/>
      <c r="P712" s="68"/>
      <c r="Q712" s="68"/>
      <c r="R712" s="68"/>
      <c r="S712" s="68"/>
    </row>
    <row r="713" spans="1:19" ht="15.75" customHeight="1">
      <c r="A713" s="68"/>
      <c r="B713" s="68"/>
      <c r="D713" s="68"/>
      <c r="E713" s="69"/>
      <c r="M713" s="68"/>
      <c r="O713" s="68"/>
      <c r="P713" s="68"/>
      <c r="Q713" s="68"/>
      <c r="R713" s="68"/>
      <c r="S713" s="68"/>
    </row>
    <row r="714" spans="1:19" ht="15.75" customHeight="1">
      <c r="A714" s="68"/>
      <c r="B714" s="68"/>
      <c r="D714" s="68"/>
      <c r="E714" s="69"/>
      <c r="M714" s="68"/>
      <c r="O714" s="68"/>
      <c r="P714" s="68"/>
      <c r="Q714" s="68"/>
      <c r="R714" s="68"/>
      <c r="S714" s="68"/>
    </row>
    <row r="715" spans="1:19" ht="15.75" customHeight="1">
      <c r="A715" s="68"/>
      <c r="B715" s="68"/>
      <c r="D715" s="68"/>
      <c r="E715" s="69"/>
      <c r="M715" s="68"/>
      <c r="O715" s="68"/>
      <c r="P715" s="68"/>
      <c r="Q715" s="68"/>
      <c r="R715" s="68"/>
      <c r="S715" s="68"/>
    </row>
    <row r="716" spans="1:19" ht="15.75" customHeight="1">
      <c r="A716" s="68"/>
      <c r="B716" s="68"/>
      <c r="D716" s="68"/>
      <c r="E716" s="69"/>
      <c r="M716" s="68"/>
      <c r="O716" s="68"/>
      <c r="P716" s="68"/>
      <c r="Q716" s="68"/>
      <c r="R716" s="68"/>
      <c r="S716" s="68"/>
    </row>
    <row r="717" spans="1:19" ht="15.75" customHeight="1">
      <c r="A717" s="68"/>
      <c r="B717" s="68"/>
      <c r="D717" s="68"/>
      <c r="E717" s="69"/>
      <c r="M717" s="68"/>
      <c r="O717" s="68"/>
      <c r="P717" s="68"/>
      <c r="Q717" s="68"/>
      <c r="R717" s="68"/>
      <c r="S717" s="68"/>
    </row>
    <row r="718" spans="1:19" ht="15.75" customHeight="1">
      <c r="A718" s="68"/>
      <c r="B718" s="68"/>
      <c r="D718" s="68"/>
      <c r="E718" s="69"/>
      <c r="M718" s="68"/>
      <c r="O718" s="68"/>
      <c r="P718" s="68"/>
      <c r="Q718" s="68"/>
      <c r="R718" s="68"/>
      <c r="S718" s="68"/>
    </row>
    <row r="719" spans="1:19" ht="15.75" customHeight="1">
      <c r="A719" s="68"/>
      <c r="B719" s="68"/>
      <c r="D719" s="68"/>
      <c r="E719" s="69"/>
      <c r="M719" s="68"/>
      <c r="O719" s="68"/>
      <c r="P719" s="68"/>
      <c r="Q719" s="68"/>
      <c r="R719" s="68"/>
      <c r="S719" s="68"/>
    </row>
    <row r="720" spans="1:19" ht="15.75" customHeight="1">
      <c r="A720" s="68"/>
      <c r="B720" s="68"/>
      <c r="D720" s="68"/>
      <c r="E720" s="69"/>
      <c r="M720" s="68"/>
      <c r="O720" s="68"/>
      <c r="P720" s="68"/>
      <c r="Q720" s="68"/>
      <c r="R720" s="68"/>
      <c r="S720" s="68"/>
    </row>
    <row r="721" spans="1:19" ht="15.75" customHeight="1">
      <c r="A721" s="68"/>
      <c r="B721" s="68"/>
      <c r="D721" s="68"/>
      <c r="E721" s="69"/>
      <c r="M721" s="68"/>
      <c r="O721" s="68"/>
      <c r="P721" s="68"/>
      <c r="Q721" s="68"/>
      <c r="R721" s="68"/>
      <c r="S721" s="68"/>
    </row>
    <row r="722" spans="1:19" ht="15.75" customHeight="1">
      <c r="A722" s="68"/>
      <c r="B722" s="68"/>
      <c r="D722" s="68"/>
      <c r="E722" s="69"/>
      <c r="M722" s="68"/>
      <c r="O722" s="68"/>
      <c r="P722" s="68"/>
      <c r="Q722" s="68"/>
      <c r="R722" s="68"/>
      <c r="S722" s="68"/>
    </row>
    <row r="723" spans="1:19" ht="15.75" customHeight="1">
      <c r="A723" s="68"/>
      <c r="B723" s="68"/>
      <c r="D723" s="68"/>
      <c r="E723" s="69"/>
      <c r="M723" s="68"/>
      <c r="O723" s="68"/>
      <c r="P723" s="68"/>
      <c r="Q723" s="68"/>
      <c r="R723" s="68"/>
      <c r="S723" s="68"/>
    </row>
    <row r="724" spans="1:19" ht="15.75" customHeight="1">
      <c r="A724" s="68"/>
      <c r="B724" s="68"/>
      <c r="D724" s="68"/>
      <c r="E724" s="69"/>
      <c r="M724" s="68"/>
      <c r="O724" s="68"/>
      <c r="P724" s="68"/>
      <c r="Q724" s="68"/>
      <c r="R724" s="68"/>
      <c r="S724" s="68"/>
    </row>
    <row r="725" spans="1:19" ht="15.75" customHeight="1">
      <c r="A725" s="68"/>
      <c r="B725" s="68"/>
      <c r="D725" s="68"/>
      <c r="E725" s="69"/>
      <c r="M725" s="68"/>
      <c r="O725" s="68"/>
      <c r="P725" s="68"/>
      <c r="Q725" s="68"/>
      <c r="R725" s="68"/>
      <c r="S725" s="68"/>
    </row>
    <row r="726" spans="1:19" ht="15.75" customHeight="1">
      <c r="A726" s="68"/>
      <c r="B726" s="68"/>
      <c r="D726" s="68"/>
      <c r="E726" s="69"/>
      <c r="M726" s="68"/>
      <c r="O726" s="68"/>
      <c r="P726" s="68"/>
      <c r="Q726" s="68"/>
      <c r="R726" s="68"/>
      <c r="S726" s="68"/>
    </row>
    <row r="727" spans="1:19" ht="15.75" customHeight="1">
      <c r="A727" s="68"/>
      <c r="B727" s="68"/>
      <c r="D727" s="68"/>
      <c r="E727" s="69"/>
      <c r="M727" s="68"/>
      <c r="O727" s="68"/>
      <c r="P727" s="68"/>
      <c r="Q727" s="68"/>
      <c r="R727" s="68"/>
      <c r="S727" s="68"/>
    </row>
    <row r="728" spans="1:19" ht="15.75" customHeight="1">
      <c r="A728" s="68"/>
      <c r="B728" s="68"/>
      <c r="D728" s="68"/>
      <c r="E728" s="69"/>
      <c r="M728" s="68"/>
      <c r="O728" s="68"/>
      <c r="P728" s="68"/>
      <c r="Q728" s="68"/>
      <c r="R728" s="68"/>
      <c r="S728" s="68"/>
    </row>
    <row r="729" spans="1:19" ht="15.75" customHeight="1">
      <c r="A729" s="68"/>
      <c r="B729" s="68"/>
      <c r="D729" s="68"/>
      <c r="E729" s="69"/>
      <c r="M729" s="68"/>
      <c r="O729" s="68"/>
      <c r="P729" s="68"/>
      <c r="Q729" s="68"/>
      <c r="R729" s="68"/>
      <c r="S729" s="68"/>
    </row>
    <row r="730" spans="1:19" ht="15.75" customHeight="1">
      <c r="A730" s="68"/>
      <c r="B730" s="68"/>
      <c r="D730" s="68"/>
      <c r="E730" s="69"/>
      <c r="M730" s="68"/>
      <c r="O730" s="68"/>
      <c r="P730" s="68"/>
      <c r="Q730" s="68"/>
      <c r="R730" s="68"/>
      <c r="S730" s="68"/>
    </row>
    <row r="731" spans="1:19" ht="15.75" customHeight="1">
      <c r="A731" s="68"/>
      <c r="B731" s="68"/>
      <c r="D731" s="68"/>
      <c r="E731" s="69"/>
      <c r="M731" s="68"/>
      <c r="O731" s="68"/>
      <c r="P731" s="68"/>
      <c r="Q731" s="68"/>
      <c r="R731" s="68"/>
      <c r="S731" s="68"/>
    </row>
    <row r="732" spans="1:19" ht="15.75" customHeight="1">
      <c r="A732" s="68"/>
      <c r="B732" s="68"/>
      <c r="D732" s="68"/>
      <c r="E732" s="69"/>
      <c r="M732" s="68"/>
      <c r="O732" s="68"/>
      <c r="P732" s="68"/>
      <c r="Q732" s="68"/>
      <c r="R732" s="68"/>
      <c r="S732" s="68"/>
    </row>
    <row r="733" spans="1:19" ht="15.75" customHeight="1">
      <c r="A733" s="68"/>
      <c r="B733" s="68"/>
      <c r="D733" s="68"/>
      <c r="E733" s="69"/>
      <c r="M733" s="68"/>
      <c r="O733" s="68"/>
      <c r="P733" s="68"/>
      <c r="Q733" s="68"/>
      <c r="R733" s="68"/>
      <c r="S733" s="68"/>
    </row>
    <row r="734" spans="1:19" ht="15.75" customHeight="1">
      <c r="A734" s="68"/>
      <c r="B734" s="68"/>
      <c r="D734" s="68"/>
      <c r="E734" s="69"/>
      <c r="M734" s="68"/>
      <c r="O734" s="68"/>
      <c r="P734" s="68"/>
      <c r="Q734" s="68"/>
      <c r="R734" s="68"/>
      <c r="S734" s="68"/>
    </row>
    <row r="735" spans="1:19" ht="15.75" customHeight="1">
      <c r="A735" s="68"/>
      <c r="B735" s="68"/>
      <c r="D735" s="68"/>
      <c r="E735" s="69"/>
      <c r="M735" s="68"/>
      <c r="O735" s="68"/>
      <c r="P735" s="68"/>
      <c r="Q735" s="68"/>
      <c r="R735" s="68"/>
      <c r="S735" s="68"/>
    </row>
    <row r="736" spans="1:19" ht="15.75" customHeight="1">
      <c r="A736" s="68"/>
      <c r="B736" s="68"/>
      <c r="D736" s="68"/>
      <c r="E736" s="69"/>
      <c r="M736" s="68"/>
      <c r="O736" s="68"/>
      <c r="P736" s="68"/>
      <c r="Q736" s="68"/>
      <c r="R736" s="68"/>
      <c r="S736" s="68"/>
    </row>
    <row r="737" spans="1:19" ht="15.75" customHeight="1">
      <c r="A737" s="68"/>
      <c r="B737" s="68"/>
      <c r="D737" s="68"/>
      <c r="E737" s="69"/>
      <c r="M737" s="68"/>
      <c r="O737" s="68"/>
      <c r="P737" s="68"/>
      <c r="Q737" s="68"/>
      <c r="R737" s="68"/>
      <c r="S737" s="68"/>
    </row>
    <row r="738" spans="1:19" ht="15.75" customHeight="1">
      <c r="A738" s="68"/>
      <c r="B738" s="68"/>
      <c r="D738" s="68"/>
      <c r="E738" s="69"/>
      <c r="M738" s="68"/>
      <c r="O738" s="68"/>
      <c r="P738" s="68"/>
      <c r="Q738" s="68"/>
      <c r="R738" s="68"/>
      <c r="S738" s="68"/>
    </row>
    <row r="739" spans="1:19" ht="15.75" customHeight="1">
      <c r="A739" s="68"/>
      <c r="B739" s="68"/>
      <c r="D739" s="68"/>
      <c r="E739" s="69"/>
      <c r="M739" s="68"/>
      <c r="O739" s="68"/>
      <c r="P739" s="68"/>
      <c r="Q739" s="68"/>
      <c r="R739" s="68"/>
      <c r="S739" s="68"/>
    </row>
    <row r="740" spans="1:19" ht="15.75" customHeight="1">
      <c r="A740" s="68"/>
      <c r="B740" s="68"/>
      <c r="D740" s="68"/>
      <c r="E740" s="69"/>
      <c r="M740" s="68"/>
      <c r="O740" s="68"/>
      <c r="P740" s="68"/>
      <c r="Q740" s="68"/>
      <c r="R740" s="68"/>
      <c r="S740" s="68"/>
    </row>
    <row r="741" spans="1:19" ht="15.75" customHeight="1">
      <c r="A741" s="68"/>
      <c r="B741" s="68"/>
      <c r="D741" s="68"/>
      <c r="E741" s="69"/>
      <c r="M741" s="68"/>
      <c r="O741" s="68"/>
      <c r="P741" s="68"/>
      <c r="Q741" s="68"/>
      <c r="R741" s="68"/>
      <c r="S741" s="68"/>
    </row>
    <row r="742" spans="1:19" ht="15.75" customHeight="1">
      <c r="A742" s="68"/>
      <c r="B742" s="68"/>
      <c r="D742" s="68"/>
      <c r="E742" s="69"/>
      <c r="M742" s="68"/>
      <c r="O742" s="68"/>
      <c r="P742" s="68"/>
      <c r="Q742" s="68"/>
      <c r="R742" s="68"/>
      <c r="S742" s="68"/>
    </row>
    <row r="743" spans="1:19" ht="15.75" customHeight="1">
      <c r="A743" s="68"/>
      <c r="B743" s="68"/>
      <c r="D743" s="68"/>
      <c r="E743" s="69"/>
      <c r="M743" s="68"/>
      <c r="O743" s="68"/>
      <c r="P743" s="68"/>
      <c r="Q743" s="68"/>
      <c r="R743" s="68"/>
      <c r="S743" s="68"/>
    </row>
    <row r="744" spans="1:19" ht="15.75" customHeight="1">
      <c r="A744" s="68"/>
      <c r="B744" s="68"/>
      <c r="D744" s="68"/>
      <c r="E744" s="69"/>
      <c r="M744" s="68"/>
      <c r="O744" s="68"/>
      <c r="P744" s="68"/>
      <c r="Q744" s="68"/>
      <c r="R744" s="68"/>
      <c r="S744" s="68"/>
    </row>
    <row r="745" spans="1:19" ht="15.75" customHeight="1">
      <c r="A745" s="68"/>
      <c r="B745" s="68"/>
      <c r="D745" s="68"/>
      <c r="E745" s="69"/>
      <c r="M745" s="68"/>
      <c r="O745" s="68"/>
      <c r="P745" s="68"/>
      <c r="Q745" s="68"/>
      <c r="R745" s="68"/>
      <c r="S745" s="68"/>
    </row>
    <row r="746" spans="1:19" ht="15.75" customHeight="1">
      <c r="A746" s="68"/>
      <c r="B746" s="68"/>
      <c r="D746" s="68"/>
      <c r="E746" s="69"/>
      <c r="M746" s="68"/>
      <c r="O746" s="68"/>
      <c r="P746" s="68"/>
      <c r="Q746" s="68"/>
      <c r="R746" s="68"/>
      <c r="S746" s="68"/>
    </row>
    <row r="747" spans="1:19" ht="15.75" customHeight="1">
      <c r="A747" s="68"/>
      <c r="B747" s="68"/>
      <c r="D747" s="68"/>
      <c r="E747" s="69"/>
      <c r="M747" s="68"/>
      <c r="O747" s="68"/>
      <c r="P747" s="68"/>
      <c r="Q747" s="68"/>
      <c r="R747" s="68"/>
      <c r="S747" s="68"/>
    </row>
    <row r="748" spans="1:19" ht="15.75" customHeight="1">
      <c r="A748" s="68"/>
      <c r="B748" s="68"/>
      <c r="D748" s="68"/>
      <c r="E748" s="69"/>
      <c r="M748" s="68"/>
      <c r="O748" s="68"/>
      <c r="P748" s="68"/>
      <c r="Q748" s="68"/>
      <c r="R748" s="68"/>
      <c r="S748" s="68"/>
    </row>
    <row r="749" spans="1:19" ht="15.75" customHeight="1">
      <c r="A749" s="68"/>
      <c r="B749" s="68"/>
      <c r="D749" s="68"/>
      <c r="E749" s="69"/>
      <c r="M749" s="68"/>
      <c r="O749" s="68"/>
      <c r="P749" s="68"/>
      <c r="Q749" s="68"/>
      <c r="R749" s="68"/>
      <c r="S749" s="68"/>
    </row>
    <row r="750" spans="1:19" ht="15.75" customHeight="1">
      <c r="A750" s="68"/>
      <c r="B750" s="68"/>
      <c r="D750" s="68"/>
      <c r="E750" s="69"/>
      <c r="M750" s="68"/>
      <c r="O750" s="68"/>
      <c r="P750" s="68"/>
      <c r="Q750" s="68"/>
      <c r="R750" s="68"/>
      <c r="S750" s="68"/>
    </row>
    <row r="751" spans="1:19" ht="15.75" customHeight="1">
      <c r="A751" s="68"/>
      <c r="B751" s="68"/>
      <c r="D751" s="68"/>
      <c r="E751" s="69"/>
      <c r="M751" s="68"/>
      <c r="O751" s="68"/>
      <c r="P751" s="68"/>
      <c r="Q751" s="68"/>
      <c r="R751" s="68"/>
      <c r="S751" s="68"/>
    </row>
    <row r="752" spans="1:19" ht="15.75" customHeight="1">
      <c r="A752" s="68"/>
      <c r="B752" s="68"/>
      <c r="D752" s="68"/>
      <c r="E752" s="69"/>
      <c r="M752" s="68"/>
      <c r="O752" s="68"/>
      <c r="P752" s="68"/>
      <c r="Q752" s="68"/>
      <c r="R752" s="68"/>
      <c r="S752" s="68"/>
    </row>
    <row r="753" spans="1:19" ht="15.75" customHeight="1">
      <c r="A753" s="68"/>
      <c r="B753" s="68"/>
      <c r="D753" s="68"/>
      <c r="E753" s="69"/>
      <c r="M753" s="68"/>
      <c r="O753" s="68"/>
      <c r="P753" s="68"/>
      <c r="Q753" s="68"/>
      <c r="R753" s="68"/>
      <c r="S753" s="68"/>
    </row>
    <row r="754" spans="1:19" ht="15.75" customHeight="1">
      <c r="A754" s="68"/>
      <c r="B754" s="68"/>
      <c r="D754" s="68"/>
      <c r="E754" s="69"/>
      <c r="M754" s="68"/>
      <c r="O754" s="68"/>
      <c r="P754" s="68"/>
      <c r="Q754" s="68"/>
      <c r="R754" s="68"/>
      <c r="S754" s="68"/>
    </row>
    <row r="755" spans="1:19" ht="15.75" customHeight="1">
      <c r="A755" s="68"/>
      <c r="B755" s="68"/>
      <c r="D755" s="68"/>
      <c r="E755" s="69"/>
      <c r="M755" s="68"/>
      <c r="O755" s="68"/>
      <c r="P755" s="68"/>
      <c r="Q755" s="68"/>
      <c r="R755" s="68"/>
      <c r="S755" s="68"/>
    </row>
    <row r="756" spans="1:19" ht="15.75" customHeight="1">
      <c r="A756" s="68"/>
      <c r="B756" s="68"/>
      <c r="D756" s="68"/>
      <c r="E756" s="69"/>
      <c r="M756" s="68"/>
      <c r="O756" s="68"/>
      <c r="P756" s="68"/>
      <c r="Q756" s="68"/>
      <c r="R756" s="68"/>
      <c r="S756" s="68"/>
    </row>
    <row r="757" spans="1:19" ht="15.75" customHeight="1">
      <c r="A757" s="68"/>
      <c r="B757" s="68"/>
      <c r="D757" s="68"/>
      <c r="E757" s="69"/>
      <c r="M757" s="68"/>
      <c r="O757" s="68"/>
      <c r="P757" s="68"/>
      <c r="Q757" s="68"/>
      <c r="R757" s="68"/>
      <c r="S757" s="68"/>
    </row>
    <row r="758" spans="1:19" ht="15.75" customHeight="1">
      <c r="A758" s="68"/>
      <c r="B758" s="68"/>
      <c r="D758" s="68"/>
      <c r="E758" s="69"/>
      <c r="M758" s="68"/>
      <c r="O758" s="68"/>
      <c r="P758" s="68"/>
      <c r="Q758" s="68"/>
      <c r="R758" s="68"/>
      <c r="S758" s="68"/>
    </row>
    <row r="759" spans="1:19" ht="15.75" customHeight="1">
      <c r="A759" s="68"/>
      <c r="B759" s="68"/>
      <c r="D759" s="68"/>
      <c r="E759" s="69"/>
      <c r="M759" s="68"/>
      <c r="O759" s="68"/>
      <c r="P759" s="68"/>
      <c r="Q759" s="68"/>
      <c r="R759" s="68"/>
      <c r="S759" s="68"/>
    </row>
    <row r="760" spans="1:19" ht="15.75" customHeight="1">
      <c r="A760" s="68"/>
      <c r="B760" s="68"/>
      <c r="D760" s="68"/>
      <c r="E760" s="69"/>
      <c r="M760" s="68"/>
      <c r="O760" s="68"/>
      <c r="P760" s="68"/>
      <c r="Q760" s="68"/>
      <c r="R760" s="68"/>
      <c r="S760" s="68"/>
    </row>
    <row r="761" spans="1:19" ht="15.75" customHeight="1">
      <c r="A761" s="68"/>
      <c r="B761" s="68"/>
      <c r="D761" s="68"/>
      <c r="E761" s="69"/>
      <c r="M761" s="68"/>
      <c r="O761" s="68"/>
      <c r="P761" s="68"/>
      <c r="Q761" s="68"/>
      <c r="R761" s="68"/>
      <c r="S761" s="68"/>
    </row>
    <row r="762" spans="1:19" ht="15.75" customHeight="1">
      <c r="A762" s="68"/>
      <c r="B762" s="68"/>
      <c r="D762" s="68"/>
      <c r="E762" s="69"/>
      <c r="M762" s="68"/>
      <c r="O762" s="68"/>
      <c r="P762" s="68"/>
      <c r="Q762" s="68"/>
      <c r="R762" s="68"/>
      <c r="S762" s="68"/>
    </row>
    <row r="763" spans="1:19" ht="15.75" customHeight="1">
      <c r="A763" s="68"/>
      <c r="B763" s="68"/>
      <c r="D763" s="68"/>
      <c r="E763" s="69"/>
      <c r="M763" s="68"/>
      <c r="O763" s="68"/>
      <c r="P763" s="68"/>
      <c r="Q763" s="68"/>
      <c r="R763" s="68"/>
      <c r="S763" s="68"/>
    </row>
    <row r="764" spans="1:19" ht="15.75" customHeight="1">
      <c r="A764" s="68"/>
      <c r="B764" s="68"/>
      <c r="D764" s="68"/>
      <c r="E764" s="69"/>
      <c r="M764" s="68"/>
      <c r="O764" s="68"/>
      <c r="P764" s="68"/>
      <c r="Q764" s="68"/>
      <c r="R764" s="68"/>
      <c r="S764" s="68"/>
    </row>
    <row r="765" spans="1:19" ht="15.75" customHeight="1">
      <c r="A765" s="68"/>
      <c r="B765" s="68"/>
      <c r="D765" s="68"/>
      <c r="E765" s="69"/>
      <c r="M765" s="68"/>
      <c r="O765" s="68"/>
      <c r="P765" s="68"/>
      <c r="Q765" s="68"/>
      <c r="R765" s="68"/>
      <c r="S765" s="68"/>
    </row>
    <row r="766" spans="1:19" ht="15.75" customHeight="1">
      <c r="A766" s="68"/>
      <c r="B766" s="68"/>
      <c r="D766" s="68"/>
      <c r="E766" s="69"/>
      <c r="M766" s="68"/>
      <c r="O766" s="68"/>
      <c r="P766" s="68"/>
      <c r="Q766" s="68"/>
      <c r="R766" s="68"/>
      <c r="S766" s="68"/>
    </row>
    <row r="767" spans="1:19" ht="15.75" customHeight="1">
      <c r="A767" s="68"/>
      <c r="B767" s="68"/>
      <c r="D767" s="68"/>
      <c r="E767" s="69"/>
      <c r="M767" s="68"/>
      <c r="O767" s="68"/>
      <c r="P767" s="68"/>
      <c r="Q767" s="68"/>
      <c r="R767" s="68"/>
      <c r="S767" s="68"/>
    </row>
    <row r="768" spans="1:19" ht="15.75" customHeight="1">
      <c r="A768" s="68"/>
      <c r="B768" s="68"/>
      <c r="D768" s="68"/>
      <c r="E768" s="69"/>
      <c r="M768" s="68"/>
      <c r="O768" s="68"/>
      <c r="P768" s="68"/>
      <c r="Q768" s="68"/>
      <c r="R768" s="68"/>
      <c r="S768" s="68"/>
    </row>
    <row r="769" spans="1:19" ht="15.75" customHeight="1">
      <c r="A769" s="68"/>
      <c r="B769" s="68"/>
      <c r="D769" s="68"/>
      <c r="E769" s="69"/>
      <c r="M769" s="68"/>
      <c r="O769" s="68"/>
      <c r="P769" s="68"/>
      <c r="Q769" s="68"/>
      <c r="R769" s="68"/>
      <c r="S769" s="68"/>
    </row>
    <row r="770" spans="1:19" ht="15.75" customHeight="1">
      <c r="A770" s="68"/>
      <c r="B770" s="68"/>
      <c r="D770" s="68"/>
      <c r="E770" s="69"/>
      <c r="M770" s="68"/>
      <c r="O770" s="68"/>
      <c r="P770" s="68"/>
      <c r="Q770" s="68"/>
      <c r="R770" s="68"/>
      <c r="S770" s="68"/>
    </row>
    <row r="771" spans="1:19" ht="15.75" customHeight="1">
      <c r="A771" s="68"/>
      <c r="B771" s="68"/>
      <c r="D771" s="68"/>
      <c r="E771" s="69"/>
      <c r="M771" s="68"/>
      <c r="O771" s="68"/>
      <c r="P771" s="68"/>
      <c r="Q771" s="68"/>
      <c r="R771" s="68"/>
      <c r="S771" s="68"/>
    </row>
    <row r="772" spans="1:19" ht="15.75" customHeight="1">
      <c r="A772" s="68"/>
      <c r="B772" s="68"/>
      <c r="D772" s="68"/>
      <c r="E772" s="69"/>
      <c r="M772" s="68"/>
      <c r="O772" s="68"/>
      <c r="P772" s="68"/>
      <c r="Q772" s="68"/>
      <c r="R772" s="68"/>
      <c r="S772" s="68"/>
    </row>
    <row r="773" spans="1:19" ht="15.75" customHeight="1">
      <c r="A773" s="68"/>
      <c r="B773" s="68"/>
      <c r="D773" s="68"/>
      <c r="E773" s="69"/>
      <c r="M773" s="68"/>
      <c r="O773" s="68"/>
      <c r="P773" s="68"/>
      <c r="Q773" s="68"/>
      <c r="R773" s="68"/>
      <c r="S773" s="68"/>
    </row>
    <row r="774" spans="1:19" ht="15.75" customHeight="1">
      <c r="A774" s="68"/>
      <c r="B774" s="68"/>
      <c r="D774" s="68"/>
      <c r="E774" s="69"/>
      <c r="M774" s="68"/>
      <c r="O774" s="68"/>
      <c r="P774" s="68"/>
      <c r="Q774" s="68"/>
      <c r="R774" s="68"/>
      <c r="S774" s="68"/>
    </row>
    <row r="775" spans="1:19" ht="15.75" customHeight="1">
      <c r="A775" s="68"/>
      <c r="B775" s="68"/>
      <c r="D775" s="68"/>
      <c r="E775" s="69"/>
      <c r="M775" s="68"/>
      <c r="O775" s="68"/>
      <c r="P775" s="68"/>
      <c r="Q775" s="68"/>
      <c r="R775" s="68"/>
      <c r="S775" s="68"/>
    </row>
    <row r="776" spans="1:19" ht="15.75" customHeight="1">
      <c r="A776" s="68"/>
      <c r="B776" s="68"/>
      <c r="D776" s="68"/>
      <c r="E776" s="69"/>
      <c r="M776" s="68"/>
      <c r="O776" s="68"/>
      <c r="P776" s="68"/>
      <c r="Q776" s="68"/>
      <c r="R776" s="68"/>
      <c r="S776" s="68"/>
    </row>
    <row r="777" spans="1:19" ht="15.75" customHeight="1">
      <c r="A777" s="68"/>
      <c r="B777" s="68"/>
      <c r="D777" s="68"/>
      <c r="E777" s="69"/>
      <c r="M777" s="68"/>
      <c r="O777" s="68"/>
      <c r="P777" s="68"/>
      <c r="Q777" s="68"/>
      <c r="R777" s="68"/>
      <c r="S777" s="68"/>
    </row>
    <row r="778" spans="1:19" ht="15.75" customHeight="1">
      <c r="A778" s="68"/>
      <c r="B778" s="68"/>
      <c r="D778" s="68"/>
      <c r="E778" s="69"/>
      <c r="M778" s="68"/>
      <c r="O778" s="68"/>
      <c r="P778" s="68"/>
      <c r="Q778" s="68"/>
      <c r="R778" s="68"/>
      <c r="S778" s="68"/>
    </row>
    <row r="779" spans="1:19" ht="15.75" customHeight="1">
      <c r="A779" s="68"/>
      <c r="B779" s="68"/>
      <c r="D779" s="68"/>
      <c r="E779" s="69"/>
      <c r="M779" s="68"/>
      <c r="O779" s="68"/>
      <c r="P779" s="68"/>
      <c r="Q779" s="68"/>
      <c r="R779" s="68"/>
      <c r="S779" s="68"/>
    </row>
    <row r="780" spans="1:19" ht="15.75" customHeight="1">
      <c r="A780" s="68"/>
      <c r="B780" s="68"/>
      <c r="D780" s="68"/>
      <c r="E780" s="69"/>
      <c r="M780" s="68"/>
      <c r="O780" s="68"/>
      <c r="P780" s="68"/>
      <c r="Q780" s="68"/>
      <c r="R780" s="68"/>
      <c r="S780" s="68"/>
    </row>
    <row r="781" spans="1:19" ht="15.75" customHeight="1">
      <c r="A781" s="68"/>
      <c r="B781" s="68"/>
      <c r="D781" s="68"/>
      <c r="E781" s="69"/>
      <c r="M781" s="68"/>
      <c r="O781" s="68"/>
      <c r="P781" s="68"/>
      <c r="Q781" s="68"/>
      <c r="R781" s="68"/>
      <c r="S781" s="68"/>
    </row>
    <row r="782" spans="1:19" ht="15.75" customHeight="1">
      <c r="A782" s="68"/>
      <c r="B782" s="68"/>
      <c r="D782" s="68"/>
      <c r="E782" s="69"/>
      <c r="M782" s="68"/>
      <c r="O782" s="68"/>
      <c r="P782" s="68"/>
      <c r="Q782" s="68"/>
      <c r="R782" s="68"/>
      <c r="S782" s="68"/>
    </row>
    <row r="783" spans="1:19" ht="15.75" customHeight="1">
      <c r="A783" s="68"/>
      <c r="B783" s="68"/>
      <c r="D783" s="68"/>
      <c r="E783" s="69"/>
      <c r="M783" s="68"/>
      <c r="O783" s="68"/>
      <c r="P783" s="68"/>
      <c r="Q783" s="68"/>
      <c r="R783" s="68"/>
      <c r="S783" s="68"/>
    </row>
    <row r="784" spans="1:19" ht="15.75" customHeight="1">
      <c r="A784" s="68"/>
      <c r="B784" s="68"/>
      <c r="D784" s="68"/>
      <c r="E784" s="69"/>
      <c r="M784" s="68"/>
      <c r="O784" s="68"/>
      <c r="P784" s="68"/>
      <c r="Q784" s="68"/>
      <c r="R784" s="68"/>
      <c r="S784" s="68"/>
    </row>
    <row r="785" spans="1:19" ht="15.75" customHeight="1">
      <c r="A785" s="68"/>
      <c r="B785" s="68"/>
      <c r="D785" s="68"/>
      <c r="E785" s="69"/>
      <c r="M785" s="68"/>
      <c r="O785" s="68"/>
      <c r="P785" s="68"/>
      <c r="Q785" s="68"/>
      <c r="R785" s="68"/>
      <c r="S785" s="68"/>
    </row>
    <row r="786" spans="1:19" ht="15.75" customHeight="1">
      <c r="A786" s="68"/>
      <c r="B786" s="68"/>
      <c r="D786" s="68"/>
      <c r="E786" s="69"/>
      <c r="M786" s="68"/>
      <c r="O786" s="68"/>
      <c r="P786" s="68"/>
      <c r="Q786" s="68"/>
      <c r="R786" s="68"/>
      <c r="S786" s="68"/>
    </row>
    <row r="787" spans="1:19" ht="15.75" customHeight="1">
      <c r="A787" s="68"/>
      <c r="B787" s="68"/>
      <c r="D787" s="68"/>
      <c r="E787" s="69"/>
      <c r="M787" s="68"/>
      <c r="O787" s="68"/>
      <c r="P787" s="68"/>
      <c r="Q787" s="68"/>
      <c r="R787" s="68"/>
      <c r="S787" s="68"/>
    </row>
    <row r="788" spans="1:19" ht="15.75" customHeight="1">
      <c r="A788" s="68"/>
      <c r="B788" s="68"/>
      <c r="D788" s="68"/>
      <c r="E788" s="69"/>
      <c r="M788" s="68"/>
      <c r="O788" s="68"/>
      <c r="P788" s="68"/>
      <c r="Q788" s="68"/>
      <c r="R788" s="68"/>
      <c r="S788" s="68"/>
    </row>
    <row r="789" spans="1:19" ht="15.75" customHeight="1">
      <c r="A789" s="68"/>
      <c r="B789" s="68"/>
      <c r="D789" s="68"/>
      <c r="E789" s="69"/>
      <c r="M789" s="68"/>
      <c r="O789" s="68"/>
      <c r="P789" s="68"/>
      <c r="Q789" s="68"/>
      <c r="R789" s="68"/>
      <c r="S789" s="68"/>
    </row>
    <row r="790" spans="1:19" ht="15.75" customHeight="1">
      <c r="A790" s="68"/>
      <c r="B790" s="68"/>
      <c r="D790" s="68"/>
      <c r="E790" s="69"/>
      <c r="M790" s="68"/>
      <c r="O790" s="68"/>
      <c r="P790" s="68"/>
      <c r="Q790" s="68"/>
      <c r="R790" s="68"/>
      <c r="S790" s="68"/>
    </row>
    <row r="791" spans="1:19" ht="15.75" customHeight="1">
      <c r="A791" s="68"/>
      <c r="B791" s="68"/>
      <c r="D791" s="68"/>
      <c r="E791" s="69"/>
      <c r="M791" s="68"/>
      <c r="O791" s="68"/>
      <c r="P791" s="68"/>
      <c r="Q791" s="68"/>
      <c r="R791" s="68"/>
      <c r="S791" s="68"/>
    </row>
    <row r="792" spans="1:19" ht="15.75" customHeight="1">
      <c r="A792" s="68"/>
      <c r="B792" s="68"/>
      <c r="D792" s="68"/>
      <c r="E792" s="69"/>
      <c r="M792" s="68"/>
      <c r="O792" s="68"/>
      <c r="P792" s="68"/>
      <c r="Q792" s="68"/>
      <c r="R792" s="68"/>
      <c r="S792" s="68"/>
    </row>
    <row r="793" spans="1:19" ht="15.75" customHeight="1">
      <c r="A793" s="68"/>
      <c r="B793" s="68"/>
      <c r="D793" s="68"/>
      <c r="E793" s="69"/>
      <c r="M793" s="68"/>
      <c r="O793" s="68"/>
      <c r="P793" s="68"/>
      <c r="Q793" s="68"/>
      <c r="R793" s="68"/>
      <c r="S793" s="68"/>
    </row>
    <row r="794" spans="1:19" ht="15.75" customHeight="1">
      <c r="A794" s="68"/>
      <c r="B794" s="68"/>
      <c r="D794" s="68"/>
      <c r="E794" s="69"/>
      <c r="M794" s="68"/>
      <c r="O794" s="68"/>
      <c r="P794" s="68"/>
      <c r="Q794" s="68"/>
      <c r="R794" s="68"/>
      <c r="S794" s="68"/>
    </row>
    <row r="795" spans="1:19" ht="15.75" customHeight="1">
      <c r="A795" s="68"/>
      <c r="B795" s="68"/>
      <c r="D795" s="68"/>
      <c r="E795" s="69"/>
      <c r="M795" s="68"/>
      <c r="O795" s="68"/>
      <c r="P795" s="68"/>
      <c r="Q795" s="68"/>
      <c r="R795" s="68"/>
      <c r="S795" s="68"/>
    </row>
    <row r="796" spans="1:19" ht="15.75" customHeight="1">
      <c r="A796" s="68"/>
      <c r="B796" s="68"/>
      <c r="D796" s="68"/>
      <c r="E796" s="69"/>
      <c r="M796" s="68"/>
      <c r="O796" s="68"/>
      <c r="P796" s="68"/>
      <c r="Q796" s="68"/>
      <c r="R796" s="68"/>
      <c r="S796" s="68"/>
    </row>
    <row r="797" spans="1:19" ht="15.75" customHeight="1">
      <c r="A797" s="68"/>
      <c r="B797" s="68"/>
      <c r="D797" s="68"/>
      <c r="E797" s="69"/>
      <c r="M797" s="68"/>
      <c r="O797" s="68"/>
      <c r="P797" s="68"/>
      <c r="Q797" s="68"/>
      <c r="R797" s="68"/>
      <c r="S797" s="68"/>
    </row>
    <row r="798" spans="1:19" ht="15.75" customHeight="1">
      <c r="A798" s="68"/>
      <c r="B798" s="68"/>
      <c r="D798" s="68"/>
      <c r="E798" s="69"/>
      <c r="M798" s="68"/>
      <c r="O798" s="68"/>
      <c r="P798" s="68"/>
      <c r="Q798" s="68"/>
      <c r="R798" s="68"/>
      <c r="S798" s="68"/>
    </row>
    <row r="799" spans="1:19" ht="15.75" customHeight="1">
      <c r="A799" s="68"/>
      <c r="B799" s="68"/>
      <c r="D799" s="68"/>
      <c r="E799" s="69"/>
      <c r="M799" s="68"/>
      <c r="O799" s="68"/>
      <c r="P799" s="68"/>
      <c r="Q799" s="68"/>
      <c r="R799" s="68"/>
      <c r="S799" s="68"/>
    </row>
    <row r="800" spans="1:19" ht="15.75" customHeight="1">
      <c r="A800" s="68"/>
      <c r="B800" s="68"/>
      <c r="D800" s="68"/>
      <c r="E800" s="69"/>
      <c r="M800" s="68"/>
      <c r="O800" s="68"/>
      <c r="P800" s="68"/>
      <c r="Q800" s="68"/>
      <c r="R800" s="68"/>
      <c r="S800" s="68"/>
    </row>
    <row r="801" spans="1:19" ht="15.75" customHeight="1">
      <c r="A801" s="68"/>
      <c r="B801" s="68"/>
      <c r="D801" s="68"/>
      <c r="E801" s="69"/>
      <c r="M801" s="68"/>
      <c r="O801" s="68"/>
      <c r="P801" s="68"/>
      <c r="Q801" s="68"/>
      <c r="R801" s="68"/>
      <c r="S801" s="68"/>
    </row>
    <row r="802" spans="1:19" ht="15.75" customHeight="1">
      <c r="A802" s="68"/>
      <c r="B802" s="68"/>
      <c r="D802" s="68"/>
      <c r="E802" s="69"/>
      <c r="M802" s="68"/>
      <c r="O802" s="68"/>
      <c r="P802" s="68"/>
      <c r="Q802" s="68"/>
      <c r="R802" s="68"/>
      <c r="S802" s="68"/>
    </row>
    <row r="803" spans="1:19" ht="15.75" customHeight="1">
      <c r="A803" s="68"/>
      <c r="B803" s="68"/>
      <c r="D803" s="68"/>
      <c r="E803" s="69"/>
      <c r="M803" s="68"/>
      <c r="O803" s="68"/>
      <c r="P803" s="68"/>
      <c r="Q803" s="68"/>
      <c r="R803" s="68"/>
      <c r="S803" s="68"/>
    </row>
    <row r="804" spans="1:19" ht="15.75" customHeight="1">
      <c r="A804" s="68"/>
      <c r="B804" s="68"/>
      <c r="D804" s="68"/>
      <c r="E804" s="69"/>
      <c r="M804" s="68"/>
      <c r="O804" s="68"/>
      <c r="P804" s="68"/>
      <c r="Q804" s="68"/>
      <c r="R804" s="68"/>
      <c r="S804" s="68"/>
    </row>
    <row r="805" spans="1:19" ht="15.75" customHeight="1">
      <c r="A805" s="68"/>
      <c r="B805" s="68"/>
      <c r="D805" s="68"/>
      <c r="E805" s="69"/>
      <c r="M805" s="68"/>
      <c r="O805" s="68"/>
      <c r="P805" s="68"/>
      <c r="Q805" s="68"/>
      <c r="R805" s="68"/>
      <c r="S805" s="68"/>
    </row>
    <row r="806" spans="1:19" ht="15.75" customHeight="1">
      <c r="A806" s="68"/>
      <c r="B806" s="68"/>
      <c r="D806" s="68"/>
      <c r="E806" s="69"/>
      <c r="M806" s="68"/>
      <c r="O806" s="68"/>
      <c r="P806" s="68"/>
      <c r="Q806" s="68"/>
      <c r="R806" s="68"/>
      <c r="S806" s="68"/>
    </row>
    <row r="807" spans="1:19" ht="15.75" customHeight="1">
      <c r="A807" s="68"/>
      <c r="B807" s="68"/>
      <c r="D807" s="68"/>
      <c r="E807" s="69"/>
      <c r="M807" s="68"/>
      <c r="O807" s="68"/>
      <c r="P807" s="68"/>
      <c r="Q807" s="68"/>
      <c r="R807" s="68"/>
      <c r="S807" s="68"/>
    </row>
    <row r="808" spans="1:19" ht="15.75" customHeight="1">
      <c r="A808" s="68"/>
      <c r="B808" s="68"/>
      <c r="D808" s="68"/>
      <c r="E808" s="69"/>
      <c r="M808" s="68"/>
      <c r="O808" s="68"/>
      <c r="P808" s="68"/>
      <c r="Q808" s="68"/>
      <c r="R808" s="68"/>
      <c r="S808" s="68"/>
    </row>
    <row r="809" spans="1:19" ht="15.75" customHeight="1">
      <c r="A809" s="68"/>
      <c r="B809" s="68"/>
      <c r="D809" s="68"/>
      <c r="E809" s="69"/>
      <c r="M809" s="68"/>
      <c r="O809" s="68"/>
      <c r="P809" s="68"/>
      <c r="Q809" s="68"/>
      <c r="R809" s="68"/>
      <c r="S809" s="68"/>
    </row>
    <row r="810" spans="1:19" ht="15.75" customHeight="1">
      <c r="A810" s="68"/>
      <c r="B810" s="68"/>
      <c r="D810" s="68"/>
      <c r="E810" s="69"/>
      <c r="M810" s="68"/>
      <c r="O810" s="68"/>
      <c r="P810" s="68"/>
      <c r="Q810" s="68"/>
      <c r="R810" s="68"/>
      <c r="S810" s="68"/>
    </row>
    <row r="811" spans="1:19" ht="15.75" customHeight="1">
      <c r="A811" s="68"/>
      <c r="B811" s="68"/>
      <c r="D811" s="68"/>
      <c r="E811" s="69"/>
      <c r="M811" s="68"/>
      <c r="O811" s="68"/>
      <c r="P811" s="68"/>
      <c r="Q811" s="68"/>
      <c r="R811" s="68"/>
      <c r="S811" s="68"/>
    </row>
    <row r="812" spans="1:19" ht="15.75" customHeight="1">
      <c r="A812" s="68"/>
      <c r="B812" s="68"/>
      <c r="D812" s="68"/>
      <c r="E812" s="69"/>
      <c r="M812" s="68"/>
      <c r="O812" s="68"/>
      <c r="P812" s="68"/>
      <c r="Q812" s="68"/>
      <c r="R812" s="68"/>
      <c r="S812" s="68"/>
    </row>
    <row r="813" spans="1:19" ht="15.75" customHeight="1">
      <c r="A813" s="68"/>
      <c r="B813" s="68"/>
      <c r="D813" s="68"/>
      <c r="E813" s="69"/>
      <c r="M813" s="68"/>
      <c r="O813" s="68"/>
      <c r="P813" s="68"/>
      <c r="Q813" s="68"/>
      <c r="R813" s="68"/>
      <c r="S813" s="68"/>
    </row>
    <row r="814" spans="1:19" ht="15.75" customHeight="1">
      <c r="A814" s="68"/>
      <c r="B814" s="68"/>
      <c r="D814" s="68"/>
      <c r="E814" s="69"/>
      <c r="M814" s="68"/>
      <c r="O814" s="68"/>
      <c r="P814" s="68"/>
      <c r="Q814" s="68"/>
      <c r="R814" s="68"/>
      <c r="S814" s="68"/>
    </row>
    <row r="815" spans="1:19" ht="15.75" customHeight="1">
      <c r="A815" s="68"/>
      <c r="B815" s="68"/>
      <c r="D815" s="68"/>
      <c r="E815" s="69"/>
      <c r="M815" s="68"/>
      <c r="O815" s="68"/>
      <c r="P815" s="68"/>
      <c r="Q815" s="68"/>
      <c r="R815" s="68"/>
      <c r="S815" s="68"/>
    </row>
    <row r="816" spans="1:19" ht="15.75" customHeight="1">
      <c r="A816" s="68"/>
      <c r="B816" s="68"/>
      <c r="D816" s="68"/>
      <c r="E816" s="69"/>
      <c r="M816" s="68"/>
      <c r="O816" s="68"/>
      <c r="P816" s="68"/>
      <c r="Q816" s="68"/>
      <c r="R816" s="68"/>
      <c r="S816" s="68"/>
    </row>
    <row r="817" spans="1:19" ht="15.75" customHeight="1">
      <c r="A817" s="68"/>
      <c r="B817" s="68"/>
      <c r="D817" s="68"/>
      <c r="E817" s="69"/>
      <c r="M817" s="68"/>
      <c r="O817" s="68"/>
      <c r="P817" s="68"/>
      <c r="Q817" s="68"/>
      <c r="R817" s="68"/>
      <c r="S817" s="68"/>
    </row>
    <row r="818" spans="1:19" ht="15.75" customHeight="1">
      <c r="A818" s="68"/>
      <c r="B818" s="68"/>
      <c r="D818" s="68"/>
      <c r="E818" s="69"/>
      <c r="M818" s="68"/>
      <c r="O818" s="68"/>
      <c r="P818" s="68"/>
      <c r="Q818" s="68"/>
      <c r="R818" s="68"/>
      <c r="S818" s="68"/>
    </row>
    <row r="819" spans="1:19" ht="15.75" customHeight="1">
      <c r="A819" s="68"/>
      <c r="B819" s="68"/>
      <c r="D819" s="68"/>
      <c r="E819" s="69"/>
      <c r="M819" s="68"/>
      <c r="O819" s="68"/>
      <c r="P819" s="68"/>
      <c r="Q819" s="68"/>
      <c r="R819" s="68"/>
      <c r="S819" s="68"/>
    </row>
    <row r="820" spans="1:19" ht="15.75" customHeight="1">
      <c r="A820" s="68"/>
      <c r="B820" s="68"/>
      <c r="D820" s="68"/>
      <c r="E820" s="69"/>
      <c r="M820" s="68"/>
      <c r="O820" s="68"/>
      <c r="P820" s="68"/>
      <c r="Q820" s="68"/>
      <c r="R820" s="68"/>
      <c r="S820" s="68"/>
    </row>
    <row r="821" spans="1:19" ht="15.75" customHeight="1">
      <c r="A821" s="68"/>
      <c r="B821" s="68"/>
      <c r="D821" s="68"/>
      <c r="E821" s="69"/>
      <c r="M821" s="68"/>
      <c r="O821" s="68"/>
      <c r="P821" s="68"/>
      <c r="Q821" s="68"/>
      <c r="R821" s="68"/>
      <c r="S821" s="68"/>
    </row>
    <row r="822" spans="1:19" ht="15.75" customHeight="1">
      <c r="A822" s="68"/>
      <c r="B822" s="68"/>
      <c r="D822" s="68"/>
      <c r="E822" s="69"/>
      <c r="M822" s="68"/>
      <c r="O822" s="68"/>
      <c r="P822" s="68"/>
      <c r="Q822" s="68"/>
      <c r="R822" s="68"/>
      <c r="S822" s="68"/>
    </row>
    <row r="823" spans="1:19" ht="15.75" customHeight="1">
      <c r="A823" s="68"/>
      <c r="B823" s="68"/>
      <c r="D823" s="68"/>
      <c r="E823" s="69"/>
      <c r="M823" s="68"/>
      <c r="O823" s="68"/>
      <c r="P823" s="68"/>
      <c r="Q823" s="68"/>
      <c r="R823" s="68"/>
      <c r="S823" s="68"/>
    </row>
    <row r="824" spans="1:19" ht="15.75" customHeight="1">
      <c r="A824" s="68"/>
      <c r="B824" s="68"/>
      <c r="D824" s="68"/>
      <c r="E824" s="69"/>
      <c r="M824" s="68"/>
      <c r="O824" s="68"/>
      <c r="P824" s="68"/>
      <c r="Q824" s="68"/>
      <c r="R824" s="68"/>
      <c r="S824" s="68"/>
    </row>
    <row r="825" spans="1:19" ht="15.75" customHeight="1">
      <c r="A825" s="68"/>
      <c r="B825" s="68"/>
      <c r="D825" s="68"/>
      <c r="E825" s="69"/>
      <c r="M825" s="68"/>
      <c r="O825" s="68"/>
      <c r="P825" s="68"/>
      <c r="Q825" s="68"/>
      <c r="R825" s="68"/>
      <c r="S825" s="68"/>
    </row>
    <row r="826" spans="1:19" ht="15.75" customHeight="1">
      <c r="A826" s="68"/>
      <c r="B826" s="68"/>
      <c r="D826" s="68"/>
      <c r="E826" s="69"/>
      <c r="M826" s="68"/>
      <c r="O826" s="68"/>
      <c r="P826" s="68"/>
      <c r="Q826" s="68"/>
      <c r="R826" s="68"/>
      <c r="S826" s="68"/>
    </row>
    <row r="827" spans="1:19" ht="15.75" customHeight="1">
      <c r="A827" s="68"/>
      <c r="B827" s="68"/>
      <c r="D827" s="68"/>
      <c r="E827" s="69"/>
      <c r="M827" s="68"/>
      <c r="O827" s="68"/>
      <c r="P827" s="68"/>
      <c r="Q827" s="68"/>
      <c r="R827" s="68"/>
      <c r="S827" s="68"/>
    </row>
    <row r="828" spans="1:19" ht="15.75" customHeight="1">
      <c r="A828" s="68"/>
      <c r="B828" s="68"/>
      <c r="D828" s="68"/>
      <c r="E828" s="69"/>
      <c r="M828" s="68"/>
      <c r="O828" s="68"/>
      <c r="P828" s="68"/>
      <c r="Q828" s="68"/>
      <c r="R828" s="68"/>
      <c r="S828" s="68"/>
    </row>
    <row r="829" spans="1:19" ht="15.75" customHeight="1">
      <c r="A829" s="68"/>
      <c r="B829" s="68"/>
      <c r="D829" s="68"/>
      <c r="E829" s="69"/>
      <c r="M829" s="68"/>
      <c r="O829" s="68"/>
      <c r="P829" s="68"/>
      <c r="Q829" s="68"/>
      <c r="R829" s="68"/>
      <c r="S829" s="68"/>
    </row>
    <row r="830" spans="1:19" ht="15.75" customHeight="1">
      <c r="A830" s="68"/>
      <c r="B830" s="68"/>
      <c r="D830" s="68"/>
      <c r="E830" s="69"/>
      <c r="M830" s="68"/>
      <c r="O830" s="68"/>
      <c r="P830" s="68"/>
      <c r="Q830" s="68"/>
      <c r="R830" s="68"/>
      <c r="S830" s="68"/>
    </row>
    <row r="831" spans="1:19" ht="15.75" customHeight="1">
      <c r="A831" s="68"/>
      <c r="B831" s="68"/>
      <c r="D831" s="68"/>
      <c r="E831" s="69"/>
      <c r="M831" s="68"/>
      <c r="O831" s="68"/>
      <c r="P831" s="68"/>
      <c r="Q831" s="68"/>
      <c r="R831" s="68"/>
      <c r="S831" s="68"/>
    </row>
    <row r="832" spans="1:19" ht="15.75" customHeight="1">
      <c r="A832" s="68"/>
      <c r="B832" s="68"/>
      <c r="D832" s="68"/>
      <c r="E832" s="69"/>
      <c r="M832" s="68"/>
      <c r="O832" s="68"/>
      <c r="P832" s="68"/>
      <c r="Q832" s="68"/>
      <c r="R832" s="68"/>
      <c r="S832" s="68"/>
    </row>
    <row r="833" spans="1:19" ht="15.75" customHeight="1">
      <c r="A833" s="68"/>
      <c r="B833" s="68"/>
      <c r="D833" s="68"/>
      <c r="E833" s="69"/>
      <c r="M833" s="68"/>
      <c r="O833" s="68"/>
      <c r="P833" s="68"/>
      <c r="Q833" s="68"/>
      <c r="R833" s="68"/>
      <c r="S833" s="68"/>
    </row>
    <row r="834" spans="1:19" ht="15.75" customHeight="1">
      <c r="A834" s="68"/>
      <c r="B834" s="68"/>
      <c r="D834" s="68"/>
      <c r="E834" s="69"/>
      <c r="M834" s="68"/>
      <c r="O834" s="68"/>
      <c r="P834" s="68"/>
      <c r="Q834" s="68"/>
      <c r="R834" s="68"/>
      <c r="S834" s="68"/>
    </row>
    <row r="835" spans="1:19" ht="15.75" customHeight="1">
      <c r="A835" s="68"/>
      <c r="B835" s="68"/>
      <c r="D835" s="68"/>
      <c r="E835" s="69"/>
      <c r="M835" s="68"/>
      <c r="O835" s="68"/>
      <c r="P835" s="68"/>
      <c r="Q835" s="68"/>
      <c r="R835" s="68"/>
      <c r="S835" s="68"/>
    </row>
    <row r="836" spans="1:19" ht="15.75" customHeight="1">
      <c r="A836" s="68"/>
      <c r="B836" s="68"/>
      <c r="D836" s="68"/>
      <c r="E836" s="69"/>
      <c r="M836" s="68"/>
      <c r="O836" s="68"/>
      <c r="P836" s="68"/>
      <c r="Q836" s="68"/>
      <c r="R836" s="68"/>
      <c r="S836" s="68"/>
    </row>
    <row r="837" spans="1:19" ht="15.75" customHeight="1">
      <c r="A837" s="68"/>
      <c r="B837" s="68"/>
      <c r="D837" s="68"/>
      <c r="E837" s="69"/>
      <c r="M837" s="68"/>
      <c r="O837" s="68"/>
      <c r="P837" s="68"/>
      <c r="Q837" s="68"/>
      <c r="R837" s="68"/>
      <c r="S837" s="68"/>
    </row>
    <row r="838" spans="1:19" ht="15.75" customHeight="1">
      <c r="A838" s="68"/>
      <c r="B838" s="68"/>
      <c r="D838" s="68"/>
      <c r="E838" s="69"/>
      <c r="M838" s="68"/>
      <c r="O838" s="68"/>
      <c r="P838" s="68"/>
      <c r="Q838" s="68"/>
      <c r="R838" s="68"/>
      <c r="S838" s="68"/>
    </row>
    <row r="839" spans="1:19" ht="15.75" customHeight="1">
      <c r="A839" s="68"/>
      <c r="B839" s="68"/>
      <c r="D839" s="68"/>
      <c r="E839" s="69"/>
      <c r="M839" s="68"/>
      <c r="O839" s="68"/>
      <c r="P839" s="68"/>
      <c r="Q839" s="68"/>
      <c r="R839" s="68"/>
      <c r="S839" s="68"/>
    </row>
    <row r="840" spans="1:19" ht="15.75" customHeight="1">
      <c r="A840" s="68"/>
      <c r="B840" s="68"/>
      <c r="D840" s="68"/>
      <c r="E840" s="69"/>
      <c r="M840" s="68"/>
      <c r="O840" s="68"/>
      <c r="P840" s="68"/>
      <c r="Q840" s="68"/>
      <c r="R840" s="68"/>
      <c r="S840" s="68"/>
    </row>
    <row r="841" spans="1:19" ht="15.75" customHeight="1">
      <c r="A841" s="68"/>
      <c r="B841" s="68"/>
      <c r="D841" s="68"/>
      <c r="E841" s="69"/>
      <c r="M841" s="68"/>
      <c r="O841" s="68"/>
      <c r="P841" s="68"/>
      <c r="Q841" s="68"/>
      <c r="R841" s="68"/>
      <c r="S841" s="68"/>
    </row>
    <row r="842" spans="1:19" ht="15.75" customHeight="1">
      <c r="A842" s="68"/>
      <c r="B842" s="68"/>
      <c r="D842" s="68"/>
      <c r="E842" s="69"/>
      <c r="M842" s="68"/>
      <c r="O842" s="68"/>
      <c r="P842" s="68"/>
      <c r="Q842" s="68"/>
      <c r="R842" s="68"/>
      <c r="S842" s="68"/>
    </row>
    <row r="843" spans="1:19" ht="15.75" customHeight="1">
      <c r="A843" s="68"/>
      <c r="B843" s="68"/>
      <c r="D843" s="68"/>
      <c r="E843" s="69"/>
      <c r="M843" s="68"/>
      <c r="O843" s="68"/>
      <c r="P843" s="68"/>
      <c r="Q843" s="68"/>
      <c r="R843" s="68"/>
      <c r="S843" s="68"/>
    </row>
    <row r="844" spans="1:19" ht="15.75" customHeight="1">
      <c r="A844" s="68"/>
      <c r="B844" s="68"/>
      <c r="D844" s="68"/>
      <c r="E844" s="69"/>
      <c r="M844" s="68"/>
      <c r="O844" s="68"/>
      <c r="P844" s="68"/>
      <c r="Q844" s="68"/>
      <c r="R844" s="68"/>
      <c r="S844" s="68"/>
    </row>
    <row r="845" spans="1:19" ht="15.75" customHeight="1">
      <c r="A845" s="68"/>
      <c r="B845" s="68"/>
      <c r="D845" s="68"/>
      <c r="E845" s="69"/>
      <c r="M845" s="68"/>
      <c r="O845" s="68"/>
      <c r="P845" s="68"/>
      <c r="Q845" s="68"/>
      <c r="R845" s="68"/>
      <c r="S845" s="68"/>
    </row>
    <row r="846" spans="1:19" ht="15.75" customHeight="1">
      <c r="A846" s="68"/>
      <c r="B846" s="68"/>
      <c r="D846" s="68"/>
      <c r="E846" s="69"/>
      <c r="M846" s="68"/>
      <c r="O846" s="68"/>
      <c r="P846" s="68"/>
      <c r="Q846" s="68"/>
      <c r="R846" s="68"/>
      <c r="S846" s="68"/>
    </row>
    <row r="847" spans="1:19" ht="15.75" customHeight="1">
      <c r="A847" s="68"/>
      <c r="B847" s="68"/>
      <c r="D847" s="68"/>
      <c r="E847" s="69"/>
      <c r="M847" s="68"/>
      <c r="O847" s="68"/>
      <c r="P847" s="68"/>
      <c r="Q847" s="68"/>
      <c r="R847" s="68"/>
      <c r="S847" s="68"/>
    </row>
    <row r="848" spans="1:19" ht="15.75" customHeight="1">
      <c r="A848" s="68"/>
      <c r="B848" s="68"/>
      <c r="D848" s="68"/>
      <c r="E848" s="69"/>
      <c r="M848" s="68"/>
      <c r="O848" s="68"/>
      <c r="P848" s="68"/>
      <c r="Q848" s="68"/>
      <c r="R848" s="68"/>
      <c r="S848" s="68"/>
    </row>
    <row r="849" spans="1:19" ht="15.75" customHeight="1">
      <c r="A849" s="68"/>
      <c r="B849" s="68"/>
      <c r="D849" s="68"/>
      <c r="E849" s="69"/>
      <c r="M849" s="68"/>
      <c r="O849" s="68"/>
      <c r="P849" s="68"/>
      <c r="Q849" s="68"/>
      <c r="R849" s="68"/>
      <c r="S849" s="68"/>
    </row>
    <row r="850" spans="1:19" ht="15.75" customHeight="1">
      <c r="A850" s="68"/>
      <c r="B850" s="68"/>
      <c r="D850" s="68"/>
      <c r="E850" s="69"/>
      <c r="M850" s="68"/>
      <c r="O850" s="68"/>
      <c r="P850" s="68"/>
      <c r="Q850" s="68"/>
      <c r="R850" s="68"/>
      <c r="S850" s="68"/>
    </row>
    <row r="851" spans="1:19" ht="15.75" customHeight="1">
      <c r="A851" s="68"/>
      <c r="B851" s="68"/>
      <c r="D851" s="68"/>
      <c r="E851" s="69"/>
      <c r="M851" s="68"/>
      <c r="O851" s="68"/>
      <c r="P851" s="68"/>
      <c r="Q851" s="68"/>
      <c r="R851" s="68"/>
      <c r="S851" s="68"/>
    </row>
    <row r="852" spans="1:19" ht="15.75" customHeight="1">
      <c r="A852" s="68"/>
      <c r="B852" s="68"/>
      <c r="D852" s="68"/>
      <c r="E852" s="69"/>
      <c r="M852" s="68"/>
      <c r="O852" s="68"/>
      <c r="P852" s="68"/>
      <c r="Q852" s="68"/>
      <c r="R852" s="68"/>
      <c r="S852" s="68"/>
    </row>
    <row r="853" spans="1:19" ht="15.75" customHeight="1">
      <c r="A853" s="68"/>
      <c r="B853" s="68"/>
      <c r="D853" s="68"/>
      <c r="E853" s="69"/>
      <c r="M853" s="68"/>
      <c r="O853" s="68"/>
      <c r="P853" s="68"/>
      <c r="Q853" s="68"/>
      <c r="R853" s="68"/>
      <c r="S853" s="68"/>
    </row>
    <row r="854" spans="1:19" ht="15.75" customHeight="1">
      <c r="A854" s="68"/>
      <c r="B854" s="68"/>
      <c r="D854" s="68"/>
      <c r="E854" s="69"/>
      <c r="M854" s="68"/>
      <c r="O854" s="68"/>
      <c r="P854" s="68"/>
      <c r="Q854" s="68"/>
      <c r="R854" s="68"/>
      <c r="S854" s="68"/>
    </row>
    <row r="855" spans="1:19" ht="15.75" customHeight="1">
      <c r="A855" s="68"/>
      <c r="B855" s="68"/>
      <c r="D855" s="68"/>
      <c r="E855" s="69"/>
      <c r="M855" s="68"/>
      <c r="O855" s="68"/>
      <c r="P855" s="68"/>
      <c r="Q855" s="68"/>
      <c r="R855" s="68"/>
      <c r="S855" s="68"/>
    </row>
    <row r="856" spans="1:19" ht="15.75" customHeight="1">
      <c r="A856" s="68"/>
      <c r="B856" s="68"/>
      <c r="D856" s="68"/>
      <c r="E856" s="69"/>
      <c r="M856" s="68"/>
      <c r="O856" s="68"/>
      <c r="P856" s="68"/>
      <c r="Q856" s="68"/>
      <c r="R856" s="68"/>
      <c r="S856" s="68"/>
    </row>
    <row r="857" spans="1:19" ht="15.75" customHeight="1">
      <c r="A857" s="68"/>
      <c r="B857" s="68"/>
      <c r="D857" s="68"/>
      <c r="E857" s="69"/>
      <c r="M857" s="68"/>
      <c r="O857" s="68"/>
      <c r="P857" s="68"/>
      <c r="Q857" s="68"/>
      <c r="R857" s="68"/>
      <c r="S857" s="68"/>
    </row>
    <row r="858" spans="1:19" ht="15.75" customHeight="1">
      <c r="A858" s="68"/>
      <c r="B858" s="68"/>
      <c r="D858" s="68"/>
      <c r="E858" s="69"/>
      <c r="M858" s="68"/>
      <c r="O858" s="68"/>
      <c r="P858" s="68"/>
      <c r="Q858" s="68"/>
      <c r="R858" s="68"/>
      <c r="S858" s="68"/>
    </row>
    <row r="859" spans="1:19" ht="15.75" customHeight="1">
      <c r="A859" s="68"/>
      <c r="B859" s="68"/>
      <c r="D859" s="68"/>
      <c r="E859" s="69"/>
      <c r="M859" s="68"/>
      <c r="O859" s="68"/>
      <c r="P859" s="68"/>
      <c r="Q859" s="68"/>
      <c r="R859" s="68"/>
      <c r="S859" s="68"/>
    </row>
    <row r="860" spans="1:19" ht="15.75" customHeight="1">
      <c r="A860" s="68"/>
      <c r="B860" s="68"/>
      <c r="D860" s="68"/>
      <c r="E860" s="69"/>
      <c r="M860" s="68"/>
      <c r="O860" s="68"/>
      <c r="P860" s="68"/>
      <c r="Q860" s="68"/>
      <c r="R860" s="68"/>
      <c r="S860" s="68"/>
    </row>
    <row r="861" spans="1:19" ht="15.75" customHeight="1">
      <c r="A861" s="68"/>
      <c r="B861" s="68"/>
      <c r="D861" s="68"/>
      <c r="E861" s="69"/>
      <c r="M861" s="68"/>
      <c r="O861" s="68"/>
      <c r="P861" s="68"/>
      <c r="Q861" s="68"/>
      <c r="R861" s="68"/>
      <c r="S861" s="68"/>
    </row>
    <row r="862" spans="1:19" ht="15.75" customHeight="1">
      <c r="A862" s="68"/>
      <c r="B862" s="68"/>
      <c r="D862" s="68"/>
      <c r="E862" s="69"/>
      <c r="M862" s="68"/>
      <c r="O862" s="68"/>
      <c r="P862" s="68"/>
      <c r="Q862" s="68"/>
      <c r="R862" s="68"/>
      <c r="S862" s="68"/>
    </row>
    <row r="863" spans="1:19" ht="15.75" customHeight="1">
      <c r="A863" s="68"/>
      <c r="B863" s="68"/>
      <c r="D863" s="68"/>
      <c r="E863" s="69"/>
      <c r="M863" s="68"/>
      <c r="O863" s="68"/>
      <c r="P863" s="68"/>
      <c r="Q863" s="68"/>
      <c r="R863" s="68"/>
      <c r="S863" s="68"/>
    </row>
    <row r="864" spans="1:19" ht="15.75" customHeight="1">
      <c r="A864" s="68"/>
      <c r="B864" s="68"/>
      <c r="D864" s="68"/>
      <c r="E864" s="69"/>
      <c r="M864" s="68"/>
      <c r="O864" s="68"/>
      <c r="P864" s="68"/>
      <c r="Q864" s="68"/>
      <c r="R864" s="68"/>
      <c r="S864" s="68"/>
    </row>
    <row r="865" spans="1:19" ht="15.75" customHeight="1">
      <c r="A865" s="68"/>
      <c r="B865" s="68"/>
      <c r="D865" s="68"/>
      <c r="E865" s="69"/>
      <c r="M865" s="68"/>
      <c r="O865" s="68"/>
      <c r="P865" s="68"/>
      <c r="Q865" s="68"/>
      <c r="R865" s="68"/>
      <c r="S865" s="68"/>
    </row>
    <row r="866" spans="1:19" ht="15.75" customHeight="1">
      <c r="A866" s="68"/>
      <c r="B866" s="68"/>
      <c r="D866" s="68"/>
      <c r="E866" s="69"/>
      <c r="M866" s="68"/>
      <c r="O866" s="68"/>
      <c r="P866" s="68"/>
      <c r="Q866" s="68"/>
      <c r="R866" s="68"/>
      <c r="S866" s="68"/>
    </row>
    <row r="867" spans="1:19" ht="15.75" customHeight="1">
      <c r="A867" s="68"/>
      <c r="B867" s="68"/>
      <c r="D867" s="68"/>
      <c r="E867" s="69"/>
      <c r="M867" s="68"/>
      <c r="O867" s="68"/>
      <c r="P867" s="68"/>
      <c r="Q867" s="68"/>
      <c r="R867" s="68"/>
      <c r="S867" s="68"/>
    </row>
    <row r="868" spans="1:19" ht="15.75" customHeight="1">
      <c r="A868" s="68"/>
      <c r="B868" s="68"/>
      <c r="D868" s="68"/>
      <c r="E868" s="69"/>
      <c r="M868" s="68"/>
      <c r="O868" s="68"/>
      <c r="P868" s="68"/>
      <c r="Q868" s="68"/>
      <c r="R868" s="68"/>
      <c r="S868" s="68"/>
    </row>
    <row r="869" spans="1:19" ht="15.75" customHeight="1">
      <c r="A869" s="68"/>
      <c r="B869" s="68"/>
      <c r="D869" s="68"/>
      <c r="E869" s="69"/>
      <c r="M869" s="68"/>
      <c r="O869" s="68"/>
      <c r="P869" s="68"/>
      <c r="Q869" s="68"/>
      <c r="R869" s="68"/>
      <c r="S869" s="68"/>
    </row>
    <row r="870" spans="1:19" ht="15.75" customHeight="1">
      <c r="A870" s="68"/>
      <c r="B870" s="68"/>
      <c r="D870" s="68"/>
      <c r="E870" s="69"/>
      <c r="M870" s="68"/>
      <c r="O870" s="68"/>
      <c r="P870" s="68"/>
      <c r="Q870" s="68"/>
      <c r="R870" s="68"/>
      <c r="S870" s="68"/>
    </row>
    <row r="871" spans="1:19" ht="15.75" customHeight="1">
      <c r="A871" s="68"/>
      <c r="B871" s="68"/>
      <c r="D871" s="68"/>
      <c r="E871" s="69"/>
      <c r="M871" s="68"/>
      <c r="O871" s="68"/>
      <c r="P871" s="68"/>
      <c r="Q871" s="68"/>
      <c r="R871" s="68"/>
      <c r="S871" s="68"/>
    </row>
    <row r="872" spans="1:19" ht="15.75" customHeight="1">
      <c r="A872" s="68"/>
      <c r="B872" s="68"/>
      <c r="D872" s="68"/>
      <c r="E872" s="69"/>
      <c r="M872" s="68"/>
      <c r="O872" s="68"/>
      <c r="P872" s="68"/>
      <c r="Q872" s="68"/>
      <c r="R872" s="68"/>
      <c r="S872" s="68"/>
    </row>
    <row r="873" spans="1:19" ht="15.75" customHeight="1">
      <c r="A873" s="68"/>
      <c r="B873" s="68"/>
      <c r="D873" s="68"/>
      <c r="E873" s="69"/>
      <c r="M873" s="68"/>
      <c r="O873" s="68"/>
      <c r="P873" s="68"/>
      <c r="Q873" s="68"/>
      <c r="R873" s="68"/>
      <c r="S873" s="68"/>
    </row>
    <row r="874" spans="1:19" ht="15.75" customHeight="1">
      <c r="A874" s="68"/>
      <c r="B874" s="68"/>
      <c r="D874" s="68"/>
      <c r="E874" s="69"/>
      <c r="M874" s="68"/>
      <c r="O874" s="68"/>
      <c r="P874" s="68"/>
      <c r="Q874" s="68"/>
      <c r="R874" s="68"/>
      <c r="S874" s="68"/>
    </row>
    <row r="875" spans="1:19" ht="15.75" customHeight="1">
      <c r="A875" s="68"/>
      <c r="B875" s="68"/>
      <c r="D875" s="68"/>
      <c r="E875" s="69"/>
      <c r="M875" s="68"/>
      <c r="O875" s="68"/>
      <c r="P875" s="68"/>
      <c r="Q875" s="68"/>
      <c r="R875" s="68"/>
      <c r="S875" s="68"/>
    </row>
    <row r="876" spans="1:19" ht="15.75" customHeight="1">
      <c r="A876" s="68"/>
      <c r="B876" s="68"/>
      <c r="D876" s="68"/>
      <c r="E876" s="69"/>
      <c r="M876" s="68"/>
      <c r="O876" s="68"/>
      <c r="P876" s="68"/>
      <c r="Q876" s="68"/>
      <c r="R876" s="68"/>
      <c r="S876" s="68"/>
    </row>
    <row r="877" spans="1:19" ht="15.75" customHeight="1">
      <c r="A877" s="68"/>
      <c r="B877" s="68"/>
      <c r="D877" s="68"/>
      <c r="E877" s="69"/>
      <c r="M877" s="68"/>
      <c r="O877" s="68"/>
      <c r="P877" s="68"/>
      <c r="Q877" s="68"/>
      <c r="R877" s="68"/>
      <c r="S877" s="68"/>
    </row>
    <row r="878" spans="1:19" ht="15.75" customHeight="1">
      <c r="A878" s="68"/>
      <c r="B878" s="68"/>
      <c r="D878" s="68"/>
      <c r="E878" s="69"/>
      <c r="M878" s="68"/>
      <c r="O878" s="68"/>
      <c r="P878" s="68"/>
      <c r="Q878" s="68"/>
      <c r="R878" s="68"/>
      <c r="S878" s="68"/>
    </row>
    <row r="879" spans="1:19" ht="15.75" customHeight="1">
      <c r="A879" s="68"/>
      <c r="B879" s="68"/>
      <c r="D879" s="68"/>
      <c r="E879" s="69"/>
      <c r="M879" s="68"/>
      <c r="O879" s="68"/>
      <c r="P879" s="68"/>
      <c r="Q879" s="68"/>
      <c r="R879" s="68"/>
      <c r="S879" s="68"/>
    </row>
    <row r="880" spans="1:19" ht="15.75" customHeight="1">
      <c r="A880" s="68"/>
      <c r="B880" s="68"/>
      <c r="D880" s="68"/>
      <c r="E880" s="69"/>
      <c r="M880" s="68"/>
      <c r="O880" s="68"/>
      <c r="P880" s="68"/>
      <c r="Q880" s="68"/>
      <c r="R880" s="68"/>
      <c r="S880" s="68"/>
    </row>
    <row r="881" spans="1:19" ht="15.75" customHeight="1">
      <c r="A881" s="68"/>
      <c r="B881" s="68"/>
      <c r="D881" s="68"/>
      <c r="E881" s="69"/>
      <c r="M881" s="68"/>
      <c r="O881" s="68"/>
      <c r="P881" s="68"/>
      <c r="Q881" s="68"/>
      <c r="R881" s="68"/>
      <c r="S881" s="68"/>
    </row>
    <row r="882" spans="1:19" ht="15.75" customHeight="1">
      <c r="A882" s="68"/>
      <c r="B882" s="68"/>
      <c r="D882" s="68"/>
      <c r="E882" s="69"/>
      <c r="M882" s="68"/>
      <c r="O882" s="68"/>
      <c r="P882" s="68"/>
      <c r="Q882" s="68"/>
      <c r="R882" s="68"/>
      <c r="S882" s="68"/>
    </row>
    <row r="883" spans="1:19" ht="15.75" customHeight="1">
      <c r="A883" s="68"/>
      <c r="B883" s="68"/>
      <c r="D883" s="68"/>
      <c r="E883" s="69"/>
      <c r="M883" s="68"/>
      <c r="O883" s="68"/>
      <c r="P883" s="68"/>
      <c r="Q883" s="68"/>
      <c r="R883" s="68"/>
      <c r="S883" s="68"/>
    </row>
    <row r="884" spans="1:19" ht="15.75" customHeight="1">
      <c r="A884" s="68"/>
      <c r="B884" s="68"/>
      <c r="D884" s="68"/>
      <c r="E884" s="69"/>
      <c r="M884" s="68"/>
      <c r="O884" s="68"/>
      <c r="P884" s="68"/>
      <c r="Q884" s="68"/>
      <c r="R884" s="68"/>
      <c r="S884" s="68"/>
    </row>
    <row r="885" spans="1:19" ht="15.75" customHeight="1">
      <c r="A885" s="68"/>
      <c r="B885" s="68"/>
      <c r="D885" s="68"/>
      <c r="E885" s="69"/>
      <c r="M885" s="68"/>
      <c r="O885" s="68"/>
      <c r="P885" s="68"/>
      <c r="Q885" s="68"/>
      <c r="R885" s="68"/>
      <c r="S885" s="68"/>
    </row>
    <row r="886" spans="1:19" ht="15.75" customHeight="1">
      <c r="A886" s="68"/>
      <c r="B886" s="68"/>
      <c r="D886" s="68"/>
      <c r="E886" s="69"/>
      <c r="M886" s="68"/>
      <c r="O886" s="68"/>
      <c r="P886" s="68"/>
      <c r="Q886" s="68"/>
      <c r="R886" s="68"/>
      <c r="S886" s="68"/>
    </row>
    <row r="887" spans="1:19" ht="15.75" customHeight="1">
      <c r="A887" s="68"/>
      <c r="B887" s="68"/>
      <c r="D887" s="68"/>
      <c r="E887" s="69"/>
      <c r="M887" s="68"/>
      <c r="O887" s="68"/>
      <c r="P887" s="68"/>
      <c r="Q887" s="68"/>
      <c r="R887" s="68"/>
      <c r="S887" s="68"/>
    </row>
    <row r="888" spans="1:19" ht="15.75" customHeight="1">
      <c r="A888" s="68"/>
      <c r="B888" s="68"/>
      <c r="D888" s="68"/>
      <c r="E888" s="69"/>
      <c r="M888" s="68"/>
      <c r="O888" s="68"/>
      <c r="P888" s="68"/>
      <c r="Q888" s="68"/>
      <c r="R888" s="68"/>
      <c r="S888" s="68"/>
    </row>
    <row r="889" spans="1:19" ht="15.75" customHeight="1">
      <c r="A889" s="68"/>
      <c r="B889" s="68"/>
      <c r="D889" s="68"/>
      <c r="E889" s="69"/>
      <c r="M889" s="68"/>
      <c r="O889" s="68"/>
      <c r="P889" s="68"/>
      <c r="Q889" s="68"/>
      <c r="R889" s="68"/>
      <c r="S889" s="68"/>
    </row>
    <row r="890" spans="1:19" ht="15.75" customHeight="1">
      <c r="A890" s="68"/>
      <c r="B890" s="68"/>
      <c r="D890" s="68"/>
      <c r="E890" s="69"/>
      <c r="M890" s="68"/>
      <c r="O890" s="68"/>
      <c r="P890" s="68"/>
      <c r="Q890" s="68"/>
      <c r="R890" s="68"/>
      <c r="S890" s="68"/>
    </row>
    <row r="891" spans="1:19" ht="15.75" customHeight="1">
      <c r="A891" s="68"/>
      <c r="B891" s="68"/>
      <c r="D891" s="68"/>
      <c r="E891" s="69"/>
      <c r="M891" s="68"/>
      <c r="O891" s="68"/>
      <c r="P891" s="68"/>
      <c r="Q891" s="68"/>
      <c r="R891" s="68"/>
      <c r="S891" s="68"/>
    </row>
    <row r="892" spans="1:19" ht="15.75" customHeight="1">
      <c r="A892" s="68"/>
      <c r="B892" s="68"/>
      <c r="D892" s="68"/>
      <c r="E892" s="69"/>
      <c r="M892" s="68"/>
      <c r="O892" s="68"/>
      <c r="P892" s="68"/>
      <c r="Q892" s="68"/>
      <c r="R892" s="68"/>
      <c r="S892" s="68"/>
    </row>
    <row r="893" spans="1:19" ht="15.75" customHeight="1">
      <c r="A893" s="68"/>
      <c r="B893" s="68"/>
      <c r="D893" s="68"/>
      <c r="E893" s="69"/>
      <c r="M893" s="68"/>
      <c r="O893" s="68"/>
      <c r="P893" s="68"/>
      <c r="Q893" s="68"/>
      <c r="R893" s="68"/>
      <c r="S893" s="68"/>
    </row>
    <row r="894" spans="1:19" ht="15.75" customHeight="1">
      <c r="A894" s="68"/>
      <c r="B894" s="68"/>
      <c r="D894" s="68"/>
      <c r="E894" s="69"/>
      <c r="M894" s="68"/>
      <c r="O894" s="68"/>
      <c r="P894" s="68"/>
      <c r="Q894" s="68"/>
      <c r="R894" s="68"/>
      <c r="S894" s="68"/>
    </row>
    <row r="895" spans="1:19" ht="15.75" customHeight="1">
      <c r="A895" s="68"/>
      <c r="B895" s="68"/>
      <c r="D895" s="68"/>
      <c r="E895" s="69"/>
      <c r="M895" s="68"/>
      <c r="O895" s="68"/>
      <c r="P895" s="68"/>
      <c r="Q895" s="68"/>
      <c r="R895" s="68"/>
      <c r="S895" s="68"/>
    </row>
    <row r="896" spans="1:19" ht="15.75" customHeight="1">
      <c r="A896" s="68"/>
      <c r="B896" s="68"/>
      <c r="D896" s="68"/>
      <c r="E896" s="69"/>
      <c r="M896" s="68"/>
      <c r="O896" s="68"/>
      <c r="P896" s="68"/>
      <c r="Q896" s="68"/>
      <c r="R896" s="68"/>
      <c r="S896" s="68"/>
    </row>
    <row r="897" spans="1:19" ht="15.75" customHeight="1">
      <c r="A897" s="68"/>
      <c r="B897" s="68"/>
      <c r="D897" s="68"/>
      <c r="E897" s="69"/>
      <c r="M897" s="68"/>
      <c r="O897" s="68"/>
      <c r="P897" s="68"/>
      <c r="Q897" s="68"/>
      <c r="R897" s="68"/>
      <c r="S897" s="68"/>
    </row>
    <row r="898" spans="1:19" ht="15.75" customHeight="1">
      <c r="A898" s="68"/>
      <c r="B898" s="68"/>
      <c r="D898" s="68"/>
      <c r="E898" s="69"/>
      <c r="M898" s="68"/>
      <c r="O898" s="68"/>
      <c r="P898" s="68"/>
      <c r="Q898" s="68"/>
      <c r="R898" s="68"/>
      <c r="S898" s="68"/>
    </row>
    <row r="899" spans="1:19" ht="15.75" customHeight="1">
      <c r="A899" s="68"/>
      <c r="B899" s="68"/>
      <c r="D899" s="68"/>
      <c r="E899" s="69"/>
      <c r="M899" s="68"/>
      <c r="O899" s="68"/>
      <c r="P899" s="68"/>
      <c r="Q899" s="68"/>
      <c r="R899" s="68"/>
      <c r="S899" s="68"/>
    </row>
    <row r="900" spans="1:19" ht="15.75" customHeight="1">
      <c r="A900" s="68"/>
      <c r="B900" s="68"/>
      <c r="D900" s="68"/>
      <c r="E900" s="69"/>
      <c r="M900" s="68"/>
      <c r="O900" s="68"/>
      <c r="P900" s="68"/>
      <c r="Q900" s="68"/>
      <c r="R900" s="68"/>
      <c r="S900" s="68"/>
    </row>
    <row r="901" spans="1:19" ht="15.75" customHeight="1">
      <c r="A901" s="68"/>
      <c r="B901" s="68"/>
      <c r="D901" s="68"/>
      <c r="E901" s="69"/>
      <c r="M901" s="68"/>
      <c r="O901" s="68"/>
      <c r="P901" s="68"/>
      <c r="Q901" s="68"/>
      <c r="R901" s="68"/>
      <c r="S901" s="68"/>
    </row>
    <row r="902" spans="1:19" ht="15.75" customHeight="1">
      <c r="A902" s="68"/>
      <c r="B902" s="68"/>
      <c r="D902" s="68"/>
      <c r="E902" s="69"/>
      <c r="M902" s="68"/>
      <c r="O902" s="68"/>
      <c r="P902" s="68"/>
      <c r="Q902" s="68"/>
      <c r="R902" s="68"/>
      <c r="S902" s="68"/>
    </row>
    <row r="903" spans="1:19" ht="15.75" customHeight="1">
      <c r="A903" s="68"/>
      <c r="B903" s="68"/>
      <c r="D903" s="68"/>
      <c r="E903" s="69"/>
      <c r="M903" s="68"/>
      <c r="O903" s="68"/>
      <c r="P903" s="68"/>
      <c r="Q903" s="68"/>
      <c r="R903" s="68"/>
      <c r="S903" s="68"/>
    </row>
    <row r="904" spans="1:19" ht="15.75" customHeight="1">
      <c r="A904" s="68"/>
      <c r="B904" s="68"/>
      <c r="D904" s="68"/>
      <c r="E904" s="69"/>
      <c r="M904" s="68"/>
      <c r="O904" s="68"/>
      <c r="P904" s="68"/>
      <c r="Q904" s="68"/>
      <c r="R904" s="68"/>
      <c r="S904" s="68"/>
    </row>
    <row r="905" spans="1:19" ht="15.75" customHeight="1">
      <c r="A905" s="68"/>
      <c r="B905" s="68"/>
      <c r="D905" s="68"/>
      <c r="E905" s="69"/>
      <c r="M905" s="68"/>
      <c r="O905" s="68"/>
      <c r="P905" s="68"/>
      <c r="Q905" s="68"/>
      <c r="R905" s="68"/>
      <c r="S905" s="68"/>
    </row>
    <row r="906" spans="1:19" ht="15.75" customHeight="1">
      <c r="A906" s="68"/>
      <c r="B906" s="68"/>
      <c r="D906" s="68"/>
      <c r="E906" s="69"/>
      <c r="M906" s="68"/>
      <c r="O906" s="68"/>
      <c r="P906" s="68"/>
      <c r="Q906" s="68"/>
      <c r="R906" s="68"/>
      <c r="S906" s="68"/>
    </row>
    <row r="907" spans="1:19" ht="15.75" customHeight="1">
      <c r="A907" s="68"/>
      <c r="B907" s="68"/>
      <c r="D907" s="68"/>
      <c r="E907" s="69"/>
      <c r="M907" s="68"/>
      <c r="O907" s="68"/>
      <c r="P907" s="68"/>
      <c r="Q907" s="68"/>
      <c r="R907" s="68"/>
      <c r="S907" s="68"/>
    </row>
    <row r="908" spans="1:19" ht="15.75" customHeight="1">
      <c r="A908" s="68"/>
      <c r="B908" s="68"/>
      <c r="D908" s="68"/>
      <c r="E908" s="69"/>
      <c r="M908" s="68"/>
      <c r="O908" s="68"/>
      <c r="P908" s="68"/>
      <c r="Q908" s="68"/>
      <c r="R908" s="68"/>
      <c r="S908" s="68"/>
    </row>
    <row r="909" spans="1:19" ht="15.75" customHeight="1">
      <c r="A909" s="68"/>
      <c r="B909" s="68"/>
      <c r="D909" s="68"/>
      <c r="E909" s="69"/>
      <c r="M909" s="68"/>
      <c r="O909" s="68"/>
      <c r="P909" s="68"/>
      <c r="Q909" s="68"/>
      <c r="R909" s="68"/>
      <c r="S909" s="68"/>
    </row>
    <row r="910" spans="1:19" ht="15.75" customHeight="1">
      <c r="A910" s="68"/>
      <c r="B910" s="68"/>
      <c r="D910" s="68"/>
      <c r="E910" s="69"/>
      <c r="M910" s="68"/>
      <c r="O910" s="68"/>
      <c r="P910" s="68"/>
      <c r="Q910" s="68"/>
      <c r="R910" s="68"/>
      <c r="S910" s="68"/>
    </row>
    <row r="911" spans="1:19" ht="15.75" customHeight="1">
      <c r="A911" s="68"/>
      <c r="B911" s="68"/>
      <c r="D911" s="68"/>
      <c r="E911" s="69"/>
      <c r="M911" s="68"/>
      <c r="O911" s="68"/>
      <c r="P911" s="68"/>
      <c r="Q911" s="68"/>
      <c r="R911" s="68"/>
      <c r="S911" s="68"/>
    </row>
    <row r="912" spans="1:19" ht="15.75" customHeight="1">
      <c r="A912" s="68"/>
      <c r="B912" s="68"/>
      <c r="D912" s="68"/>
      <c r="E912" s="69"/>
      <c r="M912" s="68"/>
      <c r="O912" s="68"/>
      <c r="P912" s="68"/>
      <c r="Q912" s="68"/>
      <c r="R912" s="68"/>
      <c r="S912" s="68"/>
    </row>
    <row r="913" spans="1:19" ht="15.75" customHeight="1">
      <c r="A913" s="68"/>
      <c r="B913" s="68"/>
      <c r="D913" s="68"/>
      <c r="E913" s="69"/>
      <c r="M913" s="68"/>
      <c r="O913" s="68"/>
      <c r="P913" s="68"/>
      <c r="Q913" s="68"/>
      <c r="R913" s="68"/>
      <c r="S913" s="68"/>
    </row>
    <row r="914" spans="1:19" ht="15.75" customHeight="1">
      <c r="A914" s="68"/>
      <c r="B914" s="68"/>
      <c r="D914" s="68"/>
      <c r="E914" s="69"/>
      <c r="M914" s="68"/>
      <c r="O914" s="68"/>
      <c r="P914" s="68"/>
      <c r="Q914" s="68"/>
      <c r="R914" s="68"/>
      <c r="S914" s="68"/>
    </row>
    <row r="915" spans="1:19" ht="15.75" customHeight="1">
      <c r="A915" s="68"/>
      <c r="B915" s="68"/>
      <c r="D915" s="68"/>
      <c r="E915" s="69"/>
      <c r="M915" s="68"/>
      <c r="O915" s="68"/>
      <c r="P915" s="68"/>
      <c r="Q915" s="68"/>
      <c r="R915" s="68"/>
      <c r="S915" s="68"/>
    </row>
    <row r="916" spans="1:19" ht="15.75" customHeight="1">
      <c r="A916" s="68"/>
      <c r="B916" s="68"/>
      <c r="D916" s="68"/>
      <c r="E916" s="69"/>
      <c r="M916" s="68"/>
      <c r="O916" s="68"/>
      <c r="P916" s="68"/>
      <c r="Q916" s="68"/>
      <c r="R916" s="68"/>
      <c r="S916" s="68"/>
    </row>
    <row r="917" spans="1:19" ht="15.75" customHeight="1">
      <c r="A917" s="68"/>
      <c r="B917" s="68"/>
      <c r="D917" s="68"/>
      <c r="E917" s="69"/>
      <c r="M917" s="68"/>
      <c r="O917" s="68"/>
      <c r="P917" s="68"/>
      <c r="Q917" s="68"/>
      <c r="R917" s="68"/>
      <c r="S917" s="68"/>
    </row>
    <row r="918" spans="1:19" ht="15.75" customHeight="1">
      <c r="A918" s="68"/>
      <c r="B918" s="68"/>
      <c r="D918" s="68"/>
      <c r="E918" s="69"/>
      <c r="M918" s="68"/>
      <c r="O918" s="68"/>
      <c r="P918" s="68"/>
      <c r="Q918" s="68"/>
      <c r="R918" s="68"/>
      <c r="S918" s="68"/>
    </row>
    <row r="919" spans="1:19" ht="15.75" customHeight="1">
      <c r="A919" s="68"/>
      <c r="B919" s="68"/>
      <c r="D919" s="68"/>
      <c r="E919" s="69"/>
      <c r="M919" s="68"/>
      <c r="O919" s="68"/>
      <c r="P919" s="68"/>
      <c r="Q919" s="68"/>
      <c r="R919" s="68"/>
      <c r="S919" s="68"/>
    </row>
    <row r="920" spans="1:19" ht="15.75" customHeight="1">
      <c r="A920" s="68"/>
      <c r="B920" s="68"/>
      <c r="D920" s="68"/>
      <c r="E920" s="69"/>
      <c r="M920" s="68"/>
      <c r="O920" s="68"/>
      <c r="P920" s="68"/>
      <c r="Q920" s="68"/>
      <c r="R920" s="68"/>
      <c r="S920" s="68"/>
    </row>
    <row r="921" spans="1:19" ht="15.75" customHeight="1">
      <c r="A921" s="68"/>
      <c r="B921" s="68"/>
      <c r="D921" s="68"/>
      <c r="E921" s="69"/>
      <c r="M921" s="68"/>
      <c r="O921" s="68"/>
      <c r="P921" s="68"/>
      <c r="Q921" s="68"/>
      <c r="R921" s="68"/>
      <c r="S921" s="68"/>
    </row>
    <row r="922" spans="1:19" ht="15.75" customHeight="1">
      <c r="A922" s="68"/>
      <c r="B922" s="68"/>
      <c r="D922" s="68"/>
      <c r="E922" s="69"/>
      <c r="M922" s="68"/>
      <c r="O922" s="68"/>
      <c r="P922" s="68"/>
      <c r="Q922" s="68"/>
      <c r="R922" s="68"/>
      <c r="S922" s="68"/>
    </row>
    <row r="923" spans="1:19" ht="15.75" customHeight="1">
      <c r="A923" s="68"/>
      <c r="B923" s="68"/>
      <c r="D923" s="68"/>
      <c r="E923" s="69"/>
      <c r="M923" s="68"/>
      <c r="O923" s="68"/>
      <c r="P923" s="68"/>
      <c r="Q923" s="68"/>
      <c r="R923" s="68"/>
      <c r="S923" s="68"/>
    </row>
    <row r="924" spans="1:19" ht="15.75" customHeight="1">
      <c r="A924" s="68"/>
      <c r="B924" s="68"/>
      <c r="D924" s="68"/>
      <c r="E924" s="69"/>
      <c r="M924" s="68"/>
      <c r="O924" s="68"/>
      <c r="P924" s="68"/>
      <c r="Q924" s="68"/>
      <c r="R924" s="68"/>
      <c r="S924" s="68"/>
    </row>
    <row r="925" spans="1:19" ht="15.75" customHeight="1">
      <c r="A925" s="68"/>
      <c r="B925" s="68"/>
      <c r="D925" s="68"/>
      <c r="E925" s="69"/>
      <c r="M925" s="68"/>
      <c r="O925" s="68"/>
      <c r="P925" s="68"/>
      <c r="Q925" s="68"/>
      <c r="R925" s="68"/>
      <c r="S925" s="68"/>
    </row>
    <row r="926" spans="1:19" ht="15.75" customHeight="1">
      <c r="A926" s="68"/>
      <c r="B926" s="68"/>
      <c r="D926" s="68"/>
      <c r="E926" s="69"/>
      <c r="M926" s="68"/>
      <c r="O926" s="68"/>
      <c r="P926" s="68"/>
      <c r="Q926" s="68"/>
      <c r="R926" s="68"/>
      <c r="S926" s="68"/>
    </row>
    <row r="927" spans="1:19" ht="15.75" customHeight="1">
      <c r="A927" s="68"/>
      <c r="B927" s="68"/>
      <c r="D927" s="68"/>
      <c r="E927" s="69"/>
      <c r="M927" s="68"/>
      <c r="O927" s="68"/>
      <c r="P927" s="68"/>
      <c r="Q927" s="68"/>
      <c r="R927" s="68"/>
      <c r="S927" s="68"/>
    </row>
    <row r="928" spans="1:19" ht="15.75" customHeight="1">
      <c r="A928" s="68"/>
      <c r="B928" s="68"/>
      <c r="D928" s="68"/>
      <c r="E928" s="69"/>
      <c r="M928" s="68"/>
      <c r="O928" s="68"/>
      <c r="P928" s="68"/>
      <c r="Q928" s="68"/>
      <c r="R928" s="68"/>
      <c r="S928" s="68"/>
    </row>
    <row r="929" spans="1:19" ht="15.75" customHeight="1">
      <c r="A929" s="68"/>
      <c r="B929" s="68"/>
      <c r="D929" s="68"/>
      <c r="E929" s="69"/>
      <c r="M929" s="68"/>
      <c r="O929" s="68"/>
      <c r="P929" s="68"/>
      <c r="Q929" s="68"/>
      <c r="R929" s="68"/>
      <c r="S929" s="68"/>
    </row>
    <row r="930" spans="1:19" ht="15.75" customHeight="1">
      <c r="A930" s="68"/>
      <c r="B930" s="68"/>
      <c r="D930" s="68"/>
      <c r="E930" s="69"/>
      <c r="M930" s="68"/>
      <c r="O930" s="68"/>
      <c r="P930" s="68"/>
      <c r="Q930" s="68"/>
      <c r="R930" s="68"/>
      <c r="S930" s="68"/>
    </row>
    <row r="931" spans="1:19" ht="15.75" customHeight="1">
      <c r="A931" s="68"/>
      <c r="B931" s="68"/>
      <c r="D931" s="68"/>
      <c r="E931" s="69"/>
      <c r="M931" s="68"/>
      <c r="O931" s="68"/>
      <c r="P931" s="68"/>
      <c r="Q931" s="68"/>
      <c r="R931" s="68"/>
      <c r="S931" s="68"/>
    </row>
    <row r="932" spans="1:19" ht="15.75" customHeight="1">
      <c r="A932" s="68"/>
      <c r="B932" s="68"/>
      <c r="D932" s="68"/>
      <c r="E932" s="69"/>
      <c r="M932" s="68"/>
      <c r="O932" s="68"/>
      <c r="P932" s="68"/>
      <c r="Q932" s="68"/>
      <c r="R932" s="68"/>
      <c r="S932" s="68"/>
    </row>
    <row r="933" spans="1:19" ht="15.75" customHeight="1">
      <c r="A933" s="68"/>
      <c r="B933" s="68"/>
      <c r="D933" s="68"/>
      <c r="E933" s="69"/>
      <c r="M933" s="68"/>
      <c r="O933" s="68"/>
      <c r="P933" s="68"/>
      <c r="Q933" s="68"/>
      <c r="R933" s="68"/>
      <c r="S933" s="68"/>
    </row>
    <row r="934" spans="1:19" ht="15.75" customHeight="1">
      <c r="A934" s="68"/>
      <c r="B934" s="68"/>
      <c r="D934" s="68"/>
      <c r="E934" s="69"/>
      <c r="M934" s="68"/>
      <c r="O934" s="68"/>
      <c r="P934" s="68"/>
      <c r="Q934" s="68"/>
      <c r="R934" s="68"/>
      <c r="S934" s="68"/>
    </row>
    <row r="935" spans="1:19" ht="15.75" customHeight="1">
      <c r="A935" s="68"/>
      <c r="B935" s="68"/>
      <c r="D935" s="68"/>
      <c r="E935" s="69"/>
      <c r="M935" s="68"/>
      <c r="O935" s="68"/>
      <c r="P935" s="68"/>
      <c r="Q935" s="68"/>
      <c r="R935" s="68"/>
      <c r="S935" s="68"/>
    </row>
    <row r="936" spans="1:19" ht="15.75" customHeight="1">
      <c r="A936" s="68"/>
      <c r="B936" s="68"/>
      <c r="D936" s="68"/>
      <c r="E936" s="69"/>
      <c r="M936" s="68"/>
      <c r="O936" s="68"/>
      <c r="P936" s="68"/>
      <c r="Q936" s="68"/>
      <c r="R936" s="68"/>
      <c r="S936" s="68"/>
    </row>
    <row r="937" spans="1:19" ht="15.75" customHeight="1">
      <c r="A937" s="68"/>
      <c r="B937" s="68"/>
      <c r="D937" s="68"/>
      <c r="E937" s="69"/>
      <c r="M937" s="68"/>
      <c r="O937" s="68"/>
      <c r="P937" s="68"/>
      <c r="Q937" s="68"/>
      <c r="R937" s="68"/>
      <c r="S937" s="68"/>
    </row>
    <row r="938" spans="1:19" ht="15.75" customHeight="1">
      <c r="A938" s="68"/>
      <c r="B938" s="68"/>
      <c r="D938" s="68"/>
      <c r="E938" s="69"/>
      <c r="M938" s="68"/>
      <c r="O938" s="68"/>
      <c r="P938" s="68"/>
      <c r="Q938" s="68"/>
      <c r="R938" s="68"/>
      <c r="S938" s="68"/>
    </row>
    <row r="939" spans="1:19" ht="15.75" customHeight="1">
      <c r="A939" s="68"/>
      <c r="B939" s="68"/>
      <c r="D939" s="68"/>
      <c r="E939" s="69"/>
      <c r="M939" s="68"/>
      <c r="O939" s="68"/>
      <c r="P939" s="68"/>
      <c r="Q939" s="68"/>
      <c r="R939" s="68"/>
      <c r="S939" s="68"/>
    </row>
    <row r="940" spans="1:19" ht="15.75" customHeight="1">
      <c r="A940" s="68"/>
      <c r="B940" s="68"/>
      <c r="D940" s="68"/>
      <c r="E940" s="69"/>
      <c r="M940" s="68"/>
      <c r="O940" s="68"/>
      <c r="P940" s="68"/>
      <c r="Q940" s="68"/>
      <c r="R940" s="68"/>
      <c r="S940" s="68"/>
    </row>
    <row r="941" spans="1:19" ht="15.75" customHeight="1">
      <c r="A941" s="68"/>
      <c r="B941" s="68"/>
      <c r="D941" s="68"/>
      <c r="E941" s="69"/>
      <c r="M941" s="68"/>
      <c r="O941" s="68"/>
      <c r="P941" s="68"/>
      <c r="Q941" s="68"/>
      <c r="R941" s="68"/>
      <c r="S941" s="68"/>
    </row>
    <row r="942" spans="1:19" ht="15.75" customHeight="1">
      <c r="A942" s="68"/>
      <c r="B942" s="68"/>
      <c r="D942" s="68"/>
      <c r="E942" s="69"/>
      <c r="M942" s="68"/>
      <c r="O942" s="68"/>
      <c r="P942" s="68"/>
      <c r="Q942" s="68"/>
      <c r="R942" s="68"/>
      <c r="S942" s="68"/>
    </row>
    <row r="943" spans="1:19" ht="15.75" customHeight="1">
      <c r="A943" s="68"/>
      <c r="B943" s="68"/>
      <c r="D943" s="68"/>
      <c r="E943" s="69"/>
      <c r="M943" s="68"/>
      <c r="O943" s="68"/>
      <c r="P943" s="68"/>
      <c r="Q943" s="68"/>
      <c r="R943" s="68"/>
      <c r="S943" s="68"/>
    </row>
    <row r="944" spans="1:19" ht="15.75" customHeight="1">
      <c r="A944" s="68"/>
      <c r="B944" s="68"/>
      <c r="D944" s="68"/>
      <c r="E944" s="69"/>
      <c r="M944" s="68"/>
      <c r="O944" s="68"/>
      <c r="P944" s="68"/>
      <c r="Q944" s="68"/>
      <c r="R944" s="68"/>
      <c r="S944" s="68"/>
    </row>
    <row r="945" spans="1:19" ht="15.75" customHeight="1">
      <c r="A945" s="68"/>
      <c r="B945" s="68"/>
      <c r="D945" s="68"/>
      <c r="E945" s="69"/>
      <c r="M945" s="68"/>
      <c r="O945" s="68"/>
      <c r="P945" s="68"/>
      <c r="Q945" s="68"/>
      <c r="R945" s="68"/>
      <c r="S945" s="68"/>
    </row>
    <row r="946" spans="1:19" ht="15.75" customHeight="1">
      <c r="A946" s="68"/>
      <c r="B946" s="68"/>
      <c r="D946" s="68"/>
      <c r="E946" s="69"/>
      <c r="M946" s="68"/>
      <c r="O946" s="68"/>
      <c r="P946" s="68"/>
      <c r="Q946" s="68"/>
      <c r="R946" s="68"/>
      <c r="S946" s="68"/>
    </row>
    <row r="947" spans="1:19" ht="15.75" customHeight="1">
      <c r="A947" s="68"/>
      <c r="B947" s="68"/>
      <c r="D947" s="68"/>
      <c r="E947" s="69"/>
      <c r="M947" s="68"/>
      <c r="O947" s="68"/>
      <c r="P947" s="68"/>
      <c r="Q947" s="68"/>
      <c r="R947" s="68"/>
      <c r="S947" s="68"/>
    </row>
    <row r="948" spans="1:19" ht="15.75" customHeight="1">
      <c r="A948" s="68"/>
      <c r="B948" s="68"/>
      <c r="D948" s="68"/>
      <c r="E948" s="69"/>
      <c r="M948" s="68"/>
      <c r="O948" s="68"/>
      <c r="P948" s="68"/>
      <c r="Q948" s="68"/>
      <c r="R948" s="68"/>
      <c r="S948" s="68"/>
    </row>
    <row r="949" spans="1:19" ht="15.75" customHeight="1">
      <c r="A949" s="68"/>
      <c r="B949" s="68"/>
      <c r="D949" s="68"/>
      <c r="E949" s="69"/>
      <c r="M949" s="68"/>
      <c r="O949" s="68"/>
      <c r="P949" s="68"/>
      <c r="Q949" s="68"/>
      <c r="R949" s="68"/>
      <c r="S949" s="68"/>
    </row>
    <row r="950" spans="1:19" ht="15.75" customHeight="1">
      <c r="A950" s="68"/>
      <c r="B950" s="68"/>
      <c r="D950" s="68"/>
      <c r="E950" s="69"/>
      <c r="M950" s="68"/>
      <c r="O950" s="68"/>
      <c r="P950" s="68"/>
      <c r="Q950" s="68"/>
      <c r="R950" s="68"/>
      <c r="S950" s="68"/>
    </row>
    <row r="951" spans="1:19" ht="15.75" customHeight="1">
      <c r="A951" s="68"/>
      <c r="B951" s="68"/>
      <c r="D951" s="68"/>
      <c r="E951" s="69"/>
      <c r="M951" s="68"/>
      <c r="O951" s="68"/>
      <c r="P951" s="68"/>
      <c r="Q951" s="68"/>
      <c r="R951" s="68"/>
      <c r="S951" s="68"/>
    </row>
    <row r="952" spans="1:19" ht="15.75" customHeight="1">
      <c r="A952" s="68"/>
      <c r="B952" s="68"/>
      <c r="D952" s="68"/>
      <c r="E952" s="69"/>
      <c r="M952" s="68"/>
      <c r="O952" s="68"/>
      <c r="P952" s="68"/>
      <c r="Q952" s="68"/>
      <c r="R952" s="68"/>
      <c r="S952" s="68"/>
    </row>
    <row r="953" spans="1:19" ht="15.75" customHeight="1">
      <c r="A953" s="68"/>
      <c r="B953" s="68"/>
      <c r="D953" s="68"/>
      <c r="E953" s="69"/>
      <c r="M953" s="68"/>
      <c r="O953" s="68"/>
      <c r="P953" s="68"/>
      <c r="Q953" s="68"/>
      <c r="R953" s="68"/>
      <c r="S953" s="68"/>
    </row>
    <row r="954" spans="1:19" ht="15.75" customHeight="1">
      <c r="A954" s="68"/>
      <c r="B954" s="68"/>
      <c r="D954" s="68"/>
      <c r="E954" s="69"/>
      <c r="M954" s="68"/>
      <c r="O954" s="68"/>
      <c r="P954" s="68"/>
      <c r="Q954" s="68"/>
      <c r="R954" s="68"/>
      <c r="S954" s="68"/>
    </row>
    <row r="955" spans="1:19" ht="15.75" customHeight="1">
      <c r="A955" s="68"/>
      <c r="B955" s="68"/>
      <c r="D955" s="68"/>
      <c r="E955" s="69"/>
      <c r="M955" s="68"/>
      <c r="O955" s="68"/>
      <c r="P955" s="68"/>
      <c r="Q955" s="68"/>
      <c r="R955" s="68"/>
      <c r="S955" s="68"/>
    </row>
    <row r="956" spans="1:19" ht="15.75" customHeight="1">
      <c r="A956" s="68"/>
      <c r="B956" s="68"/>
      <c r="D956" s="68"/>
      <c r="E956" s="69"/>
      <c r="M956" s="68"/>
      <c r="O956" s="68"/>
      <c r="P956" s="68"/>
      <c r="Q956" s="68"/>
      <c r="R956" s="68"/>
      <c r="S956" s="68"/>
    </row>
    <row r="957" spans="1:19" ht="15.75" customHeight="1">
      <c r="A957" s="68"/>
      <c r="B957" s="68"/>
      <c r="D957" s="68"/>
      <c r="E957" s="69"/>
      <c r="M957" s="68"/>
      <c r="O957" s="68"/>
      <c r="P957" s="68"/>
      <c r="Q957" s="68"/>
      <c r="R957" s="68"/>
      <c r="S957" s="68"/>
    </row>
    <row r="958" spans="1:19" ht="15.75" customHeight="1">
      <c r="A958" s="68"/>
      <c r="B958" s="68"/>
      <c r="D958" s="68"/>
      <c r="E958" s="69"/>
      <c r="M958" s="68"/>
      <c r="O958" s="68"/>
      <c r="P958" s="68"/>
      <c r="Q958" s="68"/>
      <c r="R958" s="68"/>
      <c r="S958" s="68"/>
    </row>
    <row r="959" spans="1:19" ht="15.75" customHeight="1">
      <c r="A959" s="68"/>
      <c r="B959" s="68"/>
      <c r="D959" s="68"/>
      <c r="E959" s="69"/>
      <c r="M959" s="68"/>
      <c r="O959" s="68"/>
      <c r="P959" s="68"/>
      <c r="Q959" s="68"/>
      <c r="R959" s="68"/>
      <c r="S959" s="68"/>
    </row>
    <row r="960" spans="1:19" ht="15.75" customHeight="1">
      <c r="A960" s="68"/>
      <c r="B960" s="68"/>
      <c r="D960" s="68"/>
      <c r="E960" s="69"/>
      <c r="M960" s="68"/>
      <c r="O960" s="68"/>
      <c r="P960" s="68"/>
      <c r="Q960" s="68"/>
      <c r="R960" s="68"/>
      <c r="S960" s="68"/>
    </row>
    <row r="961" spans="1:19" ht="15.75" customHeight="1">
      <c r="A961" s="68"/>
      <c r="B961" s="68"/>
      <c r="D961" s="68"/>
      <c r="E961" s="69"/>
      <c r="M961" s="68"/>
      <c r="O961" s="68"/>
      <c r="P961" s="68"/>
      <c r="Q961" s="68"/>
      <c r="R961" s="68"/>
      <c r="S961" s="68"/>
    </row>
    <row r="962" spans="1:19" ht="15.75" customHeight="1">
      <c r="A962" s="68"/>
      <c r="B962" s="68"/>
      <c r="D962" s="68"/>
      <c r="E962" s="69"/>
      <c r="M962" s="68"/>
      <c r="O962" s="68"/>
      <c r="P962" s="68"/>
      <c r="Q962" s="68"/>
      <c r="R962" s="68"/>
      <c r="S962" s="68"/>
    </row>
    <row r="963" spans="1:19" ht="15.75" customHeight="1">
      <c r="A963" s="68"/>
      <c r="B963" s="68"/>
      <c r="D963" s="68"/>
      <c r="E963" s="69"/>
      <c r="M963" s="68"/>
      <c r="O963" s="68"/>
      <c r="P963" s="68"/>
      <c r="Q963" s="68"/>
      <c r="R963" s="68"/>
      <c r="S963" s="68"/>
    </row>
    <row r="964" spans="1:19" ht="15.75" customHeight="1">
      <c r="A964" s="68"/>
      <c r="B964" s="68"/>
      <c r="D964" s="68"/>
      <c r="E964" s="69"/>
      <c r="M964" s="68"/>
      <c r="O964" s="68"/>
      <c r="P964" s="68"/>
      <c r="Q964" s="68"/>
      <c r="R964" s="68"/>
      <c r="S964" s="68"/>
    </row>
    <row r="965" spans="1:19" ht="15.75" customHeight="1">
      <c r="A965" s="68"/>
      <c r="B965" s="68"/>
      <c r="D965" s="68"/>
      <c r="E965" s="69"/>
      <c r="M965" s="68"/>
      <c r="O965" s="68"/>
      <c r="P965" s="68"/>
      <c r="Q965" s="68"/>
      <c r="R965" s="68"/>
      <c r="S965" s="68"/>
    </row>
    <row r="966" spans="1:19" ht="15.75" customHeight="1">
      <c r="A966" s="68"/>
      <c r="B966" s="68"/>
      <c r="D966" s="68"/>
      <c r="E966" s="69"/>
      <c r="M966" s="68"/>
      <c r="O966" s="68"/>
      <c r="P966" s="68"/>
      <c r="Q966" s="68"/>
      <c r="R966" s="68"/>
      <c r="S966" s="68"/>
    </row>
    <row r="967" spans="1:19" ht="15.75" customHeight="1">
      <c r="A967" s="68"/>
      <c r="B967" s="68"/>
      <c r="D967" s="68"/>
      <c r="E967" s="69"/>
      <c r="M967" s="68"/>
      <c r="O967" s="68"/>
      <c r="P967" s="68"/>
      <c r="Q967" s="68"/>
      <c r="R967" s="68"/>
      <c r="S967" s="68"/>
    </row>
    <row r="968" spans="1:19" ht="15.75" customHeight="1">
      <c r="A968" s="68"/>
      <c r="B968" s="68"/>
      <c r="D968" s="68"/>
      <c r="E968" s="69"/>
      <c r="M968" s="68"/>
      <c r="O968" s="68"/>
      <c r="P968" s="68"/>
      <c r="Q968" s="68"/>
      <c r="R968" s="68"/>
      <c r="S968" s="68"/>
    </row>
    <row r="969" spans="1:19" ht="15.75" customHeight="1">
      <c r="A969" s="68"/>
      <c r="B969" s="68"/>
      <c r="D969" s="68"/>
      <c r="E969" s="69"/>
      <c r="M969" s="68"/>
      <c r="O969" s="68"/>
      <c r="P969" s="68"/>
      <c r="Q969" s="68"/>
      <c r="R969" s="68"/>
      <c r="S969" s="68"/>
    </row>
    <row r="970" spans="1:19" ht="15.75" customHeight="1">
      <c r="A970" s="68"/>
      <c r="B970" s="68"/>
      <c r="D970" s="68"/>
      <c r="E970" s="69"/>
      <c r="M970" s="68"/>
      <c r="O970" s="68"/>
      <c r="P970" s="68"/>
      <c r="Q970" s="68"/>
      <c r="R970" s="68"/>
      <c r="S970" s="68"/>
    </row>
    <row r="971" spans="1:19" ht="15.75" customHeight="1">
      <c r="A971" s="68"/>
      <c r="B971" s="68"/>
      <c r="D971" s="68"/>
      <c r="E971" s="69"/>
      <c r="M971" s="68"/>
      <c r="O971" s="68"/>
      <c r="P971" s="68"/>
      <c r="Q971" s="68"/>
      <c r="R971" s="68"/>
      <c r="S971" s="68"/>
    </row>
    <row r="972" spans="1:19" ht="15.75" customHeight="1">
      <c r="A972" s="68"/>
      <c r="B972" s="68"/>
      <c r="D972" s="68"/>
      <c r="E972" s="69"/>
      <c r="M972" s="68"/>
      <c r="O972" s="68"/>
      <c r="P972" s="68"/>
      <c r="Q972" s="68"/>
      <c r="R972" s="68"/>
      <c r="S972" s="68"/>
    </row>
    <row r="973" spans="1:19" ht="15.75" customHeight="1">
      <c r="A973" s="68"/>
      <c r="B973" s="68"/>
      <c r="D973" s="68"/>
      <c r="E973" s="69"/>
      <c r="M973" s="68"/>
      <c r="O973" s="68"/>
      <c r="P973" s="68"/>
      <c r="Q973" s="68"/>
      <c r="R973" s="68"/>
      <c r="S973" s="68"/>
    </row>
    <row r="974" spans="1:19" ht="15.75" customHeight="1">
      <c r="A974" s="68"/>
      <c r="B974" s="68"/>
      <c r="D974" s="68"/>
      <c r="E974" s="69"/>
      <c r="M974" s="68"/>
      <c r="O974" s="68"/>
      <c r="P974" s="68"/>
      <c r="Q974" s="68"/>
      <c r="R974" s="68"/>
      <c r="S974" s="68"/>
    </row>
    <row r="975" spans="1:19" ht="15.75" customHeight="1">
      <c r="A975" s="68"/>
      <c r="B975" s="68"/>
      <c r="D975" s="68"/>
      <c r="E975" s="69"/>
      <c r="M975" s="68"/>
      <c r="O975" s="68"/>
      <c r="P975" s="68"/>
      <c r="Q975" s="68"/>
      <c r="R975" s="68"/>
      <c r="S975" s="68"/>
    </row>
    <row r="976" spans="1:19" ht="15.75" customHeight="1">
      <c r="A976" s="68"/>
      <c r="B976" s="68"/>
      <c r="D976" s="68"/>
      <c r="E976" s="69"/>
      <c r="M976" s="68"/>
      <c r="O976" s="68"/>
      <c r="P976" s="68"/>
      <c r="Q976" s="68"/>
      <c r="R976" s="68"/>
      <c r="S976" s="68"/>
    </row>
    <row r="977" spans="1:19" ht="15.75" customHeight="1">
      <c r="A977" s="68"/>
      <c r="B977" s="68"/>
      <c r="D977" s="68"/>
      <c r="E977" s="69"/>
      <c r="M977" s="68"/>
      <c r="O977" s="68"/>
      <c r="P977" s="68"/>
      <c r="Q977" s="68"/>
      <c r="R977" s="68"/>
      <c r="S977" s="68"/>
    </row>
    <row r="978" spans="1:19" ht="15.75" customHeight="1">
      <c r="A978" s="68"/>
      <c r="B978" s="68"/>
      <c r="D978" s="68"/>
      <c r="E978" s="69"/>
      <c r="M978" s="68"/>
      <c r="O978" s="68"/>
      <c r="P978" s="68"/>
      <c r="Q978" s="68"/>
      <c r="R978" s="68"/>
      <c r="S978" s="68"/>
    </row>
    <row r="979" spans="1:19" ht="15.75" customHeight="1">
      <c r="A979" s="68"/>
      <c r="B979" s="68"/>
      <c r="D979" s="68"/>
      <c r="E979" s="69"/>
      <c r="M979" s="68"/>
      <c r="O979" s="68"/>
      <c r="P979" s="68"/>
      <c r="Q979" s="68"/>
      <c r="R979" s="68"/>
      <c r="S979" s="68"/>
    </row>
    <row r="980" spans="1:19" ht="15.75" customHeight="1">
      <c r="A980" s="68"/>
      <c r="B980" s="68"/>
      <c r="D980" s="68"/>
      <c r="E980" s="69"/>
      <c r="M980" s="68"/>
      <c r="O980" s="68"/>
      <c r="P980" s="68"/>
      <c r="Q980" s="68"/>
      <c r="R980" s="68"/>
      <c r="S980" s="68"/>
    </row>
    <row r="981" spans="1:19" ht="15.75" customHeight="1">
      <c r="A981" s="68"/>
      <c r="B981" s="68"/>
      <c r="D981" s="68"/>
      <c r="E981" s="69"/>
      <c r="M981" s="68"/>
      <c r="O981" s="68"/>
      <c r="P981" s="68"/>
      <c r="Q981" s="68"/>
      <c r="R981" s="68"/>
      <c r="S981" s="68"/>
    </row>
    <row r="982" spans="1:19" ht="15.75" customHeight="1">
      <c r="A982" s="68"/>
      <c r="B982" s="68"/>
      <c r="D982" s="68"/>
      <c r="E982" s="69"/>
      <c r="M982" s="68"/>
      <c r="O982" s="68"/>
      <c r="P982" s="68"/>
      <c r="Q982" s="68"/>
      <c r="R982" s="68"/>
      <c r="S982" s="68"/>
    </row>
    <row r="983" spans="1:19" ht="15.75" customHeight="1">
      <c r="A983" s="68"/>
      <c r="B983" s="68"/>
      <c r="D983" s="68"/>
      <c r="E983" s="69"/>
      <c r="M983" s="68"/>
      <c r="O983" s="68"/>
      <c r="P983" s="68"/>
      <c r="Q983" s="68"/>
      <c r="R983" s="68"/>
      <c r="S983" s="68"/>
    </row>
    <row r="984" spans="1:19" ht="15.75" customHeight="1">
      <c r="A984" s="68"/>
      <c r="B984" s="68"/>
      <c r="D984" s="68"/>
      <c r="E984" s="69"/>
      <c r="M984" s="68"/>
      <c r="O984" s="68"/>
      <c r="P984" s="68"/>
      <c r="Q984" s="68"/>
      <c r="R984" s="68"/>
      <c r="S984" s="68"/>
    </row>
    <row r="985" spans="1:19" ht="15.75" customHeight="1">
      <c r="A985" s="68"/>
      <c r="B985" s="68"/>
      <c r="D985" s="68"/>
      <c r="E985" s="69"/>
      <c r="M985" s="68"/>
      <c r="O985" s="68"/>
      <c r="P985" s="68"/>
      <c r="Q985" s="68"/>
      <c r="R985" s="68"/>
      <c r="S985" s="68"/>
    </row>
    <row r="986" spans="1:19" ht="15.75" customHeight="1">
      <c r="A986" s="68"/>
      <c r="B986" s="68"/>
      <c r="D986" s="68"/>
      <c r="E986" s="69"/>
      <c r="M986" s="68"/>
      <c r="O986" s="68"/>
      <c r="P986" s="68"/>
      <c r="Q986" s="68"/>
      <c r="R986" s="68"/>
      <c r="S986" s="68"/>
    </row>
    <row r="987" spans="1:19" ht="15.75" customHeight="1">
      <c r="A987" s="68"/>
      <c r="B987" s="68"/>
      <c r="D987" s="68"/>
      <c r="E987" s="69"/>
      <c r="M987" s="68"/>
      <c r="O987" s="68"/>
      <c r="P987" s="68"/>
      <c r="Q987" s="68"/>
      <c r="R987" s="68"/>
      <c r="S987" s="68"/>
    </row>
    <row r="988" spans="1:19" ht="15.75" customHeight="1">
      <c r="A988" s="68"/>
      <c r="B988" s="68"/>
      <c r="D988" s="68"/>
      <c r="E988" s="69"/>
      <c r="M988" s="68"/>
      <c r="O988" s="68"/>
      <c r="P988" s="68"/>
      <c r="Q988" s="68"/>
      <c r="R988" s="68"/>
      <c r="S988" s="68"/>
    </row>
    <row r="989" spans="1:19" ht="15.75" customHeight="1">
      <c r="A989" s="68"/>
      <c r="B989" s="68"/>
      <c r="D989" s="68"/>
      <c r="E989" s="69"/>
      <c r="M989" s="68"/>
      <c r="O989" s="68"/>
      <c r="P989" s="68"/>
      <c r="Q989" s="68"/>
      <c r="R989" s="68"/>
      <c r="S989" s="68"/>
    </row>
    <row r="990" spans="1:19" ht="15.75" customHeight="1">
      <c r="A990" s="68"/>
      <c r="B990" s="68"/>
      <c r="D990" s="68"/>
      <c r="E990" s="69"/>
      <c r="M990" s="68"/>
      <c r="O990" s="68"/>
      <c r="P990" s="68"/>
      <c r="Q990" s="68"/>
      <c r="R990" s="68"/>
      <c r="S990" s="68"/>
    </row>
    <row r="991" spans="1:19" ht="15.75" customHeight="1">
      <c r="A991" s="68"/>
      <c r="B991" s="68"/>
      <c r="D991" s="68"/>
      <c r="E991" s="69"/>
      <c r="M991" s="68"/>
      <c r="O991" s="68"/>
      <c r="P991" s="68"/>
      <c r="Q991" s="68"/>
      <c r="R991" s="68"/>
      <c r="S991" s="68"/>
    </row>
    <row r="992" spans="1:19" ht="15.75" customHeight="1">
      <c r="A992" s="68"/>
      <c r="B992" s="68"/>
      <c r="D992" s="68"/>
      <c r="E992" s="69"/>
      <c r="M992" s="68"/>
      <c r="O992" s="68"/>
      <c r="P992" s="68"/>
      <c r="Q992" s="68"/>
      <c r="R992" s="68"/>
      <c r="S992" s="68"/>
    </row>
    <row r="993" spans="1:19" ht="15.75" customHeight="1">
      <c r="A993" s="68"/>
      <c r="B993" s="68"/>
      <c r="D993" s="68"/>
      <c r="E993" s="69"/>
      <c r="M993" s="68"/>
      <c r="O993" s="68"/>
      <c r="P993" s="68"/>
      <c r="Q993" s="68"/>
      <c r="R993" s="68"/>
      <c r="S993" s="68"/>
    </row>
    <row r="994" spans="1:19" ht="15.75" customHeight="1">
      <c r="A994" s="68"/>
      <c r="B994" s="68"/>
      <c r="D994" s="68"/>
      <c r="E994" s="69"/>
      <c r="M994" s="68"/>
      <c r="O994" s="68"/>
      <c r="P994" s="68"/>
      <c r="Q994" s="68"/>
      <c r="R994" s="68"/>
      <c r="S994" s="68"/>
    </row>
    <row r="995" spans="1:19" ht="15.75" customHeight="1">
      <c r="A995" s="68"/>
      <c r="B995" s="68"/>
      <c r="D995" s="68"/>
      <c r="E995" s="69"/>
      <c r="M995" s="68"/>
      <c r="O995" s="68"/>
      <c r="P995" s="68"/>
      <c r="Q995" s="68"/>
      <c r="R995" s="68"/>
      <c r="S995" s="68"/>
    </row>
    <row r="996" spans="1:19" ht="15.75" customHeight="1">
      <c r="A996" s="68"/>
      <c r="B996" s="68"/>
      <c r="D996" s="68"/>
      <c r="E996" s="69"/>
      <c r="M996" s="68"/>
      <c r="O996" s="68"/>
      <c r="P996" s="68"/>
      <c r="Q996" s="68"/>
      <c r="R996" s="68"/>
      <c r="S996" s="68"/>
    </row>
    <row r="997" spans="1:19" ht="15.75" customHeight="1">
      <c r="A997" s="68"/>
      <c r="B997" s="68"/>
      <c r="D997" s="68"/>
      <c r="E997" s="69"/>
      <c r="M997" s="68"/>
      <c r="O997" s="68"/>
      <c r="P997" s="68"/>
      <c r="Q997" s="68"/>
      <c r="R997" s="68"/>
      <c r="S997" s="68"/>
    </row>
    <row r="998" spans="1:19" ht="15.75" customHeight="1">
      <c r="A998" s="68"/>
      <c r="B998" s="68"/>
      <c r="D998" s="68"/>
      <c r="E998" s="69"/>
      <c r="M998" s="68"/>
      <c r="O998" s="68"/>
      <c r="P998" s="68"/>
      <c r="Q998" s="68"/>
      <c r="R998" s="68"/>
      <c r="S998" s="68"/>
    </row>
    <row r="999" spans="1:19" ht="15.75" customHeight="1">
      <c r="A999" s="68"/>
      <c r="B999" s="68"/>
      <c r="D999" s="68"/>
      <c r="E999" s="69"/>
      <c r="M999" s="68"/>
      <c r="O999" s="68"/>
      <c r="P999" s="68"/>
      <c r="Q999" s="68"/>
      <c r="R999" s="68"/>
      <c r="S999" s="68"/>
    </row>
    <row r="1000" spans="1:19" ht="15.75" customHeight="1">
      <c r="A1000" s="68"/>
      <c r="B1000" s="68"/>
      <c r="D1000" s="68"/>
      <c r="E1000" s="69"/>
      <c r="M1000" s="68"/>
      <c r="O1000" s="68"/>
      <c r="P1000" s="68"/>
      <c r="Q1000" s="68"/>
      <c r="R1000" s="68"/>
      <c r="S1000" s="68"/>
    </row>
  </sheetData>
  <mergeCells count="225">
    <mergeCell ref="H220:H222"/>
    <mergeCell ref="A197:A222"/>
    <mergeCell ref="B197:B202"/>
    <mergeCell ref="B203:B222"/>
    <mergeCell ref="D203:D222"/>
    <mergeCell ref="A235:A238"/>
    <mergeCell ref="B235:B238"/>
    <mergeCell ref="A239:A248"/>
    <mergeCell ref="B239:B248"/>
    <mergeCell ref="A223:A234"/>
    <mergeCell ref="B223:B225"/>
    <mergeCell ref="D223:D234"/>
    <mergeCell ref="E223:E225"/>
    <mergeCell ref="B226:B234"/>
    <mergeCell ref="E226:E234"/>
    <mergeCell ref="E240:E241"/>
    <mergeCell ref="E243:E244"/>
    <mergeCell ref="E206:E212"/>
    <mergeCell ref="F206:F211"/>
    <mergeCell ref="G206:G211"/>
    <mergeCell ref="E213:E216"/>
    <mergeCell ref="E217:E218"/>
    <mergeCell ref="E220:E222"/>
    <mergeCell ref="F220:F222"/>
    <mergeCell ref="H190:H191"/>
    <mergeCell ref="H192:H193"/>
    <mergeCell ref="H194:H195"/>
    <mergeCell ref="A187:A195"/>
    <mergeCell ref="B187:B195"/>
    <mergeCell ref="D187:D195"/>
    <mergeCell ref="E187:E189"/>
    <mergeCell ref="F188:F189"/>
    <mergeCell ref="G188:G189"/>
    <mergeCell ref="H172:H173"/>
    <mergeCell ref="H174:H175"/>
    <mergeCell ref="H176:H177"/>
    <mergeCell ref="H180:H182"/>
    <mergeCell ref="F180:F182"/>
    <mergeCell ref="G180:G182"/>
    <mergeCell ref="E178:E179"/>
    <mergeCell ref="F178:F179"/>
    <mergeCell ref="G178:G179"/>
    <mergeCell ref="E180:E182"/>
    <mergeCell ref="A65:A81"/>
    <mergeCell ref="B65:B81"/>
    <mergeCell ref="A82:A95"/>
    <mergeCell ref="B82:B95"/>
    <mergeCell ref="A96:A104"/>
    <mergeCell ref="B96:B104"/>
    <mergeCell ref="A105:A114"/>
    <mergeCell ref="B105:B114"/>
    <mergeCell ref="A115:A120"/>
    <mergeCell ref="B115:B120"/>
    <mergeCell ref="A29:A30"/>
    <mergeCell ref="B29:B30"/>
    <mergeCell ref="A31:A56"/>
    <mergeCell ref="B31:B56"/>
    <mergeCell ref="D31:D56"/>
    <mergeCell ref="A57:A60"/>
    <mergeCell ref="B57:B63"/>
    <mergeCell ref="D57:D63"/>
    <mergeCell ref="A62:A63"/>
    <mergeCell ref="D29:D30"/>
    <mergeCell ref="M270:M272"/>
    <mergeCell ref="E250:E251"/>
    <mergeCell ref="E252:E253"/>
    <mergeCell ref="E254:E255"/>
    <mergeCell ref="E257:E258"/>
    <mergeCell ref="E275:E278"/>
    <mergeCell ref="D82:D95"/>
    <mergeCell ref="D96:D104"/>
    <mergeCell ref="D105:D114"/>
    <mergeCell ref="E129:E130"/>
    <mergeCell ref="F129:F130"/>
    <mergeCell ref="E131:E133"/>
    <mergeCell ref="F131:F133"/>
    <mergeCell ref="E134:E137"/>
    <mergeCell ref="F134:F137"/>
    <mergeCell ref="E125:E128"/>
    <mergeCell ref="E138:E141"/>
    <mergeCell ref="F138:F141"/>
    <mergeCell ref="G138:G141"/>
    <mergeCell ref="E143:E144"/>
    <mergeCell ref="F143:F144"/>
    <mergeCell ref="D134:D147"/>
    <mergeCell ref="E172:E177"/>
    <mergeCell ref="F172:F177"/>
    <mergeCell ref="A273:A294"/>
    <mergeCell ref="B273:B294"/>
    <mergeCell ref="D273:D294"/>
    <mergeCell ref="E273:E274"/>
    <mergeCell ref="E279:E286"/>
    <mergeCell ref="E287:E290"/>
    <mergeCell ref="E291:E294"/>
    <mergeCell ref="D235:D238"/>
    <mergeCell ref="E235:E236"/>
    <mergeCell ref="E237:E238"/>
    <mergeCell ref="D239:D248"/>
    <mergeCell ref="A270:A272"/>
    <mergeCell ref="B270:B272"/>
    <mergeCell ref="D270:D271"/>
    <mergeCell ref="E270:E271"/>
    <mergeCell ref="E246:E248"/>
    <mergeCell ref="A249:A268"/>
    <mergeCell ref="B249:B269"/>
    <mergeCell ref="D249:D269"/>
    <mergeCell ref="E260:E261"/>
    <mergeCell ref="G220:G222"/>
    <mergeCell ref="G170:G171"/>
    <mergeCell ref="E183:E186"/>
    <mergeCell ref="F184:F186"/>
    <mergeCell ref="G184:G186"/>
    <mergeCell ref="F197:F200"/>
    <mergeCell ref="G197:G200"/>
    <mergeCell ref="E203:E205"/>
    <mergeCell ref="F203:F205"/>
    <mergeCell ref="G203:G205"/>
    <mergeCell ref="G172:G177"/>
    <mergeCell ref="E190:E195"/>
    <mergeCell ref="F190:F195"/>
    <mergeCell ref="G190:G195"/>
    <mergeCell ref="A160:A167"/>
    <mergeCell ref="B160:B167"/>
    <mergeCell ref="A169:A186"/>
    <mergeCell ref="B169:B186"/>
    <mergeCell ref="D169:D186"/>
    <mergeCell ref="D197:D202"/>
    <mergeCell ref="E197:E200"/>
    <mergeCell ref="G143:G144"/>
    <mergeCell ref="E145:E147"/>
    <mergeCell ref="F145:F147"/>
    <mergeCell ref="G145:G147"/>
    <mergeCell ref="A121:A147"/>
    <mergeCell ref="F125:F128"/>
    <mergeCell ref="G125:G128"/>
    <mergeCell ref="G129:G130"/>
    <mergeCell ref="G131:G133"/>
    <mergeCell ref="G134:G137"/>
    <mergeCell ref="B121:B147"/>
    <mergeCell ref="A148:A159"/>
    <mergeCell ref="B148:B159"/>
    <mergeCell ref="D148:D159"/>
    <mergeCell ref="D160:D167"/>
    <mergeCell ref="E169:E171"/>
    <mergeCell ref="F170:F171"/>
    <mergeCell ref="D115:D120"/>
    <mergeCell ref="E115:E116"/>
    <mergeCell ref="F115:F116"/>
    <mergeCell ref="F119:F120"/>
    <mergeCell ref="E119:E120"/>
    <mergeCell ref="D121:D133"/>
    <mergeCell ref="E121:E124"/>
    <mergeCell ref="F121:F124"/>
    <mergeCell ref="G121:G124"/>
    <mergeCell ref="E111:E112"/>
    <mergeCell ref="F111:F112"/>
    <mergeCell ref="E107:E108"/>
    <mergeCell ref="F107:F108"/>
    <mergeCell ref="E109:E110"/>
    <mergeCell ref="F109:F110"/>
    <mergeCell ref="E117:E118"/>
    <mergeCell ref="F117:F118"/>
    <mergeCell ref="E113:E114"/>
    <mergeCell ref="F113:F114"/>
    <mergeCell ref="E82:E85"/>
    <mergeCell ref="F83:F85"/>
    <mergeCell ref="G83:G85"/>
    <mergeCell ref="E87:E88"/>
    <mergeCell ref="E89:E90"/>
    <mergeCell ref="E91:E92"/>
    <mergeCell ref="F91:F92"/>
    <mergeCell ref="G91:G92"/>
    <mergeCell ref="E105:E106"/>
    <mergeCell ref="F105:F106"/>
    <mergeCell ref="E93:E94"/>
    <mergeCell ref="F93:F94"/>
    <mergeCell ref="G93:G94"/>
    <mergeCell ref="F96:F104"/>
    <mergeCell ref="G96:G104"/>
    <mergeCell ref="E37:E38"/>
    <mergeCell ref="F37:F38"/>
    <mergeCell ref="G37:G38"/>
    <mergeCell ref="E72:E74"/>
    <mergeCell ref="F72:F74"/>
    <mergeCell ref="E78:E80"/>
    <mergeCell ref="F78:F80"/>
    <mergeCell ref="H78:H80"/>
    <mergeCell ref="D65:D81"/>
    <mergeCell ref="E65:E66"/>
    <mergeCell ref="F65:F66"/>
    <mergeCell ref="G65:G66"/>
    <mergeCell ref="G70:G71"/>
    <mergeCell ref="G72:G74"/>
    <mergeCell ref="G78:G80"/>
    <mergeCell ref="E69:E71"/>
    <mergeCell ref="F70:F71"/>
    <mergeCell ref="E40:E41"/>
    <mergeCell ref="E49:E50"/>
    <mergeCell ref="F49:F50"/>
    <mergeCell ref="G49:G50"/>
    <mergeCell ref="E51:E52"/>
    <mergeCell ref="E54:E56"/>
    <mergeCell ref="F12:F14"/>
    <mergeCell ref="G12:G14"/>
    <mergeCell ref="M17:M28"/>
    <mergeCell ref="F26:F28"/>
    <mergeCell ref="G26:G28"/>
    <mergeCell ref="H26:H28"/>
    <mergeCell ref="A11:A19"/>
    <mergeCell ref="B11:B19"/>
    <mergeCell ref="D11:D19"/>
    <mergeCell ref="E12:E14"/>
    <mergeCell ref="A20:A28"/>
    <mergeCell ref="B20:B28"/>
    <mergeCell ref="D20:D28"/>
    <mergeCell ref="E26:E28"/>
    <mergeCell ref="F4:F6"/>
    <mergeCell ref="G4:G6"/>
    <mergeCell ref="E8:E10"/>
    <mergeCell ref="F8:F10"/>
    <mergeCell ref="G8:G10"/>
    <mergeCell ref="A4:A10"/>
    <mergeCell ref="B4:B10"/>
    <mergeCell ref="D4:D10"/>
    <mergeCell ref="E4:E6"/>
  </mergeCells>
  <conditionalFormatting sqref="I3:J3">
    <cfRule type="cellIs" dxfId="1368" priority="1" stopIfTrue="1" operator="equal">
      <formula>"OK"</formula>
    </cfRule>
  </conditionalFormatting>
  <conditionalFormatting sqref="I3:J3">
    <cfRule type="cellIs" dxfId="1367" priority="2" stopIfTrue="1" operator="equal">
      <formula>"Fail"</formula>
    </cfRule>
  </conditionalFormatting>
  <conditionalFormatting sqref="I3:J3">
    <cfRule type="cellIs" dxfId="1366" priority="3" stopIfTrue="1" operator="equal">
      <formula>"OK"</formula>
    </cfRule>
  </conditionalFormatting>
  <conditionalFormatting sqref="I3:J3">
    <cfRule type="cellIs" dxfId="1365" priority="4" stopIfTrue="1" operator="equal">
      <formula>"Fail"</formula>
    </cfRule>
  </conditionalFormatting>
  <conditionalFormatting sqref="K3:K168 L3:L19 L31:L56 L64 L168 K196:L196">
    <cfRule type="containsText" dxfId="1364" priority="5" operator="containsText" text="NG">
      <formula>NOT(ISERROR(SEARCH(("NG"),(K3))))</formula>
    </cfRule>
  </conditionalFormatting>
  <conditionalFormatting sqref="K3:K168 L3:L19 L31:L56 L64 L168 K196:L196">
    <cfRule type="containsText" dxfId="1363" priority="6" operator="containsText" text="OK">
      <formula>NOT(ISERROR(SEARCH(("OK"),(K3))))</formula>
    </cfRule>
  </conditionalFormatting>
  <conditionalFormatting sqref="I64:J64 I168:J168">
    <cfRule type="cellIs" dxfId="1362" priority="7" stopIfTrue="1" operator="equal">
      <formula>"OK"</formula>
    </cfRule>
  </conditionalFormatting>
  <conditionalFormatting sqref="I64:J64 I168:J168">
    <cfRule type="cellIs" dxfId="1361" priority="8" stopIfTrue="1" operator="equal">
      <formula>"Fail"</formula>
    </cfRule>
  </conditionalFormatting>
  <conditionalFormatting sqref="I64:J64 I168:J168">
    <cfRule type="cellIs" dxfId="1360" priority="9" stopIfTrue="1" operator="equal">
      <formula>"OK"</formula>
    </cfRule>
  </conditionalFormatting>
  <conditionalFormatting sqref="I64:J64 I168:J168">
    <cfRule type="cellIs" dxfId="1359" priority="10" stopIfTrue="1" operator="equal">
      <formula>"Fail"</formula>
    </cfRule>
  </conditionalFormatting>
  <conditionalFormatting sqref="L65:L77 L81:L95">
    <cfRule type="containsText" dxfId="1358" priority="11" operator="containsText" text="NG">
      <formula>NOT(ISERROR(SEARCH(("NG"),(L65))))</formula>
    </cfRule>
  </conditionalFormatting>
  <conditionalFormatting sqref="L65:L77 L81:L95">
    <cfRule type="containsText" dxfId="1357" priority="12" operator="containsText" text="OK">
      <formula>NOT(ISERROR(SEARCH(("OK"),(L65))))</formula>
    </cfRule>
  </conditionalFormatting>
  <conditionalFormatting sqref="L96:L104">
    <cfRule type="containsText" dxfId="1356" priority="13" operator="containsText" text="NG">
      <formula>NOT(ISERROR(SEARCH(("NG"),(L96))))</formula>
    </cfRule>
  </conditionalFormatting>
  <conditionalFormatting sqref="L96:L104">
    <cfRule type="containsText" dxfId="1355" priority="14" operator="containsText" text="OK">
      <formula>NOT(ISERROR(SEARCH(("OK"),(L96))))</formula>
    </cfRule>
  </conditionalFormatting>
  <conditionalFormatting sqref="L121:L147">
    <cfRule type="containsText" dxfId="1354" priority="15" operator="containsText" text="NG">
      <formula>NOT(ISERROR(SEARCH(("NG"),(L121))))</formula>
    </cfRule>
  </conditionalFormatting>
  <conditionalFormatting sqref="L121:L147">
    <cfRule type="containsText" dxfId="1353" priority="16" operator="containsText" text="OK">
      <formula>NOT(ISERROR(SEARCH(("OK"),(L121))))</formula>
    </cfRule>
  </conditionalFormatting>
  <conditionalFormatting sqref="I29:J29">
    <cfRule type="containsText" dxfId="1352" priority="17" operator="containsText" text="NG">
      <formula>NOT(ISERROR(SEARCH(("NG"),(I29))))</formula>
    </cfRule>
  </conditionalFormatting>
  <conditionalFormatting sqref="I29:J29">
    <cfRule type="containsText" dxfId="1351" priority="18" operator="containsText" text="OK">
      <formula>NOT(ISERROR(SEARCH(("OK"),(I29))))</formula>
    </cfRule>
  </conditionalFormatting>
  <conditionalFormatting sqref="L20:L25">
    <cfRule type="containsText" dxfId="1350" priority="19" operator="containsText" text="NG">
      <formula>NOT(ISERROR(SEARCH(("NG"),(L20))))</formula>
    </cfRule>
  </conditionalFormatting>
  <conditionalFormatting sqref="L20:L25">
    <cfRule type="containsText" dxfId="1349" priority="20" operator="containsText" text="OK">
      <formula>NOT(ISERROR(SEARCH(("OK"),(L20))))</formula>
    </cfRule>
  </conditionalFormatting>
  <conditionalFormatting sqref="L29:L30">
    <cfRule type="containsText" dxfId="1348" priority="21" operator="containsText" text="NG">
      <formula>NOT(ISERROR(SEARCH(("NG"),(L29))))</formula>
    </cfRule>
  </conditionalFormatting>
  <conditionalFormatting sqref="L29:L30">
    <cfRule type="containsText" dxfId="1347" priority="22" operator="containsText" text="OK">
      <formula>NOT(ISERROR(SEARCH(("OK"),(L29))))</formula>
    </cfRule>
  </conditionalFormatting>
  <conditionalFormatting sqref="L148:L167">
    <cfRule type="containsText" dxfId="1346" priority="23" operator="containsText" text="NG">
      <formula>NOT(ISERROR(SEARCH(("NG"),(L148))))</formula>
    </cfRule>
  </conditionalFormatting>
  <conditionalFormatting sqref="L148:L167">
    <cfRule type="containsText" dxfId="1345" priority="24" operator="containsText" text="OK">
      <formula>NOT(ISERROR(SEARCH(("OK"),(L148))))</formula>
    </cfRule>
  </conditionalFormatting>
  <conditionalFormatting sqref="L169:L179 L183:L195">
    <cfRule type="containsText" dxfId="1344" priority="25" operator="containsText" text="NG">
      <formula>NOT(ISERROR(SEARCH(("NG"),(L169))))</formula>
    </cfRule>
  </conditionalFormatting>
  <conditionalFormatting sqref="L169:L179 L183:L195">
    <cfRule type="containsText" dxfId="1343" priority="26" operator="containsText" text="OK">
      <formula>NOT(ISERROR(SEARCH(("OK"),(L169))))</formula>
    </cfRule>
  </conditionalFormatting>
  <conditionalFormatting sqref="L57:L63">
    <cfRule type="containsText" dxfId="1342" priority="27" operator="containsText" text="NG">
      <formula>NOT(ISERROR(SEARCH(("NG"),(L57))))</formula>
    </cfRule>
  </conditionalFormatting>
  <conditionalFormatting sqref="L57:L63">
    <cfRule type="containsText" dxfId="1341" priority="28" operator="containsText" text="OK">
      <formula>NOT(ISERROR(SEARCH(("OK"),(L57))))</formula>
    </cfRule>
  </conditionalFormatting>
  <conditionalFormatting sqref="K169:K195">
    <cfRule type="containsText" dxfId="1340" priority="29" operator="containsText" text="NG">
      <formula>NOT(ISERROR(SEARCH(("NG"),(K169))))</formula>
    </cfRule>
  </conditionalFormatting>
  <conditionalFormatting sqref="K169:K195">
    <cfRule type="containsText" dxfId="1339" priority="30" operator="containsText" text="OK">
      <formula>NOT(ISERROR(SEARCH(("OK"),(K169))))</formula>
    </cfRule>
  </conditionalFormatting>
  <conditionalFormatting sqref="I196:J196">
    <cfRule type="cellIs" dxfId="1338" priority="31" stopIfTrue="1" operator="equal">
      <formula>"OK"</formula>
    </cfRule>
  </conditionalFormatting>
  <conditionalFormatting sqref="I196:J196">
    <cfRule type="cellIs" dxfId="1337" priority="32" stopIfTrue="1" operator="equal">
      <formula>"Fail"</formula>
    </cfRule>
  </conditionalFormatting>
  <conditionalFormatting sqref="I196:J196">
    <cfRule type="cellIs" dxfId="1336" priority="33" stopIfTrue="1" operator="equal">
      <formula>"OK"</formula>
    </cfRule>
  </conditionalFormatting>
  <conditionalFormatting sqref="I196:J196">
    <cfRule type="cellIs" dxfId="1335" priority="34" stopIfTrue="1" operator="equal">
      <formula>"Fail"</formula>
    </cfRule>
  </conditionalFormatting>
  <conditionalFormatting sqref="L270">
    <cfRule type="containsText" dxfId="1334" priority="35" operator="containsText" text="NG">
      <formula>NOT(ISERROR(SEARCH(("NG"),(L270))))</formula>
    </cfRule>
  </conditionalFormatting>
  <conditionalFormatting sqref="L270">
    <cfRule type="containsText" dxfId="1333" priority="36" operator="containsText" text="OK">
      <formula>NOT(ISERROR(SEARCH(("OK"),(L270))))</formula>
    </cfRule>
  </conditionalFormatting>
  <conditionalFormatting sqref="L272:L280 L282:L284 L286:L294">
    <cfRule type="containsText" dxfId="1332" priority="37" operator="containsText" text="NG">
      <formula>NOT(ISERROR(SEARCH(("NG"),(L272))))</formula>
    </cfRule>
  </conditionalFormatting>
  <conditionalFormatting sqref="L272:L280 L282:L284 L286:L294">
    <cfRule type="containsText" dxfId="1331" priority="38" operator="containsText" text="OK">
      <formula>NOT(ISERROR(SEARCH(("OK"),(L272))))</formula>
    </cfRule>
  </conditionalFormatting>
  <conditionalFormatting sqref="L271">
    <cfRule type="containsText" dxfId="1330" priority="39" operator="containsText" text="NG">
      <formula>NOT(ISERROR(SEARCH(("NG"),(L271))))</formula>
    </cfRule>
  </conditionalFormatting>
  <conditionalFormatting sqref="L271">
    <cfRule type="containsText" dxfId="1329" priority="40" operator="containsText" text="OK">
      <formula>NOT(ISERROR(SEARCH(("OK"),(L271))))</formula>
    </cfRule>
  </conditionalFormatting>
  <conditionalFormatting sqref="L197:L234">
    <cfRule type="containsText" dxfId="1328" priority="41" operator="containsText" text="NG">
      <formula>NOT(ISERROR(SEARCH(("NG"),(L197))))</formula>
    </cfRule>
  </conditionalFormatting>
  <conditionalFormatting sqref="L197:L234">
    <cfRule type="containsText" dxfId="1327" priority="42" operator="containsText" text="OK">
      <formula>NOT(ISERROR(SEARCH(("OK"),(L197))))</formula>
    </cfRule>
  </conditionalFormatting>
  <conditionalFormatting sqref="K211:K234">
    <cfRule type="containsText" dxfId="1326" priority="43" operator="containsText" text="NG">
      <formula>NOT(ISERROR(SEARCH(("NG"),(K211))))</formula>
    </cfRule>
  </conditionalFormatting>
  <conditionalFormatting sqref="K211:K234">
    <cfRule type="containsText" dxfId="1325" priority="44" operator="containsText" text="OK">
      <formula>NOT(ISERROR(SEARCH(("OK"),(K211))))</formula>
    </cfRule>
  </conditionalFormatting>
  <conditionalFormatting sqref="K235:K238">
    <cfRule type="containsText" dxfId="1324" priority="45" operator="containsText" text="NG">
      <formula>NOT(ISERROR(SEARCH(("NG"),(K235))))</formula>
    </cfRule>
  </conditionalFormatting>
  <conditionalFormatting sqref="K235:K238">
    <cfRule type="containsText" dxfId="1323" priority="46" operator="containsText" text="OK">
      <formula>NOT(ISERROR(SEARCH(("OK"),(K235))))</formula>
    </cfRule>
  </conditionalFormatting>
  <conditionalFormatting sqref="I235:J235">
    <cfRule type="containsText" dxfId="1322" priority="47" operator="containsText" text="NG">
      <formula>NOT(ISERROR(SEARCH(("NG"),(I235))))</formula>
    </cfRule>
  </conditionalFormatting>
  <conditionalFormatting sqref="I235:J235">
    <cfRule type="containsText" dxfId="1321" priority="48" operator="containsText" text="OK">
      <formula>NOT(ISERROR(SEARCH(("OK"),(I235))))</formula>
    </cfRule>
  </conditionalFormatting>
  <conditionalFormatting sqref="L235:L238">
    <cfRule type="containsText" dxfId="1320" priority="49" operator="containsText" text="NG">
      <formula>NOT(ISERROR(SEARCH(("NG"),(L235))))</formula>
    </cfRule>
  </conditionalFormatting>
  <conditionalFormatting sqref="L235:L238">
    <cfRule type="containsText" dxfId="1319" priority="50" operator="containsText" text="OK">
      <formula>NOT(ISERROR(SEARCH(("OK"),(L235))))</formula>
    </cfRule>
  </conditionalFormatting>
  <conditionalFormatting sqref="I237:J237">
    <cfRule type="containsText" dxfId="1318" priority="51" operator="containsText" text="NG">
      <formula>NOT(ISERROR(SEARCH(("NG"),(I237))))</formula>
    </cfRule>
  </conditionalFormatting>
  <conditionalFormatting sqref="I237:J237">
    <cfRule type="containsText" dxfId="1317" priority="52" operator="containsText" text="OK">
      <formula>NOT(ISERROR(SEARCH(("OK"),(I237))))</formula>
    </cfRule>
  </conditionalFormatting>
  <conditionalFormatting sqref="K239:K242">
    <cfRule type="containsText" dxfId="1316" priority="53" operator="containsText" text="NG">
      <formula>NOT(ISERROR(SEARCH(("NG"),(K239))))</formula>
    </cfRule>
  </conditionalFormatting>
  <conditionalFormatting sqref="K239:K242">
    <cfRule type="containsText" dxfId="1315" priority="54" operator="containsText" text="OK">
      <formula>NOT(ISERROR(SEARCH(("OK"),(K239))))</formula>
    </cfRule>
  </conditionalFormatting>
  <conditionalFormatting sqref="L239:L242">
    <cfRule type="containsText" dxfId="1314" priority="55" operator="containsText" text="NG">
      <formula>NOT(ISERROR(SEARCH(("NG"),(L239))))</formula>
    </cfRule>
  </conditionalFormatting>
  <conditionalFormatting sqref="L239:L242">
    <cfRule type="containsText" dxfId="1313" priority="56" operator="containsText" text="OK">
      <formula>NOT(ISERROR(SEARCH(("OK"),(L239))))</formula>
    </cfRule>
  </conditionalFormatting>
  <conditionalFormatting sqref="K243:K246">
    <cfRule type="containsText" dxfId="1312" priority="57" operator="containsText" text="NG">
      <formula>NOT(ISERROR(SEARCH(("NG"),(K243))))</formula>
    </cfRule>
  </conditionalFormatting>
  <conditionalFormatting sqref="K243:K246">
    <cfRule type="containsText" dxfId="1311" priority="58" operator="containsText" text="OK">
      <formula>NOT(ISERROR(SEARCH(("OK"),(K243))))</formula>
    </cfRule>
  </conditionalFormatting>
  <conditionalFormatting sqref="L243:L246">
    <cfRule type="containsText" dxfId="1310" priority="59" operator="containsText" text="NG">
      <formula>NOT(ISERROR(SEARCH(("NG"),(L243))))</formula>
    </cfRule>
  </conditionalFormatting>
  <conditionalFormatting sqref="L243:L246">
    <cfRule type="containsText" dxfId="1309" priority="60" operator="containsText" text="OK">
      <formula>NOT(ISERROR(SEARCH(("OK"),(L243))))</formula>
    </cfRule>
  </conditionalFormatting>
  <conditionalFormatting sqref="K247:K248">
    <cfRule type="containsText" dxfId="1308" priority="61" operator="containsText" text="NG">
      <formula>NOT(ISERROR(SEARCH(("NG"),(K247))))</formula>
    </cfRule>
  </conditionalFormatting>
  <conditionalFormatting sqref="K247:K248">
    <cfRule type="containsText" dxfId="1307" priority="62" operator="containsText" text="OK">
      <formula>NOT(ISERROR(SEARCH(("OK"),(K247))))</formula>
    </cfRule>
  </conditionalFormatting>
  <conditionalFormatting sqref="L247:L248">
    <cfRule type="containsText" dxfId="1306" priority="63" operator="containsText" text="NG">
      <formula>NOT(ISERROR(SEARCH(("NG"),(L247))))</formula>
    </cfRule>
  </conditionalFormatting>
  <conditionalFormatting sqref="L247:L248">
    <cfRule type="containsText" dxfId="1305" priority="64" operator="containsText" text="OK">
      <formula>NOT(ISERROR(SEARCH(("OK"),(L247))))</formula>
    </cfRule>
  </conditionalFormatting>
  <conditionalFormatting sqref="K249:K263">
    <cfRule type="containsText" dxfId="1304" priority="65" operator="containsText" text="NG">
      <formula>NOT(ISERROR(SEARCH(("NG"),(K249))))</formula>
    </cfRule>
  </conditionalFormatting>
  <conditionalFormatting sqref="K249:K263">
    <cfRule type="containsText" dxfId="1303" priority="66" operator="containsText" text="OK">
      <formula>NOT(ISERROR(SEARCH(("OK"),(K249))))</formula>
    </cfRule>
  </conditionalFormatting>
  <conditionalFormatting sqref="L249:L263">
    <cfRule type="containsText" dxfId="1302" priority="67" operator="containsText" text="NG">
      <formula>NOT(ISERROR(SEARCH(("NG"),(L249))))</formula>
    </cfRule>
  </conditionalFormatting>
  <conditionalFormatting sqref="L249:L263">
    <cfRule type="containsText" dxfId="1301" priority="68" operator="containsText" text="OK">
      <formula>NOT(ISERROR(SEARCH(("OK"),(L249))))</formula>
    </cfRule>
  </conditionalFormatting>
  <conditionalFormatting sqref="K264:K280 K282:K284 K286:K294">
    <cfRule type="containsText" dxfId="1300" priority="69" operator="containsText" text="NG">
      <formula>NOT(ISERROR(SEARCH(("NG"),(K264))))</formula>
    </cfRule>
  </conditionalFormatting>
  <conditionalFormatting sqref="K264:K280 K282:K284 K286:K294">
    <cfRule type="containsText" dxfId="1299" priority="70" operator="containsText" text="OK">
      <formula>NOT(ISERROR(SEARCH(("OK"),(K264))))</formula>
    </cfRule>
  </conditionalFormatting>
  <conditionalFormatting sqref="L281">
    <cfRule type="containsText" dxfId="1298" priority="71" operator="containsText" text="NG">
      <formula>NOT(ISERROR(SEARCH(("NG"),(L281))))</formula>
    </cfRule>
  </conditionalFormatting>
  <conditionalFormatting sqref="L281">
    <cfRule type="containsText" dxfId="1297" priority="72" operator="containsText" text="OK">
      <formula>NOT(ISERROR(SEARCH(("OK"),(L281))))</formula>
    </cfRule>
  </conditionalFormatting>
  <conditionalFormatting sqref="K281">
    <cfRule type="containsText" dxfId="1296" priority="73" operator="containsText" text="NG">
      <formula>NOT(ISERROR(SEARCH(("NG"),(K281))))</formula>
    </cfRule>
  </conditionalFormatting>
  <conditionalFormatting sqref="K281">
    <cfRule type="containsText" dxfId="1295" priority="74" operator="containsText" text="OK">
      <formula>NOT(ISERROR(SEARCH(("OK"),(K281))))</formula>
    </cfRule>
  </conditionalFormatting>
  <conditionalFormatting sqref="L285">
    <cfRule type="containsText" dxfId="1294" priority="75" operator="containsText" text="NG">
      <formula>NOT(ISERROR(SEARCH(("NG"),(L285))))</formula>
    </cfRule>
  </conditionalFormatting>
  <conditionalFormatting sqref="L285">
    <cfRule type="containsText" dxfId="1293" priority="76" operator="containsText" text="OK">
      <formula>NOT(ISERROR(SEARCH(("OK"),(L285))))</formula>
    </cfRule>
  </conditionalFormatting>
  <conditionalFormatting sqref="K285">
    <cfRule type="containsText" dxfId="1292" priority="77" operator="containsText" text="NG">
      <formula>NOT(ISERROR(SEARCH(("NG"),(K285))))</formula>
    </cfRule>
  </conditionalFormatting>
  <conditionalFormatting sqref="K285">
    <cfRule type="containsText" dxfId="1291" priority="78" operator="containsText" text="OK">
      <formula>NOT(ISERROR(SEARCH(("OK"),(K285))))</formula>
    </cfRule>
  </conditionalFormatting>
  <conditionalFormatting sqref="K197:K210">
    <cfRule type="containsText" dxfId="1290" priority="79" operator="containsText" text="NG">
      <formula>NOT(ISERROR(SEARCH(("NG"),(K197))))</formula>
    </cfRule>
  </conditionalFormatting>
  <conditionalFormatting sqref="K197:K210">
    <cfRule type="containsText" dxfId="1289" priority="80" operator="containsText" text="OK">
      <formula>NOT(ISERROR(SEARCH(("OK"),(K197))))</formula>
    </cfRule>
  </conditionalFormatting>
  <dataValidations count="2">
    <dataValidation type="list" allowBlank="1" showErrorMessage="1" sqref="O4:P7 O8:O15 O16:P63 O65:P115 O121:P167 O169:P171 O172:O177 O178:P195 O197:O222 O223:P263 O270:P294">
      <formula1>"필수,중요,선택"</formula1>
    </dataValidation>
    <dataValidation type="list" allowBlank="1" showErrorMessage="1" sqref="K4:L294">
      <formula1>"Pass,Fail,NA"</formula1>
    </dataValidation>
  </dataValidations>
  <pageMargins left="0.7" right="0.7" top="0.75" bottom="0.75" header="0" footer="0"/>
  <pageSetup paperSize="9" scale="1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55A11"/>
  </sheetPr>
  <dimension ref="A1:AA1000"/>
  <sheetViews>
    <sheetView topLeftCell="H1" workbookViewId="0">
      <pane ySplit="2" topLeftCell="A3" activePane="bottomLeft" state="frozen"/>
      <selection pane="bottomLeft" activeCell="J3" sqref="J3"/>
    </sheetView>
  </sheetViews>
  <sheetFormatPr defaultColWidth="14.42578125" defaultRowHeight="15" customHeight="1"/>
  <cols>
    <col min="1" max="1" width="55.85546875" customWidth="1"/>
    <col min="2" max="3" width="9" customWidth="1"/>
    <col min="4" max="5" width="43.28515625" customWidth="1"/>
    <col min="6" max="7" width="5.42578125" customWidth="1"/>
    <col min="8" max="8" width="68.7109375" customWidth="1"/>
    <col min="9" max="9" width="74.7109375" customWidth="1"/>
    <col min="10" max="10" width="53.85546875" style="326" customWidth="1"/>
    <col min="11" max="11" width="10.5703125" customWidth="1"/>
    <col min="12" max="12" width="15.28515625" customWidth="1"/>
    <col min="13" max="13" width="16" customWidth="1"/>
    <col min="14" max="15" width="9" customWidth="1"/>
    <col min="16" max="17" width="7.42578125" customWidth="1"/>
    <col min="18" max="18" width="18.7109375" customWidth="1"/>
    <col min="19" max="19" width="7.42578125" customWidth="1"/>
    <col min="20" max="27" width="9" customWidth="1"/>
  </cols>
  <sheetData>
    <row r="1" spans="1:27" ht="39.75" customHeight="1">
      <c r="A1" s="8"/>
      <c r="B1" s="11" t="str">
        <f t="array" ref="B1">"HU_"&amp;TEXT(MAX(IFERROR(--MID($B$2:$B$5003,5,3),0)),"000")</f>
        <v>HU_049</v>
      </c>
      <c r="C1" s="3"/>
      <c r="D1" s="8"/>
      <c r="E1" s="9"/>
      <c r="F1" s="3"/>
      <c r="G1" s="3"/>
      <c r="H1" s="7"/>
      <c r="I1" s="7"/>
      <c r="J1" s="10"/>
      <c r="K1" s="3"/>
      <c r="L1" s="3"/>
      <c r="M1" s="11"/>
      <c r="N1" s="3"/>
      <c r="O1" s="11"/>
      <c r="P1" s="11"/>
      <c r="Q1" s="11"/>
      <c r="R1" s="11"/>
      <c r="S1" s="11"/>
    </row>
    <row r="2" spans="1:27" ht="39" customHeight="1">
      <c r="A2" s="12" t="s">
        <v>309</v>
      </c>
      <c r="B2" s="70" t="s">
        <v>310</v>
      </c>
      <c r="C2" s="70" t="s">
        <v>311</v>
      </c>
      <c r="D2" s="12" t="s">
        <v>312</v>
      </c>
      <c r="E2" s="12" t="s">
        <v>313</v>
      </c>
      <c r="F2" s="70" t="s">
        <v>314</v>
      </c>
      <c r="G2" s="70" t="s">
        <v>315</v>
      </c>
      <c r="H2" s="12" t="s">
        <v>316</v>
      </c>
      <c r="I2" s="12" t="s">
        <v>317</v>
      </c>
      <c r="J2" s="70" t="s">
        <v>7999</v>
      </c>
      <c r="K2" s="70" t="s">
        <v>291</v>
      </c>
      <c r="L2" s="70" t="s">
        <v>318</v>
      </c>
      <c r="M2" s="70" t="s">
        <v>293</v>
      </c>
      <c r="N2" s="13"/>
      <c r="O2" s="70" t="s">
        <v>319</v>
      </c>
      <c r="P2" s="70" t="s">
        <v>320</v>
      </c>
      <c r="Q2" s="70" t="s">
        <v>321</v>
      </c>
      <c r="R2" s="70" t="s">
        <v>1</v>
      </c>
      <c r="S2" s="70" t="s">
        <v>322</v>
      </c>
      <c r="T2" s="14"/>
      <c r="U2" s="14"/>
      <c r="V2" s="14"/>
      <c r="W2" s="14"/>
      <c r="X2" s="14"/>
      <c r="Y2" s="14"/>
      <c r="Z2" s="14"/>
      <c r="AA2" s="14"/>
    </row>
    <row r="3" spans="1:27" ht="18.75">
      <c r="A3" s="15" t="s">
        <v>1432</v>
      </c>
      <c r="B3" s="16"/>
      <c r="C3" s="16"/>
      <c r="D3" s="17"/>
      <c r="E3" s="18"/>
      <c r="F3" s="19"/>
      <c r="G3" s="19"/>
      <c r="H3" s="17"/>
      <c r="I3" s="20"/>
      <c r="J3" s="20"/>
      <c r="K3" s="16"/>
      <c r="L3" s="16"/>
      <c r="M3" s="71"/>
      <c r="N3" s="3"/>
      <c r="O3" s="16"/>
      <c r="P3" s="16"/>
      <c r="Q3" s="16"/>
      <c r="R3" s="16"/>
      <c r="S3" s="16"/>
    </row>
    <row r="4" spans="1:27" ht="90">
      <c r="A4" s="355" t="s">
        <v>1433</v>
      </c>
      <c r="B4" s="350" t="s">
        <v>115</v>
      </c>
      <c r="C4" s="46">
        <v>1</v>
      </c>
      <c r="D4" s="364" t="s">
        <v>1434</v>
      </c>
      <c r="E4" s="35" t="s">
        <v>1435</v>
      </c>
      <c r="F4" s="74" t="s">
        <v>361</v>
      </c>
      <c r="G4" s="74" t="s">
        <v>327</v>
      </c>
      <c r="H4" s="35" t="s">
        <v>1436</v>
      </c>
      <c r="I4" s="35" t="s">
        <v>1437</v>
      </c>
      <c r="J4" s="172"/>
      <c r="K4" s="25"/>
      <c r="L4" s="25"/>
      <c r="M4" s="43"/>
      <c r="N4" s="55"/>
      <c r="O4" s="28" t="s">
        <v>140</v>
      </c>
      <c r="P4" s="28"/>
      <c r="Q4" s="50" t="s">
        <v>282</v>
      </c>
      <c r="R4" s="25"/>
      <c r="S4" s="50"/>
      <c r="T4" s="30"/>
      <c r="U4" s="30"/>
      <c r="V4" s="30"/>
      <c r="W4" s="30"/>
      <c r="X4" s="30"/>
      <c r="Y4" s="30"/>
      <c r="Z4" s="30"/>
      <c r="AA4" s="30"/>
    </row>
    <row r="5" spans="1:27" ht="45">
      <c r="A5" s="344"/>
      <c r="B5" s="344"/>
      <c r="C5" s="46">
        <v>2</v>
      </c>
      <c r="D5" s="344"/>
      <c r="E5" s="35" t="s">
        <v>1438</v>
      </c>
      <c r="F5" s="46" t="s">
        <v>361</v>
      </c>
      <c r="G5" s="46" t="s">
        <v>327</v>
      </c>
      <c r="H5" s="35" t="s">
        <v>1439</v>
      </c>
      <c r="I5" s="35" t="s">
        <v>1440</v>
      </c>
      <c r="J5" s="172"/>
      <c r="K5" s="25" t="s">
        <v>294</v>
      </c>
      <c r="L5" s="25"/>
      <c r="M5" s="43"/>
      <c r="N5" s="55"/>
      <c r="O5" s="28" t="s">
        <v>140</v>
      </c>
      <c r="P5" s="28"/>
      <c r="Q5" s="50" t="s">
        <v>140</v>
      </c>
      <c r="R5" s="25"/>
      <c r="S5" s="50"/>
      <c r="T5" s="65"/>
      <c r="U5" s="65"/>
      <c r="V5" s="65"/>
      <c r="W5" s="65"/>
      <c r="X5" s="65"/>
      <c r="Y5" s="65"/>
      <c r="Z5" s="65"/>
      <c r="AA5" s="65"/>
    </row>
    <row r="6" spans="1:27" ht="45">
      <c r="A6" s="344"/>
      <c r="B6" s="344"/>
      <c r="C6" s="46">
        <v>3</v>
      </c>
      <c r="D6" s="344"/>
      <c r="E6" s="35" t="s">
        <v>1441</v>
      </c>
      <c r="F6" s="46" t="s">
        <v>361</v>
      </c>
      <c r="G6" s="46" t="s">
        <v>327</v>
      </c>
      <c r="H6" s="35" t="s">
        <v>1442</v>
      </c>
      <c r="I6" s="35" t="s">
        <v>1443</v>
      </c>
      <c r="J6" s="172"/>
      <c r="K6" s="25" t="s">
        <v>294</v>
      </c>
      <c r="L6" s="25"/>
      <c r="M6" s="43"/>
      <c r="N6" s="55"/>
      <c r="O6" s="28" t="s">
        <v>140</v>
      </c>
      <c r="P6" s="28"/>
      <c r="Q6" s="50" t="s">
        <v>140</v>
      </c>
      <c r="R6" s="25"/>
      <c r="S6" s="50"/>
      <c r="T6" s="65"/>
      <c r="U6" s="65"/>
      <c r="V6" s="65"/>
      <c r="W6" s="65"/>
      <c r="X6" s="65"/>
      <c r="Y6" s="65"/>
      <c r="Z6" s="65"/>
      <c r="AA6" s="65"/>
    </row>
    <row r="7" spans="1:27" ht="30">
      <c r="A7" s="344"/>
      <c r="B7" s="344"/>
      <c r="C7" s="46">
        <v>4</v>
      </c>
      <c r="D7" s="344"/>
      <c r="E7" s="35" t="s">
        <v>1444</v>
      </c>
      <c r="F7" s="46" t="s">
        <v>361</v>
      </c>
      <c r="G7" s="46" t="s">
        <v>327</v>
      </c>
      <c r="H7" s="35" t="s">
        <v>1445</v>
      </c>
      <c r="I7" s="35" t="s">
        <v>1446</v>
      </c>
      <c r="J7" s="172"/>
      <c r="K7" s="25" t="s">
        <v>294</v>
      </c>
      <c r="L7" s="25"/>
      <c r="M7" s="43"/>
      <c r="N7" s="55"/>
      <c r="O7" s="28" t="s">
        <v>140</v>
      </c>
      <c r="P7" s="28"/>
      <c r="Q7" s="50" t="s">
        <v>140</v>
      </c>
      <c r="R7" s="25"/>
      <c r="S7" s="50"/>
      <c r="T7" s="65"/>
      <c r="U7" s="65"/>
      <c r="V7" s="65"/>
      <c r="W7" s="65"/>
      <c r="X7" s="65"/>
      <c r="Y7" s="65"/>
      <c r="Z7" s="65"/>
      <c r="AA7" s="65"/>
    </row>
    <row r="8" spans="1:27" ht="30">
      <c r="A8" s="344"/>
      <c r="B8" s="344"/>
      <c r="C8" s="46">
        <v>5</v>
      </c>
      <c r="D8" s="344"/>
      <c r="E8" s="365" t="s">
        <v>1447</v>
      </c>
      <c r="F8" s="371" t="s">
        <v>361</v>
      </c>
      <c r="G8" s="371" t="s">
        <v>327</v>
      </c>
      <c r="H8" s="365" t="s">
        <v>1448</v>
      </c>
      <c r="I8" s="35" t="s">
        <v>1449</v>
      </c>
      <c r="J8" s="172"/>
      <c r="K8" s="25"/>
      <c r="L8" s="25"/>
      <c r="M8" s="43"/>
      <c r="N8" s="55"/>
      <c r="O8" s="28" t="s">
        <v>140</v>
      </c>
      <c r="P8" s="28"/>
      <c r="Q8" s="50" t="s">
        <v>282</v>
      </c>
      <c r="R8" s="25"/>
      <c r="S8" s="50"/>
      <c r="T8" s="65"/>
      <c r="U8" s="65"/>
      <c r="V8" s="65"/>
      <c r="W8" s="65"/>
      <c r="X8" s="65"/>
      <c r="Y8" s="65"/>
      <c r="Z8" s="65"/>
      <c r="AA8" s="65"/>
    </row>
    <row r="9" spans="1:27" ht="30">
      <c r="A9" s="344"/>
      <c r="B9" s="344"/>
      <c r="C9" s="46">
        <v>6</v>
      </c>
      <c r="D9" s="344"/>
      <c r="E9" s="344"/>
      <c r="F9" s="344"/>
      <c r="G9" s="344"/>
      <c r="H9" s="344"/>
      <c r="I9" s="35" t="s">
        <v>1450</v>
      </c>
      <c r="J9" s="172"/>
      <c r="K9" s="25"/>
      <c r="L9" s="25"/>
      <c r="M9" s="43"/>
      <c r="N9" s="55"/>
      <c r="O9" s="28" t="s">
        <v>140</v>
      </c>
      <c r="P9" s="28"/>
      <c r="Q9" s="50" t="s">
        <v>282</v>
      </c>
      <c r="R9" s="25"/>
      <c r="S9" s="50"/>
      <c r="T9" s="65"/>
      <c r="U9" s="65"/>
      <c r="V9" s="65"/>
      <c r="W9" s="65"/>
      <c r="X9" s="65"/>
      <c r="Y9" s="65"/>
      <c r="Z9" s="65"/>
      <c r="AA9" s="65"/>
    </row>
    <row r="10" spans="1:27" ht="15.75">
      <c r="A10" s="344"/>
      <c r="B10" s="344"/>
      <c r="C10" s="46">
        <v>7</v>
      </c>
      <c r="D10" s="344"/>
      <c r="E10" s="345"/>
      <c r="F10" s="345"/>
      <c r="G10" s="345"/>
      <c r="H10" s="345"/>
      <c r="I10" s="35" t="s">
        <v>1451</v>
      </c>
      <c r="J10" s="172"/>
      <c r="K10" s="25"/>
      <c r="L10" s="25"/>
      <c r="M10" s="43"/>
      <c r="N10" s="55"/>
      <c r="O10" s="28" t="s">
        <v>140</v>
      </c>
      <c r="P10" s="28"/>
      <c r="Q10" s="50" t="s">
        <v>282</v>
      </c>
      <c r="R10" s="25"/>
      <c r="S10" s="50"/>
      <c r="T10" s="65"/>
      <c r="U10" s="65"/>
      <c r="V10" s="65"/>
      <c r="W10" s="65"/>
      <c r="X10" s="65"/>
      <c r="Y10" s="65"/>
      <c r="Z10" s="65"/>
      <c r="AA10" s="65"/>
    </row>
    <row r="11" spans="1:27" ht="45">
      <c r="A11" s="344"/>
      <c r="B11" s="344"/>
      <c r="C11" s="46">
        <v>8</v>
      </c>
      <c r="D11" s="344"/>
      <c r="E11" s="35" t="s">
        <v>1452</v>
      </c>
      <c r="F11" s="46" t="s">
        <v>361</v>
      </c>
      <c r="G11" s="46" t="s">
        <v>327</v>
      </c>
      <c r="H11" s="35" t="s">
        <v>1453</v>
      </c>
      <c r="I11" s="35" t="s">
        <v>1454</v>
      </c>
      <c r="J11" s="172"/>
      <c r="K11" s="25" t="s">
        <v>294</v>
      </c>
      <c r="L11" s="25"/>
      <c r="M11" s="43"/>
      <c r="N11" s="55"/>
      <c r="O11" s="28"/>
      <c r="P11" s="28"/>
      <c r="Q11" s="50" t="s">
        <v>140</v>
      </c>
      <c r="R11" s="25"/>
      <c r="S11" s="50"/>
      <c r="T11" s="65"/>
      <c r="U11" s="65"/>
      <c r="V11" s="65"/>
      <c r="W11" s="65"/>
      <c r="X11" s="65"/>
      <c r="Y11" s="65"/>
      <c r="Z11" s="65"/>
      <c r="AA11" s="65"/>
    </row>
    <row r="12" spans="1:27" ht="30">
      <c r="A12" s="344"/>
      <c r="B12" s="344"/>
      <c r="C12" s="46">
        <v>9</v>
      </c>
      <c r="D12" s="344"/>
      <c r="E12" s="365" t="s">
        <v>1455</v>
      </c>
      <c r="F12" s="371" t="s">
        <v>361</v>
      </c>
      <c r="G12" s="371" t="s">
        <v>524</v>
      </c>
      <c r="H12" s="365" t="s">
        <v>1456</v>
      </c>
      <c r="I12" s="35" t="s">
        <v>1457</v>
      </c>
      <c r="J12" s="172"/>
      <c r="K12" s="25" t="s">
        <v>294</v>
      </c>
      <c r="L12" s="25"/>
      <c r="M12" s="43"/>
      <c r="N12" s="55"/>
      <c r="O12" s="28"/>
      <c r="P12" s="28"/>
      <c r="Q12" s="50" t="s">
        <v>140</v>
      </c>
      <c r="R12" s="25"/>
      <c r="S12" s="50"/>
      <c r="T12" s="65"/>
      <c r="U12" s="65"/>
      <c r="V12" s="65"/>
      <c r="W12" s="65"/>
      <c r="X12" s="65"/>
      <c r="Y12" s="65"/>
      <c r="Z12" s="65"/>
      <c r="AA12" s="65"/>
    </row>
    <row r="13" spans="1:27" ht="30">
      <c r="A13" s="344"/>
      <c r="B13" s="344"/>
      <c r="C13" s="46">
        <v>10</v>
      </c>
      <c r="D13" s="344"/>
      <c r="E13" s="345"/>
      <c r="F13" s="345"/>
      <c r="G13" s="345"/>
      <c r="H13" s="345"/>
      <c r="I13" s="35" t="s">
        <v>1458</v>
      </c>
      <c r="J13" s="172"/>
      <c r="K13" s="25" t="s">
        <v>294</v>
      </c>
      <c r="L13" s="25"/>
      <c r="M13" s="43"/>
      <c r="N13" s="55"/>
      <c r="O13" s="28"/>
      <c r="P13" s="28"/>
      <c r="Q13" s="50" t="s">
        <v>140</v>
      </c>
      <c r="R13" s="25"/>
      <c r="S13" s="50"/>
      <c r="T13" s="65"/>
      <c r="U13" s="65"/>
      <c r="V13" s="65"/>
      <c r="W13" s="65"/>
      <c r="X13" s="65"/>
      <c r="Y13" s="65"/>
      <c r="Z13" s="65"/>
      <c r="AA13" s="65"/>
    </row>
    <row r="14" spans="1:27" ht="60">
      <c r="A14" s="344"/>
      <c r="B14" s="344"/>
      <c r="C14" s="46">
        <v>11</v>
      </c>
      <c r="D14" s="344"/>
      <c r="E14" s="365" t="s">
        <v>1459</v>
      </c>
      <c r="F14" s="371" t="s">
        <v>361</v>
      </c>
      <c r="G14" s="371" t="s">
        <v>327</v>
      </c>
      <c r="H14" s="35" t="s">
        <v>1460</v>
      </c>
      <c r="I14" s="35" t="s">
        <v>1461</v>
      </c>
      <c r="J14" s="172"/>
      <c r="K14" s="25"/>
      <c r="L14" s="25"/>
      <c r="M14" s="377" t="s">
        <v>1462</v>
      </c>
      <c r="N14" s="55"/>
      <c r="O14" s="28"/>
      <c r="P14" s="28"/>
      <c r="Q14" s="50" t="s">
        <v>282</v>
      </c>
      <c r="R14" s="25"/>
      <c r="S14" s="50" t="s">
        <v>140</v>
      </c>
      <c r="T14" s="65"/>
      <c r="U14" s="65"/>
      <c r="V14" s="65"/>
      <c r="W14" s="65"/>
      <c r="X14" s="65"/>
      <c r="Y14" s="65"/>
      <c r="Z14" s="65"/>
      <c r="AA14" s="65"/>
    </row>
    <row r="15" spans="1:27" ht="45">
      <c r="A15" s="344"/>
      <c r="B15" s="344"/>
      <c r="C15" s="46">
        <v>12</v>
      </c>
      <c r="D15" s="344"/>
      <c r="E15" s="345"/>
      <c r="F15" s="345"/>
      <c r="G15" s="345"/>
      <c r="H15" s="35" t="s">
        <v>1463</v>
      </c>
      <c r="I15" s="35" t="s">
        <v>1464</v>
      </c>
      <c r="J15" s="172"/>
      <c r="K15" s="25"/>
      <c r="L15" s="25"/>
      <c r="M15" s="344"/>
      <c r="N15" s="55"/>
      <c r="O15" s="28"/>
      <c r="P15" s="28"/>
      <c r="Q15" s="50" t="s">
        <v>282</v>
      </c>
      <c r="R15" s="25"/>
      <c r="S15" s="50" t="s">
        <v>140</v>
      </c>
      <c r="T15" s="65"/>
      <c r="U15" s="65"/>
      <c r="V15" s="65"/>
      <c r="W15" s="65"/>
      <c r="X15" s="65"/>
      <c r="Y15" s="65"/>
      <c r="Z15" s="65"/>
      <c r="AA15" s="65"/>
    </row>
    <row r="16" spans="1:27" ht="49.5" customHeight="1">
      <c r="A16" s="344"/>
      <c r="B16" s="344"/>
      <c r="C16" s="46">
        <v>13</v>
      </c>
      <c r="D16" s="344"/>
      <c r="E16" s="365" t="s">
        <v>1465</v>
      </c>
      <c r="F16" s="371" t="s">
        <v>361</v>
      </c>
      <c r="G16" s="46" t="s">
        <v>524</v>
      </c>
      <c r="H16" s="35" t="s">
        <v>1466</v>
      </c>
      <c r="I16" s="35" t="s">
        <v>1467</v>
      </c>
      <c r="J16" s="172"/>
      <c r="K16" s="25" t="s">
        <v>294</v>
      </c>
      <c r="L16" s="25"/>
      <c r="M16" s="344"/>
      <c r="N16" s="55"/>
      <c r="O16" s="28"/>
      <c r="P16" s="28"/>
      <c r="Q16" s="50" t="s">
        <v>140</v>
      </c>
      <c r="R16" s="25"/>
      <c r="S16" s="50" t="s">
        <v>140</v>
      </c>
      <c r="T16" s="65"/>
      <c r="U16" s="65"/>
      <c r="V16" s="65"/>
      <c r="W16" s="65"/>
      <c r="X16" s="65"/>
      <c r="Y16" s="65"/>
      <c r="Z16" s="65"/>
      <c r="AA16" s="65"/>
    </row>
    <row r="17" spans="1:27" ht="45">
      <c r="A17" s="344"/>
      <c r="B17" s="344"/>
      <c r="C17" s="46">
        <v>14</v>
      </c>
      <c r="D17" s="344"/>
      <c r="E17" s="344"/>
      <c r="F17" s="344"/>
      <c r="G17" s="371" t="s">
        <v>327</v>
      </c>
      <c r="H17" s="35" t="s">
        <v>1468</v>
      </c>
      <c r="I17" s="35" t="s">
        <v>1469</v>
      </c>
      <c r="J17" s="172"/>
      <c r="K17" s="25" t="s">
        <v>294</v>
      </c>
      <c r="L17" s="25"/>
      <c r="M17" s="344"/>
      <c r="N17" s="55"/>
      <c r="O17" s="28"/>
      <c r="P17" s="28"/>
      <c r="Q17" s="50" t="s">
        <v>140</v>
      </c>
      <c r="R17" s="25"/>
      <c r="S17" s="50" t="s">
        <v>140</v>
      </c>
      <c r="T17" s="65"/>
      <c r="U17" s="65"/>
      <c r="V17" s="65"/>
      <c r="W17" s="65"/>
      <c r="X17" s="65"/>
      <c r="Y17" s="65"/>
      <c r="Z17" s="65"/>
      <c r="AA17" s="65"/>
    </row>
    <row r="18" spans="1:27" ht="45">
      <c r="A18" s="344"/>
      <c r="B18" s="344"/>
      <c r="C18" s="46">
        <v>15</v>
      </c>
      <c r="D18" s="344"/>
      <c r="E18" s="345"/>
      <c r="F18" s="345"/>
      <c r="G18" s="345"/>
      <c r="H18" s="35" t="s">
        <v>1470</v>
      </c>
      <c r="I18" s="35" t="s">
        <v>1464</v>
      </c>
      <c r="J18" s="172"/>
      <c r="K18" s="25" t="s">
        <v>294</v>
      </c>
      <c r="L18" s="25"/>
      <c r="M18" s="344"/>
      <c r="N18" s="55"/>
      <c r="O18" s="28"/>
      <c r="P18" s="28"/>
      <c r="Q18" s="50" t="s">
        <v>140</v>
      </c>
      <c r="R18" s="25"/>
      <c r="S18" s="50" t="s">
        <v>140</v>
      </c>
      <c r="T18" s="65"/>
      <c r="U18" s="65"/>
      <c r="V18" s="65"/>
      <c r="W18" s="65"/>
      <c r="X18" s="65"/>
      <c r="Y18" s="65"/>
      <c r="Z18" s="65"/>
      <c r="AA18" s="65"/>
    </row>
    <row r="19" spans="1:27" ht="30">
      <c r="A19" s="344"/>
      <c r="B19" s="344"/>
      <c r="C19" s="46">
        <v>16</v>
      </c>
      <c r="D19" s="344"/>
      <c r="E19" s="365" t="s">
        <v>1471</v>
      </c>
      <c r="F19" s="371" t="s">
        <v>361</v>
      </c>
      <c r="G19" s="87" t="s">
        <v>524</v>
      </c>
      <c r="H19" s="35" t="s">
        <v>1472</v>
      </c>
      <c r="I19" s="35" t="s">
        <v>1467</v>
      </c>
      <c r="J19" s="172"/>
      <c r="K19" s="25" t="s">
        <v>294</v>
      </c>
      <c r="L19" s="25"/>
      <c r="M19" s="344"/>
      <c r="N19" s="55"/>
      <c r="O19" s="28"/>
      <c r="P19" s="28"/>
      <c r="Q19" s="50" t="s">
        <v>140</v>
      </c>
      <c r="R19" s="25"/>
      <c r="S19" s="50" t="s">
        <v>140</v>
      </c>
      <c r="T19" s="65"/>
      <c r="U19" s="65"/>
      <c r="V19" s="65"/>
      <c r="W19" s="65"/>
      <c r="X19" s="65"/>
      <c r="Y19" s="65"/>
      <c r="Z19" s="65"/>
      <c r="AA19" s="65"/>
    </row>
    <row r="20" spans="1:27" ht="45">
      <c r="A20" s="344"/>
      <c r="B20" s="344"/>
      <c r="C20" s="46">
        <v>17</v>
      </c>
      <c r="D20" s="344"/>
      <c r="E20" s="344"/>
      <c r="F20" s="344"/>
      <c r="G20" s="371" t="s">
        <v>327</v>
      </c>
      <c r="H20" s="35" t="s">
        <v>1468</v>
      </c>
      <c r="I20" s="35" t="s">
        <v>1469</v>
      </c>
      <c r="J20" s="172"/>
      <c r="K20" s="25" t="s">
        <v>294</v>
      </c>
      <c r="L20" s="25"/>
      <c r="M20" s="344"/>
      <c r="N20" s="55"/>
      <c r="O20" s="28"/>
      <c r="P20" s="28"/>
      <c r="Q20" s="50" t="s">
        <v>140</v>
      </c>
      <c r="R20" s="25"/>
      <c r="S20" s="50" t="s">
        <v>140</v>
      </c>
      <c r="T20" s="65"/>
      <c r="U20" s="65"/>
      <c r="V20" s="65"/>
      <c r="W20" s="65"/>
      <c r="X20" s="65"/>
      <c r="Y20" s="65"/>
      <c r="Z20" s="65"/>
      <c r="AA20" s="65"/>
    </row>
    <row r="21" spans="1:27" ht="15.75" customHeight="1">
      <c r="A21" s="344"/>
      <c r="B21" s="344"/>
      <c r="C21" s="46">
        <v>18</v>
      </c>
      <c r="D21" s="344"/>
      <c r="E21" s="345"/>
      <c r="F21" s="345"/>
      <c r="G21" s="345"/>
      <c r="H21" s="35" t="s">
        <v>1470</v>
      </c>
      <c r="I21" s="35" t="s">
        <v>1464</v>
      </c>
      <c r="J21" s="172"/>
      <c r="K21" s="25" t="s">
        <v>294</v>
      </c>
      <c r="L21" s="25"/>
      <c r="M21" s="345"/>
      <c r="N21" s="55"/>
      <c r="O21" s="28"/>
      <c r="P21" s="28"/>
      <c r="Q21" s="50" t="s">
        <v>140</v>
      </c>
      <c r="R21" s="25"/>
      <c r="S21" s="50" t="s">
        <v>140</v>
      </c>
      <c r="T21" s="65"/>
      <c r="U21" s="65"/>
      <c r="V21" s="65"/>
      <c r="W21" s="65"/>
      <c r="X21" s="65"/>
      <c r="Y21" s="65"/>
      <c r="Z21" s="65"/>
      <c r="AA21" s="65"/>
    </row>
    <row r="22" spans="1:27" ht="15.75" customHeight="1">
      <c r="A22" s="345"/>
      <c r="B22" s="345"/>
      <c r="C22" s="46">
        <v>19</v>
      </c>
      <c r="D22" s="345"/>
      <c r="E22" s="88" t="s">
        <v>1473</v>
      </c>
      <c r="F22" s="74" t="s">
        <v>361</v>
      </c>
      <c r="G22" s="74" t="s">
        <v>327</v>
      </c>
      <c r="H22" s="35" t="s">
        <v>1470</v>
      </c>
      <c r="I22" s="35" t="s">
        <v>1474</v>
      </c>
      <c r="J22" s="172"/>
      <c r="K22" s="25"/>
      <c r="L22" s="25"/>
      <c r="M22" s="43"/>
      <c r="N22" s="55"/>
      <c r="O22" s="28"/>
      <c r="P22" s="28"/>
      <c r="Q22" s="50" t="s">
        <v>282</v>
      </c>
      <c r="R22" s="25"/>
      <c r="S22" s="50"/>
      <c r="T22" s="65"/>
      <c r="U22" s="65"/>
      <c r="V22" s="65"/>
      <c r="W22" s="65"/>
      <c r="X22" s="65"/>
      <c r="Y22" s="65"/>
      <c r="Z22" s="65"/>
      <c r="AA22" s="65"/>
    </row>
    <row r="23" spans="1:27" ht="15.75" customHeight="1">
      <c r="A23" s="351" t="s">
        <v>1475</v>
      </c>
      <c r="B23" s="354" t="s">
        <v>195</v>
      </c>
      <c r="C23" s="86">
        <v>1</v>
      </c>
      <c r="D23" s="351" t="s">
        <v>1476</v>
      </c>
      <c r="E23" s="175" t="s">
        <v>1477</v>
      </c>
      <c r="F23" s="86" t="s">
        <v>361</v>
      </c>
      <c r="G23" s="86" t="s">
        <v>327</v>
      </c>
      <c r="H23" s="175" t="s">
        <v>1478</v>
      </c>
      <c r="I23" s="35" t="s">
        <v>1437</v>
      </c>
      <c r="J23" s="172"/>
      <c r="K23" s="25"/>
      <c r="L23" s="25"/>
      <c r="M23" s="43"/>
      <c r="N23" s="55"/>
      <c r="O23" s="28"/>
      <c r="P23" s="28"/>
      <c r="Q23" s="50" t="s">
        <v>282</v>
      </c>
      <c r="R23" s="25" t="s">
        <v>305</v>
      </c>
      <c r="S23" s="50"/>
      <c r="T23" s="65"/>
      <c r="U23" s="65"/>
      <c r="V23" s="65"/>
      <c r="W23" s="65"/>
      <c r="X23" s="65"/>
      <c r="Y23" s="65"/>
      <c r="Z23" s="65"/>
      <c r="AA23" s="65"/>
    </row>
    <row r="24" spans="1:27" ht="15.75" customHeight="1">
      <c r="A24" s="352"/>
      <c r="B24" s="352"/>
      <c r="C24" s="86">
        <v>2</v>
      </c>
      <c r="D24" s="352"/>
      <c r="E24" s="175" t="s">
        <v>1438</v>
      </c>
      <c r="F24" s="86" t="s">
        <v>361</v>
      </c>
      <c r="G24" s="86" t="s">
        <v>327</v>
      </c>
      <c r="H24" s="175" t="s">
        <v>1479</v>
      </c>
      <c r="I24" s="35" t="s">
        <v>1464</v>
      </c>
      <c r="J24" s="172"/>
      <c r="K24" s="25"/>
      <c r="L24" s="25"/>
      <c r="M24" s="43"/>
      <c r="N24" s="55"/>
      <c r="O24" s="28"/>
      <c r="P24" s="28"/>
      <c r="Q24" s="50" t="s">
        <v>282</v>
      </c>
      <c r="R24" s="25" t="s">
        <v>305</v>
      </c>
      <c r="S24" s="50"/>
      <c r="T24" s="65"/>
      <c r="U24" s="65"/>
      <c r="V24" s="65"/>
      <c r="W24" s="65"/>
      <c r="X24" s="65"/>
      <c r="Y24" s="65"/>
      <c r="Z24" s="65"/>
      <c r="AA24" s="65"/>
    </row>
    <row r="25" spans="1:27" ht="15.75" customHeight="1">
      <c r="A25" s="352"/>
      <c r="B25" s="352"/>
      <c r="C25" s="86">
        <v>3</v>
      </c>
      <c r="D25" s="352"/>
      <c r="E25" s="175" t="s">
        <v>1480</v>
      </c>
      <c r="F25" s="86" t="s">
        <v>361</v>
      </c>
      <c r="G25" s="86" t="s">
        <v>327</v>
      </c>
      <c r="H25" s="175" t="s">
        <v>1442</v>
      </c>
      <c r="I25" s="35" t="s">
        <v>1443</v>
      </c>
      <c r="J25" s="172"/>
      <c r="K25" s="25"/>
      <c r="L25" s="25"/>
      <c r="M25" s="43"/>
      <c r="N25" s="55"/>
      <c r="O25" s="28"/>
      <c r="P25" s="28"/>
      <c r="Q25" s="50" t="s">
        <v>282</v>
      </c>
      <c r="R25" s="25" t="s">
        <v>305</v>
      </c>
      <c r="S25" s="50"/>
      <c r="T25" s="65"/>
      <c r="U25" s="65"/>
      <c r="V25" s="65"/>
      <c r="W25" s="65"/>
      <c r="X25" s="65"/>
      <c r="Y25" s="65"/>
      <c r="Z25" s="65"/>
      <c r="AA25" s="65"/>
    </row>
    <row r="26" spans="1:27" ht="15.75" customHeight="1">
      <c r="A26" s="352"/>
      <c r="B26" s="352"/>
      <c r="C26" s="86">
        <v>4</v>
      </c>
      <c r="D26" s="352"/>
      <c r="E26" s="175" t="s">
        <v>1444</v>
      </c>
      <c r="F26" s="86" t="s">
        <v>361</v>
      </c>
      <c r="G26" s="86" t="s">
        <v>327</v>
      </c>
      <c r="H26" s="175" t="s">
        <v>1445</v>
      </c>
      <c r="I26" s="35" t="s">
        <v>1446</v>
      </c>
      <c r="J26" s="172"/>
      <c r="K26" s="25"/>
      <c r="L26" s="25"/>
      <c r="M26" s="43"/>
      <c r="N26" s="55"/>
      <c r="O26" s="28"/>
      <c r="P26" s="28"/>
      <c r="Q26" s="50" t="s">
        <v>282</v>
      </c>
      <c r="R26" s="25" t="s">
        <v>305</v>
      </c>
      <c r="S26" s="50"/>
      <c r="T26" s="65"/>
      <c r="U26" s="65"/>
      <c r="V26" s="65"/>
      <c r="W26" s="65"/>
      <c r="X26" s="65"/>
      <c r="Y26" s="65"/>
      <c r="Z26" s="65"/>
      <c r="AA26" s="65"/>
    </row>
    <row r="27" spans="1:27" ht="15.75" customHeight="1">
      <c r="A27" s="352"/>
      <c r="B27" s="352"/>
      <c r="C27" s="86">
        <v>5</v>
      </c>
      <c r="D27" s="352"/>
      <c r="E27" s="351" t="s">
        <v>1481</v>
      </c>
      <c r="F27" s="354" t="s">
        <v>361</v>
      </c>
      <c r="G27" s="354" t="s">
        <v>327</v>
      </c>
      <c r="H27" s="351" t="s">
        <v>1482</v>
      </c>
      <c r="I27" s="35" t="s">
        <v>1483</v>
      </c>
      <c r="J27" s="172"/>
      <c r="K27" s="25"/>
      <c r="L27" s="25"/>
      <c r="M27" s="43"/>
      <c r="N27" s="55"/>
      <c r="O27" s="28"/>
      <c r="P27" s="28"/>
      <c r="Q27" s="50" t="s">
        <v>282</v>
      </c>
      <c r="R27" s="25" t="s">
        <v>305</v>
      </c>
      <c r="S27" s="50"/>
      <c r="T27" s="65"/>
      <c r="U27" s="65"/>
      <c r="V27" s="65"/>
      <c r="W27" s="65"/>
      <c r="X27" s="65"/>
      <c r="Y27" s="65"/>
      <c r="Z27" s="65"/>
      <c r="AA27" s="65"/>
    </row>
    <row r="28" spans="1:27" ht="15.75" customHeight="1">
      <c r="A28" s="352"/>
      <c r="B28" s="352"/>
      <c r="C28" s="86">
        <v>6</v>
      </c>
      <c r="D28" s="352"/>
      <c r="E28" s="352"/>
      <c r="F28" s="352"/>
      <c r="G28" s="352"/>
      <c r="H28" s="352"/>
      <c r="I28" s="35" t="s">
        <v>1450</v>
      </c>
      <c r="J28" s="172"/>
      <c r="K28" s="25"/>
      <c r="L28" s="25"/>
      <c r="M28" s="43"/>
      <c r="N28" s="55"/>
      <c r="O28" s="28"/>
      <c r="P28" s="28"/>
      <c r="Q28" s="50" t="s">
        <v>282</v>
      </c>
      <c r="R28" s="25" t="s">
        <v>305</v>
      </c>
      <c r="S28" s="50"/>
      <c r="T28" s="65"/>
      <c r="U28" s="65"/>
      <c r="V28" s="65"/>
      <c r="W28" s="65"/>
      <c r="X28" s="65"/>
      <c r="Y28" s="65"/>
      <c r="Z28" s="65"/>
      <c r="AA28" s="65"/>
    </row>
    <row r="29" spans="1:27" ht="15.75" customHeight="1">
      <c r="A29" s="352"/>
      <c r="B29" s="352"/>
      <c r="C29" s="86">
        <v>7</v>
      </c>
      <c r="D29" s="352"/>
      <c r="E29" s="353"/>
      <c r="F29" s="353"/>
      <c r="G29" s="353"/>
      <c r="H29" s="353"/>
      <c r="I29" s="35" t="s">
        <v>1484</v>
      </c>
      <c r="J29" s="172"/>
      <c r="K29" s="25"/>
      <c r="L29" s="25"/>
      <c r="M29" s="43"/>
      <c r="N29" s="55"/>
      <c r="O29" s="28"/>
      <c r="P29" s="28"/>
      <c r="Q29" s="50" t="s">
        <v>282</v>
      </c>
      <c r="R29" s="25" t="s">
        <v>305</v>
      </c>
      <c r="S29" s="50"/>
      <c r="T29" s="65"/>
      <c r="U29" s="65"/>
      <c r="V29" s="65"/>
      <c r="W29" s="65"/>
      <c r="X29" s="65"/>
      <c r="Y29" s="65"/>
      <c r="Z29" s="65"/>
      <c r="AA29" s="65"/>
    </row>
    <row r="30" spans="1:27" ht="15.75" customHeight="1">
      <c r="A30" s="352"/>
      <c r="B30" s="352"/>
      <c r="C30" s="86">
        <v>8</v>
      </c>
      <c r="D30" s="352"/>
      <c r="E30" s="175" t="s">
        <v>1452</v>
      </c>
      <c r="F30" s="86" t="s">
        <v>361</v>
      </c>
      <c r="G30" s="86" t="s">
        <v>327</v>
      </c>
      <c r="H30" s="175" t="s">
        <v>1453</v>
      </c>
      <c r="I30" s="35" t="s">
        <v>1454</v>
      </c>
      <c r="J30" s="172"/>
      <c r="K30" s="25"/>
      <c r="L30" s="25"/>
      <c r="M30" s="43"/>
      <c r="N30" s="55"/>
      <c r="O30" s="28"/>
      <c r="P30" s="28"/>
      <c r="Q30" s="50" t="s">
        <v>282</v>
      </c>
      <c r="R30" s="25" t="s">
        <v>305</v>
      </c>
      <c r="S30" s="50"/>
      <c r="T30" s="65"/>
      <c r="U30" s="65"/>
      <c r="V30" s="65"/>
      <c r="W30" s="65"/>
      <c r="X30" s="65"/>
      <c r="Y30" s="65"/>
      <c r="Z30" s="65"/>
      <c r="AA30" s="65"/>
    </row>
    <row r="31" spans="1:27" ht="15.75" customHeight="1">
      <c r="A31" s="352"/>
      <c r="B31" s="352"/>
      <c r="C31" s="86">
        <v>9</v>
      </c>
      <c r="D31" s="352"/>
      <c r="E31" s="351" t="s">
        <v>1455</v>
      </c>
      <c r="F31" s="354" t="s">
        <v>361</v>
      </c>
      <c r="G31" s="354" t="s">
        <v>524</v>
      </c>
      <c r="H31" s="351" t="s">
        <v>1485</v>
      </c>
      <c r="I31" s="35" t="s">
        <v>1457</v>
      </c>
      <c r="J31" s="172"/>
      <c r="K31" s="25"/>
      <c r="L31" s="25"/>
      <c r="M31" s="43"/>
      <c r="N31" s="55"/>
      <c r="O31" s="28"/>
      <c r="P31" s="28"/>
      <c r="Q31" s="50" t="s">
        <v>282</v>
      </c>
      <c r="R31" s="25" t="s">
        <v>305</v>
      </c>
      <c r="S31" s="50"/>
      <c r="T31" s="65"/>
      <c r="U31" s="65"/>
      <c r="V31" s="65"/>
      <c r="W31" s="65"/>
      <c r="X31" s="65"/>
      <c r="Y31" s="65"/>
      <c r="Z31" s="65"/>
      <c r="AA31" s="65"/>
    </row>
    <row r="32" spans="1:27" ht="15.75" customHeight="1">
      <c r="A32" s="352"/>
      <c r="B32" s="352"/>
      <c r="C32" s="86">
        <v>10</v>
      </c>
      <c r="D32" s="352"/>
      <c r="E32" s="353"/>
      <c r="F32" s="353"/>
      <c r="G32" s="353"/>
      <c r="H32" s="353"/>
      <c r="I32" s="35" t="s">
        <v>1458</v>
      </c>
      <c r="J32" s="172"/>
      <c r="K32" s="25"/>
      <c r="L32" s="25"/>
      <c r="M32" s="43"/>
      <c r="N32" s="55"/>
      <c r="O32" s="28"/>
      <c r="P32" s="28"/>
      <c r="Q32" s="50" t="s">
        <v>282</v>
      </c>
      <c r="R32" s="25" t="s">
        <v>305</v>
      </c>
      <c r="S32" s="50"/>
      <c r="T32" s="65"/>
      <c r="U32" s="65"/>
      <c r="V32" s="65"/>
      <c r="W32" s="65"/>
      <c r="X32" s="65"/>
      <c r="Y32" s="65"/>
      <c r="Z32" s="65"/>
      <c r="AA32" s="65"/>
    </row>
    <row r="33" spans="1:27" ht="15.75" customHeight="1">
      <c r="A33" s="352"/>
      <c r="B33" s="352"/>
      <c r="C33" s="86">
        <v>11</v>
      </c>
      <c r="D33" s="352"/>
      <c r="E33" s="351" t="s">
        <v>1459</v>
      </c>
      <c r="F33" s="354" t="s">
        <v>361</v>
      </c>
      <c r="G33" s="354" t="s">
        <v>327</v>
      </c>
      <c r="H33" s="175" t="s">
        <v>1460</v>
      </c>
      <c r="I33" s="35" t="s">
        <v>1461</v>
      </c>
      <c r="J33" s="172"/>
      <c r="K33" s="25"/>
      <c r="L33" s="25"/>
      <c r="M33" s="377" t="s">
        <v>1462</v>
      </c>
      <c r="N33" s="55"/>
      <c r="O33" s="28"/>
      <c r="P33" s="28"/>
      <c r="Q33" s="50" t="s">
        <v>282</v>
      </c>
      <c r="R33" s="25" t="s">
        <v>305</v>
      </c>
      <c r="S33" s="50" t="s">
        <v>140</v>
      </c>
      <c r="T33" s="65"/>
      <c r="U33" s="65"/>
      <c r="V33" s="65"/>
      <c r="W33" s="65"/>
      <c r="X33" s="65"/>
      <c r="Y33" s="65"/>
      <c r="Z33" s="65"/>
      <c r="AA33" s="65"/>
    </row>
    <row r="34" spans="1:27" ht="15.75" customHeight="1">
      <c r="A34" s="352"/>
      <c r="B34" s="352"/>
      <c r="C34" s="86">
        <v>12</v>
      </c>
      <c r="D34" s="352"/>
      <c r="E34" s="353"/>
      <c r="F34" s="353"/>
      <c r="G34" s="353"/>
      <c r="H34" s="175" t="s">
        <v>1486</v>
      </c>
      <c r="I34" s="35" t="s">
        <v>1464</v>
      </c>
      <c r="J34" s="172"/>
      <c r="K34" s="25"/>
      <c r="L34" s="25"/>
      <c r="M34" s="345"/>
      <c r="N34" s="55"/>
      <c r="O34" s="28"/>
      <c r="P34" s="28"/>
      <c r="Q34" s="50" t="s">
        <v>282</v>
      </c>
      <c r="R34" s="25" t="s">
        <v>305</v>
      </c>
      <c r="S34" s="50" t="s">
        <v>140</v>
      </c>
      <c r="T34" s="65"/>
      <c r="U34" s="65"/>
      <c r="V34" s="65"/>
      <c r="W34" s="65"/>
      <c r="X34" s="65"/>
      <c r="Y34" s="65"/>
      <c r="Z34" s="65"/>
      <c r="AA34" s="65"/>
    </row>
    <row r="35" spans="1:27" ht="15.75" customHeight="1">
      <c r="A35" s="352"/>
      <c r="B35" s="352"/>
      <c r="C35" s="86">
        <v>13</v>
      </c>
      <c r="D35" s="352"/>
      <c r="E35" s="52" t="s">
        <v>1473</v>
      </c>
      <c r="F35" s="86" t="s">
        <v>361</v>
      </c>
      <c r="G35" s="86" t="s">
        <v>327</v>
      </c>
      <c r="H35" s="175" t="s">
        <v>1470</v>
      </c>
      <c r="I35" s="35" t="s">
        <v>1474</v>
      </c>
      <c r="J35" s="172"/>
      <c r="K35" s="25"/>
      <c r="L35" s="25"/>
      <c r="M35" s="43"/>
      <c r="N35" s="55"/>
      <c r="O35" s="28"/>
      <c r="P35" s="28"/>
      <c r="Q35" s="50" t="s">
        <v>282</v>
      </c>
      <c r="R35" s="25" t="s">
        <v>305</v>
      </c>
      <c r="S35" s="50"/>
      <c r="T35" s="65"/>
      <c r="U35" s="65"/>
      <c r="V35" s="65"/>
      <c r="W35" s="65"/>
      <c r="X35" s="65"/>
      <c r="Y35" s="65"/>
      <c r="Z35" s="65"/>
      <c r="AA35" s="65"/>
    </row>
    <row r="36" spans="1:27" ht="15.75" customHeight="1">
      <c r="A36" s="353"/>
      <c r="B36" s="353"/>
      <c r="C36" s="86">
        <v>14</v>
      </c>
      <c r="D36" s="353"/>
      <c r="E36" s="52" t="s">
        <v>1487</v>
      </c>
      <c r="F36" s="86" t="s">
        <v>361</v>
      </c>
      <c r="G36" s="86" t="s">
        <v>327</v>
      </c>
      <c r="H36" s="175" t="s">
        <v>1488</v>
      </c>
      <c r="I36" s="35" t="s">
        <v>1489</v>
      </c>
      <c r="J36" s="172"/>
      <c r="K36" s="25"/>
      <c r="L36" s="25"/>
      <c r="M36" s="43"/>
      <c r="N36" s="55"/>
      <c r="O36" s="28"/>
      <c r="P36" s="28"/>
      <c r="Q36" s="50" t="s">
        <v>282</v>
      </c>
      <c r="R36" s="25" t="s">
        <v>305</v>
      </c>
      <c r="S36" s="50"/>
      <c r="T36" s="65"/>
      <c r="U36" s="65"/>
      <c r="V36" s="65"/>
      <c r="W36" s="65"/>
      <c r="X36" s="65"/>
      <c r="Y36" s="65"/>
      <c r="Z36" s="65"/>
      <c r="AA36" s="65"/>
    </row>
    <row r="37" spans="1:27" ht="15.75" customHeight="1">
      <c r="A37" s="368" t="s">
        <v>1490</v>
      </c>
      <c r="B37" s="350" t="s">
        <v>152</v>
      </c>
      <c r="C37" s="31">
        <v>1</v>
      </c>
      <c r="D37" s="368" t="s">
        <v>1491</v>
      </c>
      <c r="E37" s="364" t="s">
        <v>1492</v>
      </c>
      <c r="F37" s="360" t="s">
        <v>361</v>
      </c>
      <c r="G37" s="360" t="s">
        <v>327</v>
      </c>
      <c r="H37" s="23" t="s">
        <v>1493</v>
      </c>
      <c r="I37" s="23" t="s">
        <v>1494</v>
      </c>
      <c r="J37" s="170"/>
      <c r="K37" s="25" t="s">
        <v>294</v>
      </c>
      <c r="L37" s="25"/>
      <c r="M37" s="43"/>
      <c r="N37" s="55"/>
      <c r="O37" s="28"/>
      <c r="P37" s="28"/>
      <c r="Q37" s="50" t="s">
        <v>140</v>
      </c>
      <c r="R37" s="25"/>
      <c r="S37" s="50"/>
      <c r="T37" s="65"/>
      <c r="U37" s="65"/>
      <c r="V37" s="65"/>
      <c r="W37" s="65"/>
      <c r="X37" s="65"/>
      <c r="Y37" s="65"/>
      <c r="Z37" s="65"/>
      <c r="AA37" s="65"/>
    </row>
    <row r="38" spans="1:27" ht="15.75" customHeight="1">
      <c r="A38" s="344"/>
      <c r="B38" s="344"/>
      <c r="C38" s="31">
        <v>2</v>
      </c>
      <c r="D38" s="344"/>
      <c r="E38" s="344"/>
      <c r="F38" s="344"/>
      <c r="G38" s="344"/>
      <c r="H38" s="23" t="s">
        <v>1495</v>
      </c>
      <c r="I38" s="23" t="s">
        <v>1494</v>
      </c>
      <c r="J38" s="170"/>
      <c r="K38" s="25" t="s">
        <v>294</v>
      </c>
      <c r="L38" s="25"/>
      <c r="M38" s="43"/>
      <c r="N38" s="55"/>
      <c r="O38" s="28"/>
      <c r="P38" s="28"/>
      <c r="Q38" s="50" t="s">
        <v>140</v>
      </c>
      <c r="R38" s="25"/>
      <c r="S38" s="50"/>
      <c r="T38" s="65"/>
      <c r="U38" s="65"/>
      <c r="V38" s="65"/>
      <c r="W38" s="65"/>
      <c r="X38" s="65"/>
      <c r="Y38" s="65"/>
      <c r="Z38" s="65"/>
      <c r="AA38" s="65"/>
    </row>
    <row r="39" spans="1:27" ht="15.75" customHeight="1">
      <c r="A39" s="344"/>
      <c r="B39" s="344"/>
      <c r="C39" s="31">
        <v>3</v>
      </c>
      <c r="D39" s="344"/>
      <c r="E39" s="344"/>
      <c r="F39" s="344"/>
      <c r="G39" s="344"/>
      <c r="H39" s="23" t="s">
        <v>1496</v>
      </c>
      <c r="I39" s="23" t="s">
        <v>1494</v>
      </c>
      <c r="J39" s="170"/>
      <c r="K39" s="25" t="s">
        <v>294</v>
      </c>
      <c r="L39" s="25"/>
      <c r="M39" s="43"/>
      <c r="N39" s="55"/>
      <c r="O39" s="28"/>
      <c r="P39" s="28"/>
      <c r="Q39" s="50" t="s">
        <v>140</v>
      </c>
      <c r="R39" s="25"/>
      <c r="S39" s="50"/>
      <c r="T39" s="65"/>
      <c r="U39" s="65"/>
      <c r="V39" s="65"/>
      <c r="W39" s="65"/>
      <c r="X39" s="65"/>
      <c r="Y39" s="65"/>
      <c r="Z39" s="65"/>
      <c r="AA39" s="65"/>
    </row>
    <row r="40" spans="1:27" ht="15.75" customHeight="1">
      <c r="A40" s="344"/>
      <c r="B40" s="344"/>
      <c r="C40" s="31">
        <v>4</v>
      </c>
      <c r="D40" s="344"/>
      <c r="E40" s="344"/>
      <c r="F40" s="344"/>
      <c r="G40" s="344"/>
      <c r="H40" s="23" t="s">
        <v>1497</v>
      </c>
      <c r="I40" s="23" t="s">
        <v>1494</v>
      </c>
      <c r="J40" s="170"/>
      <c r="K40" s="25" t="s">
        <v>294</v>
      </c>
      <c r="L40" s="25"/>
      <c r="M40" s="43"/>
      <c r="N40" s="55"/>
      <c r="O40" s="28"/>
      <c r="P40" s="28"/>
      <c r="Q40" s="50" t="s">
        <v>140</v>
      </c>
      <c r="R40" s="25"/>
      <c r="S40" s="50"/>
      <c r="T40" s="65"/>
      <c r="U40" s="65"/>
      <c r="V40" s="65"/>
      <c r="W40" s="65"/>
      <c r="X40" s="65"/>
      <c r="Y40" s="65"/>
      <c r="Z40" s="65"/>
      <c r="AA40" s="65"/>
    </row>
    <row r="41" spans="1:27" ht="15.75" customHeight="1">
      <c r="A41" s="344"/>
      <c r="B41" s="344"/>
      <c r="C41" s="31">
        <v>5</v>
      </c>
      <c r="D41" s="344"/>
      <c r="E41" s="344"/>
      <c r="F41" s="344"/>
      <c r="G41" s="344"/>
      <c r="H41" s="23" t="s">
        <v>1498</v>
      </c>
      <c r="I41" s="23" t="s">
        <v>1494</v>
      </c>
      <c r="J41" s="170"/>
      <c r="K41" s="25" t="s">
        <v>294</v>
      </c>
      <c r="L41" s="25"/>
      <c r="M41" s="43"/>
      <c r="N41" s="55"/>
      <c r="O41" s="28"/>
      <c r="P41" s="28"/>
      <c r="Q41" s="50" t="s">
        <v>140</v>
      </c>
      <c r="R41" s="25"/>
      <c r="S41" s="50"/>
      <c r="T41" s="65"/>
      <c r="U41" s="65"/>
      <c r="V41" s="65"/>
      <c r="W41" s="65"/>
      <c r="X41" s="65"/>
      <c r="Y41" s="65"/>
      <c r="Z41" s="65"/>
      <c r="AA41" s="65"/>
    </row>
    <row r="42" spans="1:27" ht="15.75" customHeight="1">
      <c r="A42" s="344"/>
      <c r="B42" s="344"/>
      <c r="C42" s="31">
        <v>6</v>
      </c>
      <c r="D42" s="344"/>
      <c r="E42" s="344"/>
      <c r="F42" s="344"/>
      <c r="G42" s="344"/>
      <c r="H42" s="23" t="s">
        <v>1499</v>
      </c>
      <c r="I42" s="23" t="s">
        <v>1494</v>
      </c>
      <c r="J42" s="170"/>
      <c r="K42" s="25" t="s">
        <v>294</v>
      </c>
      <c r="L42" s="25"/>
      <c r="M42" s="43"/>
      <c r="N42" s="55"/>
      <c r="O42" s="28"/>
      <c r="P42" s="28"/>
      <c r="Q42" s="50" t="s">
        <v>140</v>
      </c>
      <c r="R42" s="25"/>
      <c r="S42" s="50"/>
      <c r="T42" s="65"/>
      <c r="U42" s="65"/>
      <c r="V42" s="65"/>
      <c r="W42" s="65"/>
      <c r="X42" s="65"/>
      <c r="Y42" s="65"/>
      <c r="Z42" s="65"/>
      <c r="AA42" s="65"/>
    </row>
    <row r="43" spans="1:27" ht="15.75" customHeight="1">
      <c r="A43" s="344"/>
      <c r="B43" s="344"/>
      <c r="C43" s="31">
        <v>7</v>
      </c>
      <c r="D43" s="344"/>
      <c r="E43" s="344"/>
      <c r="F43" s="344"/>
      <c r="G43" s="344"/>
      <c r="H43" s="23" t="s">
        <v>1500</v>
      </c>
      <c r="I43" s="23" t="s">
        <v>1494</v>
      </c>
      <c r="J43" s="170"/>
      <c r="K43" s="25" t="s">
        <v>294</v>
      </c>
      <c r="L43" s="25"/>
      <c r="M43" s="43"/>
      <c r="N43" s="55"/>
      <c r="O43" s="28"/>
      <c r="P43" s="28"/>
      <c r="Q43" s="50" t="s">
        <v>140</v>
      </c>
      <c r="R43" s="25"/>
      <c r="S43" s="50"/>
      <c r="T43" s="65"/>
      <c r="U43" s="65"/>
      <c r="V43" s="65"/>
      <c r="W43" s="65"/>
      <c r="X43" s="65"/>
      <c r="Y43" s="65"/>
      <c r="Z43" s="65"/>
      <c r="AA43" s="65"/>
    </row>
    <row r="44" spans="1:27" ht="15.75" customHeight="1">
      <c r="A44" s="344"/>
      <c r="B44" s="344"/>
      <c r="C44" s="31">
        <v>8</v>
      </c>
      <c r="D44" s="344"/>
      <c r="E44" s="344"/>
      <c r="F44" s="344"/>
      <c r="G44" s="344"/>
      <c r="H44" s="23" t="s">
        <v>1501</v>
      </c>
      <c r="I44" s="23" t="s">
        <v>1494</v>
      </c>
      <c r="J44" s="170"/>
      <c r="K44" s="25" t="s">
        <v>294</v>
      </c>
      <c r="L44" s="25"/>
      <c r="M44" s="43"/>
      <c r="N44" s="55"/>
      <c r="O44" s="28"/>
      <c r="P44" s="28"/>
      <c r="Q44" s="50" t="s">
        <v>140</v>
      </c>
      <c r="R44" s="25"/>
      <c r="S44" s="50"/>
      <c r="T44" s="65"/>
      <c r="U44" s="65"/>
      <c r="V44" s="65"/>
      <c r="W44" s="65"/>
      <c r="X44" s="65"/>
      <c r="Y44" s="65"/>
      <c r="Z44" s="65"/>
      <c r="AA44" s="65"/>
    </row>
    <row r="45" spans="1:27" ht="15.75" customHeight="1">
      <c r="A45" s="344"/>
      <c r="B45" s="344"/>
      <c r="C45" s="31">
        <v>9</v>
      </c>
      <c r="D45" s="344"/>
      <c r="E45" s="344"/>
      <c r="F45" s="344"/>
      <c r="G45" s="344"/>
      <c r="H45" s="23" t="s">
        <v>1502</v>
      </c>
      <c r="I45" s="23" t="s">
        <v>1494</v>
      </c>
      <c r="J45" s="170"/>
      <c r="K45" s="25" t="s">
        <v>294</v>
      </c>
      <c r="L45" s="25"/>
      <c r="M45" s="43"/>
      <c r="N45" s="55"/>
      <c r="O45" s="28"/>
      <c r="P45" s="28"/>
      <c r="Q45" s="50" t="s">
        <v>140</v>
      </c>
      <c r="R45" s="25"/>
      <c r="S45" s="50"/>
      <c r="T45" s="65"/>
      <c r="U45" s="65"/>
      <c r="V45" s="65"/>
      <c r="W45" s="65"/>
      <c r="X45" s="65"/>
      <c r="Y45" s="65"/>
      <c r="Z45" s="65"/>
      <c r="AA45" s="65"/>
    </row>
    <row r="46" spans="1:27" ht="15.75" customHeight="1">
      <c r="A46" s="344"/>
      <c r="B46" s="344"/>
      <c r="C46" s="31">
        <v>10</v>
      </c>
      <c r="D46" s="344"/>
      <c r="E46" s="344"/>
      <c r="F46" s="344"/>
      <c r="G46" s="344"/>
      <c r="H46" s="23" t="s">
        <v>1503</v>
      </c>
      <c r="I46" s="23" t="s">
        <v>1494</v>
      </c>
      <c r="J46" s="170"/>
      <c r="K46" s="25" t="s">
        <v>294</v>
      </c>
      <c r="L46" s="25"/>
      <c r="M46" s="43"/>
      <c r="N46" s="55"/>
      <c r="O46" s="28"/>
      <c r="P46" s="28"/>
      <c r="Q46" s="50" t="s">
        <v>140</v>
      </c>
      <c r="R46" s="25"/>
      <c r="S46" s="50"/>
      <c r="T46" s="65"/>
      <c r="U46" s="65"/>
      <c r="V46" s="65"/>
      <c r="W46" s="65"/>
      <c r="X46" s="65"/>
      <c r="Y46" s="65"/>
      <c r="Z46" s="65"/>
      <c r="AA46" s="65"/>
    </row>
    <row r="47" spans="1:27" ht="15.75" customHeight="1">
      <c r="A47" s="344"/>
      <c r="B47" s="344"/>
      <c r="C47" s="31">
        <v>11</v>
      </c>
      <c r="D47" s="344"/>
      <c r="E47" s="344"/>
      <c r="F47" s="344"/>
      <c r="G47" s="344"/>
      <c r="H47" s="23" t="s">
        <v>1504</v>
      </c>
      <c r="I47" s="23" t="s">
        <v>1494</v>
      </c>
      <c r="J47" s="170"/>
      <c r="K47" s="25" t="s">
        <v>294</v>
      </c>
      <c r="L47" s="25"/>
      <c r="M47" s="43"/>
      <c r="N47" s="55"/>
      <c r="O47" s="28"/>
      <c r="P47" s="28"/>
      <c r="Q47" s="50" t="s">
        <v>140</v>
      </c>
      <c r="R47" s="25"/>
      <c r="S47" s="50"/>
      <c r="T47" s="65"/>
      <c r="U47" s="65"/>
      <c r="V47" s="65"/>
      <c r="W47" s="65"/>
      <c r="X47" s="65"/>
      <c r="Y47" s="65"/>
      <c r="Z47" s="65"/>
      <c r="AA47" s="65"/>
    </row>
    <row r="48" spans="1:27" ht="15.75" customHeight="1">
      <c r="A48" s="344"/>
      <c r="B48" s="344"/>
      <c r="C48" s="31">
        <v>12</v>
      </c>
      <c r="D48" s="344"/>
      <c r="E48" s="345"/>
      <c r="F48" s="345"/>
      <c r="G48" s="345"/>
      <c r="H48" s="23" t="s">
        <v>1505</v>
      </c>
      <c r="I48" s="23" t="s">
        <v>1494</v>
      </c>
      <c r="J48" s="170"/>
      <c r="K48" s="25" t="s">
        <v>294</v>
      </c>
      <c r="L48" s="25"/>
      <c r="M48" s="43"/>
      <c r="N48" s="55"/>
      <c r="O48" s="28"/>
      <c r="P48" s="28"/>
      <c r="Q48" s="50" t="s">
        <v>140</v>
      </c>
      <c r="R48" s="25"/>
      <c r="S48" s="50"/>
      <c r="T48" s="65"/>
      <c r="U48" s="65"/>
      <c r="V48" s="65"/>
      <c r="W48" s="65"/>
      <c r="X48" s="65"/>
      <c r="Y48" s="65"/>
      <c r="Z48" s="65"/>
      <c r="AA48" s="65"/>
    </row>
    <row r="49" spans="1:27" ht="15.75" customHeight="1">
      <c r="A49" s="345"/>
      <c r="B49" s="345"/>
      <c r="C49" s="31">
        <v>13</v>
      </c>
      <c r="D49" s="345"/>
      <c r="E49" s="47" t="s">
        <v>1506</v>
      </c>
      <c r="F49" s="31" t="s">
        <v>361</v>
      </c>
      <c r="G49" s="31" t="s">
        <v>327</v>
      </c>
      <c r="H49" s="23" t="s">
        <v>1507</v>
      </c>
      <c r="I49" s="23" t="s">
        <v>1494</v>
      </c>
      <c r="J49" s="170"/>
      <c r="K49" s="25" t="s">
        <v>294</v>
      </c>
      <c r="L49" s="25"/>
      <c r="M49" s="43"/>
      <c r="N49" s="55"/>
      <c r="O49" s="28"/>
      <c r="P49" s="28"/>
      <c r="Q49" s="50" t="s">
        <v>140</v>
      </c>
      <c r="R49" s="25"/>
      <c r="S49" s="50"/>
      <c r="T49" s="65"/>
      <c r="U49" s="65"/>
      <c r="V49" s="65"/>
      <c r="W49" s="65"/>
      <c r="X49" s="65"/>
      <c r="Y49" s="65"/>
      <c r="Z49" s="65"/>
      <c r="AA49" s="65"/>
    </row>
    <row r="50" spans="1:27" ht="33" customHeight="1">
      <c r="A50" s="368" t="s">
        <v>1508</v>
      </c>
      <c r="B50" s="350" t="s">
        <v>1509</v>
      </c>
      <c r="C50" s="31">
        <v>1</v>
      </c>
      <c r="D50" s="368" t="s">
        <v>1510</v>
      </c>
      <c r="E50" s="355" t="s">
        <v>1511</v>
      </c>
      <c r="F50" s="31" t="s">
        <v>326</v>
      </c>
      <c r="G50" s="31" t="s">
        <v>524</v>
      </c>
      <c r="H50" s="23" t="s">
        <v>1512</v>
      </c>
      <c r="I50" s="23" t="s">
        <v>1513</v>
      </c>
      <c r="J50" s="170"/>
      <c r="K50" s="25" t="s">
        <v>294</v>
      </c>
      <c r="L50" s="25"/>
      <c r="M50" s="43"/>
      <c r="N50" s="55"/>
      <c r="O50" s="28"/>
      <c r="P50" s="50" t="s">
        <v>140</v>
      </c>
      <c r="Q50" s="50" t="s">
        <v>140</v>
      </c>
      <c r="R50" s="25"/>
      <c r="S50" s="50"/>
      <c r="T50" s="65"/>
      <c r="U50" s="65"/>
      <c r="V50" s="65"/>
      <c r="W50" s="65"/>
      <c r="X50" s="65"/>
      <c r="Y50" s="65"/>
      <c r="Z50" s="65"/>
      <c r="AA50" s="65"/>
    </row>
    <row r="51" spans="1:27" ht="15.75" customHeight="1">
      <c r="A51" s="344"/>
      <c r="B51" s="344"/>
      <c r="C51" s="31">
        <v>2</v>
      </c>
      <c r="D51" s="344"/>
      <c r="E51" s="345"/>
      <c r="F51" s="31" t="s">
        <v>326</v>
      </c>
      <c r="G51" s="31" t="s">
        <v>349</v>
      </c>
      <c r="H51" s="23" t="s">
        <v>1514</v>
      </c>
      <c r="I51" s="23" t="s">
        <v>1515</v>
      </c>
      <c r="J51" s="170"/>
      <c r="K51" s="25" t="s">
        <v>294</v>
      </c>
      <c r="L51" s="25"/>
      <c r="M51" s="43"/>
      <c r="N51" s="55"/>
      <c r="O51" s="28"/>
      <c r="P51" s="50" t="s">
        <v>140</v>
      </c>
      <c r="Q51" s="50" t="s">
        <v>140</v>
      </c>
      <c r="R51" s="25"/>
      <c r="S51" s="50"/>
      <c r="T51" s="65"/>
      <c r="U51" s="65"/>
      <c r="V51" s="65"/>
      <c r="W51" s="65"/>
      <c r="X51" s="65"/>
      <c r="Y51" s="65"/>
      <c r="Z51" s="65"/>
      <c r="AA51" s="65"/>
    </row>
    <row r="52" spans="1:27" ht="15.75" customHeight="1">
      <c r="A52" s="344"/>
      <c r="B52" s="344"/>
      <c r="C52" s="31">
        <v>3</v>
      </c>
      <c r="D52" s="344"/>
      <c r="E52" s="23" t="s">
        <v>1516</v>
      </c>
      <c r="F52" s="31" t="s">
        <v>326</v>
      </c>
      <c r="G52" s="31" t="s">
        <v>524</v>
      </c>
      <c r="H52" s="23" t="s">
        <v>1517</v>
      </c>
      <c r="I52" s="23" t="s">
        <v>1513</v>
      </c>
      <c r="J52" s="170"/>
      <c r="K52" s="25" t="s">
        <v>294</v>
      </c>
      <c r="L52" s="25"/>
      <c r="M52" s="43"/>
      <c r="N52" s="55"/>
      <c r="O52" s="28"/>
      <c r="P52" s="28"/>
      <c r="Q52" s="50" t="s">
        <v>140</v>
      </c>
      <c r="R52" s="25"/>
      <c r="S52" s="50"/>
      <c r="T52" s="65"/>
      <c r="U52" s="65"/>
      <c r="V52" s="65"/>
      <c r="W52" s="65"/>
      <c r="X52" s="65"/>
      <c r="Y52" s="65"/>
      <c r="Z52" s="65"/>
      <c r="AA52" s="65"/>
    </row>
    <row r="53" spans="1:27" ht="15.75" customHeight="1">
      <c r="A53" s="344"/>
      <c r="B53" s="344"/>
      <c r="C53" s="31">
        <v>4</v>
      </c>
      <c r="D53" s="344"/>
      <c r="E53" s="23" t="s">
        <v>1518</v>
      </c>
      <c r="F53" s="31" t="s">
        <v>326</v>
      </c>
      <c r="G53" s="31" t="s">
        <v>524</v>
      </c>
      <c r="H53" s="23" t="s">
        <v>1519</v>
      </c>
      <c r="I53" s="23" t="s">
        <v>1520</v>
      </c>
      <c r="J53" s="170"/>
      <c r="K53" s="25"/>
      <c r="L53" s="25"/>
      <c r="M53" s="43"/>
      <c r="N53" s="55"/>
      <c r="O53" s="28"/>
      <c r="P53" s="28"/>
      <c r="Q53" s="89" t="s">
        <v>393</v>
      </c>
      <c r="R53" s="25"/>
      <c r="S53" s="50"/>
      <c r="T53" s="65"/>
      <c r="U53" s="65"/>
      <c r="V53" s="65"/>
      <c r="W53" s="65"/>
      <c r="X53" s="65"/>
      <c r="Y53" s="65"/>
      <c r="Z53" s="65"/>
      <c r="AA53" s="65"/>
    </row>
    <row r="54" spans="1:27" ht="15.75" customHeight="1">
      <c r="A54" s="344"/>
      <c r="B54" s="344"/>
      <c r="C54" s="31">
        <v>5</v>
      </c>
      <c r="D54" s="344"/>
      <c r="E54" s="23" t="s">
        <v>1521</v>
      </c>
      <c r="F54" s="31" t="s">
        <v>326</v>
      </c>
      <c r="G54" s="31" t="s">
        <v>524</v>
      </c>
      <c r="H54" s="23" t="s">
        <v>1522</v>
      </c>
      <c r="I54" s="23" t="s">
        <v>1513</v>
      </c>
      <c r="J54" s="170"/>
      <c r="K54" s="25" t="s">
        <v>294</v>
      </c>
      <c r="L54" s="25"/>
      <c r="M54" s="43"/>
      <c r="N54" s="55"/>
      <c r="O54" s="28"/>
      <c r="P54" s="28"/>
      <c r="Q54" s="50" t="s">
        <v>140</v>
      </c>
      <c r="R54" s="25"/>
      <c r="S54" s="50"/>
      <c r="T54" s="65"/>
      <c r="U54" s="65"/>
      <c r="V54" s="65"/>
      <c r="W54" s="65"/>
      <c r="X54" s="65"/>
      <c r="Y54" s="65"/>
      <c r="Z54" s="65"/>
      <c r="AA54" s="65"/>
    </row>
    <row r="55" spans="1:27" ht="15.75" customHeight="1">
      <c r="A55" s="345"/>
      <c r="B55" s="345"/>
      <c r="C55" s="31">
        <v>6</v>
      </c>
      <c r="D55" s="345"/>
      <c r="E55" s="23" t="s">
        <v>1523</v>
      </c>
      <c r="F55" s="31" t="s">
        <v>361</v>
      </c>
      <c r="G55" s="31" t="s">
        <v>1524</v>
      </c>
      <c r="H55" s="23" t="s">
        <v>1525</v>
      </c>
      <c r="I55" s="23" t="s">
        <v>1513</v>
      </c>
      <c r="J55" s="170"/>
      <c r="K55" s="25" t="s">
        <v>294</v>
      </c>
      <c r="L55" s="25"/>
      <c r="M55" s="43"/>
      <c r="N55" s="55"/>
      <c r="O55" s="28"/>
      <c r="P55" s="28"/>
      <c r="Q55" s="50" t="s">
        <v>140</v>
      </c>
      <c r="R55" s="25"/>
      <c r="S55" s="50"/>
      <c r="T55" s="65"/>
      <c r="U55" s="65"/>
      <c r="V55" s="65"/>
      <c r="W55" s="65"/>
      <c r="X55" s="65"/>
      <c r="Y55" s="65"/>
      <c r="Z55" s="65"/>
      <c r="AA55" s="65"/>
    </row>
    <row r="56" spans="1:27" ht="15.75" customHeight="1">
      <c r="A56" s="361" t="s">
        <v>1526</v>
      </c>
      <c r="B56" s="354" t="s">
        <v>196</v>
      </c>
      <c r="C56" s="86">
        <v>1</v>
      </c>
      <c r="D56" s="361" t="s">
        <v>1527</v>
      </c>
      <c r="E56" s="351" t="s">
        <v>1528</v>
      </c>
      <c r="F56" s="86" t="s">
        <v>326</v>
      </c>
      <c r="G56" s="86" t="s">
        <v>524</v>
      </c>
      <c r="H56" s="175" t="s">
        <v>1512</v>
      </c>
      <c r="I56" s="35" t="s">
        <v>1513</v>
      </c>
      <c r="J56" s="172"/>
      <c r="K56" s="25"/>
      <c r="L56" s="25"/>
      <c r="M56" s="43"/>
      <c r="N56" s="55"/>
      <c r="O56" s="28"/>
      <c r="P56" s="28"/>
      <c r="Q56" s="50" t="s">
        <v>282</v>
      </c>
      <c r="R56" s="25" t="s">
        <v>305</v>
      </c>
      <c r="S56" s="50"/>
      <c r="T56" s="65"/>
      <c r="U56" s="65"/>
      <c r="V56" s="65"/>
      <c r="W56" s="65"/>
      <c r="X56" s="65"/>
      <c r="Y56" s="65"/>
      <c r="Z56" s="65"/>
      <c r="AA56" s="65"/>
    </row>
    <row r="57" spans="1:27" ht="15.75" customHeight="1">
      <c r="A57" s="352"/>
      <c r="B57" s="352"/>
      <c r="C57" s="86">
        <v>2</v>
      </c>
      <c r="D57" s="352"/>
      <c r="E57" s="353"/>
      <c r="F57" s="86" t="s">
        <v>326</v>
      </c>
      <c r="G57" s="86" t="s">
        <v>349</v>
      </c>
      <c r="H57" s="175" t="s">
        <v>1514</v>
      </c>
      <c r="I57" s="35" t="s">
        <v>1515</v>
      </c>
      <c r="J57" s="172"/>
      <c r="K57" s="25"/>
      <c r="L57" s="25"/>
      <c r="M57" s="43"/>
      <c r="N57" s="55"/>
      <c r="O57" s="28"/>
      <c r="P57" s="28"/>
      <c r="Q57" s="50" t="s">
        <v>282</v>
      </c>
      <c r="R57" s="25" t="s">
        <v>305</v>
      </c>
      <c r="S57" s="50"/>
      <c r="T57" s="65"/>
      <c r="U57" s="65"/>
      <c r="V57" s="65"/>
      <c r="W57" s="65"/>
      <c r="X57" s="65"/>
      <c r="Y57" s="65"/>
      <c r="Z57" s="65"/>
      <c r="AA57" s="65"/>
    </row>
    <row r="58" spans="1:27" ht="15.75" customHeight="1">
      <c r="A58" s="352"/>
      <c r="B58" s="352"/>
      <c r="C58" s="86">
        <v>3</v>
      </c>
      <c r="D58" s="352"/>
      <c r="E58" s="175" t="s">
        <v>1516</v>
      </c>
      <c r="F58" s="86" t="s">
        <v>326</v>
      </c>
      <c r="G58" s="86" t="s">
        <v>524</v>
      </c>
      <c r="H58" s="175" t="s">
        <v>1517</v>
      </c>
      <c r="I58" s="35" t="s">
        <v>1513</v>
      </c>
      <c r="J58" s="172"/>
      <c r="K58" s="25"/>
      <c r="L58" s="25"/>
      <c r="M58" s="43"/>
      <c r="N58" s="55"/>
      <c r="O58" s="28"/>
      <c r="P58" s="28"/>
      <c r="Q58" s="50" t="s">
        <v>282</v>
      </c>
      <c r="R58" s="25" t="s">
        <v>305</v>
      </c>
      <c r="S58" s="50"/>
      <c r="T58" s="65"/>
      <c r="U58" s="65"/>
      <c r="V58" s="65"/>
      <c r="W58" s="65"/>
      <c r="X58" s="65"/>
      <c r="Y58" s="65"/>
      <c r="Z58" s="65"/>
      <c r="AA58" s="65"/>
    </row>
    <row r="59" spans="1:27" ht="15.75" customHeight="1">
      <c r="A59" s="352"/>
      <c r="B59" s="352"/>
      <c r="C59" s="86">
        <v>4</v>
      </c>
      <c r="D59" s="352"/>
      <c r="E59" s="175" t="s">
        <v>1529</v>
      </c>
      <c r="F59" s="86"/>
      <c r="G59" s="86"/>
      <c r="H59" s="175" t="s">
        <v>1530</v>
      </c>
      <c r="I59" s="35" t="s">
        <v>1531</v>
      </c>
      <c r="J59" s="172"/>
      <c r="K59" s="25"/>
      <c r="L59" s="25"/>
      <c r="M59" s="43"/>
      <c r="N59" s="55"/>
      <c r="O59" s="28"/>
      <c r="P59" s="28"/>
      <c r="Q59" s="50" t="s">
        <v>282</v>
      </c>
      <c r="R59" s="25" t="s">
        <v>305</v>
      </c>
      <c r="S59" s="50"/>
      <c r="T59" s="65"/>
      <c r="U59" s="65"/>
      <c r="V59" s="65"/>
      <c r="W59" s="65"/>
      <c r="X59" s="65"/>
      <c r="Y59" s="65"/>
      <c r="Z59" s="65"/>
      <c r="AA59" s="65"/>
    </row>
    <row r="60" spans="1:27" ht="15.75" customHeight="1">
      <c r="A60" s="352"/>
      <c r="B60" s="352"/>
      <c r="C60" s="86">
        <v>5</v>
      </c>
      <c r="D60" s="352"/>
      <c r="E60" s="175" t="s">
        <v>1518</v>
      </c>
      <c r="F60" s="86" t="s">
        <v>326</v>
      </c>
      <c r="G60" s="86" t="s">
        <v>524</v>
      </c>
      <c r="H60" s="175" t="s">
        <v>1519</v>
      </c>
      <c r="I60" s="35" t="s">
        <v>1520</v>
      </c>
      <c r="J60" s="172"/>
      <c r="K60" s="25"/>
      <c r="L60" s="25"/>
      <c r="M60" s="43"/>
      <c r="N60" s="55"/>
      <c r="O60" s="28"/>
      <c r="P60" s="28"/>
      <c r="Q60" s="50" t="s">
        <v>282</v>
      </c>
      <c r="R60" s="25" t="s">
        <v>305</v>
      </c>
      <c r="S60" s="50"/>
      <c r="T60" s="65"/>
      <c r="U60" s="65"/>
      <c r="V60" s="65"/>
      <c r="W60" s="65"/>
      <c r="X60" s="65"/>
      <c r="Y60" s="65"/>
      <c r="Z60" s="65"/>
      <c r="AA60" s="65"/>
    </row>
    <row r="61" spans="1:27" ht="15.75" customHeight="1">
      <c r="A61" s="352"/>
      <c r="B61" s="352"/>
      <c r="C61" s="86">
        <v>6</v>
      </c>
      <c r="D61" s="352"/>
      <c r="E61" s="175" t="s">
        <v>1521</v>
      </c>
      <c r="F61" s="86" t="s">
        <v>326</v>
      </c>
      <c r="G61" s="86" t="s">
        <v>524</v>
      </c>
      <c r="H61" s="175" t="s">
        <v>1522</v>
      </c>
      <c r="I61" s="35" t="s">
        <v>1513</v>
      </c>
      <c r="J61" s="172"/>
      <c r="K61" s="25"/>
      <c r="L61" s="25"/>
      <c r="M61" s="43"/>
      <c r="N61" s="55"/>
      <c r="O61" s="28"/>
      <c r="P61" s="28"/>
      <c r="Q61" s="50" t="s">
        <v>282</v>
      </c>
      <c r="R61" s="25" t="s">
        <v>305</v>
      </c>
      <c r="S61" s="50"/>
      <c r="T61" s="65"/>
      <c r="U61" s="65"/>
      <c r="V61" s="65"/>
      <c r="W61" s="65"/>
      <c r="X61" s="65"/>
      <c r="Y61" s="65"/>
      <c r="Z61" s="65"/>
      <c r="AA61" s="65"/>
    </row>
    <row r="62" spans="1:27" ht="15.75" customHeight="1">
      <c r="A62" s="353"/>
      <c r="B62" s="353"/>
      <c r="C62" s="86">
        <v>7</v>
      </c>
      <c r="D62" s="353"/>
      <c r="E62" s="175" t="s">
        <v>1523</v>
      </c>
      <c r="F62" s="86" t="s">
        <v>361</v>
      </c>
      <c r="G62" s="86" t="s">
        <v>1524</v>
      </c>
      <c r="H62" s="175" t="s">
        <v>1532</v>
      </c>
      <c r="I62" s="35" t="s">
        <v>1513</v>
      </c>
      <c r="J62" s="172"/>
      <c r="K62" s="25"/>
      <c r="L62" s="25"/>
      <c r="M62" s="43"/>
      <c r="N62" s="55"/>
      <c r="O62" s="28"/>
      <c r="P62" s="28"/>
      <c r="Q62" s="50" t="s">
        <v>282</v>
      </c>
      <c r="R62" s="25" t="s">
        <v>305</v>
      </c>
      <c r="S62" s="50"/>
      <c r="T62" s="65"/>
      <c r="U62" s="65"/>
      <c r="V62" s="65"/>
      <c r="W62" s="65"/>
      <c r="X62" s="65"/>
      <c r="Y62" s="65"/>
      <c r="Z62" s="65"/>
      <c r="AA62" s="65"/>
    </row>
    <row r="63" spans="1:27" ht="15.75" customHeight="1">
      <c r="A63" s="368" t="s">
        <v>1533</v>
      </c>
      <c r="B63" s="350" t="s">
        <v>167</v>
      </c>
      <c r="C63" s="31">
        <v>1</v>
      </c>
      <c r="D63" s="368" t="s">
        <v>1534</v>
      </c>
      <c r="E63" s="372" t="s">
        <v>1535</v>
      </c>
      <c r="F63" s="31" t="s">
        <v>361</v>
      </c>
      <c r="G63" s="31" t="s">
        <v>327</v>
      </c>
      <c r="H63" s="23" t="s">
        <v>1536</v>
      </c>
      <c r="I63" s="23" t="s">
        <v>1537</v>
      </c>
      <c r="J63" s="170"/>
      <c r="K63" s="25"/>
      <c r="L63" s="25"/>
      <c r="M63" s="377" t="s">
        <v>1538</v>
      </c>
      <c r="N63" s="55"/>
      <c r="O63" s="28" t="s">
        <v>140</v>
      </c>
      <c r="P63" s="28"/>
      <c r="Q63" s="50" t="s">
        <v>282</v>
      </c>
      <c r="R63" s="25"/>
      <c r="S63" s="50" t="s">
        <v>140</v>
      </c>
      <c r="T63" s="30"/>
      <c r="U63" s="30"/>
      <c r="V63" s="30"/>
      <c r="W63" s="30"/>
      <c r="X63" s="30"/>
      <c r="Y63" s="30"/>
      <c r="Z63" s="30"/>
      <c r="AA63" s="30"/>
    </row>
    <row r="64" spans="1:27" ht="15.75" customHeight="1">
      <c r="A64" s="344"/>
      <c r="B64" s="344"/>
      <c r="C64" s="31">
        <v>2</v>
      </c>
      <c r="D64" s="344"/>
      <c r="E64" s="344"/>
      <c r="F64" s="31" t="s">
        <v>361</v>
      </c>
      <c r="G64" s="31" t="s">
        <v>327</v>
      </c>
      <c r="H64" s="23" t="s">
        <v>1539</v>
      </c>
      <c r="I64" s="23" t="s">
        <v>1540</v>
      </c>
      <c r="J64" s="170"/>
      <c r="K64" s="25"/>
      <c r="L64" s="25"/>
      <c r="M64" s="344"/>
      <c r="N64" s="55"/>
      <c r="O64" s="28"/>
      <c r="P64" s="28"/>
      <c r="Q64" s="50" t="s">
        <v>282</v>
      </c>
      <c r="R64" s="25"/>
      <c r="S64" s="50" t="s">
        <v>140</v>
      </c>
      <c r="T64" s="30"/>
      <c r="U64" s="30"/>
      <c r="V64" s="30"/>
      <c r="W64" s="30"/>
      <c r="X64" s="30"/>
      <c r="Y64" s="30"/>
      <c r="Z64" s="30"/>
      <c r="AA64" s="30"/>
    </row>
    <row r="65" spans="1:27" ht="15.75" customHeight="1">
      <c r="A65" s="344"/>
      <c r="B65" s="344"/>
      <c r="C65" s="31">
        <v>3</v>
      </c>
      <c r="D65" s="344"/>
      <c r="E65" s="344"/>
      <c r="F65" s="31" t="s">
        <v>361</v>
      </c>
      <c r="G65" s="31" t="s">
        <v>327</v>
      </c>
      <c r="H65" s="23" t="s">
        <v>1541</v>
      </c>
      <c r="I65" s="23" t="s">
        <v>1542</v>
      </c>
      <c r="J65" s="170"/>
      <c r="K65" s="25"/>
      <c r="L65" s="25"/>
      <c r="M65" s="344"/>
      <c r="N65" s="55"/>
      <c r="O65" s="28"/>
      <c r="P65" s="28"/>
      <c r="Q65" s="50" t="s">
        <v>282</v>
      </c>
      <c r="R65" s="25"/>
      <c r="S65" s="50" t="s">
        <v>140</v>
      </c>
      <c r="T65" s="30"/>
      <c r="U65" s="30"/>
      <c r="V65" s="30"/>
      <c r="W65" s="30"/>
      <c r="X65" s="30"/>
      <c r="Y65" s="30"/>
      <c r="Z65" s="30"/>
      <c r="AA65" s="30"/>
    </row>
    <row r="66" spans="1:27" ht="15.75" customHeight="1">
      <c r="A66" s="344"/>
      <c r="B66" s="344"/>
      <c r="C66" s="31">
        <v>4</v>
      </c>
      <c r="D66" s="344"/>
      <c r="E66" s="345"/>
      <c r="F66" s="31" t="s">
        <v>361</v>
      </c>
      <c r="G66" s="31" t="s">
        <v>327</v>
      </c>
      <c r="H66" s="23" t="s">
        <v>1543</v>
      </c>
      <c r="I66" s="23" t="s">
        <v>1544</v>
      </c>
      <c r="J66" s="170"/>
      <c r="K66" s="25"/>
      <c r="L66" s="25"/>
      <c r="M66" s="344"/>
      <c r="N66" s="55"/>
      <c r="O66" s="28"/>
      <c r="P66" s="28"/>
      <c r="Q66" s="50" t="s">
        <v>282</v>
      </c>
      <c r="R66" s="25"/>
      <c r="S66" s="50" t="s">
        <v>140</v>
      </c>
      <c r="T66" s="30"/>
      <c r="U66" s="30"/>
      <c r="V66" s="30"/>
      <c r="W66" s="30"/>
      <c r="X66" s="30"/>
      <c r="Y66" s="30"/>
      <c r="Z66" s="30"/>
      <c r="AA66" s="30"/>
    </row>
    <row r="67" spans="1:27" ht="15.75" customHeight="1">
      <c r="A67" s="344"/>
      <c r="B67" s="344"/>
      <c r="C67" s="31">
        <v>5</v>
      </c>
      <c r="D67" s="344"/>
      <c r="E67" s="368" t="s">
        <v>1545</v>
      </c>
      <c r="F67" s="31" t="s">
        <v>361</v>
      </c>
      <c r="G67" s="31" t="s">
        <v>327</v>
      </c>
      <c r="H67" s="23" t="s">
        <v>1546</v>
      </c>
      <c r="I67" s="23" t="s">
        <v>1547</v>
      </c>
      <c r="J67" s="170"/>
      <c r="K67" s="25"/>
      <c r="L67" s="25"/>
      <c r="M67" s="344"/>
      <c r="N67" s="55"/>
      <c r="O67" s="28"/>
      <c r="P67" s="28"/>
      <c r="Q67" s="50" t="s">
        <v>282</v>
      </c>
      <c r="R67" s="25"/>
      <c r="S67" s="50" t="s">
        <v>140</v>
      </c>
      <c r="T67" s="30"/>
      <c r="U67" s="30"/>
      <c r="V67" s="30"/>
      <c r="W67" s="30"/>
      <c r="X67" s="30"/>
      <c r="Y67" s="30"/>
      <c r="Z67" s="30"/>
      <c r="AA67" s="30"/>
    </row>
    <row r="68" spans="1:27" ht="15.75" customHeight="1">
      <c r="A68" s="344"/>
      <c r="B68" s="344"/>
      <c r="C68" s="31">
        <v>6</v>
      </c>
      <c r="D68" s="344"/>
      <c r="E68" s="344"/>
      <c r="F68" s="31" t="s">
        <v>361</v>
      </c>
      <c r="G68" s="31" t="s">
        <v>327</v>
      </c>
      <c r="H68" s="23" t="s">
        <v>1548</v>
      </c>
      <c r="I68" s="23" t="s">
        <v>1549</v>
      </c>
      <c r="J68" s="170"/>
      <c r="K68" s="25"/>
      <c r="L68" s="25"/>
      <c r="M68" s="344"/>
      <c r="N68" s="55"/>
      <c r="O68" s="28"/>
      <c r="P68" s="28"/>
      <c r="Q68" s="50" t="s">
        <v>282</v>
      </c>
      <c r="R68" s="25"/>
      <c r="S68" s="50" t="s">
        <v>140</v>
      </c>
      <c r="T68" s="30"/>
      <c r="U68" s="30"/>
      <c r="V68" s="30"/>
      <c r="W68" s="30"/>
      <c r="X68" s="30"/>
      <c r="Y68" s="30"/>
      <c r="Z68" s="30"/>
      <c r="AA68" s="30"/>
    </row>
    <row r="69" spans="1:27" ht="15.75" customHeight="1">
      <c r="A69" s="344"/>
      <c r="B69" s="344"/>
      <c r="C69" s="31">
        <v>7</v>
      </c>
      <c r="D69" s="344"/>
      <c r="E69" s="344"/>
      <c r="F69" s="31" t="s">
        <v>361</v>
      </c>
      <c r="G69" s="31" t="s">
        <v>327</v>
      </c>
      <c r="H69" s="23" t="s">
        <v>1550</v>
      </c>
      <c r="I69" s="23" t="s">
        <v>1551</v>
      </c>
      <c r="J69" s="170"/>
      <c r="K69" s="25"/>
      <c r="L69" s="25"/>
      <c r="M69" s="344"/>
      <c r="N69" s="55"/>
      <c r="O69" s="28"/>
      <c r="P69" s="28"/>
      <c r="Q69" s="50" t="s">
        <v>282</v>
      </c>
      <c r="R69" s="25"/>
      <c r="S69" s="50" t="s">
        <v>140</v>
      </c>
      <c r="T69" s="30"/>
      <c r="U69" s="30"/>
      <c r="V69" s="30"/>
      <c r="W69" s="30"/>
      <c r="X69" s="30"/>
      <c r="Y69" s="30"/>
      <c r="Z69" s="30"/>
      <c r="AA69" s="30"/>
    </row>
    <row r="70" spans="1:27" ht="15.75" customHeight="1">
      <c r="A70" s="344"/>
      <c r="B70" s="344"/>
      <c r="C70" s="31">
        <v>8</v>
      </c>
      <c r="D70" s="344"/>
      <c r="E70" s="344"/>
      <c r="F70" s="31" t="s">
        <v>361</v>
      </c>
      <c r="G70" s="31" t="s">
        <v>327</v>
      </c>
      <c r="H70" s="23" t="s">
        <v>1548</v>
      </c>
      <c r="I70" s="23" t="s">
        <v>1549</v>
      </c>
      <c r="J70" s="170"/>
      <c r="K70" s="25"/>
      <c r="L70" s="25"/>
      <c r="M70" s="344"/>
      <c r="N70" s="55"/>
      <c r="O70" s="28"/>
      <c r="P70" s="28"/>
      <c r="Q70" s="50" t="s">
        <v>282</v>
      </c>
      <c r="R70" s="25"/>
      <c r="S70" s="50" t="s">
        <v>140</v>
      </c>
      <c r="T70" s="30"/>
      <c r="U70" s="30"/>
      <c r="V70" s="30"/>
      <c r="W70" s="30"/>
      <c r="X70" s="30"/>
      <c r="Y70" s="30"/>
      <c r="Z70" s="30"/>
      <c r="AA70" s="30"/>
    </row>
    <row r="71" spans="1:27" ht="15.75" customHeight="1">
      <c r="A71" s="344"/>
      <c r="B71" s="344"/>
      <c r="C71" s="31">
        <v>9</v>
      </c>
      <c r="D71" s="344"/>
      <c r="E71" s="344"/>
      <c r="F71" s="31" t="s">
        <v>361</v>
      </c>
      <c r="G71" s="31" t="s">
        <v>327</v>
      </c>
      <c r="H71" s="23" t="s">
        <v>1552</v>
      </c>
      <c r="I71" s="23" t="s">
        <v>1553</v>
      </c>
      <c r="J71" s="170"/>
      <c r="K71" s="25"/>
      <c r="L71" s="25"/>
      <c r="M71" s="344"/>
      <c r="N71" s="55"/>
      <c r="O71" s="28"/>
      <c r="P71" s="28"/>
      <c r="Q71" s="50" t="s">
        <v>282</v>
      </c>
      <c r="R71" s="25"/>
      <c r="S71" s="50" t="s">
        <v>140</v>
      </c>
      <c r="T71" s="30"/>
      <c r="U71" s="30"/>
      <c r="V71" s="30"/>
      <c r="W71" s="30"/>
      <c r="X71" s="30"/>
      <c r="Y71" s="30"/>
      <c r="Z71" s="30"/>
      <c r="AA71" s="30"/>
    </row>
    <row r="72" spans="1:27" ht="15.75" customHeight="1">
      <c r="A72" s="344"/>
      <c r="B72" s="344"/>
      <c r="C72" s="31">
        <v>10</v>
      </c>
      <c r="D72" s="344"/>
      <c r="E72" s="345"/>
      <c r="F72" s="31" t="s">
        <v>361</v>
      </c>
      <c r="G72" s="31" t="s">
        <v>327</v>
      </c>
      <c r="H72" s="23" t="s">
        <v>1548</v>
      </c>
      <c r="I72" s="23" t="s">
        <v>1549</v>
      </c>
      <c r="J72" s="170"/>
      <c r="K72" s="25"/>
      <c r="L72" s="25"/>
      <c r="M72" s="344"/>
      <c r="N72" s="55"/>
      <c r="O72" s="28"/>
      <c r="P72" s="28"/>
      <c r="Q72" s="50" t="s">
        <v>282</v>
      </c>
      <c r="R72" s="25"/>
      <c r="S72" s="50" t="s">
        <v>140</v>
      </c>
      <c r="T72" s="30"/>
      <c r="U72" s="30"/>
      <c r="V72" s="30"/>
      <c r="W72" s="30"/>
      <c r="X72" s="30"/>
      <c r="Y72" s="30"/>
      <c r="Z72" s="30"/>
      <c r="AA72" s="30"/>
    </row>
    <row r="73" spans="1:27" ht="15.75" customHeight="1">
      <c r="A73" s="344"/>
      <c r="B73" s="344"/>
      <c r="C73" s="31">
        <v>11</v>
      </c>
      <c r="D73" s="344"/>
      <c r="E73" s="39" t="s">
        <v>1554</v>
      </c>
      <c r="F73" s="31" t="s">
        <v>361</v>
      </c>
      <c r="G73" s="31" t="s">
        <v>327</v>
      </c>
      <c r="H73" s="23" t="s">
        <v>1555</v>
      </c>
      <c r="I73" s="23" t="s">
        <v>1556</v>
      </c>
      <c r="J73" s="170"/>
      <c r="K73" s="25"/>
      <c r="L73" s="25"/>
      <c r="M73" s="344"/>
      <c r="N73" s="55"/>
      <c r="O73" s="28"/>
      <c r="P73" s="28"/>
      <c r="Q73" s="50" t="s">
        <v>282</v>
      </c>
      <c r="R73" s="25"/>
      <c r="S73" s="50" t="s">
        <v>140</v>
      </c>
      <c r="T73" s="30"/>
      <c r="U73" s="30"/>
      <c r="V73" s="30"/>
      <c r="W73" s="30"/>
      <c r="X73" s="30"/>
      <c r="Y73" s="30"/>
      <c r="Z73" s="30"/>
      <c r="AA73" s="30"/>
    </row>
    <row r="74" spans="1:27" ht="49.5" customHeight="1">
      <c r="A74" s="345"/>
      <c r="B74" s="345"/>
      <c r="C74" s="31">
        <v>12</v>
      </c>
      <c r="D74" s="345"/>
      <c r="E74" s="80" t="s">
        <v>1557</v>
      </c>
      <c r="F74" s="74" t="s">
        <v>361</v>
      </c>
      <c r="G74" s="74" t="s">
        <v>327</v>
      </c>
      <c r="H74" s="47" t="s">
        <v>1558</v>
      </c>
      <c r="I74" s="47" t="s">
        <v>1559</v>
      </c>
      <c r="J74" s="168"/>
      <c r="K74" s="25"/>
      <c r="L74" s="25"/>
      <c r="M74" s="344"/>
      <c r="N74" s="55"/>
      <c r="O74" s="28"/>
      <c r="P74" s="28"/>
      <c r="Q74" s="50" t="s">
        <v>282</v>
      </c>
      <c r="R74" s="25"/>
      <c r="S74" s="50" t="s">
        <v>140</v>
      </c>
      <c r="T74" s="30"/>
      <c r="U74" s="30"/>
      <c r="V74" s="30"/>
      <c r="W74" s="30"/>
      <c r="X74" s="30"/>
      <c r="Y74" s="30"/>
      <c r="Z74" s="30"/>
      <c r="AA74" s="30"/>
    </row>
    <row r="75" spans="1:27" ht="15.75" customHeight="1">
      <c r="A75" s="368" t="s">
        <v>1560</v>
      </c>
      <c r="B75" s="350" t="s">
        <v>153</v>
      </c>
      <c r="C75" s="31">
        <v>1</v>
      </c>
      <c r="D75" s="368" t="s">
        <v>1561</v>
      </c>
      <c r="E75" s="39" t="s">
        <v>1562</v>
      </c>
      <c r="F75" s="31" t="s">
        <v>361</v>
      </c>
      <c r="G75" s="31" t="s">
        <v>327</v>
      </c>
      <c r="H75" s="23" t="s">
        <v>1563</v>
      </c>
      <c r="I75" s="23" t="s">
        <v>1564</v>
      </c>
      <c r="J75" s="170"/>
      <c r="K75" s="25"/>
      <c r="L75" s="25"/>
      <c r="M75" s="344"/>
      <c r="N75" s="55"/>
      <c r="O75" s="28"/>
      <c r="P75" s="28"/>
      <c r="Q75" s="50" t="s">
        <v>282</v>
      </c>
      <c r="R75" s="25"/>
      <c r="S75" s="50" t="s">
        <v>140</v>
      </c>
      <c r="T75" s="30"/>
      <c r="U75" s="30"/>
      <c r="V75" s="30"/>
      <c r="W75" s="30"/>
      <c r="X75" s="30"/>
      <c r="Y75" s="30"/>
      <c r="Z75" s="30"/>
      <c r="AA75" s="30"/>
    </row>
    <row r="76" spans="1:27" ht="15.75" customHeight="1">
      <c r="A76" s="344"/>
      <c r="B76" s="344"/>
      <c r="C76" s="31">
        <v>2</v>
      </c>
      <c r="D76" s="344"/>
      <c r="E76" s="23" t="s">
        <v>1565</v>
      </c>
      <c r="F76" s="31" t="s">
        <v>361</v>
      </c>
      <c r="G76" s="31" t="s">
        <v>327</v>
      </c>
      <c r="H76" s="23" t="s">
        <v>1566</v>
      </c>
      <c r="I76" s="23" t="s">
        <v>1567</v>
      </c>
      <c r="J76" s="170"/>
      <c r="K76" s="25"/>
      <c r="L76" s="25"/>
      <c r="M76" s="344"/>
      <c r="N76" s="55"/>
      <c r="O76" s="28"/>
      <c r="P76" s="28"/>
      <c r="Q76" s="50" t="s">
        <v>282</v>
      </c>
      <c r="R76" s="25"/>
      <c r="S76" s="50" t="s">
        <v>140</v>
      </c>
      <c r="T76" s="30"/>
      <c r="U76" s="30"/>
      <c r="V76" s="30"/>
      <c r="W76" s="30"/>
      <c r="X76" s="30"/>
      <c r="Y76" s="30"/>
      <c r="Z76" s="30"/>
      <c r="AA76" s="30"/>
    </row>
    <row r="77" spans="1:27" ht="15.75" customHeight="1">
      <c r="A77" s="344"/>
      <c r="B77" s="344"/>
      <c r="C77" s="31">
        <v>3</v>
      </c>
      <c r="D77" s="344"/>
      <c r="E77" s="23" t="s">
        <v>1568</v>
      </c>
      <c r="F77" s="31" t="s">
        <v>361</v>
      </c>
      <c r="G77" s="31" t="s">
        <v>327</v>
      </c>
      <c r="H77" s="23" t="s">
        <v>1569</v>
      </c>
      <c r="I77" s="23" t="s">
        <v>1564</v>
      </c>
      <c r="J77" s="170"/>
      <c r="K77" s="25"/>
      <c r="L77" s="25"/>
      <c r="M77" s="344"/>
      <c r="N77" s="55"/>
      <c r="O77" s="28"/>
      <c r="P77" s="28"/>
      <c r="Q77" s="50" t="s">
        <v>282</v>
      </c>
      <c r="R77" s="25"/>
      <c r="S77" s="50" t="s">
        <v>140</v>
      </c>
      <c r="T77" s="30"/>
      <c r="U77" s="30"/>
      <c r="V77" s="30"/>
      <c r="W77" s="30"/>
      <c r="X77" s="30"/>
      <c r="Y77" s="30"/>
      <c r="Z77" s="30"/>
      <c r="AA77" s="30"/>
    </row>
    <row r="78" spans="1:27" ht="15.75" customHeight="1">
      <c r="A78" s="344"/>
      <c r="B78" s="344"/>
      <c r="C78" s="31">
        <v>4</v>
      </c>
      <c r="D78" s="344"/>
      <c r="E78" s="23" t="s">
        <v>1570</v>
      </c>
      <c r="F78" s="31" t="s">
        <v>361</v>
      </c>
      <c r="G78" s="31" t="s">
        <v>327</v>
      </c>
      <c r="H78" s="23" t="s">
        <v>1571</v>
      </c>
      <c r="I78" s="23" t="s">
        <v>1567</v>
      </c>
      <c r="J78" s="170"/>
      <c r="K78" s="25"/>
      <c r="L78" s="25"/>
      <c r="M78" s="344"/>
      <c r="N78" s="55"/>
      <c r="O78" s="28"/>
      <c r="P78" s="28"/>
      <c r="Q78" s="50" t="s">
        <v>282</v>
      </c>
      <c r="R78" s="25"/>
      <c r="S78" s="50" t="s">
        <v>140</v>
      </c>
      <c r="T78" s="30"/>
      <c r="U78" s="30"/>
      <c r="V78" s="30"/>
      <c r="W78" s="30"/>
      <c r="X78" s="30"/>
      <c r="Y78" s="30"/>
      <c r="Z78" s="30"/>
      <c r="AA78" s="30"/>
    </row>
    <row r="79" spans="1:27" ht="15.75" customHeight="1">
      <c r="A79" s="344"/>
      <c r="B79" s="344"/>
      <c r="C79" s="31">
        <v>5</v>
      </c>
      <c r="D79" s="344"/>
      <c r="E79" s="23" t="s">
        <v>1572</v>
      </c>
      <c r="F79" s="31" t="s">
        <v>361</v>
      </c>
      <c r="G79" s="31" t="s">
        <v>327</v>
      </c>
      <c r="H79" s="23" t="s">
        <v>1573</v>
      </c>
      <c r="I79" s="23" t="s">
        <v>1567</v>
      </c>
      <c r="J79" s="170"/>
      <c r="K79" s="25"/>
      <c r="L79" s="25"/>
      <c r="M79" s="344"/>
      <c r="N79" s="55"/>
      <c r="O79" s="28"/>
      <c r="P79" s="28"/>
      <c r="Q79" s="50" t="s">
        <v>282</v>
      </c>
      <c r="R79" s="25"/>
      <c r="S79" s="50" t="s">
        <v>140</v>
      </c>
      <c r="T79" s="30"/>
      <c r="U79" s="30"/>
      <c r="V79" s="30"/>
      <c r="W79" s="30"/>
      <c r="X79" s="30"/>
      <c r="Y79" s="30"/>
      <c r="Z79" s="30"/>
      <c r="AA79" s="30"/>
    </row>
    <row r="80" spans="1:27" ht="15.75" customHeight="1">
      <c r="A80" s="344"/>
      <c r="B80" s="344"/>
      <c r="C80" s="31">
        <v>6</v>
      </c>
      <c r="D80" s="344"/>
      <c r="E80" s="23" t="s">
        <v>1574</v>
      </c>
      <c r="F80" s="31" t="s">
        <v>361</v>
      </c>
      <c r="G80" s="31" t="s">
        <v>327</v>
      </c>
      <c r="H80" s="23" t="s">
        <v>1575</v>
      </c>
      <c r="I80" s="23" t="s">
        <v>1567</v>
      </c>
      <c r="J80" s="170"/>
      <c r="K80" s="25"/>
      <c r="L80" s="25"/>
      <c r="M80" s="344"/>
      <c r="N80" s="55"/>
      <c r="O80" s="28"/>
      <c r="P80" s="28"/>
      <c r="Q80" s="50" t="s">
        <v>282</v>
      </c>
      <c r="R80" s="25"/>
      <c r="S80" s="50" t="s">
        <v>140</v>
      </c>
      <c r="T80" s="30"/>
      <c r="U80" s="30"/>
      <c r="V80" s="30"/>
      <c r="W80" s="30"/>
      <c r="X80" s="30"/>
      <c r="Y80" s="30"/>
      <c r="Z80" s="30"/>
      <c r="AA80" s="30"/>
    </row>
    <row r="81" spans="1:27" ht="15.75" customHeight="1">
      <c r="A81" s="344"/>
      <c r="B81" s="344"/>
      <c r="C81" s="31">
        <v>7</v>
      </c>
      <c r="D81" s="344"/>
      <c r="E81" s="23" t="s">
        <v>1576</v>
      </c>
      <c r="F81" s="31" t="s">
        <v>361</v>
      </c>
      <c r="G81" s="31" t="s">
        <v>327</v>
      </c>
      <c r="H81" s="23" t="s">
        <v>1577</v>
      </c>
      <c r="I81" s="23" t="s">
        <v>1567</v>
      </c>
      <c r="J81" s="170"/>
      <c r="K81" s="25"/>
      <c r="L81" s="25"/>
      <c r="M81" s="344"/>
      <c r="N81" s="55"/>
      <c r="O81" s="28"/>
      <c r="P81" s="28"/>
      <c r="Q81" s="50" t="s">
        <v>282</v>
      </c>
      <c r="R81" s="25"/>
      <c r="S81" s="50" t="s">
        <v>140</v>
      </c>
      <c r="T81" s="30"/>
      <c r="U81" s="30"/>
      <c r="V81" s="30"/>
      <c r="W81" s="30"/>
      <c r="X81" s="30"/>
      <c r="Y81" s="30"/>
      <c r="Z81" s="30"/>
      <c r="AA81" s="30"/>
    </row>
    <row r="82" spans="1:27" ht="15.75" customHeight="1">
      <c r="A82" s="344"/>
      <c r="B82" s="344"/>
      <c r="C82" s="31">
        <v>8</v>
      </c>
      <c r="D82" s="344"/>
      <c r="E82" s="39" t="s">
        <v>1578</v>
      </c>
      <c r="F82" s="31" t="s">
        <v>361</v>
      </c>
      <c r="G82" s="31" t="s">
        <v>327</v>
      </c>
      <c r="H82" s="23" t="s">
        <v>1579</v>
      </c>
      <c r="I82" s="23" t="s">
        <v>1567</v>
      </c>
      <c r="J82" s="170"/>
      <c r="K82" s="25"/>
      <c r="L82" s="25"/>
      <c r="M82" s="344"/>
      <c r="N82" s="55"/>
      <c r="O82" s="28"/>
      <c r="P82" s="28"/>
      <c r="Q82" s="50" t="s">
        <v>282</v>
      </c>
      <c r="R82" s="25"/>
      <c r="S82" s="50" t="s">
        <v>140</v>
      </c>
      <c r="T82" s="30"/>
      <c r="U82" s="30"/>
      <c r="V82" s="30"/>
      <c r="W82" s="30"/>
      <c r="X82" s="30"/>
      <c r="Y82" s="30"/>
      <c r="Z82" s="30"/>
      <c r="AA82" s="30"/>
    </row>
    <row r="83" spans="1:27" ht="15.75" customHeight="1">
      <c r="A83" s="345"/>
      <c r="B83" s="345"/>
      <c r="C83" s="31">
        <v>9</v>
      </c>
      <c r="D83" s="345"/>
      <c r="E83" s="35" t="s">
        <v>1580</v>
      </c>
      <c r="F83" s="46" t="s">
        <v>361</v>
      </c>
      <c r="G83" s="46" t="s">
        <v>327</v>
      </c>
      <c r="H83" s="35" t="s">
        <v>1581</v>
      </c>
      <c r="I83" s="35" t="s">
        <v>1567</v>
      </c>
      <c r="J83" s="172"/>
      <c r="K83" s="25"/>
      <c r="L83" s="25"/>
      <c r="M83" s="345"/>
      <c r="N83" s="55"/>
      <c r="O83" s="28"/>
      <c r="P83" s="28"/>
      <c r="Q83" s="50" t="s">
        <v>282</v>
      </c>
      <c r="R83" s="25"/>
      <c r="S83" s="50" t="s">
        <v>140</v>
      </c>
      <c r="T83" s="30"/>
      <c r="U83" s="30"/>
      <c r="V83" s="30"/>
      <c r="W83" s="30"/>
      <c r="X83" s="30"/>
      <c r="Y83" s="30"/>
      <c r="Z83" s="30"/>
      <c r="AA83" s="30"/>
    </row>
    <row r="84" spans="1:27" ht="17.25" customHeight="1">
      <c r="A84" s="355" t="s">
        <v>1582</v>
      </c>
      <c r="B84" s="350" t="s">
        <v>46</v>
      </c>
      <c r="C84" s="31">
        <v>1</v>
      </c>
      <c r="D84" s="355" t="s">
        <v>1583</v>
      </c>
      <c r="E84" s="365" t="s">
        <v>1584</v>
      </c>
      <c r="F84" s="46" t="s">
        <v>1585</v>
      </c>
      <c r="G84" s="46" t="s">
        <v>327</v>
      </c>
      <c r="H84" s="365" t="s">
        <v>1586</v>
      </c>
      <c r="I84" s="35" t="s">
        <v>1587</v>
      </c>
      <c r="J84" s="172"/>
      <c r="K84" s="25" t="s">
        <v>294</v>
      </c>
      <c r="L84" s="25"/>
      <c r="M84" s="377" t="s">
        <v>1588</v>
      </c>
      <c r="N84" s="55"/>
      <c r="O84" s="28"/>
      <c r="P84" s="50" t="s">
        <v>140</v>
      </c>
      <c r="Q84" s="50" t="s">
        <v>140</v>
      </c>
      <c r="R84" s="25"/>
      <c r="S84" s="50" t="s">
        <v>140</v>
      </c>
      <c r="T84" s="30"/>
      <c r="U84" s="30"/>
      <c r="V84" s="30"/>
      <c r="W84" s="30"/>
      <c r="X84" s="30"/>
      <c r="Y84" s="30"/>
      <c r="Z84" s="30"/>
      <c r="AA84" s="30"/>
    </row>
    <row r="85" spans="1:27" ht="15.75" customHeight="1">
      <c r="A85" s="344"/>
      <c r="B85" s="344"/>
      <c r="C85" s="31">
        <v>2</v>
      </c>
      <c r="D85" s="344"/>
      <c r="E85" s="345"/>
      <c r="F85" s="46" t="s">
        <v>1585</v>
      </c>
      <c r="G85" s="46" t="s">
        <v>327</v>
      </c>
      <c r="H85" s="345"/>
      <c r="I85" s="35" t="s">
        <v>1589</v>
      </c>
      <c r="J85" s="172"/>
      <c r="K85" s="25"/>
      <c r="L85" s="25"/>
      <c r="M85" s="344"/>
      <c r="N85" s="55"/>
      <c r="O85" s="28"/>
      <c r="P85" s="50" t="s">
        <v>282</v>
      </c>
      <c r="Q85" s="50" t="s">
        <v>282</v>
      </c>
      <c r="R85" s="25"/>
      <c r="S85" s="50" t="s">
        <v>140</v>
      </c>
      <c r="T85" s="30"/>
      <c r="U85" s="30"/>
      <c r="V85" s="30"/>
      <c r="W85" s="30"/>
      <c r="X85" s="30"/>
      <c r="Y85" s="30"/>
      <c r="Z85" s="30"/>
      <c r="AA85" s="30"/>
    </row>
    <row r="86" spans="1:27" ht="15.75" customHeight="1">
      <c r="A86" s="344"/>
      <c r="B86" s="344"/>
      <c r="C86" s="31">
        <v>3</v>
      </c>
      <c r="D86" s="344"/>
      <c r="E86" s="35" t="s">
        <v>1590</v>
      </c>
      <c r="F86" s="46" t="s">
        <v>1585</v>
      </c>
      <c r="G86" s="46" t="s">
        <v>327</v>
      </c>
      <c r="H86" s="90" t="s">
        <v>1591</v>
      </c>
      <c r="I86" s="35" t="s">
        <v>1592</v>
      </c>
      <c r="J86" s="172"/>
      <c r="K86" s="25"/>
      <c r="L86" s="25"/>
      <c r="M86" s="344"/>
      <c r="N86" s="55"/>
      <c r="O86" s="28"/>
      <c r="P86" s="50" t="s">
        <v>282</v>
      </c>
      <c r="Q86" s="50" t="s">
        <v>282</v>
      </c>
      <c r="R86" s="25"/>
      <c r="S86" s="50" t="s">
        <v>140</v>
      </c>
      <c r="T86" s="30"/>
      <c r="U86" s="30"/>
      <c r="V86" s="30"/>
      <c r="W86" s="30"/>
      <c r="X86" s="30"/>
      <c r="Y86" s="30"/>
      <c r="Z86" s="30"/>
      <c r="AA86" s="30"/>
    </row>
    <row r="87" spans="1:27" ht="15.75" customHeight="1">
      <c r="A87" s="344"/>
      <c r="B87" s="344"/>
      <c r="C87" s="31">
        <v>4</v>
      </c>
      <c r="D87" s="344"/>
      <c r="E87" s="365" t="s">
        <v>1593</v>
      </c>
      <c r="F87" s="46" t="s">
        <v>1585</v>
      </c>
      <c r="G87" s="46" t="s">
        <v>327</v>
      </c>
      <c r="H87" s="365" t="s">
        <v>1594</v>
      </c>
      <c r="I87" s="35" t="s">
        <v>1587</v>
      </c>
      <c r="J87" s="172"/>
      <c r="K87" s="25" t="s">
        <v>294</v>
      </c>
      <c r="L87" s="25"/>
      <c r="M87" s="344"/>
      <c r="N87" s="55"/>
      <c r="O87" s="28"/>
      <c r="P87" s="50" t="s">
        <v>140</v>
      </c>
      <c r="Q87" s="50" t="s">
        <v>140</v>
      </c>
      <c r="R87" s="25"/>
      <c r="S87" s="50" t="s">
        <v>140</v>
      </c>
      <c r="T87" s="30"/>
      <c r="U87" s="30"/>
      <c r="V87" s="30"/>
      <c r="W87" s="30"/>
      <c r="X87" s="30"/>
      <c r="Y87" s="30"/>
      <c r="Z87" s="30"/>
      <c r="AA87" s="30"/>
    </row>
    <row r="88" spans="1:27" ht="15.75" customHeight="1">
      <c r="A88" s="344"/>
      <c r="B88" s="344"/>
      <c r="C88" s="31">
        <v>5</v>
      </c>
      <c r="D88" s="344"/>
      <c r="E88" s="345"/>
      <c r="F88" s="46" t="s">
        <v>1585</v>
      </c>
      <c r="G88" s="46" t="s">
        <v>327</v>
      </c>
      <c r="H88" s="345"/>
      <c r="I88" s="35" t="s">
        <v>1589</v>
      </c>
      <c r="J88" s="172"/>
      <c r="K88" s="25"/>
      <c r="L88" s="25"/>
      <c r="M88" s="344"/>
      <c r="N88" s="55"/>
      <c r="O88" s="28"/>
      <c r="P88" s="50" t="s">
        <v>282</v>
      </c>
      <c r="Q88" s="50" t="s">
        <v>282</v>
      </c>
      <c r="R88" s="25"/>
      <c r="S88" s="50" t="s">
        <v>140</v>
      </c>
      <c r="T88" s="30"/>
      <c r="U88" s="30"/>
      <c r="V88" s="30"/>
      <c r="W88" s="30"/>
      <c r="X88" s="30"/>
      <c r="Y88" s="30"/>
      <c r="Z88" s="30"/>
      <c r="AA88" s="30"/>
    </row>
    <row r="89" spans="1:27" ht="15.75" customHeight="1">
      <c r="A89" s="344"/>
      <c r="B89" s="344"/>
      <c r="C89" s="31">
        <v>6</v>
      </c>
      <c r="D89" s="344"/>
      <c r="E89" s="365" t="s">
        <v>1595</v>
      </c>
      <c r="F89" s="46" t="s">
        <v>1585</v>
      </c>
      <c r="G89" s="46" t="s">
        <v>327</v>
      </c>
      <c r="H89" s="365" t="s">
        <v>1596</v>
      </c>
      <c r="I89" s="35" t="s">
        <v>1597</v>
      </c>
      <c r="J89" s="172"/>
      <c r="K89" s="25" t="s">
        <v>294</v>
      </c>
      <c r="L89" s="25"/>
      <c r="M89" s="344"/>
      <c r="N89" s="55"/>
      <c r="O89" s="28" t="s">
        <v>140</v>
      </c>
      <c r="P89" s="50" t="s">
        <v>140</v>
      </c>
      <c r="Q89" s="50" t="s">
        <v>140</v>
      </c>
      <c r="R89" s="25"/>
      <c r="S89" s="50" t="s">
        <v>140</v>
      </c>
      <c r="T89" s="30"/>
      <c r="U89" s="30"/>
      <c r="V89" s="30"/>
      <c r="W89" s="30"/>
      <c r="X89" s="30"/>
      <c r="Y89" s="30"/>
      <c r="Z89" s="30"/>
      <c r="AA89" s="30"/>
    </row>
    <row r="90" spans="1:27" ht="15.75" customHeight="1">
      <c r="A90" s="344"/>
      <c r="B90" s="344"/>
      <c r="C90" s="31">
        <v>7</v>
      </c>
      <c r="D90" s="344"/>
      <c r="E90" s="345"/>
      <c r="F90" s="46" t="s">
        <v>1585</v>
      </c>
      <c r="G90" s="46" t="s">
        <v>327</v>
      </c>
      <c r="H90" s="345"/>
      <c r="I90" s="35" t="s">
        <v>1598</v>
      </c>
      <c r="J90" s="172"/>
      <c r="K90" s="25"/>
      <c r="L90" s="25"/>
      <c r="M90" s="344"/>
      <c r="N90" s="55"/>
      <c r="O90" s="28" t="s">
        <v>140</v>
      </c>
      <c r="P90" s="50" t="s">
        <v>282</v>
      </c>
      <c r="Q90" s="50" t="s">
        <v>282</v>
      </c>
      <c r="R90" s="25"/>
      <c r="S90" s="50" t="s">
        <v>140</v>
      </c>
      <c r="T90" s="30"/>
      <c r="U90" s="30"/>
      <c r="V90" s="30"/>
      <c r="W90" s="30"/>
      <c r="X90" s="30"/>
      <c r="Y90" s="30"/>
      <c r="Z90" s="30"/>
      <c r="AA90" s="30"/>
    </row>
    <row r="91" spans="1:27" ht="15.75" customHeight="1">
      <c r="A91" s="344"/>
      <c r="B91" s="344"/>
      <c r="C91" s="31">
        <v>8</v>
      </c>
      <c r="D91" s="344"/>
      <c r="E91" s="365" t="s">
        <v>1599</v>
      </c>
      <c r="F91" s="46" t="s">
        <v>1585</v>
      </c>
      <c r="G91" s="46" t="s">
        <v>327</v>
      </c>
      <c r="H91" s="365" t="s">
        <v>1600</v>
      </c>
      <c r="I91" s="35" t="s">
        <v>1601</v>
      </c>
      <c r="J91" s="172"/>
      <c r="K91" s="25" t="s">
        <v>294</v>
      </c>
      <c r="L91" s="25"/>
      <c r="M91" s="344"/>
      <c r="N91" s="55"/>
      <c r="O91" s="28" t="s">
        <v>140</v>
      </c>
      <c r="P91" s="50" t="s">
        <v>140</v>
      </c>
      <c r="Q91" s="50" t="s">
        <v>140</v>
      </c>
      <c r="R91" s="25"/>
      <c r="S91" s="50" t="s">
        <v>140</v>
      </c>
      <c r="T91" s="30"/>
      <c r="U91" s="30"/>
      <c r="V91" s="30"/>
      <c r="W91" s="30"/>
      <c r="X91" s="30"/>
      <c r="Y91" s="30"/>
      <c r="Z91" s="30"/>
      <c r="AA91" s="30"/>
    </row>
    <row r="92" spans="1:27" ht="15.75" customHeight="1">
      <c r="A92" s="344"/>
      <c r="B92" s="344"/>
      <c r="C92" s="31">
        <v>9</v>
      </c>
      <c r="D92" s="344"/>
      <c r="E92" s="345"/>
      <c r="F92" s="46" t="s">
        <v>1585</v>
      </c>
      <c r="G92" s="46" t="s">
        <v>327</v>
      </c>
      <c r="H92" s="345"/>
      <c r="I92" s="35" t="s">
        <v>1602</v>
      </c>
      <c r="J92" s="172"/>
      <c r="K92" s="25"/>
      <c r="L92" s="25"/>
      <c r="M92" s="344"/>
      <c r="N92" s="55"/>
      <c r="O92" s="28" t="s">
        <v>140</v>
      </c>
      <c r="P92" s="50" t="s">
        <v>282</v>
      </c>
      <c r="Q92" s="50" t="s">
        <v>282</v>
      </c>
      <c r="R92" s="25"/>
      <c r="S92" s="50" t="s">
        <v>140</v>
      </c>
      <c r="T92" s="30"/>
      <c r="U92" s="30"/>
      <c r="V92" s="30"/>
      <c r="W92" s="30"/>
      <c r="X92" s="30"/>
      <c r="Y92" s="30"/>
      <c r="Z92" s="30"/>
      <c r="AA92" s="30"/>
    </row>
    <row r="93" spans="1:27" ht="15.75" customHeight="1">
      <c r="A93" s="344"/>
      <c r="B93" s="344"/>
      <c r="C93" s="31">
        <v>10</v>
      </c>
      <c r="D93" s="344"/>
      <c r="E93" s="35" t="s">
        <v>1603</v>
      </c>
      <c r="F93" s="46" t="s">
        <v>1585</v>
      </c>
      <c r="G93" s="46" t="s">
        <v>327</v>
      </c>
      <c r="H93" s="35" t="s">
        <v>1604</v>
      </c>
      <c r="I93" s="35" t="s">
        <v>1605</v>
      </c>
      <c r="J93" s="172"/>
      <c r="K93" s="25" t="s">
        <v>294</v>
      </c>
      <c r="L93" s="25"/>
      <c r="M93" s="344"/>
      <c r="N93" s="55"/>
      <c r="O93" s="28"/>
      <c r="P93" s="28"/>
      <c r="Q93" s="50" t="s">
        <v>140</v>
      </c>
      <c r="R93" s="25"/>
      <c r="S93" s="50" t="s">
        <v>140</v>
      </c>
      <c r="T93" s="30"/>
      <c r="U93" s="30"/>
      <c r="V93" s="30"/>
      <c r="W93" s="30"/>
      <c r="X93" s="30"/>
      <c r="Y93" s="30"/>
      <c r="Z93" s="30"/>
      <c r="AA93" s="30"/>
    </row>
    <row r="94" spans="1:27" ht="15.75" customHeight="1">
      <c r="A94" s="344"/>
      <c r="B94" s="344"/>
      <c r="C94" s="31">
        <v>11</v>
      </c>
      <c r="D94" s="344"/>
      <c r="E94" s="35" t="s">
        <v>1606</v>
      </c>
      <c r="F94" s="46" t="s">
        <v>1585</v>
      </c>
      <c r="G94" s="46" t="s">
        <v>327</v>
      </c>
      <c r="H94" s="35" t="s">
        <v>1607</v>
      </c>
      <c r="I94" s="35" t="s">
        <v>1605</v>
      </c>
      <c r="J94" s="172"/>
      <c r="K94" s="25" t="s">
        <v>294</v>
      </c>
      <c r="L94" s="25"/>
      <c r="M94" s="344"/>
      <c r="N94" s="55"/>
      <c r="O94" s="28"/>
      <c r="P94" s="28"/>
      <c r="Q94" s="50" t="s">
        <v>140</v>
      </c>
      <c r="R94" s="25"/>
      <c r="S94" s="50" t="s">
        <v>140</v>
      </c>
      <c r="T94" s="30"/>
      <c r="U94" s="30"/>
      <c r="V94" s="30"/>
      <c r="W94" s="30"/>
      <c r="X94" s="30"/>
      <c r="Y94" s="30"/>
      <c r="Z94" s="30"/>
      <c r="AA94" s="30"/>
    </row>
    <row r="95" spans="1:27" ht="15.75" customHeight="1">
      <c r="A95" s="344"/>
      <c r="B95" s="344"/>
      <c r="C95" s="31">
        <v>12</v>
      </c>
      <c r="D95" s="344"/>
      <c r="E95" s="35" t="s">
        <v>1608</v>
      </c>
      <c r="F95" s="46" t="s">
        <v>1585</v>
      </c>
      <c r="G95" s="46" t="s">
        <v>327</v>
      </c>
      <c r="H95" s="35" t="s">
        <v>1609</v>
      </c>
      <c r="I95" s="35" t="s">
        <v>1605</v>
      </c>
      <c r="J95" s="172"/>
      <c r="K95" s="25" t="s">
        <v>294</v>
      </c>
      <c r="L95" s="25"/>
      <c r="M95" s="344"/>
      <c r="N95" s="55"/>
      <c r="O95" s="28"/>
      <c r="P95" s="28"/>
      <c r="Q95" s="50" t="s">
        <v>140</v>
      </c>
      <c r="R95" s="25"/>
      <c r="S95" s="50" t="s">
        <v>140</v>
      </c>
      <c r="T95" s="30"/>
      <c r="U95" s="30"/>
      <c r="V95" s="30"/>
      <c r="W95" s="30"/>
      <c r="X95" s="30"/>
      <c r="Y95" s="30"/>
      <c r="Z95" s="30"/>
      <c r="AA95" s="30"/>
    </row>
    <row r="96" spans="1:27" ht="15.75" customHeight="1">
      <c r="A96" s="344"/>
      <c r="B96" s="344"/>
      <c r="C96" s="31">
        <v>13</v>
      </c>
      <c r="D96" s="344"/>
      <c r="E96" s="35" t="s">
        <v>1610</v>
      </c>
      <c r="F96" s="46" t="s">
        <v>1585</v>
      </c>
      <c r="G96" s="46" t="s">
        <v>327</v>
      </c>
      <c r="H96" s="35" t="s">
        <v>1611</v>
      </c>
      <c r="I96" s="35" t="s">
        <v>1612</v>
      </c>
      <c r="J96" s="172"/>
      <c r="K96" s="25"/>
      <c r="L96" s="25"/>
      <c r="M96" s="344"/>
      <c r="N96" s="55"/>
      <c r="O96" s="28"/>
      <c r="P96" s="28"/>
      <c r="Q96" s="50" t="s">
        <v>282</v>
      </c>
      <c r="R96" s="25"/>
      <c r="S96" s="50" t="s">
        <v>140</v>
      </c>
      <c r="T96" s="30"/>
      <c r="U96" s="30"/>
      <c r="V96" s="30"/>
      <c r="W96" s="30"/>
      <c r="X96" s="30"/>
      <c r="Y96" s="30"/>
      <c r="Z96" s="30"/>
      <c r="AA96" s="30"/>
    </row>
    <row r="97" spans="1:27" ht="15.75" customHeight="1">
      <c r="A97" s="344"/>
      <c r="B97" s="344"/>
      <c r="C97" s="31">
        <v>14</v>
      </c>
      <c r="D97" s="344"/>
      <c r="E97" s="35" t="s">
        <v>1613</v>
      </c>
      <c r="F97" s="46" t="s">
        <v>1585</v>
      </c>
      <c r="G97" s="46" t="s">
        <v>327</v>
      </c>
      <c r="H97" s="35" t="s">
        <v>1614</v>
      </c>
      <c r="I97" s="35" t="s">
        <v>1615</v>
      </c>
      <c r="J97" s="172"/>
      <c r="K97" s="25"/>
      <c r="L97" s="25"/>
      <c r="M97" s="344"/>
      <c r="N97" s="55"/>
      <c r="O97" s="28"/>
      <c r="P97" s="28"/>
      <c r="Q97" s="50" t="s">
        <v>282</v>
      </c>
      <c r="R97" s="25"/>
      <c r="S97" s="50" t="s">
        <v>140</v>
      </c>
      <c r="T97" s="30"/>
      <c r="U97" s="30"/>
      <c r="V97" s="30"/>
      <c r="W97" s="30"/>
      <c r="X97" s="30"/>
      <c r="Y97" s="30"/>
      <c r="Z97" s="30"/>
      <c r="AA97" s="30"/>
    </row>
    <row r="98" spans="1:27" ht="15.75" customHeight="1">
      <c r="A98" s="344"/>
      <c r="B98" s="344"/>
      <c r="C98" s="31">
        <v>15</v>
      </c>
      <c r="D98" s="344"/>
      <c r="E98" s="91" t="s">
        <v>1616</v>
      </c>
      <c r="F98" s="92" t="s">
        <v>1585</v>
      </c>
      <c r="G98" s="92" t="s">
        <v>327</v>
      </c>
      <c r="H98" s="91" t="s">
        <v>1617</v>
      </c>
      <c r="I98" s="91" t="s">
        <v>1618</v>
      </c>
      <c r="J98" s="91"/>
      <c r="K98" s="25"/>
      <c r="L98" s="25"/>
      <c r="M98" s="344"/>
      <c r="N98" s="55"/>
      <c r="O98" s="28"/>
      <c r="P98" s="28"/>
      <c r="Q98" s="50" t="s">
        <v>282</v>
      </c>
      <c r="R98" s="25"/>
      <c r="S98" s="50" t="s">
        <v>140</v>
      </c>
      <c r="T98" s="30"/>
      <c r="U98" s="30"/>
      <c r="V98" s="30"/>
      <c r="W98" s="30"/>
      <c r="X98" s="30"/>
      <c r="Y98" s="30"/>
      <c r="Z98" s="30"/>
      <c r="AA98" s="30"/>
    </row>
    <row r="99" spans="1:27" ht="15.75" customHeight="1">
      <c r="A99" s="344"/>
      <c r="B99" s="344"/>
      <c r="C99" s="31">
        <v>16</v>
      </c>
      <c r="D99" s="344"/>
      <c r="E99" s="91" t="s">
        <v>1619</v>
      </c>
      <c r="F99" s="92" t="s">
        <v>1585</v>
      </c>
      <c r="G99" s="92" t="s">
        <v>327</v>
      </c>
      <c r="H99" s="91" t="s">
        <v>1620</v>
      </c>
      <c r="I99" s="91" t="s">
        <v>1621</v>
      </c>
      <c r="J99" s="91"/>
      <c r="K99" s="25"/>
      <c r="L99" s="25"/>
      <c r="M99" s="344"/>
      <c r="N99" s="55"/>
      <c r="O99" s="28"/>
      <c r="P99" s="28"/>
      <c r="Q99" s="50" t="s">
        <v>282</v>
      </c>
      <c r="R99" s="25"/>
      <c r="S99" s="50" t="s">
        <v>140</v>
      </c>
      <c r="T99" s="30"/>
      <c r="U99" s="30"/>
      <c r="V99" s="30"/>
      <c r="W99" s="30"/>
      <c r="X99" s="30"/>
      <c r="Y99" s="30"/>
      <c r="Z99" s="30"/>
      <c r="AA99" s="30"/>
    </row>
    <row r="100" spans="1:27" ht="15.75" customHeight="1">
      <c r="A100" s="344"/>
      <c r="B100" s="344"/>
      <c r="C100" s="31">
        <v>17</v>
      </c>
      <c r="D100" s="344"/>
      <c r="E100" s="35" t="s">
        <v>1622</v>
      </c>
      <c r="F100" s="46" t="s">
        <v>1585</v>
      </c>
      <c r="G100" s="46" t="s">
        <v>327</v>
      </c>
      <c r="H100" s="35" t="s">
        <v>1623</v>
      </c>
      <c r="I100" s="35" t="s">
        <v>1624</v>
      </c>
      <c r="J100" s="172"/>
      <c r="K100" s="25"/>
      <c r="L100" s="25"/>
      <c r="M100" s="344"/>
      <c r="N100" s="55"/>
      <c r="O100" s="28"/>
      <c r="P100" s="28"/>
      <c r="Q100" s="50" t="s">
        <v>282</v>
      </c>
      <c r="R100" s="25"/>
      <c r="S100" s="50" t="s">
        <v>140</v>
      </c>
      <c r="T100" s="30"/>
      <c r="U100" s="30"/>
      <c r="V100" s="30"/>
      <c r="W100" s="30"/>
      <c r="X100" s="30"/>
      <c r="Y100" s="30"/>
      <c r="Z100" s="30"/>
      <c r="AA100" s="30"/>
    </row>
    <row r="101" spans="1:27" ht="15.75" customHeight="1">
      <c r="A101" s="345"/>
      <c r="B101" s="345"/>
      <c r="C101" s="31">
        <v>18</v>
      </c>
      <c r="D101" s="345"/>
      <c r="E101" s="35" t="s">
        <v>1625</v>
      </c>
      <c r="F101" s="46" t="s">
        <v>1585</v>
      </c>
      <c r="G101" s="46" t="s">
        <v>327</v>
      </c>
      <c r="H101" s="35" t="s">
        <v>1626</v>
      </c>
      <c r="I101" s="35" t="s">
        <v>1627</v>
      </c>
      <c r="J101" s="172"/>
      <c r="K101" s="25"/>
      <c r="L101" s="25"/>
      <c r="M101" s="344"/>
      <c r="N101" s="55"/>
      <c r="O101" s="28"/>
      <c r="P101" s="28"/>
      <c r="Q101" s="50" t="s">
        <v>282</v>
      </c>
      <c r="R101" s="25"/>
      <c r="S101" s="50" t="s">
        <v>140</v>
      </c>
      <c r="T101" s="30"/>
      <c r="U101" s="30"/>
      <c r="V101" s="30"/>
      <c r="W101" s="30"/>
      <c r="X101" s="30"/>
      <c r="Y101" s="30"/>
      <c r="Z101" s="30"/>
      <c r="AA101" s="30"/>
    </row>
    <row r="102" spans="1:27" ht="15.75" customHeight="1">
      <c r="A102" s="355" t="s">
        <v>1628</v>
      </c>
      <c r="B102" s="350" t="s">
        <v>47</v>
      </c>
      <c r="C102" s="61">
        <v>1</v>
      </c>
      <c r="D102" s="366" t="s">
        <v>1629</v>
      </c>
      <c r="E102" s="35" t="s">
        <v>1584</v>
      </c>
      <c r="F102" s="46" t="s">
        <v>1585</v>
      </c>
      <c r="G102" s="46" t="s">
        <v>327</v>
      </c>
      <c r="H102" s="35" t="s">
        <v>1630</v>
      </c>
      <c r="I102" s="35" t="s">
        <v>1631</v>
      </c>
      <c r="J102" s="172"/>
      <c r="K102" s="25" t="s">
        <v>294</v>
      </c>
      <c r="L102" s="25"/>
      <c r="M102" s="344"/>
      <c r="N102" s="55"/>
      <c r="O102" s="28"/>
      <c r="P102" s="50" t="s">
        <v>140</v>
      </c>
      <c r="Q102" s="50" t="s">
        <v>140</v>
      </c>
      <c r="R102" s="25"/>
      <c r="S102" s="50" t="s">
        <v>140</v>
      </c>
      <c r="T102" s="30"/>
      <c r="U102" s="30"/>
      <c r="V102" s="30"/>
      <c r="W102" s="30"/>
      <c r="X102" s="30"/>
      <c r="Y102" s="30"/>
      <c r="Z102" s="30"/>
      <c r="AA102" s="30"/>
    </row>
    <row r="103" spans="1:27" ht="15.75" customHeight="1">
      <c r="A103" s="344"/>
      <c r="B103" s="344"/>
      <c r="C103" s="61">
        <v>2</v>
      </c>
      <c r="D103" s="344"/>
      <c r="E103" s="35" t="s">
        <v>1590</v>
      </c>
      <c r="F103" s="46" t="s">
        <v>1585</v>
      </c>
      <c r="G103" s="46" t="s">
        <v>327</v>
      </c>
      <c r="H103" s="90" t="s">
        <v>1591</v>
      </c>
      <c r="I103" s="35" t="s">
        <v>1632</v>
      </c>
      <c r="J103" s="172"/>
      <c r="K103" s="25"/>
      <c r="L103" s="25"/>
      <c r="M103" s="344"/>
      <c r="N103" s="55"/>
      <c r="O103" s="28"/>
      <c r="P103" s="50" t="s">
        <v>282</v>
      </c>
      <c r="Q103" s="50" t="s">
        <v>282</v>
      </c>
      <c r="R103" s="25"/>
      <c r="S103" s="50" t="s">
        <v>140</v>
      </c>
      <c r="T103" s="30"/>
      <c r="U103" s="30"/>
      <c r="V103" s="30"/>
      <c r="W103" s="30"/>
      <c r="X103" s="30"/>
      <c r="Y103" s="30"/>
      <c r="Z103" s="30"/>
      <c r="AA103" s="30"/>
    </row>
    <row r="104" spans="1:27" ht="15.75" customHeight="1">
      <c r="A104" s="344"/>
      <c r="B104" s="344"/>
      <c r="C104" s="61">
        <v>3</v>
      </c>
      <c r="D104" s="344"/>
      <c r="E104" s="35" t="s">
        <v>1593</v>
      </c>
      <c r="F104" s="46" t="s">
        <v>1585</v>
      </c>
      <c r="G104" s="46" t="s">
        <v>327</v>
      </c>
      <c r="H104" s="35" t="s">
        <v>1633</v>
      </c>
      <c r="I104" s="35" t="s">
        <v>1631</v>
      </c>
      <c r="J104" s="172"/>
      <c r="K104" s="25" t="s">
        <v>294</v>
      </c>
      <c r="L104" s="25"/>
      <c r="M104" s="344"/>
      <c r="N104" s="55"/>
      <c r="O104" s="28"/>
      <c r="P104" s="50" t="s">
        <v>140</v>
      </c>
      <c r="Q104" s="50" t="s">
        <v>140</v>
      </c>
      <c r="R104" s="25"/>
      <c r="S104" s="50" t="s">
        <v>140</v>
      </c>
      <c r="T104" s="30"/>
      <c r="U104" s="30"/>
      <c r="V104" s="30"/>
      <c r="W104" s="30"/>
      <c r="X104" s="30"/>
      <c r="Y104" s="30"/>
      <c r="Z104" s="30"/>
      <c r="AA104" s="30"/>
    </row>
    <row r="105" spans="1:27" ht="15.75" customHeight="1">
      <c r="A105" s="344"/>
      <c r="B105" s="344"/>
      <c r="C105" s="61">
        <v>4</v>
      </c>
      <c r="D105" s="344"/>
      <c r="E105" s="365" t="s">
        <v>1595</v>
      </c>
      <c r="F105" s="46" t="s">
        <v>1585</v>
      </c>
      <c r="G105" s="46" t="s">
        <v>327</v>
      </c>
      <c r="H105" s="365" t="s">
        <v>1634</v>
      </c>
      <c r="I105" s="35" t="s">
        <v>1635</v>
      </c>
      <c r="J105" s="172"/>
      <c r="K105" s="25" t="s">
        <v>294</v>
      </c>
      <c r="L105" s="25"/>
      <c r="M105" s="344"/>
      <c r="N105" s="55"/>
      <c r="O105" s="28" t="s">
        <v>140</v>
      </c>
      <c r="P105" s="50" t="s">
        <v>140</v>
      </c>
      <c r="Q105" s="50" t="s">
        <v>140</v>
      </c>
      <c r="R105" s="25"/>
      <c r="S105" s="50" t="s">
        <v>140</v>
      </c>
      <c r="T105" s="30"/>
      <c r="U105" s="30"/>
      <c r="V105" s="30"/>
      <c r="W105" s="30"/>
      <c r="X105" s="30"/>
      <c r="Y105" s="30"/>
      <c r="Z105" s="30"/>
      <c r="AA105" s="30"/>
    </row>
    <row r="106" spans="1:27" ht="15.75" customHeight="1">
      <c r="A106" s="344"/>
      <c r="B106" s="344"/>
      <c r="C106" s="61">
        <v>5</v>
      </c>
      <c r="D106" s="344"/>
      <c r="E106" s="345"/>
      <c r="F106" s="46" t="s">
        <v>1585</v>
      </c>
      <c r="G106" s="46" t="s">
        <v>327</v>
      </c>
      <c r="H106" s="345"/>
      <c r="I106" s="35" t="s">
        <v>1598</v>
      </c>
      <c r="J106" s="172"/>
      <c r="K106" s="25"/>
      <c r="L106" s="25"/>
      <c r="M106" s="344"/>
      <c r="N106" s="55"/>
      <c r="O106" s="28" t="s">
        <v>140</v>
      </c>
      <c r="P106" s="50" t="s">
        <v>282</v>
      </c>
      <c r="Q106" s="50" t="s">
        <v>282</v>
      </c>
      <c r="R106" s="25"/>
      <c r="S106" s="50" t="s">
        <v>140</v>
      </c>
      <c r="T106" s="30"/>
      <c r="U106" s="30"/>
      <c r="V106" s="30"/>
      <c r="W106" s="30"/>
      <c r="X106" s="30"/>
      <c r="Y106" s="30"/>
      <c r="Z106" s="30"/>
      <c r="AA106" s="30"/>
    </row>
    <row r="107" spans="1:27" ht="15.75" customHeight="1">
      <c r="A107" s="344"/>
      <c r="B107" s="344"/>
      <c r="C107" s="61">
        <v>6</v>
      </c>
      <c r="D107" s="344"/>
      <c r="E107" s="365" t="s">
        <v>1599</v>
      </c>
      <c r="F107" s="46" t="s">
        <v>1585</v>
      </c>
      <c r="G107" s="46" t="s">
        <v>327</v>
      </c>
      <c r="H107" s="365" t="s">
        <v>1636</v>
      </c>
      <c r="I107" s="35" t="s">
        <v>1637</v>
      </c>
      <c r="J107" s="172"/>
      <c r="K107" s="25" t="s">
        <v>294</v>
      </c>
      <c r="L107" s="25"/>
      <c r="M107" s="344"/>
      <c r="N107" s="55"/>
      <c r="O107" s="28" t="s">
        <v>140</v>
      </c>
      <c r="P107" s="50" t="s">
        <v>140</v>
      </c>
      <c r="Q107" s="50" t="s">
        <v>140</v>
      </c>
      <c r="R107" s="25"/>
      <c r="S107" s="50" t="s">
        <v>140</v>
      </c>
      <c r="T107" s="30"/>
      <c r="U107" s="30"/>
      <c r="V107" s="30"/>
      <c r="W107" s="30"/>
      <c r="X107" s="30"/>
      <c r="Y107" s="30"/>
      <c r="Z107" s="30"/>
      <c r="AA107" s="30"/>
    </row>
    <row r="108" spans="1:27" ht="15.75" customHeight="1">
      <c r="A108" s="344"/>
      <c r="B108" s="344"/>
      <c r="C108" s="61">
        <v>7</v>
      </c>
      <c r="D108" s="344"/>
      <c r="E108" s="345"/>
      <c r="F108" s="46" t="s">
        <v>1585</v>
      </c>
      <c r="G108" s="46" t="s">
        <v>327</v>
      </c>
      <c r="H108" s="345"/>
      <c r="I108" s="35" t="s">
        <v>1602</v>
      </c>
      <c r="J108" s="172"/>
      <c r="K108" s="25"/>
      <c r="L108" s="25"/>
      <c r="M108" s="344"/>
      <c r="N108" s="55"/>
      <c r="O108" s="28" t="s">
        <v>140</v>
      </c>
      <c r="P108" s="50" t="s">
        <v>282</v>
      </c>
      <c r="Q108" s="50" t="s">
        <v>282</v>
      </c>
      <c r="R108" s="25"/>
      <c r="S108" s="50" t="s">
        <v>140</v>
      </c>
      <c r="T108" s="30"/>
      <c r="U108" s="30"/>
      <c r="V108" s="30"/>
      <c r="W108" s="30"/>
      <c r="X108" s="30"/>
      <c r="Y108" s="30"/>
      <c r="Z108" s="30"/>
      <c r="AA108" s="30"/>
    </row>
    <row r="109" spans="1:27" ht="15.75" customHeight="1">
      <c r="A109" s="344"/>
      <c r="B109" s="344"/>
      <c r="C109" s="61">
        <v>8</v>
      </c>
      <c r="D109" s="344"/>
      <c r="E109" s="63" t="s">
        <v>1638</v>
      </c>
      <c r="F109" s="31" t="s">
        <v>1585</v>
      </c>
      <c r="G109" s="31" t="s">
        <v>327</v>
      </c>
      <c r="H109" s="63" t="s">
        <v>1639</v>
      </c>
      <c r="I109" s="63" t="s">
        <v>1605</v>
      </c>
      <c r="J109" s="171"/>
      <c r="K109" s="25" t="s">
        <v>294</v>
      </c>
      <c r="L109" s="25"/>
      <c r="M109" s="344"/>
      <c r="N109" s="55"/>
      <c r="O109" s="28"/>
      <c r="P109" s="28"/>
      <c r="Q109" s="50" t="s">
        <v>140</v>
      </c>
      <c r="R109" s="25"/>
      <c r="S109" s="50" t="s">
        <v>140</v>
      </c>
      <c r="T109" s="30"/>
      <c r="U109" s="30"/>
      <c r="V109" s="30"/>
      <c r="W109" s="30"/>
      <c r="X109" s="30"/>
      <c r="Y109" s="30"/>
      <c r="Z109" s="30"/>
      <c r="AA109" s="30"/>
    </row>
    <row r="110" spans="1:27" ht="15.75" customHeight="1">
      <c r="A110" s="344"/>
      <c r="B110" s="344"/>
      <c r="C110" s="61">
        <v>9</v>
      </c>
      <c r="D110" s="344"/>
      <c r="E110" s="63" t="s">
        <v>1606</v>
      </c>
      <c r="F110" s="31" t="s">
        <v>1585</v>
      </c>
      <c r="G110" s="31" t="s">
        <v>327</v>
      </c>
      <c r="H110" s="63" t="s">
        <v>1640</v>
      </c>
      <c r="I110" s="63" t="s">
        <v>1605</v>
      </c>
      <c r="J110" s="171"/>
      <c r="K110" s="25" t="s">
        <v>294</v>
      </c>
      <c r="L110" s="25"/>
      <c r="M110" s="344"/>
      <c r="N110" s="55"/>
      <c r="O110" s="28"/>
      <c r="P110" s="28"/>
      <c r="Q110" s="50" t="s">
        <v>140</v>
      </c>
      <c r="R110" s="25"/>
      <c r="S110" s="50" t="s">
        <v>140</v>
      </c>
      <c r="T110" s="30"/>
      <c r="U110" s="30"/>
      <c r="V110" s="30"/>
      <c r="W110" s="30"/>
      <c r="X110" s="30"/>
      <c r="Y110" s="30"/>
      <c r="Z110" s="30"/>
      <c r="AA110" s="30"/>
    </row>
    <row r="111" spans="1:27" ht="15.75" customHeight="1">
      <c r="A111" s="344"/>
      <c r="B111" s="344"/>
      <c r="C111" s="61">
        <v>10</v>
      </c>
      <c r="D111" s="344"/>
      <c r="E111" s="63" t="s">
        <v>1608</v>
      </c>
      <c r="F111" s="31" t="s">
        <v>1585</v>
      </c>
      <c r="G111" s="31" t="s">
        <v>327</v>
      </c>
      <c r="H111" s="63" t="s">
        <v>1641</v>
      </c>
      <c r="I111" s="63" t="s">
        <v>1605</v>
      </c>
      <c r="J111" s="171"/>
      <c r="K111" s="25" t="s">
        <v>294</v>
      </c>
      <c r="L111" s="25"/>
      <c r="M111" s="344"/>
      <c r="N111" s="55"/>
      <c r="O111" s="28"/>
      <c r="P111" s="28"/>
      <c r="Q111" s="50" t="s">
        <v>140</v>
      </c>
      <c r="R111" s="25"/>
      <c r="S111" s="50" t="s">
        <v>140</v>
      </c>
      <c r="T111" s="30"/>
      <c r="U111" s="30"/>
      <c r="V111" s="30"/>
      <c r="W111" s="30"/>
      <c r="X111" s="30"/>
      <c r="Y111" s="30"/>
      <c r="Z111" s="30"/>
      <c r="AA111" s="30"/>
    </row>
    <row r="112" spans="1:27" ht="15.75" customHeight="1">
      <c r="A112" s="344"/>
      <c r="B112" s="344"/>
      <c r="C112" s="61">
        <v>11</v>
      </c>
      <c r="D112" s="344"/>
      <c r="E112" s="63" t="s">
        <v>1610</v>
      </c>
      <c r="F112" s="31" t="s">
        <v>1585</v>
      </c>
      <c r="G112" s="31" t="s">
        <v>327</v>
      </c>
      <c r="H112" s="63" t="s">
        <v>1642</v>
      </c>
      <c r="I112" s="63" t="s">
        <v>1643</v>
      </c>
      <c r="J112" s="171"/>
      <c r="K112" s="25"/>
      <c r="L112" s="25"/>
      <c r="M112" s="344"/>
      <c r="N112" s="55"/>
      <c r="O112" s="28"/>
      <c r="P112" s="28"/>
      <c r="Q112" s="50" t="s">
        <v>282</v>
      </c>
      <c r="R112" s="25"/>
      <c r="S112" s="50" t="s">
        <v>140</v>
      </c>
      <c r="T112" s="30"/>
      <c r="U112" s="30"/>
      <c r="V112" s="30"/>
      <c r="W112" s="30"/>
      <c r="X112" s="30"/>
      <c r="Y112" s="30"/>
      <c r="Z112" s="30"/>
      <c r="AA112" s="30"/>
    </row>
    <row r="113" spans="1:27" ht="15.75" customHeight="1">
      <c r="A113" s="344"/>
      <c r="B113" s="344"/>
      <c r="C113" s="61">
        <v>12</v>
      </c>
      <c r="D113" s="344"/>
      <c r="E113" s="63" t="s">
        <v>1613</v>
      </c>
      <c r="F113" s="31" t="s">
        <v>1585</v>
      </c>
      <c r="G113" s="31" t="s">
        <v>327</v>
      </c>
      <c r="H113" s="63" t="s">
        <v>1644</v>
      </c>
      <c r="I113" s="63" t="s">
        <v>1615</v>
      </c>
      <c r="J113" s="171"/>
      <c r="K113" s="25"/>
      <c r="L113" s="25"/>
      <c r="M113" s="344"/>
      <c r="N113" s="55"/>
      <c r="O113" s="28"/>
      <c r="P113" s="28"/>
      <c r="Q113" s="50" t="s">
        <v>282</v>
      </c>
      <c r="R113" s="25"/>
      <c r="S113" s="50" t="s">
        <v>140</v>
      </c>
      <c r="T113" s="30"/>
      <c r="U113" s="30"/>
      <c r="V113" s="30"/>
      <c r="W113" s="30"/>
      <c r="X113" s="30"/>
      <c r="Y113" s="30"/>
      <c r="Z113" s="30"/>
      <c r="AA113" s="30"/>
    </row>
    <row r="114" spans="1:27" ht="15.75" customHeight="1">
      <c r="A114" s="344"/>
      <c r="B114" s="344"/>
      <c r="C114" s="61">
        <v>13</v>
      </c>
      <c r="D114" s="344"/>
      <c r="E114" s="91" t="s">
        <v>1616</v>
      </c>
      <c r="F114" s="92" t="s">
        <v>1585</v>
      </c>
      <c r="G114" s="92" t="s">
        <v>327</v>
      </c>
      <c r="H114" s="91" t="s">
        <v>1645</v>
      </c>
      <c r="I114" s="91" t="s">
        <v>1618</v>
      </c>
      <c r="J114" s="91"/>
      <c r="K114" s="25"/>
      <c r="L114" s="25"/>
      <c r="M114" s="344"/>
      <c r="N114" s="55"/>
      <c r="O114" s="28"/>
      <c r="P114" s="28"/>
      <c r="Q114" s="50" t="s">
        <v>282</v>
      </c>
      <c r="R114" s="25"/>
      <c r="S114" s="50" t="s">
        <v>140</v>
      </c>
      <c r="T114" s="30"/>
      <c r="U114" s="30"/>
      <c r="V114" s="30"/>
      <c r="W114" s="30"/>
      <c r="X114" s="30"/>
      <c r="Y114" s="30"/>
      <c r="Z114" s="30"/>
      <c r="AA114" s="30"/>
    </row>
    <row r="115" spans="1:27" ht="15.75" customHeight="1">
      <c r="A115" s="344"/>
      <c r="B115" s="344"/>
      <c r="C115" s="61">
        <v>14</v>
      </c>
      <c r="D115" s="344"/>
      <c r="E115" s="91" t="s">
        <v>1619</v>
      </c>
      <c r="F115" s="92" t="s">
        <v>361</v>
      </c>
      <c r="G115" s="92" t="s">
        <v>327</v>
      </c>
      <c r="H115" s="91" t="s">
        <v>1646</v>
      </c>
      <c r="I115" s="91" t="s">
        <v>1647</v>
      </c>
      <c r="J115" s="91"/>
      <c r="K115" s="25"/>
      <c r="L115" s="25"/>
      <c r="M115" s="344"/>
      <c r="N115" s="55"/>
      <c r="O115" s="28"/>
      <c r="P115" s="28"/>
      <c r="Q115" s="50" t="s">
        <v>282</v>
      </c>
      <c r="R115" s="25"/>
      <c r="S115" s="50" t="s">
        <v>140</v>
      </c>
      <c r="T115" s="30"/>
      <c r="U115" s="30"/>
      <c r="V115" s="30"/>
      <c r="W115" s="30"/>
      <c r="X115" s="30"/>
      <c r="Y115" s="30"/>
      <c r="Z115" s="30"/>
      <c r="AA115" s="30"/>
    </row>
    <row r="116" spans="1:27" ht="15.75" customHeight="1">
      <c r="A116" s="344"/>
      <c r="B116" s="344"/>
      <c r="C116" s="61">
        <v>15</v>
      </c>
      <c r="D116" s="344"/>
      <c r="E116" s="35" t="s">
        <v>1622</v>
      </c>
      <c r="F116" s="46" t="s">
        <v>1585</v>
      </c>
      <c r="G116" s="46" t="s">
        <v>327</v>
      </c>
      <c r="H116" s="35" t="s">
        <v>1648</v>
      </c>
      <c r="I116" s="35" t="s">
        <v>1649</v>
      </c>
      <c r="J116" s="172"/>
      <c r="K116" s="25"/>
      <c r="L116" s="25"/>
      <c r="M116" s="345"/>
      <c r="N116" s="55"/>
      <c r="O116" s="28"/>
      <c r="P116" s="28"/>
      <c r="Q116" s="50" t="s">
        <v>282</v>
      </c>
      <c r="R116" s="25"/>
      <c r="S116" s="50" t="s">
        <v>140</v>
      </c>
      <c r="T116" s="30"/>
      <c r="U116" s="30"/>
      <c r="V116" s="30"/>
      <c r="W116" s="30"/>
      <c r="X116" s="30"/>
      <c r="Y116" s="30"/>
      <c r="Z116" s="30"/>
      <c r="AA116" s="30"/>
    </row>
    <row r="117" spans="1:27" ht="15.75" customHeight="1">
      <c r="A117" s="353"/>
      <c r="B117" s="352"/>
      <c r="C117" s="86">
        <v>16</v>
      </c>
      <c r="D117" s="353"/>
      <c r="E117" s="175" t="s">
        <v>1650</v>
      </c>
      <c r="F117" s="86" t="s">
        <v>1585</v>
      </c>
      <c r="G117" s="86" t="s">
        <v>327</v>
      </c>
      <c r="H117" s="175" t="s">
        <v>1651</v>
      </c>
      <c r="I117" s="35" t="s">
        <v>1652</v>
      </c>
      <c r="J117" s="172"/>
      <c r="K117" s="25"/>
      <c r="L117" s="25"/>
      <c r="M117" s="43"/>
      <c r="N117" s="55"/>
      <c r="O117" s="28"/>
      <c r="P117" s="28"/>
      <c r="Q117" s="50" t="s">
        <v>282</v>
      </c>
      <c r="R117" s="25" t="s">
        <v>308</v>
      </c>
      <c r="S117" s="50"/>
      <c r="T117" s="30"/>
      <c r="U117" s="30"/>
      <c r="V117" s="30"/>
      <c r="W117" s="30"/>
      <c r="X117" s="30"/>
      <c r="Y117" s="30"/>
      <c r="Z117" s="30"/>
      <c r="AA117" s="30"/>
    </row>
    <row r="118" spans="1:27" ht="15.75" customHeight="1">
      <c r="A118" s="355" t="s">
        <v>1653</v>
      </c>
      <c r="B118" s="344"/>
      <c r="C118" s="61">
        <v>17</v>
      </c>
      <c r="D118" s="381" t="s">
        <v>1653</v>
      </c>
      <c r="E118" s="35" t="s">
        <v>1654</v>
      </c>
      <c r="F118" s="46" t="s">
        <v>361</v>
      </c>
      <c r="G118" s="46" t="s">
        <v>327</v>
      </c>
      <c r="H118" s="35" t="s">
        <v>1655</v>
      </c>
      <c r="I118" s="35" t="s">
        <v>1656</v>
      </c>
      <c r="J118" s="172"/>
      <c r="K118" s="25"/>
      <c r="L118" s="25"/>
      <c r="M118" s="43"/>
      <c r="N118" s="55"/>
      <c r="O118" s="28"/>
      <c r="P118" s="28"/>
      <c r="Q118" s="50" t="s">
        <v>282</v>
      </c>
      <c r="R118" s="25"/>
      <c r="S118" s="50"/>
      <c r="T118" s="30"/>
      <c r="U118" s="30"/>
      <c r="V118" s="30"/>
      <c r="W118" s="30"/>
      <c r="X118" s="30"/>
      <c r="Y118" s="30"/>
      <c r="Z118" s="30"/>
      <c r="AA118" s="30"/>
    </row>
    <row r="119" spans="1:27" ht="15.75" customHeight="1">
      <c r="A119" s="353"/>
      <c r="B119" s="353"/>
      <c r="C119" s="86">
        <v>18</v>
      </c>
      <c r="D119" s="353"/>
      <c r="E119" s="175" t="s">
        <v>1657</v>
      </c>
      <c r="F119" s="86" t="s">
        <v>361</v>
      </c>
      <c r="G119" s="86" t="s">
        <v>327</v>
      </c>
      <c r="H119" s="175" t="s">
        <v>1658</v>
      </c>
      <c r="I119" s="35" t="s">
        <v>1659</v>
      </c>
      <c r="J119" s="172"/>
      <c r="K119" s="25"/>
      <c r="L119" s="25"/>
      <c r="M119" s="43"/>
      <c r="N119" s="55"/>
      <c r="O119" s="28"/>
      <c r="P119" s="28"/>
      <c r="Q119" s="50" t="s">
        <v>282</v>
      </c>
      <c r="R119" s="25" t="s">
        <v>308</v>
      </c>
      <c r="S119" s="50"/>
      <c r="T119" s="30"/>
      <c r="U119" s="30"/>
      <c r="V119" s="30"/>
      <c r="W119" s="30"/>
      <c r="X119" s="30"/>
      <c r="Y119" s="30"/>
      <c r="Z119" s="30"/>
      <c r="AA119" s="30"/>
    </row>
    <row r="120" spans="1:27" ht="15.75" customHeight="1">
      <c r="A120" s="368" t="s">
        <v>1660</v>
      </c>
      <c r="B120" s="350" t="s">
        <v>87</v>
      </c>
      <c r="C120" s="61">
        <v>1</v>
      </c>
      <c r="D120" s="364" t="s">
        <v>1661</v>
      </c>
      <c r="E120" s="35" t="s">
        <v>1662</v>
      </c>
      <c r="F120" s="46" t="s">
        <v>361</v>
      </c>
      <c r="G120" s="46" t="s">
        <v>327</v>
      </c>
      <c r="H120" s="35" t="s">
        <v>1663</v>
      </c>
      <c r="I120" s="35" t="s">
        <v>1664</v>
      </c>
      <c r="J120" s="172"/>
      <c r="K120" s="25"/>
      <c r="L120" s="25"/>
      <c r="M120" s="43"/>
      <c r="N120" s="55"/>
      <c r="O120" s="28"/>
      <c r="P120" s="28"/>
      <c r="Q120" s="50" t="s">
        <v>282</v>
      </c>
      <c r="R120" s="25"/>
      <c r="S120" s="50"/>
      <c r="T120" s="30"/>
      <c r="U120" s="30"/>
      <c r="V120" s="30"/>
      <c r="W120" s="30"/>
      <c r="X120" s="30"/>
      <c r="Y120" s="30"/>
      <c r="Z120" s="30"/>
      <c r="AA120" s="30"/>
    </row>
    <row r="121" spans="1:27" ht="15.75" customHeight="1">
      <c r="A121" s="344"/>
      <c r="B121" s="344"/>
      <c r="C121" s="61">
        <v>2</v>
      </c>
      <c r="D121" s="344"/>
      <c r="E121" s="35" t="s">
        <v>1665</v>
      </c>
      <c r="F121" s="46" t="s">
        <v>361</v>
      </c>
      <c r="G121" s="46" t="s">
        <v>327</v>
      </c>
      <c r="H121" s="35" t="s">
        <v>1666</v>
      </c>
      <c r="I121" s="35" t="s">
        <v>1667</v>
      </c>
      <c r="J121" s="172"/>
      <c r="K121" s="25"/>
      <c r="L121" s="25"/>
      <c r="M121" s="43"/>
      <c r="N121" s="55"/>
      <c r="O121" s="28"/>
      <c r="P121" s="28"/>
      <c r="Q121" s="50" t="s">
        <v>282</v>
      </c>
      <c r="R121" s="25"/>
      <c r="S121" s="50"/>
      <c r="T121" s="30"/>
      <c r="U121" s="30"/>
      <c r="V121" s="30"/>
      <c r="W121" s="30"/>
      <c r="X121" s="30"/>
      <c r="Y121" s="30"/>
      <c r="Z121" s="30"/>
      <c r="AA121" s="30"/>
    </row>
    <row r="122" spans="1:27" ht="15.75" customHeight="1">
      <c r="A122" s="344"/>
      <c r="B122" s="344"/>
      <c r="C122" s="61">
        <v>3</v>
      </c>
      <c r="D122" s="344"/>
      <c r="E122" s="35" t="s">
        <v>1668</v>
      </c>
      <c r="F122" s="46" t="s">
        <v>361</v>
      </c>
      <c r="G122" s="46" t="s">
        <v>327</v>
      </c>
      <c r="H122" s="35" t="s">
        <v>1669</v>
      </c>
      <c r="I122" s="35" t="s">
        <v>1670</v>
      </c>
      <c r="J122" s="172"/>
      <c r="K122" s="25"/>
      <c r="L122" s="25"/>
      <c r="M122" s="43"/>
      <c r="N122" s="55"/>
      <c r="O122" s="28"/>
      <c r="P122" s="28"/>
      <c r="Q122" s="50" t="s">
        <v>282</v>
      </c>
      <c r="R122" s="25"/>
      <c r="S122" s="50"/>
      <c r="T122" s="30"/>
      <c r="U122" s="30"/>
      <c r="V122" s="30"/>
      <c r="W122" s="30"/>
      <c r="X122" s="30"/>
      <c r="Y122" s="30"/>
      <c r="Z122" s="30"/>
      <c r="AA122" s="30"/>
    </row>
    <row r="123" spans="1:27" ht="15.75" customHeight="1">
      <c r="A123" s="344"/>
      <c r="B123" s="344"/>
      <c r="C123" s="61">
        <v>4</v>
      </c>
      <c r="D123" s="344"/>
      <c r="E123" s="35" t="s">
        <v>1671</v>
      </c>
      <c r="F123" s="46" t="s">
        <v>361</v>
      </c>
      <c r="G123" s="46" t="s">
        <v>327</v>
      </c>
      <c r="H123" s="35" t="s">
        <v>1669</v>
      </c>
      <c r="I123" s="35" t="s">
        <v>1670</v>
      </c>
      <c r="J123" s="172"/>
      <c r="K123" s="25"/>
      <c r="L123" s="25"/>
      <c r="M123" s="43"/>
      <c r="N123" s="55"/>
      <c r="O123" s="28"/>
      <c r="P123" s="28"/>
      <c r="Q123" s="50" t="s">
        <v>282</v>
      </c>
      <c r="R123" s="25"/>
      <c r="S123" s="50"/>
      <c r="T123" s="30"/>
      <c r="U123" s="30"/>
      <c r="V123" s="30"/>
      <c r="W123" s="30"/>
      <c r="X123" s="30"/>
      <c r="Y123" s="30"/>
      <c r="Z123" s="30"/>
      <c r="AA123" s="30"/>
    </row>
    <row r="124" spans="1:27" ht="15.75" customHeight="1">
      <c r="A124" s="344"/>
      <c r="B124" s="344"/>
      <c r="C124" s="61">
        <v>5</v>
      </c>
      <c r="D124" s="344"/>
      <c r="E124" s="35" t="s">
        <v>1672</v>
      </c>
      <c r="F124" s="61" t="s">
        <v>361</v>
      </c>
      <c r="G124" s="61" t="s">
        <v>327</v>
      </c>
      <c r="H124" s="35" t="s">
        <v>1669</v>
      </c>
      <c r="I124" s="35" t="s">
        <v>1670</v>
      </c>
      <c r="J124" s="172"/>
      <c r="K124" s="25"/>
      <c r="L124" s="25"/>
      <c r="M124" s="43"/>
      <c r="N124" s="55"/>
      <c r="O124" s="28"/>
      <c r="P124" s="28"/>
      <c r="Q124" s="50" t="s">
        <v>282</v>
      </c>
      <c r="R124" s="25"/>
      <c r="S124" s="50"/>
      <c r="T124" s="30"/>
      <c r="U124" s="30"/>
      <c r="V124" s="30"/>
      <c r="W124" s="30"/>
      <c r="X124" s="30"/>
      <c r="Y124" s="30"/>
      <c r="Z124" s="30"/>
      <c r="AA124" s="30"/>
    </row>
    <row r="125" spans="1:27" ht="15.75" customHeight="1">
      <c r="A125" s="344"/>
      <c r="B125" s="344"/>
      <c r="C125" s="61">
        <v>6</v>
      </c>
      <c r="D125" s="344"/>
      <c r="E125" s="35" t="s">
        <v>1673</v>
      </c>
      <c r="F125" s="61" t="s">
        <v>361</v>
      </c>
      <c r="G125" s="61" t="s">
        <v>327</v>
      </c>
      <c r="H125" s="35" t="s">
        <v>1669</v>
      </c>
      <c r="I125" s="35" t="s">
        <v>1670</v>
      </c>
      <c r="J125" s="172"/>
      <c r="K125" s="25"/>
      <c r="L125" s="25"/>
      <c r="M125" s="43"/>
      <c r="N125" s="55"/>
      <c r="O125" s="28"/>
      <c r="P125" s="28"/>
      <c r="Q125" s="50" t="s">
        <v>282</v>
      </c>
      <c r="R125" s="25"/>
      <c r="S125" s="50"/>
      <c r="T125" s="30"/>
      <c r="U125" s="30"/>
      <c r="V125" s="30"/>
      <c r="W125" s="30"/>
      <c r="X125" s="30"/>
      <c r="Y125" s="30"/>
      <c r="Z125" s="30"/>
      <c r="AA125" s="30"/>
    </row>
    <row r="126" spans="1:27" ht="15.75" customHeight="1">
      <c r="A126" s="344"/>
      <c r="B126" s="344"/>
      <c r="C126" s="61">
        <v>7</v>
      </c>
      <c r="D126" s="344"/>
      <c r="E126" s="35" t="s">
        <v>1674</v>
      </c>
      <c r="F126" s="61" t="s">
        <v>361</v>
      </c>
      <c r="G126" s="61" t="s">
        <v>327</v>
      </c>
      <c r="H126" s="35" t="s">
        <v>1675</v>
      </c>
      <c r="I126" s="35" t="s">
        <v>1670</v>
      </c>
      <c r="J126" s="172"/>
      <c r="K126" s="25"/>
      <c r="L126" s="25"/>
      <c r="M126" s="43"/>
      <c r="N126" s="55"/>
      <c r="O126" s="28"/>
      <c r="P126" s="28"/>
      <c r="Q126" s="50" t="s">
        <v>282</v>
      </c>
      <c r="R126" s="25"/>
      <c r="S126" s="50"/>
      <c r="T126" s="30"/>
      <c r="U126" s="30"/>
      <c r="V126" s="30"/>
      <c r="W126" s="30"/>
      <c r="X126" s="30"/>
      <c r="Y126" s="30"/>
      <c r="Z126" s="30"/>
      <c r="AA126" s="30"/>
    </row>
    <row r="127" spans="1:27" ht="15.75" customHeight="1">
      <c r="A127" s="344"/>
      <c r="B127" s="344"/>
      <c r="C127" s="61">
        <v>8</v>
      </c>
      <c r="D127" s="344"/>
      <c r="E127" s="35" t="s">
        <v>1676</v>
      </c>
      <c r="F127" s="61" t="s">
        <v>361</v>
      </c>
      <c r="G127" s="61" t="s">
        <v>327</v>
      </c>
      <c r="H127" s="35" t="s">
        <v>1675</v>
      </c>
      <c r="I127" s="35" t="s">
        <v>1670</v>
      </c>
      <c r="J127" s="172"/>
      <c r="K127" s="25"/>
      <c r="L127" s="25"/>
      <c r="M127" s="43"/>
      <c r="N127" s="55"/>
      <c r="O127" s="28"/>
      <c r="P127" s="28"/>
      <c r="Q127" s="50" t="s">
        <v>282</v>
      </c>
      <c r="R127" s="25"/>
      <c r="S127" s="50"/>
      <c r="T127" s="30"/>
      <c r="U127" s="30"/>
      <c r="V127" s="30"/>
      <c r="W127" s="30"/>
      <c r="X127" s="30"/>
      <c r="Y127" s="30"/>
      <c r="Z127" s="30"/>
      <c r="AA127" s="30"/>
    </row>
    <row r="128" spans="1:27" ht="15.75" customHeight="1">
      <c r="A128" s="344"/>
      <c r="B128" s="344"/>
      <c r="C128" s="61">
        <v>9</v>
      </c>
      <c r="D128" s="344"/>
      <c r="E128" s="35" t="s">
        <v>1677</v>
      </c>
      <c r="F128" s="61" t="s">
        <v>361</v>
      </c>
      <c r="G128" s="61" t="s">
        <v>327</v>
      </c>
      <c r="H128" s="35" t="s">
        <v>1678</v>
      </c>
      <c r="I128" s="35" t="s">
        <v>1670</v>
      </c>
      <c r="J128" s="172"/>
      <c r="K128" s="25"/>
      <c r="L128" s="25"/>
      <c r="M128" s="43"/>
      <c r="N128" s="55"/>
      <c r="O128" s="28"/>
      <c r="P128" s="28"/>
      <c r="Q128" s="50" t="s">
        <v>282</v>
      </c>
      <c r="R128" s="25"/>
      <c r="S128" s="50"/>
      <c r="T128" s="30"/>
      <c r="U128" s="30"/>
      <c r="V128" s="30"/>
      <c r="W128" s="30"/>
      <c r="X128" s="30"/>
      <c r="Y128" s="30"/>
      <c r="Z128" s="30"/>
      <c r="AA128" s="30"/>
    </row>
    <row r="129" spans="1:27" ht="15.75" customHeight="1">
      <c r="A129" s="344"/>
      <c r="B129" s="344"/>
      <c r="C129" s="61">
        <v>10</v>
      </c>
      <c r="D129" s="344"/>
      <c r="E129" s="35" t="s">
        <v>1679</v>
      </c>
      <c r="F129" s="61" t="s">
        <v>361</v>
      </c>
      <c r="G129" s="61" t="s">
        <v>327</v>
      </c>
      <c r="H129" s="35" t="s">
        <v>1678</v>
      </c>
      <c r="I129" s="35" t="s">
        <v>1670</v>
      </c>
      <c r="J129" s="172"/>
      <c r="K129" s="25"/>
      <c r="L129" s="25"/>
      <c r="M129" s="43"/>
      <c r="N129" s="55"/>
      <c r="O129" s="28"/>
      <c r="P129" s="28"/>
      <c r="Q129" s="50" t="s">
        <v>282</v>
      </c>
      <c r="R129" s="25"/>
      <c r="S129" s="50"/>
      <c r="T129" s="30"/>
      <c r="U129" s="30"/>
      <c r="V129" s="30"/>
      <c r="W129" s="30"/>
      <c r="X129" s="30"/>
      <c r="Y129" s="30"/>
      <c r="Z129" s="30"/>
      <c r="AA129" s="30"/>
    </row>
    <row r="130" spans="1:27" ht="15.75" customHeight="1">
      <c r="A130" s="344"/>
      <c r="B130" s="344"/>
      <c r="C130" s="61">
        <v>11</v>
      </c>
      <c r="D130" s="344"/>
      <c r="E130" s="35" t="s">
        <v>1680</v>
      </c>
      <c r="F130" s="61" t="s">
        <v>361</v>
      </c>
      <c r="G130" s="61" t="s">
        <v>327</v>
      </c>
      <c r="H130" s="35" t="s">
        <v>1678</v>
      </c>
      <c r="I130" s="35" t="s">
        <v>1670</v>
      </c>
      <c r="J130" s="172"/>
      <c r="K130" s="25"/>
      <c r="L130" s="25"/>
      <c r="M130" s="43"/>
      <c r="N130" s="55"/>
      <c r="O130" s="28"/>
      <c r="P130" s="28"/>
      <c r="Q130" s="50" t="s">
        <v>282</v>
      </c>
      <c r="R130" s="25"/>
      <c r="S130" s="50"/>
      <c r="T130" s="30"/>
      <c r="U130" s="30"/>
      <c r="V130" s="30"/>
      <c r="W130" s="30"/>
      <c r="X130" s="30"/>
      <c r="Y130" s="30"/>
      <c r="Z130" s="30"/>
      <c r="AA130" s="30"/>
    </row>
    <row r="131" spans="1:27" ht="15.75" customHeight="1">
      <c r="A131" s="344"/>
      <c r="B131" s="344"/>
      <c r="C131" s="61">
        <v>12</v>
      </c>
      <c r="D131" s="344"/>
      <c r="E131" s="35" t="s">
        <v>1681</v>
      </c>
      <c r="F131" s="61" t="s">
        <v>361</v>
      </c>
      <c r="G131" s="61" t="s">
        <v>327</v>
      </c>
      <c r="H131" s="35" t="s">
        <v>1678</v>
      </c>
      <c r="I131" s="35" t="s">
        <v>1670</v>
      </c>
      <c r="J131" s="172"/>
      <c r="K131" s="25"/>
      <c r="L131" s="25"/>
      <c r="M131" s="43"/>
      <c r="N131" s="55"/>
      <c r="O131" s="28"/>
      <c r="P131" s="28"/>
      <c r="Q131" s="50" t="s">
        <v>282</v>
      </c>
      <c r="R131" s="25"/>
      <c r="S131" s="50"/>
      <c r="T131" s="30"/>
      <c r="U131" s="30"/>
      <c r="V131" s="30"/>
      <c r="W131" s="30"/>
      <c r="X131" s="30"/>
      <c r="Y131" s="30"/>
      <c r="Z131" s="30"/>
      <c r="AA131" s="30"/>
    </row>
    <row r="132" spans="1:27" ht="15.75" customHeight="1">
      <c r="A132" s="344"/>
      <c r="B132" s="344"/>
      <c r="C132" s="61">
        <v>13</v>
      </c>
      <c r="D132" s="344"/>
      <c r="E132" s="35" t="s">
        <v>1682</v>
      </c>
      <c r="F132" s="61" t="s">
        <v>361</v>
      </c>
      <c r="G132" s="61" t="s">
        <v>327</v>
      </c>
      <c r="H132" s="35" t="s">
        <v>1683</v>
      </c>
      <c r="I132" s="35" t="s">
        <v>1670</v>
      </c>
      <c r="J132" s="172"/>
      <c r="K132" s="25"/>
      <c r="L132" s="25"/>
      <c r="M132" s="43"/>
      <c r="N132" s="55"/>
      <c r="O132" s="28"/>
      <c r="P132" s="28"/>
      <c r="Q132" s="50" t="s">
        <v>282</v>
      </c>
      <c r="R132" s="25"/>
      <c r="S132" s="50"/>
      <c r="T132" s="30"/>
      <c r="U132" s="30"/>
      <c r="V132" s="30"/>
      <c r="W132" s="30"/>
      <c r="X132" s="30"/>
      <c r="Y132" s="30"/>
      <c r="Z132" s="30"/>
      <c r="AA132" s="30"/>
    </row>
    <row r="133" spans="1:27" ht="15.75" customHeight="1">
      <c r="A133" s="344"/>
      <c r="B133" s="344"/>
      <c r="C133" s="61">
        <v>14</v>
      </c>
      <c r="D133" s="344"/>
      <c r="E133" s="35" t="s">
        <v>1684</v>
      </c>
      <c r="F133" s="61" t="s">
        <v>361</v>
      </c>
      <c r="G133" s="61" t="s">
        <v>327</v>
      </c>
      <c r="H133" s="35" t="s">
        <v>1683</v>
      </c>
      <c r="I133" s="35" t="s">
        <v>1670</v>
      </c>
      <c r="J133" s="172"/>
      <c r="K133" s="25"/>
      <c r="L133" s="25"/>
      <c r="M133" s="43"/>
      <c r="N133" s="55"/>
      <c r="O133" s="28"/>
      <c r="P133" s="28"/>
      <c r="Q133" s="50" t="s">
        <v>282</v>
      </c>
      <c r="R133" s="25"/>
      <c r="S133" s="50"/>
      <c r="T133" s="30"/>
      <c r="U133" s="30"/>
      <c r="V133" s="30"/>
      <c r="W133" s="30"/>
      <c r="X133" s="30"/>
      <c r="Y133" s="30"/>
      <c r="Z133" s="30"/>
      <c r="AA133" s="30"/>
    </row>
    <row r="134" spans="1:27" ht="15.75" customHeight="1">
      <c r="A134" s="344"/>
      <c r="B134" s="344"/>
      <c r="C134" s="61">
        <v>15</v>
      </c>
      <c r="D134" s="344"/>
      <c r="E134" s="35" t="s">
        <v>1685</v>
      </c>
      <c r="F134" s="61" t="s">
        <v>361</v>
      </c>
      <c r="G134" s="61" t="s">
        <v>327</v>
      </c>
      <c r="H134" s="35" t="s">
        <v>1686</v>
      </c>
      <c r="I134" s="35" t="s">
        <v>1687</v>
      </c>
      <c r="J134" s="172"/>
      <c r="K134" s="25"/>
      <c r="L134" s="25"/>
      <c r="M134" s="43"/>
      <c r="N134" s="55"/>
      <c r="O134" s="28" t="s">
        <v>140</v>
      </c>
      <c r="P134" s="28"/>
      <c r="Q134" s="50" t="s">
        <v>282</v>
      </c>
      <c r="R134" s="25"/>
      <c r="S134" s="50"/>
      <c r="T134" s="30"/>
      <c r="U134" s="30"/>
      <c r="V134" s="30"/>
      <c r="W134" s="30"/>
      <c r="X134" s="30"/>
      <c r="Y134" s="30"/>
      <c r="Z134" s="30"/>
      <c r="AA134" s="30"/>
    </row>
    <row r="135" spans="1:27" ht="15.75" customHeight="1">
      <c r="A135" s="344"/>
      <c r="B135" s="344"/>
      <c r="C135" s="61">
        <v>16</v>
      </c>
      <c r="D135" s="344"/>
      <c r="E135" s="35" t="s">
        <v>1688</v>
      </c>
      <c r="F135" s="61" t="s">
        <v>361</v>
      </c>
      <c r="G135" s="61" t="s">
        <v>327</v>
      </c>
      <c r="H135" s="35" t="s">
        <v>1689</v>
      </c>
      <c r="I135" s="35" t="s">
        <v>1687</v>
      </c>
      <c r="J135" s="172"/>
      <c r="K135" s="25"/>
      <c r="L135" s="25"/>
      <c r="M135" s="43"/>
      <c r="N135" s="55"/>
      <c r="O135" s="28" t="s">
        <v>140</v>
      </c>
      <c r="P135" s="28"/>
      <c r="Q135" s="50" t="s">
        <v>282</v>
      </c>
      <c r="R135" s="25"/>
      <c r="S135" s="50"/>
      <c r="T135" s="30"/>
      <c r="U135" s="30"/>
      <c r="V135" s="30"/>
      <c r="W135" s="30"/>
      <c r="X135" s="30"/>
      <c r="Y135" s="30"/>
      <c r="Z135" s="30"/>
      <c r="AA135" s="30"/>
    </row>
    <row r="136" spans="1:27" ht="15.75" customHeight="1">
      <c r="A136" s="352"/>
      <c r="B136" s="352"/>
      <c r="C136" s="86">
        <v>17</v>
      </c>
      <c r="D136" s="352"/>
      <c r="E136" s="175" t="s">
        <v>1690</v>
      </c>
      <c r="F136" s="86" t="s">
        <v>361</v>
      </c>
      <c r="G136" s="86" t="s">
        <v>327</v>
      </c>
      <c r="H136" s="175" t="s">
        <v>1675</v>
      </c>
      <c r="I136" s="35" t="s">
        <v>1670</v>
      </c>
      <c r="J136" s="172"/>
      <c r="K136" s="25"/>
      <c r="L136" s="25"/>
      <c r="M136" s="43"/>
      <c r="N136" s="55"/>
      <c r="O136" s="28"/>
      <c r="P136" s="28"/>
      <c r="Q136" s="50" t="s">
        <v>282</v>
      </c>
      <c r="R136" s="25" t="s">
        <v>305</v>
      </c>
      <c r="S136" s="50"/>
      <c r="T136" s="30"/>
      <c r="U136" s="30"/>
      <c r="V136" s="30"/>
      <c r="W136" s="30"/>
      <c r="X136" s="30"/>
      <c r="Y136" s="30"/>
      <c r="Z136" s="30"/>
      <c r="AA136" s="30"/>
    </row>
    <row r="137" spans="1:27" ht="15.75" customHeight="1">
      <c r="A137" s="353"/>
      <c r="B137" s="353"/>
      <c r="C137" s="86">
        <v>18</v>
      </c>
      <c r="D137" s="353"/>
      <c r="E137" s="175" t="s">
        <v>1691</v>
      </c>
      <c r="F137" s="86" t="s">
        <v>361</v>
      </c>
      <c r="G137" s="86" t="s">
        <v>327</v>
      </c>
      <c r="H137" s="175" t="s">
        <v>1683</v>
      </c>
      <c r="I137" s="35" t="s">
        <v>1670</v>
      </c>
      <c r="J137" s="172"/>
      <c r="K137" s="25"/>
      <c r="L137" s="25"/>
      <c r="M137" s="43"/>
      <c r="N137" s="55"/>
      <c r="O137" s="28"/>
      <c r="P137" s="28"/>
      <c r="Q137" s="50" t="s">
        <v>282</v>
      </c>
      <c r="R137" s="25" t="s">
        <v>305</v>
      </c>
      <c r="S137" s="50"/>
      <c r="T137" s="30"/>
      <c r="U137" s="30"/>
      <c r="V137" s="30"/>
      <c r="W137" s="30"/>
      <c r="X137" s="30"/>
      <c r="Y137" s="30"/>
      <c r="Z137" s="30"/>
      <c r="AA137" s="30"/>
    </row>
    <row r="138" spans="1:27" ht="15.75" customHeight="1">
      <c r="A138" s="359" t="s">
        <v>1692</v>
      </c>
      <c r="B138" s="360" t="s">
        <v>1693</v>
      </c>
      <c r="C138" s="31">
        <v>1</v>
      </c>
      <c r="D138" s="359" t="s">
        <v>1692</v>
      </c>
      <c r="E138" s="23" t="s">
        <v>1694</v>
      </c>
      <c r="F138" s="31"/>
      <c r="G138" s="31"/>
      <c r="H138" s="23" t="s">
        <v>1695</v>
      </c>
      <c r="I138" s="23" t="s">
        <v>1605</v>
      </c>
      <c r="J138" s="170"/>
      <c r="K138" s="25" t="s">
        <v>294</v>
      </c>
      <c r="L138" s="25"/>
      <c r="M138" s="43"/>
      <c r="N138" s="55"/>
      <c r="O138" s="28"/>
      <c r="P138" s="50" t="s">
        <v>140</v>
      </c>
      <c r="Q138" s="50" t="s">
        <v>140</v>
      </c>
      <c r="R138" s="25" t="s">
        <v>307</v>
      </c>
      <c r="S138" s="50"/>
      <c r="T138" s="30"/>
      <c r="U138" s="30"/>
      <c r="V138" s="30"/>
      <c r="W138" s="30"/>
      <c r="X138" s="30"/>
      <c r="Y138" s="30"/>
      <c r="Z138" s="30"/>
      <c r="AA138" s="30"/>
    </row>
    <row r="139" spans="1:27" ht="15.75" customHeight="1">
      <c r="A139" s="344"/>
      <c r="B139" s="344"/>
      <c r="C139" s="31">
        <v>2</v>
      </c>
      <c r="D139" s="344"/>
      <c r="E139" s="23" t="s">
        <v>1696</v>
      </c>
      <c r="F139" s="31"/>
      <c r="G139" s="31"/>
      <c r="H139" s="23" t="s">
        <v>1697</v>
      </c>
      <c r="I139" s="23" t="s">
        <v>1698</v>
      </c>
      <c r="J139" s="170"/>
      <c r="K139" s="25" t="s">
        <v>294</v>
      </c>
      <c r="L139" s="25"/>
      <c r="M139" s="43"/>
      <c r="N139" s="55"/>
      <c r="O139" s="28" t="s">
        <v>140</v>
      </c>
      <c r="P139" s="50" t="s">
        <v>140</v>
      </c>
      <c r="Q139" s="50" t="s">
        <v>140</v>
      </c>
      <c r="R139" s="25" t="s">
        <v>307</v>
      </c>
      <c r="S139" s="50"/>
      <c r="T139" s="30"/>
      <c r="U139" s="30"/>
      <c r="V139" s="30"/>
      <c r="W139" s="30"/>
      <c r="X139" s="30"/>
      <c r="Y139" s="30"/>
      <c r="Z139" s="30"/>
      <c r="AA139" s="30"/>
    </row>
    <row r="140" spans="1:27" ht="15.75" customHeight="1">
      <c r="A140" s="344"/>
      <c r="B140" s="344"/>
      <c r="C140" s="31">
        <v>3</v>
      </c>
      <c r="D140" s="344"/>
      <c r="E140" s="23" t="s">
        <v>1699</v>
      </c>
      <c r="F140" s="31"/>
      <c r="G140" s="31"/>
      <c r="H140" s="23" t="s">
        <v>1700</v>
      </c>
      <c r="I140" s="23" t="s">
        <v>1701</v>
      </c>
      <c r="J140" s="170"/>
      <c r="K140" s="25" t="s">
        <v>294</v>
      </c>
      <c r="L140" s="25"/>
      <c r="M140" s="43"/>
      <c r="N140" s="55"/>
      <c r="O140" s="28" t="s">
        <v>140</v>
      </c>
      <c r="P140" s="50" t="s">
        <v>140</v>
      </c>
      <c r="Q140" s="50" t="s">
        <v>140</v>
      </c>
      <c r="R140" s="25" t="s">
        <v>307</v>
      </c>
      <c r="S140" s="50"/>
      <c r="T140" s="30"/>
      <c r="U140" s="30"/>
      <c r="V140" s="30"/>
      <c r="W140" s="30"/>
      <c r="X140" s="30"/>
      <c r="Y140" s="30"/>
      <c r="Z140" s="30"/>
      <c r="AA140" s="30"/>
    </row>
    <row r="141" spans="1:27" ht="15.75" customHeight="1">
      <c r="A141" s="345"/>
      <c r="B141" s="345"/>
      <c r="C141" s="31">
        <v>4</v>
      </c>
      <c r="D141" s="345"/>
      <c r="E141" s="23" t="s">
        <v>1702</v>
      </c>
      <c r="F141" s="31"/>
      <c r="G141" s="31"/>
      <c r="H141" s="23" t="s">
        <v>1703</v>
      </c>
      <c r="I141" s="23" t="s">
        <v>1605</v>
      </c>
      <c r="J141" s="170"/>
      <c r="K141" s="25" t="s">
        <v>294</v>
      </c>
      <c r="L141" s="25"/>
      <c r="M141" s="43"/>
      <c r="N141" s="55"/>
      <c r="O141" s="28"/>
      <c r="P141" s="50" t="s">
        <v>140</v>
      </c>
      <c r="Q141" s="50" t="s">
        <v>140</v>
      </c>
      <c r="R141" s="25" t="s">
        <v>307</v>
      </c>
      <c r="S141" s="50"/>
      <c r="T141" s="30"/>
      <c r="U141" s="30"/>
      <c r="V141" s="30"/>
      <c r="W141" s="30"/>
      <c r="X141" s="30"/>
      <c r="Y141" s="30"/>
      <c r="Z141" s="30"/>
      <c r="AA141" s="30"/>
    </row>
    <row r="142" spans="1:27" ht="33" customHeight="1">
      <c r="A142" s="368" t="s">
        <v>1704</v>
      </c>
      <c r="B142" s="350" t="s">
        <v>168</v>
      </c>
      <c r="C142" s="31">
        <v>1</v>
      </c>
      <c r="D142" s="368" t="s">
        <v>1704</v>
      </c>
      <c r="E142" s="23" t="s">
        <v>1694</v>
      </c>
      <c r="F142" s="31"/>
      <c r="G142" s="31"/>
      <c r="H142" s="23" t="s">
        <v>1705</v>
      </c>
      <c r="I142" s="23" t="s">
        <v>1706</v>
      </c>
      <c r="J142" s="170"/>
      <c r="K142" s="25" t="s">
        <v>294</v>
      </c>
      <c r="L142" s="25"/>
      <c r="M142" s="43"/>
      <c r="N142" s="55"/>
      <c r="O142" s="28"/>
      <c r="P142" s="50" t="s">
        <v>140</v>
      </c>
      <c r="Q142" s="50" t="s">
        <v>140</v>
      </c>
      <c r="R142" s="25"/>
      <c r="S142" s="50"/>
      <c r="T142" s="30"/>
      <c r="U142" s="30"/>
      <c r="V142" s="30"/>
      <c r="W142" s="30"/>
      <c r="X142" s="30"/>
      <c r="Y142" s="30"/>
      <c r="Z142" s="30"/>
      <c r="AA142" s="30"/>
    </row>
    <row r="143" spans="1:27" ht="15.75" customHeight="1">
      <c r="A143" s="344"/>
      <c r="B143" s="344"/>
      <c r="C143" s="31">
        <v>2</v>
      </c>
      <c r="D143" s="344"/>
      <c r="E143" s="23" t="s">
        <v>1707</v>
      </c>
      <c r="F143" s="31"/>
      <c r="G143" s="31"/>
      <c r="H143" s="23" t="s">
        <v>1708</v>
      </c>
      <c r="I143" s="23" t="s">
        <v>1709</v>
      </c>
      <c r="J143" s="170"/>
      <c r="K143" s="25" t="s">
        <v>294</v>
      </c>
      <c r="L143" s="25"/>
      <c r="M143" s="43"/>
      <c r="N143" s="55"/>
      <c r="O143" s="28" t="s">
        <v>140</v>
      </c>
      <c r="P143" s="50" t="s">
        <v>140</v>
      </c>
      <c r="Q143" s="50" t="s">
        <v>140</v>
      </c>
      <c r="R143" s="25"/>
      <c r="S143" s="50"/>
      <c r="T143" s="30"/>
      <c r="U143" s="30"/>
      <c r="V143" s="30"/>
      <c r="W143" s="30"/>
      <c r="X143" s="30"/>
      <c r="Y143" s="30"/>
      <c r="Z143" s="30"/>
      <c r="AA143" s="30"/>
    </row>
    <row r="144" spans="1:27" ht="15.75" customHeight="1">
      <c r="A144" s="344"/>
      <c r="B144" s="344"/>
      <c r="C144" s="31">
        <v>3</v>
      </c>
      <c r="D144" s="344"/>
      <c r="E144" s="23" t="s">
        <v>1710</v>
      </c>
      <c r="F144" s="31"/>
      <c r="G144" s="31"/>
      <c r="H144" s="23" t="s">
        <v>1711</v>
      </c>
      <c r="I144" s="23" t="s">
        <v>1712</v>
      </c>
      <c r="J144" s="170"/>
      <c r="K144" s="25" t="s">
        <v>294</v>
      </c>
      <c r="L144" s="25"/>
      <c r="M144" s="43"/>
      <c r="N144" s="55"/>
      <c r="O144" s="28" t="s">
        <v>140</v>
      </c>
      <c r="P144" s="50" t="s">
        <v>140</v>
      </c>
      <c r="Q144" s="50" t="s">
        <v>140</v>
      </c>
      <c r="R144" s="25"/>
      <c r="S144" s="50"/>
      <c r="T144" s="30"/>
      <c r="U144" s="30"/>
      <c r="V144" s="30"/>
      <c r="W144" s="30"/>
      <c r="X144" s="30"/>
      <c r="Y144" s="30"/>
      <c r="Z144" s="30"/>
      <c r="AA144" s="30"/>
    </row>
    <row r="145" spans="1:27" ht="15.75" customHeight="1">
      <c r="A145" s="345"/>
      <c r="B145" s="345"/>
      <c r="C145" s="31">
        <v>4</v>
      </c>
      <c r="D145" s="345"/>
      <c r="E145" s="23" t="s">
        <v>1702</v>
      </c>
      <c r="F145" s="31"/>
      <c r="G145" s="31"/>
      <c r="H145" s="35" t="s">
        <v>1713</v>
      </c>
      <c r="I145" s="35" t="s">
        <v>1714</v>
      </c>
      <c r="J145" s="172"/>
      <c r="K145" s="25" t="s">
        <v>294</v>
      </c>
      <c r="L145" s="25"/>
      <c r="M145" s="43"/>
      <c r="N145" s="55"/>
      <c r="O145" s="28"/>
      <c r="P145" s="50" t="s">
        <v>140</v>
      </c>
      <c r="Q145" s="50" t="s">
        <v>140</v>
      </c>
      <c r="R145" s="25"/>
      <c r="S145" s="50"/>
      <c r="T145" s="30"/>
      <c r="U145" s="30"/>
      <c r="V145" s="30"/>
      <c r="W145" s="30"/>
      <c r="X145" s="30"/>
      <c r="Y145" s="30"/>
      <c r="Z145" s="30"/>
      <c r="AA145" s="30"/>
    </row>
    <row r="146" spans="1:27" ht="16.5" customHeight="1">
      <c r="A146" s="368" t="s">
        <v>1704</v>
      </c>
      <c r="B146" s="350" t="s">
        <v>169</v>
      </c>
      <c r="C146" s="31">
        <v>1</v>
      </c>
      <c r="D146" s="368" t="s">
        <v>1704</v>
      </c>
      <c r="E146" s="355" t="s">
        <v>1715</v>
      </c>
      <c r="F146" s="31"/>
      <c r="G146" s="93"/>
      <c r="H146" s="35" t="s">
        <v>1716</v>
      </c>
      <c r="I146" s="35" t="s">
        <v>1717</v>
      </c>
      <c r="J146" s="172"/>
      <c r="K146" s="25"/>
      <c r="L146" s="25"/>
      <c r="M146" s="43"/>
      <c r="N146" s="55"/>
      <c r="O146" s="28"/>
      <c r="P146" s="28"/>
      <c r="Q146" s="50" t="s">
        <v>282</v>
      </c>
      <c r="R146" s="25"/>
      <c r="S146" s="50"/>
      <c r="T146" s="30"/>
      <c r="U146" s="30"/>
      <c r="V146" s="30"/>
      <c r="W146" s="30"/>
      <c r="X146" s="30"/>
      <c r="Y146" s="30"/>
      <c r="Z146" s="30"/>
      <c r="AA146" s="30"/>
    </row>
    <row r="147" spans="1:27" ht="15.75" customHeight="1">
      <c r="A147" s="344"/>
      <c r="B147" s="344"/>
      <c r="C147" s="31">
        <v>2</v>
      </c>
      <c r="D147" s="344"/>
      <c r="E147" s="344"/>
      <c r="F147" s="31"/>
      <c r="G147" s="93"/>
      <c r="H147" s="35" t="s">
        <v>1718</v>
      </c>
      <c r="I147" s="35" t="s">
        <v>1719</v>
      </c>
      <c r="J147" s="172"/>
      <c r="K147" s="25"/>
      <c r="L147" s="25"/>
      <c r="M147" s="43"/>
      <c r="N147" s="55"/>
      <c r="O147" s="28" t="s">
        <v>140</v>
      </c>
      <c r="P147" s="28"/>
      <c r="Q147" s="50" t="s">
        <v>282</v>
      </c>
      <c r="R147" s="25"/>
      <c r="S147" s="50"/>
      <c r="T147" s="30"/>
      <c r="U147" s="30"/>
      <c r="V147" s="30"/>
      <c r="W147" s="30"/>
      <c r="X147" s="30"/>
      <c r="Y147" s="30"/>
      <c r="Z147" s="30"/>
      <c r="AA147" s="30"/>
    </row>
    <row r="148" spans="1:27" ht="15.75" customHeight="1">
      <c r="A148" s="344"/>
      <c r="B148" s="344"/>
      <c r="C148" s="31">
        <v>3</v>
      </c>
      <c r="D148" s="344"/>
      <c r="E148" s="344"/>
      <c r="F148" s="31"/>
      <c r="G148" s="93"/>
      <c r="H148" s="35" t="s">
        <v>1720</v>
      </c>
      <c r="I148" s="35" t="s">
        <v>1721</v>
      </c>
      <c r="J148" s="172"/>
      <c r="K148" s="25"/>
      <c r="L148" s="25"/>
      <c r="M148" s="43"/>
      <c r="N148" s="55"/>
      <c r="O148" s="28"/>
      <c r="P148" s="28"/>
      <c r="Q148" s="50" t="s">
        <v>282</v>
      </c>
      <c r="R148" s="25"/>
      <c r="S148" s="50"/>
      <c r="T148" s="30"/>
      <c r="U148" s="30"/>
      <c r="V148" s="30"/>
      <c r="W148" s="30"/>
      <c r="X148" s="30"/>
      <c r="Y148" s="30"/>
      <c r="Z148" s="30"/>
      <c r="AA148" s="30"/>
    </row>
    <row r="149" spans="1:27" ht="15.75" customHeight="1">
      <c r="A149" s="345"/>
      <c r="B149" s="345"/>
      <c r="C149" s="31">
        <v>4</v>
      </c>
      <c r="D149" s="345"/>
      <c r="E149" s="345"/>
      <c r="F149" s="31"/>
      <c r="G149" s="93"/>
      <c r="H149" s="35" t="s">
        <v>1722</v>
      </c>
      <c r="I149" s="35" t="s">
        <v>1723</v>
      </c>
      <c r="J149" s="172"/>
      <c r="K149" s="25"/>
      <c r="L149" s="25"/>
      <c r="M149" s="43"/>
      <c r="N149" s="55"/>
      <c r="O149" s="28"/>
      <c r="P149" s="28"/>
      <c r="Q149" s="50" t="s">
        <v>282</v>
      </c>
      <c r="R149" s="25"/>
      <c r="S149" s="50"/>
      <c r="T149" s="30"/>
      <c r="U149" s="30"/>
      <c r="V149" s="30"/>
      <c r="W149" s="30"/>
      <c r="X149" s="30"/>
      <c r="Y149" s="30"/>
      <c r="Z149" s="30"/>
      <c r="AA149" s="30"/>
    </row>
    <row r="150" spans="1:27" ht="33" customHeight="1">
      <c r="A150" s="359" t="s">
        <v>1724</v>
      </c>
      <c r="B150" s="360" t="s">
        <v>1725</v>
      </c>
      <c r="C150" s="94">
        <v>1</v>
      </c>
      <c r="D150" s="359" t="s">
        <v>1724</v>
      </c>
      <c r="E150" s="39" t="s">
        <v>1726</v>
      </c>
      <c r="F150" s="31" t="s">
        <v>326</v>
      </c>
      <c r="G150" s="31" t="s">
        <v>327</v>
      </c>
      <c r="H150" s="23" t="s">
        <v>1727</v>
      </c>
      <c r="I150" s="23" t="s">
        <v>1728</v>
      </c>
      <c r="J150" s="170"/>
      <c r="K150" s="25" t="s">
        <v>294</v>
      </c>
      <c r="L150" s="25"/>
      <c r="M150" s="43"/>
      <c r="N150" s="46"/>
      <c r="O150" s="28" t="s">
        <v>140</v>
      </c>
      <c r="P150" s="50" t="s">
        <v>140</v>
      </c>
      <c r="Q150" s="50" t="s">
        <v>140</v>
      </c>
      <c r="R150" s="25"/>
      <c r="S150" s="50"/>
      <c r="T150" s="65"/>
      <c r="U150" s="65"/>
      <c r="V150" s="65"/>
      <c r="W150" s="65"/>
      <c r="X150" s="65"/>
      <c r="Y150" s="65"/>
      <c r="Z150" s="65"/>
      <c r="AA150" s="65"/>
    </row>
    <row r="151" spans="1:27" ht="15.75" customHeight="1">
      <c r="A151" s="344"/>
      <c r="B151" s="344"/>
      <c r="C151" s="95">
        <v>2</v>
      </c>
      <c r="D151" s="344"/>
      <c r="E151" s="39" t="s">
        <v>1729</v>
      </c>
      <c r="F151" s="31" t="s">
        <v>326</v>
      </c>
      <c r="G151" s="31" t="s">
        <v>327</v>
      </c>
      <c r="H151" s="23" t="s">
        <v>1730</v>
      </c>
      <c r="I151" s="23" t="s">
        <v>1731</v>
      </c>
      <c r="J151" s="170"/>
      <c r="K151" s="25" t="s">
        <v>294</v>
      </c>
      <c r="L151" s="25"/>
      <c r="M151" s="43"/>
      <c r="N151" s="46"/>
      <c r="O151" s="28" t="s">
        <v>140</v>
      </c>
      <c r="P151" s="50" t="s">
        <v>140</v>
      </c>
      <c r="Q151" s="50" t="s">
        <v>140</v>
      </c>
      <c r="R151" s="25"/>
      <c r="S151" s="50"/>
      <c r="T151" s="65"/>
      <c r="U151" s="65"/>
      <c r="V151" s="65"/>
      <c r="W151" s="65"/>
      <c r="X151" s="65"/>
      <c r="Y151" s="65"/>
      <c r="Z151" s="65"/>
      <c r="AA151" s="65"/>
    </row>
    <row r="152" spans="1:27" ht="15.75" customHeight="1">
      <c r="A152" s="344"/>
      <c r="B152" s="344"/>
      <c r="C152" s="95">
        <v>3</v>
      </c>
      <c r="D152" s="344"/>
      <c r="E152" s="39" t="s">
        <v>1732</v>
      </c>
      <c r="F152" s="31" t="s">
        <v>326</v>
      </c>
      <c r="G152" s="31" t="s">
        <v>327</v>
      </c>
      <c r="H152" s="23" t="s">
        <v>1733</v>
      </c>
      <c r="I152" s="23" t="s">
        <v>1734</v>
      </c>
      <c r="J152" s="170"/>
      <c r="K152" s="25" t="s">
        <v>294</v>
      </c>
      <c r="L152" s="25"/>
      <c r="M152" s="43"/>
      <c r="N152" s="46"/>
      <c r="O152" s="28" t="s">
        <v>140</v>
      </c>
      <c r="P152" s="50" t="s">
        <v>140</v>
      </c>
      <c r="Q152" s="50" t="s">
        <v>140</v>
      </c>
      <c r="R152" s="25"/>
      <c r="S152" s="50"/>
      <c r="T152" s="65"/>
      <c r="U152" s="65"/>
      <c r="V152" s="65"/>
      <c r="W152" s="65"/>
      <c r="X152" s="65"/>
      <c r="Y152" s="65"/>
      <c r="Z152" s="65"/>
      <c r="AA152" s="65"/>
    </row>
    <row r="153" spans="1:27" ht="15.75" customHeight="1">
      <c r="A153" s="344"/>
      <c r="B153" s="344"/>
      <c r="C153" s="95">
        <v>4</v>
      </c>
      <c r="D153" s="344"/>
      <c r="E153" s="39" t="s">
        <v>1735</v>
      </c>
      <c r="F153" s="31" t="s">
        <v>326</v>
      </c>
      <c r="G153" s="31" t="s">
        <v>327</v>
      </c>
      <c r="H153" s="23" t="s">
        <v>1736</v>
      </c>
      <c r="I153" s="23" t="s">
        <v>1737</v>
      </c>
      <c r="J153" s="170"/>
      <c r="K153" s="25" t="s">
        <v>294</v>
      </c>
      <c r="L153" s="25"/>
      <c r="M153" s="43"/>
      <c r="N153" s="46"/>
      <c r="O153" s="28" t="s">
        <v>140</v>
      </c>
      <c r="P153" s="50" t="s">
        <v>140</v>
      </c>
      <c r="Q153" s="50" t="s">
        <v>140</v>
      </c>
      <c r="R153" s="25"/>
      <c r="S153" s="50"/>
      <c r="T153" s="65"/>
      <c r="U153" s="65"/>
      <c r="V153" s="65"/>
      <c r="W153" s="65"/>
      <c r="X153" s="65"/>
      <c r="Y153" s="65"/>
      <c r="Z153" s="65"/>
      <c r="AA153" s="65"/>
    </row>
    <row r="154" spans="1:27" ht="33" customHeight="1">
      <c r="A154" s="344"/>
      <c r="B154" s="344"/>
      <c r="C154" s="95">
        <v>5</v>
      </c>
      <c r="D154" s="344"/>
      <c r="E154" s="39" t="s">
        <v>1738</v>
      </c>
      <c r="F154" s="31" t="s">
        <v>326</v>
      </c>
      <c r="G154" s="31" t="s">
        <v>327</v>
      </c>
      <c r="H154" s="23" t="s">
        <v>1739</v>
      </c>
      <c r="I154" s="23" t="s">
        <v>1740</v>
      </c>
      <c r="J154" s="170"/>
      <c r="K154" s="25" t="s">
        <v>294</v>
      </c>
      <c r="L154" s="25"/>
      <c r="M154" s="43"/>
      <c r="N154" s="46"/>
      <c r="O154" s="28" t="s">
        <v>140</v>
      </c>
      <c r="P154" s="50" t="s">
        <v>140</v>
      </c>
      <c r="Q154" s="50" t="s">
        <v>140</v>
      </c>
      <c r="R154" s="25"/>
      <c r="S154" s="50"/>
      <c r="T154" s="65"/>
      <c r="U154" s="65"/>
      <c r="V154" s="65"/>
      <c r="W154" s="65"/>
      <c r="X154" s="65"/>
      <c r="Y154" s="65"/>
      <c r="Z154" s="65"/>
      <c r="AA154" s="65"/>
    </row>
    <row r="155" spans="1:27" ht="15.75" customHeight="1">
      <c r="A155" s="345"/>
      <c r="B155" s="345"/>
      <c r="C155" s="94">
        <v>6</v>
      </c>
      <c r="D155" s="345"/>
      <c r="E155" s="39" t="s">
        <v>1741</v>
      </c>
      <c r="F155" s="31" t="s">
        <v>326</v>
      </c>
      <c r="G155" s="31" t="s">
        <v>327</v>
      </c>
      <c r="H155" s="23" t="s">
        <v>1742</v>
      </c>
      <c r="I155" s="23" t="s">
        <v>1743</v>
      </c>
      <c r="J155" s="170"/>
      <c r="K155" s="25" t="s">
        <v>294</v>
      </c>
      <c r="L155" s="25"/>
      <c r="M155" s="43"/>
      <c r="N155" s="46"/>
      <c r="O155" s="28" t="s">
        <v>140</v>
      </c>
      <c r="P155" s="50" t="s">
        <v>140</v>
      </c>
      <c r="Q155" s="50" t="s">
        <v>140</v>
      </c>
      <c r="R155" s="25"/>
      <c r="S155" s="50"/>
      <c r="T155" s="65"/>
      <c r="U155" s="65"/>
      <c r="V155" s="65"/>
      <c r="W155" s="65"/>
      <c r="X155" s="65"/>
      <c r="Y155" s="65"/>
      <c r="Z155" s="65"/>
      <c r="AA155" s="65"/>
    </row>
    <row r="156" spans="1:27" ht="15.75" customHeight="1">
      <c r="A156" s="351" t="s">
        <v>1744</v>
      </c>
      <c r="B156" s="354" t="s">
        <v>197</v>
      </c>
      <c r="C156" s="96">
        <v>1</v>
      </c>
      <c r="D156" s="351" t="s">
        <v>1745</v>
      </c>
      <c r="E156" s="181" t="s">
        <v>1746</v>
      </c>
      <c r="F156" s="86" t="s">
        <v>326</v>
      </c>
      <c r="G156" s="86" t="s">
        <v>327</v>
      </c>
      <c r="H156" s="175" t="s">
        <v>1747</v>
      </c>
      <c r="I156" s="35" t="s">
        <v>1748</v>
      </c>
      <c r="J156" s="172"/>
      <c r="K156" s="25"/>
      <c r="L156" s="25"/>
      <c r="M156" s="43"/>
      <c r="N156" s="97"/>
      <c r="O156" s="28"/>
      <c r="P156" s="28"/>
      <c r="Q156" s="50" t="s">
        <v>140</v>
      </c>
      <c r="R156" s="25" t="s">
        <v>305</v>
      </c>
      <c r="S156" s="50"/>
      <c r="T156" s="65"/>
      <c r="U156" s="65"/>
      <c r="V156" s="65"/>
      <c r="W156" s="65"/>
      <c r="X156" s="65"/>
      <c r="Y156" s="65"/>
      <c r="Z156" s="65"/>
      <c r="AA156" s="65"/>
    </row>
    <row r="157" spans="1:27" ht="15.75" customHeight="1">
      <c r="A157" s="352"/>
      <c r="B157" s="352"/>
      <c r="C157" s="96">
        <v>2</v>
      </c>
      <c r="D157" s="352"/>
      <c r="E157" s="181" t="s">
        <v>1749</v>
      </c>
      <c r="F157" s="86" t="s">
        <v>326</v>
      </c>
      <c r="G157" s="86" t="s">
        <v>327</v>
      </c>
      <c r="H157" s="175" t="s">
        <v>1750</v>
      </c>
      <c r="I157" s="35" t="s">
        <v>1751</v>
      </c>
      <c r="J157" s="172"/>
      <c r="K157" s="25"/>
      <c r="L157" s="25"/>
      <c r="M157" s="43"/>
      <c r="N157" s="97"/>
      <c r="O157" s="28"/>
      <c r="P157" s="28"/>
      <c r="Q157" s="50" t="s">
        <v>282</v>
      </c>
      <c r="R157" s="25" t="s">
        <v>305</v>
      </c>
      <c r="S157" s="50"/>
      <c r="T157" s="65"/>
      <c r="U157" s="65"/>
      <c r="V157" s="65"/>
      <c r="W157" s="65"/>
      <c r="X157" s="65"/>
      <c r="Y157" s="65"/>
      <c r="Z157" s="65"/>
      <c r="AA157" s="65"/>
    </row>
    <row r="158" spans="1:27" ht="15.75" customHeight="1">
      <c r="A158" s="353"/>
      <c r="B158" s="353"/>
      <c r="C158" s="96">
        <v>3</v>
      </c>
      <c r="D158" s="353"/>
      <c r="E158" s="181" t="s">
        <v>1749</v>
      </c>
      <c r="F158" s="86" t="s">
        <v>326</v>
      </c>
      <c r="G158" s="86" t="s">
        <v>327</v>
      </c>
      <c r="H158" s="175" t="s">
        <v>1752</v>
      </c>
      <c r="I158" s="35" t="s">
        <v>1753</v>
      </c>
      <c r="J158" s="172"/>
      <c r="K158" s="25"/>
      <c r="L158" s="25"/>
      <c r="M158" s="43"/>
      <c r="N158" s="97"/>
      <c r="O158" s="28"/>
      <c r="P158" s="28"/>
      <c r="Q158" s="50" t="s">
        <v>282</v>
      </c>
      <c r="R158" s="25" t="s">
        <v>305</v>
      </c>
      <c r="S158" s="50"/>
      <c r="T158" s="65"/>
      <c r="U158" s="65"/>
      <c r="V158" s="65"/>
      <c r="W158" s="65"/>
      <c r="X158" s="65"/>
      <c r="Y158" s="65"/>
      <c r="Z158" s="65"/>
      <c r="AA158" s="65"/>
    </row>
    <row r="159" spans="1:27" ht="15.75" customHeight="1">
      <c r="A159" s="56" t="s">
        <v>1754</v>
      </c>
      <c r="B159" s="72" t="s">
        <v>1755</v>
      </c>
      <c r="C159" s="98">
        <v>1</v>
      </c>
      <c r="D159" s="56" t="s">
        <v>1754</v>
      </c>
      <c r="E159" s="73" t="s">
        <v>1756</v>
      </c>
      <c r="F159" s="46" t="s">
        <v>326</v>
      </c>
      <c r="G159" s="46" t="s">
        <v>327</v>
      </c>
      <c r="H159" s="35" t="s">
        <v>1757</v>
      </c>
      <c r="I159" s="35" t="s">
        <v>1758</v>
      </c>
      <c r="J159" s="172"/>
      <c r="K159" s="25" t="s">
        <v>294</v>
      </c>
      <c r="L159" s="25"/>
      <c r="M159" s="43"/>
      <c r="N159" s="97"/>
      <c r="O159" s="28"/>
      <c r="P159" s="28"/>
      <c r="Q159" s="50" t="s">
        <v>140</v>
      </c>
      <c r="R159" s="25"/>
      <c r="S159" s="50"/>
      <c r="T159" s="65"/>
      <c r="U159" s="65"/>
      <c r="V159" s="65"/>
      <c r="W159" s="65"/>
      <c r="X159" s="65"/>
      <c r="Y159" s="65"/>
      <c r="Z159" s="65"/>
      <c r="AA159" s="65"/>
    </row>
    <row r="160" spans="1:27" ht="15.75" customHeight="1">
      <c r="A160" s="365" t="s">
        <v>1759</v>
      </c>
      <c r="B160" s="371" t="s">
        <v>42</v>
      </c>
      <c r="C160" s="98">
        <v>1</v>
      </c>
      <c r="D160" s="365" t="s">
        <v>1759</v>
      </c>
      <c r="E160" s="73" t="s">
        <v>1760</v>
      </c>
      <c r="F160" s="46" t="s">
        <v>326</v>
      </c>
      <c r="G160" s="46" t="s">
        <v>327</v>
      </c>
      <c r="H160" s="35" t="s">
        <v>1761</v>
      </c>
      <c r="I160" s="35" t="s">
        <v>1762</v>
      </c>
      <c r="J160" s="172"/>
      <c r="K160" s="25" t="s">
        <v>294</v>
      </c>
      <c r="L160" s="25"/>
      <c r="M160" s="43"/>
      <c r="N160" s="97"/>
      <c r="O160" s="28"/>
      <c r="P160" s="28"/>
      <c r="Q160" s="50" t="s">
        <v>140</v>
      </c>
      <c r="R160" s="25"/>
      <c r="S160" s="50"/>
      <c r="T160" s="65"/>
      <c r="U160" s="65"/>
      <c r="V160" s="65"/>
      <c r="W160" s="65"/>
      <c r="X160" s="65"/>
      <c r="Y160" s="65"/>
      <c r="Z160" s="65"/>
      <c r="AA160" s="65"/>
    </row>
    <row r="161" spans="1:27" ht="15.75" customHeight="1">
      <c r="A161" s="345"/>
      <c r="B161" s="345"/>
      <c r="C161" s="98">
        <v>2</v>
      </c>
      <c r="D161" s="345"/>
      <c r="E161" s="73" t="s">
        <v>1763</v>
      </c>
      <c r="F161" s="46" t="s">
        <v>326</v>
      </c>
      <c r="G161" s="46" t="s">
        <v>327</v>
      </c>
      <c r="H161" s="35" t="s">
        <v>1764</v>
      </c>
      <c r="I161" s="35" t="s">
        <v>1765</v>
      </c>
      <c r="J161" s="172"/>
      <c r="K161" s="25"/>
      <c r="L161" s="25"/>
      <c r="M161" s="43"/>
      <c r="N161" s="97"/>
      <c r="O161" s="28"/>
      <c r="P161" s="28"/>
      <c r="Q161" s="50" t="s">
        <v>282</v>
      </c>
      <c r="R161" s="25"/>
      <c r="S161" s="50"/>
      <c r="T161" s="65"/>
      <c r="U161" s="65"/>
      <c r="V161" s="65"/>
      <c r="W161" s="65"/>
      <c r="X161" s="65"/>
      <c r="Y161" s="65"/>
      <c r="Z161" s="65"/>
      <c r="AA161" s="65"/>
    </row>
    <row r="162" spans="1:27" ht="15.75" customHeight="1">
      <c r="A162" s="39" t="s">
        <v>1766</v>
      </c>
      <c r="B162" s="31" t="s">
        <v>1767</v>
      </c>
      <c r="C162" s="31">
        <v>1</v>
      </c>
      <c r="D162" s="39" t="s">
        <v>1766</v>
      </c>
      <c r="E162" s="23" t="s">
        <v>1768</v>
      </c>
      <c r="F162" s="31"/>
      <c r="G162" s="93"/>
      <c r="H162" s="23" t="s">
        <v>1769</v>
      </c>
      <c r="I162" s="23" t="s">
        <v>1770</v>
      </c>
      <c r="J162" s="170"/>
      <c r="K162" s="25"/>
      <c r="L162" s="25"/>
      <c r="M162" s="43"/>
      <c r="N162" s="55"/>
      <c r="O162" s="28" t="s">
        <v>140</v>
      </c>
      <c r="P162" s="28"/>
      <c r="Q162" s="89" t="s">
        <v>393</v>
      </c>
      <c r="R162" s="25"/>
      <c r="S162" s="50"/>
      <c r="T162" s="30"/>
      <c r="U162" s="30"/>
      <c r="V162" s="30"/>
      <c r="W162" s="30"/>
      <c r="X162" s="30"/>
      <c r="Y162" s="30"/>
      <c r="Z162" s="30"/>
      <c r="AA162" s="30"/>
    </row>
    <row r="163" spans="1:27" ht="15.75" customHeight="1">
      <c r="A163" s="39" t="s">
        <v>1771</v>
      </c>
      <c r="B163" s="31" t="s">
        <v>1772</v>
      </c>
      <c r="C163" s="31">
        <v>1</v>
      </c>
      <c r="D163" s="39" t="s">
        <v>1771</v>
      </c>
      <c r="E163" s="23" t="s">
        <v>1773</v>
      </c>
      <c r="F163" s="31" t="s">
        <v>326</v>
      </c>
      <c r="G163" s="31" t="s">
        <v>327</v>
      </c>
      <c r="H163" s="23" t="s">
        <v>1774</v>
      </c>
      <c r="I163" s="23" t="s">
        <v>1775</v>
      </c>
      <c r="J163" s="170"/>
      <c r="K163" s="25"/>
      <c r="L163" s="25"/>
      <c r="M163" s="99"/>
      <c r="N163" s="100"/>
      <c r="O163" s="28"/>
      <c r="P163" s="28"/>
      <c r="Q163" s="50" t="s">
        <v>282</v>
      </c>
      <c r="R163" s="25"/>
      <c r="S163" s="50"/>
      <c r="T163" s="65"/>
      <c r="U163" s="65"/>
      <c r="V163" s="65"/>
      <c r="W163" s="65"/>
      <c r="X163" s="65"/>
      <c r="Y163" s="65"/>
      <c r="Z163" s="65"/>
      <c r="AA163" s="65"/>
    </row>
    <row r="164" spans="1:27" ht="15.75" customHeight="1">
      <c r="A164" s="39" t="s">
        <v>1776</v>
      </c>
      <c r="B164" s="31" t="s">
        <v>1777</v>
      </c>
      <c r="C164" s="31">
        <v>1</v>
      </c>
      <c r="D164" s="39" t="s">
        <v>1776</v>
      </c>
      <c r="E164" s="23" t="s">
        <v>1778</v>
      </c>
      <c r="F164" s="31"/>
      <c r="G164" s="31"/>
      <c r="H164" s="23" t="s">
        <v>1779</v>
      </c>
      <c r="I164" s="39" t="s">
        <v>1780</v>
      </c>
      <c r="J164" s="289"/>
      <c r="K164" s="25"/>
      <c r="L164" s="25"/>
      <c r="M164" s="43"/>
      <c r="N164" s="55"/>
      <c r="O164" s="28"/>
      <c r="P164" s="28"/>
      <c r="Q164" s="50" t="s">
        <v>282</v>
      </c>
      <c r="R164" s="25"/>
      <c r="S164" s="50"/>
      <c r="T164" s="30"/>
      <c r="U164" s="30"/>
      <c r="V164" s="30"/>
      <c r="W164" s="30"/>
      <c r="X164" s="30"/>
      <c r="Y164" s="30"/>
      <c r="Z164" s="30"/>
      <c r="AA164" s="30"/>
    </row>
    <row r="165" spans="1:27" ht="15.75" customHeight="1">
      <c r="A165" s="368" t="s">
        <v>1781</v>
      </c>
      <c r="B165" s="350" t="s">
        <v>154</v>
      </c>
      <c r="C165" s="31">
        <v>1</v>
      </c>
      <c r="D165" s="368" t="s">
        <v>1782</v>
      </c>
      <c r="E165" s="23" t="s">
        <v>1783</v>
      </c>
      <c r="F165" s="31" t="s">
        <v>361</v>
      </c>
      <c r="G165" s="31" t="s">
        <v>327</v>
      </c>
      <c r="H165" s="23" t="s">
        <v>1784</v>
      </c>
      <c r="I165" s="39" t="s">
        <v>1785</v>
      </c>
      <c r="J165" s="289"/>
      <c r="K165" s="25"/>
      <c r="L165" s="26"/>
      <c r="M165" s="377" t="s">
        <v>1786</v>
      </c>
      <c r="N165" s="55"/>
      <c r="O165" s="28" t="s">
        <v>140</v>
      </c>
      <c r="P165" s="28"/>
      <c r="Q165" s="50" t="s">
        <v>282</v>
      </c>
      <c r="R165" s="25"/>
      <c r="S165" s="50" t="s">
        <v>140</v>
      </c>
      <c r="T165" s="30"/>
      <c r="U165" s="30"/>
      <c r="V165" s="30"/>
      <c r="W165" s="30"/>
      <c r="X165" s="30"/>
      <c r="Y165" s="30"/>
      <c r="Z165" s="30"/>
      <c r="AA165" s="30"/>
    </row>
    <row r="166" spans="1:27" ht="15.75" customHeight="1">
      <c r="A166" s="345"/>
      <c r="B166" s="345"/>
      <c r="C166" s="31">
        <v>2</v>
      </c>
      <c r="D166" s="345"/>
      <c r="E166" s="23" t="s">
        <v>1787</v>
      </c>
      <c r="F166" s="31" t="s">
        <v>361</v>
      </c>
      <c r="G166" s="31" t="s">
        <v>327</v>
      </c>
      <c r="H166" s="23" t="s">
        <v>1788</v>
      </c>
      <c r="I166" s="23" t="s">
        <v>1789</v>
      </c>
      <c r="J166" s="170"/>
      <c r="K166" s="25"/>
      <c r="L166" s="26"/>
      <c r="M166" s="344"/>
      <c r="N166" s="55"/>
      <c r="O166" s="28" t="s">
        <v>140</v>
      </c>
      <c r="P166" s="28"/>
      <c r="Q166" s="50" t="s">
        <v>282</v>
      </c>
      <c r="R166" s="25"/>
      <c r="S166" s="50" t="s">
        <v>140</v>
      </c>
      <c r="T166" s="65"/>
      <c r="U166" s="65"/>
      <c r="V166" s="65"/>
      <c r="W166" s="65"/>
      <c r="X166" s="65"/>
      <c r="Y166" s="65"/>
      <c r="Z166" s="65"/>
      <c r="AA166" s="65"/>
    </row>
    <row r="167" spans="1:27" ht="15.75" customHeight="1">
      <c r="A167" s="368" t="s">
        <v>1790</v>
      </c>
      <c r="B167" s="350" t="s">
        <v>97</v>
      </c>
      <c r="C167" s="31">
        <v>1</v>
      </c>
      <c r="D167" s="368" t="s">
        <v>1791</v>
      </c>
      <c r="E167" s="356" t="s">
        <v>1792</v>
      </c>
      <c r="F167" s="360" t="s">
        <v>361</v>
      </c>
      <c r="G167" s="360" t="s">
        <v>327</v>
      </c>
      <c r="H167" s="356" t="s">
        <v>1793</v>
      </c>
      <c r="I167" s="23" t="s">
        <v>1794</v>
      </c>
      <c r="J167" s="170"/>
      <c r="K167" s="25" t="s">
        <v>294</v>
      </c>
      <c r="L167" s="26"/>
      <c r="M167" s="344"/>
      <c r="N167" s="55"/>
      <c r="O167" s="28"/>
      <c r="P167" s="28"/>
      <c r="Q167" s="50" t="s">
        <v>140</v>
      </c>
      <c r="R167" s="25"/>
      <c r="S167" s="50" t="s">
        <v>140</v>
      </c>
      <c r="T167" s="30"/>
      <c r="U167" s="30"/>
      <c r="V167" s="30"/>
      <c r="W167" s="30"/>
      <c r="X167" s="30"/>
      <c r="Y167" s="30"/>
      <c r="Z167" s="30"/>
      <c r="AA167" s="30"/>
    </row>
    <row r="168" spans="1:27" ht="15.75" customHeight="1">
      <c r="A168" s="344"/>
      <c r="B168" s="344"/>
      <c r="C168" s="31">
        <v>2</v>
      </c>
      <c r="D168" s="344"/>
      <c r="E168" s="345"/>
      <c r="F168" s="345"/>
      <c r="G168" s="345"/>
      <c r="H168" s="345"/>
      <c r="I168" s="23" t="s">
        <v>1795</v>
      </c>
      <c r="J168" s="170"/>
      <c r="K168" s="25" t="s">
        <v>294</v>
      </c>
      <c r="L168" s="26"/>
      <c r="M168" s="344"/>
      <c r="N168" s="55"/>
      <c r="O168" s="28"/>
      <c r="P168" s="28"/>
      <c r="Q168" s="50" t="s">
        <v>140</v>
      </c>
      <c r="R168" s="25"/>
      <c r="S168" s="50" t="s">
        <v>140</v>
      </c>
      <c r="T168" s="30"/>
      <c r="U168" s="30"/>
      <c r="V168" s="30"/>
      <c r="W168" s="30"/>
      <c r="X168" s="30"/>
      <c r="Y168" s="30"/>
      <c r="Z168" s="30"/>
      <c r="AA168" s="30"/>
    </row>
    <row r="169" spans="1:27" ht="15.75" customHeight="1">
      <c r="A169" s="344"/>
      <c r="B169" s="344"/>
      <c r="C169" s="31">
        <v>3</v>
      </c>
      <c r="D169" s="344"/>
      <c r="E169" s="356" t="s">
        <v>1796</v>
      </c>
      <c r="F169" s="360" t="s">
        <v>361</v>
      </c>
      <c r="G169" s="360" t="s">
        <v>327</v>
      </c>
      <c r="H169" s="356" t="s">
        <v>1797</v>
      </c>
      <c r="I169" s="23" t="s">
        <v>1794</v>
      </c>
      <c r="J169" s="170"/>
      <c r="K169" s="25" t="s">
        <v>294</v>
      </c>
      <c r="L169" s="26"/>
      <c r="M169" s="344"/>
      <c r="N169" s="55"/>
      <c r="O169" s="28"/>
      <c r="P169" s="28"/>
      <c r="Q169" s="50" t="s">
        <v>140</v>
      </c>
      <c r="R169" s="25"/>
      <c r="S169" s="50" t="s">
        <v>140</v>
      </c>
      <c r="T169" s="30"/>
      <c r="U169" s="30"/>
      <c r="V169" s="30"/>
      <c r="W169" s="30"/>
      <c r="X169" s="30"/>
      <c r="Y169" s="30"/>
      <c r="Z169" s="30"/>
      <c r="AA169" s="30"/>
    </row>
    <row r="170" spans="1:27" ht="15.75" customHeight="1">
      <c r="A170" s="344"/>
      <c r="B170" s="344"/>
      <c r="C170" s="31">
        <v>4</v>
      </c>
      <c r="D170" s="344"/>
      <c r="E170" s="345"/>
      <c r="F170" s="345"/>
      <c r="G170" s="345"/>
      <c r="H170" s="345"/>
      <c r="I170" s="23" t="s">
        <v>1795</v>
      </c>
      <c r="J170" s="170"/>
      <c r="K170" s="25" t="s">
        <v>294</v>
      </c>
      <c r="L170" s="26"/>
      <c r="M170" s="344"/>
      <c r="N170" s="55"/>
      <c r="O170" s="28"/>
      <c r="P170" s="28"/>
      <c r="Q170" s="50" t="s">
        <v>140</v>
      </c>
      <c r="R170" s="25"/>
      <c r="S170" s="50" t="s">
        <v>140</v>
      </c>
      <c r="T170" s="30"/>
      <c r="U170" s="30"/>
      <c r="V170" s="30"/>
      <c r="W170" s="30"/>
      <c r="X170" s="30"/>
      <c r="Y170" s="30"/>
      <c r="Z170" s="30"/>
      <c r="AA170" s="30"/>
    </row>
    <row r="171" spans="1:27" ht="15.75" customHeight="1">
      <c r="A171" s="344"/>
      <c r="B171" s="344"/>
      <c r="C171" s="31">
        <v>5</v>
      </c>
      <c r="D171" s="344"/>
      <c r="E171" s="356" t="s">
        <v>1798</v>
      </c>
      <c r="F171" s="360" t="s">
        <v>361</v>
      </c>
      <c r="G171" s="360" t="s">
        <v>327</v>
      </c>
      <c r="H171" s="356" t="s">
        <v>1799</v>
      </c>
      <c r="I171" s="23" t="s">
        <v>1794</v>
      </c>
      <c r="J171" s="170"/>
      <c r="K171" s="25" t="s">
        <v>294</v>
      </c>
      <c r="L171" s="26"/>
      <c r="M171" s="344"/>
      <c r="N171" s="55"/>
      <c r="O171" s="28"/>
      <c r="P171" s="28"/>
      <c r="Q171" s="50" t="s">
        <v>140</v>
      </c>
      <c r="R171" s="25"/>
      <c r="S171" s="50" t="s">
        <v>140</v>
      </c>
      <c r="T171" s="30"/>
      <c r="U171" s="30"/>
      <c r="V171" s="30"/>
      <c r="W171" s="30"/>
      <c r="X171" s="30"/>
      <c r="Y171" s="30"/>
      <c r="Z171" s="30"/>
      <c r="AA171" s="30"/>
    </row>
    <row r="172" spans="1:27" ht="15.75" customHeight="1">
      <c r="A172" s="344"/>
      <c r="B172" s="344"/>
      <c r="C172" s="31">
        <v>6</v>
      </c>
      <c r="D172" s="344"/>
      <c r="E172" s="345"/>
      <c r="F172" s="345"/>
      <c r="G172" s="345"/>
      <c r="H172" s="345"/>
      <c r="I172" s="23" t="s">
        <v>1795</v>
      </c>
      <c r="J172" s="170"/>
      <c r="K172" s="25" t="s">
        <v>294</v>
      </c>
      <c r="L172" s="26"/>
      <c r="M172" s="344"/>
      <c r="N172" s="55"/>
      <c r="O172" s="28"/>
      <c r="P172" s="28"/>
      <c r="Q172" s="50" t="s">
        <v>140</v>
      </c>
      <c r="R172" s="25"/>
      <c r="S172" s="50" t="s">
        <v>140</v>
      </c>
      <c r="T172" s="30"/>
      <c r="U172" s="30"/>
      <c r="V172" s="30"/>
      <c r="W172" s="30"/>
      <c r="X172" s="30"/>
      <c r="Y172" s="30"/>
      <c r="Z172" s="30"/>
      <c r="AA172" s="30"/>
    </row>
    <row r="173" spans="1:27" ht="15.75" customHeight="1">
      <c r="A173" s="344"/>
      <c r="B173" s="344"/>
      <c r="C173" s="31">
        <v>7</v>
      </c>
      <c r="D173" s="344"/>
      <c r="E173" s="356" t="s">
        <v>1800</v>
      </c>
      <c r="F173" s="360" t="s">
        <v>361</v>
      </c>
      <c r="G173" s="360" t="s">
        <v>327</v>
      </c>
      <c r="H173" s="356" t="s">
        <v>1801</v>
      </c>
      <c r="I173" s="23" t="s">
        <v>1794</v>
      </c>
      <c r="J173" s="170"/>
      <c r="K173" s="25" t="s">
        <v>294</v>
      </c>
      <c r="L173" s="26"/>
      <c r="M173" s="344"/>
      <c r="N173" s="55"/>
      <c r="O173" s="28"/>
      <c r="P173" s="28"/>
      <c r="Q173" s="50" t="s">
        <v>140</v>
      </c>
      <c r="R173" s="25"/>
      <c r="S173" s="50" t="s">
        <v>140</v>
      </c>
      <c r="T173" s="30"/>
      <c r="U173" s="30"/>
      <c r="V173" s="30"/>
      <c r="W173" s="30"/>
      <c r="X173" s="30"/>
      <c r="Y173" s="30"/>
      <c r="Z173" s="30"/>
      <c r="AA173" s="30"/>
    </row>
    <row r="174" spans="1:27" ht="15.75" customHeight="1">
      <c r="A174" s="344"/>
      <c r="B174" s="344"/>
      <c r="C174" s="31">
        <v>8</v>
      </c>
      <c r="D174" s="344"/>
      <c r="E174" s="345"/>
      <c r="F174" s="345"/>
      <c r="G174" s="345"/>
      <c r="H174" s="345"/>
      <c r="I174" s="23" t="s">
        <v>1795</v>
      </c>
      <c r="J174" s="170"/>
      <c r="K174" s="25" t="s">
        <v>294</v>
      </c>
      <c r="L174" s="26"/>
      <c r="M174" s="344"/>
      <c r="N174" s="55"/>
      <c r="O174" s="28"/>
      <c r="P174" s="28"/>
      <c r="Q174" s="50" t="s">
        <v>140</v>
      </c>
      <c r="R174" s="25"/>
      <c r="S174" s="50" t="s">
        <v>140</v>
      </c>
      <c r="T174" s="30"/>
      <c r="U174" s="30"/>
      <c r="V174" s="30"/>
      <c r="W174" s="30"/>
      <c r="X174" s="30"/>
      <c r="Y174" s="30"/>
      <c r="Z174" s="30"/>
      <c r="AA174" s="30"/>
    </row>
    <row r="175" spans="1:27" ht="15.75" customHeight="1">
      <c r="A175" s="344"/>
      <c r="B175" s="344"/>
      <c r="C175" s="31">
        <v>9</v>
      </c>
      <c r="D175" s="344"/>
      <c r="E175" s="356" t="s">
        <v>1802</v>
      </c>
      <c r="F175" s="360" t="s">
        <v>361</v>
      </c>
      <c r="G175" s="360" t="s">
        <v>524</v>
      </c>
      <c r="H175" s="356" t="s">
        <v>1803</v>
      </c>
      <c r="I175" s="23" t="s">
        <v>1794</v>
      </c>
      <c r="J175" s="170"/>
      <c r="K175" s="25" t="s">
        <v>294</v>
      </c>
      <c r="L175" s="26"/>
      <c r="M175" s="344"/>
      <c r="N175" s="55"/>
      <c r="O175" s="28"/>
      <c r="P175" s="28"/>
      <c r="Q175" s="50" t="s">
        <v>140</v>
      </c>
      <c r="R175" s="25"/>
      <c r="S175" s="50" t="s">
        <v>140</v>
      </c>
      <c r="T175" s="30"/>
      <c r="U175" s="30"/>
      <c r="V175" s="30"/>
      <c r="W175" s="30"/>
      <c r="X175" s="30"/>
      <c r="Y175" s="30"/>
      <c r="Z175" s="30"/>
      <c r="AA175" s="30"/>
    </row>
    <row r="176" spans="1:27" ht="15.75" customHeight="1">
      <c r="A176" s="345"/>
      <c r="B176" s="345"/>
      <c r="C176" s="31">
        <v>10</v>
      </c>
      <c r="D176" s="345"/>
      <c r="E176" s="345"/>
      <c r="F176" s="345"/>
      <c r="G176" s="345"/>
      <c r="H176" s="345"/>
      <c r="I176" s="23" t="s">
        <v>1795</v>
      </c>
      <c r="J176" s="170"/>
      <c r="K176" s="25" t="s">
        <v>294</v>
      </c>
      <c r="L176" s="25"/>
      <c r="M176" s="344"/>
      <c r="N176" s="55"/>
      <c r="O176" s="28"/>
      <c r="P176" s="28"/>
      <c r="Q176" s="50" t="s">
        <v>140</v>
      </c>
      <c r="R176" s="25"/>
      <c r="S176" s="50" t="s">
        <v>140</v>
      </c>
      <c r="T176" s="30"/>
      <c r="U176" s="30"/>
      <c r="V176" s="30"/>
      <c r="W176" s="30"/>
      <c r="X176" s="30"/>
      <c r="Y176" s="30"/>
      <c r="Z176" s="30"/>
      <c r="AA176" s="30"/>
    </row>
    <row r="177" spans="1:27" ht="15.75" customHeight="1">
      <c r="A177" s="368" t="s">
        <v>1804</v>
      </c>
      <c r="B177" s="350" t="s">
        <v>1805</v>
      </c>
      <c r="C177" s="31">
        <v>1</v>
      </c>
      <c r="D177" s="368" t="s">
        <v>1806</v>
      </c>
      <c r="E177" s="368" t="s">
        <v>1807</v>
      </c>
      <c r="F177" s="350" t="s">
        <v>361</v>
      </c>
      <c r="G177" s="350" t="s">
        <v>327</v>
      </c>
      <c r="H177" s="355" t="s">
        <v>1808</v>
      </c>
      <c r="I177" s="23" t="s">
        <v>1809</v>
      </c>
      <c r="J177" s="170"/>
      <c r="K177" s="25" t="s">
        <v>294</v>
      </c>
      <c r="L177" s="25"/>
      <c r="M177" s="344"/>
      <c r="N177" s="55"/>
      <c r="O177" s="28"/>
      <c r="P177" s="28"/>
      <c r="Q177" s="50" t="s">
        <v>140</v>
      </c>
      <c r="R177" s="25"/>
      <c r="S177" s="50" t="s">
        <v>140</v>
      </c>
      <c r="T177" s="65"/>
      <c r="U177" s="65"/>
      <c r="V177" s="65"/>
      <c r="W177" s="65"/>
      <c r="X177" s="65"/>
      <c r="Y177" s="65"/>
      <c r="Z177" s="65"/>
      <c r="AA177" s="65"/>
    </row>
    <row r="178" spans="1:27" ht="15.75" customHeight="1">
      <c r="A178" s="344"/>
      <c r="B178" s="344"/>
      <c r="C178" s="31">
        <v>2</v>
      </c>
      <c r="D178" s="344"/>
      <c r="E178" s="344"/>
      <c r="F178" s="345"/>
      <c r="G178" s="345"/>
      <c r="H178" s="345"/>
      <c r="I178" s="23" t="s">
        <v>1810</v>
      </c>
      <c r="J178" s="170"/>
      <c r="K178" s="25"/>
      <c r="L178" s="25"/>
      <c r="M178" s="344"/>
      <c r="N178" s="55"/>
      <c r="O178" s="28"/>
      <c r="P178" s="28"/>
      <c r="Q178" s="50" t="s">
        <v>282</v>
      </c>
      <c r="R178" s="25"/>
      <c r="S178" s="50" t="s">
        <v>140</v>
      </c>
      <c r="T178" s="65"/>
      <c r="U178" s="65"/>
      <c r="V178" s="65"/>
      <c r="W178" s="65"/>
      <c r="X178" s="65"/>
      <c r="Y178" s="65"/>
      <c r="Z178" s="65"/>
      <c r="AA178" s="65"/>
    </row>
    <row r="179" spans="1:27" ht="15.75" customHeight="1">
      <c r="A179" s="344"/>
      <c r="B179" s="344"/>
      <c r="C179" s="31">
        <v>3</v>
      </c>
      <c r="D179" s="344"/>
      <c r="E179" s="344"/>
      <c r="F179" s="350" t="s">
        <v>361</v>
      </c>
      <c r="G179" s="350" t="s">
        <v>327</v>
      </c>
      <c r="H179" s="355" t="s">
        <v>1811</v>
      </c>
      <c r="I179" s="23" t="s">
        <v>1812</v>
      </c>
      <c r="J179" s="170"/>
      <c r="K179" s="25" t="s">
        <v>294</v>
      </c>
      <c r="L179" s="25"/>
      <c r="M179" s="344"/>
      <c r="N179" s="55"/>
      <c r="O179" s="28"/>
      <c r="P179" s="28"/>
      <c r="Q179" s="50" t="s">
        <v>140</v>
      </c>
      <c r="R179" s="25"/>
      <c r="S179" s="50" t="s">
        <v>140</v>
      </c>
      <c r="T179" s="65"/>
      <c r="U179" s="65"/>
      <c r="V179" s="65"/>
      <c r="W179" s="65"/>
      <c r="X179" s="65"/>
      <c r="Y179" s="65"/>
      <c r="Z179" s="65"/>
      <c r="AA179" s="65"/>
    </row>
    <row r="180" spans="1:27" ht="15.75" customHeight="1">
      <c r="A180" s="345"/>
      <c r="B180" s="345"/>
      <c r="C180" s="31">
        <v>4</v>
      </c>
      <c r="D180" s="345"/>
      <c r="E180" s="345"/>
      <c r="F180" s="345"/>
      <c r="G180" s="345"/>
      <c r="H180" s="345"/>
      <c r="I180" s="23" t="s">
        <v>1810</v>
      </c>
      <c r="J180" s="170"/>
      <c r="K180" s="25"/>
      <c r="L180" s="25"/>
      <c r="M180" s="345"/>
      <c r="N180" s="55"/>
      <c r="O180" s="28"/>
      <c r="P180" s="28"/>
      <c r="Q180" s="50" t="s">
        <v>282</v>
      </c>
      <c r="R180" s="25"/>
      <c r="S180" s="50" t="s">
        <v>140</v>
      </c>
      <c r="T180" s="65"/>
      <c r="U180" s="65"/>
      <c r="V180" s="65"/>
      <c r="W180" s="65"/>
      <c r="X180" s="65"/>
      <c r="Y180" s="65"/>
      <c r="Z180" s="65"/>
      <c r="AA180" s="65"/>
    </row>
    <row r="181" spans="1:27" ht="15.75" customHeight="1">
      <c r="A181" s="357" t="s">
        <v>1813</v>
      </c>
      <c r="B181" s="358" t="s">
        <v>198</v>
      </c>
      <c r="C181" s="86">
        <v>1</v>
      </c>
      <c r="D181" s="357" t="s">
        <v>1813</v>
      </c>
      <c r="E181" s="351" t="s">
        <v>1814</v>
      </c>
      <c r="F181" s="354" t="s">
        <v>361</v>
      </c>
      <c r="G181" s="354" t="s">
        <v>327</v>
      </c>
      <c r="H181" s="351" t="s">
        <v>1815</v>
      </c>
      <c r="I181" s="35" t="s">
        <v>1794</v>
      </c>
      <c r="J181" s="172"/>
      <c r="K181" s="25"/>
      <c r="L181" s="25"/>
      <c r="M181" s="43"/>
      <c r="N181" s="55"/>
      <c r="O181" s="28"/>
      <c r="P181" s="28"/>
      <c r="Q181" s="50" t="s">
        <v>282</v>
      </c>
      <c r="R181" s="25" t="s">
        <v>305</v>
      </c>
      <c r="S181" s="50"/>
      <c r="T181" s="65"/>
      <c r="U181" s="65"/>
      <c r="V181" s="65"/>
      <c r="W181" s="65"/>
      <c r="X181" s="65"/>
      <c r="Y181" s="65"/>
      <c r="Z181" s="65"/>
      <c r="AA181" s="65"/>
    </row>
    <row r="182" spans="1:27" ht="15.75" customHeight="1">
      <c r="A182" s="352"/>
      <c r="B182" s="352"/>
      <c r="C182" s="86">
        <v>2</v>
      </c>
      <c r="D182" s="352"/>
      <c r="E182" s="353"/>
      <c r="F182" s="353"/>
      <c r="G182" s="353"/>
      <c r="H182" s="353"/>
      <c r="I182" s="35" t="s">
        <v>1816</v>
      </c>
      <c r="J182" s="172"/>
      <c r="K182" s="25"/>
      <c r="L182" s="25"/>
      <c r="M182" s="43"/>
      <c r="N182" s="55"/>
      <c r="O182" s="28"/>
      <c r="P182" s="28"/>
      <c r="Q182" s="50" t="s">
        <v>282</v>
      </c>
      <c r="R182" s="25" t="s">
        <v>305</v>
      </c>
      <c r="S182" s="50"/>
      <c r="T182" s="65"/>
      <c r="U182" s="65"/>
      <c r="V182" s="65"/>
      <c r="W182" s="65"/>
      <c r="X182" s="65"/>
      <c r="Y182" s="65"/>
      <c r="Z182" s="65"/>
      <c r="AA182" s="65"/>
    </row>
    <row r="183" spans="1:27" ht="15.75" customHeight="1">
      <c r="A183" s="352"/>
      <c r="B183" s="352"/>
      <c r="C183" s="86">
        <v>3</v>
      </c>
      <c r="D183" s="352"/>
      <c r="E183" s="361" t="s">
        <v>1807</v>
      </c>
      <c r="F183" s="354" t="s">
        <v>361</v>
      </c>
      <c r="G183" s="354" t="s">
        <v>327</v>
      </c>
      <c r="H183" s="351" t="s">
        <v>1817</v>
      </c>
      <c r="I183" s="35" t="s">
        <v>1816</v>
      </c>
      <c r="J183" s="172"/>
      <c r="K183" s="25"/>
      <c r="L183" s="25"/>
      <c r="M183" s="43"/>
      <c r="N183" s="55"/>
      <c r="O183" s="28"/>
      <c r="P183" s="28"/>
      <c r="Q183" s="50" t="s">
        <v>282</v>
      </c>
      <c r="R183" s="25" t="s">
        <v>305</v>
      </c>
      <c r="S183" s="50"/>
      <c r="T183" s="65"/>
      <c r="U183" s="65"/>
      <c r="V183" s="65"/>
      <c r="W183" s="65"/>
      <c r="X183" s="65"/>
      <c r="Y183" s="65"/>
      <c r="Z183" s="65"/>
      <c r="AA183" s="65"/>
    </row>
    <row r="184" spans="1:27" ht="15.75" customHeight="1">
      <c r="A184" s="352"/>
      <c r="B184" s="352"/>
      <c r="C184" s="86">
        <v>4</v>
      </c>
      <c r="D184" s="352"/>
      <c r="E184" s="352"/>
      <c r="F184" s="353"/>
      <c r="G184" s="353"/>
      <c r="H184" s="353"/>
      <c r="I184" s="35" t="s">
        <v>1818</v>
      </c>
      <c r="J184" s="172"/>
      <c r="K184" s="25"/>
      <c r="L184" s="25"/>
      <c r="M184" s="43"/>
      <c r="N184" s="55"/>
      <c r="O184" s="28"/>
      <c r="P184" s="28"/>
      <c r="Q184" s="50" t="s">
        <v>282</v>
      </c>
      <c r="R184" s="25" t="s">
        <v>305</v>
      </c>
      <c r="S184" s="50"/>
      <c r="T184" s="65"/>
      <c r="U184" s="65"/>
      <c r="V184" s="65"/>
      <c r="W184" s="65"/>
      <c r="X184" s="65"/>
      <c r="Y184" s="65"/>
      <c r="Z184" s="65"/>
      <c r="AA184" s="65"/>
    </row>
    <row r="185" spans="1:27" ht="15.75" customHeight="1">
      <c r="A185" s="352"/>
      <c r="B185" s="352"/>
      <c r="C185" s="86">
        <v>5</v>
      </c>
      <c r="D185" s="352"/>
      <c r="E185" s="352"/>
      <c r="F185" s="354" t="s">
        <v>361</v>
      </c>
      <c r="G185" s="354" t="s">
        <v>327</v>
      </c>
      <c r="H185" s="351" t="s">
        <v>1819</v>
      </c>
      <c r="I185" s="35" t="s">
        <v>1820</v>
      </c>
      <c r="J185" s="172"/>
      <c r="K185" s="25"/>
      <c r="L185" s="25"/>
      <c r="M185" s="43"/>
      <c r="N185" s="55"/>
      <c r="O185" s="28"/>
      <c r="P185" s="28"/>
      <c r="Q185" s="50" t="s">
        <v>282</v>
      </c>
      <c r="R185" s="25" t="s">
        <v>305</v>
      </c>
      <c r="S185" s="50"/>
      <c r="T185" s="65"/>
      <c r="U185" s="65"/>
      <c r="V185" s="65"/>
      <c r="W185" s="65"/>
      <c r="X185" s="65"/>
      <c r="Y185" s="65"/>
      <c r="Z185" s="65"/>
      <c r="AA185" s="65"/>
    </row>
    <row r="186" spans="1:27" ht="15.75" customHeight="1">
      <c r="A186" s="353"/>
      <c r="B186" s="353"/>
      <c r="C186" s="86">
        <v>6</v>
      </c>
      <c r="D186" s="353"/>
      <c r="E186" s="353"/>
      <c r="F186" s="353"/>
      <c r="G186" s="353"/>
      <c r="H186" s="353"/>
      <c r="I186" s="35" t="s">
        <v>1821</v>
      </c>
      <c r="J186" s="172"/>
      <c r="K186" s="25"/>
      <c r="L186" s="25"/>
      <c r="M186" s="43"/>
      <c r="N186" s="55"/>
      <c r="O186" s="28"/>
      <c r="P186" s="28"/>
      <c r="Q186" s="50" t="s">
        <v>282</v>
      </c>
      <c r="R186" s="25" t="s">
        <v>305</v>
      </c>
      <c r="S186" s="50"/>
      <c r="T186" s="65"/>
      <c r="U186" s="65"/>
      <c r="V186" s="65"/>
      <c r="W186" s="65"/>
      <c r="X186" s="65"/>
      <c r="Y186" s="65"/>
      <c r="Z186" s="65"/>
      <c r="AA186" s="65"/>
    </row>
    <row r="187" spans="1:27" ht="15.75" customHeight="1">
      <c r="A187" s="368" t="s">
        <v>1822</v>
      </c>
      <c r="B187" s="350" t="s">
        <v>1823</v>
      </c>
      <c r="C187" s="31">
        <v>1</v>
      </c>
      <c r="D187" s="368" t="s">
        <v>1822</v>
      </c>
      <c r="E187" s="355" t="s">
        <v>1824</v>
      </c>
      <c r="F187" s="31" t="s">
        <v>361</v>
      </c>
      <c r="G187" s="31" t="s">
        <v>327</v>
      </c>
      <c r="H187" s="23" t="s">
        <v>1825</v>
      </c>
      <c r="I187" s="23" t="s">
        <v>1826</v>
      </c>
      <c r="J187" s="170"/>
      <c r="K187" s="25"/>
      <c r="L187" s="25"/>
      <c r="M187" s="43"/>
      <c r="N187" s="55"/>
      <c r="O187" s="28" t="s">
        <v>140</v>
      </c>
      <c r="P187" s="28"/>
      <c r="Q187" s="50" t="s">
        <v>282</v>
      </c>
      <c r="R187" s="25"/>
      <c r="S187" s="50"/>
      <c r="T187" s="65"/>
      <c r="U187" s="65"/>
      <c r="V187" s="65"/>
      <c r="W187" s="65"/>
      <c r="X187" s="65"/>
      <c r="Y187" s="65"/>
      <c r="Z187" s="65"/>
      <c r="AA187" s="65"/>
    </row>
    <row r="188" spans="1:27" ht="15.75" customHeight="1">
      <c r="A188" s="344"/>
      <c r="B188" s="344"/>
      <c r="C188" s="31">
        <v>2</v>
      </c>
      <c r="D188" s="344"/>
      <c r="E188" s="345"/>
      <c r="F188" s="31" t="s">
        <v>361</v>
      </c>
      <c r="G188" s="31" t="s">
        <v>327</v>
      </c>
      <c r="H188" s="23" t="s">
        <v>1827</v>
      </c>
      <c r="I188" s="23" t="s">
        <v>1828</v>
      </c>
      <c r="J188" s="170"/>
      <c r="K188" s="25"/>
      <c r="L188" s="25"/>
      <c r="M188" s="43"/>
      <c r="N188" s="55"/>
      <c r="O188" s="28" t="s">
        <v>140</v>
      </c>
      <c r="P188" s="28"/>
      <c r="Q188" s="50" t="s">
        <v>282</v>
      </c>
      <c r="R188" s="25"/>
      <c r="S188" s="50"/>
      <c r="T188" s="65"/>
      <c r="U188" s="65"/>
      <c r="V188" s="65"/>
      <c r="W188" s="65"/>
      <c r="X188" s="65"/>
      <c r="Y188" s="65"/>
      <c r="Z188" s="65"/>
      <c r="AA188" s="65"/>
    </row>
    <row r="189" spans="1:27" ht="15.75" customHeight="1">
      <c r="A189" s="344"/>
      <c r="B189" s="344"/>
      <c r="C189" s="31">
        <v>3</v>
      </c>
      <c r="D189" s="344"/>
      <c r="E189" s="23" t="s">
        <v>1829</v>
      </c>
      <c r="F189" s="31" t="s">
        <v>361</v>
      </c>
      <c r="G189" s="31" t="s">
        <v>327</v>
      </c>
      <c r="H189" s="23" t="s">
        <v>1830</v>
      </c>
      <c r="I189" s="39" t="s">
        <v>1831</v>
      </c>
      <c r="J189" s="289"/>
      <c r="K189" s="25"/>
      <c r="L189" s="25"/>
      <c r="M189" s="101"/>
      <c r="N189" s="55"/>
      <c r="O189" s="28" t="s">
        <v>140</v>
      </c>
      <c r="P189" s="28"/>
      <c r="Q189" s="50" t="s">
        <v>282</v>
      </c>
      <c r="R189" s="25"/>
      <c r="S189" s="50"/>
      <c r="T189" s="30"/>
      <c r="U189" s="30"/>
      <c r="V189" s="30"/>
      <c r="W189" s="30"/>
      <c r="X189" s="30"/>
      <c r="Y189" s="30"/>
      <c r="Z189" s="30"/>
      <c r="AA189" s="30"/>
    </row>
    <row r="190" spans="1:27" ht="15.75" customHeight="1">
      <c r="A190" s="345"/>
      <c r="B190" s="345"/>
      <c r="C190" s="31">
        <v>4</v>
      </c>
      <c r="D190" s="345"/>
      <c r="E190" s="23" t="s">
        <v>1832</v>
      </c>
      <c r="F190" s="31" t="s">
        <v>361</v>
      </c>
      <c r="G190" s="31" t="s">
        <v>327</v>
      </c>
      <c r="H190" s="23" t="s">
        <v>1833</v>
      </c>
      <c r="I190" s="39" t="s">
        <v>1834</v>
      </c>
      <c r="J190" s="289"/>
      <c r="K190" s="25"/>
      <c r="L190" s="25"/>
      <c r="M190" s="101"/>
      <c r="N190" s="55"/>
      <c r="O190" s="28" t="s">
        <v>140</v>
      </c>
      <c r="P190" s="28"/>
      <c r="Q190" s="50" t="s">
        <v>282</v>
      </c>
      <c r="R190" s="25"/>
      <c r="S190" s="50"/>
      <c r="T190" s="30"/>
      <c r="U190" s="30"/>
      <c r="V190" s="30"/>
      <c r="W190" s="30"/>
      <c r="X190" s="30"/>
      <c r="Y190" s="30"/>
      <c r="Z190" s="30"/>
      <c r="AA190" s="30"/>
    </row>
    <row r="191" spans="1:27" ht="15.75" customHeight="1">
      <c r="A191" s="368" t="s">
        <v>1835</v>
      </c>
      <c r="B191" s="350" t="s">
        <v>1836</v>
      </c>
      <c r="C191" s="31">
        <v>1</v>
      </c>
      <c r="D191" s="368" t="s">
        <v>1837</v>
      </c>
      <c r="E191" s="355" t="s">
        <v>1838</v>
      </c>
      <c r="F191" s="360" t="s">
        <v>361</v>
      </c>
      <c r="G191" s="382" t="s">
        <v>327</v>
      </c>
      <c r="H191" s="356" t="s">
        <v>1839</v>
      </c>
      <c r="I191" s="23" t="s">
        <v>1840</v>
      </c>
      <c r="J191" s="170"/>
      <c r="K191" s="25" t="s">
        <v>294</v>
      </c>
      <c r="L191" s="25"/>
      <c r="M191" s="43"/>
      <c r="N191" s="55"/>
      <c r="O191" s="28" t="s">
        <v>140</v>
      </c>
      <c r="P191" s="50" t="s">
        <v>140</v>
      </c>
      <c r="Q191" s="50" t="s">
        <v>140</v>
      </c>
      <c r="R191" s="25"/>
      <c r="S191" s="50"/>
      <c r="T191" s="30"/>
      <c r="U191" s="30"/>
      <c r="V191" s="30"/>
      <c r="W191" s="30"/>
      <c r="X191" s="30"/>
      <c r="Y191" s="30"/>
      <c r="Z191" s="30"/>
      <c r="AA191" s="30"/>
    </row>
    <row r="192" spans="1:27" ht="15.75" customHeight="1">
      <c r="A192" s="344"/>
      <c r="B192" s="344"/>
      <c r="C192" s="31">
        <v>2</v>
      </c>
      <c r="D192" s="344"/>
      <c r="E192" s="344"/>
      <c r="F192" s="345"/>
      <c r="G192" s="345"/>
      <c r="H192" s="345"/>
      <c r="I192" s="23" t="s">
        <v>1841</v>
      </c>
      <c r="J192" s="170"/>
      <c r="K192" s="25"/>
      <c r="L192" s="25"/>
      <c r="M192" s="43"/>
      <c r="N192" s="55"/>
      <c r="O192" s="28" t="s">
        <v>140</v>
      </c>
      <c r="P192" s="50" t="s">
        <v>282</v>
      </c>
      <c r="Q192" s="50" t="s">
        <v>282</v>
      </c>
      <c r="R192" s="25"/>
      <c r="S192" s="50"/>
      <c r="T192" s="30"/>
      <c r="U192" s="30"/>
      <c r="V192" s="30"/>
      <c r="W192" s="30"/>
      <c r="X192" s="30"/>
      <c r="Y192" s="30"/>
      <c r="Z192" s="30"/>
      <c r="AA192" s="30"/>
    </row>
    <row r="193" spans="1:27" ht="15.75" customHeight="1">
      <c r="A193" s="344"/>
      <c r="B193" s="344"/>
      <c r="C193" s="31">
        <v>3</v>
      </c>
      <c r="D193" s="344"/>
      <c r="E193" s="344"/>
      <c r="F193" s="360" t="s">
        <v>361</v>
      </c>
      <c r="G193" s="360" t="s">
        <v>327</v>
      </c>
      <c r="H193" s="356" t="s">
        <v>1842</v>
      </c>
      <c r="I193" s="23" t="s">
        <v>1843</v>
      </c>
      <c r="J193" s="170"/>
      <c r="K193" s="25" t="s">
        <v>294</v>
      </c>
      <c r="L193" s="25"/>
      <c r="M193" s="43"/>
      <c r="N193" s="55"/>
      <c r="O193" s="28" t="s">
        <v>140</v>
      </c>
      <c r="P193" s="50" t="s">
        <v>140</v>
      </c>
      <c r="Q193" s="50" t="s">
        <v>140</v>
      </c>
      <c r="R193" s="25"/>
      <c r="S193" s="50"/>
      <c r="T193" s="30"/>
      <c r="U193" s="30"/>
      <c r="V193" s="30"/>
      <c r="W193" s="30"/>
      <c r="X193" s="30"/>
      <c r="Y193" s="30"/>
      <c r="Z193" s="30"/>
      <c r="AA193" s="30"/>
    </row>
    <row r="194" spans="1:27" ht="15.75" customHeight="1">
      <c r="A194" s="344"/>
      <c r="B194" s="344"/>
      <c r="C194" s="31">
        <v>4</v>
      </c>
      <c r="D194" s="344"/>
      <c r="E194" s="344"/>
      <c r="F194" s="345"/>
      <c r="G194" s="345"/>
      <c r="H194" s="345"/>
      <c r="I194" s="23" t="s">
        <v>1841</v>
      </c>
      <c r="J194" s="170"/>
      <c r="K194" s="25"/>
      <c r="L194" s="25"/>
      <c r="M194" s="43"/>
      <c r="N194" s="55"/>
      <c r="O194" s="28" t="s">
        <v>140</v>
      </c>
      <c r="P194" s="50" t="s">
        <v>282</v>
      </c>
      <c r="Q194" s="50" t="s">
        <v>282</v>
      </c>
      <c r="R194" s="25"/>
      <c r="S194" s="50"/>
      <c r="T194" s="30"/>
      <c r="U194" s="30"/>
      <c r="V194" s="30"/>
      <c r="W194" s="30"/>
      <c r="X194" s="30"/>
      <c r="Y194" s="30"/>
      <c r="Z194" s="30"/>
      <c r="AA194" s="30"/>
    </row>
    <row r="195" spans="1:27" ht="15.75" customHeight="1">
      <c r="A195" s="344"/>
      <c r="B195" s="344"/>
      <c r="C195" s="31">
        <v>5</v>
      </c>
      <c r="D195" s="344"/>
      <c r="E195" s="344"/>
      <c r="F195" s="360" t="s">
        <v>361</v>
      </c>
      <c r="G195" s="360" t="s">
        <v>327</v>
      </c>
      <c r="H195" s="356" t="s">
        <v>1844</v>
      </c>
      <c r="I195" s="23" t="s">
        <v>1845</v>
      </c>
      <c r="J195" s="170"/>
      <c r="K195" s="25" t="s">
        <v>294</v>
      </c>
      <c r="L195" s="25"/>
      <c r="M195" s="43"/>
      <c r="N195" s="55"/>
      <c r="O195" s="28" t="s">
        <v>140</v>
      </c>
      <c r="P195" s="50" t="s">
        <v>140</v>
      </c>
      <c r="Q195" s="50" t="s">
        <v>140</v>
      </c>
      <c r="R195" s="25"/>
      <c r="S195" s="50"/>
      <c r="T195" s="30"/>
      <c r="U195" s="30"/>
      <c r="V195" s="30"/>
      <c r="W195" s="30"/>
      <c r="X195" s="30"/>
      <c r="Y195" s="30"/>
      <c r="Z195" s="30"/>
      <c r="AA195" s="30"/>
    </row>
    <row r="196" spans="1:27" ht="15.75" customHeight="1">
      <c r="A196" s="344"/>
      <c r="B196" s="344"/>
      <c r="C196" s="31">
        <v>6</v>
      </c>
      <c r="D196" s="344"/>
      <c r="E196" s="345"/>
      <c r="F196" s="345"/>
      <c r="G196" s="345"/>
      <c r="H196" s="345"/>
      <c r="I196" s="23" t="s">
        <v>1841</v>
      </c>
      <c r="J196" s="170"/>
      <c r="K196" s="25"/>
      <c r="L196" s="25"/>
      <c r="M196" s="43"/>
      <c r="N196" s="55"/>
      <c r="O196" s="28" t="s">
        <v>140</v>
      </c>
      <c r="P196" s="50" t="s">
        <v>282</v>
      </c>
      <c r="Q196" s="50" t="s">
        <v>282</v>
      </c>
      <c r="R196" s="25"/>
      <c r="S196" s="50"/>
      <c r="T196" s="30"/>
      <c r="U196" s="30"/>
      <c r="V196" s="30"/>
      <c r="W196" s="30"/>
      <c r="X196" s="30"/>
      <c r="Y196" s="30"/>
      <c r="Z196" s="30"/>
      <c r="AA196" s="30"/>
    </row>
    <row r="197" spans="1:27" ht="15.75" customHeight="1">
      <c r="A197" s="344"/>
      <c r="B197" s="344"/>
      <c r="C197" s="31">
        <v>7</v>
      </c>
      <c r="D197" s="344"/>
      <c r="E197" s="368" t="s">
        <v>1846</v>
      </c>
      <c r="F197" s="31" t="s">
        <v>361</v>
      </c>
      <c r="G197" s="31" t="s">
        <v>349</v>
      </c>
      <c r="H197" s="23" t="s">
        <v>1847</v>
      </c>
      <c r="I197" s="23" t="s">
        <v>1848</v>
      </c>
      <c r="J197" s="170"/>
      <c r="K197" s="25" t="s">
        <v>294</v>
      </c>
      <c r="L197" s="25"/>
      <c r="M197" s="43"/>
      <c r="N197" s="55"/>
      <c r="O197" s="28"/>
      <c r="P197" s="50" t="s">
        <v>140</v>
      </c>
      <c r="Q197" s="50" t="s">
        <v>140</v>
      </c>
      <c r="R197" s="25"/>
      <c r="S197" s="50"/>
      <c r="T197" s="30"/>
      <c r="U197" s="30"/>
      <c r="V197" s="30"/>
      <c r="W197" s="30"/>
      <c r="X197" s="30"/>
      <c r="Y197" s="30"/>
      <c r="Z197" s="30"/>
      <c r="AA197" s="30"/>
    </row>
    <row r="198" spans="1:27" ht="15.75" customHeight="1">
      <c r="A198" s="344"/>
      <c r="B198" s="344"/>
      <c r="C198" s="31">
        <v>8</v>
      </c>
      <c r="D198" s="344"/>
      <c r="E198" s="345"/>
      <c r="F198" s="31" t="s">
        <v>361</v>
      </c>
      <c r="G198" s="31" t="s">
        <v>349</v>
      </c>
      <c r="H198" s="23" t="s">
        <v>1849</v>
      </c>
      <c r="I198" s="23" t="s">
        <v>1848</v>
      </c>
      <c r="J198" s="170"/>
      <c r="K198" s="25" t="s">
        <v>294</v>
      </c>
      <c r="L198" s="25"/>
      <c r="M198" s="43"/>
      <c r="N198" s="55"/>
      <c r="O198" s="28"/>
      <c r="P198" s="50" t="s">
        <v>140</v>
      </c>
      <c r="Q198" s="50" t="s">
        <v>140</v>
      </c>
      <c r="R198" s="25"/>
      <c r="S198" s="50"/>
      <c r="T198" s="30"/>
      <c r="U198" s="30"/>
      <c r="V198" s="30"/>
      <c r="W198" s="30"/>
      <c r="X198" s="30"/>
      <c r="Y198" s="30"/>
      <c r="Z198" s="30"/>
      <c r="AA198" s="30"/>
    </row>
    <row r="199" spans="1:27" ht="15.75" customHeight="1">
      <c r="A199" s="344"/>
      <c r="B199" s="344"/>
      <c r="C199" s="31">
        <v>9</v>
      </c>
      <c r="D199" s="344"/>
      <c r="E199" s="23" t="s">
        <v>1850</v>
      </c>
      <c r="F199" s="31" t="s">
        <v>361</v>
      </c>
      <c r="G199" s="31" t="s">
        <v>327</v>
      </c>
      <c r="H199" s="23" t="s">
        <v>1851</v>
      </c>
      <c r="I199" s="23" t="s">
        <v>827</v>
      </c>
      <c r="J199" s="170"/>
      <c r="K199" s="25" t="s">
        <v>294</v>
      </c>
      <c r="L199" s="25"/>
      <c r="M199" s="43"/>
      <c r="N199" s="55"/>
      <c r="O199" s="28"/>
      <c r="P199" s="50" t="s">
        <v>140</v>
      </c>
      <c r="Q199" s="50" t="s">
        <v>140</v>
      </c>
      <c r="R199" s="25"/>
      <c r="S199" s="50"/>
      <c r="T199" s="65"/>
      <c r="U199" s="65"/>
      <c r="V199" s="65"/>
      <c r="W199" s="65"/>
      <c r="X199" s="65"/>
      <c r="Y199" s="65"/>
      <c r="Z199" s="65"/>
      <c r="AA199" s="65"/>
    </row>
    <row r="200" spans="1:27" ht="15.75" customHeight="1">
      <c r="A200" s="344"/>
      <c r="B200" s="344"/>
      <c r="C200" s="31">
        <v>10</v>
      </c>
      <c r="D200" s="344"/>
      <c r="E200" s="39" t="s">
        <v>1852</v>
      </c>
      <c r="F200" s="31" t="s">
        <v>361</v>
      </c>
      <c r="G200" s="31" t="s">
        <v>327</v>
      </c>
      <c r="H200" s="23" t="s">
        <v>1853</v>
      </c>
      <c r="I200" s="23" t="s">
        <v>1854</v>
      </c>
      <c r="J200" s="170"/>
      <c r="K200" s="25" t="s">
        <v>294</v>
      </c>
      <c r="L200" s="25"/>
      <c r="M200" s="43"/>
      <c r="N200" s="55"/>
      <c r="O200" s="28"/>
      <c r="P200" s="50" t="s">
        <v>140</v>
      </c>
      <c r="Q200" s="50" t="s">
        <v>140</v>
      </c>
      <c r="R200" s="25"/>
      <c r="S200" s="50"/>
      <c r="T200" s="65"/>
      <c r="U200" s="65"/>
      <c r="V200" s="65"/>
      <c r="W200" s="65"/>
      <c r="X200" s="65"/>
      <c r="Y200" s="65"/>
      <c r="Z200" s="65"/>
      <c r="AA200" s="65"/>
    </row>
    <row r="201" spans="1:27" ht="15.75" customHeight="1">
      <c r="A201" s="344"/>
      <c r="B201" s="344"/>
      <c r="C201" s="31">
        <v>11</v>
      </c>
      <c r="D201" s="344"/>
      <c r="E201" s="39" t="s">
        <v>1855</v>
      </c>
      <c r="F201" s="31" t="s">
        <v>361</v>
      </c>
      <c r="G201" s="31" t="s">
        <v>327</v>
      </c>
      <c r="H201" s="23" t="s">
        <v>1856</v>
      </c>
      <c r="I201" s="23" t="s">
        <v>1857</v>
      </c>
      <c r="J201" s="170"/>
      <c r="K201" s="25" t="s">
        <v>294</v>
      </c>
      <c r="L201" s="25"/>
      <c r="M201" s="43"/>
      <c r="N201" s="55"/>
      <c r="O201" s="28"/>
      <c r="P201" s="50" t="s">
        <v>140</v>
      </c>
      <c r="Q201" s="50" t="s">
        <v>140</v>
      </c>
      <c r="R201" s="25"/>
      <c r="S201" s="50"/>
      <c r="T201" s="65"/>
      <c r="U201" s="65"/>
      <c r="V201" s="65"/>
      <c r="W201" s="65"/>
      <c r="X201" s="65"/>
      <c r="Y201" s="65"/>
      <c r="Z201" s="65"/>
      <c r="AA201" s="65"/>
    </row>
    <row r="202" spans="1:27" ht="15.75" customHeight="1">
      <c r="A202" s="344"/>
      <c r="B202" s="344"/>
      <c r="C202" s="31">
        <v>12</v>
      </c>
      <c r="D202" s="344"/>
      <c r="E202" s="368" t="s">
        <v>1858</v>
      </c>
      <c r="F202" s="31" t="s">
        <v>361</v>
      </c>
      <c r="G202" s="31" t="s">
        <v>327</v>
      </c>
      <c r="H202" s="23" t="s">
        <v>1859</v>
      </c>
      <c r="I202" s="23" t="s">
        <v>1860</v>
      </c>
      <c r="J202" s="170"/>
      <c r="K202" s="25" t="s">
        <v>294</v>
      </c>
      <c r="L202" s="25"/>
      <c r="M202" s="43"/>
      <c r="N202" s="55"/>
      <c r="O202" s="28"/>
      <c r="P202" s="50" t="s">
        <v>140</v>
      </c>
      <c r="Q202" s="50" t="s">
        <v>140</v>
      </c>
      <c r="R202" s="25"/>
      <c r="S202" s="50"/>
      <c r="T202" s="65"/>
      <c r="U202" s="65"/>
      <c r="V202" s="65"/>
      <c r="W202" s="65"/>
      <c r="X202" s="65"/>
      <c r="Y202" s="65"/>
      <c r="Z202" s="65"/>
      <c r="AA202" s="65"/>
    </row>
    <row r="203" spans="1:27" ht="15.75" customHeight="1">
      <c r="A203" s="344"/>
      <c r="B203" s="344"/>
      <c r="C203" s="31">
        <v>13</v>
      </c>
      <c r="D203" s="344"/>
      <c r="E203" s="345"/>
      <c r="F203" s="31" t="s">
        <v>361</v>
      </c>
      <c r="G203" s="31" t="s">
        <v>327</v>
      </c>
      <c r="H203" s="23" t="s">
        <v>1861</v>
      </c>
      <c r="I203" s="23" t="s">
        <v>1862</v>
      </c>
      <c r="J203" s="170"/>
      <c r="K203" s="25" t="s">
        <v>294</v>
      </c>
      <c r="L203" s="25"/>
      <c r="M203" s="43"/>
      <c r="N203" s="55"/>
      <c r="O203" s="28"/>
      <c r="P203" s="50" t="s">
        <v>140</v>
      </c>
      <c r="Q203" s="50" t="s">
        <v>140</v>
      </c>
      <c r="R203" s="25"/>
      <c r="S203" s="50"/>
      <c r="T203" s="65"/>
      <c r="U203" s="65"/>
      <c r="V203" s="65"/>
      <c r="W203" s="65"/>
      <c r="X203" s="65"/>
      <c r="Y203" s="65"/>
      <c r="Z203" s="65"/>
      <c r="AA203" s="65"/>
    </row>
    <row r="204" spans="1:27" ht="15.75" customHeight="1">
      <c r="A204" s="344"/>
      <c r="B204" s="344"/>
      <c r="C204" s="31">
        <v>14</v>
      </c>
      <c r="D204" s="344"/>
      <c r="E204" s="39" t="s">
        <v>1863</v>
      </c>
      <c r="F204" s="31" t="s">
        <v>361</v>
      </c>
      <c r="G204" s="31" t="s">
        <v>327</v>
      </c>
      <c r="H204" s="23" t="s">
        <v>1864</v>
      </c>
      <c r="I204" s="23" t="s">
        <v>1865</v>
      </c>
      <c r="J204" s="170"/>
      <c r="K204" s="25" t="s">
        <v>294</v>
      </c>
      <c r="L204" s="25"/>
      <c r="M204" s="43"/>
      <c r="N204" s="55"/>
      <c r="O204" s="28"/>
      <c r="P204" s="50" t="s">
        <v>140</v>
      </c>
      <c r="Q204" s="50" t="s">
        <v>140</v>
      </c>
      <c r="R204" s="25"/>
      <c r="S204" s="50"/>
      <c r="T204" s="65"/>
      <c r="U204" s="65"/>
      <c r="V204" s="65"/>
      <c r="W204" s="65"/>
      <c r="X204" s="65"/>
      <c r="Y204" s="65"/>
      <c r="Z204" s="65"/>
      <c r="AA204" s="65"/>
    </row>
    <row r="205" spans="1:27" ht="15.75" customHeight="1">
      <c r="A205" s="344"/>
      <c r="B205" s="344"/>
      <c r="C205" s="31">
        <v>15</v>
      </c>
      <c r="D205" s="344"/>
      <c r="E205" s="23" t="s">
        <v>1866</v>
      </c>
      <c r="F205" s="31" t="s">
        <v>361</v>
      </c>
      <c r="G205" s="31" t="s">
        <v>327</v>
      </c>
      <c r="H205" s="23" t="s">
        <v>1867</v>
      </c>
      <c r="I205" s="23" t="s">
        <v>1868</v>
      </c>
      <c r="J205" s="170"/>
      <c r="K205" s="25" t="s">
        <v>294</v>
      </c>
      <c r="L205" s="25"/>
      <c r="M205" s="43"/>
      <c r="N205" s="55"/>
      <c r="O205" s="28"/>
      <c r="P205" s="50" t="s">
        <v>140</v>
      </c>
      <c r="Q205" s="50" t="s">
        <v>140</v>
      </c>
      <c r="R205" s="25"/>
      <c r="S205" s="50"/>
      <c r="T205" s="65"/>
      <c r="U205" s="65"/>
      <c r="V205" s="65"/>
      <c r="W205" s="65"/>
      <c r="X205" s="65"/>
      <c r="Y205" s="65"/>
      <c r="Z205" s="65"/>
      <c r="AA205" s="65"/>
    </row>
    <row r="206" spans="1:27" ht="15.75" customHeight="1">
      <c r="A206" s="344"/>
      <c r="B206" s="344"/>
      <c r="C206" s="31">
        <v>16</v>
      </c>
      <c r="D206" s="344"/>
      <c r="E206" s="39" t="s">
        <v>1869</v>
      </c>
      <c r="F206" s="31" t="s">
        <v>361</v>
      </c>
      <c r="G206" s="31" t="s">
        <v>327</v>
      </c>
      <c r="H206" s="23" t="s">
        <v>1870</v>
      </c>
      <c r="I206" s="23" t="s">
        <v>1871</v>
      </c>
      <c r="J206" s="170"/>
      <c r="K206" s="25" t="s">
        <v>294</v>
      </c>
      <c r="L206" s="25"/>
      <c r="M206" s="43"/>
      <c r="N206" s="55"/>
      <c r="O206" s="28"/>
      <c r="P206" s="50" t="s">
        <v>140</v>
      </c>
      <c r="Q206" s="50" t="s">
        <v>140</v>
      </c>
      <c r="R206" s="25"/>
      <c r="S206" s="50"/>
      <c r="T206" s="65"/>
      <c r="U206" s="65"/>
      <c r="V206" s="65"/>
      <c r="W206" s="65"/>
      <c r="X206" s="65"/>
      <c r="Y206" s="65"/>
      <c r="Z206" s="65"/>
      <c r="AA206" s="65"/>
    </row>
    <row r="207" spans="1:27" ht="15.75" customHeight="1">
      <c r="A207" s="345"/>
      <c r="B207" s="345"/>
      <c r="C207" s="31">
        <v>17</v>
      </c>
      <c r="D207" s="345"/>
      <c r="E207" s="39" t="s">
        <v>1872</v>
      </c>
      <c r="F207" s="31" t="s">
        <v>361</v>
      </c>
      <c r="G207" s="31" t="s">
        <v>327</v>
      </c>
      <c r="H207" s="23" t="s">
        <v>1873</v>
      </c>
      <c r="I207" s="23" t="s">
        <v>1874</v>
      </c>
      <c r="J207" s="170"/>
      <c r="K207" s="25" t="s">
        <v>294</v>
      </c>
      <c r="L207" s="25"/>
      <c r="M207" s="43"/>
      <c r="N207" s="55"/>
      <c r="O207" s="28"/>
      <c r="P207" s="50" t="s">
        <v>140</v>
      </c>
      <c r="Q207" s="50" t="s">
        <v>140</v>
      </c>
      <c r="R207" s="25"/>
      <c r="S207" s="50"/>
      <c r="T207" s="65"/>
      <c r="U207" s="65"/>
      <c r="V207" s="65"/>
      <c r="W207" s="65"/>
      <c r="X207" s="65"/>
      <c r="Y207" s="65"/>
      <c r="Z207" s="65"/>
      <c r="AA207" s="65"/>
    </row>
    <row r="208" spans="1:27" ht="131.25" customHeight="1">
      <c r="A208" s="372" t="s">
        <v>1875</v>
      </c>
      <c r="B208" s="363" t="s">
        <v>279</v>
      </c>
      <c r="C208" s="46">
        <v>1</v>
      </c>
      <c r="D208" s="372" t="s">
        <v>1837</v>
      </c>
      <c r="E208" s="364" t="s">
        <v>1876</v>
      </c>
      <c r="F208" s="371" t="s">
        <v>361</v>
      </c>
      <c r="G208" s="374" t="s">
        <v>327</v>
      </c>
      <c r="H208" s="365" t="s">
        <v>1877</v>
      </c>
      <c r="I208" s="35" t="s">
        <v>1843</v>
      </c>
      <c r="J208" s="172"/>
      <c r="K208" s="25" t="s">
        <v>294</v>
      </c>
      <c r="L208" s="25"/>
      <c r="M208" s="43"/>
      <c r="N208" s="55"/>
      <c r="O208" s="28" t="s">
        <v>140</v>
      </c>
      <c r="P208" s="50" t="s">
        <v>140</v>
      </c>
      <c r="Q208" s="50" t="s">
        <v>140</v>
      </c>
      <c r="R208" s="25"/>
      <c r="S208" s="50"/>
      <c r="T208" s="65"/>
      <c r="U208" s="65"/>
      <c r="V208" s="65"/>
      <c r="W208" s="65"/>
      <c r="X208" s="65"/>
      <c r="Y208" s="65"/>
      <c r="Z208" s="65"/>
      <c r="AA208" s="65"/>
    </row>
    <row r="209" spans="1:27" ht="162.75" customHeight="1">
      <c r="A209" s="344"/>
      <c r="B209" s="344"/>
      <c r="C209" s="46">
        <v>2</v>
      </c>
      <c r="D209" s="344"/>
      <c r="E209" s="344"/>
      <c r="F209" s="345"/>
      <c r="G209" s="345"/>
      <c r="H209" s="345"/>
      <c r="I209" s="35" t="s">
        <v>1841</v>
      </c>
      <c r="J209" s="172"/>
      <c r="K209" s="25"/>
      <c r="L209" s="25"/>
      <c r="M209" s="43"/>
      <c r="N209" s="55"/>
      <c r="O209" s="28" t="s">
        <v>140</v>
      </c>
      <c r="P209" s="50" t="s">
        <v>282</v>
      </c>
      <c r="Q209" s="50" t="s">
        <v>282</v>
      </c>
      <c r="R209" s="25"/>
      <c r="S209" s="50"/>
      <c r="T209" s="65"/>
      <c r="U209" s="65"/>
      <c r="V209" s="65"/>
      <c r="W209" s="65"/>
      <c r="X209" s="65"/>
      <c r="Y209" s="65"/>
      <c r="Z209" s="65"/>
      <c r="AA209" s="65"/>
    </row>
    <row r="210" spans="1:27" ht="99" customHeight="1">
      <c r="A210" s="344"/>
      <c r="B210" s="344"/>
      <c r="C210" s="46">
        <v>3</v>
      </c>
      <c r="D210" s="344"/>
      <c r="E210" s="344"/>
      <c r="F210" s="371" t="s">
        <v>361</v>
      </c>
      <c r="G210" s="371" t="s">
        <v>327</v>
      </c>
      <c r="H210" s="365" t="s">
        <v>1844</v>
      </c>
      <c r="I210" s="35" t="s">
        <v>1845</v>
      </c>
      <c r="J210" s="172"/>
      <c r="K210" s="25" t="s">
        <v>294</v>
      </c>
      <c r="L210" s="25"/>
      <c r="M210" s="43"/>
      <c r="N210" s="55"/>
      <c r="O210" s="28" t="s">
        <v>140</v>
      </c>
      <c r="P210" s="50" t="s">
        <v>140</v>
      </c>
      <c r="Q210" s="50" t="s">
        <v>140</v>
      </c>
      <c r="R210" s="25"/>
      <c r="S210" s="50"/>
      <c r="T210" s="65"/>
      <c r="U210" s="65"/>
      <c r="V210" s="65"/>
      <c r="W210" s="65"/>
      <c r="X210" s="65"/>
      <c r="Y210" s="65"/>
      <c r="Z210" s="65"/>
      <c r="AA210" s="65"/>
    </row>
    <row r="211" spans="1:27" ht="42.75" customHeight="1">
      <c r="A211" s="344"/>
      <c r="B211" s="344"/>
      <c r="C211" s="46">
        <v>4</v>
      </c>
      <c r="D211" s="344"/>
      <c r="E211" s="344"/>
      <c r="F211" s="345"/>
      <c r="G211" s="345"/>
      <c r="H211" s="345"/>
      <c r="I211" s="35" t="s">
        <v>1841</v>
      </c>
      <c r="J211" s="172"/>
      <c r="K211" s="25"/>
      <c r="L211" s="25"/>
      <c r="M211" s="43"/>
      <c r="N211" s="55"/>
      <c r="O211" s="28" t="s">
        <v>140</v>
      </c>
      <c r="P211" s="50" t="s">
        <v>282</v>
      </c>
      <c r="Q211" s="50" t="s">
        <v>282</v>
      </c>
      <c r="R211" s="25"/>
      <c r="S211" s="50"/>
      <c r="T211" s="65"/>
      <c r="U211" s="65"/>
      <c r="V211" s="65"/>
      <c r="W211" s="65"/>
      <c r="X211" s="65"/>
      <c r="Y211" s="65"/>
      <c r="Z211" s="65"/>
      <c r="AA211" s="65"/>
    </row>
    <row r="212" spans="1:27" ht="55.5" customHeight="1">
      <c r="A212" s="344"/>
      <c r="B212" s="344"/>
      <c r="C212" s="46">
        <v>5</v>
      </c>
      <c r="D212" s="344"/>
      <c r="E212" s="344"/>
      <c r="F212" s="371" t="s">
        <v>361</v>
      </c>
      <c r="G212" s="371" t="s">
        <v>327</v>
      </c>
      <c r="H212" s="365" t="s">
        <v>1878</v>
      </c>
      <c r="I212" s="35" t="s">
        <v>1879</v>
      </c>
      <c r="J212" s="172"/>
      <c r="K212" s="25" t="s">
        <v>294</v>
      </c>
      <c r="L212" s="25"/>
      <c r="M212" s="43"/>
      <c r="N212" s="55"/>
      <c r="O212" s="28" t="s">
        <v>140</v>
      </c>
      <c r="P212" s="50" t="s">
        <v>140</v>
      </c>
      <c r="Q212" s="50" t="s">
        <v>140</v>
      </c>
      <c r="R212" s="25"/>
      <c r="S212" s="50"/>
      <c r="T212" s="65"/>
      <c r="U212" s="65"/>
      <c r="V212" s="65"/>
      <c r="W212" s="65"/>
      <c r="X212" s="65"/>
      <c r="Y212" s="65"/>
      <c r="Z212" s="65"/>
      <c r="AA212" s="65"/>
    </row>
    <row r="213" spans="1:27" ht="72" customHeight="1">
      <c r="A213" s="344"/>
      <c r="B213" s="344"/>
      <c r="C213" s="46">
        <v>6</v>
      </c>
      <c r="D213" s="344"/>
      <c r="E213" s="345"/>
      <c r="F213" s="345"/>
      <c r="G213" s="345"/>
      <c r="H213" s="345"/>
      <c r="I213" s="35" t="s">
        <v>1879</v>
      </c>
      <c r="J213" s="172"/>
      <c r="K213" s="25"/>
      <c r="L213" s="25"/>
      <c r="M213" s="43"/>
      <c r="N213" s="55"/>
      <c r="O213" s="28" t="s">
        <v>140</v>
      </c>
      <c r="P213" s="50" t="s">
        <v>282</v>
      </c>
      <c r="Q213" s="50" t="s">
        <v>282</v>
      </c>
      <c r="R213" s="25"/>
      <c r="S213" s="50"/>
      <c r="T213" s="65"/>
      <c r="U213" s="65"/>
      <c r="V213" s="65"/>
      <c r="W213" s="65"/>
      <c r="X213" s="65"/>
      <c r="Y213" s="65"/>
      <c r="Z213" s="65"/>
      <c r="AA213" s="65"/>
    </row>
    <row r="214" spans="1:27" ht="15.75" customHeight="1">
      <c r="A214" s="344"/>
      <c r="B214" s="344"/>
      <c r="C214" s="46">
        <v>7</v>
      </c>
      <c r="D214" s="344"/>
      <c r="E214" s="372" t="s">
        <v>1846</v>
      </c>
      <c r="F214" s="46" t="s">
        <v>361</v>
      </c>
      <c r="G214" s="46" t="s">
        <v>349</v>
      </c>
      <c r="H214" s="35" t="s">
        <v>1880</v>
      </c>
      <c r="I214" s="35" t="s">
        <v>1881</v>
      </c>
      <c r="J214" s="172"/>
      <c r="K214" s="25" t="s">
        <v>294</v>
      </c>
      <c r="L214" s="25"/>
      <c r="M214" s="43"/>
      <c r="N214" s="55"/>
      <c r="O214" s="28"/>
      <c r="P214" s="50" t="s">
        <v>140</v>
      </c>
      <c r="Q214" s="50" t="s">
        <v>140</v>
      </c>
      <c r="R214" s="25"/>
      <c r="S214" s="50"/>
      <c r="T214" s="65"/>
      <c r="U214" s="65"/>
      <c r="V214" s="65"/>
      <c r="W214" s="65"/>
      <c r="X214" s="65"/>
      <c r="Y214" s="65"/>
      <c r="Z214" s="65"/>
      <c r="AA214" s="65"/>
    </row>
    <row r="215" spans="1:27" ht="65.25" customHeight="1">
      <c r="A215" s="344"/>
      <c r="B215" s="344"/>
      <c r="C215" s="46">
        <v>8</v>
      </c>
      <c r="D215" s="344"/>
      <c r="E215" s="345"/>
      <c r="F215" s="46" t="s">
        <v>361</v>
      </c>
      <c r="G215" s="46" t="s">
        <v>349</v>
      </c>
      <c r="H215" s="35" t="s">
        <v>1882</v>
      </c>
      <c r="I215" s="35" t="s">
        <v>1881</v>
      </c>
      <c r="J215" s="172"/>
      <c r="K215" s="25" t="s">
        <v>294</v>
      </c>
      <c r="L215" s="25"/>
      <c r="M215" s="43"/>
      <c r="N215" s="55"/>
      <c r="O215" s="28"/>
      <c r="P215" s="50" t="s">
        <v>140</v>
      </c>
      <c r="Q215" s="50" t="s">
        <v>140</v>
      </c>
      <c r="R215" s="25"/>
      <c r="S215" s="50"/>
      <c r="T215" s="65"/>
      <c r="U215" s="65"/>
      <c r="V215" s="65"/>
      <c r="W215" s="65"/>
      <c r="X215" s="65"/>
      <c r="Y215" s="65"/>
      <c r="Z215" s="65"/>
      <c r="AA215" s="65"/>
    </row>
    <row r="216" spans="1:27" ht="15.75" customHeight="1">
      <c r="A216" s="344"/>
      <c r="B216" s="344"/>
      <c r="C216" s="46">
        <v>9</v>
      </c>
      <c r="D216" s="344"/>
      <c r="E216" s="35" t="s">
        <v>1850</v>
      </c>
      <c r="F216" s="46" t="s">
        <v>361</v>
      </c>
      <c r="G216" s="46" t="s">
        <v>327</v>
      </c>
      <c r="H216" s="35" t="s">
        <v>1851</v>
      </c>
      <c r="I216" s="35" t="s">
        <v>827</v>
      </c>
      <c r="J216" s="172"/>
      <c r="K216" s="25" t="s">
        <v>294</v>
      </c>
      <c r="L216" s="25"/>
      <c r="M216" s="43"/>
      <c r="N216" s="55"/>
      <c r="O216" s="28"/>
      <c r="P216" s="50" t="s">
        <v>140</v>
      </c>
      <c r="Q216" s="50" t="s">
        <v>140</v>
      </c>
      <c r="R216" s="25"/>
      <c r="S216" s="50"/>
      <c r="T216" s="65"/>
      <c r="U216" s="65"/>
      <c r="V216" s="65"/>
      <c r="W216" s="65"/>
      <c r="X216" s="65"/>
      <c r="Y216" s="65"/>
      <c r="Z216" s="65"/>
      <c r="AA216" s="65"/>
    </row>
    <row r="217" spans="1:27" ht="15.75" customHeight="1">
      <c r="A217" s="344"/>
      <c r="B217" s="344"/>
      <c r="C217" s="46">
        <v>10</v>
      </c>
      <c r="D217" s="344"/>
      <c r="E217" s="73" t="s">
        <v>1852</v>
      </c>
      <c r="F217" s="46" t="s">
        <v>361</v>
      </c>
      <c r="G217" s="46" t="s">
        <v>327</v>
      </c>
      <c r="H217" s="35" t="s">
        <v>1853</v>
      </c>
      <c r="I217" s="35" t="s">
        <v>1854</v>
      </c>
      <c r="J217" s="172"/>
      <c r="K217" s="25" t="s">
        <v>294</v>
      </c>
      <c r="L217" s="25"/>
      <c r="M217" s="43"/>
      <c r="N217" s="55"/>
      <c r="O217" s="28"/>
      <c r="P217" s="50" t="s">
        <v>140</v>
      </c>
      <c r="Q217" s="50" t="s">
        <v>140</v>
      </c>
      <c r="R217" s="25"/>
      <c r="S217" s="50"/>
      <c r="T217" s="65"/>
      <c r="U217" s="65"/>
      <c r="V217" s="65"/>
      <c r="W217" s="65"/>
      <c r="X217" s="65"/>
      <c r="Y217" s="65"/>
      <c r="Z217" s="65"/>
      <c r="AA217" s="65"/>
    </row>
    <row r="218" spans="1:27" ht="15.75" customHeight="1">
      <c r="A218" s="344"/>
      <c r="B218" s="344"/>
      <c r="C218" s="46">
        <v>11</v>
      </c>
      <c r="D218" s="344"/>
      <c r="E218" s="73" t="s">
        <v>1855</v>
      </c>
      <c r="F218" s="46" t="s">
        <v>361</v>
      </c>
      <c r="G218" s="46" t="s">
        <v>327</v>
      </c>
      <c r="H218" s="35" t="s">
        <v>1883</v>
      </c>
      <c r="I218" s="35" t="s">
        <v>1884</v>
      </c>
      <c r="J218" s="172"/>
      <c r="K218" s="25" t="s">
        <v>294</v>
      </c>
      <c r="L218" s="25"/>
      <c r="M218" s="43"/>
      <c r="N218" s="55"/>
      <c r="O218" s="28"/>
      <c r="P218" s="50" t="s">
        <v>140</v>
      </c>
      <c r="Q218" s="50" t="s">
        <v>140</v>
      </c>
      <c r="R218" s="25"/>
      <c r="S218" s="50"/>
      <c r="T218" s="65"/>
      <c r="U218" s="65"/>
      <c r="V218" s="65"/>
      <c r="W218" s="65"/>
      <c r="X218" s="65"/>
      <c r="Y218" s="65"/>
      <c r="Z218" s="65"/>
      <c r="AA218" s="65"/>
    </row>
    <row r="219" spans="1:27" ht="48" customHeight="1">
      <c r="A219" s="344"/>
      <c r="B219" s="344"/>
      <c r="C219" s="46">
        <v>12</v>
      </c>
      <c r="D219" s="344"/>
      <c r="E219" s="372" t="s">
        <v>1858</v>
      </c>
      <c r="F219" s="46" t="s">
        <v>361</v>
      </c>
      <c r="G219" s="46" t="s">
        <v>327</v>
      </c>
      <c r="H219" s="35" t="s">
        <v>1885</v>
      </c>
      <c r="I219" s="35" t="s">
        <v>1857</v>
      </c>
      <c r="J219" s="172"/>
      <c r="K219" s="25" t="s">
        <v>294</v>
      </c>
      <c r="L219" s="25"/>
      <c r="M219" s="43"/>
      <c r="N219" s="55"/>
      <c r="O219" s="28"/>
      <c r="P219" s="50" t="s">
        <v>140</v>
      </c>
      <c r="Q219" s="50" t="s">
        <v>140</v>
      </c>
      <c r="R219" s="25"/>
      <c r="S219" s="50"/>
      <c r="T219" s="65"/>
      <c r="U219" s="65"/>
      <c r="V219" s="65"/>
      <c r="W219" s="65"/>
      <c r="X219" s="65"/>
      <c r="Y219" s="65"/>
      <c r="Z219" s="65"/>
      <c r="AA219" s="65"/>
    </row>
    <row r="220" spans="1:27" ht="15.75" customHeight="1">
      <c r="A220" s="344"/>
      <c r="B220" s="344"/>
      <c r="C220" s="46">
        <v>13</v>
      </c>
      <c r="D220" s="344"/>
      <c r="E220" s="345"/>
      <c r="F220" s="46" t="s">
        <v>361</v>
      </c>
      <c r="G220" s="46" t="s">
        <v>327</v>
      </c>
      <c r="H220" s="35" t="s">
        <v>1886</v>
      </c>
      <c r="I220" s="35" t="s">
        <v>1857</v>
      </c>
      <c r="J220" s="172"/>
      <c r="K220" s="25" t="s">
        <v>294</v>
      </c>
      <c r="L220" s="25"/>
      <c r="M220" s="43"/>
      <c r="N220" s="55"/>
      <c r="O220" s="28"/>
      <c r="P220" s="50" t="s">
        <v>140</v>
      </c>
      <c r="Q220" s="50" t="s">
        <v>140</v>
      </c>
      <c r="R220" s="25"/>
      <c r="S220" s="50"/>
      <c r="T220" s="65"/>
      <c r="U220" s="65"/>
      <c r="V220" s="65"/>
      <c r="W220" s="65"/>
      <c r="X220" s="65"/>
      <c r="Y220" s="65"/>
      <c r="Z220" s="65"/>
      <c r="AA220" s="65"/>
    </row>
    <row r="221" spans="1:27" ht="15.75" customHeight="1">
      <c r="A221" s="344"/>
      <c r="B221" s="344"/>
      <c r="C221" s="46">
        <v>14</v>
      </c>
      <c r="D221" s="344"/>
      <c r="E221" s="73" t="s">
        <v>1863</v>
      </c>
      <c r="F221" s="46" t="s">
        <v>361</v>
      </c>
      <c r="G221" s="46" t="s">
        <v>327</v>
      </c>
      <c r="H221" s="35" t="s">
        <v>1887</v>
      </c>
      <c r="I221" s="35" t="s">
        <v>1868</v>
      </c>
      <c r="J221" s="172"/>
      <c r="K221" s="25" t="s">
        <v>294</v>
      </c>
      <c r="L221" s="25"/>
      <c r="M221" s="43"/>
      <c r="N221" s="55"/>
      <c r="O221" s="28"/>
      <c r="P221" s="50" t="s">
        <v>140</v>
      </c>
      <c r="Q221" s="50" t="s">
        <v>140</v>
      </c>
      <c r="R221" s="25"/>
      <c r="S221" s="50"/>
      <c r="T221" s="65"/>
      <c r="U221" s="65"/>
      <c r="V221" s="65"/>
      <c r="W221" s="65"/>
      <c r="X221" s="65"/>
      <c r="Y221" s="65"/>
      <c r="Z221" s="65"/>
      <c r="AA221" s="65"/>
    </row>
    <row r="222" spans="1:27" ht="15.75" customHeight="1">
      <c r="A222" s="344"/>
      <c r="B222" s="344"/>
      <c r="C222" s="46">
        <v>15</v>
      </c>
      <c r="D222" s="344"/>
      <c r="E222" s="35" t="s">
        <v>1866</v>
      </c>
      <c r="F222" s="46" t="s">
        <v>361</v>
      </c>
      <c r="G222" s="46" t="s">
        <v>327</v>
      </c>
      <c r="H222" s="35" t="s">
        <v>1888</v>
      </c>
      <c r="I222" s="35" t="s">
        <v>1889</v>
      </c>
      <c r="J222" s="172"/>
      <c r="K222" s="25" t="s">
        <v>294</v>
      </c>
      <c r="L222" s="25"/>
      <c r="M222" s="43"/>
      <c r="N222" s="55"/>
      <c r="O222" s="28"/>
      <c r="P222" s="50" t="s">
        <v>140</v>
      </c>
      <c r="Q222" s="50" t="s">
        <v>140</v>
      </c>
      <c r="R222" s="25"/>
      <c r="S222" s="50"/>
      <c r="T222" s="65"/>
      <c r="U222" s="65"/>
      <c r="V222" s="65"/>
      <c r="W222" s="65"/>
      <c r="X222" s="65"/>
      <c r="Y222" s="65"/>
      <c r="Z222" s="65"/>
      <c r="AA222" s="65"/>
    </row>
    <row r="223" spans="1:27" ht="15.75" customHeight="1">
      <c r="A223" s="344"/>
      <c r="B223" s="344"/>
      <c r="C223" s="46">
        <v>16</v>
      </c>
      <c r="D223" s="344"/>
      <c r="E223" s="73" t="s">
        <v>1869</v>
      </c>
      <c r="F223" s="46" t="s">
        <v>361</v>
      </c>
      <c r="G223" s="46" t="s">
        <v>327</v>
      </c>
      <c r="H223" s="35" t="s">
        <v>1890</v>
      </c>
      <c r="I223" s="35" t="s">
        <v>1891</v>
      </c>
      <c r="J223" s="172"/>
      <c r="K223" s="25" t="s">
        <v>294</v>
      </c>
      <c r="L223" s="25"/>
      <c r="M223" s="43"/>
      <c r="N223" s="55"/>
      <c r="O223" s="28"/>
      <c r="P223" s="50" t="s">
        <v>140</v>
      </c>
      <c r="Q223" s="50" t="s">
        <v>140</v>
      </c>
      <c r="R223" s="25"/>
      <c r="S223" s="50"/>
      <c r="T223" s="65"/>
      <c r="U223" s="65"/>
      <c r="V223" s="65"/>
      <c r="W223" s="65"/>
      <c r="X223" s="65"/>
      <c r="Y223" s="65"/>
      <c r="Z223" s="65"/>
      <c r="AA223" s="65"/>
    </row>
    <row r="224" spans="1:27" ht="15.75" customHeight="1">
      <c r="A224" s="345"/>
      <c r="B224" s="345"/>
      <c r="C224" s="46">
        <v>17</v>
      </c>
      <c r="D224" s="345"/>
      <c r="E224" s="73" t="s">
        <v>1872</v>
      </c>
      <c r="F224" s="46" t="s">
        <v>361</v>
      </c>
      <c r="G224" s="46" t="s">
        <v>327</v>
      </c>
      <c r="H224" s="35" t="s">
        <v>1892</v>
      </c>
      <c r="I224" s="35" t="s">
        <v>1893</v>
      </c>
      <c r="J224" s="172"/>
      <c r="K224" s="25" t="s">
        <v>294</v>
      </c>
      <c r="L224" s="25"/>
      <c r="M224" s="43"/>
      <c r="N224" s="55"/>
      <c r="O224" s="28"/>
      <c r="P224" s="50" t="s">
        <v>140</v>
      </c>
      <c r="Q224" s="50" t="s">
        <v>140</v>
      </c>
      <c r="R224" s="25"/>
      <c r="S224" s="50"/>
      <c r="T224" s="65"/>
      <c r="U224" s="65"/>
      <c r="V224" s="65"/>
      <c r="W224" s="65"/>
      <c r="X224" s="65"/>
      <c r="Y224" s="65"/>
      <c r="Z224" s="65"/>
      <c r="AA224" s="65"/>
    </row>
    <row r="225" spans="1:27" ht="110.25" customHeight="1">
      <c r="A225" s="351" t="s">
        <v>1894</v>
      </c>
      <c r="B225" s="354" t="s">
        <v>199</v>
      </c>
      <c r="C225" s="86">
        <v>1</v>
      </c>
      <c r="D225" s="351" t="s">
        <v>1837</v>
      </c>
      <c r="E225" s="351" t="s">
        <v>1895</v>
      </c>
      <c r="F225" s="354" t="s">
        <v>361</v>
      </c>
      <c r="G225" s="375" t="s">
        <v>327</v>
      </c>
      <c r="H225" s="351" t="s">
        <v>1896</v>
      </c>
      <c r="I225" s="35" t="s">
        <v>1840</v>
      </c>
      <c r="J225" s="172"/>
      <c r="K225" s="25"/>
      <c r="L225" s="25"/>
      <c r="M225" s="43"/>
      <c r="N225" s="55"/>
      <c r="O225" s="28"/>
      <c r="P225" s="28"/>
      <c r="Q225" s="50" t="s">
        <v>282</v>
      </c>
      <c r="R225" s="25" t="s">
        <v>305</v>
      </c>
      <c r="S225" s="50"/>
      <c r="T225" s="65"/>
      <c r="U225" s="65"/>
      <c r="V225" s="65"/>
      <c r="W225" s="65"/>
      <c r="X225" s="65"/>
      <c r="Y225" s="65"/>
      <c r="Z225" s="65"/>
      <c r="AA225" s="65"/>
    </row>
    <row r="226" spans="1:27" ht="110.25" customHeight="1">
      <c r="A226" s="352"/>
      <c r="B226" s="352"/>
      <c r="C226" s="86">
        <v>2</v>
      </c>
      <c r="D226" s="352"/>
      <c r="E226" s="352"/>
      <c r="F226" s="353"/>
      <c r="G226" s="353"/>
      <c r="H226" s="353"/>
      <c r="I226" s="35" t="s">
        <v>1841</v>
      </c>
      <c r="J226" s="172"/>
      <c r="K226" s="25"/>
      <c r="L226" s="25"/>
      <c r="M226" s="43"/>
      <c r="N226" s="55"/>
      <c r="O226" s="28"/>
      <c r="P226" s="28"/>
      <c r="Q226" s="50" t="s">
        <v>282</v>
      </c>
      <c r="R226" s="25" t="s">
        <v>305</v>
      </c>
      <c r="S226" s="50"/>
      <c r="T226" s="65"/>
      <c r="U226" s="65"/>
      <c r="V226" s="65"/>
      <c r="W226" s="65"/>
      <c r="X226" s="65"/>
      <c r="Y226" s="65"/>
      <c r="Z226" s="65"/>
      <c r="AA226" s="65"/>
    </row>
    <row r="227" spans="1:27" ht="15.75" customHeight="1">
      <c r="A227" s="352"/>
      <c r="B227" s="352"/>
      <c r="C227" s="86">
        <v>3</v>
      </c>
      <c r="D227" s="352"/>
      <c r="E227" s="352"/>
      <c r="F227" s="354" t="s">
        <v>361</v>
      </c>
      <c r="G227" s="354" t="s">
        <v>327</v>
      </c>
      <c r="H227" s="351" t="s">
        <v>1842</v>
      </c>
      <c r="I227" s="35" t="s">
        <v>1843</v>
      </c>
      <c r="J227" s="172"/>
      <c r="K227" s="25"/>
      <c r="L227" s="25"/>
      <c r="M227" s="43"/>
      <c r="N227" s="55"/>
      <c r="O227" s="28"/>
      <c r="P227" s="28"/>
      <c r="Q227" s="50" t="s">
        <v>282</v>
      </c>
      <c r="R227" s="25" t="s">
        <v>305</v>
      </c>
      <c r="S227" s="50"/>
      <c r="T227" s="65"/>
      <c r="U227" s="65"/>
      <c r="V227" s="65"/>
      <c r="W227" s="65"/>
      <c r="X227" s="65"/>
      <c r="Y227" s="65"/>
      <c r="Z227" s="65"/>
      <c r="AA227" s="65"/>
    </row>
    <row r="228" spans="1:27" ht="15.75" customHeight="1">
      <c r="A228" s="352"/>
      <c r="B228" s="352"/>
      <c r="C228" s="86">
        <v>4</v>
      </c>
      <c r="D228" s="352"/>
      <c r="E228" s="352"/>
      <c r="F228" s="353"/>
      <c r="G228" s="353"/>
      <c r="H228" s="353"/>
      <c r="I228" s="35" t="s">
        <v>1841</v>
      </c>
      <c r="J228" s="172"/>
      <c r="K228" s="25"/>
      <c r="L228" s="25"/>
      <c r="M228" s="43"/>
      <c r="N228" s="55"/>
      <c r="O228" s="28"/>
      <c r="P228" s="28"/>
      <c r="Q228" s="50" t="s">
        <v>282</v>
      </c>
      <c r="R228" s="25" t="s">
        <v>305</v>
      </c>
      <c r="S228" s="50"/>
      <c r="T228" s="65"/>
      <c r="U228" s="65"/>
      <c r="V228" s="65"/>
      <c r="W228" s="65"/>
      <c r="X228" s="65"/>
      <c r="Y228" s="65"/>
      <c r="Z228" s="65"/>
      <c r="AA228" s="65"/>
    </row>
    <row r="229" spans="1:27" ht="15.75" customHeight="1">
      <c r="A229" s="352"/>
      <c r="B229" s="352"/>
      <c r="C229" s="86">
        <v>5</v>
      </c>
      <c r="D229" s="352"/>
      <c r="E229" s="352"/>
      <c r="F229" s="354" t="s">
        <v>361</v>
      </c>
      <c r="G229" s="354" t="s">
        <v>327</v>
      </c>
      <c r="H229" s="351" t="s">
        <v>1844</v>
      </c>
      <c r="I229" s="35" t="s">
        <v>1845</v>
      </c>
      <c r="J229" s="172"/>
      <c r="K229" s="25"/>
      <c r="L229" s="25"/>
      <c r="M229" s="43"/>
      <c r="N229" s="55"/>
      <c r="O229" s="28"/>
      <c r="P229" s="28"/>
      <c r="Q229" s="50" t="s">
        <v>282</v>
      </c>
      <c r="R229" s="25" t="s">
        <v>305</v>
      </c>
      <c r="S229" s="50"/>
      <c r="T229" s="65"/>
      <c r="U229" s="65"/>
      <c r="V229" s="65"/>
      <c r="W229" s="65"/>
      <c r="X229" s="65"/>
      <c r="Y229" s="65"/>
      <c r="Z229" s="65"/>
      <c r="AA229" s="65"/>
    </row>
    <row r="230" spans="1:27" ht="15.75" customHeight="1">
      <c r="A230" s="352"/>
      <c r="B230" s="352"/>
      <c r="C230" s="86">
        <v>6</v>
      </c>
      <c r="D230" s="352"/>
      <c r="E230" s="353"/>
      <c r="F230" s="353"/>
      <c r="G230" s="353"/>
      <c r="H230" s="353"/>
      <c r="I230" s="35" t="s">
        <v>1841</v>
      </c>
      <c r="J230" s="172"/>
      <c r="K230" s="25"/>
      <c r="L230" s="25"/>
      <c r="M230" s="43"/>
      <c r="N230" s="55"/>
      <c r="O230" s="28"/>
      <c r="P230" s="28"/>
      <c r="Q230" s="50" t="s">
        <v>282</v>
      </c>
      <c r="R230" s="25" t="s">
        <v>305</v>
      </c>
      <c r="S230" s="50"/>
      <c r="T230" s="65"/>
      <c r="U230" s="65"/>
      <c r="V230" s="65"/>
      <c r="W230" s="65"/>
      <c r="X230" s="65"/>
      <c r="Y230" s="65"/>
      <c r="Z230" s="65"/>
      <c r="AA230" s="65"/>
    </row>
    <row r="231" spans="1:27" ht="15.75" customHeight="1">
      <c r="A231" s="352"/>
      <c r="B231" s="352"/>
      <c r="C231" s="86">
        <v>7</v>
      </c>
      <c r="D231" s="352"/>
      <c r="E231" s="175" t="s">
        <v>1897</v>
      </c>
      <c r="F231" s="86" t="s">
        <v>361</v>
      </c>
      <c r="G231" s="86" t="s">
        <v>327</v>
      </c>
      <c r="H231" s="175" t="s">
        <v>1898</v>
      </c>
      <c r="I231" s="35" t="s">
        <v>1899</v>
      </c>
      <c r="J231" s="172"/>
      <c r="K231" s="25"/>
      <c r="L231" s="25"/>
      <c r="M231" s="43"/>
      <c r="N231" s="55"/>
      <c r="O231" s="28"/>
      <c r="P231" s="28"/>
      <c r="Q231" s="50" t="s">
        <v>282</v>
      </c>
      <c r="R231" s="25" t="s">
        <v>305</v>
      </c>
      <c r="S231" s="50"/>
      <c r="T231" s="65"/>
      <c r="U231" s="65"/>
      <c r="V231" s="65"/>
      <c r="W231" s="65"/>
      <c r="X231" s="65"/>
      <c r="Y231" s="65"/>
      <c r="Z231" s="65"/>
      <c r="AA231" s="65"/>
    </row>
    <row r="232" spans="1:27" ht="15.75" customHeight="1">
      <c r="A232" s="352"/>
      <c r="B232" s="352"/>
      <c r="C232" s="86">
        <v>8</v>
      </c>
      <c r="D232" s="352"/>
      <c r="E232" s="181" t="s">
        <v>1900</v>
      </c>
      <c r="F232" s="86" t="s">
        <v>361</v>
      </c>
      <c r="G232" s="86" t="s">
        <v>327</v>
      </c>
      <c r="H232" s="175" t="s">
        <v>1901</v>
      </c>
      <c r="I232" s="35" t="s">
        <v>1902</v>
      </c>
      <c r="J232" s="172"/>
      <c r="K232" s="25"/>
      <c r="L232" s="25"/>
      <c r="M232" s="43"/>
      <c r="N232" s="55"/>
      <c r="O232" s="28"/>
      <c r="P232" s="28"/>
      <c r="Q232" s="50" t="s">
        <v>282</v>
      </c>
      <c r="R232" s="25" t="s">
        <v>305</v>
      </c>
      <c r="S232" s="50"/>
      <c r="T232" s="65"/>
      <c r="U232" s="65"/>
      <c r="V232" s="65"/>
      <c r="W232" s="65"/>
      <c r="X232" s="65"/>
      <c r="Y232" s="65"/>
      <c r="Z232" s="65"/>
      <c r="AA232" s="65"/>
    </row>
    <row r="233" spans="1:27" ht="15.75" customHeight="1">
      <c r="A233" s="352"/>
      <c r="B233" s="352"/>
      <c r="C233" s="86">
        <v>9</v>
      </c>
      <c r="D233" s="352"/>
      <c r="E233" s="181" t="s">
        <v>1903</v>
      </c>
      <c r="F233" s="86" t="s">
        <v>361</v>
      </c>
      <c r="G233" s="86" t="s">
        <v>327</v>
      </c>
      <c r="H233" s="175" t="s">
        <v>1904</v>
      </c>
      <c r="I233" s="35" t="s">
        <v>1902</v>
      </c>
      <c r="J233" s="172"/>
      <c r="K233" s="25"/>
      <c r="L233" s="25"/>
      <c r="M233" s="43"/>
      <c r="N233" s="55"/>
      <c r="O233" s="28"/>
      <c r="P233" s="28"/>
      <c r="Q233" s="50" t="s">
        <v>282</v>
      </c>
      <c r="R233" s="25" t="s">
        <v>305</v>
      </c>
      <c r="S233" s="50"/>
      <c r="T233" s="65"/>
      <c r="U233" s="65"/>
      <c r="V233" s="65"/>
      <c r="W233" s="65"/>
      <c r="X233" s="65"/>
      <c r="Y233" s="65"/>
      <c r="Z233" s="65"/>
      <c r="AA233" s="65"/>
    </row>
    <row r="234" spans="1:27" ht="15.75" customHeight="1">
      <c r="A234" s="352"/>
      <c r="B234" s="352"/>
      <c r="C234" s="86">
        <v>10</v>
      </c>
      <c r="D234" s="352"/>
      <c r="E234" s="181" t="s">
        <v>1905</v>
      </c>
      <c r="F234" s="86" t="s">
        <v>361</v>
      </c>
      <c r="G234" s="86" t="s">
        <v>327</v>
      </c>
      <c r="H234" s="175" t="s">
        <v>1906</v>
      </c>
      <c r="I234" s="35" t="s">
        <v>1902</v>
      </c>
      <c r="J234" s="172"/>
      <c r="K234" s="25"/>
      <c r="L234" s="25"/>
      <c r="M234" s="43"/>
      <c r="N234" s="55"/>
      <c r="O234" s="28"/>
      <c r="P234" s="28"/>
      <c r="Q234" s="50" t="s">
        <v>282</v>
      </c>
      <c r="R234" s="25" t="s">
        <v>305</v>
      </c>
      <c r="S234" s="50"/>
      <c r="T234" s="65"/>
      <c r="U234" s="65"/>
      <c r="V234" s="65"/>
      <c r="W234" s="65"/>
      <c r="X234" s="65"/>
      <c r="Y234" s="65"/>
      <c r="Z234" s="65"/>
      <c r="AA234" s="65"/>
    </row>
    <row r="235" spans="1:27" ht="15.75" customHeight="1">
      <c r="A235" s="352"/>
      <c r="B235" s="352"/>
      <c r="C235" s="86">
        <v>11</v>
      </c>
      <c r="D235" s="352"/>
      <c r="E235" s="351" t="s">
        <v>1907</v>
      </c>
      <c r="F235" s="354" t="s">
        <v>361</v>
      </c>
      <c r="G235" s="354" t="s">
        <v>327</v>
      </c>
      <c r="H235" s="175" t="s">
        <v>1908</v>
      </c>
      <c r="I235" s="35" t="s">
        <v>1909</v>
      </c>
      <c r="J235" s="172"/>
      <c r="K235" s="25"/>
      <c r="L235" s="25"/>
      <c r="M235" s="43"/>
      <c r="N235" s="55"/>
      <c r="O235" s="28"/>
      <c r="P235" s="28"/>
      <c r="Q235" s="50" t="s">
        <v>282</v>
      </c>
      <c r="R235" s="25" t="s">
        <v>305</v>
      </c>
      <c r="S235" s="50"/>
      <c r="T235" s="65"/>
      <c r="U235" s="65"/>
      <c r="V235" s="65"/>
      <c r="W235" s="65"/>
      <c r="X235" s="65"/>
      <c r="Y235" s="65"/>
      <c r="Z235" s="65"/>
      <c r="AA235" s="65"/>
    </row>
    <row r="236" spans="1:27" ht="15.75" customHeight="1">
      <c r="A236" s="352"/>
      <c r="B236" s="352"/>
      <c r="C236" s="86">
        <v>12</v>
      </c>
      <c r="D236" s="352"/>
      <c r="E236" s="353"/>
      <c r="F236" s="353"/>
      <c r="G236" s="353"/>
      <c r="H236" s="175" t="s">
        <v>1910</v>
      </c>
      <c r="I236" s="35" t="s">
        <v>1911</v>
      </c>
      <c r="J236" s="172"/>
      <c r="K236" s="25"/>
      <c r="L236" s="25"/>
      <c r="M236" s="43"/>
      <c r="N236" s="55"/>
      <c r="O236" s="28"/>
      <c r="P236" s="28"/>
      <c r="Q236" s="50" t="s">
        <v>282</v>
      </c>
      <c r="R236" s="25" t="s">
        <v>305</v>
      </c>
      <c r="S236" s="50"/>
      <c r="T236" s="65"/>
      <c r="U236" s="65"/>
      <c r="V236" s="65"/>
      <c r="W236" s="65"/>
      <c r="X236" s="65"/>
      <c r="Y236" s="65"/>
      <c r="Z236" s="65"/>
      <c r="AA236" s="65"/>
    </row>
    <row r="237" spans="1:27" ht="15.75" customHeight="1">
      <c r="A237" s="352"/>
      <c r="B237" s="352"/>
      <c r="C237" s="86">
        <v>13</v>
      </c>
      <c r="D237" s="352"/>
      <c r="E237" s="351" t="s">
        <v>1912</v>
      </c>
      <c r="F237" s="354" t="s">
        <v>361</v>
      </c>
      <c r="G237" s="354" t="s">
        <v>327</v>
      </c>
      <c r="H237" s="175" t="s">
        <v>1913</v>
      </c>
      <c r="I237" s="35" t="s">
        <v>1909</v>
      </c>
      <c r="J237" s="172"/>
      <c r="K237" s="25"/>
      <c r="L237" s="25"/>
      <c r="M237" s="43"/>
      <c r="N237" s="55"/>
      <c r="O237" s="28"/>
      <c r="P237" s="28"/>
      <c r="Q237" s="50" t="s">
        <v>282</v>
      </c>
      <c r="R237" s="25" t="s">
        <v>305</v>
      </c>
      <c r="S237" s="50"/>
      <c r="T237" s="65"/>
      <c r="U237" s="65"/>
      <c r="V237" s="65"/>
      <c r="W237" s="65"/>
      <c r="X237" s="65"/>
      <c r="Y237" s="65"/>
      <c r="Z237" s="65"/>
      <c r="AA237" s="65"/>
    </row>
    <row r="238" spans="1:27" ht="15.75" customHeight="1">
      <c r="A238" s="352"/>
      <c r="B238" s="352"/>
      <c r="C238" s="86">
        <v>14</v>
      </c>
      <c r="D238" s="352"/>
      <c r="E238" s="353"/>
      <c r="F238" s="353"/>
      <c r="G238" s="353"/>
      <c r="H238" s="175" t="s">
        <v>1910</v>
      </c>
      <c r="I238" s="35" t="s">
        <v>1911</v>
      </c>
      <c r="J238" s="172"/>
      <c r="K238" s="25"/>
      <c r="L238" s="25"/>
      <c r="M238" s="43"/>
      <c r="N238" s="55"/>
      <c r="O238" s="28"/>
      <c r="P238" s="28"/>
      <c r="Q238" s="50" t="s">
        <v>282</v>
      </c>
      <c r="R238" s="25" t="s">
        <v>305</v>
      </c>
      <c r="S238" s="50"/>
      <c r="T238" s="65"/>
      <c r="U238" s="65"/>
      <c r="V238" s="65"/>
      <c r="W238" s="65"/>
      <c r="X238" s="65"/>
      <c r="Y238" s="65"/>
      <c r="Z238" s="65"/>
      <c r="AA238" s="65"/>
    </row>
    <row r="239" spans="1:27" ht="15.75" customHeight="1">
      <c r="A239" s="352"/>
      <c r="B239" s="352"/>
      <c r="C239" s="86">
        <v>15</v>
      </c>
      <c r="D239" s="352"/>
      <c r="E239" s="351" t="s">
        <v>1914</v>
      </c>
      <c r="F239" s="354" t="s">
        <v>361</v>
      </c>
      <c r="G239" s="354" t="s">
        <v>327</v>
      </c>
      <c r="H239" s="175" t="s">
        <v>1915</v>
      </c>
      <c r="I239" s="35" t="s">
        <v>1909</v>
      </c>
      <c r="J239" s="172"/>
      <c r="K239" s="25"/>
      <c r="L239" s="25"/>
      <c r="M239" s="43"/>
      <c r="N239" s="55"/>
      <c r="O239" s="28"/>
      <c r="P239" s="28"/>
      <c r="Q239" s="50" t="s">
        <v>282</v>
      </c>
      <c r="R239" s="25" t="s">
        <v>305</v>
      </c>
      <c r="S239" s="50"/>
      <c r="T239" s="65"/>
      <c r="U239" s="65"/>
      <c r="V239" s="65"/>
      <c r="W239" s="65"/>
      <c r="X239" s="65"/>
      <c r="Y239" s="65"/>
      <c r="Z239" s="65"/>
      <c r="AA239" s="65"/>
    </row>
    <row r="240" spans="1:27" ht="15.75" customHeight="1">
      <c r="A240" s="352"/>
      <c r="B240" s="352"/>
      <c r="C240" s="86">
        <v>16</v>
      </c>
      <c r="D240" s="352"/>
      <c r="E240" s="353"/>
      <c r="F240" s="353"/>
      <c r="G240" s="353"/>
      <c r="H240" s="175" t="s">
        <v>1910</v>
      </c>
      <c r="I240" s="35" t="s">
        <v>1911</v>
      </c>
      <c r="J240" s="172"/>
      <c r="K240" s="25"/>
      <c r="L240" s="25"/>
      <c r="M240" s="43"/>
      <c r="N240" s="55"/>
      <c r="O240" s="28"/>
      <c r="P240" s="28"/>
      <c r="Q240" s="50" t="s">
        <v>282</v>
      </c>
      <c r="R240" s="25" t="s">
        <v>305</v>
      </c>
      <c r="S240" s="50"/>
      <c r="T240" s="65"/>
      <c r="U240" s="65"/>
      <c r="V240" s="65"/>
      <c r="W240" s="65"/>
      <c r="X240" s="65"/>
      <c r="Y240" s="65"/>
      <c r="Z240" s="65"/>
      <c r="AA240" s="65"/>
    </row>
    <row r="241" spans="1:27" ht="15.75" customHeight="1">
      <c r="A241" s="352"/>
      <c r="B241" s="352"/>
      <c r="C241" s="86">
        <v>17</v>
      </c>
      <c r="D241" s="352"/>
      <c r="E241" s="351" t="s">
        <v>1916</v>
      </c>
      <c r="F241" s="354" t="s">
        <v>361</v>
      </c>
      <c r="G241" s="354" t="s">
        <v>327</v>
      </c>
      <c r="H241" s="175" t="s">
        <v>1917</v>
      </c>
      <c r="I241" s="35" t="s">
        <v>1918</v>
      </c>
      <c r="J241" s="172"/>
      <c r="K241" s="25"/>
      <c r="L241" s="25"/>
      <c r="M241" s="25"/>
      <c r="N241" s="55"/>
      <c r="O241" s="28"/>
      <c r="P241" s="28"/>
      <c r="Q241" s="50" t="s">
        <v>282</v>
      </c>
      <c r="R241" s="25" t="s">
        <v>305</v>
      </c>
      <c r="S241" s="50"/>
      <c r="T241" s="65"/>
      <c r="U241" s="65"/>
      <c r="V241" s="65"/>
      <c r="W241" s="65"/>
      <c r="X241" s="65"/>
      <c r="Y241" s="65"/>
      <c r="Z241" s="65"/>
      <c r="AA241" s="65"/>
    </row>
    <row r="242" spans="1:27" ht="15.75" customHeight="1">
      <c r="A242" s="352"/>
      <c r="B242" s="352"/>
      <c r="C242" s="86">
        <v>18</v>
      </c>
      <c r="D242" s="352"/>
      <c r="E242" s="353"/>
      <c r="F242" s="353"/>
      <c r="G242" s="353"/>
      <c r="H242" s="175" t="s">
        <v>1910</v>
      </c>
      <c r="I242" s="35" t="s">
        <v>1919</v>
      </c>
      <c r="J242" s="172"/>
      <c r="K242" s="25"/>
      <c r="L242" s="25"/>
      <c r="M242" s="25"/>
      <c r="N242" s="55"/>
      <c r="O242" s="28"/>
      <c r="P242" s="28"/>
      <c r="Q242" s="50" t="s">
        <v>282</v>
      </c>
      <c r="R242" s="25" t="s">
        <v>305</v>
      </c>
      <c r="S242" s="50"/>
      <c r="T242" s="65"/>
      <c r="U242" s="65"/>
      <c r="V242" s="65"/>
      <c r="W242" s="65"/>
      <c r="X242" s="65"/>
      <c r="Y242" s="65"/>
      <c r="Z242" s="65"/>
      <c r="AA242" s="65"/>
    </row>
    <row r="243" spans="1:27" ht="15.75" customHeight="1">
      <c r="A243" s="352"/>
      <c r="B243" s="352"/>
      <c r="C243" s="86">
        <v>19</v>
      </c>
      <c r="D243" s="352"/>
      <c r="E243" s="351" t="s">
        <v>1920</v>
      </c>
      <c r="F243" s="354" t="s">
        <v>361</v>
      </c>
      <c r="G243" s="354" t="s">
        <v>327</v>
      </c>
      <c r="H243" s="175" t="s">
        <v>1921</v>
      </c>
      <c r="I243" s="35" t="s">
        <v>1918</v>
      </c>
      <c r="J243" s="172"/>
      <c r="K243" s="25"/>
      <c r="L243" s="25"/>
      <c r="M243" s="25"/>
      <c r="N243" s="55"/>
      <c r="O243" s="28"/>
      <c r="P243" s="28"/>
      <c r="Q243" s="50" t="s">
        <v>282</v>
      </c>
      <c r="R243" s="25" t="s">
        <v>305</v>
      </c>
      <c r="S243" s="50"/>
      <c r="T243" s="65"/>
      <c r="U243" s="65"/>
      <c r="V243" s="65"/>
      <c r="W243" s="65"/>
      <c r="X243" s="65"/>
      <c r="Y243" s="65"/>
      <c r="Z243" s="65"/>
      <c r="AA243" s="65"/>
    </row>
    <row r="244" spans="1:27" ht="15.75" customHeight="1">
      <c r="A244" s="352"/>
      <c r="B244" s="352"/>
      <c r="C244" s="86">
        <v>20</v>
      </c>
      <c r="D244" s="352"/>
      <c r="E244" s="353"/>
      <c r="F244" s="353"/>
      <c r="G244" s="353"/>
      <c r="H244" s="175" t="s">
        <v>1910</v>
      </c>
      <c r="I244" s="35" t="s">
        <v>1919</v>
      </c>
      <c r="J244" s="172"/>
      <c r="K244" s="25"/>
      <c r="L244" s="25"/>
      <c r="M244" s="25"/>
      <c r="N244" s="55"/>
      <c r="O244" s="28"/>
      <c r="P244" s="28"/>
      <c r="Q244" s="50" t="s">
        <v>282</v>
      </c>
      <c r="R244" s="25" t="s">
        <v>305</v>
      </c>
      <c r="S244" s="50"/>
      <c r="T244" s="65"/>
      <c r="U244" s="65"/>
      <c r="V244" s="65"/>
      <c r="W244" s="65"/>
      <c r="X244" s="65"/>
      <c r="Y244" s="65"/>
      <c r="Z244" s="65"/>
      <c r="AA244" s="65"/>
    </row>
    <row r="245" spans="1:27" ht="15.75" customHeight="1">
      <c r="A245" s="352"/>
      <c r="B245" s="352"/>
      <c r="C245" s="86">
        <v>21</v>
      </c>
      <c r="D245" s="352"/>
      <c r="E245" s="351" t="s">
        <v>1922</v>
      </c>
      <c r="F245" s="354" t="s">
        <v>361</v>
      </c>
      <c r="G245" s="354" t="s">
        <v>327</v>
      </c>
      <c r="H245" s="175" t="s">
        <v>1923</v>
      </c>
      <c r="I245" s="35" t="s">
        <v>1909</v>
      </c>
      <c r="J245" s="172"/>
      <c r="K245" s="25"/>
      <c r="L245" s="25"/>
      <c r="M245" s="43"/>
      <c r="N245" s="55"/>
      <c r="O245" s="28"/>
      <c r="P245" s="28"/>
      <c r="Q245" s="50" t="s">
        <v>282</v>
      </c>
      <c r="R245" s="25" t="s">
        <v>305</v>
      </c>
      <c r="S245" s="50"/>
      <c r="T245" s="65"/>
      <c r="U245" s="65"/>
      <c r="V245" s="65"/>
      <c r="W245" s="65"/>
      <c r="X245" s="65"/>
      <c r="Y245" s="65"/>
      <c r="Z245" s="65"/>
      <c r="AA245" s="65"/>
    </row>
    <row r="246" spans="1:27" ht="15.75" customHeight="1">
      <c r="A246" s="353"/>
      <c r="B246" s="353"/>
      <c r="C246" s="86">
        <v>22</v>
      </c>
      <c r="D246" s="353"/>
      <c r="E246" s="353"/>
      <c r="F246" s="353"/>
      <c r="G246" s="353"/>
      <c r="H246" s="175" t="s">
        <v>1910</v>
      </c>
      <c r="I246" s="35" t="s">
        <v>1911</v>
      </c>
      <c r="J246" s="172"/>
      <c r="K246" s="25"/>
      <c r="L246" s="25"/>
      <c r="M246" s="43"/>
      <c r="N246" s="55"/>
      <c r="O246" s="28"/>
      <c r="P246" s="28"/>
      <c r="Q246" s="50" t="s">
        <v>282</v>
      </c>
      <c r="R246" s="25" t="s">
        <v>305</v>
      </c>
      <c r="S246" s="50"/>
      <c r="T246" s="65"/>
      <c r="U246" s="65"/>
      <c r="V246" s="65"/>
      <c r="W246" s="65"/>
      <c r="X246" s="65"/>
      <c r="Y246" s="65"/>
      <c r="Z246" s="65"/>
      <c r="AA246" s="65"/>
    </row>
    <row r="247" spans="1:27" ht="15.75" customHeight="1">
      <c r="A247" s="368" t="s">
        <v>1924</v>
      </c>
      <c r="B247" s="350" t="s">
        <v>1925</v>
      </c>
      <c r="C247" s="31">
        <v>1</v>
      </c>
      <c r="D247" s="368" t="s">
        <v>1926</v>
      </c>
      <c r="E247" s="23" t="s">
        <v>1927</v>
      </c>
      <c r="F247" s="31" t="s">
        <v>361</v>
      </c>
      <c r="G247" s="31" t="s">
        <v>327</v>
      </c>
      <c r="H247" s="23" t="s">
        <v>1928</v>
      </c>
      <c r="I247" s="23" t="s">
        <v>1929</v>
      </c>
      <c r="J247" s="170"/>
      <c r="K247" s="25" t="s">
        <v>294</v>
      </c>
      <c r="L247" s="25"/>
      <c r="M247" s="43"/>
      <c r="N247" s="55"/>
      <c r="O247" s="28"/>
      <c r="P247" s="28"/>
      <c r="Q247" s="50" t="s">
        <v>140</v>
      </c>
      <c r="R247" s="25"/>
      <c r="S247" s="50"/>
      <c r="T247" s="30"/>
      <c r="U247" s="30"/>
      <c r="V247" s="30"/>
      <c r="W247" s="30"/>
      <c r="X247" s="30"/>
      <c r="Y247" s="30"/>
      <c r="Z247" s="30"/>
      <c r="AA247" s="30"/>
    </row>
    <row r="248" spans="1:27" ht="15.75" customHeight="1">
      <c r="A248" s="344"/>
      <c r="B248" s="344"/>
      <c r="C248" s="31">
        <v>2</v>
      </c>
      <c r="D248" s="344"/>
      <c r="E248" s="23" t="s">
        <v>1930</v>
      </c>
      <c r="F248" s="31" t="s">
        <v>361</v>
      </c>
      <c r="G248" s="31" t="s">
        <v>327</v>
      </c>
      <c r="H248" s="23" t="s">
        <v>1931</v>
      </c>
      <c r="I248" s="23" t="s">
        <v>1929</v>
      </c>
      <c r="J248" s="170"/>
      <c r="K248" s="25" t="s">
        <v>294</v>
      </c>
      <c r="L248" s="25"/>
      <c r="M248" s="43"/>
      <c r="N248" s="55"/>
      <c r="O248" s="28"/>
      <c r="P248" s="28"/>
      <c r="Q248" s="50" t="s">
        <v>140</v>
      </c>
      <c r="R248" s="25"/>
      <c r="S248" s="50"/>
      <c r="T248" s="30"/>
      <c r="U248" s="30"/>
      <c r="V248" s="30"/>
      <c r="W248" s="30"/>
      <c r="X248" s="30"/>
      <c r="Y248" s="30"/>
      <c r="Z248" s="30"/>
      <c r="AA248" s="30"/>
    </row>
    <row r="249" spans="1:27" ht="15.75" customHeight="1">
      <c r="A249" s="344"/>
      <c r="B249" s="344"/>
      <c r="C249" s="31">
        <v>3</v>
      </c>
      <c r="D249" s="344"/>
      <c r="E249" s="23" t="s">
        <v>1932</v>
      </c>
      <c r="F249" s="31" t="s">
        <v>361</v>
      </c>
      <c r="G249" s="31" t="s">
        <v>327</v>
      </c>
      <c r="H249" s="23" t="s">
        <v>1933</v>
      </c>
      <c r="I249" s="23" t="s">
        <v>1934</v>
      </c>
      <c r="J249" s="170"/>
      <c r="K249" s="25" t="s">
        <v>294</v>
      </c>
      <c r="L249" s="25"/>
      <c r="M249" s="43"/>
      <c r="N249" s="55"/>
      <c r="O249" s="28"/>
      <c r="P249" s="28"/>
      <c r="Q249" s="50" t="s">
        <v>140</v>
      </c>
      <c r="R249" s="25"/>
      <c r="S249" s="50"/>
      <c r="T249" s="30"/>
      <c r="U249" s="30"/>
      <c r="V249" s="30"/>
      <c r="W249" s="30"/>
      <c r="X249" s="30"/>
      <c r="Y249" s="30"/>
      <c r="Z249" s="30"/>
      <c r="AA249" s="30"/>
    </row>
    <row r="250" spans="1:27" ht="15.75" customHeight="1">
      <c r="A250" s="344"/>
      <c r="B250" s="344"/>
      <c r="C250" s="31">
        <v>4</v>
      </c>
      <c r="D250" s="344"/>
      <c r="E250" s="23" t="s">
        <v>1935</v>
      </c>
      <c r="F250" s="31" t="s">
        <v>361</v>
      </c>
      <c r="G250" s="31" t="s">
        <v>327</v>
      </c>
      <c r="H250" s="23" t="s">
        <v>1936</v>
      </c>
      <c r="I250" s="23" t="s">
        <v>1937</v>
      </c>
      <c r="J250" s="170"/>
      <c r="K250" s="25" t="s">
        <v>294</v>
      </c>
      <c r="L250" s="25"/>
      <c r="M250" s="43"/>
      <c r="N250" s="55"/>
      <c r="O250" s="28"/>
      <c r="P250" s="28"/>
      <c r="Q250" s="50" t="s">
        <v>140</v>
      </c>
      <c r="R250" s="25"/>
      <c r="S250" s="50"/>
      <c r="T250" s="30"/>
      <c r="U250" s="30"/>
      <c r="V250" s="30"/>
      <c r="W250" s="30"/>
      <c r="X250" s="30"/>
      <c r="Y250" s="30"/>
      <c r="Z250" s="30"/>
      <c r="AA250" s="30"/>
    </row>
    <row r="251" spans="1:27" ht="15.75" customHeight="1">
      <c r="A251" s="344"/>
      <c r="B251" s="344"/>
      <c r="C251" s="31">
        <v>5</v>
      </c>
      <c r="D251" s="344"/>
      <c r="E251" s="23" t="s">
        <v>1938</v>
      </c>
      <c r="F251" s="31" t="s">
        <v>361</v>
      </c>
      <c r="G251" s="31" t="s">
        <v>327</v>
      </c>
      <c r="H251" s="23" t="s">
        <v>1933</v>
      </c>
      <c r="I251" s="23" t="s">
        <v>1934</v>
      </c>
      <c r="J251" s="170"/>
      <c r="K251" s="25" t="s">
        <v>294</v>
      </c>
      <c r="L251" s="25"/>
      <c r="M251" s="43"/>
      <c r="N251" s="55"/>
      <c r="O251" s="28"/>
      <c r="P251" s="28"/>
      <c r="Q251" s="50" t="s">
        <v>140</v>
      </c>
      <c r="R251" s="25"/>
      <c r="S251" s="50"/>
      <c r="T251" s="30"/>
      <c r="U251" s="30"/>
      <c r="V251" s="30"/>
      <c r="W251" s="30"/>
      <c r="X251" s="30"/>
      <c r="Y251" s="30"/>
      <c r="Z251" s="30"/>
      <c r="AA251" s="30"/>
    </row>
    <row r="252" spans="1:27" ht="15.75" customHeight="1">
      <c r="A252" s="344"/>
      <c r="B252" s="344"/>
      <c r="C252" s="31">
        <v>6</v>
      </c>
      <c r="D252" s="344"/>
      <c r="E252" s="23" t="s">
        <v>1935</v>
      </c>
      <c r="F252" s="31" t="s">
        <v>361</v>
      </c>
      <c r="G252" s="31" t="s">
        <v>327</v>
      </c>
      <c r="H252" s="23" t="s">
        <v>1936</v>
      </c>
      <c r="I252" s="23" t="s">
        <v>1937</v>
      </c>
      <c r="J252" s="170"/>
      <c r="K252" s="25" t="s">
        <v>294</v>
      </c>
      <c r="L252" s="25"/>
      <c r="M252" s="43"/>
      <c r="N252" s="55"/>
      <c r="O252" s="28"/>
      <c r="P252" s="28"/>
      <c r="Q252" s="50" t="s">
        <v>140</v>
      </c>
      <c r="R252" s="25"/>
      <c r="S252" s="50"/>
      <c r="T252" s="30"/>
      <c r="U252" s="30"/>
      <c r="V252" s="30"/>
      <c r="W252" s="30"/>
      <c r="X252" s="30"/>
      <c r="Y252" s="30"/>
      <c r="Z252" s="30"/>
      <c r="AA252" s="30"/>
    </row>
    <row r="253" spans="1:27" ht="15.75" customHeight="1">
      <c r="A253" s="345"/>
      <c r="B253" s="345"/>
      <c r="C253" s="31">
        <v>7</v>
      </c>
      <c r="D253" s="345"/>
      <c r="E253" s="23" t="s">
        <v>1939</v>
      </c>
      <c r="F253" s="31" t="s">
        <v>361</v>
      </c>
      <c r="G253" s="31" t="s">
        <v>327</v>
      </c>
      <c r="H253" s="23" t="s">
        <v>1940</v>
      </c>
      <c r="I253" s="23" t="s">
        <v>1929</v>
      </c>
      <c r="J253" s="170"/>
      <c r="K253" s="25" t="s">
        <v>294</v>
      </c>
      <c r="L253" s="25"/>
      <c r="M253" s="43"/>
      <c r="N253" s="55"/>
      <c r="O253" s="28"/>
      <c r="P253" s="28"/>
      <c r="Q253" s="50" t="s">
        <v>140</v>
      </c>
      <c r="R253" s="25"/>
      <c r="S253" s="50"/>
      <c r="T253" s="30"/>
      <c r="U253" s="30"/>
      <c r="V253" s="30"/>
      <c r="W253" s="30"/>
      <c r="X253" s="30"/>
      <c r="Y253" s="30"/>
      <c r="Z253" s="30"/>
      <c r="AA253" s="30"/>
    </row>
    <row r="254" spans="1:27" ht="15.75" customHeight="1">
      <c r="A254" s="368" t="s">
        <v>1941</v>
      </c>
      <c r="B254" s="350" t="s">
        <v>1942</v>
      </c>
      <c r="C254" s="31">
        <v>1</v>
      </c>
      <c r="D254" s="368" t="s">
        <v>1943</v>
      </c>
      <c r="E254" s="23" t="s">
        <v>1944</v>
      </c>
      <c r="F254" s="31" t="s">
        <v>361</v>
      </c>
      <c r="G254" s="31" t="s">
        <v>327</v>
      </c>
      <c r="H254" s="23" t="s">
        <v>1945</v>
      </c>
      <c r="I254" s="23" t="s">
        <v>1946</v>
      </c>
      <c r="J254" s="170"/>
      <c r="K254" s="25" t="s">
        <v>294</v>
      </c>
      <c r="L254" s="25"/>
      <c r="M254" s="43"/>
      <c r="N254" s="55"/>
      <c r="O254" s="28"/>
      <c r="P254" s="28"/>
      <c r="Q254" s="50" t="s">
        <v>140</v>
      </c>
      <c r="R254" s="25"/>
      <c r="S254" s="50"/>
      <c r="T254" s="30"/>
      <c r="U254" s="30"/>
      <c r="V254" s="30"/>
      <c r="W254" s="30"/>
      <c r="X254" s="30"/>
      <c r="Y254" s="30"/>
      <c r="Z254" s="30"/>
      <c r="AA254" s="30"/>
    </row>
    <row r="255" spans="1:27" ht="15.75" customHeight="1">
      <c r="A255" s="344"/>
      <c r="B255" s="344"/>
      <c r="C255" s="31">
        <v>2</v>
      </c>
      <c r="D255" s="344"/>
      <c r="E255" s="23" t="s">
        <v>1947</v>
      </c>
      <c r="F255" s="31" t="s">
        <v>361</v>
      </c>
      <c r="G255" s="31" t="s">
        <v>327</v>
      </c>
      <c r="H255" s="23" t="s">
        <v>1948</v>
      </c>
      <c r="I255" s="23" t="s">
        <v>1949</v>
      </c>
      <c r="J255" s="170"/>
      <c r="K255" s="25" t="s">
        <v>294</v>
      </c>
      <c r="L255" s="25"/>
      <c r="M255" s="43"/>
      <c r="N255" s="55"/>
      <c r="O255" s="28"/>
      <c r="P255" s="28"/>
      <c r="Q255" s="50" t="s">
        <v>140</v>
      </c>
      <c r="R255" s="25"/>
      <c r="S255" s="50"/>
      <c r="T255" s="30"/>
      <c r="U255" s="30"/>
      <c r="V255" s="30"/>
      <c r="W255" s="30"/>
      <c r="X255" s="30"/>
      <c r="Y255" s="30"/>
      <c r="Z255" s="30"/>
      <c r="AA255" s="30"/>
    </row>
    <row r="256" spans="1:27" ht="15.75" customHeight="1">
      <c r="A256" s="344"/>
      <c r="B256" s="344"/>
      <c r="C256" s="31">
        <v>3</v>
      </c>
      <c r="D256" s="344"/>
      <c r="E256" s="23" t="s">
        <v>1950</v>
      </c>
      <c r="F256" s="31" t="s">
        <v>361</v>
      </c>
      <c r="G256" s="31" t="s">
        <v>327</v>
      </c>
      <c r="H256" s="23" t="s">
        <v>1951</v>
      </c>
      <c r="I256" s="23" t="s">
        <v>1952</v>
      </c>
      <c r="J256" s="170"/>
      <c r="K256" s="25" t="s">
        <v>294</v>
      </c>
      <c r="L256" s="25"/>
      <c r="M256" s="43"/>
      <c r="N256" s="55"/>
      <c r="O256" s="28"/>
      <c r="P256" s="28"/>
      <c r="Q256" s="50" t="s">
        <v>140</v>
      </c>
      <c r="R256" s="25"/>
      <c r="S256" s="50"/>
      <c r="T256" s="30"/>
      <c r="U256" s="30"/>
      <c r="V256" s="30"/>
      <c r="W256" s="30"/>
      <c r="X256" s="30"/>
      <c r="Y256" s="30"/>
      <c r="Z256" s="30"/>
      <c r="AA256" s="30"/>
    </row>
    <row r="257" spans="1:27" ht="15.75" customHeight="1">
      <c r="A257" s="344"/>
      <c r="B257" s="344"/>
      <c r="C257" s="31">
        <v>4</v>
      </c>
      <c r="D257" s="344"/>
      <c r="E257" s="356" t="s">
        <v>1953</v>
      </c>
      <c r="F257" s="360" t="s">
        <v>361</v>
      </c>
      <c r="G257" s="360" t="s">
        <v>327</v>
      </c>
      <c r="H257" s="356" t="s">
        <v>1954</v>
      </c>
      <c r="I257" s="23" t="s">
        <v>1955</v>
      </c>
      <c r="J257" s="170"/>
      <c r="K257" s="25" t="s">
        <v>294</v>
      </c>
      <c r="L257" s="25"/>
      <c r="M257" s="43"/>
      <c r="N257" s="55"/>
      <c r="O257" s="28"/>
      <c r="P257" s="28"/>
      <c r="Q257" s="50" t="s">
        <v>140</v>
      </c>
      <c r="R257" s="25"/>
      <c r="S257" s="50"/>
      <c r="T257" s="30"/>
      <c r="U257" s="30"/>
      <c r="V257" s="30"/>
      <c r="W257" s="30"/>
      <c r="X257" s="30"/>
      <c r="Y257" s="30"/>
      <c r="Z257" s="30"/>
      <c r="AA257" s="30"/>
    </row>
    <row r="258" spans="1:27" ht="15.75" customHeight="1">
      <c r="A258" s="345"/>
      <c r="B258" s="345"/>
      <c r="C258" s="31">
        <v>5</v>
      </c>
      <c r="D258" s="345"/>
      <c r="E258" s="345"/>
      <c r="F258" s="345"/>
      <c r="G258" s="345"/>
      <c r="H258" s="345"/>
      <c r="I258" s="23" t="s">
        <v>1956</v>
      </c>
      <c r="J258" s="170"/>
      <c r="K258" s="25"/>
      <c r="L258" s="25"/>
      <c r="M258" s="43"/>
      <c r="N258" s="55"/>
      <c r="O258" s="28"/>
      <c r="P258" s="28"/>
      <c r="Q258" s="50" t="s">
        <v>282</v>
      </c>
      <c r="R258" s="25"/>
      <c r="S258" s="50"/>
      <c r="T258" s="30"/>
      <c r="U258" s="30"/>
      <c r="V258" s="30"/>
      <c r="W258" s="30"/>
      <c r="X258" s="30"/>
      <c r="Y258" s="30"/>
      <c r="Z258" s="30"/>
      <c r="AA258" s="30"/>
    </row>
    <row r="259" spans="1:27" ht="15.75" customHeight="1">
      <c r="A259" s="368" t="s">
        <v>1957</v>
      </c>
      <c r="B259" s="350" t="s">
        <v>1958</v>
      </c>
      <c r="C259" s="31">
        <v>1</v>
      </c>
      <c r="D259" s="368" t="s">
        <v>1959</v>
      </c>
      <c r="E259" s="355" t="s">
        <v>1960</v>
      </c>
      <c r="F259" s="31" t="s">
        <v>361</v>
      </c>
      <c r="G259" s="31" t="s">
        <v>327</v>
      </c>
      <c r="H259" s="23" t="s">
        <v>1961</v>
      </c>
      <c r="I259" s="23" t="s">
        <v>1962</v>
      </c>
      <c r="J259" s="170"/>
      <c r="K259" s="25" t="s">
        <v>294</v>
      </c>
      <c r="L259" s="25"/>
      <c r="M259" s="43"/>
      <c r="N259" s="55"/>
      <c r="O259" s="28"/>
      <c r="P259" s="28"/>
      <c r="Q259" s="50" t="s">
        <v>140</v>
      </c>
      <c r="R259" s="25"/>
      <c r="S259" s="50"/>
      <c r="T259" s="30"/>
      <c r="U259" s="30"/>
      <c r="V259" s="30"/>
      <c r="W259" s="30"/>
      <c r="X259" s="30"/>
      <c r="Y259" s="30"/>
      <c r="Z259" s="30"/>
      <c r="AA259" s="30"/>
    </row>
    <row r="260" spans="1:27" ht="15.75" customHeight="1">
      <c r="A260" s="344"/>
      <c r="B260" s="344"/>
      <c r="C260" s="31">
        <v>2</v>
      </c>
      <c r="D260" s="344"/>
      <c r="E260" s="344"/>
      <c r="F260" s="31" t="s">
        <v>361</v>
      </c>
      <c r="G260" s="31" t="s">
        <v>327</v>
      </c>
      <c r="H260" s="23" t="s">
        <v>1963</v>
      </c>
      <c r="I260" s="23" t="s">
        <v>1964</v>
      </c>
      <c r="J260" s="170"/>
      <c r="K260" s="25" t="s">
        <v>294</v>
      </c>
      <c r="L260" s="25"/>
      <c r="M260" s="43"/>
      <c r="N260" s="55"/>
      <c r="O260" s="28"/>
      <c r="P260" s="28"/>
      <c r="Q260" s="50" t="s">
        <v>140</v>
      </c>
      <c r="R260" s="25"/>
      <c r="S260" s="50"/>
      <c r="T260" s="30"/>
      <c r="U260" s="30"/>
      <c r="V260" s="30"/>
      <c r="W260" s="30"/>
      <c r="X260" s="30"/>
      <c r="Y260" s="30"/>
      <c r="Z260" s="30"/>
      <c r="AA260" s="30"/>
    </row>
    <row r="261" spans="1:27" ht="15.75" customHeight="1">
      <c r="A261" s="344"/>
      <c r="B261" s="344"/>
      <c r="C261" s="31">
        <v>3</v>
      </c>
      <c r="D261" s="344"/>
      <c r="E261" s="344"/>
      <c r="F261" s="31" t="s">
        <v>361</v>
      </c>
      <c r="G261" s="31" t="s">
        <v>327</v>
      </c>
      <c r="H261" s="23" t="s">
        <v>1965</v>
      </c>
      <c r="I261" s="23" t="s">
        <v>1966</v>
      </c>
      <c r="J261" s="170"/>
      <c r="K261" s="25" t="s">
        <v>294</v>
      </c>
      <c r="L261" s="25"/>
      <c r="M261" s="43"/>
      <c r="N261" s="55"/>
      <c r="O261" s="28"/>
      <c r="P261" s="28"/>
      <c r="Q261" s="50" t="s">
        <v>140</v>
      </c>
      <c r="R261" s="25"/>
      <c r="S261" s="50"/>
      <c r="T261" s="30"/>
      <c r="U261" s="30"/>
      <c r="V261" s="30"/>
      <c r="W261" s="30"/>
      <c r="X261" s="30"/>
      <c r="Y261" s="30"/>
      <c r="Z261" s="30"/>
      <c r="AA261" s="30"/>
    </row>
    <row r="262" spans="1:27" ht="15.75" customHeight="1">
      <c r="A262" s="345"/>
      <c r="B262" s="345"/>
      <c r="C262" s="31">
        <v>4</v>
      </c>
      <c r="D262" s="345"/>
      <c r="E262" s="345"/>
      <c r="F262" s="31" t="s">
        <v>361</v>
      </c>
      <c r="G262" s="31" t="s">
        <v>327</v>
      </c>
      <c r="H262" s="23" t="s">
        <v>1967</v>
      </c>
      <c r="I262" s="23" t="s">
        <v>1968</v>
      </c>
      <c r="J262" s="170"/>
      <c r="K262" s="25" t="s">
        <v>294</v>
      </c>
      <c r="L262" s="25"/>
      <c r="M262" s="43"/>
      <c r="N262" s="55"/>
      <c r="O262" s="28"/>
      <c r="P262" s="28"/>
      <c r="Q262" s="50" t="s">
        <v>140</v>
      </c>
      <c r="R262" s="25"/>
      <c r="S262" s="50"/>
      <c r="T262" s="30"/>
      <c r="U262" s="30"/>
      <c r="V262" s="30"/>
      <c r="W262" s="30"/>
      <c r="X262" s="30"/>
      <c r="Y262" s="30"/>
      <c r="Z262" s="30"/>
      <c r="AA262" s="30"/>
    </row>
    <row r="263" spans="1:27" ht="15.75" customHeight="1">
      <c r="A263" s="368" t="s">
        <v>1969</v>
      </c>
      <c r="B263" s="350" t="s">
        <v>1970</v>
      </c>
      <c r="C263" s="31">
        <v>1</v>
      </c>
      <c r="D263" s="368" t="s">
        <v>1971</v>
      </c>
      <c r="E263" s="35" t="s">
        <v>1972</v>
      </c>
      <c r="F263" s="46" t="s">
        <v>361</v>
      </c>
      <c r="G263" s="46" t="s">
        <v>327</v>
      </c>
      <c r="H263" s="35" t="s">
        <v>1973</v>
      </c>
      <c r="I263" s="35" t="s">
        <v>1974</v>
      </c>
      <c r="J263" s="172"/>
      <c r="K263" s="25" t="s">
        <v>294</v>
      </c>
      <c r="L263" s="25"/>
      <c r="M263" s="43"/>
      <c r="N263" s="55"/>
      <c r="O263" s="28"/>
      <c r="P263" s="28"/>
      <c r="Q263" s="50" t="s">
        <v>140</v>
      </c>
      <c r="R263" s="25"/>
      <c r="S263" s="50"/>
      <c r="T263" s="30"/>
      <c r="U263" s="30"/>
      <c r="V263" s="30"/>
      <c r="W263" s="30"/>
      <c r="X263" s="30"/>
      <c r="Y263" s="30"/>
      <c r="Z263" s="30"/>
      <c r="AA263" s="30"/>
    </row>
    <row r="264" spans="1:27" ht="15.75" customHeight="1">
      <c r="A264" s="344"/>
      <c r="B264" s="344"/>
      <c r="C264" s="31">
        <v>2</v>
      </c>
      <c r="D264" s="344"/>
      <c r="E264" s="23" t="s">
        <v>1975</v>
      </c>
      <c r="F264" s="31" t="s">
        <v>361</v>
      </c>
      <c r="G264" s="31" t="s">
        <v>327</v>
      </c>
      <c r="H264" s="23" t="s">
        <v>1976</v>
      </c>
      <c r="I264" s="23" t="s">
        <v>1977</v>
      </c>
      <c r="J264" s="170"/>
      <c r="K264" s="25" t="s">
        <v>294</v>
      </c>
      <c r="L264" s="25"/>
      <c r="M264" s="43"/>
      <c r="N264" s="55"/>
      <c r="O264" s="28"/>
      <c r="P264" s="28"/>
      <c r="Q264" s="50" t="s">
        <v>140</v>
      </c>
      <c r="R264" s="25"/>
      <c r="S264" s="50"/>
      <c r="T264" s="30"/>
      <c r="U264" s="30"/>
      <c r="V264" s="30"/>
      <c r="W264" s="30"/>
      <c r="X264" s="30"/>
      <c r="Y264" s="30"/>
      <c r="Z264" s="30"/>
      <c r="AA264" s="30"/>
    </row>
    <row r="265" spans="1:27" ht="15.75" customHeight="1">
      <c r="A265" s="345"/>
      <c r="B265" s="345"/>
      <c r="C265" s="31">
        <v>3</v>
      </c>
      <c r="D265" s="345"/>
      <c r="E265" s="23" t="s">
        <v>1978</v>
      </c>
      <c r="F265" s="31" t="s">
        <v>361</v>
      </c>
      <c r="G265" s="31" t="s">
        <v>327</v>
      </c>
      <c r="H265" s="23" t="s">
        <v>1979</v>
      </c>
      <c r="I265" s="23" t="s">
        <v>1980</v>
      </c>
      <c r="J265" s="170"/>
      <c r="K265" s="25" t="s">
        <v>294</v>
      </c>
      <c r="L265" s="25"/>
      <c r="M265" s="43"/>
      <c r="N265" s="55"/>
      <c r="O265" s="28"/>
      <c r="P265" s="28"/>
      <c r="Q265" s="50" t="s">
        <v>140</v>
      </c>
      <c r="R265" s="25"/>
      <c r="S265" s="50"/>
      <c r="T265" s="30"/>
      <c r="U265" s="30"/>
      <c r="V265" s="30"/>
      <c r="W265" s="30"/>
      <c r="X265" s="30"/>
      <c r="Y265" s="30"/>
      <c r="Z265" s="30"/>
      <c r="AA265" s="30"/>
    </row>
    <row r="266" spans="1:27" ht="15.75" customHeight="1">
      <c r="A266" s="368" t="s">
        <v>1981</v>
      </c>
      <c r="B266" s="350" t="s">
        <v>1982</v>
      </c>
      <c r="C266" s="95">
        <v>1</v>
      </c>
      <c r="D266" s="368" t="s">
        <v>1983</v>
      </c>
      <c r="E266" s="23" t="s">
        <v>1984</v>
      </c>
      <c r="F266" s="31" t="s">
        <v>361</v>
      </c>
      <c r="G266" s="31" t="s">
        <v>327</v>
      </c>
      <c r="H266" s="23" t="s">
        <v>1985</v>
      </c>
      <c r="I266" s="23" t="s">
        <v>1986</v>
      </c>
      <c r="J266" s="170"/>
      <c r="K266" s="25" t="s">
        <v>294</v>
      </c>
      <c r="L266" s="25"/>
      <c r="M266" s="25"/>
      <c r="N266" s="46"/>
      <c r="O266" s="28"/>
      <c r="P266" s="28"/>
      <c r="Q266" s="50" t="s">
        <v>140</v>
      </c>
      <c r="R266" s="25"/>
      <c r="S266" s="50"/>
      <c r="T266" s="65"/>
      <c r="U266" s="65"/>
      <c r="V266" s="65"/>
      <c r="W266" s="65"/>
      <c r="X266" s="65"/>
      <c r="Y266" s="65"/>
      <c r="Z266" s="65"/>
      <c r="AA266" s="65"/>
    </row>
    <row r="267" spans="1:27" ht="15.75" customHeight="1">
      <c r="A267" s="344"/>
      <c r="B267" s="344"/>
      <c r="C267" s="95">
        <v>2</v>
      </c>
      <c r="D267" s="344"/>
      <c r="E267" s="23" t="s">
        <v>1987</v>
      </c>
      <c r="F267" s="31" t="s">
        <v>361</v>
      </c>
      <c r="G267" s="31" t="s">
        <v>327</v>
      </c>
      <c r="H267" s="23" t="s">
        <v>1988</v>
      </c>
      <c r="I267" s="23" t="s">
        <v>1989</v>
      </c>
      <c r="J267" s="170"/>
      <c r="K267" s="25" t="s">
        <v>294</v>
      </c>
      <c r="L267" s="25"/>
      <c r="M267" s="25"/>
      <c r="N267" s="46"/>
      <c r="O267" s="28"/>
      <c r="P267" s="28"/>
      <c r="Q267" s="50" t="s">
        <v>140</v>
      </c>
      <c r="R267" s="25"/>
      <c r="S267" s="50"/>
      <c r="T267" s="65"/>
      <c r="U267" s="65"/>
      <c r="V267" s="65"/>
      <c r="W267" s="65"/>
      <c r="X267" s="65"/>
      <c r="Y267" s="65"/>
      <c r="Z267" s="65"/>
      <c r="AA267" s="65"/>
    </row>
    <row r="268" spans="1:27" ht="15.75" customHeight="1">
      <c r="A268" s="345"/>
      <c r="B268" s="345"/>
      <c r="C268" s="95">
        <v>3</v>
      </c>
      <c r="D268" s="345"/>
      <c r="E268" s="23" t="s">
        <v>1990</v>
      </c>
      <c r="F268" s="31" t="s">
        <v>361</v>
      </c>
      <c r="G268" s="31" t="s">
        <v>327</v>
      </c>
      <c r="H268" s="23" t="s">
        <v>1991</v>
      </c>
      <c r="I268" s="23" t="s">
        <v>1986</v>
      </c>
      <c r="J268" s="170"/>
      <c r="K268" s="25" t="s">
        <v>294</v>
      </c>
      <c r="L268" s="25"/>
      <c r="M268" s="25"/>
      <c r="N268" s="46"/>
      <c r="O268" s="28"/>
      <c r="P268" s="28"/>
      <c r="Q268" s="50" t="s">
        <v>140</v>
      </c>
      <c r="R268" s="25"/>
      <c r="S268" s="50"/>
      <c r="T268" s="65"/>
      <c r="U268" s="65"/>
      <c r="V268" s="65"/>
      <c r="W268" s="65"/>
      <c r="X268" s="65"/>
      <c r="Y268" s="65"/>
      <c r="Z268" s="65"/>
      <c r="AA268" s="65"/>
    </row>
    <row r="269" spans="1:27" ht="15.75" customHeight="1">
      <c r="A269" s="15" t="s">
        <v>1992</v>
      </c>
      <c r="B269" s="16"/>
      <c r="C269" s="16"/>
      <c r="D269" s="17"/>
      <c r="E269" s="18"/>
      <c r="F269" s="19"/>
      <c r="G269" s="19"/>
      <c r="H269" s="17"/>
      <c r="I269" s="20"/>
      <c r="J269" s="20"/>
      <c r="K269" s="16"/>
      <c r="L269" s="16"/>
      <c r="M269" s="71"/>
      <c r="N269" s="3"/>
      <c r="O269" s="16"/>
      <c r="P269" s="16"/>
      <c r="Q269" s="16"/>
      <c r="R269" s="16"/>
      <c r="S269" s="16"/>
    </row>
    <row r="270" spans="1:27" ht="115.5" customHeight="1">
      <c r="A270" s="355" t="s">
        <v>1993</v>
      </c>
      <c r="B270" s="350" t="s">
        <v>41</v>
      </c>
      <c r="C270" s="31">
        <v>1</v>
      </c>
      <c r="D270" s="368" t="s">
        <v>1994</v>
      </c>
      <c r="E270" s="102" t="s">
        <v>1995</v>
      </c>
      <c r="F270" s="103" t="s">
        <v>361</v>
      </c>
      <c r="G270" s="103" t="s">
        <v>327</v>
      </c>
      <c r="H270" s="38" t="s">
        <v>1996</v>
      </c>
      <c r="I270" s="23" t="s">
        <v>1997</v>
      </c>
      <c r="J270" s="170"/>
      <c r="K270" s="25"/>
      <c r="L270" s="25"/>
      <c r="M270" s="377" t="s">
        <v>1998</v>
      </c>
      <c r="N270" s="55"/>
      <c r="O270" s="28" t="s">
        <v>140</v>
      </c>
      <c r="P270" s="28"/>
      <c r="Q270" s="50" t="s">
        <v>282</v>
      </c>
      <c r="R270" s="25"/>
      <c r="S270" s="50" t="s">
        <v>140</v>
      </c>
      <c r="T270" s="30"/>
      <c r="U270" s="30"/>
      <c r="V270" s="30"/>
      <c r="W270" s="30"/>
      <c r="X270" s="30"/>
      <c r="Y270" s="30"/>
      <c r="Z270" s="30"/>
      <c r="AA270" s="30"/>
    </row>
    <row r="271" spans="1:27" ht="15.75" customHeight="1">
      <c r="A271" s="344"/>
      <c r="B271" s="344"/>
      <c r="C271" s="31">
        <v>2</v>
      </c>
      <c r="D271" s="345"/>
      <c r="E271" s="23" t="s">
        <v>1999</v>
      </c>
      <c r="F271" s="41" t="s">
        <v>361</v>
      </c>
      <c r="G271" s="41" t="s">
        <v>327</v>
      </c>
      <c r="H271" s="23" t="s">
        <v>2000</v>
      </c>
      <c r="I271" s="23" t="s">
        <v>2001</v>
      </c>
      <c r="J271" s="170"/>
      <c r="K271" s="25"/>
      <c r="L271" s="25"/>
      <c r="M271" s="344"/>
      <c r="N271" s="55"/>
      <c r="O271" s="28" t="s">
        <v>140</v>
      </c>
      <c r="P271" s="28"/>
      <c r="Q271" s="50" t="s">
        <v>282</v>
      </c>
      <c r="R271" s="25"/>
      <c r="S271" s="50" t="s">
        <v>140</v>
      </c>
      <c r="T271" s="30"/>
      <c r="U271" s="30"/>
      <c r="V271" s="30"/>
      <c r="W271" s="30"/>
      <c r="X271" s="30"/>
      <c r="Y271" s="30"/>
      <c r="Z271" s="30"/>
      <c r="AA271" s="30"/>
    </row>
    <row r="272" spans="1:27" ht="15.75" customHeight="1">
      <c r="A272" s="344"/>
      <c r="B272" s="344"/>
      <c r="C272" s="31">
        <v>3</v>
      </c>
      <c r="D272" s="368" t="s">
        <v>2002</v>
      </c>
      <c r="E272" s="23" t="s">
        <v>2003</v>
      </c>
      <c r="F272" s="41" t="s">
        <v>361</v>
      </c>
      <c r="G272" s="41" t="s">
        <v>327</v>
      </c>
      <c r="H272" s="23" t="s">
        <v>1996</v>
      </c>
      <c r="I272" s="23" t="s">
        <v>2004</v>
      </c>
      <c r="J272" s="170"/>
      <c r="K272" s="25"/>
      <c r="L272" s="25"/>
      <c r="M272" s="344"/>
      <c r="N272" s="55"/>
      <c r="O272" s="28" t="s">
        <v>140</v>
      </c>
      <c r="P272" s="28"/>
      <c r="Q272" s="50" t="s">
        <v>282</v>
      </c>
      <c r="R272" s="25"/>
      <c r="S272" s="50" t="s">
        <v>140</v>
      </c>
      <c r="T272" s="30"/>
      <c r="U272" s="30"/>
      <c r="V272" s="30"/>
      <c r="W272" s="30"/>
      <c r="X272" s="30"/>
      <c r="Y272" s="30"/>
      <c r="Z272" s="30"/>
      <c r="AA272" s="30"/>
    </row>
    <row r="273" spans="1:27" ht="15.75" customHeight="1">
      <c r="A273" s="344"/>
      <c r="B273" s="344"/>
      <c r="C273" s="31">
        <v>4</v>
      </c>
      <c r="D273" s="344"/>
      <c r="E273" s="23" t="s">
        <v>2005</v>
      </c>
      <c r="F273" s="41" t="s">
        <v>361</v>
      </c>
      <c r="G273" s="41" t="s">
        <v>327</v>
      </c>
      <c r="H273" s="23" t="s">
        <v>2006</v>
      </c>
      <c r="I273" s="23" t="s">
        <v>2007</v>
      </c>
      <c r="J273" s="170"/>
      <c r="K273" s="25"/>
      <c r="L273" s="25"/>
      <c r="M273" s="344"/>
      <c r="N273" s="55"/>
      <c r="O273" s="28" t="s">
        <v>140</v>
      </c>
      <c r="P273" s="28"/>
      <c r="Q273" s="50" t="s">
        <v>282</v>
      </c>
      <c r="R273" s="25"/>
      <c r="S273" s="50" t="s">
        <v>140</v>
      </c>
      <c r="T273" s="30"/>
      <c r="U273" s="30"/>
      <c r="V273" s="30"/>
      <c r="W273" s="30"/>
      <c r="X273" s="30"/>
      <c r="Y273" s="30"/>
      <c r="Z273" s="30"/>
      <c r="AA273" s="30"/>
    </row>
    <row r="274" spans="1:27" ht="15.75" customHeight="1">
      <c r="A274" s="344"/>
      <c r="B274" s="344"/>
      <c r="C274" s="31">
        <v>5</v>
      </c>
      <c r="D274" s="368" t="s">
        <v>2008</v>
      </c>
      <c r="E274" s="23" t="s">
        <v>2009</v>
      </c>
      <c r="F274" s="41" t="s">
        <v>361</v>
      </c>
      <c r="G274" s="41" t="s">
        <v>327</v>
      </c>
      <c r="H274" s="23" t="s">
        <v>2010</v>
      </c>
      <c r="I274" s="23" t="s">
        <v>2007</v>
      </c>
      <c r="J274" s="170"/>
      <c r="K274" s="25"/>
      <c r="L274" s="25"/>
      <c r="M274" s="344"/>
      <c r="N274" s="55"/>
      <c r="O274" s="28" t="s">
        <v>140</v>
      </c>
      <c r="P274" s="28"/>
      <c r="Q274" s="50" t="s">
        <v>282</v>
      </c>
      <c r="R274" s="25"/>
      <c r="S274" s="50" t="s">
        <v>140</v>
      </c>
      <c r="T274" s="30"/>
      <c r="U274" s="30"/>
      <c r="V274" s="30"/>
      <c r="W274" s="30"/>
      <c r="X274" s="30"/>
      <c r="Y274" s="30"/>
      <c r="Z274" s="30"/>
      <c r="AA274" s="30"/>
    </row>
    <row r="275" spans="1:27" ht="15.75" customHeight="1">
      <c r="A275" s="344"/>
      <c r="B275" s="344"/>
      <c r="C275" s="31">
        <v>6</v>
      </c>
      <c r="D275" s="345"/>
      <c r="E275" s="23" t="s">
        <v>2011</v>
      </c>
      <c r="F275" s="41" t="s">
        <v>361</v>
      </c>
      <c r="G275" s="41" t="s">
        <v>327</v>
      </c>
      <c r="H275" s="23" t="s">
        <v>2012</v>
      </c>
      <c r="I275" s="23" t="s">
        <v>2013</v>
      </c>
      <c r="J275" s="170"/>
      <c r="K275" s="25"/>
      <c r="L275" s="25"/>
      <c r="M275" s="344"/>
      <c r="N275" s="55"/>
      <c r="O275" s="28" t="s">
        <v>140</v>
      </c>
      <c r="P275" s="28"/>
      <c r="Q275" s="50" t="s">
        <v>282</v>
      </c>
      <c r="R275" s="25"/>
      <c r="S275" s="50" t="s">
        <v>140</v>
      </c>
      <c r="T275" s="30"/>
      <c r="U275" s="30"/>
      <c r="V275" s="30"/>
      <c r="W275" s="30"/>
      <c r="X275" s="30"/>
      <c r="Y275" s="30"/>
      <c r="Z275" s="30"/>
      <c r="AA275" s="30"/>
    </row>
    <row r="276" spans="1:27" ht="15.75" customHeight="1">
      <c r="A276" s="352"/>
      <c r="B276" s="352"/>
      <c r="C276" s="86">
        <v>7</v>
      </c>
      <c r="D276" s="361" t="s">
        <v>2014</v>
      </c>
      <c r="E276" s="175" t="s">
        <v>2015</v>
      </c>
      <c r="F276" s="86" t="s">
        <v>361</v>
      </c>
      <c r="G276" s="86" t="s">
        <v>327</v>
      </c>
      <c r="H276" s="324" t="s">
        <v>1996</v>
      </c>
      <c r="I276" s="35" t="s">
        <v>2016</v>
      </c>
      <c r="J276" s="172"/>
      <c r="K276" s="25"/>
      <c r="L276" s="25"/>
      <c r="M276" s="344"/>
      <c r="N276" s="55"/>
      <c r="O276" s="28"/>
      <c r="P276" s="28"/>
      <c r="Q276" s="50" t="s">
        <v>282</v>
      </c>
      <c r="R276" s="25" t="s">
        <v>308</v>
      </c>
      <c r="S276" s="50" t="s">
        <v>140</v>
      </c>
      <c r="T276" s="30"/>
      <c r="U276" s="30"/>
      <c r="V276" s="30"/>
      <c r="W276" s="30"/>
      <c r="X276" s="30"/>
      <c r="Y276" s="30"/>
      <c r="Z276" s="30"/>
      <c r="AA276" s="30"/>
    </row>
    <row r="277" spans="1:27" ht="15.75" customHeight="1">
      <c r="A277" s="353"/>
      <c r="B277" s="353"/>
      <c r="C277" s="86">
        <v>8</v>
      </c>
      <c r="D277" s="353"/>
      <c r="E277" s="175" t="s">
        <v>2017</v>
      </c>
      <c r="F277" s="86" t="s">
        <v>361</v>
      </c>
      <c r="G277" s="86" t="s">
        <v>327</v>
      </c>
      <c r="H277" s="175" t="s">
        <v>2018</v>
      </c>
      <c r="I277" s="35" t="s">
        <v>2019</v>
      </c>
      <c r="J277" s="172"/>
      <c r="K277" s="25"/>
      <c r="L277" s="25"/>
      <c r="M277" s="345"/>
      <c r="N277" s="55"/>
      <c r="O277" s="28"/>
      <c r="P277" s="28"/>
      <c r="Q277" s="50" t="s">
        <v>282</v>
      </c>
      <c r="R277" s="25" t="s">
        <v>308</v>
      </c>
      <c r="S277" s="50" t="s">
        <v>140</v>
      </c>
      <c r="T277" s="30"/>
      <c r="U277" s="30"/>
      <c r="V277" s="30"/>
      <c r="W277" s="30"/>
      <c r="X277" s="30"/>
      <c r="Y277" s="30"/>
      <c r="Z277" s="30"/>
      <c r="AA277" s="30"/>
    </row>
    <row r="278" spans="1:27" ht="15.75" customHeight="1">
      <c r="A278" s="368" t="s">
        <v>2020</v>
      </c>
      <c r="B278" s="350" t="s">
        <v>237</v>
      </c>
      <c r="C278" s="31">
        <v>1</v>
      </c>
      <c r="D278" s="372" t="s">
        <v>2020</v>
      </c>
      <c r="E278" s="364" t="s">
        <v>2021</v>
      </c>
      <c r="F278" s="74" t="s">
        <v>361</v>
      </c>
      <c r="G278" s="74" t="s">
        <v>327</v>
      </c>
      <c r="H278" s="35" t="s">
        <v>2022</v>
      </c>
      <c r="I278" s="63" t="s">
        <v>2023</v>
      </c>
      <c r="J278" s="171"/>
      <c r="K278" s="25"/>
      <c r="L278" s="25"/>
      <c r="M278" s="43"/>
      <c r="N278" s="55"/>
      <c r="O278" s="28"/>
      <c r="P278" s="28"/>
      <c r="Q278" s="50" t="s">
        <v>282</v>
      </c>
      <c r="R278" s="25"/>
      <c r="S278" s="50"/>
      <c r="T278" s="30"/>
      <c r="U278" s="30"/>
      <c r="V278" s="30"/>
      <c r="W278" s="30"/>
      <c r="X278" s="30"/>
      <c r="Y278" s="30"/>
      <c r="Z278" s="30"/>
      <c r="AA278" s="30"/>
    </row>
    <row r="279" spans="1:27" ht="15.75" customHeight="1">
      <c r="A279" s="344"/>
      <c r="B279" s="344"/>
      <c r="C279" s="31">
        <v>2</v>
      </c>
      <c r="D279" s="344"/>
      <c r="E279" s="344"/>
      <c r="F279" s="74" t="s">
        <v>361</v>
      </c>
      <c r="G279" s="74" t="s">
        <v>327</v>
      </c>
      <c r="H279" s="35" t="s">
        <v>2024</v>
      </c>
      <c r="I279" s="63" t="s">
        <v>2025</v>
      </c>
      <c r="J279" s="171"/>
      <c r="K279" s="25"/>
      <c r="L279" s="25"/>
      <c r="M279" s="43"/>
      <c r="N279" s="55"/>
      <c r="O279" s="28"/>
      <c r="P279" s="28"/>
      <c r="Q279" s="50" t="s">
        <v>282</v>
      </c>
      <c r="R279" s="25"/>
      <c r="S279" s="50"/>
      <c r="T279" s="30"/>
      <c r="U279" s="30"/>
      <c r="V279" s="30"/>
      <c r="W279" s="30"/>
      <c r="X279" s="30"/>
      <c r="Y279" s="30"/>
      <c r="Z279" s="30"/>
      <c r="AA279" s="30"/>
    </row>
    <row r="280" spans="1:27" ht="15.75" customHeight="1">
      <c r="A280" s="344"/>
      <c r="B280" s="344"/>
      <c r="C280" s="31">
        <v>3</v>
      </c>
      <c r="D280" s="344"/>
      <c r="E280" s="344"/>
      <c r="F280" s="74" t="s">
        <v>361</v>
      </c>
      <c r="G280" s="74" t="s">
        <v>327</v>
      </c>
      <c r="H280" s="35" t="s">
        <v>2026</v>
      </c>
      <c r="I280" s="63" t="s">
        <v>2023</v>
      </c>
      <c r="J280" s="171"/>
      <c r="K280" s="25"/>
      <c r="L280" s="25"/>
      <c r="M280" s="43"/>
      <c r="N280" s="55"/>
      <c r="O280" s="28"/>
      <c r="P280" s="28"/>
      <c r="Q280" s="50" t="s">
        <v>282</v>
      </c>
      <c r="R280" s="25"/>
      <c r="S280" s="50"/>
      <c r="T280" s="30"/>
      <c r="U280" s="30"/>
      <c r="V280" s="30"/>
      <c r="W280" s="30"/>
      <c r="X280" s="30"/>
      <c r="Y280" s="30"/>
      <c r="Z280" s="30"/>
      <c r="AA280" s="30"/>
    </row>
    <row r="281" spans="1:27" ht="15.75" customHeight="1">
      <c r="A281" s="345"/>
      <c r="B281" s="345"/>
      <c r="C281" s="31">
        <v>4</v>
      </c>
      <c r="D281" s="345"/>
      <c r="E281" s="345"/>
      <c r="F281" s="74" t="s">
        <v>361</v>
      </c>
      <c r="G281" s="74" t="s">
        <v>327</v>
      </c>
      <c r="H281" s="35" t="s">
        <v>2027</v>
      </c>
      <c r="I281" s="63" t="s">
        <v>2028</v>
      </c>
      <c r="J281" s="171"/>
      <c r="K281" s="25"/>
      <c r="L281" s="25"/>
      <c r="M281" s="43"/>
      <c r="N281" s="55"/>
      <c r="O281" s="28"/>
      <c r="P281" s="28"/>
      <c r="Q281" s="50" t="s">
        <v>282</v>
      </c>
      <c r="R281" s="25"/>
      <c r="S281" s="50"/>
      <c r="T281" s="30"/>
      <c r="U281" s="30"/>
      <c r="V281" s="30"/>
      <c r="W281" s="30"/>
      <c r="X281" s="30"/>
      <c r="Y281" s="30"/>
      <c r="Z281" s="30"/>
      <c r="AA281" s="30"/>
    </row>
    <row r="282" spans="1:27" ht="15.75" customHeight="1">
      <c r="A282" s="355" t="s">
        <v>2029</v>
      </c>
      <c r="B282" s="350" t="s">
        <v>155</v>
      </c>
      <c r="C282" s="41">
        <v>1</v>
      </c>
      <c r="D282" s="372" t="s">
        <v>2030</v>
      </c>
      <c r="E282" s="73" t="s">
        <v>2031</v>
      </c>
      <c r="F282" s="46" t="s">
        <v>326</v>
      </c>
      <c r="G282" s="46" t="s">
        <v>327</v>
      </c>
      <c r="H282" s="35" t="s">
        <v>2032</v>
      </c>
      <c r="I282" s="63" t="s">
        <v>2033</v>
      </c>
      <c r="J282" s="171"/>
      <c r="K282" s="25"/>
      <c r="L282" s="57"/>
      <c r="M282" s="26"/>
      <c r="N282" s="100"/>
      <c r="O282" s="28" t="s">
        <v>140</v>
      </c>
      <c r="P282" s="28"/>
      <c r="Q282" s="50" t="s">
        <v>282</v>
      </c>
      <c r="R282" s="25"/>
      <c r="S282" s="50"/>
      <c r="T282" s="30"/>
      <c r="U282" s="30"/>
      <c r="V282" s="30"/>
      <c r="W282" s="30"/>
      <c r="X282" s="30"/>
      <c r="Y282" s="30"/>
      <c r="Z282" s="30"/>
      <c r="AA282" s="30"/>
    </row>
    <row r="283" spans="1:27" ht="15.75" customHeight="1">
      <c r="A283" s="344"/>
      <c r="B283" s="345"/>
      <c r="C283" s="41">
        <v>2</v>
      </c>
      <c r="D283" s="345"/>
      <c r="E283" s="73" t="s">
        <v>2034</v>
      </c>
      <c r="F283" s="46" t="s">
        <v>326</v>
      </c>
      <c r="G283" s="46" t="s">
        <v>327</v>
      </c>
      <c r="H283" s="35" t="s">
        <v>2035</v>
      </c>
      <c r="I283" s="63" t="s">
        <v>2036</v>
      </c>
      <c r="J283" s="171"/>
      <c r="K283" s="25"/>
      <c r="L283" s="57"/>
      <c r="M283" s="26"/>
      <c r="N283" s="100"/>
      <c r="O283" s="28" t="s">
        <v>140</v>
      </c>
      <c r="P283" s="28"/>
      <c r="Q283" s="50" t="s">
        <v>282</v>
      </c>
      <c r="R283" s="25"/>
      <c r="S283" s="50"/>
      <c r="T283" s="30"/>
      <c r="U283" s="30"/>
      <c r="V283" s="30"/>
      <c r="W283" s="30"/>
      <c r="X283" s="30"/>
      <c r="Y283" s="30"/>
      <c r="Z283" s="30"/>
      <c r="AA283" s="30"/>
    </row>
    <row r="284" spans="1:27" ht="15.75" customHeight="1">
      <c r="A284" s="368" t="s">
        <v>2037</v>
      </c>
      <c r="B284" s="350" t="s">
        <v>2038</v>
      </c>
      <c r="C284" s="31">
        <v>1</v>
      </c>
      <c r="D284" s="368" t="s">
        <v>2039</v>
      </c>
      <c r="E284" s="23" t="s">
        <v>2040</v>
      </c>
      <c r="F284" s="41" t="s">
        <v>361</v>
      </c>
      <c r="G284" s="41" t="s">
        <v>327</v>
      </c>
      <c r="H284" s="23" t="s">
        <v>2041</v>
      </c>
      <c r="I284" s="23" t="s">
        <v>2042</v>
      </c>
      <c r="J284" s="170"/>
      <c r="K284" s="25"/>
      <c r="L284" s="25"/>
      <c r="M284" s="43"/>
      <c r="N284" s="55"/>
      <c r="O284" s="28"/>
      <c r="P284" s="28"/>
      <c r="Q284" s="50" t="s">
        <v>282</v>
      </c>
      <c r="R284" s="25"/>
      <c r="S284" s="50"/>
      <c r="T284" s="30"/>
      <c r="U284" s="30"/>
      <c r="V284" s="30"/>
      <c r="W284" s="30"/>
      <c r="X284" s="30"/>
      <c r="Y284" s="30"/>
      <c r="Z284" s="30"/>
      <c r="AA284" s="30"/>
    </row>
    <row r="285" spans="1:27" ht="15.75" customHeight="1">
      <c r="A285" s="344"/>
      <c r="B285" s="344"/>
      <c r="C285" s="31">
        <v>2</v>
      </c>
      <c r="D285" s="344"/>
      <c r="E285" s="23" t="s">
        <v>1702</v>
      </c>
      <c r="F285" s="41" t="s">
        <v>361</v>
      </c>
      <c r="G285" s="41" t="s">
        <v>327</v>
      </c>
      <c r="H285" s="23" t="s">
        <v>2043</v>
      </c>
      <c r="I285" s="23" t="s">
        <v>2044</v>
      </c>
      <c r="J285" s="170"/>
      <c r="K285" s="25" t="s">
        <v>294</v>
      </c>
      <c r="L285" s="25"/>
      <c r="M285" s="43"/>
      <c r="N285" s="55"/>
      <c r="O285" s="28"/>
      <c r="P285" s="28"/>
      <c r="Q285" s="50" t="s">
        <v>140</v>
      </c>
      <c r="R285" s="25"/>
      <c r="S285" s="50"/>
      <c r="T285" s="30"/>
      <c r="U285" s="30"/>
      <c r="V285" s="30"/>
      <c r="W285" s="30"/>
      <c r="X285" s="30"/>
      <c r="Y285" s="30"/>
      <c r="Z285" s="30"/>
      <c r="AA285" s="30"/>
    </row>
    <row r="286" spans="1:27" ht="15.75" customHeight="1">
      <c r="A286" s="344"/>
      <c r="B286" s="344"/>
      <c r="C286" s="31">
        <v>3</v>
      </c>
      <c r="D286" s="344"/>
      <c r="E286" s="23" t="s">
        <v>2045</v>
      </c>
      <c r="F286" s="41" t="s">
        <v>361</v>
      </c>
      <c r="G286" s="41" t="s">
        <v>327</v>
      </c>
      <c r="H286" s="23" t="s">
        <v>2046</v>
      </c>
      <c r="I286" s="23" t="s">
        <v>2047</v>
      </c>
      <c r="J286" s="170"/>
      <c r="K286" s="25"/>
      <c r="L286" s="25"/>
      <c r="M286" s="43"/>
      <c r="N286" s="55"/>
      <c r="O286" s="28"/>
      <c r="P286" s="28"/>
      <c r="Q286" s="50" t="s">
        <v>282</v>
      </c>
      <c r="R286" s="25"/>
      <c r="S286" s="50"/>
      <c r="T286" s="30"/>
      <c r="U286" s="30"/>
      <c r="V286" s="30"/>
      <c r="W286" s="30"/>
      <c r="X286" s="30"/>
      <c r="Y286" s="30"/>
      <c r="Z286" s="30"/>
      <c r="AA286" s="30"/>
    </row>
    <row r="287" spans="1:27" ht="15.75" customHeight="1">
      <c r="A287" s="344"/>
      <c r="B287" s="344"/>
      <c r="C287" s="31">
        <v>4</v>
      </c>
      <c r="D287" s="344"/>
      <c r="E287" s="23" t="s">
        <v>2048</v>
      </c>
      <c r="F287" s="41" t="s">
        <v>361</v>
      </c>
      <c r="G287" s="41" t="s">
        <v>327</v>
      </c>
      <c r="H287" s="23" t="s">
        <v>2049</v>
      </c>
      <c r="I287" s="23" t="s">
        <v>2050</v>
      </c>
      <c r="J287" s="170"/>
      <c r="K287" s="25"/>
      <c r="L287" s="25"/>
      <c r="M287" s="43"/>
      <c r="N287" s="55"/>
      <c r="O287" s="28"/>
      <c r="P287" s="28"/>
      <c r="Q287" s="50" t="s">
        <v>282</v>
      </c>
      <c r="R287" s="25"/>
      <c r="S287" s="50"/>
      <c r="T287" s="30"/>
      <c r="U287" s="30"/>
      <c r="V287" s="30"/>
      <c r="W287" s="30"/>
      <c r="X287" s="30"/>
      <c r="Y287" s="30"/>
      <c r="Z287" s="30"/>
      <c r="AA287" s="30"/>
    </row>
    <row r="288" spans="1:27" ht="15.75" customHeight="1">
      <c r="A288" s="344"/>
      <c r="B288" s="344"/>
      <c r="C288" s="31">
        <v>5</v>
      </c>
      <c r="D288" s="344"/>
      <c r="E288" s="23" t="s">
        <v>2051</v>
      </c>
      <c r="F288" s="41" t="s">
        <v>361</v>
      </c>
      <c r="G288" s="41" t="s">
        <v>327</v>
      </c>
      <c r="H288" s="23" t="s">
        <v>2052</v>
      </c>
      <c r="I288" s="23" t="s">
        <v>2050</v>
      </c>
      <c r="J288" s="170"/>
      <c r="K288" s="25"/>
      <c r="L288" s="25"/>
      <c r="M288" s="43"/>
      <c r="N288" s="55"/>
      <c r="O288" s="28"/>
      <c r="P288" s="28"/>
      <c r="Q288" s="50" t="s">
        <v>282</v>
      </c>
      <c r="R288" s="25"/>
      <c r="S288" s="50"/>
      <c r="T288" s="30"/>
      <c r="U288" s="30"/>
      <c r="V288" s="30"/>
      <c r="W288" s="30"/>
      <c r="X288" s="30"/>
      <c r="Y288" s="30"/>
      <c r="Z288" s="30"/>
      <c r="AA288" s="30"/>
    </row>
    <row r="289" spans="1:27" ht="15.75" customHeight="1">
      <c r="A289" s="344"/>
      <c r="B289" s="344"/>
      <c r="C289" s="31">
        <v>6</v>
      </c>
      <c r="D289" s="344"/>
      <c r="E289" s="23" t="s">
        <v>2053</v>
      </c>
      <c r="F289" s="41" t="s">
        <v>361</v>
      </c>
      <c r="G289" s="41" t="s">
        <v>327</v>
      </c>
      <c r="H289" s="23" t="s">
        <v>2054</v>
      </c>
      <c r="I289" s="23" t="s">
        <v>2050</v>
      </c>
      <c r="J289" s="170"/>
      <c r="K289" s="25"/>
      <c r="L289" s="25"/>
      <c r="M289" s="43"/>
      <c r="N289" s="55"/>
      <c r="O289" s="28"/>
      <c r="P289" s="28"/>
      <c r="Q289" s="50" t="s">
        <v>282</v>
      </c>
      <c r="R289" s="25"/>
      <c r="S289" s="50"/>
      <c r="T289" s="30"/>
      <c r="U289" s="30"/>
      <c r="V289" s="30"/>
      <c r="W289" s="30"/>
      <c r="X289" s="30"/>
      <c r="Y289" s="30"/>
      <c r="Z289" s="30"/>
      <c r="AA289" s="30"/>
    </row>
    <row r="290" spans="1:27" ht="15.75" customHeight="1">
      <c r="A290" s="344"/>
      <c r="B290" s="344"/>
      <c r="C290" s="31">
        <v>7</v>
      </c>
      <c r="D290" s="344"/>
      <c r="E290" s="23" t="s">
        <v>2055</v>
      </c>
      <c r="F290" s="41" t="s">
        <v>361</v>
      </c>
      <c r="G290" s="41" t="s">
        <v>524</v>
      </c>
      <c r="H290" s="23" t="s">
        <v>2056</v>
      </c>
      <c r="I290" s="23" t="s">
        <v>2057</v>
      </c>
      <c r="J290" s="170"/>
      <c r="K290" s="25" t="s">
        <v>294</v>
      </c>
      <c r="L290" s="25"/>
      <c r="M290" s="43"/>
      <c r="N290" s="55"/>
      <c r="O290" s="28"/>
      <c r="P290" s="28"/>
      <c r="Q290" s="50" t="s">
        <v>140</v>
      </c>
      <c r="R290" s="25"/>
      <c r="S290" s="50"/>
      <c r="T290" s="30"/>
      <c r="U290" s="30"/>
      <c r="V290" s="30"/>
      <c r="W290" s="30"/>
      <c r="X290" s="30"/>
      <c r="Y290" s="30"/>
      <c r="Z290" s="30"/>
      <c r="AA290" s="30"/>
    </row>
    <row r="291" spans="1:27" ht="15.75" customHeight="1">
      <c r="A291" s="345"/>
      <c r="B291" s="345"/>
      <c r="C291" s="31">
        <v>8</v>
      </c>
      <c r="D291" s="345"/>
      <c r="E291" s="23" t="s">
        <v>2058</v>
      </c>
      <c r="F291" s="41" t="s">
        <v>361</v>
      </c>
      <c r="G291" s="41" t="s">
        <v>327</v>
      </c>
      <c r="H291" s="23" t="s">
        <v>2059</v>
      </c>
      <c r="I291" s="23" t="s">
        <v>2060</v>
      </c>
      <c r="J291" s="170"/>
      <c r="K291" s="25"/>
      <c r="L291" s="25"/>
      <c r="M291" s="43"/>
      <c r="N291" s="55"/>
      <c r="O291" s="28"/>
      <c r="P291" s="28"/>
      <c r="Q291" s="50" t="s">
        <v>282</v>
      </c>
      <c r="R291" s="25"/>
      <c r="S291" s="50"/>
      <c r="T291" s="30"/>
      <c r="U291" s="30"/>
      <c r="V291" s="30"/>
      <c r="W291" s="30"/>
      <c r="X291" s="30"/>
      <c r="Y291" s="30"/>
      <c r="Z291" s="30"/>
      <c r="AA291" s="30"/>
    </row>
    <row r="292" spans="1:27" ht="15.75" customHeight="1">
      <c r="A292" s="355"/>
      <c r="B292" s="350" t="s">
        <v>287</v>
      </c>
      <c r="C292" s="31">
        <v>1</v>
      </c>
      <c r="D292" s="379" t="s">
        <v>2061</v>
      </c>
      <c r="E292" s="105" t="s">
        <v>2062</v>
      </c>
      <c r="F292" s="72" t="s">
        <v>361</v>
      </c>
      <c r="G292" s="72" t="s">
        <v>327</v>
      </c>
      <c r="H292" s="56" t="s">
        <v>2063</v>
      </c>
      <c r="I292" s="35" t="s">
        <v>2064</v>
      </c>
      <c r="J292" s="172"/>
      <c r="K292" s="25"/>
      <c r="L292" s="25"/>
      <c r="M292" s="26"/>
      <c r="N292" s="55"/>
      <c r="O292" s="28"/>
      <c r="P292" s="28"/>
      <c r="Q292" s="50" t="s">
        <v>282</v>
      </c>
      <c r="R292" s="25"/>
      <c r="S292" s="50"/>
      <c r="T292" s="30"/>
      <c r="U292" s="30"/>
      <c r="V292" s="30"/>
      <c r="W292" s="30"/>
      <c r="X292" s="30"/>
      <c r="Y292" s="30"/>
      <c r="Z292" s="30"/>
      <c r="AA292" s="30"/>
    </row>
    <row r="293" spans="1:27" ht="15.75" customHeight="1">
      <c r="A293" s="344"/>
      <c r="B293" s="344"/>
      <c r="C293" s="31">
        <v>2</v>
      </c>
      <c r="D293" s="344"/>
      <c r="E293" s="105" t="s">
        <v>2065</v>
      </c>
      <c r="F293" s="72" t="s">
        <v>361</v>
      </c>
      <c r="G293" s="72" t="s">
        <v>327</v>
      </c>
      <c r="H293" s="56" t="s">
        <v>2066</v>
      </c>
      <c r="I293" s="35" t="s">
        <v>2064</v>
      </c>
      <c r="J293" s="172"/>
      <c r="K293" s="25"/>
      <c r="L293" s="25"/>
      <c r="M293" s="26"/>
      <c r="N293" s="55"/>
      <c r="O293" s="28"/>
      <c r="P293" s="28"/>
      <c r="Q293" s="50" t="s">
        <v>282</v>
      </c>
      <c r="R293" s="25"/>
      <c r="S293" s="50"/>
      <c r="T293" s="30"/>
      <c r="U293" s="30"/>
      <c r="V293" s="30"/>
      <c r="W293" s="30"/>
      <c r="X293" s="30"/>
      <c r="Y293" s="30"/>
      <c r="Z293" s="30"/>
      <c r="AA293" s="30"/>
    </row>
    <row r="294" spans="1:27" ht="15.75" customHeight="1">
      <c r="A294" s="344"/>
      <c r="B294" s="344"/>
      <c r="C294" s="31">
        <v>3</v>
      </c>
      <c r="D294" s="344"/>
      <c r="E294" s="106" t="s">
        <v>2067</v>
      </c>
      <c r="F294" s="107" t="s">
        <v>361</v>
      </c>
      <c r="G294" s="107" t="s">
        <v>327</v>
      </c>
      <c r="H294" s="108" t="s">
        <v>2068</v>
      </c>
      <c r="I294" s="91" t="s">
        <v>2069</v>
      </c>
      <c r="J294" s="91"/>
      <c r="K294" s="25"/>
      <c r="L294" s="25"/>
      <c r="M294" s="26"/>
      <c r="N294" s="55"/>
      <c r="O294" s="28"/>
      <c r="P294" s="28"/>
      <c r="Q294" s="50" t="s">
        <v>282</v>
      </c>
      <c r="R294" s="25"/>
      <c r="S294" s="50"/>
      <c r="T294" s="30"/>
      <c r="U294" s="30"/>
      <c r="V294" s="30"/>
      <c r="W294" s="30"/>
      <c r="X294" s="30"/>
      <c r="Y294" s="30"/>
      <c r="Z294" s="30"/>
      <c r="AA294" s="30"/>
    </row>
    <row r="295" spans="1:27" ht="15.75" customHeight="1">
      <c r="A295" s="344"/>
      <c r="B295" s="344"/>
      <c r="C295" s="31">
        <v>4</v>
      </c>
      <c r="D295" s="344"/>
      <c r="E295" s="105" t="s">
        <v>2070</v>
      </c>
      <c r="F295" s="72" t="s">
        <v>361</v>
      </c>
      <c r="G295" s="72" t="s">
        <v>1524</v>
      </c>
      <c r="H295" s="56" t="s">
        <v>2071</v>
      </c>
      <c r="I295" s="35" t="s">
        <v>2064</v>
      </c>
      <c r="J295" s="172"/>
      <c r="K295" s="25"/>
      <c r="L295" s="25"/>
      <c r="M295" s="43"/>
      <c r="N295" s="55"/>
      <c r="O295" s="28"/>
      <c r="P295" s="28"/>
      <c r="Q295" s="50" t="s">
        <v>282</v>
      </c>
      <c r="R295" s="25"/>
      <c r="S295" s="50"/>
      <c r="T295" s="65"/>
      <c r="U295" s="65"/>
      <c r="V295" s="65"/>
      <c r="W295" s="65"/>
      <c r="X295" s="65"/>
      <c r="Y295" s="65"/>
      <c r="Z295" s="65"/>
      <c r="AA295" s="65"/>
    </row>
    <row r="296" spans="1:27" ht="15.75" customHeight="1">
      <c r="A296" s="344"/>
      <c r="B296" s="344"/>
      <c r="C296" s="31">
        <v>5</v>
      </c>
      <c r="D296" s="344"/>
      <c r="E296" s="35" t="s">
        <v>2072</v>
      </c>
      <c r="F296" s="46" t="s">
        <v>361</v>
      </c>
      <c r="G296" s="46" t="s">
        <v>327</v>
      </c>
      <c r="H296" s="35" t="s">
        <v>2073</v>
      </c>
      <c r="I296" s="35" t="s">
        <v>2074</v>
      </c>
      <c r="J296" s="172"/>
      <c r="K296" s="25"/>
      <c r="L296" s="25"/>
      <c r="M296" s="43"/>
      <c r="N296" s="55"/>
      <c r="O296" s="28"/>
      <c r="P296" s="28"/>
      <c r="Q296" s="50" t="s">
        <v>282</v>
      </c>
      <c r="R296" s="25"/>
      <c r="S296" s="50"/>
      <c r="T296" s="65"/>
      <c r="U296" s="65"/>
      <c r="V296" s="65"/>
      <c r="W296" s="65"/>
      <c r="X296" s="65"/>
      <c r="Y296" s="65"/>
      <c r="Z296" s="65"/>
      <c r="AA296" s="65"/>
    </row>
    <row r="297" spans="1:27" ht="15.75" customHeight="1">
      <c r="A297" s="344"/>
      <c r="B297" s="344"/>
      <c r="C297" s="31">
        <v>6</v>
      </c>
      <c r="D297" s="344"/>
      <c r="E297" s="23" t="s">
        <v>2075</v>
      </c>
      <c r="F297" s="31" t="s">
        <v>361</v>
      </c>
      <c r="G297" s="31" t="s">
        <v>327</v>
      </c>
      <c r="H297" s="23" t="s">
        <v>2076</v>
      </c>
      <c r="I297" s="23" t="s">
        <v>2077</v>
      </c>
      <c r="J297" s="170"/>
      <c r="K297" s="25" t="s">
        <v>294</v>
      </c>
      <c r="L297" s="25"/>
      <c r="M297" s="43"/>
      <c r="N297" s="55"/>
      <c r="O297" s="28"/>
      <c r="P297" s="28"/>
      <c r="Q297" s="50" t="s">
        <v>140</v>
      </c>
      <c r="R297" s="25"/>
      <c r="S297" s="50"/>
      <c r="T297" s="65"/>
      <c r="U297" s="65"/>
      <c r="V297" s="65"/>
      <c r="W297" s="65"/>
      <c r="X297" s="65"/>
      <c r="Y297" s="65"/>
      <c r="Z297" s="65"/>
      <c r="AA297" s="65"/>
    </row>
    <row r="298" spans="1:27" ht="15.75" customHeight="1">
      <c r="A298" s="344"/>
      <c r="B298" s="344"/>
      <c r="C298" s="31">
        <v>7</v>
      </c>
      <c r="D298" s="344"/>
      <c r="E298" s="23" t="s">
        <v>2078</v>
      </c>
      <c r="F298" s="31" t="s">
        <v>361</v>
      </c>
      <c r="G298" s="31" t="s">
        <v>1524</v>
      </c>
      <c r="H298" s="23" t="s">
        <v>2079</v>
      </c>
      <c r="I298" s="23" t="s">
        <v>2080</v>
      </c>
      <c r="J298" s="170"/>
      <c r="K298" s="25"/>
      <c r="L298" s="25"/>
      <c r="M298" s="43"/>
      <c r="N298" s="55"/>
      <c r="O298" s="28"/>
      <c r="P298" s="28"/>
      <c r="Q298" s="50" t="s">
        <v>282</v>
      </c>
      <c r="R298" s="25"/>
      <c r="S298" s="50"/>
      <c r="T298" s="65"/>
      <c r="U298" s="65"/>
      <c r="V298" s="65"/>
      <c r="W298" s="65"/>
      <c r="X298" s="65"/>
      <c r="Y298" s="65"/>
      <c r="Z298" s="65"/>
      <c r="AA298" s="65"/>
    </row>
    <row r="299" spans="1:27" ht="15.75" customHeight="1">
      <c r="A299" s="344"/>
      <c r="B299" s="344"/>
      <c r="C299" s="31">
        <v>8</v>
      </c>
      <c r="D299" s="344"/>
      <c r="E299" s="23" t="s">
        <v>2081</v>
      </c>
      <c r="F299" s="31" t="s">
        <v>361</v>
      </c>
      <c r="G299" s="31" t="s">
        <v>327</v>
      </c>
      <c r="H299" s="23" t="s">
        <v>2082</v>
      </c>
      <c r="I299" s="23" t="s">
        <v>2083</v>
      </c>
      <c r="J299" s="170"/>
      <c r="K299" s="25"/>
      <c r="L299" s="25"/>
      <c r="M299" s="43"/>
      <c r="N299" s="55"/>
      <c r="O299" s="28"/>
      <c r="P299" s="28"/>
      <c r="Q299" s="50" t="s">
        <v>282</v>
      </c>
      <c r="R299" s="25"/>
      <c r="S299" s="50"/>
      <c r="T299" s="65"/>
      <c r="U299" s="65"/>
      <c r="V299" s="65"/>
      <c r="W299" s="65"/>
      <c r="X299" s="65"/>
      <c r="Y299" s="65"/>
      <c r="Z299" s="65"/>
      <c r="AA299" s="65"/>
    </row>
    <row r="300" spans="1:27" ht="15.75" customHeight="1">
      <c r="A300" s="345"/>
      <c r="B300" s="345"/>
      <c r="C300" s="31">
        <v>9</v>
      </c>
      <c r="D300" s="345"/>
      <c r="E300" s="23" t="s">
        <v>2084</v>
      </c>
      <c r="F300" s="31" t="s">
        <v>361</v>
      </c>
      <c r="G300" s="31" t="s">
        <v>327</v>
      </c>
      <c r="H300" s="23" t="s">
        <v>2085</v>
      </c>
      <c r="I300" s="23" t="s">
        <v>2083</v>
      </c>
      <c r="J300" s="170"/>
      <c r="K300" s="25"/>
      <c r="L300" s="25"/>
      <c r="M300" s="43"/>
      <c r="N300" s="55"/>
      <c r="O300" s="28"/>
      <c r="P300" s="28"/>
      <c r="Q300" s="50" t="s">
        <v>282</v>
      </c>
      <c r="R300" s="25"/>
      <c r="S300" s="50"/>
      <c r="T300" s="65"/>
      <c r="U300" s="65"/>
      <c r="V300" s="65"/>
      <c r="W300" s="65"/>
      <c r="X300" s="65"/>
      <c r="Y300" s="65"/>
      <c r="Z300" s="65"/>
      <c r="AA300" s="65"/>
    </row>
    <row r="301" spans="1:27" ht="15.75" customHeight="1">
      <c r="A301" s="355"/>
      <c r="B301" s="350" t="s">
        <v>2086</v>
      </c>
      <c r="C301" s="31">
        <v>1</v>
      </c>
      <c r="D301" s="355" t="s">
        <v>2087</v>
      </c>
      <c r="E301" s="39" t="s">
        <v>2088</v>
      </c>
      <c r="F301" s="31" t="s">
        <v>2</v>
      </c>
      <c r="G301" s="31" t="s">
        <v>2</v>
      </c>
      <c r="H301" s="23" t="s">
        <v>2089</v>
      </c>
      <c r="I301" s="39" t="s">
        <v>2090</v>
      </c>
      <c r="J301" s="289"/>
      <c r="K301" s="25"/>
      <c r="L301" s="57"/>
      <c r="M301" s="43"/>
      <c r="N301" s="27"/>
      <c r="O301" s="28"/>
      <c r="P301" s="28"/>
      <c r="Q301" s="50" t="s">
        <v>282</v>
      </c>
      <c r="R301" s="25"/>
      <c r="S301" s="50"/>
      <c r="T301" s="65"/>
      <c r="U301" s="65"/>
      <c r="V301" s="65"/>
      <c r="W301" s="65"/>
      <c r="X301" s="65"/>
      <c r="Y301" s="65"/>
      <c r="Z301" s="65"/>
      <c r="AA301" s="65"/>
    </row>
    <row r="302" spans="1:27" ht="15.75" customHeight="1">
      <c r="A302" s="345"/>
      <c r="B302" s="345"/>
      <c r="C302" s="31">
        <v>2</v>
      </c>
      <c r="D302" s="345"/>
      <c r="E302" s="39" t="s">
        <v>2091</v>
      </c>
      <c r="F302" s="31" t="s">
        <v>2</v>
      </c>
      <c r="G302" s="31" t="s">
        <v>2</v>
      </c>
      <c r="H302" s="23" t="s">
        <v>2092</v>
      </c>
      <c r="I302" s="39" t="s">
        <v>2090</v>
      </c>
      <c r="J302" s="289"/>
      <c r="K302" s="25"/>
      <c r="L302" s="57"/>
      <c r="M302" s="43"/>
      <c r="N302" s="27"/>
      <c r="O302" s="25"/>
      <c r="P302" s="25"/>
      <c r="Q302" s="50" t="s">
        <v>282</v>
      </c>
      <c r="R302" s="25"/>
      <c r="S302" s="50"/>
      <c r="T302" s="65"/>
      <c r="U302" s="65"/>
      <c r="V302" s="65"/>
      <c r="W302" s="65"/>
      <c r="X302" s="65"/>
      <c r="Y302" s="65"/>
      <c r="Z302" s="65"/>
      <c r="AA302" s="65"/>
    </row>
    <row r="303" spans="1:27" ht="15.75" customHeight="1">
      <c r="A303" s="350"/>
      <c r="B303" s="350" t="s">
        <v>267</v>
      </c>
      <c r="C303" s="31">
        <v>1</v>
      </c>
      <c r="D303" s="355" t="s">
        <v>2093</v>
      </c>
      <c r="E303" s="378" t="s">
        <v>2094</v>
      </c>
      <c r="F303" s="61" t="s">
        <v>361</v>
      </c>
      <c r="G303" s="61" t="s">
        <v>327</v>
      </c>
      <c r="H303" s="63" t="s">
        <v>2095</v>
      </c>
      <c r="I303" s="109" t="s">
        <v>2096</v>
      </c>
      <c r="J303" s="109"/>
      <c r="K303" s="25"/>
      <c r="L303" s="57"/>
      <c r="M303" s="110"/>
      <c r="N303" s="27"/>
      <c r="O303" s="25"/>
      <c r="P303" s="25"/>
      <c r="Q303" s="50" t="s">
        <v>282</v>
      </c>
      <c r="R303" s="25"/>
      <c r="S303" s="50"/>
      <c r="T303" s="65"/>
      <c r="U303" s="65"/>
      <c r="V303" s="65"/>
      <c r="W303" s="65"/>
      <c r="X303" s="65"/>
      <c r="Y303" s="65"/>
      <c r="Z303" s="65"/>
      <c r="AA303" s="65"/>
    </row>
    <row r="304" spans="1:27" ht="13.5" customHeight="1">
      <c r="A304" s="345"/>
      <c r="B304" s="345"/>
      <c r="C304" s="31">
        <v>2</v>
      </c>
      <c r="D304" s="345"/>
      <c r="E304" s="345"/>
      <c r="F304" s="61" t="s">
        <v>361</v>
      </c>
      <c r="G304" s="61" t="s">
        <v>327</v>
      </c>
      <c r="H304" s="63" t="s">
        <v>2097</v>
      </c>
      <c r="I304" s="109" t="s">
        <v>2098</v>
      </c>
      <c r="J304" s="109"/>
      <c r="K304" s="25"/>
      <c r="L304" s="57"/>
      <c r="M304" s="110"/>
      <c r="N304" s="27"/>
      <c r="O304" s="25"/>
      <c r="P304" s="25"/>
      <c r="Q304" s="50" t="s">
        <v>282</v>
      </c>
      <c r="R304" s="25"/>
      <c r="S304" s="50"/>
      <c r="T304" s="65"/>
      <c r="U304" s="65"/>
      <c r="V304" s="65"/>
      <c r="W304" s="65"/>
      <c r="X304" s="65"/>
      <c r="Y304" s="65"/>
      <c r="Z304" s="65"/>
      <c r="AA304" s="65"/>
    </row>
    <row r="305" spans="1:27" ht="15.75" customHeight="1">
      <c r="A305" s="368" t="s">
        <v>2099</v>
      </c>
      <c r="B305" s="350" t="s">
        <v>2100</v>
      </c>
      <c r="C305" s="41">
        <v>1</v>
      </c>
      <c r="D305" s="368" t="s">
        <v>2099</v>
      </c>
      <c r="E305" s="67" t="s">
        <v>2101</v>
      </c>
      <c r="F305" s="111"/>
      <c r="G305" s="111"/>
      <c r="H305" s="67" t="s">
        <v>2102</v>
      </c>
      <c r="I305" s="67" t="s">
        <v>2103</v>
      </c>
      <c r="J305" s="67"/>
      <c r="K305" s="25"/>
      <c r="L305" s="50"/>
      <c r="M305" s="50" t="s">
        <v>2104</v>
      </c>
      <c r="N305" s="4"/>
      <c r="O305" s="28"/>
      <c r="P305" s="28"/>
      <c r="Q305" s="50" t="s">
        <v>282</v>
      </c>
      <c r="R305" s="50"/>
      <c r="S305" s="50"/>
      <c r="T305" s="51"/>
      <c r="U305" s="51"/>
      <c r="V305" s="51"/>
      <c r="W305" s="51"/>
      <c r="X305" s="51"/>
      <c r="Y305" s="51"/>
      <c r="Z305" s="51"/>
      <c r="AA305" s="51"/>
    </row>
    <row r="306" spans="1:27" ht="15.75" customHeight="1">
      <c r="A306" s="344"/>
      <c r="B306" s="344"/>
      <c r="C306" s="41">
        <v>2</v>
      </c>
      <c r="D306" s="344"/>
      <c r="E306" s="58" t="s">
        <v>2105</v>
      </c>
      <c r="F306" s="41"/>
      <c r="G306" s="41"/>
      <c r="H306" s="58" t="s">
        <v>2102</v>
      </c>
      <c r="I306" s="58" t="s">
        <v>2103</v>
      </c>
      <c r="J306" s="253"/>
      <c r="K306" s="25"/>
      <c r="L306" s="50"/>
      <c r="M306" s="50" t="s">
        <v>2104</v>
      </c>
      <c r="N306" s="4"/>
      <c r="O306" s="28"/>
      <c r="P306" s="28"/>
      <c r="Q306" s="50" t="s">
        <v>282</v>
      </c>
      <c r="R306" s="50"/>
      <c r="S306" s="50"/>
      <c r="T306" s="51"/>
      <c r="U306" s="51"/>
      <c r="V306" s="51"/>
      <c r="W306" s="51"/>
      <c r="X306" s="51"/>
      <c r="Y306" s="51"/>
      <c r="Z306" s="51"/>
      <c r="AA306" s="51"/>
    </row>
    <row r="307" spans="1:27" ht="34.5" customHeight="1">
      <c r="A307" s="345"/>
      <c r="B307" s="345"/>
      <c r="C307" s="41">
        <v>3</v>
      </c>
      <c r="D307" s="345"/>
      <c r="E307" s="58" t="s">
        <v>2106</v>
      </c>
      <c r="F307" s="41"/>
      <c r="G307" s="41"/>
      <c r="H307" s="58" t="s">
        <v>2107</v>
      </c>
      <c r="I307" s="58" t="s">
        <v>2108</v>
      </c>
      <c r="J307" s="253"/>
      <c r="K307" s="25"/>
      <c r="L307" s="50"/>
      <c r="M307" s="50" t="s">
        <v>2104</v>
      </c>
      <c r="N307" s="4"/>
      <c r="O307" s="28"/>
      <c r="P307" s="28"/>
      <c r="Q307" s="50" t="s">
        <v>282</v>
      </c>
      <c r="R307" s="50"/>
      <c r="S307" s="50"/>
      <c r="T307" s="51"/>
      <c r="U307" s="51"/>
      <c r="V307" s="51"/>
      <c r="W307" s="51"/>
      <c r="X307" s="51"/>
      <c r="Y307" s="51"/>
      <c r="Z307" s="51"/>
      <c r="AA307" s="51"/>
    </row>
    <row r="308" spans="1:27" ht="15.75" customHeight="1">
      <c r="A308" s="376" t="s">
        <v>2109</v>
      </c>
      <c r="B308" s="367" t="s">
        <v>273</v>
      </c>
      <c r="C308" s="111">
        <v>1</v>
      </c>
      <c r="D308" s="376" t="s">
        <v>2110</v>
      </c>
      <c r="E308" s="364" t="s">
        <v>2111</v>
      </c>
      <c r="F308" s="371" t="s">
        <v>361</v>
      </c>
      <c r="G308" s="371" t="s">
        <v>327</v>
      </c>
      <c r="H308" s="47" t="s">
        <v>2112</v>
      </c>
      <c r="I308" s="47" t="s">
        <v>2113</v>
      </c>
      <c r="J308" s="168"/>
      <c r="K308" s="25" t="s">
        <v>294</v>
      </c>
      <c r="L308" s="50"/>
      <c r="M308" s="380"/>
      <c r="N308" s="113"/>
      <c r="O308" s="28"/>
      <c r="P308" s="28"/>
      <c r="Q308" s="50" t="s">
        <v>140</v>
      </c>
      <c r="R308" s="50"/>
      <c r="S308" s="50"/>
      <c r="T308" s="114"/>
      <c r="U308" s="114"/>
      <c r="V308" s="114"/>
      <c r="W308" s="114"/>
      <c r="X308" s="114"/>
      <c r="Y308" s="114"/>
      <c r="Z308" s="114"/>
      <c r="AA308" s="114"/>
    </row>
    <row r="309" spans="1:27" ht="39.75" customHeight="1">
      <c r="A309" s="344"/>
      <c r="B309" s="344"/>
      <c r="C309" s="111">
        <v>2</v>
      </c>
      <c r="D309" s="344"/>
      <c r="E309" s="344"/>
      <c r="F309" s="344"/>
      <c r="G309" s="344"/>
      <c r="H309" s="47" t="s">
        <v>2114</v>
      </c>
      <c r="I309" s="47" t="s">
        <v>2115</v>
      </c>
      <c r="J309" s="168"/>
      <c r="K309" s="25" t="s">
        <v>294</v>
      </c>
      <c r="L309" s="50"/>
      <c r="M309" s="344"/>
      <c r="N309" s="113"/>
      <c r="O309" s="28"/>
      <c r="P309" s="28"/>
      <c r="Q309" s="50" t="s">
        <v>140</v>
      </c>
      <c r="R309" s="50"/>
      <c r="S309" s="50"/>
      <c r="T309" s="114"/>
      <c r="U309" s="114"/>
      <c r="V309" s="114"/>
      <c r="W309" s="114"/>
      <c r="X309" s="114"/>
      <c r="Y309" s="114"/>
      <c r="Z309" s="114"/>
      <c r="AA309" s="114"/>
    </row>
    <row r="310" spans="1:27" ht="48.75" customHeight="1">
      <c r="A310" s="344"/>
      <c r="B310" s="344"/>
      <c r="C310" s="111">
        <v>3</v>
      </c>
      <c r="D310" s="344"/>
      <c r="E310" s="344"/>
      <c r="F310" s="344"/>
      <c r="G310" s="344"/>
      <c r="H310" s="47" t="s">
        <v>2116</v>
      </c>
      <c r="I310" s="47" t="s">
        <v>2117</v>
      </c>
      <c r="J310" s="168"/>
      <c r="K310" s="25" t="s">
        <v>294</v>
      </c>
      <c r="L310" s="50"/>
      <c r="M310" s="345"/>
      <c r="N310" s="113"/>
      <c r="O310" s="28"/>
      <c r="P310" s="28"/>
      <c r="Q310" s="50" t="s">
        <v>140</v>
      </c>
      <c r="R310" s="50"/>
      <c r="S310" s="50"/>
      <c r="T310" s="114"/>
      <c r="U310" s="114"/>
      <c r="V310" s="114"/>
      <c r="W310" s="114"/>
      <c r="X310" s="114"/>
      <c r="Y310" s="114"/>
      <c r="Z310" s="114"/>
      <c r="AA310" s="114"/>
    </row>
    <row r="311" spans="1:27" ht="48.75" customHeight="1">
      <c r="A311" s="344"/>
      <c r="B311" s="344"/>
      <c r="C311" s="111">
        <v>4</v>
      </c>
      <c r="D311" s="344"/>
      <c r="E311" s="345"/>
      <c r="F311" s="345"/>
      <c r="G311" s="345"/>
      <c r="H311" s="47" t="s">
        <v>2118</v>
      </c>
      <c r="I311" s="47" t="s">
        <v>2119</v>
      </c>
      <c r="J311" s="168"/>
      <c r="K311" s="25" t="s">
        <v>294</v>
      </c>
      <c r="L311" s="50"/>
      <c r="M311" s="115"/>
      <c r="N311" s="113"/>
      <c r="O311" s="28"/>
      <c r="P311" s="28"/>
      <c r="Q311" s="50" t="s">
        <v>140</v>
      </c>
      <c r="R311" s="50"/>
      <c r="S311" s="50"/>
      <c r="T311" s="114"/>
      <c r="U311" s="114"/>
      <c r="V311" s="114"/>
      <c r="W311" s="114"/>
      <c r="X311" s="114"/>
      <c r="Y311" s="114"/>
      <c r="Z311" s="114"/>
      <c r="AA311" s="114"/>
    </row>
    <row r="312" spans="1:27" ht="15.75" customHeight="1">
      <c r="A312" s="344"/>
      <c r="B312" s="344"/>
      <c r="C312" s="111">
        <v>5</v>
      </c>
      <c r="D312" s="344"/>
      <c r="E312" s="364" t="s">
        <v>2120</v>
      </c>
      <c r="F312" s="371" t="s">
        <v>361</v>
      </c>
      <c r="G312" s="371" t="s">
        <v>327</v>
      </c>
      <c r="H312" s="77" t="s">
        <v>2121</v>
      </c>
      <c r="I312" s="47" t="s">
        <v>2122</v>
      </c>
      <c r="J312" s="168"/>
      <c r="K312" s="25" t="s">
        <v>294</v>
      </c>
      <c r="L312" s="50"/>
      <c r="M312" s="115"/>
      <c r="N312" s="113"/>
      <c r="O312" s="28"/>
      <c r="P312" s="28"/>
      <c r="Q312" s="50" t="s">
        <v>140</v>
      </c>
      <c r="R312" s="50"/>
      <c r="S312" s="50"/>
      <c r="T312" s="114"/>
      <c r="U312" s="114"/>
      <c r="V312" s="114"/>
      <c r="W312" s="114"/>
      <c r="X312" s="114"/>
      <c r="Y312" s="114"/>
      <c r="Z312" s="114"/>
      <c r="AA312" s="114"/>
    </row>
    <row r="313" spans="1:27" ht="15.75" customHeight="1">
      <c r="A313" s="344"/>
      <c r="B313" s="344"/>
      <c r="C313" s="111">
        <v>6</v>
      </c>
      <c r="D313" s="344"/>
      <c r="E313" s="344"/>
      <c r="F313" s="344"/>
      <c r="G313" s="344"/>
      <c r="H313" s="77" t="s">
        <v>2123</v>
      </c>
      <c r="I313" s="47" t="s">
        <v>2113</v>
      </c>
      <c r="J313" s="168"/>
      <c r="K313" s="25" t="s">
        <v>294</v>
      </c>
      <c r="L313" s="50"/>
      <c r="M313" s="115"/>
      <c r="N313" s="113"/>
      <c r="O313" s="28"/>
      <c r="P313" s="28"/>
      <c r="Q313" s="50" t="s">
        <v>140</v>
      </c>
      <c r="R313" s="50"/>
      <c r="S313" s="50"/>
      <c r="T313" s="114"/>
      <c r="U313" s="114"/>
      <c r="V313" s="114"/>
      <c r="W313" s="114"/>
      <c r="X313" s="114"/>
      <c r="Y313" s="114"/>
      <c r="Z313" s="114"/>
      <c r="AA313" s="114"/>
    </row>
    <row r="314" spans="1:27" ht="15.75" customHeight="1">
      <c r="A314" s="344"/>
      <c r="B314" s="344"/>
      <c r="C314" s="111">
        <v>7</v>
      </c>
      <c r="D314" s="344"/>
      <c r="E314" s="344"/>
      <c r="F314" s="344"/>
      <c r="G314" s="344"/>
      <c r="H314" s="77" t="s">
        <v>2124</v>
      </c>
      <c r="I314" s="47" t="s">
        <v>2115</v>
      </c>
      <c r="J314" s="168"/>
      <c r="K314" s="25" t="s">
        <v>294</v>
      </c>
      <c r="L314" s="50"/>
      <c r="M314" s="115"/>
      <c r="N314" s="113"/>
      <c r="O314" s="28"/>
      <c r="P314" s="28"/>
      <c r="Q314" s="50" t="s">
        <v>140</v>
      </c>
      <c r="R314" s="50"/>
      <c r="S314" s="50"/>
      <c r="T314" s="114"/>
      <c r="U314" s="114"/>
      <c r="V314" s="114"/>
      <c r="W314" s="114"/>
      <c r="X314" s="114"/>
      <c r="Y314" s="114"/>
      <c r="Z314" s="114"/>
      <c r="AA314" s="114"/>
    </row>
    <row r="315" spans="1:27" ht="15.75" customHeight="1">
      <c r="A315" s="345"/>
      <c r="B315" s="345"/>
      <c r="C315" s="111">
        <v>8</v>
      </c>
      <c r="D315" s="345"/>
      <c r="E315" s="345"/>
      <c r="F315" s="345"/>
      <c r="G315" s="345"/>
      <c r="H315" s="77" t="s">
        <v>2125</v>
      </c>
      <c r="I315" s="47" t="s">
        <v>2126</v>
      </c>
      <c r="J315" s="168"/>
      <c r="K315" s="25" t="s">
        <v>294</v>
      </c>
      <c r="L315" s="50"/>
      <c r="M315" s="115"/>
      <c r="N315" s="113"/>
      <c r="O315" s="28"/>
      <c r="P315" s="28"/>
      <c r="Q315" s="50" t="s">
        <v>140</v>
      </c>
      <c r="R315" s="50"/>
      <c r="S315" s="50"/>
      <c r="T315" s="114"/>
      <c r="U315" s="114"/>
      <c r="V315" s="114"/>
      <c r="W315" s="114"/>
      <c r="X315" s="114"/>
      <c r="Y315" s="114"/>
      <c r="Z315" s="114"/>
      <c r="AA315" s="114"/>
    </row>
    <row r="316" spans="1:27" ht="36.75" customHeight="1">
      <c r="A316" s="355" t="s">
        <v>2127</v>
      </c>
      <c r="B316" s="350" t="s">
        <v>264</v>
      </c>
      <c r="C316" s="41">
        <v>1</v>
      </c>
      <c r="D316" s="355" t="s">
        <v>2127</v>
      </c>
      <c r="E316" s="47" t="s">
        <v>2128</v>
      </c>
      <c r="F316" s="74"/>
      <c r="G316" s="74"/>
      <c r="H316" s="47" t="s">
        <v>2129</v>
      </c>
      <c r="I316" s="47" t="s">
        <v>2130</v>
      </c>
      <c r="J316" s="168"/>
      <c r="K316" s="25"/>
      <c r="L316" s="50"/>
      <c r="M316" s="50" t="s">
        <v>2104</v>
      </c>
      <c r="N316" s="4"/>
      <c r="O316" s="28"/>
      <c r="P316" s="28"/>
      <c r="Q316" s="50" t="s">
        <v>282</v>
      </c>
      <c r="R316" s="50"/>
      <c r="S316" s="50"/>
      <c r="T316" s="51"/>
      <c r="U316" s="51"/>
      <c r="V316" s="51"/>
      <c r="W316" s="51"/>
      <c r="X316" s="51"/>
      <c r="Y316" s="51"/>
      <c r="Z316" s="51"/>
      <c r="AA316" s="51"/>
    </row>
    <row r="317" spans="1:27" ht="15.75" customHeight="1">
      <c r="A317" s="344"/>
      <c r="B317" s="344"/>
      <c r="C317" s="41">
        <v>2</v>
      </c>
      <c r="D317" s="344"/>
      <c r="E317" s="47" t="s">
        <v>2131</v>
      </c>
      <c r="F317" s="74"/>
      <c r="G317" s="74"/>
      <c r="H317" s="47" t="s">
        <v>2132</v>
      </c>
      <c r="I317" s="47" t="s">
        <v>2130</v>
      </c>
      <c r="J317" s="168"/>
      <c r="K317" s="25"/>
      <c r="L317" s="50" t="s">
        <v>2104</v>
      </c>
      <c r="M317" s="50" t="s">
        <v>2104</v>
      </c>
      <c r="N317" s="4"/>
      <c r="O317" s="28"/>
      <c r="P317" s="28"/>
      <c r="Q317" s="50" t="s">
        <v>282</v>
      </c>
      <c r="R317" s="50"/>
      <c r="S317" s="50"/>
      <c r="T317" s="51"/>
      <c r="U317" s="51"/>
      <c r="V317" s="51"/>
      <c r="W317" s="51"/>
      <c r="X317" s="51"/>
      <c r="Y317" s="51"/>
      <c r="Z317" s="51"/>
      <c r="AA317" s="51"/>
    </row>
    <row r="318" spans="1:27" ht="15.75" customHeight="1">
      <c r="A318" s="345"/>
      <c r="B318" s="345"/>
      <c r="C318" s="41">
        <v>3</v>
      </c>
      <c r="D318" s="345"/>
      <c r="E318" s="60" t="s">
        <v>2133</v>
      </c>
      <c r="F318" s="111"/>
      <c r="G318" s="111"/>
      <c r="H318" s="67" t="s">
        <v>2134</v>
      </c>
      <c r="I318" s="67" t="s">
        <v>2135</v>
      </c>
      <c r="J318" s="67"/>
      <c r="K318" s="25" t="s">
        <v>294</v>
      </c>
      <c r="L318" s="50"/>
      <c r="M318" s="116" t="s">
        <v>2136</v>
      </c>
      <c r="N318" s="4"/>
      <c r="O318" s="28"/>
      <c r="P318" s="28"/>
      <c r="Q318" s="50" t="s">
        <v>140</v>
      </c>
      <c r="R318" s="50"/>
      <c r="S318" s="50"/>
      <c r="T318" s="51"/>
      <c r="U318" s="51"/>
      <c r="V318" s="51"/>
      <c r="W318" s="51"/>
      <c r="X318" s="51"/>
      <c r="Y318" s="51"/>
      <c r="Z318" s="51"/>
      <c r="AA318" s="51"/>
    </row>
    <row r="319" spans="1:27" ht="15.75" customHeight="1">
      <c r="A319" s="364" t="s">
        <v>2137</v>
      </c>
      <c r="B319" s="363" t="s">
        <v>128</v>
      </c>
      <c r="C319" s="74">
        <v>1</v>
      </c>
      <c r="D319" s="364" t="s">
        <v>2137</v>
      </c>
      <c r="E319" s="364" t="s">
        <v>2138</v>
      </c>
      <c r="F319" s="74" t="s">
        <v>361</v>
      </c>
      <c r="G319" s="74" t="s">
        <v>327</v>
      </c>
      <c r="H319" s="47" t="s">
        <v>2139</v>
      </c>
      <c r="I319" s="67" t="s">
        <v>2140</v>
      </c>
      <c r="J319" s="67"/>
      <c r="K319" s="25"/>
      <c r="L319" s="50"/>
      <c r="M319" s="115"/>
      <c r="N319" s="4"/>
      <c r="O319" s="28"/>
      <c r="P319" s="28"/>
      <c r="Q319" s="50" t="s">
        <v>282</v>
      </c>
      <c r="R319" s="50"/>
      <c r="S319" s="50"/>
      <c r="T319" s="51"/>
      <c r="U319" s="51"/>
      <c r="V319" s="51"/>
      <c r="W319" s="51"/>
      <c r="X319" s="51"/>
      <c r="Y319" s="51"/>
      <c r="Z319" s="51"/>
      <c r="AA319" s="51"/>
    </row>
    <row r="320" spans="1:27" ht="15.75" customHeight="1">
      <c r="A320" s="345"/>
      <c r="B320" s="345"/>
      <c r="C320" s="74">
        <v>2</v>
      </c>
      <c r="D320" s="345"/>
      <c r="E320" s="345"/>
      <c r="F320" s="74" t="s">
        <v>361</v>
      </c>
      <c r="G320" s="74" t="s">
        <v>327</v>
      </c>
      <c r="H320" s="47" t="s">
        <v>2141</v>
      </c>
      <c r="I320" s="67" t="s">
        <v>2142</v>
      </c>
      <c r="J320" s="67"/>
      <c r="K320" s="25"/>
      <c r="L320" s="50"/>
      <c r="M320" s="115"/>
      <c r="N320" s="4"/>
      <c r="O320" s="28"/>
      <c r="P320" s="28"/>
      <c r="Q320" s="50" t="s">
        <v>282</v>
      </c>
      <c r="R320" s="50" t="s">
        <v>298</v>
      </c>
      <c r="S320" s="50"/>
      <c r="T320" s="51"/>
      <c r="U320" s="51"/>
      <c r="V320" s="51"/>
      <c r="W320" s="51"/>
      <c r="X320" s="51"/>
      <c r="Y320" s="51"/>
      <c r="Z320" s="51"/>
      <c r="AA320" s="51"/>
    </row>
    <row r="321" spans="1:19" ht="66" customHeight="1">
      <c r="A321" s="364" t="s">
        <v>2143</v>
      </c>
      <c r="B321" s="363" t="s">
        <v>129</v>
      </c>
      <c r="C321" s="74">
        <v>1</v>
      </c>
      <c r="D321" s="364" t="s">
        <v>2144</v>
      </c>
      <c r="E321" s="364" t="s">
        <v>2145</v>
      </c>
      <c r="F321" s="74" t="s">
        <v>361</v>
      </c>
      <c r="G321" s="74" t="s">
        <v>327</v>
      </c>
      <c r="H321" s="80" t="s">
        <v>2146</v>
      </c>
      <c r="I321" s="83" t="s">
        <v>2147</v>
      </c>
      <c r="J321" s="271"/>
      <c r="K321" s="25" t="s">
        <v>294</v>
      </c>
      <c r="L321" s="57"/>
      <c r="M321" s="43"/>
      <c r="N321" s="3"/>
      <c r="O321" s="28"/>
      <c r="P321" s="28"/>
      <c r="Q321" s="50" t="s">
        <v>140</v>
      </c>
      <c r="R321" s="50" t="s">
        <v>298</v>
      </c>
      <c r="S321" s="50"/>
    </row>
    <row r="322" spans="1:19" ht="15.75" customHeight="1">
      <c r="A322" s="344"/>
      <c r="B322" s="344"/>
      <c r="C322" s="74">
        <v>2</v>
      </c>
      <c r="D322" s="344"/>
      <c r="E322" s="345"/>
      <c r="F322" s="74" t="s">
        <v>361</v>
      </c>
      <c r="G322" s="74" t="s">
        <v>327</v>
      </c>
      <c r="H322" s="47" t="s">
        <v>2148</v>
      </c>
      <c r="I322" s="83" t="s">
        <v>2149</v>
      </c>
      <c r="J322" s="271"/>
      <c r="K322" s="25" t="s">
        <v>294</v>
      </c>
      <c r="L322" s="57"/>
      <c r="M322" s="43"/>
      <c r="N322" s="3"/>
      <c r="O322" s="28"/>
      <c r="P322" s="28"/>
      <c r="Q322" s="50" t="s">
        <v>140</v>
      </c>
      <c r="R322" s="50" t="s">
        <v>298</v>
      </c>
      <c r="S322" s="50"/>
    </row>
    <row r="323" spans="1:19" ht="15.75" customHeight="1">
      <c r="A323" s="344"/>
      <c r="B323" s="344"/>
      <c r="C323" s="74">
        <v>3</v>
      </c>
      <c r="D323" s="344"/>
      <c r="E323" s="364" t="s">
        <v>2150</v>
      </c>
      <c r="F323" s="74" t="s">
        <v>361</v>
      </c>
      <c r="G323" s="74" t="s">
        <v>327</v>
      </c>
      <c r="H323" s="80" t="s">
        <v>2146</v>
      </c>
      <c r="I323" s="83" t="s">
        <v>2151</v>
      </c>
      <c r="J323" s="271"/>
      <c r="K323" s="25" t="s">
        <v>294</v>
      </c>
      <c r="L323" s="57"/>
      <c r="M323" s="43"/>
      <c r="N323" s="3"/>
      <c r="O323" s="28"/>
      <c r="P323" s="28"/>
      <c r="Q323" s="50" t="s">
        <v>140</v>
      </c>
      <c r="R323" s="50" t="s">
        <v>298</v>
      </c>
      <c r="S323" s="50"/>
    </row>
    <row r="324" spans="1:19" ht="15.75" customHeight="1">
      <c r="A324" s="344"/>
      <c r="B324" s="344"/>
      <c r="C324" s="74">
        <v>4</v>
      </c>
      <c r="D324" s="344"/>
      <c r="E324" s="344"/>
      <c r="F324" s="74" t="s">
        <v>361</v>
      </c>
      <c r="G324" s="74" t="s">
        <v>327</v>
      </c>
      <c r="H324" s="80" t="s">
        <v>2152</v>
      </c>
      <c r="I324" s="83" t="s">
        <v>2153</v>
      </c>
      <c r="J324" s="271"/>
      <c r="K324" s="25" t="s">
        <v>294</v>
      </c>
      <c r="L324" s="57"/>
      <c r="M324" s="43"/>
      <c r="N324" s="3"/>
      <c r="O324" s="28"/>
      <c r="P324" s="28"/>
      <c r="Q324" s="50" t="s">
        <v>140</v>
      </c>
      <c r="R324" s="50" t="s">
        <v>298</v>
      </c>
      <c r="S324" s="50"/>
    </row>
    <row r="325" spans="1:19" ht="15.75" customHeight="1">
      <c r="A325" s="345"/>
      <c r="B325" s="345"/>
      <c r="C325" s="74">
        <v>5</v>
      </c>
      <c r="D325" s="345"/>
      <c r="E325" s="345"/>
      <c r="F325" s="74" t="s">
        <v>361</v>
      </c>
      <c r="G325" s="74" t="s">
        <v>327</v>
      </c>
      <c r="H325" s="80" t="s">
        <v>2154</v>
      </c>
      <c r="I325" s="83" t="s">
        <v>2155</v>
      </c>
      <c r="J325" s="271"/>
      <c r="K325" s="25" t="s">
        <v>294</v>
      </c>
      <c r="L325" s="57"/>
      <c r="M325" s="43"/>
      <c r="N325" s="3"/>
      <c r="O325" s="28"/>
      <c r="P325" s="28"/>
      <c r="Q325" s="50" t="s">
        <v>140</v>
      </c>
      <c r="R325" s="50" t="s">
        <v>298</v>
      </c>
      <c r="S325" s="50"/>
    </row>
    <row r="326" spans="1:19" ht="39.75" customHeight="1">
      <c r="A326" s="351" t="s">
        <v>2156</v>
      </c>
      <c r="B326" s="354" t="s">
        <v>200</v>
      </c>
      <c r="C326" s="86">
        <v>1</v>
      </c>
      <c r="D326" s="351" t="s">
        <v>2157</v>
      </c>
      <c r="E326" s="175" t="s">
        <v>2156</v>
      </c>
      <c r="F326" s="117" t="s">
        <v>361</v>
      </c>
      <c r="G326" s="117" t="s">
        <v>327</v>
      </c>
      <c r="H326" s="175" t="s">
        <v>2158</v>
      </c>
      <c r="I326" s="63" t="s">
        <v>2159</v>
      </c>
      <c r="J326" s="171"/>
      <c r="K326" s="25"/>
      <c r="L326" s="66"/>
      <c r="M326" s="43"/>
      <c r="N326" s="3"/>
      <c r="O326" s="50"/>
      <c r="P326" s="50"/>
      <c r="Q326" s="50" t="s">
        <v>282</v>
      </c>
      <c r="R326" s="25" t="s">
        <v>305</v>
      </c>
      <c r="S326" s="50"/>
    </row>
    <row r="327" spans="1:19" ht="39.75" customHeight="1">
      <c r="A327" s="353"/>
      <c r="B327" s="353"/>
      <c r="C327" s="86">
        <v>2</v>
      </c>
      <c r="D327" s="353"/>
      <c r="E327" s="175" t="s">
        <v>2160</v>
      </c>
      <c r="F327" s="117" t="s">
        <v>361</v>
      </c>
      <c r="G327" s="117" t="s">
        <v>327</v>
      </c>
      <c r="H327" s="175" t="s">
        <v>2161</v>
      </c>
      <c r="I327" s="63" t="s">
        <v>2162</v>
      </c>
      <c r="J327" s="171"/>
      <c r="K327" s="25"/>
      <c r="L327" s="66"/>
      <c r="M327" s="43"/>
      <c r="N327" s="3"/>
      <c r="O327" s="50"/>
      <c r="P327" s="50"/>
      <c r="Q327" s="50" t="s">
        <v>282</v>
      </c>
      <c r="R327" s="25" t="s">
        <v>305</v>
      </c>
      <c r="S327" s="50"/>
    </row>
    <row r="328" spans="1:19" ht="15.75" customHeight="1">
      <c r="A328" s="351" t="s">
        <v>2163</v>
      </c>
      <c r="B328" s="354" t="s">
        <v>201</v>
      </c>
      <c r="C328" s="86">
        <v>1</v>
      </c>
      <c r="D328" s="351" t="s">
        <v>2164</v>
      </c>
      <c r="E328" s="175" t="s">
        <v>2165</v>
      </c>
      <c r="F328" s="117" t="s">
        <v>361</v>
      </c>
      <c r="G328" s="117" t="s">
        <v>327</v>
      </c>
      <c r="H328" s="175" t="s">
        <v>2166</v>
      </c>
      <c r="I328" s="63" t="s">
        <v>2167</v>
      </c>
      <c r="J328" s="171"/>
      <c r="K328" s="25"/>
      <c r="L328" s="66"/>
      <c r="M328" s="50"/>
      <c r="N328" s="3"/>
      <c r="O328" s="50"/>
      <c r="P328" s="50"/>
      <c r="Q328" s="50" t="s">
        <v>282</v>
      </c>
      <c r="R328" s="25" t="s">
        <v>305</v>
      </c>
      <c r="S328" s="50"/>
    </row>
    <row r="329" spans="1:19" ht="15.75" customHeight="1">
      <c r="A329" s="352"/>
      <c r="B329" s="352"/>
      <c r="C329" s="86">
        <v>2</v>
      </c>
      <c r="D329" s="352"/>
      <c r="E329" s="175" t="s">
        <v>2168</v>
      </c>
      <c r="F329" s="86" t="s">
        <v>326</v>
      </c>
      <c r="G329" s="86" t="s">
        <v>327</v>
      </c>
      <c r="H329" s="175" t="s">
        <v>2169</v>
      </c>
      <c r="I329" s="63" t="s">
        <v>2170</v>
      </c>
      <c r="J329" s="171"/>
      <c r="K329" s="25"/>
      <c r="L329" s="66"/>
      <c r="M329" s="50"/>
      <c r="N329" s="3"/>
      <c r="O329" s="50"/>
      <c r="P329" s="50"/>
      <c r="Q329" s="50" t="s">
        <v>282</v>
      </c>
      <c r="R329" s="25" t="s">
        <v>305</v>
      </c>
      <c r="S329" s="50"/>
    </row>
    <row r="330" spans="1:19" ht="15.75" customHeight="1">
      <c r="A330" s="352"/>
      <c r="B330" s="352"/>
      <c r="C330" s="86">
        <v>3</v>
      </c>
      <c r="D330" s="352"/>
      <c r="E330" s="175" t="s">
        <v>2171</v>
      </c>
      <c r="F330" s="86" t="s">
        <v>326</v>
      </c>
      <c r="G330" s="86" t="s">
        <v>327</v>
      </c>
      <c r="H330" s="175" t="s">
        <v>2172</v>
      </c>
      <c r="I330" s="63" t="s">
        <v>2173</v>
      </c>
      <c r="J330" s="171"/>
      <c r="K330" s="25"/>
      <c r="L330" s="66"/>
      <c r="M330" s="50"/>
      <c r="N330" s="3"/>
      <c r="O330" s="50"/>
      <c r="P330" s="50"/>
      <c r="Q330" s="50" t="s">
        <v>282</v>
      </c>
      <c r="R330" s="25" t="s">
        <v>305</v>
      </c>
      <c r="S330" s="50"/>
    </row>
    <row r="331" spans="1:19" ht="15.75" customHeight="1">
      <c r="A331" s="352"/>
      <c r="B331" s="352"/>
      <c r="C331" s="86">
        <v>4</v>
      </c>
      <c r="D331" s="352"/>
      <c r="E331" s="175" t="s">
        <v>2174</v>
      </c>
      <c r="F331" s="86" t="s">
        <v>326</v>
      </c>
      <c r="G331" s="86" t="s">
        <v>327</v>
      </c>
      <c r="H331" s="175" t="s">
        <v>2175</v>
      </c>
      <c r="I331" s="63" t="s">
        <v>2176</v>
      </c>
      <c r="J331" s="171"/>
      <c r="K331" s="25"/>
      <c r="L331" s="66"/>
      <c r="M331" s="66" t="s">
        <v>2177</v>
      </c>
      <c r="N331" s="3"/>
      <c r="O331" s="50"/>
      <c r="P331" s="50"/>
      <c r="Q331" s="50" t="s">
        <v>282</v>
      </c>
      <c r="R331" s="25" t="s">
        <v>305</v>
      </c>
      <c r="S331" s="50"/>
    </row>
    <row r="332" spans="1:19" ht="15.75" customHeight="1">
      <c r="A332" s="352"/>
      <c r="B332" s="352"/>
      <c r="C332" s="86">
        <v>5</v>
      </c>
      <c r="D332" s="352"/>
      <c r="E332" s="175" t="s">
        <v>2178</v>
      </c>
      <c r="F332" s="86" t="s">
        <v>361</v>
      </c>
      <c r="G332" s="86" t="s">
        <v>327</v>
      </c>
      <c r="H332" s="175" t="s">
        <v>2179</v>
      </c>
      <c r="I332" s="63" t="s">
        <v>2180</v>
      </c>
      <c r="J332" s="171"/>
      <c r="K332" s="25"/>
      <c r="L332" s="66"/>
      <c r="M332" s="50"/>
      <c r="N332" s="3"/>
      <c r="O332" s="50"/>
      <c r="P332" s="50"/>
      <c r="Q332" s="50" t="s">
        <v>282</v>
      </c>
      <c r="R332" s="25" t="s">
        <v>305</v>
      </c>
      <c r="S332" s="50"/>
    </row>
    <row r="333" spans="1:19" ht="15.75" customHeight="1">
      <c r="A333" s="352"/>
      <c r="B333" s="352"/>
      <c r="C333" s="86">
        <v>6</v>
      </c>
      <c r="D333" s="352"/>
      <c r="E333" s="175" t="s">
        <v>2181</v>
      </c>
      <c r="F333" s="86" t="s">
        <v>361</v>
      </c>
      <c r="G333" s="86" t="s">
        <v>327</v>
      </c>
      <c r="H333" s="175" t="s">
        <v>2182</v>
      </c>
      <c r="I333" s="63" t="s">
        <v>2183</v>
      </c>
      <c r="J333" s="171"/>
      <c r="K333" s="25"/>
      <c r="L333" s="66"/>
      <c r="M333" s="50"/>
      <c r="N333" s="3"/>
      <c r="O333" s="50"/>
      <c r="P333" s="50"/>
      <c r="Q333" s="50" t="s">
        <v>282</v>
      </c>
      <c r="R333" s="25" t="s">
        <v>305</v>
      </c>
      <c r="S333" s="50"/>
    </row>
    <row r="334" spans="1:19" ht="15.75" customHeight="1">
      <c r="A334" s="353"/>
      <c r="B334" s="353"/>
      <c r="C334" s="86">
        <v>7</v>
      </c>
      <c r="D334" s="353"/>
      <c r="E334" s="175" t="s">
        <v>2184</v>
      </c>
      <c r="F334" s="86" t="s">
        <v>361</v>
      </c>
      <c r="G334" s="86" t="s">
        <v>327</v>
      </c>
      <c r="H334" s="175" t="s">
        <v>2182</v>
      </c>
      <c r="I334" s="63" t="s">
        <v>2185</v>
      </c>
      <c r="J334" s="171"/>
      <c r="K334" s="25"/>
      <c r="L334" s="66"/>
      <c r="M334" s="50"/>
      <c r="N334" s="3"/>
      <c r="O334" s="50"/>
      <c r="P334" s="50"/>
      <c r="Q334" s="50" t="s">
        <v>282</v>
      </c>
      <c r="R334" s="25" t="s">
        <v>305</v>
      </c>
      <c r="S334" s="50"/>
    </row>
    <row r="335" spans="1:19" ht="15.75" customHeight="1">
      <c r="A335" s="175" t="s">
        <v>2186</v>
      </c>
      <c r="B335" s="86" t="s">
        <v>238</v>
      </c>
      <c r="C335" s="96">
        <v>1</v>
      </c>
      <c r="D335" s="175" t="s">
        <v>2186</v>
      </c>
      <c r="E335" s="181" t="s">
        <v>2187</v>
      </c>
      <c r="F335" s="86" t="s">
        <v>326</v>
      </c>
      <c r="G335" s="86" t="s">
        <v>327</v>
      </c>
      <c r="H335" s="175" t="s">
        <v>2188</v>
      </c>
      <c r="I335" s="35" t="s">
        <v>2189</v>
      </c>
      <c r="J335" s="172"/>
      <c r="K335" s="25"/>
      <c r="L335" s="25"/>
      <c r="M335" s="43"/>
      <c r="N335" s="97"/>
      <c r="O335" s="28"/>
      <c r="P335" s="28"/>
      <c r="Q335" s="50" t="s">
        <v>282</v>
      </c>
      <c r="R335" s="25" t="s">
        <v>308</v>
      </c>
      <c r="S335" s="50"/>
    </row>
    <row r="336" spans="1:19" ht="15.75" customHeight="1">
      <c r="A336" s="68"/>
      <c r="B336" s="68"/>
      <c r="D336" s="68"/>
      <c r="E336" s="69"/>
      <c r="M336" s="68"/>
      <c r="O336" s="68"/>
      <c r="P336" s="68"/>
      <c r="Q336" s="68"/>
      <c r="R336" s="68"/>
      <c r="S336" s="68"/>
    </row>
    <row r="337" spans="1:19" ht="15.75" customHeight="1">
      <c r="A337" s="68"/>
      <c r="B337" s="68"/>
      <c r="D337" s="68"/>
      <c r="E337" s="69"/>
      <c r="M337" s="68"/>
      <c r="O337" s="68"/>
      <c r="P337" s="68"/>
      <c r="Q337" s="68"/>
      <c r="R337" s="68"/>
      <c r="S337" s="68"/>
    </row>
    <row r="338" spans="1:19" ht="15.75" customHeight="1">
      <c r="A338" s="68"/>
      <c r="B338" s="68"/>
      <c r="D338" s="68"/>
      <c r="E338" s="69"/>
      <c r="M338" s="68"/>
      <c r="O338" s="68"/>
      <c r="P338" s="68"/>
      <c r="Q338" s="68"/>
      <c r="R338" s="68"/>
      <c r="S338" s="68"/>
    </row>
    <row r="339" spans="1:19" ht="15.75" customHeight="1">
      <c r="A339" s="68"/>
      <c r="B339" s="68"/>
      <c r="D339" s="68"/>
      <c r="E339" s="69"/>
      <c r="M339" s="68"/>
      <c r="O339" s="68"/>
      <c r="P339" s="68"/>
      <c r="Q339" s="68"/>
      <c r="R339" s="68"/>
      <c r="S339" s="68"/>
    </row>
    <row r="340" spans="1:19" ht="15.75" customHeight="1">
      <c r="A340" s="68"/>
      <c r="B340" s="68"/>
      <c r="D340" s="68"/>
      <c r="E340" s="69"/>
      <c r="M340" s="68"/>
      <c r="O340" s="68"/>
      <c r="P340" s="68"/>
      <c r="Q340" s="68"/>
      <c r="R340" s="68"/>
      <c r="S340" s="68"/>
    </row>
    <row r="341" spans="1:19" ht="15.75" customHeight="1">
      <c r="A341" s="68"/>
      <c r="B341" s="68"/>
      <c r="D341" s="68"/>
      <c r="E341" s="69"/>
      <c r="M341" s="68"/>
      <c r="O341" s="68"/>
      <c r="P341" s="68"/>
      <c r="Q341" s="68"/>
      <c r="R341" s="68"/>
      <c r="S341" s="68"/>
    </row>
    <row r="342" spans="1:19" ht="15.75" customHeight="1">
      <c r="A342" s="68"/>
      <c r="B342" s="68"/>
      <c r="D342" s="68"/>
      <c r="E342" s="69"/>
      <c r="M342" s="68"/>
      <c r="O342" s="68"/>
      <c r="P342" s="68"/>
      <c r="Q342" s="68"/>
      <c r="R342" s="68"/>
      <c r="S342" s="68"/>
    </row>
    <row r="343" spans="1:19" ht="15.75" customHeight="1">
      <c r="A343" s="68"/>
      <c r="B343" s="68"/>
      <c r="D343" s="68"/>
      <c r="E343" s="69"/>
      <c r="M343" s="68"/>
      <c r="O343" s="68"/>
      <c r="P343" s="68"/>
      <c r="Q343" s="68"/>
      <c r="R343" s="68"/>
      <c r="S343" s="68"/>
    </row>
    <row r="344" spans="1:19" ht="15.75" customHeight="1">
      <c r="A344" s="68"/>
      <c r="B344" s="68"/>
      <c r="D344" s="68"/>
      <c r="E344" s="69"/>
      <c r="M344" s="68"/>
      <c r="O344" s="68"/>
      <c r="P344" s="68"/>
      <c r="Q344" s="68"/>
      <c r="R344" s="68"/>
      <c r="S344" s="68"/>
    </row>
    <row r="345" spans="1:19" ht="15.75" customHeight="1">
      <c r="A345" s="68"/>
      <c r="B345" s="68"/>
      <c r="D345" s="68"/>
      <c r="E345" s="69"/>
      <c r="M345" s="68"/>
      <c r="O345" s="68"/>
      <c r="P345" s="68"/>
      <c r="Q345" s="68"/>
      <c r="R345" s="68"/>
      <c r="S345" s="68"/>
    </row>
    <row r="346" spans="1:19" ht="15.75" customHeight="1">
      <c r="A346" s="68"/>
      <c r="B346" s="68"/>
      <c r="D346" s="68"/>
      <c r="E346" s="69"/>
      <c r="M346" s="68"/>
      <c r="O346" s="68"/>
      <c r="P346" s="68"/>
      <c r="Q346" s="68"/>
      <c r="R346" s="68"/>
      <c r="S346" s="68"/>
    </row>
    <row r="347" spans="1:19" ht="15.75" customHeight="1">
      <c r="A347" s="68"/>
      <c r="B347" s="68"/>
      <c r="D347" s="68"/>
      <c r="E347" s="69"/>
      <c r="M347" s="68"/>
      <c r="O347" s="68"/>
      <c r="P347" s="68"/>
      <c r="Q347" s="68"/>
      <c r="R347" s="68"/>
      <c r="S347" s="68"/>
    </row>
    <row r="348" spans="1:19" ht="15.75" customHeight="1">
      <c r="A348" s="68"/>
      <c r="B348" s="68"/>
      <c r="D348" s="68"/>
      <c r="E348" s="69"/>
      <c r="M348" s="68"/>
      <c r="O348" s="68"/>
      <c r="P348" s="68"/>
      <c r="Q348" s="68"/>
      <c r="R348" s="68"/>
      <c r="S348" s="68"/>
    </row>
    <row r="349" spans="1:19" ht="15.75" customHeight="1">
      <c r="A349" s="68"/>
      <c r="B349" s="68"/>
      <c r="D349" s="68"/>
      <c r="E349" s="69"/>
      <c r="M349" s="68"/>
      <c r="O349" s="68"/>
      <c r="P349" s="68"/>
      <c r="Q349" s="68"/>
      <c r="R349" s="68"/>
      <c r="S349" s="68"/>
    </row>
    <row r="350" spans="1:19" ht="15.75" customHeight="1">
      <c r="A350" s="68"/>
      <c r="B350" s="68"/>
      <c r="D350" s="68"/>
      <c r="E350" s="69"/>
      <c r="M350" s="68"/>
      <c r="O350" s="68"/>
      <c r="P350" s="68"/>
      <c r="Q350" s="68"/>
      <c r="R350" s="68"/>
      <c r="S350" s="68"/>
    </row>
    <row r="351" spans="1:19" ht="15.75" customHeight="1">
      <c r="A351" s="68"/>
      <c r="B351" s="68"/>
      <c r="D351" s="68"/>
      <c r="E351" s="69"/>
      <c r="M351" s="68"/>
      <c r="O351" s="68"/>
      <c r="P351" s="68"/>
      <c r="Q351" s="68"/>
      <c r="R351" s="68"/>
      <c r="S351" s="68"/>
    </row>
    <row r="352" spans="1:19" ht="15.75" customHeight="1">
      <c r="A352" s="68"/>
      <c r="B352" s="68"/>
      <c r="D352" s="68"/>
      <c r="E352" s="69"/>
      <c r="M352" s="68"/>
      <c r="O352" s="68"/>
      <c r="P352" s="68"/>
      <c r="Q352" s="68"/>
      <c r="R352" s="68"/>
      <c r="S352" s="68"/>
    </row>
    <row r="353" spans="1:19" ht="15.75" customHeight="1">
      <c r="A353" s="68"/>
      <c r="B353" s="68"/>
      <c r="D353" s="68"/>
      <c r="E353" s="69"/>
      <c r="M353" s="68"/>
      <c r="O353" s="68"/>
      <c r="P353" s="68"/>
      <c r="Q353" s="68"/>
      <c r="R353" s="68"/>
      <c r="S353" s="68"/>
    </row>
    <row r="354" spans="1:19" ht="15.75" customHeight="1">
      <c r="A354" s="68"/>
      <c r="B354" s="68"/>
      <c r="D354" s="68"/>
      <c r="E354" s="69"/>
      <c r="M354" s="68"/>
      <c r="O354" s="68"/>
      <c r="P354" s="68"/>
      <c r="Q354" s="68"/>
      <c r="R354" s="68"/>
      <c r="S354" s="68"/>
    </row>
    <row r="355" spans="1:19" ht="15.75" customHeight="1">
      <c r="A355" s="68"/>
      <c r="B355" s="68"/>
      <c r="D355" s="68"/>
      <c r="E355" s="69"/>
      <c r="M355" s="68"/>
      <c r="O355" s="68"/>
      <c r="P355" s="68"/>
      <c r="Q355" s="68"/>
      <c r="R355" s="68"/>
      <c r="S355" s="68"/>
    </row>
    <row r="356" spans="1:19" ht="15.75" customHeight="1">
      <c r="A356" s="68"/>
      <c r="B356" s="68"/>
      <c r="D356" s="68"/>
      <c r="E356" s="69"/>
      <c r="M356" s="68"/>
      <c r="O356" s="68"/>
      <c r="P356" s="68"/>
      <c r="Q356" s="68"/>
      <c r="R356" s="68"/>
      <c r="S356" s="68"/>
    </row>
    <row r="357" spans="1:19" ht="15.75" customHeight="1">
      <c r="A357" s="68"/>
      <c r="B357" s="68"/>
      <c r="D357" s="68"/>
      <c r="E357" s="69"/>
      <c r="M357" s="68"/>
      <c r="O357" s="68"/>
      <c r="P357" s="68"/>
      <c r="Q357" s="68"/>
      <c r="R357" s="68"/>
      <c r="S357" s="68"/>
    </row>
    <row r="358" spans="1:19" ht="15.75" customHeight="1">
      <c r="A358" s="68"/>
      <c r="B358" s="68"/>
      <c r="D358" s="68"/>
      <c r="E358" s="69"/>
      <c r="M358" s="68"/>
      <c r="O358" s="68"/>
      <c r="P358" s="68"/>
      <c r="Q358" s="68"/>
      <c r="R358" s="68"/>
      <c r="S358" s="68"/>
    </row>
    <row r="359" spans="1:19" ht="15.75" customHeight="1">
      <c r="A359" s="68"/>
      <c r="B359" s="68"/>
      <c r="D359" s="68"/>
      <c r="E359" s="69"/>
      <c r="M359" s="68"/>
      <c r="O359" s="68"/>
      <c r="P359" s="68"/>
      <c r="Q359" s="68"/>
      <c r="R359" s="68"/>
      <c r="S359" s="68"/>
    </row>
    <row r="360" spans="1:19" ht="15.75" customHeight="1">
      <c r="A360" s="68"/>
      <c r="B360" s="68"/>
      <c r="D360" s="68"/>
      <c r="E360" s="69"/>
      <c r="M360" s="68"/>
      <c r="O360" s="68"/>
      <c r="P360" s="68"/>
      <c r="Q360" s="68"/>
      <c r="R360" s="68"/>
      <c r="S360" s="68"/>
    </row>
    <row r="361" spans="1:19" ht="15.75" customHeight="1">
      <c r="A361" s="68"/>
      <c r="B361" s="68"/>
      <c r="D361" s="68"/>
      <c r="E361" s="69"/>
      <c r="M361" s="68"/>
      <c r="O361" s="68"/>
      <c r="P361" s="68"/>
      <c r="Q361" s="68"/>
      <c r="R361" s="68"/>
      <c r="S361" s="68"/>
    </row>
    <row r="362" spans="1:19" ht="15.75" customHeight="1">
      <c r="A362" s="68"/>
      <c r="B362" s="68"/>
      <c r="D362" s="68"/>
      <c r="E362" s="69"/>
      <c r="M362" s="68"/>
      <c r="O362" s="68"/>
      <c r="P362" s="68"/>
      <c r="Q362" s="68"/>
      <c r="R362" s="68"/>
      <c r="S362" s="68"/>
    </row>
    <row r="363" spans="1:19" ht="15.75" customHeight="1">
      <c r="A363" s="68"/>
      <c r="B363" s="68"/>
      <c r="D363" s="68"/>
      <c r="E363" s="69"/>
      <c r="M363" s="68"/>
      <c r="O363" s="68"/>
      <c r="P363" s="68"/>
      <c r="Q363" s="68"/>
      <c r="R363" s="68"/>
      <c r="S363" s="68"/>
    </row>
    <row r="364" spans="1:19" ht="15.75" customHeight="1">
      <c r="A364" s="68"/>
      <c r="B364" s="68"/>
      <c r="D364" s="68"/>
      <c r="E364" s="69"/>
      <c r="M364" s="68"/>
      <c r="O364" s="68"/>
      <c r="P364" s="68"/>
      <c r="Q364" s="68"/>
      <c r="R364" s="68"/>
      <c r="S364" s="68"/>
    </row>
    <row r="365" spans="1:19" ht="15.75" customHeight="1">
      <c r="A365" s="68"/>
      <c r="B365" s="68"/>
      <c r="D365" s="68"/>
      <c r="E365" s="69"/>
      <c r="M365" s="68"/>
      <c r="O365" s="68"/>
      <c r="P365" s="68"/>
      <c r="Q365" s="68"/>
      <c r="R365" s="68"/>
      <c r="S365" s="68"/>
    </row>
    <row r="366" spans="1:19" ht="15.75" customHeight="1">
      <c r="A366" s="68"/>
      <c r="B366" s="68"/>
      <c r="D366" s="68"/>
      <c r="E366" s="69"/>
      <c r="M366" s="68"/>
      <c r="O366" s="68"/>
      <c r="P366" s="68"/>
      <c r="Q366" s="68"/>
      <c r="R366" s="68"/>
      <c r="S366" s="68"/>
    </row>
    <row r="367" spans="1:19" ht="15.75" customHeight="1">
      <c r="A367" s="68"/>
      <c r="B367" s="68"/>
      <c r="D367" s="68"/>
      <c r="E367" s="69"/>
      <c r="M367" s="68"/>
      <c r="O367" s="68"/>
      <c r="P367" s="68"/>
      <c r="Q367" s="68"/>
      <c r="R367" s="68"/>
      <c r="S367" s="68"/>
    </row>
    <row r="368" spans="1:19" ht="15.75" customHeight="1">
      <c r="A368" s="68"/>
      <c r="B368" s="68"/>
      <c r="D368" s="68"/>
      <c r="E368" s="69"/>
      <c r="M368" s="68"/>
      <c r="O368" s="68"/>
      <c r="P368" s="68"/>
      <c r="Q368" s="68"/>
      <c r="R368" s="68"/>
      <c r="S368" s="68"/>
    </row>
    <row r="369" spans="1:19" ht="15.75" customHeight="1">
      <c r="A369" s="68"/>
      <c r="B369" s="68"/>
      <c r="D369" s="68"/>
      <c r="E369" s="69"/>
      <c r="M369" s="68"/>
      <c r="O369" s="68"/>
      <c r="P369" s="68"/>
      <c r="Q369" s="68"/>
      <c r="R369" s="68"/>
      <c r="S369" s="68"/>
    </row>
    <row r="370" spans="1:19" ht="15.75" customHeight="1">
      <c r="A370" s="68"/>
      <c r="B370" s="68"/>
      <c r="D370" s="68"/>
      <c r="E370" s="69"/>
      <c r="M370" s="68"/>
      <c r="O370" s="68"/>
      <c r="P370" s="68"/>
      <c r="Q370" s="68"/>
      <c r="R370" s="68"/>
      <c r="S370" s="68"/>
    </row>
    <row r="371" spans="1:19" ht="15.75" customHeight="1">
      <c r="A371" s="68"/>
      <c r="B371" s="68"/>
      <c r="D371" s="68"/>
      <c r="E371" s="69"/>
      <c r="M371" s="68"/>
      <c r="O371" s="68"/>
      <c r="P371" s="68"/>
      <c r="Q371" s="68"/>
      <c r="R371" s="68"/>
      <c r="S371" s="68"/>
    </row>
    <row r="372" spans="1:19" ht="15.75" customHeight="1">
      <c r="A372" s="68"/>
      <c r="B372" s="68"/>
      <c r="D372" s="68"/>
      <c r="E372" s="69"/>
      <c r="M372" s="68"/>
      <c r="O372" s="68"/>
      <c r="P372" s="68"/>
      <c r="Q372" s="68"/>
      <c r="R372" s="68"/>
      <c r="S372" s="68"/>
    </row>
    <row r="373" spans="1:19" ht="15.75" customHeight="1">
      <c r="A373" s="68"/>
      <c r="B373" s="68"/>
      <c r="D373" s="68"/>
      <c r="E373" s="69"/>
      <c r="M373" s="68"/>
      <c r="O373" s="68"/>
      <c r="P373" s="68"/>
      <c r="Q373" s="68"/>
      <c r="R373" s="68"/>
      <c r="S373" s="68"/>
    </row>
    <row r="374" spans="1:19" ht="15.75" customHeight="1">
      <c r="A374" s="68"/>
      <c r="B374" s="68"/>
      <c r="D374" s="68"/>
      <c r="E374" s="69"/>
      <c r="M374" s="68"/>
      <c r="O374" s="68"/>
      <c r="P374" s="68"/>
      <c r="Q374" s="68"/>
      <c r="R374" s="68"/>
      <c r="S374" s="68"/>
    </row>
    <row r="375" spans="1:19" ht="15.75" customHeight="1">
      <c r="A375" s="68"/>
      <c r="B375" s="68"/>
      <c r="D375" s="68"/>
      <c r="E375" s="69"/>
      <c r="M375" s="68"/>
      <c r="O375" s="68"/>
      <c r="P375" s="68"/>
      <c r="Q375" s="68"/>
      <c r="R375" s="68"/>
      <c r="S375" s="68"/>
    </row>
    <row r="376" spans="1:19" ht="15.75" customHeight="1">
      <c r="A376" s="68"/>
      <c r="B376" s="68"/>
      <c r="D376" s="68"/>
      <c r="E376" s="69"/>
      <c r="M376" s="68"/>
      <c r="O376" s="68"/>
      <c r="P376" s="68"/>
      <c r="Q376" s="68"/>
      <c r="R376" s="68"/>
      <c r="S376" s="68"/>
    </row>
    <row r="377" spans="1:19" ht="15.75" customHeight="1">
      <c r="A377" s="68"/>
      <c r="B377" s="68"/>
      <c r="D377" s="68"/>
      <c r="E377" s="69"/>
      <c r="M377" s="68"/>
      <c r="O377" s="68"/>
      <c r="P377" s="68"/>
      <c r="Q377" s="68"/>
      <c r="R377" s="68"/>
      <c r="S377" s="68"/>
    </row>
    <row r="378" spans="1:19" ht="15.75" customHeight="1">
      <c r="A378" s="68"/>
      <c r="B378" s="68"/>
      <c r="D378" s="68"/>
      <c r="E378" s="69"/>
      <c r="M378" s="68"/>
      <c r="O378" s="68"/>
      <c r="P378" s="68"/>
      <c r="Q378" s="68"/>
      <c r="R378" s="68"/>
      <c r="S378" s="68"/>
    </row>
    <row r="379" spans="1:19" ht="15.75" customHeight="1">
      <c r="A379" s="68"/>
      <c r="B379" s="68"/>
      <c r="D379" s="68"/>
      <c r="E379" s="69"/>
      <c r="M379" s="68"/>
      <c r="O379" s="68"/>
      <c r="P379" s="68"/>
      <c r="Q379" s="68"/>
      <c r="R379" s="68"/>
      <c r="S379" s="68"/>
    </row>
    <row r="380" spans="1:19" ht="15.75" customHeight="1">
      <c r="A380" s="68"/>
      <c r="B380" s="68"/>
      <c r="D380" s="68"/>
      <c r="E380" s="69"/>
      <c r="M380" s="68"/>
      <c r="O380" s="68"/>
      <c r="P380" s="68"/>
      <c r="Q380" s="68"/>
      <c r="R380" s="68"/>
      <c r="S380" s="68"/>
    </row>
    <row r="381" spans="1:19" ht="15.75" customHeight="1">
      <c r="A381" s="68"/>
      <c r="B381" s="68"/>
      <c r="D381" s="68"/>
      <c r="E381" s="69"/>
      <c r="M381" s="68"/>
      <c r="O381" s="68"/>
      <c r="P381" s="68"/>
      <c r="Q381" s="68"/>
      <c r="R381" s="68"/>
      <c r="S381" s="68"/>
    </row>
    <row r="382" spans="1:19" ht="15.75" customHeight="1">
      <c r="A382" s="68"/>
      <c r="B382" s="68"/>
      <c r="D382" s="68"/>
      <c r="E382" s="69"/>
      <c r="M382" s="68"/>
      <c r="O382" s="68"/>
      <c r="P382" s="68"/>
      <c r="Q382" s="68"/>
      <c r="R382" s="68"/>
      <c r="S382" s="68"/>
    </row>
    <row r="383" spans="1:19" ht="15.75" customHeight="1">
      <c r="A383" s="68"/>
      <c r="B383" s="68"/>
      <c r="D383" s="68"/>
      <c r="E383" s="69"/>
      <c r="M383" s="68"/>
      <c r="O383" s="68"/>
      <c r="P383" s="68"/>
      <c r="Q383" s="68"/>
      <c r="R383" s="68"/>
      <c r="S383" s="68"/>
    </row>
    <row r="384" spans="1:19" ht="15.75" customHeight="1">
      <c r="A384" s="68"/>
      <c r="B384" s="68"/>
      <c r="D384" s="68"/>
      <c r="E384" s="69"/>
      <c r="M384" s="68"/>
      <c r="O384" s="68"/>
      <c r="P384" s="68"/>
      <c r="Q384" s="68"/>
      <c r="R384" s="68"/>
      <c r="S384" s="68"/>
    </row>
    <row r="385" spans="1:19" ht="15.75" customHeight="1">
      <c r="A385" s="68"/>
      <c r="B385" s="68"/>
      <c r="D385" s="68"/>
      <c r="E385" s="69"/>
      <c r="M385" s="68"/>
      <c r="O385" s="68"/>
      <c r="P385" s="68"/>
      <c r="Q385" s="68"/>
      <c r="R385" s="68"/>
      <c r="S385" s="68"/>
    </row>
    <row r="386" spans="1:19" ht="15.75" customHeight="1">
      <c r="A386" s="68"/>
      <c r="B386" s="68"/>
      <c r="D386" s="68"/>
      <c r="E386" s="69"/>
      <c r="M386" s="68"/>
      <c r="O386" s="68"/>
      <c r="P386" s="68"/>
      <c r="Q386" s="68"/>
      <c r="R386" s="68"/>
      <c r="S386" s="68"/>
    </row>
    <row r="387" spans="1:19" ht="15.75" customHeight="1">
      <c r="A387" s="68"/>
      <c r="B387" s="68"/>
      <c r="D387" s="68"/>
      <c r="E387" s="69"/>
      <c r="M387" s="68"/>
      <c r="O387" s="68"/>
      <c r="P387" s="68"/>
      <c r="Q387" s="68"/>
      <c r="R387" s="68"/>
      <c r="S387" s="68"/>
    </row>
    <row r="388" spans="1:19" ht="15.75" customHeight="1">
      <c r="A388" s="68"/>
      <c r="B388" s="68"/>
      <c r="D388" s="68"/>
      <c r="E388" s="69"/>
      <c r="M388" s="68"/>
      <c r="O388" s="68"/>
      <c r="P388" s="68"/>
      <c r="Q388" s="68"/>
      <c r="R388" s="68"/>
      <c r="S388" s="68"/>
    </row>
    <row r="389" spans="1:19" ht="15.75" customHeight="1">
      <c r="A389" s="68"/>
      <c r="B389" s="68"/>
      <c r="D389" s="68"/>
      <c r="E389" s="69"/>
      <c r="M389" s="68"/>
      <c r="O389" s="68"/>
      <c r="P389" s="68"/>
      <c r="Q389" s="68"/>
      <c r="R389" s="68"/>
      <c r="S389" s="68"/>
    </row>
    <row r="390" spans="1:19" ht="15.75" customHeight="1">
      <c r="A390" s="68"/>
      <c r="B390" s="68"/>
      <c r="D390" s="68"/>
      <c r="E390" s="69"/>
      <c r="M390" s="68"/>
      <c r="O390" s="68"/>
      <c r="P390" s="68"/>
      <c r="Q390" s="68"/>
      <c r="R390" s="68"/>
      <c r="S390" s="68"/>
    </row>
    <row r="391" spans="1:19" ht="15.75" customHeight="1">
      <c r="A391" s="68"/>
      <c r="B391" s="68"/>
      <c r="D391" s="68"/>
      <c r="E391" s="69"/>
      <c r="M391" s="68"/>
      <c r="O391" s="68"/>
      <c r="P391" s="68"/>
      <c r="Q391" s="68"/>
      <c r="R391" s="68"/>
      <c r="S391" s="68"/>
    </row>
    <row r="392" spans="1:19" ht="15.75" customHeight="1">
      <c r="A392" s="68"/>
      <c r="B392" s="68"/>
      <c r="D392" s="68"/>
      <c r="E392" s="69"/>
      <c r="M392" s="68"/>
      <c r="O392" s="68"/>
      <c r="P392" s="68"/>
      <c r="Q392" s="68"/>
      <c r="R392" s="68"/>
      <c r="S392" s="68"/>
    </row>
    <row r="393" spans="1:19" ht="15.75" customHeight="1">
      <c r="A393" s="68"/>
      <c r="B393" s="68"/>
      <c r="D393" s="68"/>
      <c r="E393" s="69"/>
      <c r="M393" s="68"/>
      <c r="O393" s="68"/>
      <c r="P393" s="68"/>
      <c r="Q393" s="68"/>
      <c r="R393" s="68"/>
      <c r="S393" s="68"/>
    </row>
    <row r="394" spans="1:19" ht="15.75" customHeight="1">
      <c r="A394" s="68"/>
      <c r="B394" s="68"/>
      <c r="D394" s="68"/>
      <c r="E394" s="69"/>
      <c r="M394" s="68"/>
      <c r="O394" s="68"/>
      <c r="P394" s="68"/>
      <c r="Q394" s="68"/>
      <c r="R394" s="68"/>
      <c r="S394" s="68"/>
    </row>
    <row r="395" spans="1:19" ht="15.75" customHeight="1">
      <c r="A395" s="68"/>
      <c r="B395" s="68"/>
      <c r="D395" s="68"/>
      <c r="E395" s="69"/>
      <c r="M395" s="68"/>
      <c r="O395" s="68"/>
      <c r="P395" s="68"/>
      <c r="Q395" s="68"/>
      <c r="R395" s="68"/>
      <c r="S395" s="68"/>
    </row>
    <row r="396" spans="1:19" ht="15.75" customHeight="1">
      <c r="A396" s="68"/>
      <c r="B396" s="68"/>
      <c r="D396" s="68"/>
      <c r="E396" s="69"/>
      <c r="M396" s="68"/>
      <c r="O396" s="68"/>
      <c r="P396" s="68"/>
      <c r="Q396" s="68"/>
      <c r="R396" s="68"/>
      <c r="S396" s="68"/>
    </row>
    <row r="397" spans="1:19" ht="15.75" customHeight="1">
      <c r="A397" s="68"/>
      <c r="B397" s="68"/>
      <c r="D397" s="68"/>
      <c r="E397" s="69"/>
      <c r="M397" s="68"/>
      <c r="O397" s="68"/>
      <c r="P397" s="68"/>
      <c r="Q397" s="68"/>
      <c r="R397" s="68"/>
      <c r="S397" s="68"/>
    </row>
    <row r="398" spans="1:19" ht="15.75" customHeight="1">
      <c r="A398" s="68"/>
      <c r="B398" s="68"/>
      <c r="D398" s="68"/>
      <c r="E398" s="69"/>
      <c r="M398" s="68"/>
      <c r="O398" s="68"/>
      <c r="P398" s="68"/>
      <c r="Q398" s="68"/>
      <c r="R398" s="68"/>
      <c r="S398" s="68"/>
    </row>
    <row r="399" spans="1:19" ht="15.75" customHeight="1">
      <c r="A399" s="68"/>
      <c r="B399" s="68"/>
      <c r="D399" s="68"/>
      <c r="E399" s="69"/>
      <c r="M399" s="68"/>
      <c r="O399" s="68"/>
      <c r="P399" s="68"/>
      <c r="Q399" s="68"/>
      <c r="R399" s="68"/>
      <c r="S399" s="68"/>
    </row>
    <row r="400" spans="1:19" ht="15.75" customHeight="1">
      <c r="A400" s="68"/>
      <c r="B400" s="68"/>
      <c r="D400" s="68"/>
      <c r="E400" s="69"/>
      <c r="M400" s="68"/>
      <c r="O400" s="68"/>
      <c r="P400" s="68"/>
      <c r="Q400" s="68"/>
      <c r="R400" s="68"/>
      <c r="S400" s="68"/>
    </row>
    <row r="401" spans="1:19" ht="15.75" customHeight="1">
      <c r="A401" s="68"/>
      <c r="B401" s="68"/>
      <c r="D401" s="68"/>
      <c r="E401" s="69"/>
      <c r="M401" s="68"/>
      <c r="O401" s="68"/>
      <c r="P401" s="68"/>
      <c r="Q401" s="68"/>
      <c r="R401" s="68"/>
      <c r="S401" s="68"/>
    </row>
    <row r="402" spans="1:19" ht="15.75" customHeight="1">
      <c r="A402" s="68"/>
      <c r="B402" s="68"/>
      <c r="D402" s="68"/>
      <c r="E402" s="69"/>
      <c r="M402" s="68"/>
      <c r="O402" s="68"/>
      <c r="P402" s="68"/>
      <c r="Q402" s="68"/>
      <c r="R402" s="68"/>
      <c r="S402" s="68"/>
    </row>
    <row r="403" spans="1:19" ht="15.75" customHeight="1">
      <c r="A403" s="68"/>
      <c r="B403" s="68"/>
      <c r="D403" s="68"/>
      <c r="E403" s="69"/>
      <c r="M403" s="68"/>
      <c r="O403" s="68"/>
      <c r="P403" s="68"/>
      <c r="Q403" s="68"/>
      <c r="R403" s="68"/>
      <c r="S403" s="68"/>
    </row>
    <row r="404" spans="1:19" ht="15.75" customHeight="1">
      <c r="A404" s="68"/>
      <c r="B404" s="68"/>
      <c r="D404" s="68"/>
      <c r="E404" s="69"/>
      <c r="M404" s="68"/>
      <c r="O404" s="68"/>
      <c r="P404" s="68"/>
      <c r="Q404" s="68"/>
      <c r="R404" s="68"/>
      <c r="S404" s="68"/>
    </row>
    <row r="405" spans="1:19" ht="15.75" customHeight="1">
      <c r="A405" s="68"/>
      <c r="B405" s="68"/>
      <c r="D405" s="68"/>
      <c r="E405" s="69"/>
      <c r="M405" s="68"/>
      <c r="O405" s="68"/>
      <c r="P405" s="68"/>
      <c r="Q405" s="68"/>
      <c r="R405" s="68"/>
      <c r="S405" s="68"/>
    </row>
    <row r="406" spans="1:19" ht="15.75" customHeight="1">
      <c r="A406" s="68"/>
      <c r="B406" s="68"/>
      <c r="D406" s="68"/>
      <c r="E406" s="69"/>
      <c r="M406" s="68"/>
      <c r="O406" s="68"/>
      <c r="P406" s="68"/>
      <c r="Q406" s="68"/>
      <c r="R406" s="68"/>
      <c r="S406" s="68"/>
    </row>
    <row r="407" spans="1:19" ht="15.75" customHeight="1">
      <c r="A407" s="68"/>
      <c r="B407" s="68"/>
      <c r="D407" s="68"/>
      <c r="E407" s="69"/>
      <c r="M407" s="68"/>
      <c r="O407" s="68"/>
      <c r="P407" s="68"/>
      <c r="Q407" s="68"/>
      <c r="R407" s="68"/>
      <c r="S407" s="68"/>
    </row>
    <row r="408" spans="1:19" ht="15.75" customHeight="1">
      <c r="A408" s="68"/>
      <c r="B408" s="68"/>
      <c r="D408" s="68"/>
      <c r="E408" s="69"/>
      <c r="M408" s="68"/>
      <c r="O408" s="68"/>
      <c r="P408" s="68"/>
      <c r="Q408" s="68"/>
      <c r="R408" s="68"/>
      <c r="S408" s="68"/>
    </row>
    <row r="409" spans="1:19" ht="15.75" customHeight="1">
      <c r="A409" s="68"/>
      <c r="B409" s="68"/>
      <c r="D409" s="68"/>
      <c r="E409" s="69"/>
      <c r="M409" s="68"/>
      <c r="O409" s="68"/>
      <c r="P409" s="68"/>
      <c r="Q409" s="68"/>
      <c r="R409" s="68"/>
      <c r="S409" s="68"/>
    </row>
    <row r="410" spans="1:19" ht="15.75" customHeight="1">
      <c r="A410" s="68"/>
      <c r="B410" s="68"/>
      <c r="D410" s="68"/>
      <c r="E410" s="69"/>
      <c r="M410" s="68"/>
      <c r="O410" s="68"/>
      <c r="P410" s="68"/>
      <c r="Q410" s="68"/>
      <c r="R410" s="68"/>
      <c r="S410" s="68"/>
    </row>
    <row r="411" spans="1:19" ht="15.75" customHeight="1">
      <c r="A411" s="68"/>
      <c r="B411" s="68"/>
      <c r="D411" s="68"/>
      <c r="E411" s="69"/>
      <c r="M411" s="68"/>
      <c r="O411" s="68"/>
      <c r="P411" s="68"/>
      <c r="Q411" s="68"/>
      <c r="R411" s="68"/>
      <c r="S411" s="68"/>
    </row>
    <row r="412" spans="1:19" ht="15.75" customHeight="1">
      <c r="A412" s="68"/>
      <c r="B412" s="68"/>
      <c r="D412" s="68"/>
      <c r="E412" s="69"/>
      <c r="M412" s="68"/>
      <c r="O412" s="68"/>
      <c r="P412" s="68"/>
      <c r="Q412" s="68"/>
      <c r="R412" s="68"/>
      <c r="S412" s="68"/>
    </row>
    <row r="413" spans="1:19" ht="15.75" customHeight="1">
      <c r="A413" s="68"/>
      <c r="B413" s="68"/>
      <c r="D413" s="68"/>
      <c r="E413" s="69"/>
      <c r="M413" s="68"/>
      <c r="O413" s="68"/>
      <c r="P413" s="68"/>
      <c r="Q413" s="68"/>
      <c r="R413" s="68"/>
      <c r="S413" s="68"/>
    </row>
    <row r="414" spans="1:19" ht="15.75" customHeight="1">
      <c r="A414" s="68"/>
      <c r="B414" s="68"/>
      <c r="D414" s="68"/>
      <c r="E414" s="69"/>
      <c r="M414" s="68"/>
      <c r="O414" s="68"/>
      <c r="P414" s="68"/>
      <c r="Q414" s="68"/>
      <c r="R414" s="68"/>
      <c r="S414" s="68"/>
    </row>
    <row r="415" spans="1:19" ht="15.75" customHeight="1">
      <c r="A415" s="68"/>
      <c r="B415" s="68"/>
      <c r="D415" s="68"/>
      <c r="E415" s="69"/>
      <c r="M415" s="68"/>
      <c r="O415" s="68"/>
      <c r="P415" s="68"/>
      <c r="Q415" s="68"/>
      <c r="R415" s="68"/>
      <c r="S415" s="68"/>
    </row>
    <row r="416" spans="1:19" ht="15.75" customHeight="1">
      <c r="A416" s="68"/>
      <c r="B416" s="68"/>
      <c r="D416" s="68"/>
      <c r="E416" s="69"/>
      <c r="M416" s="68"/>
      <c r="O416" s="68"/>
      <c r="P416" s="68"/>
      <c r="Q416" s="68"/>
      <c r="R416" s="68"/>
      <c r="S416" s="68"/>
    </row>
    <row r="417" spans="1:19" ht="15.75" customHeight="1">
      <c r="A417" s="68"/>
      <c r="B417" s="68"/>
      <c r="D417" s="68"/>
      <c r="E417" s="69"/>
      <c r="M417" s="68"/>
      <c r="O417" s="68"/>
      <c r="P417" s="68"/>
      <c r="Q417" s="68"/>
      <c r="R417" s="68"/>
      <c r="S417" s="68"/>
    </row>
    <row r="418" spans="1:19" ht="15.75" customHeight="1">
      <c r="A418" s="68"/>
      <c r="B418" s="68"/>
      <c r="D418" s="68"/>
      <c r="E418" s="69"/>
      <c r="M418" s="68"/>
      <c r="O418" s="68"/>
      <c r="P418" s="68"/>
      <c r="Q418" s="68"/>
      <c r="R418" s="68"/>
      <c r="S418" s="68"/>
    </row>
    <row r="419" spans="1:19" ht="15.75" customHeight="1">
      <c r="A419" s="68"/>
      <c r="B419" s="68"/>
      <c r="D419" s="68"/>
      <c r="E419" s="69"/>
      <c r="M419" s="68"/>
      <c r="O419" s="68"/>
      <c r="P419" s="68"/>
      <c r="Q419" s="68"/>
      <c r="R419" s="68"/>
      <c r="S419" s="68"/>
    </row>
    <row r="420" spans="1:19" ht="15.75" customHeight="1">
      <c r="A420" s="68"/>
      <c r="B420" s="68"/>
      <c r="D420" s="68"/>
      <c r="E420" s="69"/>
      <c r="M420" s="68"/>
      <c r="O420" s="68"/>
      <c r="P420" s="68"/>
      <c r="Q420" s="68"/>
      <c r="R420" s="68"/>
      <c r="S420" s="68"/>
    </row>
    <row r="421" spans="1:19" ht="15.75" customHeight="1">
      <c r="A421" s="68"/>
      <c r="B421" s="68"/>
      <c r="D421" s="68"/>
      <c r="E421" s="69"/>
      <c r="M421" s="68"/>
      <c r="O421" s="68"/>
      <c r="P421" s="68"/>
      <c r="Q421" s="68"/>
      <c r="R421" s="68"/>
      <c r="S421" s="68"/>
    </row>
    <row r="422" spans="1:19" ht="15.75" customHeight="1">
      <c r="A422" s="68"/>
      <c r="B422" s="68"/>
      <c r="D422" s="68"/>
      <c r="E422" s="69"/>
      <c r="M422" s="68"/>
      <c r="O422" s="68"/>
      <c r="P422" s="68"/>
      <c r="Q422" s="68"/>
      <c r="R422" s="68"/>
      <c r="S422" s="68"/>
    </row>
    <row r="423" spans="1:19" ht="15.75" customHeight="1">
      <c r="A423" s="68"/>
      <c r="B423" s="68"/>
      <c r="D423" s="68"/>
      <c r="E423" s="69"/>
      <c r="M423" s="68"/>
      <c r="O423" s="68"/>
      <c r="P423" s="68"/>
      <c r="Q423" s="68"/>
      <c r="R423" s="68"/>
      <c r="S423" s="68"/>
    </row>
    <row r="424" spans="1:19" ht="15.75" customHeight="1">
      <c r="A424" s="68"/>
      <c r="B424" s="68"/>
      <c r="D424" s="68"/>
      <c r="E424" s="69"/>
      <c r="M424" s="68"/>
      <c r="O424" s="68"/>
      <c r="P424" s="68"/>
      <c r="Q424" s="68"/>
      <c r="R424" s="68"/>
      <c r="S424" s="68"/>
    </row>
    <row r="425" spans="1:19" ht="15.75" customHeight="1">
      <c r="A425" s="68"/>
      <c r="B425" s="68"/>
      <c r="D425" s="68"/>
      <c r="E425" s="69"/>
      <c r="M425" s="68"/>
      <c r="O425" s="68"/>
      <c r="P425" s="68"/>
      <c r="Q425" s="68"/>
      <c r="R425" s="68"/>
      <c r="S425" s="68"/>
    </row>
    <row r="426" spans="1:19" ht="15.75" customHeight="1">
      <c r="A426" s="68"/>
      <c r="B426" s="68"/>
      <c r="D426" s="68"/>
      <c r="E426" s="69"/>
      <c r="M426" s="68"/>
      <c r="O426" s="68"/>
      <c r="P426" s="68"/>
      <c r="Q426" s="68"/>
      <c r="R426" s="68"/>
      <c r="S426" s="68"/>
    </row>
    <row r="427" spans="1:19" ht="15.75" customHeight="1">
      <c r="A427" s="68"/>
      <c r="B427" s="68"/>
      <c r="D427" s="68"/>
      <c r="E427" s="69"/>
      <c r="M427" s="68"/>
      <c r="O427" s="68"/>
      <c r="P427" s="68"/>
      <c r="Q427" s="68"/>
      <c r="R427" s="68"/>
      <c r="S427" s="68"/>
    </row>
    <row r="428" spans="1:19" ht="15.75" customHeight="1">
      <c r="A428" s="68"/>
      <c r="B428" s="68"/>
      <c r="D428" s="68"/>
      <c r="E428" s="69"/>
      <c r="M428" s="68"/>
      <c r="O428" s="68"/>
      <c r="P428" s="68"/>
      <c r="Q428" s="68"/>
      <c r="R428" s="68"/>
      <c r="S428" s="68"/>
    </row>
    <row r="429" spans="1:19" ht="15.75" customHeight="1">
      <c r="A429" s="68"/>
      <c r="B429" s="68"/>
      <c r="D429" s="68"/>
      <c r="E429" s="69"/>
      <c r="M429" s="68"/>
      <c r="O429" s="68"/>
      <c r="P429" s="68"/>
      <c r="Q429" s="68"/>
      <c r="R429" s="68"/>
      <c r="S429" s="68"/>
    </row>
    <row r="430" spans="1:19" ht="15.75" customHeight="1">
      <c r="A430" s="68"/>
      <c r="B430" s="68"/>
      <c r="D430" s="68"/>
      <c r="E430" s="69"/>
      <c r="M430" s="68"/>
      <c r="O430" s="68"/>
      <c r="P430" s="68"/>
      <c r="Q430" s="68"/>
      <c r="R430" s="68"/>
      <c r="S430" s="68"/>
    </row>
    <row r="431" spans="1:19" ht="15.75" customHeight="1">
      <c r="A431" s="68"/>
      <c r="B431" s="68"/>
      <c r="D431" s="68"/>
      <c r="E431" s="69"/>
      <c r="M431" s="68"/>
      <c r="O431" s="68"/>
      <c r="P431" s="68"/>
      <c r="Q431" s="68"/>
      <c r="R431" s="68"/>
      <c r="S431" s="68"/>
    </row>
    <row r="432" spans="1:19" ht="15.75" customHeight="1">
      <c r="A432" s="68"/>
      <c r="B432" s="68"/>
      <c r="D432" s="68"/>
      <c r="E432" s="69"/>
      <c r="M432" s="68"/>
      <c r="O432" s="68"/>
      <c r="P432" s="68"/>
      <c r="Q432" s="68"/>
      <c r="R432" s="68"/>
      <c r="S432" s="68"/>
    </row>
    <row r="433" spans="1:19" ht="15.75" customHeight="1">
      <c r="A433" s="68"/>
      <c r="B433" s="68"/>
      <c r="D433" s="68"/>
      <c r="E433" s="69"/>
      <c r="M433" s="68"/>
      <c r="O433" s="68"/>
      <c r="P433" s="68"/>
      <c r="Q433" s="68"/>
      <c r="R433" s="68"/>
      <c r="S433" s="68"/>
    </row>
    <row r="434" spans="1:19" ht="15.75" customHeight="1">
      <c r="A434" s="68"/>
      <c r="B434" s="68"/>
      <c r="D434" s="68"/>
      <c r="E434" s="69"/>
      <c r="M434" s="68"/>
      <c r="O434" s="68"/>
      <c r="P434" s="68"/>
      <c r="Q434" s="68"/>
      <c r="R434" s="68"/>
      <c r="S434" s="68"/>
    </row>
    <row r="435" spans="1:19" ht="15.75" customHeight="1">
      <c r="A435" s="68"/>
      <c r="B435" s="68"/>
      <c r="D435" s="68"/>
      <c r="E435" s="69"/>
      <c r="M435" s="68"/>
      <c r="O435" s="68"/>
      <c r="P435" s="68"/>
      <c r="Q435" s="68"/>
      <c r="R435" s="68"/>
      <c r="S435" s="68"/>
    </row>
    <row r="436" spans="1:19" ht="15.75" customHeight="1">
      <c r="A436" s="68"/>
      <c r="B436" s="68"/>
      <c r="D436" s="68"/>
      <c r="E436" s="69"/>
      <c r="M436" s="68"/>
      <c r="O436" s="68"/>
      <c r="P436" s="68"/>
      <c r="Q436" s="68"/>
      <c r="R436" s="68"/>
      <c r="S436" s="68"/>
    </row>
    <row r="437" spans="1:19" ht="15.75" customHeight="1">
      <c r="A437" s="68"/>
      <c r="B437" s="68"/>
      <c r="D437" s="68"/>
      <c r="E437" s="69"/>
      <c r="M437" s="68"/>
      <c r="O437" s="68"/>
      <c r="P437" s="68"/>
      <c r="Q437" s="68"/>
      <c r="R437" s="68"/>
      <c r="S437" s="68"/>
    </row>
    <row r="438" spans="1:19" ht="15.75" customHeight="1">
      <c r="A438" s="68"/>
      <c r="B438" s="68"/>
      <c r="D438" s="68"/>
      <c r="E438" s="69"/>
      <c r="M438" s="68"/>
      <c r="O438" s="68"/>
      <c r="P438" s="68"/>
      <c r="Q438" s="68"/>
      <c r="R438" s="68"/>
      <c r="S438" s="68"/>
    </row>
    <row r="439" spans="1:19" ht="15.75" customHeight="1">
      <c r="A439" s="68"/>
      <c r="B439" s="68"/>
      <c r="D439" s="68"/>
      <c r="E439" s="69"/>
      <c r="M439" s="68"/>
      <c r="O439" s="68"/>
      <c r="P439" s="68"/>
      <c r="Q439" s="68"/>
      <c r="R439" s="68"/>
      <c r="S439" s="68"/>
    </row>
    <row r="440" spans="1:19" ht="15.75" customHeight="1">
      <c r="A440" s="68"/>
      <c r="B440" s="68"/>
      <c r="D440" s="68"/>
      <c r="E440" s="69"/>
      <c r="M440" s="68"/>
      <c r="O440" s="68"/>
      <c r="P440" s="68"/>
      <c r="Q440" s="68"/>
      <c r="R440" s="68"/>
      <c r="S440" s="68"/>
    </row>
    <row r="441" spans="1:19" ht="15.75" customHeight="1">
      <c r="A441" s="68"/>
      <c r="B441" s="68"/>
      <c r="D441" s="68"/>
      <c r="E441" s="69"/>
      <c r="M441" s="68"/>
      <c r="O441" s="68"/>
      <c r="P441" s="68"/>
      <c r="Q441" s="68"/>
      <c r="R441" s="68"/>
      <c r="S441" s="68"/>
    </row>
    <row r="442" spans="1:19" ht="15.75" customHeight="1">
      <c r="A442" s="68"/>
      <c r="B442" s="68"/>
      <c r="D442" s="68"/>
      <c r="E442" s="69"/>
      <c r="M442" s="68"/>
      <c r="O442" s="68"/>
      <c r="P442" s="68"/>
      <c r="Q442" s="68"/>
      <c r="R442" s="68"/>
      <c r="S442" s="68"/>
    </row>
    <row r="443" spans="1:19" ht="15.75" customHeight="1">
      <c r="A443" s="68"/>
      <c r="B443" s="68"/>
      <c r="D443" s="68"/>
      <c r="E443" s="69"/>
      <c r="M443" s="68"/>
      <c r="O443" s="68"/>
      <c r="P443" s="68"/>
      <c r="Q443" s="68"/>
      <c r="R443" s="68"/>
      <c r="S443" s="68"/>
    </row>
    <row r="444" spans="1:19" ht="15.75" customHeight="1">
      <c r="A444" s="68"/>
      <c r="B444" s="68"/>
      <c r="D444" s="68"/>
      <c r="E444" s="69"/>
      <c r="M444" s="68"/>
      <c r="O444" s="68"/>
      <c r="P444" s="68"/>
      <c r="Q444" s="68"/>
      <c r="R444" s="68"/>
      <c r="S444" s="68"/>
    </row>
    <row r="445" spans="1:19" ht="15.75" customHeight="1">
      <c r="A445" s="68"/>
      <c r="B445" s="68"/>
      <c r="D445" s="68"/>
      <c r="E445" s="69"/>
      <c r="M445" s="68"/>
      <c r="O445" s="68"/>
      <c r="P445" s="68"/>
      <c r="Q445" s="68"/>
      <c r="R445" s="68"/>
      <c r="S445" s="68"/>
    </row>
    <row r="446" spans="1:19" ht="15.75" customHeight="1">
      <c r="A446" s="68"/>
      <c r="B446" s="68"/>
      <c r="D446" s="68"/>
      <c r="E446" s="69"/>
      <c r="M446" s="68"/>
      <c r="O446" s="68"/>
      <c r="P446" s="68"/>
      <c r="Q446" s="68"/>
      <c r="R446" s="68"/>
      <c r="S446" s="68"/>
    </row>
    <row r="447" spans="1:19" ht="15.75" customHeight="1">
      <c r="A447" s="68"/>
      <c r="B447" s="68"/>
      <c r="D447" s="68"/>
      <c r="E447" s="69"/>
      <c r="M447" s="68"/>
      <c r="O447" s="68"/>
      <c r="P447" s="68"/>
      <c r="Q447" s="68"/>
      <c r="R447" s="68"/>
      <c r="S447" s="68"/>
    </row>
    <row r="448" spans="1:19" ht="15.75" customHeight="1">
      <c r="A448" s="68"/>
      <c r="B448" s="68"/>
      <c r="D448" s="68"/>
      <c r="E448" s="69"/>
      <c r="M448" s="68"/>
      <c r="O448" s="68"/>
      <c r="P448" s="68"/>
      <c r="Q448" s="68"/>
      <c r="R448" s="68"/>
      <c r="S448" s="68"/>
    </row>
    <row r="449" spans="1:19" ht="15.75" customHeight="1">
      <c r="A449" s="68"/>
      <c r="B449" s="68"/>
      <c r="D449" s="68"/>
      <c r="E449" s="69"/>
      <c r="M449" s="68"/>
      <c r="O449" s="68"/>
      <c r="P449" s="68"/>
      <c r="Q449" s="68"/>
      <c r="R449" s="68"/>
      <c r="S449" s="68"/>
    </row>
    <row r="450" spans="1:19" ht="15.75" customHeight="1">
      <c r="A450" s="68"/>
      <c r="B450" s="68"/>
      <c r="D450" s="68"/>
      <c r="E450" s="69"/>
      <c r="M450" s="68"/>
      <c r="O450" s="68"/>
      <c r="P450" s="68"/>
      <c r="Q450" s="68"/>
      <c r="R450" s="68"/>
      <c r="S450" s="68"/>
    </row>
    <row r="451" spans="1:19" ht="15.75" customHeight="1">
      <c r="A451" s="68"/>
      <c r="B451" s="68"/>
      <c r="D451" s="68"/>
      <c r="E451" s="69"/>
      <c r="M451" s="68"/>
      <c r="O451" s="68"/>
      <c r="P451" s="68"/>
      <c r="Q451" s="68"/>
      <c r="R451" s="68"/>
      <c r="S451" s="68"/>
    </row>
    <row r="452" spans="1:19" ht="15.75" customHeight="1">
      <c r="A452" s="68"/>
      <c r="B452" s="68"/>
      <c r="D452" s="68"/>
      <c r="E452" s="69"/>
      <c r="M452" s="68"/>
      <c r="O452" s="68"/>
      <c r="P452" s="68"/>
      <c r="Q452" s="68"/>
      <c r="R452" s="68"/>
      <c r="S452" s="68"/>
    </row>
    <row r="453" spans="1:19" ht="15.75" customHeight="1">
      <c r="A453" s="68"/>
      <c r="B453" s="68"/>
      <c r="D453" s="68"/>
      <c r="E453" s="69"/>
      <c r="M453" s="68"/>
      <c r="O453" s="68"/>
      <c r="P453" s="68"/>
      <c r="Q453" s="68"/>
      <c r="R453" s="68"/>
      <c r="S453" s="68"/>
    </row>
    <row r="454" spans="1:19" ht="15.75" customHeight="1">
      <c r="A454" s="68"/>
      <c r="B454" s="68"/>
      <c r="D454" s="68"/>
      <c r="E454" s="69"/>
      <c r="M454" s="68"/>
      <c r="O454" s="68"/>
      <c r="P454" s="68"/>
      <c r="Q454" s="68"/>
      <c r="R454" s="68"/>
      <c r="S454" s="68"/>
    </row>
    <row r="455" spans="1:19" ht="15.75" customHeight="1">
      <c r="A455" s="68"/>
      <c r="B455" s="68"/>
      <c r="D455" s="68"/>
      <c r="E455" s="69"/>
      <c r="M455" s="68"/>
      <c r="O455" s="68"/>
      <c r="P455" s="68"/>
      <c r="Q455" s="68"/>
      <c r="R455" s="68"/>
      <c r="S455" s="68"/>
    </row>
    <row r="456" spans="1:19" ht="15.75" customHeight="1">
      <c r="A456" s="68"/>
      <c r="B456" s="68"/>
      <c r="D456" s="68"/>
      <c r="E456" s="69"/>
      <c r="M456" s="68"/>
      <c r="O456" s="68"/>
      <c r="P456" s="68"/>
      <c r="Q456" s="68"/>
      <c r="R456" s="68"/>
      <c r="S456" s="68"/>
    </row>
    <row r="457" spans="1:19" ht="15.75" customHeight="1">
      <c r="A457" s="68"/>
      <c r="B457" s="68"/>
      <c r="D457" s="68"/>
      <c r="E457" s="69"/>
      <c r="M457" s="68"/>
      <c r="O457" s="68"/>
      <c r="P457" s="68"/>
      <c r="Q457" s="68"/>
      <c r="R457" s="68"/>
      <c r="S457" s="68"/>
    </row>
    <row r="458" spans="1:19" ht="15.75" customHeight="1">
      <c r="A458" s="68"/>
      <c r="B458" s="68"/>
      <c r="D458" s="68"/>
      <c r="E458" s="69"/>
      <c r="M458" s="68"/>
      <c r="O458" s="68"/>
      <c r="P458" s="68"/>
      <c r="Q458" s="68"/>
      <c r="R458" s="68"/>
      <c r="S458" s="68"/>
    </row>
    <row r="459" spans="1:19" ht="15.75" customHeight="1">
      <c r="A459" s="68"/>
      <c r="B459" s="68"/>
      <c r="D459" s="68"/>
      <c r="E459" s="69"/>
      <c r="M459" s="68"/>
      <c r="O459" s="68"/>
      <c r="P459" s="68"/>
      <c r="Q459" s="68"/>
      <c r="R459" s="68"/>
      <c r="S459" s="68"/>
    </row>
    <row r="460" spans="1:19" ht="15.75" customHeight="1">
      <c r="A460" s="68"/>
      <c r="B460" s="68"/>
      <c r="D460" s="68"/>
      <c r="E460" s="69"/>
      <c r="M460" s="68"/>
      <c r="O460" s="68"/>
      <c r="P460" s="68"/>
      <c r="Q460" s="68"/>
      <c r="R460" s="68"/>
      <c r="S460" s="68"/>
    </row>
    <row r="461" spans="1:19" ht="15.75" customHeight="1">
      <c r="A461" s="68"/>
      <c r="B461" s="68"/>
      <c r="D461" s="68"/>
      <c r="E461" s="69"/>
      <c r="M461" s="68"/>
      <c r="O461" s="68"/>
      <c r="P461" s="68"/>
      <c r="Q461" s="68"/>
      <c r="R461" s="68"/>
      <c r="S461" s="68"/>
    </row>
    <row r="462" spans="1:19" ht="15.75" customHeight="1">
      <c r="A462" s="68"/>
      <c r="B462" s="68"/>
      <c r="D462" s="68"/>
      <c r="E462" s="69"/>
      <c r="M462" s="68"/>
      <c r="O462" s="68"/>
      <c r="P462" s="68"/>
      <c r="Q462" s="68"/>
      <c r="R462" s="68"/>
      <c r="S462" s="68"/>
    </row>
    <row r="463" spans="1:19" ht="15.75" customHeight="1">
      <c r="A463" s="68"/>
      <c r="B463" s="68"/>
      <c r="D463" s="68"/>
      <c r="E463" s="69"/>
      <c r="M463" s="68"/>
      <c r="O463" s="68"/>
      <c r="P463" s="68"/>
      <c r="Q463" s="68"/>
      <c r="R463" s="68"/>
      <c r="S463" s="68"/>
    </row>
    <row r="464" spans="1:19" ht="15.75" customHeight="1">
      <c r="A464" s="68"/>
      <c r="B464" s="68"/>
      <c r="D464" s="68"/>
      <c r="E464" s="69"/>
      <c r="M464" s="68"/>
      <c r="O464" s="68"/>
      <c r="P464" s="68"/>
      <c r="Q464" s="68"/>
      <c r="R464" s="68"/>
      <c r="S464" s="68"/>
    </row>
    <row r="465" spans="1:19" ht="15.75" customHeight="1">
      <c r="A465" s="68"/>
      <c r="B465" s="68"/>
      <c r="D465" s="68"/>
      <c r="E465" s="69"/>
      <c r="M465" s="68"/>
      <c r="O465" s="68"/>
      <c r="P465" s="68"/>
      <c r="Q465" s="68"/>
      <c r="R465" s="68"/>
      <c r="S465" s="68"/>
    </row>
    <row r="466" spans="1:19" ht="15.75" customHeight="1">
      <c r="A466" s="68"/>
      <c r="B466" s="68"/>
      <c r="D466" s="68"/>
      <c r="E466" s="69"/>
      <c r="M466" s="68"/>
      <c r="O466" s="68"/>
      <c r="P466" s="68"/>
      <c r="Q466" s="68"/>
      <c r="R466" s="68"/>
      <c r="S466" s="68"/>
    </row>
    <row r="467" spans="1:19" ht="15.75" customHeight="1">
      <c r="A467" s="68"/>
      <c r="B467" s="68"/>
      <c r="D467" s="68"/>
      <c r="E467" s="69"/>
      <c r="M467" s="68"/>
      <c r="O467" s="68"/>
      <c r="P467" s="68"/>
      <c r="Q467" s="68"/>
      <c r="R467" s="68"/>
      <c r="S467" s="68"/>
    </row>
    <row r="468" spans="1:19" ht="15.75" customHeight="1">
      <c r="A468" s="68"/>
      <c r="B468" s="68"/>
      <c r="D468" s="68"/>
      <c r="E468" s="69"/>
      <c r="M468" s="68"/>
      <c r="O468" s="68"/>
      <c r="P468" s="68"/>
      <c r="Q468" s="68"/>
      <c r="R468" s="68"/>
      <c r="S468" s="68"/>
    </row>
    <row r="469" spans="1:19" ht="15.75" customHeight="1">
      <c r="A469" s="68"/>
      <c r="B469" s="68"/>
      <c r="D469" s="68"/>
      <c r="E469" s="69"/>
      <c r="M469" s="68"/>
      <c r="O469" s="68"/>
      <c r="P469" s="68"/>
      <c r="Q469" s="68"/>
      <c r="R469" s="68"/>
      <c r="S469" s="68"/>
    </row>
    <row r="470" spans="1:19" ht="15.75" customHeight="1">
      <c r="A470" s="68"/>
      <c r="B470" s="68"/>
      <c r="D470" s="68"/>
      <c r="E470" s="69"/>
      <c r="M470" s="68"/>
      <c r="O470" s="68"/>
      <c r="P470" s="68"/>
      <c r="Q470" s="68"/>
      <c r="R470" s="68"/>
      <c r="S470" s="68"/>
    </row>
    <row r="471" spans="1:19" ht="15.75" customHeight="1">
      <c r="A471" s="68"/>
      <c r="B471" s="68"/>
      <c r="D471" s="68"/>
      <c r="E471" s="69"/>
      <c r="M471" s="68"/>
      <c r="O471" s="68"/>
      <c r="P471" s="68"/>
      <c r="Q471" s="68"/>
      <c r="R471" s="68"/>
      <c r="S471" s="68"/>
    </row>
    <row r="472" spans="1:19" ht="15.75" customHeight="1">
      <c r="A472" s="68"/>
      <c r="B472" s="68"/>
      <c r="D472" s="68"/>
      <c r="E472" s="69"/>
      <c r="M472" s="68"/>
      <c r="O472" s="68"/>
      <c r="P472" s="68"/>
      <c r="Q472" s="68"/>
      <c r="R472" s="68"/>
      <c r="S472" s="68"/>
    </row>
    <row r="473" spans="1:19" ht="15.75" customHeight="1">
      <c r="A473" s="68"/>
      <c r="B473" s="68"/>
      <c r="D473" s="68"/>
      <c r="E473" s="69"/>
      <c r="M473" s="68"/>
      <c r="O473" s="68"/>
      <c r="P473" s="68"/>
      <c r="Q473" s="68"/>
      <c r="R473" s="68"/>
      <c r="S473" s="68"/>
    </row>
    <row r="474" spans="1:19" ht="15.75" customHeight="1">
      <c r="A474" s="68"/>
      <c r="B474" s="68"/>
      <c r="D474" s="68"/>
      <c r="E474" s="69"/>
      <c r="M474" s="68"/>
      <c r="O474" s="68"/>
      <c r="P474" s="68"/>
      <c r="Q474" s="68"/>
      <c r="R474" s="68"/>
      <c r="S474" s="68"/>
    </row>
    <row r="475" spans="1:19" ht="15.75" customHeight="1">
      <c r="A475" s="68"/>
      <c r="B475" s="68"/>
      <c r="D475" s="68"/>
      <c r="E475" s="69"/>
      <c r="M475" s="68"/>
      <c r="O475" s="68"/>
      <c r="P475" s="68"/>
      <c r="Q475" s="68"/>
      <c r="R475" s="68"/>
      <c r="S475" s="68"/>
    </row>
    <row r="476" spans="1:19" ht="15.75" customHeight="1">
      <c r="A476" s="68"/>
      <c r="B476" s="68"/>
      <c r="D476" s="68"/>
      <c r="E476" s="69"/>
      <c r="M476" s="68"/>
      <c r="O476" s="68"/>
      <c r="P476" s="68"/>
      <c r="Q476" s="68"/>
      <c r="R476" s="68"/>
      <c r="S476" s="68"/>
    </row>
    <row r="477" spans="1:19" ht="15.75" customHeight="1">
      <c r="A477" s="68"/>
      <c r="B477" s="68"/>
      <c r="D477" s="68"/>
      <c r="E477" s="69"/>
      <c r="M477" s="68"/>
      <c r="O477" s="68"/>
      <c r="P477" s="68"/>
      <c r="Q477" s="68"/>
      <c r="R477" s="68"/>
      <c r="S477" s="68"/>
    </row>
    <row r="478" spans="1:19" ht="15.75" customHeight="1">
      <c r="A478" s="68"/>
      <c r="B478" s="68"/>
      <c r="D478" s="68"/>
      <c r="E478" s="69"/>
      <c r="M478" s="68"/>
      <c r="O478" s="68"/>
      <c r="P478" s="68"/>
      <c r="Q478" s="68"/>
      <c r="R478" s="68"/>
      <c r="S478" s="68"/>
    </row>
    <row r="479" spans="1:19" ht="15.75" customHeight="1">
      <c r="A479" s="68"/>
      <c r="B479" s="68"/>
      <c r="D479" s="68"/>
      <c r="E479" s="69"/>
      <c r="M479" s="68"/>
      <c r="O479" s="68"/>
      <c r="P479" s="68"/>
      <c r="Q479" s="68"/>
      <c r="R479" s="68"/>
      <c r="S479" s="68"/>
    </row>
    <row r="480" spans="1:19" ht="15.75" customHeight="1">
      <c r="A480" s="68"/>
      <c r="B480" s="68"/>
      <c r="D480" s="68"/>
      <c r="E480" s="69"/>
      <c r="M480" s="68"/>
      <c r="O480" s="68"/>
      <c r="P480" s="68"/>
      <c r="Q480" s="68"/>
      <c r="R480" s="68"/>
      <c r="S480" s="68"/>
    </row>
    <row r="481" spans="1:19" ht="15.75" customHeight="1">
      <c r="A481" s="68"/>
      <c r="B481" s="68"/>
      <c r="D481" s="68"/>
      <c r="E481" s="69"/>
      <c r="M481" s="68"/>
      <c r="O481" s="68"/>
      <c r="P481" s="68"/>
      <c r="Q481" s="68"/>
      <c r="R481" s="68"/>
      <c r="S481" s="68"/>
    </row>
    <row r="482" spans="1:19" ht="15.75" customHeight="1">
      <c r="A482" s="68"/>
      <c r="B482" s="68"/>
      <c r="D482" s="68"/>
      <c r="E482" s="69"/>
      <c r="M482" s="68"/>
      <c r="O482" s="68"/>
      <c r="P482" s="68"/>
      <c r="Q482" s="68"/>
      <c r="R482" s="68"/>
      <c r="S482" s="68"/>
    </row>
    <row r="483" spans="1:19" ht="15.75" customHeight="1">
      <c r="A483" s="68"/>
      <c r="B483" s="68"/>
      <c r="D483" s="68"/>
      <c r="E483" s="69"/>
      <c r="M483" s="68"/>
      <c r="O483" s="68"/>
      <c r="P483" s="68"/>
      <c r="Q483" s="68"/>
      <c r="R483" s="68"/>
      <c r="S483" s="68"/>
    </row>
    <row r="484" spans="1:19" ht="15.75" customHeight="1">
      <c r="A484" s="68"/>
      <c r="B484" s="68"/>
      <c r="D484" s="68"/>
      <c r="E484" s="69"/>
      <c r="M484" s="68"/>
      <c r="O484" s="68"/>
      <c r="P484" s="68"/>
      <c r="Q484" s="68"/>
      <c r="R484" s="68"/>
      <c r="S484" s="68"/>
    </row>
    <row r="485" spans="1:19" ht="15.75" customHeight="1">
      <c r="A485" s="68"/>
      <c r="B485" s="68"/>
      <c r="D485" s="68"/>
      <c r="E485" s="69"/>
      <c r="M485" s="68"/>
      <c r="O485" s="68"/>
      <c r="P485" s="68"/>
      <c r="Q485" s="68"/>
      <c r="R485" s="68"/>
      <c r="S485" s="68"/>
    </row>
    <row r="486" spans="1:19" ht="15.75" customHeight="1">
      <c r="A486" s="68"/>
      <c r="B486" s="68"/>
      <c r="D486" s="68"/>
      <c r="E486" s="69"/>
      <c r="M486" s="68"/>
      <c r="O486" s="68"/>
      <c r="P486" s="68"/>
      <c r="Q486" s="68"/>
      <c r="R486" s="68"/>
      <c r="S486" s="68"/>
    </row>
    <row r="487" spans="1:19" ht="15.75" customHeight="1">
      <c r="A487" s="68"/>
      <c r="B487" s="68"/>
      <c r="D487" s="68"/>
      <c r="E487" s="69"/>
      <c r="M487" s="68"/>
      <c r="O487" s="68"/>
      <c r="P487" s="68"/>
      <c r="Q487" s="68"/>
      <c r="R487" s="68"/>
      <c r="S487" s="68"/>
    </row>
    <row r="488" spans="1:19" ht="15.75" customHeight="1">
      <c r="A488" s="68"/>
      <c r="B488" s="68"/>
      <c r="D488" s="68"/>
      <c r="E488" s="69"/>
      <c r="M488" s="68"/>
      <c r="O488" s="68"/>
      <c r="P488" s="68"/>
      <c r="Q488" s="68"/>
      <c r="R488" s="68"/>
      <c r="S488" s="68"/>
    </row>
    <row r="489" spans="1:19" ht="15.75" customHeight="1">
      <c r="A489" s="68"/>
      <c r="B489" s="68"/>
      <c r="D489" s="68"/>
      <c r="E489" s="69"/>
      <c r="M489" s="68"/>
      <c r="O489" s="68"/>
      <c r="P489" s="68"/>
      <c r="Q489" s="68"/>
      <c r="R489" s="68"/>
      <c r="S489" s="68"/>
    </row>
    <row r="490" spans="1:19" ht="15.75" customHeight="1">
      <c r="A490" s="68"/>
      <c r="B490" s="68"/>
      <c r="D490" s="68"/>
      <c r="E490" s="69"/>
      <c r="M490" s="68"/>
      <c r="O490" s="68"/>
      <c r="P490" s="68"/>
      <c r="Q490" s="68"/>
      <c r="R490" s="68"/>
      <c r="S490" s="68"/>
    </row>
    <row r="491" spans="1:19" ht="15.75" customHeight="1">
      <c r="A491" s="68"/>
      <c r="B491" s="68"/>
      <c r="D491" s="68"/>
      <c r="E491" s="69"/>
      <c r="M491" s="68"/>
      <c r="O491" s="68"/>
      <c r="P491" s="68"/>
      <c r="Q491" s="68"/>
      <c r="R491" s="68"/>
      <c r="S491" s="68"/>
    </row>
    <row r="492" spans="1:19" ht="15.75" customHeight="1">
      <c r="A492" s="68"/>
      <c r="B492" s="68"/>
      <c r="D492" s="68"/>
      <c r="E492" s="69"/>
      <c r="M492" s="68"/>
      <c r="O492" s="68"/>
      <c r="P492" s="68"/>
      <c r="Q492" s="68"/>
      <c r="R492" s="68"/>
      <c r="S492" s="68"/>
    </row>
    <row r="493" spans="1:19" ht="15.75" customHeight="1">
      <c r="A493" s="68"/>
      <c r="B493" s="68"/>
      <c r="D493" s="68"/>
      <c r="E493" s="69"/>
      <c r="M493" s="68"/>
      <c r="O493" s="68"/>
      <c r="P493" s="68"/>
      <c r="Q493" s="68"/>
      <c r="R493" s="68"/>
      <c r="S493" s="68"/>
    </row>
    <row r="494" spans="1:19" ht="15.75" customHeight="1">
      <c r="A494" s="68"/>
      <c r="B494" s="68"/>
      <c r="D494" s="68"/>
      <c r="E494" s="69"/>
      <c r="M494" s="68"/>
      <c r="O494" s="68"/>
      <c r="P494" s="68"/>
      <c r="Q494" s="68"/>
      <c r="R494" s="68"/>
      <c r="S494" s="68"/>
    </row>
    <row r="495" spans="1:19" ht="15.75" customHeight="1">
      <c r="A495" s="68"/>
      <c r="B495" s="68"/>
      <c r="D495" s="68"/>
      <c r="E495" s="69"/>
      <c r="M495" s="68"/>
      <c r="O495" s="68"/>
      <c r="P495" s="68"/>
      <c r="Q495" s="68"/>
      <c r="R495" s="68"/>
      <c r="S495" s="68"/>
    </row>
    <row r="496" spans="1:19" ht="15.75" customHeight="1">
      <c r="A496" s="68"/>
      <c r="B496" s="68"/>
      <c r="D496" s="68"/>
      <c r="E496" s="69"/>
      <c r="M496" s="68"/>
      <c r="O496" s="68"/>
      <c r="P496" s="68"/>
      <c r="Q496" s="68"/>
      <c r="R496" s="68"/>
      <c r="S496" s="68"/>
    </row>
    <row r="497" spans="1:19" ht="15.75" customHeight="1">
      <c r="A497" s="68"/>
      <c r="B497" s="68"/>
      <c r="D497" s="68"/>
      <c r="E497" s="69"/>
      <c r="M497" s="68"/>
      <c r="O497" s="68"/>
      <c r="P497" s="68"/>
      <c r="Q497" s="68"/>
      <c r="R497" s="68"/>
      <c r="S497" s="68"/>
    </row>
    <row r="498" spans="1:19" ht="15.75" customHeight="1">
      <c r="A498" s="68"/>
      <c r="B498" s="68"/>
      <c r="D498" s="68"/>
      <c r="E498" s="69"/>
      <c r="M498" s="68"/>
      <c r="O498" s="68"/>
      <c r="P498" s="68"/>
      <c r="Q498" s="68"/>
      <c r="R498" s="68"/>
      <c r="S498" s="68"/>
    </row>
    <row r="499" spans="1:19" ht="15.75" customHeight="1">
      <c r="A499" s="68"/>
      <c r="B499" s="68"/>
      <c r="D499" s="68"/>
      <c r="E499" s="69"/>
      <c r="M499" s="68"/>
      <c r="O499" s="68"/>
      <c r="P499" s="68"/>
      <c r="Q499" s="68"/>
      <c r="R499" s="68"/>
      <c r="S499" s="68"/>
    </row>
    <row r="500" spans="1:19" ht="15.75" customHeight="1">
      <c r="A500" s="68"/>
      <c r="B500" s="68"/>
      <c r="D500" s="68"/>
      <c r="E500" s="69"/>
      <c r="M500" s="68"/>
      <c r="O500" s="68"/>
      <c r="P500" s="68"/>
      <c r="Q500" s="68"/>
      <c r="R500" s="68"/>
      <c r="S500" s="68"/>
    </row>
    <row r="501" spans="1:19" ht="15.75" customHeight="1">
      <c r="A501" s="68"/>
      <c r="B501" s="68"/>
      <c r="D501" s="68"/>
      <c r="E501" s="69"/>
      <c r="M501" s="68"/>
      <c r="O501" s="68"/>
      <c r="P501" s="68"/>
      <c r="Q501" s="68"/>
      <c r="R501" s="68"/>
      <c r="S501" s="68"/>
    </row>
    <row r="502" spans="1:19" ht="15.75" customHeight="1">
      <c r="A502" s="68"/>
      <c r="B502" s="68"/>
      <c r="D502" s="68"/>
      <c r="E502" s="69"/>
      <c r="M502" s="68"/>
      <c r="O502" s="68"/>
      <c r="P502" s="68"/>
      <c r="Q502" s="68"/>
      <c r="R502" s="68"/>
      <c r="S502" s="68"/>
    </row>
    <row r="503" spans="1:19" ht="15.75" customHeight="1">
      <c r="A503" s="68"/>
      <c r="B503" s="68"/>
      <c r="D503" s="68"/>
      <c r="E503" s="69"/>
      <c r="M503" s="68"/>
      <c r="O503" s="68"/>
      <c r="P503" s="68"/>
      <c r="Q503" s="68"/>
      <c r="R503" s="68"/>
      <c r="S503" s="68"/>
    </row>
    <row r="504" spans="1:19" ht="15.75" customHeight="1">
      <c r="A504" s="68"/>
      <c r="B504" s="68"/>
      <c r="D504" s="68"/>
      <c r="E504" s="69"/>
      <c r="M504" s="68"/>
      <c r="O504" s="68"/>
      <c r="P504" s="68"/>
      <c r="Q504" s="68"/>
      <c r="R504" s="68"/>
      <c r="S504" s="68"/>
    </row>
    <row r="505" spans="1:19" ht="15.75" customHeight="1">
      <c r="A505" s="68"/>
      <c r="B505" s="68"/>
      <c r="D505" s="68"/>
      <c r="E505" s="69"/>
      <c r="M505" s="68"/>
      <c r="O505" s="68"/>
      <c r="P505" s="68"/>
      <c r="Q505" s="68"/>
      <c r="R505" s="68"/>
      <c r="S505" s="68"/>
    </row>
    <row r="506" spans="1:19" ht="15.75" customHeight="1">
      <c r="A506" s="68"/>
      <c r="B506" s="68"/>
      <c r="D506" s="68"/>
      <c r="E506" s="69"/>
      <c r="M506" s="68"/>
      <c r="O506" s="68"/>
      <c r="P506" s="68"/>
      <c r="Q506" s="68"/>
      <c r="R506" s="68"/>
      <c r="S506" s="68"/>
    </row>
    <row r="507" spans="1:19" ht="15.75" customHeight="1">
      <c r="A507" s="68"/>
      <c r="B507" s="68"/>
      <c r="D507" s="68"/>
      <c r="E507" s="69"/>
      <c r="M507" s="68"/>
      <c r="O507" s="68"/>
      <c r="P507" s="68"/>
      <c r="Q507" s="68"/>
      <c r="R507" s="68"/>
      <c r="S507" s="68"/>
    </row>
    <row r="508" spans="1:19" ht="15.75" customHeight="1">
      <c r="A508" s="68"/>
      <c r="B508" s="68"/>
      <c r="D508" s="68"/>
      <c r="E508" s="69"/>
      <c r="M508" s="68"/>
      <c r="O508" s="68"/>
      <c r="P508" s="68"/>
      <c r="Q508" s="68"/>
      <c r="R508" s="68"/>
      <c r="S508" s="68"/>
    </row>
    <row r="509" spans="1:19" ht="15.75" customHeight="1">
      <c r="A509" s="68"/>
      <c r="B509" s="68"/>
      <c r="D509" s="68"/>
      <c r="E509" s="69"/>
      <c r="M509" s="68"/>
      <c r="O509" s="68"/>
      <c r="P509" s="68"/>
      <c r="Q509" s="68"/>
      <c r="R509" s="68"/>
      <c r="S509" s="68"/>
    </row>
    <row r="510" spans="1:19" ht="15.75" customHeight="1">
      <c r="A510" s="68"/>
      <c r="B510" s="68"/>
      <c r="D510" s="68"/>
      <c r="E510" s="69"/>
      <c r="M510" s="68"/>
      <c r="O510" s="68"/>
      <c r="P510" s="68"/>
      <c r="Q510" s="68"/>
      <c r="R510" s="68"/>
      <c r="S510" s="68"/>
    </row>
    <row r="511" spans="1:19" ht="15.75" customHeight="1">
      <c r="A511" s="68"/>
      <c r="B511" s="68"/>
      <c r="D511" s="68"/>
      <c r="E511" s="69"/>
      <c r="M511" s="68"/>
      <c r="O511" s="68"/>
      <c r="P511" s="68"/>
      <c r="Q511" s="68"/>
      <c r="R511" s="68"/>
      <c r="S511" s="68"/>
    </row>
    <row r="512" spans="1:19" ht="15.75" customHeight="1">
      <c r="A512" s="68"/>
      <c r="B512" s="68"/>
      <c r="D512" s="68"/>
      <c r="E512" s="69"/>
      <c r="M512" s="68"/>
      <c r="O512" s="68"/>
      <c r="P512" s="68"/>
      <c r="Q512" s="68"/>
      <c r="R512" s="68"/>
      <c r="S512" s="68"/>
    </row>
    <row r="513" spans="1:19" ht="15.75" customHeight="1">
      <c r="A513" s="68"/>
      <c r="B513" s="68"/>
      <c r="D513" s="68"/>
      <c r="E513" s="69"/>
      <c r="M513" s="68"/>
      <c r="O513" s="68"/>
      <c r="P513" s="68"/>
      <c r="Q513" s="68"/>
      <c r="R513" s="68"/>
      <c r="S513" s="68"/>
    </row>
    <row r="514" spans="1:19" ht="15.75" customHeight="1">
      <c r="A514" s="68"/>
      <c r="B514" s="68"/>
      <c r="D514" s="68"/>
      <c r="E514" s="69"/>
      <c r="M514" s="68"/>
      <c r="O514" s="68"/>
      <c r="P514" s="68"/>
      <c r="Q514" s="68"/>
      <c r="R514" s="68"/>
      <c r="S514" s="68"/>
    </row>
    <row r="515" spans="1:19" ht="15.75" customHeight="1">
      <c r="A515" s="68"/>
      <c r="B515" s="68"/>
      <c r="D515" s="68"/>
      <c r="E515" s="69"/>
      <c r="M515" s="68"/>
      <c r="O515" s="68"/>
      <c r="P515" s="68"/>
      <c r="Q515" s="68"/>
      <c r="R515" s="68"/>
      <c r="S515" s="68"/>
    </row>
    <row r="516" spans="1:19" ht="15.75" customHeight="1">
      <c r="A516" s="68"/>
      <c r="B516" s="68"/>
      <c r="D516" s="68"/>
      <c r="E516" s="69"/>
      <c r="M516" s="68"/>
      <c r="O516" s="68"/>
      <c r="P516" s="68"/>
      <c r="Q516" s="68"/>
      <c r="R516" s="68"/>
      <c r="S516" s="68"/>
    </row>
    <row r="517" spans="1:19" ht="15.75" customHeight="1">
      <c r="A517" s="68"/>
      <c r="B517" s="68"/>
      <c r="D517" s="68"/>
      <c r="E517" s="69"/>
      <c r="M517" s="68"/>
      <c r="O517" s="68"/>
      <c r="P517" s="68"/>
      <c r="Q517" s="68"/>
      <c r="R517" s="68"/>
      <c r="S517" s="68"/>
    </row>
    <row r="518" spans="1:19" ht="15.75" customHeight="1">
      <c r="A518" s="68"/>
      <c r="B518" s="68"/>
      <c r="D518" s="68"/>
      <c r="E518" s="69"/>
      <c r="M518" s="68"/>
      <c r="O518" s="68"/>
      <c r="P518" s="68"/>
      <c r="Q518" s="68"/>
      <c r="R518" s="68"/>
      <c r="S518" s="68"/>
    </row>
    <row r="519" spans="1:19" ht="15.75" customHeight="1">
      <c r="A519" s="68"/>
      <c r="B519" s="68"/>
      <c r="D519" s="68"/>
      <c r="E519" s="69"/>
      <c r="M519" s="68"/>
      <c r="O519" s="68"/>
      <c r="P519" s="68"/>
      <c r="Q519" s="68"/>
      <c r="R519" s="68"/>
      <c r="S519" s="68"/>
    </row>
    <row r="520" spans="1:19" ht="15.75" customHeight="1">
      <c r="A520" s="68"/>
      <c r="B520" s="68"/>
      <c r="D520" s="68"/>
      <c r="E520" s="69"/>
      <c r="M520" s="68"/>
      <c r="O520" s="68"/>
      <c r="P520" s="68"/>
      <c r="Q520" s="68"/>
      <c r="R520" s="68"/>
      <c r="S520" s="68"/>
    </row>
    <row r="521" spans="1:19" ht="15.75" customHeight="1">
      <c r="A521" s="68"/>
      <c r="B521" s="68"/>
      <c r="D521" s="68"/>
      <c r="E521" s="69"/>
      <c r="M521" s="68"/>
      <c r="O521" s="68"/>
      <c r="P521" s="68"/>
      <c r="Q521" s="68"/>
      <c r="R521" s="68"/>
      <c r="S521" s="68"/>
    </row>
    <row r="522" spans="1:19" ht="15.75" customHeight="1">
      <c r="A522" s="68"/>
      <c r="B522" s="68"/>
      <c r="D522" s="68"/>
      <c r="E522" s="69"/>
      <c r="M522" s="68"/>
      <c r="O522" s="68"/>
      <c r="P522" s="68"/>
      <c r="Q522" s="68"/>
      <c r="R522" s="68"/>
      <c r="S522" s="68"/>
    </row>
    <row r="523" spans="1:19" ht="15.75" customHeight="1">
      <c r="A523" s="68"/>
      <c r="B523" s="68"/>
      <c r="D523" s="68"/>
      <c r="E523" s="69"/>
      <c r="M523" s="68"/>
      <c r="O523" s="68"/>
      <c r="P523" s="68"/>
      <c r="Q523" s="68"/>
      <c r="R523" s="68"/>
      <c r="S523" s="68"/>
    </row>
    <row r="524" spans="1:19" ht="15.75" customHeight="1">
      <c r="A524" s="68"/>
      <c r="B524" s="68"/>
      <c r="D524" s="68"/>
      <c r="E524" s="69"/>
      <c r="M524" s="68"/>
      <c r="O524" s="68"/>
      <c r="P524" s="68"/>
      <c r="Q524" s="68"/>
      <c r="R524" s="68"/>
      <c r="S524" s="68"/>
    </row>
    <row r="525" spans="1:19" ht="15.75" customHeight="1">
      <c r="A525" s="68"/>
      <c r="B525" s="68"/>
      <c r="D525" s="68"/>
      <c r="E525" s="69"/>
      <c r="M525" s="68"/>
      <c r="O525" s="68"/>
      <c r="P525" s="68"/>
      <c r="Q525" s="68"/>
      <c r="R525" s="68"/>
      <c r="S525" s="68"/>
    </row>
    <row r="526" spans="1:19" ht="15.75" customHeight="1">
      <c r="A526" s="68"/>
      <c r="B526" s="68"/>
      <c r="D526" s="68"/>
      <c r="E526" s="69"/>
      <c r="M526" s="68"/>
      <c r="O526" s="68"/>
      <c r="P526" s="68"/>
      <c r="Q526" s="68"/>
      <c r="R526" s="68"/>
      <c r="S526" s="68"/>
    </row>
    <row r="527" spans="1:19" ht="15.75" customHeight="1">
      <c r="A527" s="68"/>
      <c r="B527" s="68"/>
      <c r="D527" s="68"/>
      <c r="E527" s="69"/>
      <c r="M527" s="68"/>
      <c r="O527" s="68"/>
      <c r="P527" s="68"/>
      <c r="Q527" s="68"/>
      <c r="R527" s="68"/>
      <c r="S527" s="68"/>
    </row>
    <row r="528" spans="1:19" ht="15.75" customHeight="1">
      <c r="A528" s="68"/>
      <c r="B528" s="68"/>
      <c r="D528" s="68"/>
      <c r="E528" s="69"/>
      <c r="M528" s="68"/>
      <c r="O528" s="68"/>
      <c r="P528" s="68"/>
      <c r="Q528" s="68"/>
      <c r="R528" s="68"/>
      <c r="S528" s="68"/>
    </row>
    <row r="529" spans="1:19" ht="15.75" customHeight="1">
      <c r="A529" s="68"/>
      <c r="B529" s="68"/>
      <c r="D529" s="68"/>
      <c r="E529" s="69"/>
      <c r="M529" s="68"/>
      <c r="O529" s="68"/>
      <c r="P529" s="68"/>
      <c r="Q529" s="68"/>
      <c r="R529" s="68"/>
      <c r="S529" s="68"/>
    </row>
    <row r="530" spans="1:19" ht="15.75" customHeight="1">
      <c r="A530" s="68"/>
      <c r="B530" s="68"/>
      <c r="D530" s="68"/>
      <c r="E530" s="69"/>
      <c r="M530" s="68"/>
      <c r="O530" s="68"/>
      <c r="P530" s="68"/>
      <c r="Q530" s="68"/>
      <c r="R530" s="68"/>
      <c r="S530" s="68"/>
    </row>
    <row r="531" spans="1:19" ht="15.75" customHeight="1">
      <c r="A531" s="68"/>
      <c r="B531" s="68"/>
      <c r="D531" s="68"/>
      <c r="E531" s="69"/>
      <c r="M531" s="68"/>
      <c r="O531" s="68"/>
      <c r="P531" s="68"/>
      <c r="Q531" s="68"/>
      <c r="R531" s="68"/>
      <c r="S531" s="68"/>
    </row>
    <row r="532" spans="1:19" ht="15.75" customHeight="1">
      <c r="A532" s="68"/>
      <c r="B532" s="68"/>
      <c r="D532" s="68"/>
      <c r="E532" s="69"/>
      <c r="M532" s="68"/>
      <c r="O532" s="68"/>
      <c r="P532" s="68"/>
      <c r="Q532" s="68"/>
      <c r="R532" s="68"/>
      <c r="S532" s="68"/>
    </row>
    <row r="533" spans="1:19" ht="15.75" customHeight="1">
      <c r="A533" s="68"/>
      <c r="B533" s="68"/>
      <c r="D533" s="68"/>
      <c r="E533" s="69"/>
      <c r="M533" s="68"/>
      <c r="O533" s="68"/>
      <c r="P533" s="68"/>
      <c r="Q533" s="68"/>
      <c r="R533" s="68"/>
      <c r="S533" s="68"/>
    </row>
    <row r="534" spans="1:19" ht="15.75" customHeight="1">
      <c r="A534" s="68"/>
      <c r="B534" s="68"/>
      <c r="D534" s="68"/>
      <c r="E534" s="69"/>
      <c r="M534" s="68"/>
      <c r="O534" s="68"/>
      <c r="P534" s="68"/>
      <c r="Q534" s="68"/>
      <c r="R534" s="68"/>
      <c r="S534" s="68"/>
    </row>
    <row r="535" spans="1:19" ht="15.75" customHeight="1">
      <c r="A535" s="68"/>
      <c r="B535" s="68"/>
      <c r="D535" s="68"/>
      <c r="E535" s="69"/>
      <c r="M535" s="68"/>
      <c r="O535" s="68"/>
      <c r="P535" s="68"/>
      <c r="Q535" s="68"/>
      <c r="R535" s="68"/>
      <c r="S535" s="68"/>
    </row>
    <row r="536" spans="1:19" ht="15.75" customHeight="1">
      <c r="A536" s="68"/>
      <c r="B536" s="68"/>
      <c r="D536" s="68"/>
      <c r="E536" s="69"/>
      <c r="M536" s="68"/>
      <c r="O536" s="68"/>
      <c r="P536" s="68"/>
      <c r="Q536" s="68"/>
      <c r="R536" s="68"/>
      <c r="S536" s="68"/>
    </row>
    <row r="537" spans="1:19" ht="15.75" customHeight="1">
      <c r="A537" s="68"/>
      <c r="B537" s="68"/>
      <c r="D537" s="68"/>
      <c r="E537" s="69"/>
      <c r="M537" s="68"/>
      <c r="O537" s="68"/>
      <c r="P537" s="68"/>
      <c r="Q537" s="68"/>
      <c r="R537" s="68"/>
      <c r="S537" s="68"/>
    </row>
    <row r="538" spans="1:19" ht="15.75" customHeight="1">
      <c r="A538" s="68"/>
      <c r="B538" s="68"/>
      <c r="D538" s="68"/>
      <c r="E538" s="69"/>
      <c r="M538" s="68"/>
      <c r="O538" s="68"/>
      <c r="P538" s="68"/>
      <c r="Q538" s="68"/>
      <c r="R538" s="68"/>
      <c r="S538" s="68"/>
    </row>
    <row r="539" spans="1:19" ht="15.75" customHeight="1">
      <c r="A539" s="68"/>
      <c r="B539" s="68"/>
      <c r="D539" s="68"/>
      <c r="E539" s="69"/>
      <c r="M539" s="68"/>
      <c r="O539" s="68"/>
      <c r="P539" s="68"/>
      <c r="Q539" s="68"/>
      <c r="R539" s="68"/>
      <c r="S539" s="68"/>
    </row>
    <row r="540" spans="1:19" ht="15.75" customHeight="1">
      <c r="A540" s="68"/>
      <c r="B540" s="68"/>
      <c r="D540" s="68"/>
      <c r="E540" s="69"/>
      <c r="M540" s="68"/>
      <c r="O540" s="68"/>
      <c r="P540" s="68"/>
      <c r="Q540" s="68"/>
      <c r="R540" s="68"/>
      <c r="S540" s="68"/>
    </row>
    <row r="541" spans="1:19" ht="15.75" customHeight="1">
      <c r="A541" s="68"/>
      <c r="B541" s="68"/>
      <c r="D541" s="68"/>
      <c r="E541" s="69"/>
      <c r="M541" s="68"/>
      <c r="O541" s="68"/>
      <c r="P541" s="68"/>
      <c r="Q541" s="68"/>
      <c r="R541" s="68"/>
      <c r="S541" s="68"/>
    </row>
    <row r="542" spans="1:19" ht="15.75" customHeight="1">
      <c r="A542" s="68"/>
      <c r="B542" s="68"/>
      <c r="D542" s="68"/>
      <c r="E542" s="69"/>
      <c r="M542" s="68"/>
      <c r="O542" s="68"/>
      <c r="P542" s="68"/>
      <c r="Q542" s="68"/>
      <c r="R542" s="68"/>
      <c r="S542" s="68"/>
    </row>
    <row r="543" spans="1:19" ht="15.75" customHeight="1">
      <c r="A543" s="68"/>
      <c r="B543" s="68"/>
      <c r="D543" s="68"/>
      <c r="E543" s="69"/>
      <c r="M543" s="68"/>
      <c r="O543" s="68"/>
      <c r="P543" s="68"/>
      <c r="Q543" s="68"/>
      <c r="R543" s="68"/>
      <c r="S543" s="68"/>
    </row>
    <row r="544" spans="1:19" ht="15.75" customHeight="1">
      <c r="A544" s="68"/>
      <c r="B544" s="68"/>
      <c r="D544" s="68"/>
      <c r="E544" s="69"/>
      <c r="M544" s="68"/>
      <c r="O544" s="68"/>
      <c r="P544" s="68"/>
      <c r="Q544" s="68"/>
      <c r="R544" s="68"/>
      <c r="S544" s="68"/>
    </row>
    <row r="545" spans="1:19" ht="15.75" customHeight="1">
      <c r="A545" s="68"/>
      <c r="B545" s="68"/>
      <c r="D545" s="68"/>
      <c r="E545" s="69"/>
      <c r="M545" s="68"/>
      <c r="O545" s="68"/>
      <c r="P545" s="68"/>
      <c r="Q545" s="68"/>
      <c r="R545" s="68"/>
      <c r="S545" s="68"/>
    </row>
    <row r="546" spans="1:19" ht="15.75" customHeight="1">
      <c r="A546" s="68"/>
      <c r="B546" s="68"/>
      <c r="D546" s="68"/>
      <c r="E546" s="69"/>
      <c r="M546" s="68"/>
      <c r="O546" s="68"/>
      <c r="P546" s="68"/>
      <c r="Q546" s="68"/>
      <c r="R546" s="68"/>
      <c r="S546" s="68"/>
    </row>
    <row r="547" spans="1:19" ht="15.75" customHeight="1">
      <c r="A547" s="68"/>
      <c r="B547" s="68"/>
      <c r="D547" s="68"/>
      <c r="E547" s="69"/>
      <c r="M547" s="68"/>
      <c r="O547" s="68"/>
      <c r="P547" s="68"/>
      <c r="Q547" s="68"/>
      <c r="R547" s="68"/>
      <c r="S547" s="68"/>
    </row>
    <row r="548" spans="1:19" ht="15.75" customHeight="1">
      <c r="A548" s="68"/>
      <c r="B548" s="68"/>
      <c r="D548" s="68"/>
      <c r="E548" s="69"/>
      <c r="M548" s="68"/>
      <c r="O548" s="68"/>
      <c r="P548" s="68"/>
      <c r="Q548" s="68"/>
      <c r="R548" s="68"/>
      <c r="S548" s="68"/>
    </row>
    <row r="549" spans="1:19" ht="15.75" customHeight="1">
      <c r="A549" s="68"/>
      <c r="B549" s="68"/>
      <c r="D549" s="68"/>
      <c r="E549" s="69"/>
      <c r="M549" s="68"/>
      <c r="O549" s="68"/>
      <c r="P549" s="68"/>
      <c r="Q549" s="68"/>
      <c r="R549" s="68"/>
      <c r="S549" s="68"/>
    </row>
    <row r="550" spans="1:19" ht="15.75" customHeight="1">
      <c r="A550" s="68"/>
      <c r="B550" s="68"/>
      <c r="D550" s="68"/>
      <c r="E550" s="69"/>
      <c r="M550" s="68"/>
      <c r="O550" s="68"/>
      <c r="P550" s="68"/>
      <c r="Q550" s="68"/>
      <c r="R550" s="68"/>
      <c r="S550" s="68"/>
    </row>
    <row r="551" spans="1:19" ht="15.75" customHeight="1">
      <c r="A551" s="68"/>
      <c r="B551" s="68"/>
      <c r="D551" s="68"/>
      <c r="E551" s="69"/>
      <c r="M551" s="68"/>
      <c r="O551" s="68"/>
      <c r="P551" s="68"/>
      <c r="Q551" s="68"/>
      <c r="R551" s="68"/>
      <c r="S551" s="68"/>
    </row>
    <row r="552" spans="1:19" ht="15.75" customHeight="1">
      <c r="A552" s="68"/>
      <c r="B552" s="68"/>
      <c r="D552" s="68"/>
      <c r="E552" s="69"/>
      <c r="M552" s="68"/>
      <c r="O552" s="68"/>
      <c r="P552" s="68"/>
      <c r="Q552" s="68"/>
      <c r="R552" s="68"/>
      <c r="S552" s="68"/>
    </row>
    <row r="553" spans="1:19" ht="15.75" customHeight="1">
      <c r="A553" s="68"/>
      <c r="B553" s="68"/>
      <c r="D553" s="68"/>
      <c r="E553" s="69"/>
      <c r="M553" s="68"/>
      <c r="O553" s="68"/>
      <c r="P553" s="68"/>
      <c r="Q553" s="68"/>
      <c r="R553" s="68"/>
      <c r="S553" s="68"/>
    </row>
    <row r="554" spans="1:19" ht="15.75" customHeight="1">
      <c r="A554" s="68"/>
      <c r="B554" s="68"/>
      <c r="D554" s="68"/>
      <c r="E554" s="69"/>
      <c r="M554" s="68"/>
      <c r="O554" s="68"/>
      <c r="P554" s="68"/>
      <c r="Q554" s="68"/>
      <c r="R554" s="68"/>
      <c r="S554" s="68"/>
    </row>
    <row r="555" spans="1:19" ht="15.75" customHeight="1">
      <c r="A555" s="68"/>
      <c r="B555" s="68"/>
      <c r="D555" s="68"/>
      <c r="E555" s="69"/>
      <c r="M555" s="68"/>
      <c r="O555" s="68"/>
      <c r="P555" s="68"/>
      <c r="Q555" s="68"/>
      <c r="R555" s="68"/>
      <c r="S555" s="68"/>
    </row>
    <row r="556" spans="1:19" ht="15.75" customHeight="1">
      <c r="A556" s="68"/>
      <c r="B556" s="68"/>
      <c r="D556" s="68"/>
      <c r="E556" s="69"/>
      <c r="M556" s="68"/>
      <c r="O556" s="68"/>
      <c r="P556" s="68"/>
      <c r="Q556" s="68"/>
      <c r="R556" s="68"/>
      <c r="S556" s="68"/>
    </row>
    <row r="557" spans="1:19" ht="15.75" customHeight="1">
      <c r="A557" s="68"/>
      <c r="B557" s="68"/>
      <c r="D557" s="68"/>
      <c r="E557" s="69"/>
      <c r="M557" s="68"/>
      <c r="O557" s="68"/>
      <c r="P557" s="68"/>
      <c r="Q557" s="68"/>
      <c r="R557" s="68"/>
      <c r="S557" s="68"/>
    </row>
    <row r="558" spans="1:19" ht="15.75" customHeight="1">
      <c r="A558" s="68"/>
      <c r="B558" s="68"/>
      <c r="D558" s="68"/>
      <c r="E558" s="69"/>
      <c r="M558" s="68"/>
      <c r="O558" s="68"/>
      <c r="P558" s="68"/>
      <c r="Q558" s="68"/>
      <c r="R558" s="68"/>
      <c r="S558" s="68"/>
    </row>
    <row r="559" spans="1:19" ht="15.75" customHeight="1">
      <c r="A559" s="68"/>
      <c r="B559" s="68"/>
      <c r="D559" s="68"/>
      <c r="E559" s="69"/>
      <c r="M559" s="68"/>
      <c r="O559" s="68"/>
      <c r="P559" s="68"/>
      <c r="Q559" s="68"/>
      <c r="R559" s="68"/>
      <c r="S559" s="68"/>
    </row>
    <row r="560" spans="1:19" ht="15.75" customHeight="1">
      <c r="A560" s="68"/>
      <c r="B560" s="68"/>
      <c r="D560" s="68"/>
      <c r="E560" s="69"/>
      <c r="M560" s="68"/>
      <c r="O560" s="68"/>
      <c r="P560" s="68"/>
      <c r="Q560" s="68"/>
      <c r="R560" s="68"/>
      <c r="S560" s="68"/>
    </row>
    <row r="561" spans="1:19" ht="15.75" customHeight="1">
      <c r="A561" s="68"/>
      <c r="B561" s="68"/>
      <c r="D561" s="68"/>
      <c r="E561" s="69"/>
      <c r="M561" s="68"/>
      <c r="O561" s="68"/>
      <c r="P561" s="68"/>
      <c r="Q561" s="68"/>
      <c r="R561" s="68"/>
      <c r="S561" s="68"/>
    </row>
    <row r="562" spans="1:19" ht="15.75" customHeight="1">
      <c r="A562" s="68"/>
      <c r="B562" s="68"/>
      <c r="D562" s="68"/>
      <c r="E562" s="69"/>
      <c r="M562" s="68"/>
      <c r="O562" s="68"/>
      <c r="P562" s="68"/>
      <c r="Q562" s="68"/>
      <c r="R562" s="68"/>
      <c r="S562" s="68"/>
    </row>
    <row r="563" spans="1:19" ht="15.75" customHeight="1">
      <c r="A563" s="68"/>
      <c r="B563" s="68"/>
      <c r="D563" s="68"/>
      <c r="E563" s="69"/>
      <c r="M563" s="68"/>
      <c r="O563" s="68"/>
      <c r="P563" s="68"/>
      <c r="Q563" s="68"/>
      <c r="R563" s="68"/>
      <c r="S563" s="68"/>
    </row>
    <row r="564" spans="1:19" ht="15.75" customHeight="1">
      <c r="A564" s="68"/>
      <c r="B564" s="68"/>
      <c r="D564" s="68"/>
      <c r="E564" s="69"/>
      <c r="M564" s="68"/>
      <c r="O564" s="68"/>
      <c r="P564" s="68"/>
      <c r="Q564" s="68"/>
      <c r="R564" s="68"/>
      <c r="S564" s="68"/>
    </row>
    <row r="565" spans="1:19" ht="15.75" customHeight="1">
      <c r="A565" s="68"/>
      <c r="B565" s="68"/>
      <c r="D565" s="68"/>
      <c r="E565" s="69"/>
      <c r="M565" s="68"/>
      <c r="O565" s="68"/>
      <c r="P565" s="68"/>
      <c r="Q565" s="68"/>
      <c r="R565" s="68"/>
      <c r="S565" s="68"/>
    </row>
    <row r="566" spans="1:19" ht="15.75" customHeight="1">
      <c r="A566" s="68"/>
      <c r="B566" s="68"/>
      <c r="D566" s="68"/>
      <c r="E566" s="69"/>
      <c r="M566" s="68"/>
      <c r="O566" s="68"/>
      <c r="P566" s="68"/>
      <c r="Q566" s="68"/>
      <c r="R566" s="68"/>
      <c r="S566" s="68"/>
    </row>
    <row r="567" spans="1:19" ht="15.75" customHeight="1">
      <c r="A567" s="68"/>
      <c r="B567" s="68"/>
      <c r="D567" s="68"/>
      <c r="E567" s="69"/>
      <c r="M567" s="68"/>
      <c r="O567" s="68"/>
      <c r="P567" s="68"/>
      <c r="Q567" s="68"/>
      <c r="R567" s="68"/>
      <c r="S567" s="68"/>
    </row>
    <row r="568" spans="1:19" ht="15.75" customHeight="1">
      <c r="A568" s="68"/>
      <c r="B568" s="68"/>
      <c r="D568" s="68"/>
      <c r="E568" s="69"/>
      <c r="M568" s="68"/>
      <c r="O568" s="68"/>
      <c r="P568" s="68"/>
      <c r="Q568" s="68"/>
      <c r="R568" s="68"/>
      <c r="S568" s="68"/>
    </row>
    <row r="569" spans="1:19" ht="15.75" customHeight="1">
      <c r="A569" s="68"/>
      <c r="B569" s="68"/>
      <c r="D569" s="68"/>
      <c r="E569" s="69"/>
      <c r="M569" s="68"/>
      <c r="O569" s="68"/>
      <c r="P569" s="68"/>
      <c r="Q569" s="68"/>
      <c r="R569" s="68"/>
      <c r="S569" s="68"/>
    </row>
    <row r="570" spans="1:19" ht="15.75" customHeight="1">
      <c r="A570" s="68"/>
      <c r="B570" s="68"/>
      <c r="D570" s="68"/>
      <c r="E570" s="69"/>
      <c r="M570" s="68"/>
      <c r="O570" s="68"/>
      <c r="P570" s="68"/>
      <c r="Q570" s="68"/>
      <c r="R570" s="68"/>
      <c r="S570" s="68"/>
    </row>
    <row r="571" spans="1:19" ht="15.75" customHeight="1">
      <c r="A571" s="68"/>
      <c r="B571" s="68"/>
      <c r="D571" s="68"/>
      <c r="E571" s="69"/>
      <c r="M571" s="68"/>
      <c r="O571" s="68"/>
      <c r="P571" s="68"/>
      <c r="Q571" s="68"/>
      <c r="R571" s="68"/>
      <c r="S571" s="68"/>
    </row>
    <row r="572" spans="1:19" ht="15.75" customHeight="1">
      <c r="A572" s="68"/>
      <c r="B572" s="68"/>
      <c r="D572" s="68"/>
      <c r="E572" s="69"/>
      <c r="M572" s="68"/>
      <c r="O572" s="68"/>
      <c r="P572" s="68"/>
      <c r="Q572" s="68"/>
      <c r="R572" s="68"/>
      <c r="S572" s="68"/>
    </row>
    <row r="573" spans="1:19" ht="15.75" customHeight="1">
      <c r="A573" s="68"/>
      <c r="B573" s="68"/>
      <c r="D573" s="68"/>
      <c r="E573" s="69"/>
      <c r="M573" s="68"/>
      <c r="O573" s="68"/>
      <c r="P573" s="68"/>
      <c r="Q573" s="68"/>
      <c r="R573" s="68"/>
      <c r="S573" s="68"/>
    </row>
    <row r="574" spans="1:19" ht="15.75" customHeight="1">
      <c r="A574" s="68"/>
      <c r="B574" s="68"/>
      <c r="D574" s="68"/>
      <c r="E574" s="69"/>
      <c r="M574" s="68"/>
      <c r="O574" s="68"/>
      <c r="P574" s="68"/>
      <c r="Q574" s="68"/>
      <c r="R574" s="68"/>
      <c r="S574" s="68"/>
    </row>
    <row r="575" spans="1:19" ht="15.75" customHeight="1">
      <c r="A575" s="68"/>
      <c r="B575" s="68"/>
      <c r="D575" s="68"/>
      <c r="E575" s="69"/>
      <c r="M575" s="68"/>
      <c r="O575" s="68"/>
      <c r="P575" s="68"/>
      <c r="Q575" s="68"/>
      <c r="R575" s="68"/>
      <c r="S575" s="68"/>
    </row>
    <row r="576" spans="1:19" ht="15.75" customHeight="1">
      <c r="A576" s="68"/>
      <c r="B576" s="68"/>
      <c r="D576" s="68"/>
      <c r="E576" s="69"/>
      <c r="M576" s="68"/>
      <c r="O576" s="68"/>
      <c r="P576" s="68"/>
      <c r="Q576" s="68"/>
      <c r="R576" s="68"/>
      <c r="S576" s="68"/>
    </row>
    <row r="577" spans="1:19" ht="15.75" customHeight="1">
      <c r="A577" s="68"/>
      <c r="B577" s="68"/>
      <c r="D577" s="68"/>
      <c r="E577" s="69"/>
      <c r="M577" s="68"/>
      <c r="O577" s="68"/>
      <c r="P577" s="68"/>
      <c r="Q577" s="68"/>
      <c r="R577" s="68"/>
      <c r="S577" s="68"/>
    </row>
    <row r="578" spans="1:19" ht="15.75" customHeight="1">
      <c r="A578" s="68"/>
      <c r="B578" s="68"/>
      <c r="D578" s="68"/>
      <c r="E578" s="69"/>
      <c r="M578" s="68"/>
      <c r="O578" s="68"/>
      <c r="P578" s="68"/>
      <c r="Q578" s="68"/>
      <c r="R578" s="68"/>
      <c r="S578" s="68"/>
    </row>
    <row r="579" spans="1:19" ht="15.75" customHeight="1">
      <c r="A579" s="68"/>
      <c r="B579" s="68"/>
      <c r="D579" s="68"/>
      <c r="E579" s="69"/>
      <c r="M579" s="68"/>
      <c r="O579" s="68"/>
      <c r="P579" s="68"/>
      <c r="Q579" s="68"/>
      <c r="R579" s="68"/>
      <c r="S579" s="68"/>
    </row>
    <row r="580" spans="1:19" ht="15.75" customHeight="1">
      <c r="A580" s="68"/>
      <c r="B580" s="68"/>
      <c r="D580" s="68"/>
      <c r="E580" s="69"/>
      <c r="M580" s="68"/>
      <c r="O580" s="68"/>
      <c r="P580" s="68"/>
      <c r="Q580" s="68"/>
      <c r="R580" s="68"/>
      <c r="S580" s="68"/>
    </row>
    <row r="581" spans="1:19" ht="15.75" customHeight="1">
      <c r="A581" s="68"/>
      <c r="B581" s="68"/>
      <c r="D581" s="68"/>
      <c r="E581" s="69"/>
      <c r="M581" s="68"/>
      <c r="O581" s="68"/>
      <c r="P581" s="68"/>
      <c r="Q581" s="68"/>
      <c r="R581" s="68"/>
      <c r="S581" s="68"/>
    </row>
    <row r="582" spans="1:19" ht="15.75" customHeight="1">
      <c r="A582" s="68"/>
      <c r="B582" s="68"/>
      <c r="D582" s="68"/>
      <c r="E582" s="69"/>
      <c r="M582" s="68"/>
      <c r="O582" s="68"/>
      <c r="P582" s="68"/>
      <c r="Q582" s="68"/>
      <c r="R582" s="68"/>
      <c r="S582" s="68"/>
    </row>
    <row r="583" spans="1:19" ht="15.75" customHeight="1">
      <c r="A583" s="68"/>
      <c r="B583" s="68"/>
      <c r="D583" s="68"/>
      <c r="E583" s="69"/>
      <c r="M583" s="68"/>
      <c r="O583" s="68"/>
      <c r="P583" s="68"/>
      <c r="Q583" s="68"/>
      <c r="R583" s="68"/>
      <c r="S583" s="68"/>
    </row>
    <row r="584" spans="1:19" ht="15.75" customHeight="1">
      <c r="A584" s="68"/>
      <c r="B584" s="68"/>
      <c r="D584" s="68"/>
      <c r="E584" s="69"/>
      <c r="M584" s="68"/>
      <c r="O584" s="68"/>
      <c r="P584" s="68"/>
      <c r="Q584" s="68"/>
      <c r="R584" s="68"/>
      <c r="S584" s="68"/>
    </row>
    <row r="585" spans="1:19" ht="15.75" customHeight="1">
      <c r="A585" s="68"/>
      <c r="B585" s="68"/>
      <c r="D585" s="68"/>
      <c r="E585" s="69"/>
      <c r="M585" s="68"/>
      <c r="O585" s="68"/>
      <c r="P585" s="68"/>
      <c r="Q585" s="68"/>
      <c r="R585" s="68"/>
      <c r="S585" s="68"/>
    </row>
    <row r="586" spans="1:19" ht="15.75" customHeight="1">
      <c r="A586" s="68"/>
      <c r="B586" s="68"/>
      <c r="D586" s="68"/>
      <c r="E586" s="69"/>
      <c r="M586" s="68"/>
      <c r="O586" s="68"/>
      <c r="P586" s="68"/>
      <c r="Q586" s="68"/>
      <c r="R586" s="68"/>
      <c r="S586" s="68"/>
    </row>
    <row r="587" spans="1:19" ht="15.75" customHeight="1">
      <c r="A587" s="68"/>
      <c r="B587" s="68"/>
      <c r="D587" s="68"/>
      <c r="E587" s="69"/>
      <c r="M587" s="68"/>
      <c r="O587" s="68"/>
      <c r="P587" s="68"/>
      <c r="Q587" s="68"/>
      <c r="R587" s="68"/>
      <c r="S587" s="68"/>
    </row>
    <row r="588" spans="1:19" ht="15.75" customHeight="1">
      <c r="A588" s="68"/>
      <c r="B588" s="68"/>
      <c r="D588" s="68"/>
      <c r="E588" s="69"/>
      <c r="M588" s="68"/>
      <c r="O588" s="68"/>
      <c r="P588" s="68"/>
      <c r="Q588" s="68"/>
      <c r="R588" s="68"/>
      <c r="S588" s="68"/>
    </row>
    <row r="589" spans="1:19" ht="15.75" customHeight="1">
      <c r="A589" s="68"/>
      <c r="B589" s="68"/>
      <c r="D589" s="68"/>
      <c r="E589" s="69"/>
      <c r="M589" s="68"/>
      <c r="O589" s="68"/>
      <c r="P589" s="68"/>
      <c r="Q589" s="68"/>
      <c r="R589" s="68"/>
      <c r="S589" s="68"/>
    </row>
    <row r="590" spans="1:19" ht="15.75" customHeight="1">
      <c r="A590" s="68"/>
      <c r="B590" s="68"/>
      <c r="D590" s="68"/>
      <c r="E590" s="69"/>
      <c r="M590" s="68"/>
      <c r="O590" s="68"/>
      <c r="P590" s="68"/>
      <c r="Q590" s="68"/>
      <c r="R590" s="68"/>
      <c r="S590" s="68"/>
    </row>
    <row r="591" spans="1:19" ht="15.75" customHeight="1">
      <c r="A591" s="68"/>
      <c r="B591" s="68"/>
      <c r="D591" s="68"/>
      <c r="E591" s="69"/>
      <c r="M591" s="68"/>
      <c r="O591" s="68"/>
      <c r="P591" s="68"/>
      <c r="Q591" s="68"/>
      <c r="R591" s="68"/>
      <c r="S591" s="68"/>
    </row>
    <row r="592" spans="1:19" ht="15.75" customHeight="1">
      <c r="A592" s="68"/>
      <c r="B592" s="68"/>
      <c r="D592" s="68"/>
      <c r="E592" s="69"/>
      <c r="M592" s="68"/>
      <c r="O592" s="68"/>
      <c r="P592" s="68"/>
      <c r="Q592" s="68"/>
      <c r="R592" s="68"/>
      <c r="S592" s="68"/>
    </row>
    <row r="593" spans="1:19" ht="15.75" customHeight="1">
      <c r="A593" s="68"/>
      <c r="B593" s="68"/>
      <c r="D593" s="68"/>
      <c r="E593" s="69"/>
      <c r="M593" s="68"/>
      <c r="O593" s="68"/>
      <c r="P593" s="68"/>
      <c r="Q593" s="68"/>
      <c r="R593" s="68"/>
      <c r="S593" s="68"/>
    </row>
    <row r="594" spans="1:19" ht="15.75" customHeight="1">
      <c r="A594" s="68"/>
      <c r="B594" s="68"/>
      <c r="D594" s="68"/>
      <c r="E594" s="69"/>
      <c r="M594" s="68"/>
      <c r="O594" s="68"/>
      <c r="P594" s="68"/>
      <c r="Q594" s="68"/>
      <c r="R594" s="68"/>
      <c r="S594" s="68"/>
    </row>
    <row r="595" spans="1:19" ht="15.75" customHeight="1">
      <c r="A595" s="68"/>
      <c r="B595" s="68"/>
      <c r="D595" s="68"/>
      <c r="E595" s="69"/>
      <c r="M595" s="68"/>
      <c r="O595" s="68"/>
      <c r="P595" s="68"/>
      <c r="Q595" s="68"/>
      <c r="R595" s="68"/>
      <c r="S595" s="68"/>
    </row>
    <row r="596" spans="1:19" ht="15.75" customHeight="1">
      <c r="A596" s="68"/>
      <c r="B596" s="68"/>
      <c r="D596" s="68"/>
      <c r="E596" s="69"/>
      <c r="M596" s="68"/>
      <c r="O596" s="68"/>
      <c r="P596" s="68"/>
      <c r="Q596" s="68"/>
      <c r="R596" s="68"/>
      <c r="S596" s="68"/>
    </row>
    <row r="597" spans="1:19" ht="15.75" customHeight="1">
      <c r="A597" s="68"/>
      <c r="B597" s="68"/>
      <c r="D597" s="68"/>
      <c r="E597" s="69"/>
      <c r="M597" s="68"/>
      <c r="O597" s="68"/>
      <c r="P597" s="68"/>
      <c r="Q597" s="68"/>
      <c r="R597" s="68"/>
      <c r="S597" s="68"/>
    </row>
    <row r="598" spans="1:19" ht="15.75" customHeight="1">
      <c r="A598" s="68"/>
      <c r="B598" s="68"/>
      <c r="D598" s="68"/>
      <c r="E598" s="69"/>
      <c r="M598" s="68"/>
      <c r="O598" s="68"/>
      <c r="P598" s="68"/>
      <c r="Q598" s="68"/>
      <c r="R598" s="68"/>
      <c r="S598" s="68"/>
    </row>
    <row r="599" spans="1:19" ht="15.75" customHeight="1">
      <c r="A599" s="68"/>
      <c r="B599" s="68"/>
      <c r="D599" s="68"/>
      <c r="E599" s="69"/>
      <c r="M599" s="68"/>
      <c r="O599" s="68"/>
      <c r="P599" s="68"/>
      <c r="Q599" s="68"/>
      <c r="R599" s="68"/>
      <c r="S599" s="68"/>
    </row>
    <row r="600" spans="1:19" ht="15.75" customHeight="1">
      <c r="A600" s="68"/>
      <c r="B600" s="68"/>
      <c r="D600" s="68"/>
      <c r="E600" s="69"/>
      <c r="M600" s="68"/>
      <c r="O600" s="68"/>
      <c r="P600" s="68"/>
      <c r="Q600" s="68"/>
      <c r="R600" s="68"/>
      <c r="S600" s="68"/>
    </row>
    <row r="601" spans="1:19" ht="15.75" customHeight="1">
      <c r="A601" s="68"/>
      <c r="B601" s="68"/>
      <c r="D601" s="68"/>
      <c r="E601" s="69"/>
      <c r="M601" s="68"/>
      <c r="O601" s="68"/>
      <c r="P601" s="68"/>
      <c r="Q601" s="68"/>
      <c r="R601" s="68"/>
      <c r="S601" s="68"/>
    </row>
    <row r="602" spans="1:19" ht="15.75" customHeight="1">
      <c r="A602" s="68"/>
      <c r="B602" s="68"/>
      <c r="D602" s="68"/>
      <c r="E602" s="69"/>
      <c r="M602" s="68"/>
      <c r="O602" s="68"/>
      <c r="P602" s="68"/>
      <c r="Q602" s="68"/>
      <c r="R602" s="68"/>
      <c r="S602" s="68"/>
    </row>
    <row r="603" spans="1:19" ht="15.75" customHeight="1">
      <c r="A603" s="68"/>
      <c r="B603" s="68"/>
      <c r="D603" s="68"/>
      <c r="E603" s="69"/>
      <c r="M603" s="68"/>
      <c r="O603" s="68"/>
      <c r="P603" s="68"/>
      <c r="Q603" s="68"/>
      <c r="R603" s="68"/>
      <c r="S603" s="68"/>
    </row>
    <row r="604" spans="1:19" ht="15.75" customHeight="1">
      <c r="A604" s="68"/>
      <c r="B604" s="68"/>
      <c r="D604" s="68"/>
      <c r="E604" s="69"/>
      <c r="M604" s="68"/>
      <c r="O604" s="68"/>
      <c r="P604" s="68"/>
      <c r="Q604" s="68"/>
      <c r="R604" s="68"/>
      <c r="S604" s="68"/>
    </row>
    <row r="605" spans="1:19" ht="15.75" customHeight="1">
      <c r="A605" s="68"/>
      <c r="B605" s="68"/>
      <c r="D605" s="68"/>
      <c r="E605" s="69"/>
      <c r="M605" s="68"/>
      <c r="O605" s="68"/>
      <c r="P605" s="68"/>
      <c r="Q605" s="68"/>
      <c r="R605" s="68"/>
      <c r="S605" s="68"/>
    </row>
    <row r="606" spans="1:19" ht="15.75" customHeight="1">
      <c r="A606" s="68"/>
      <c r="B606" s="68"/>
      <c r="D606" s="68"/>
      <c r="E606" s="69"/>
      <c r="M606" s="68"/>
      <c r="O606" s="68"/>
      <c r="P606" s="68"/>
      <c r="Q606" s="68"/>
      <c r="R606" s="68"/>
      <c r="S606" s="68"/>
    </row>
    <row r="607" spans="1:19" ht="15.75" customHeight="1">
      <c r="A607" s="68"/>
      <c r="B607" s="68"/>
      <c r="D607" s="68"/>
      <c r="E607" s="69"/>
      <c r="M607" s="68"/>
      <c r="O607" s="68"/>
      <c r="P607" s="68"/>
      <c r="Q607" s="68"/>
      <c r="R607" s="68"/>
      <c r="S607" s="68"/>
    </row>
    <row r="608" spans="1:19" ht="15.75" customHeight="1">
      <c r="A608" s="68"/>
      <c r="B608" s="68"/>
      <c r="D608" s="68"/>
      <c r="E608" s="69"/>
      <c r="M608" s="68"/>
      <c r="O608" s="68"/>
      <c r="P608" s="68"/>
      <c r="Q608" s="68"/>
      <c r="R608" s="68"/>
      <c r="S608" s="68"/>
    </row>
    <row r="609" spans="1:19" ht="15.75" customHeight="1">
      <c r="A609" s="68"/>
      <c r="B609" s="68"/>
      <c r="D609" s="68"/>
      <c r="E609" s="69"/>
      <c r="M609" s="68"/>
      <c r="O609" s="68"/>
      <c r="P609" s="68"/>
      <c r="Q609" s="68"/>
      <c r="R609" s="68"/>
      <c r="S609" s="68"/>
    </row>
    <row r="610" spans="1:19" ht="15.75" customHeight="1">
      <c r="A610" s="68"/>
      <c r="B610" s="68"/>
      <c r="D610" s="68"/>
      <c r="E610" s="69"/>
      <c r="M610" s="68"/>
      <c r="O610" s="68"/>
      <c r="P610" s="68"/>
      <c r="Q610" s="68"/>
      <c r="R610" s="68"/>
      <c r="S610" s="68"/>
    </row>
    <row r="611" spans="1:19" ht="15.75" customHeight="1">
      <c r="A611" s="68"/>
      <c r="B611" s="68"/>
      <c r="D611" s="68"/>
      <c r="E611" s="69"/>
      <c r="M611" s="68"/>
      <c r="O611" s="68"/>
      <c r="P611" s="68"/>
      <c r="Q611" s="68"/>
      <c r="R611" s="68"/>
      <c r="S611" s="68"/>
    </row>
    <row r="612" spans="1:19" ht="15.75" customHeight="1">
      <c r="A612" s="68"/>
      <c r="B612" s="68"/>
      <c r="D612" s="68"/>
      <c r="E612" s="69"/>
      <c r="M612" s="68"/>
      <c r="O612" s="68"/>
      <c r="P612" s="68"/>
      <c r="Q612" s="68"/>
      <c r="R612" s="68"/>
      <c r="S612" s="68"/>
    </row>
    <row r="613" spans="1:19" ht="15.75" customHeight="1">
      <c r="A613" s="68"/>
      <c r="B613" s="68"/>
      <c r="D613" s="68"/>
      <c r="E613" s="69"/>
      <c r="M613" s="68"/>
      <c r="O613" s="68"/>
      <c r="P613" s="68"/>
      <c r="Q613" s="68"/>
      <c r="R613" s="68"/>
      <c r="S613" s="68"/>
    </row>
    <row r="614" spans="1:19" ht="15.75" customHeight="1">
      <c r="A614" s="68"/>
      <c r="B614" s="68"/>
      <c r="D614" s="68"/>
      <c r="E614" s="69"/>
      <c r="M614" s="68"/>
      <c r="O614" s="68"/>
      <c r="P614" s="68"/>
      <c r="Q614" s="68"/>
      <c r="R614" s="68"/>
      <c r="S614" s="68"/>
    </row>
    <row r="615" spans="1:19" ht="15.75" customHeight="1">
      <c r="A615" s="68"/>
      <c r="B615" s="68"/>
      <c r="D615" s="68"/>
      <c r="E615" s="69"/>
      <c r="M615" s="68"/>
      <c r="O615" s="68"/>
      <c r="P615" s="68"/>
      <c r="Q615" s="68"/>
      <c r="R615" s="68"/>
      <c r="S615" s="68"/>
    </row>
    <row r="616" spans="1:19" ht="15.75" customHeight="1">
      <c r="A616" s="68"/>
      <c r="B616" s="68"/>
      <c r="D616" s="68"/>
      <c r="E616" s="69"/>
      <c r="M616" s="68"/>
      <c r="O616" s="68"/>
      <c r="P616" s="68"/>
      <c r="Q616" s="68"/>
      <c r="R616" s="68"/>
      <c r="S616" s="68"/>
    </row>
    <row r="617" spans="1:19" ht="15.75" customHeight="1">
      <c r="A617" s="68"/>
      <c r="B617" s="68"/>
      <c r="D617" s="68"/>
      <c r="E617" s="69"/>
      <c r="M617" s="68"/>
      <c r="O617" s="68"/>
      <c r="P617" s="68"/>
      <c r="Q617" s="68"/>
      <c r="R617" s="68"/>
      <c r="S617" s="68"/>
    </row>
    <row r="618" spans="1:19" ht="15.75" customHeight="1">
      <c r="A618" s="68"/>
      <c r="B618" s="68"/>
      <c r="D618" s="68"/>
      <c r="E618" s="69"/>
      <c r="M618" s="68"/>
      <c r="O618" s="68"/>
      <c r="P618" s="68"/>
      <c r="Q618" s="68"/>
      <c r="R618" s="68"/>
      <c r="S618" s="68"/>
    </row>
    <row r="619" spans="1:19" ht="15.75" customHeight="1">
      <c r="A619" s="68"/>
      <c r="B619" s="68"/>
      <c r="D619" s="68"/>
      <c r="E619" s="69"/>
      <c r="M619" s="68"/>
      <c r="O619" s="68"/>
      <c r="P619" s="68"/>
      <c r="Q619" s="68"/>
      <c r="R619" s="68"/>
      <c r="S619" s="68"/>
    </row>
    <row r="620" spans="1:19" ht="15.75" customHeight="1">
      <c r="A620" s="68"/>
      <c r="B620" s="68"/>
      <c r="D620" s="68"/>
      <c r="E620" s="69"/>
      <c r="M620" s="68"/>
      <c r="O620" s="68"/>
      <c r="P620" s="68"/>
      <c r="Q620" s="68"/>
      <c r="R620" s="68"/>
      <c r="S620" s="68"/>
    </row>
    <row r="621" spans="1:19" ht="15.75" customHeight="1">
      <c r="A621" s="68"/>
      <c r="B621" s="68"/>
      <c r="D621" s="68"/>
      <c r="E621" s="69"/>
      <c r="M621" s="68"/>
      <c r="O621" s="68"/>
      <c r="P621" s="68"/>
      <c r="Q621" s="68"/>
      <c r="R621" s="68"/>
      <c r="S621" s="68"/>
    </row>
    <row r="622" spans="1:19" ht="15.75" customHeight="1">
      <c r="A622" s="68"/>
      <c r="B622" s="68"/>
      <c r="D622" s="68"/>
      <c r="E622" s="69"/>
      <c r="M622" s="68"/>
      <c r="O622" s="68"/>
      <c r="P622" s="68"/>
      <c r="Q622" s="68"/>
      <c r="R622" s="68"/>
      <c r="S622" s="68"/>
    </row>
    <row r="623" spans="1:19" ht="15.75" customHeight="1">
      <c r="A623" s="68"/>
      <c r="B623" s="68"/>
      <c r="D623" s="68"/>
      <c r="E623" s="69"/>
      <c r="M623" s="68"/>
      <c r="O623" s="68"/>
      <c r="P623" s="68"/>
      <c r="Q623" s="68"/>
      <c r="R623" s="68"/>
      <c r="S623" s="68"/>
    </row>
    <row r="624" spans="1:19" ht="15.75" customHeight="1">
      <c r="A624" s="68"/>
      <c r="B624" s="68"/>
      <c r="D624" s="68"/>
      <c r="E624" s="69"/>
      <c r="M624" s="68"/>
      <c r="O624" s="68"/>
      <c r="P624" s="68"/>
      <c r="Q624" s="68"/>
      <c r="R624" s="68"/>
      <c r="S624" s="68"/>
    </row>
    <row r="625" spans="1:19" ht="15.75" customHeight="1">
      <c r="A625" s="68"/>
      <c r="B625" s="68"/>
      <c r="D625" s="68"/>
      <c r="E625" s="69"/>
      <c r="M625" s="68"/>
      <c r="O625" s="68"/>
      <c r="P625" s="68"/>
      <c r="Q625" s="68"/>
      <c r="R625" s="68"/>
      <c r="S625" s="68"/>
    </row>
    <row r="626" spans="1:19" ht="15.75" customHeight="1">
      <c r="A626" s="68"/>
      <c r="B626" s="68"/>
      <c r="D626" s="68"/>
      <c r="E626" s="69"/>
      <c r="M626" s="68"/>
      <c r="O626" s="68"/>
      <c r="P626" s="68"/>
      <c r="Q626" s="68"/>
      <c r="R626" s="68"/>
      <c r="S626" s="68"/>
    </row>
    <row r="627" spans="1:19" ht="15.75" customHeight="1">
      <c r="A627" s="68"/>
      <c r="B627" s="68"/>
      <c r="D627" s="68"/>
      <c r="E627" s="69"/>
      <c r="M627" s="68"/>
      <c r="O627" s="68"/>
      <c r="P627" s="68"/>
      <c r="Q627" s="68"/>
      <c r="R627" s="68"/>
      <c r="S627" s="68"/>
    </row>
    <row r="628" spans="1:19" ht="15.75" customHeight="1">
      <c r="A628" s="68"/>
      <c r="B628" s="68"/>
      <c r="D628" s="68"/>
      <c r="E628" s="69"/>
      <c r="M628" s="68"/>
      <c r="O628" s="68"/>
      <c r="P628" s="68"/>
      <c r="Q628" s="68"/>
      <c r="R628" s="68"/>
      <c r="S628" s="68"/>
    </row>
    <row r="629" spans="1:19" ht="15.75" customHeight="1">
      <c r="A629" s="68"/>
      <c r="B629" s="68"/>
      <c r="D629" s="68"/>
      <c r="E629" s="69"/>
      <c r="M629" s="68"/>
      <c r="O629" s="68"/>
      <c r="P629" s="68"/>
      <c r="Q629" s="68"/>
      <c r="R629" s="68"/>
      <c r="S629" s="68"/>
    </row>
    <row r="630" spans="1:19" ht="15.75" customHeight="1">
      <c r="A630" s="68"/>
      <c r="B630" s="68"/>
      <c r="D630" s="68"/>
      <c r="E630" s="69"/>
      <c r="M630" s="68"/>
      <c r="O630" s="68"/>
      <c r="P630" s="68"/>
      <c r="Q630" s="68"/>
      <c r="R630" s="68"/>
      <c r="S630" s="68"/>
    </row>
    <row r="631" spans="1:19" ht="15.75" customHeight="1">
      <c r="A631" s="68"/>
      <c r="B631" s="68"/>
      <c r="D631" s="68"/>
      <c r="E631" s="69"/>
      <c r="M631" s="68"/>
      <c r="O631" s="68"/>
      <c r="P631" s="68"/>
      <c r="Q631" s="68"/>
      <c r="R631" s="68"/>
      <c r="S631" s="68"/>
    </row>
    <row r="632" spans="1:19" ht="15.75" customHeight="1">
      <c r="A632" s="68"/>
      <c r="B632" s="68"/>
      <c r="D632" s="68"/>
      <c r="E632" s="69"/>
      <c r="M632" s="68"/>
      <c r="O632" s="68"/>
      <c r="P632" s="68"/>
      <c r="Q632" s="68"/>
      <c r="R632" s="68"/>
      <c r="S632" s="68"/>
    </row>
    <row r="633" spans="1:19" ht="15.75" customHeight="1">
      <c r="A633" s="68"/>
      <c r="B633" s="68"/>
      <c r="D633" s="68"/>
      <c r="E633" s="69"/>
      <c r="M633" s="68"/>
      <c r="O633" s="68"/>
      <c r="P633" s="68"/>
      <c r="Q633" s="68"/>
      <c r="R633" s="68"/>
      <c r="S633" s="68"/>
    </row>
    <row r="634" spans="1:19" ht="15.75" customHeight="1">
      <c r="A634" s="68"/>
      <c r="B634" s="68"/>
      <c r="D634" s="68"/>
      <c r="E634" s="69"/>
      <c r="M634" s="68"/>
      <c r="O634" s="68"/>
      <c r="P634" s="68"/>
      <c r="Q634" s="68"/>
      <c r="R634" s="68"/>
      <c r="S634" s="68"/>
    </row>
    <row r="635" spans="1:19" ht="15.75" customHeight="1">
      <c r="A635" s="68"/>
      <c r="B635" s="68"/>
      <c r="D635" s="68"/>
      <c r="E635" s="69"/>
      <c r="M635" s="68"/>
      <c r="O635" s="68"/>
      <c r="P635" s="68"/>
      <c r="Q635" s="68"/>
      <c r="R635" s="68"/>
      <c r="S635" s="68"/>
    </row>
    <row r="636" spans="1:19" ht="15.75" customHeight="1">
      <c r="A636" s="68"/>
      <c r="B636" s="68"/>
      <c r="D636" s="68"/>
      <c r="E636" s="69"/>
      <c r="M636" s="68"/>
      <c r="O636" s="68"/>
      <c r="P636" s="68"/>
      <c r="Q636" s="68"/>
      <c r="R636" s="68"/>
      <c r="S636" s="68"/>
    </row>
    <row r="637" spans="1:19" ht="15.75" customHeight="1">
      <c r="A637" s="68"/>
      <c r="B637" s="68"/>
      <c r="D637" s="68"/>
      <c r="E637" s="69"/>
      <c r="M637" s="68"/>
      <c r="O637" s="68"/>
      <c r="P637" s="68"/>
      <c r="Q637" s="68"/>
      <c r="R637" s="68"/>
      <c r="S637" s="68"/>
    </row>
    <row r="638" spans="1:19" ht="15.75" customHeight="1">
      <c r="A638" s="68"/>
      <c r="B638" s="68"/>
      <c r="D638" s="68"/>
      <c r="E638" s="69"/>
      <c r="M638" s="68"/>
      <c r="O638" s="68"/>
      <c r="P638" s="68"/>
      <c r="Q638" s="68"/>
      <c r="R638" s="68"/>
      <c r="S638" s="68"/>
    </row>
    <row r="639" spans="1:19" ht="15.75" customHeight="1">
      <c r="A639" s="68"/>
      <c r="B639" s="68"/>
      <c r="D639" s="68"/>
      <c r="E639" s="69"/>
      <c r="M639" s="68"/>
      <c r="O639" s="68"/>
      <c r="P639" s="68"/>
      <c r="Q639" s="68"/>
      <c r="R639" s="68"/>
      <c r="S639" s="68"/>
    </row>
    <row r="640" spans="1:19" ht="15.75" customHeight="1">
      <c r="A640" s="68"/>
      <c r="B640" s="68"/>
      <c r="D640" s="68"/>
      <c r="E640" s="69"/>
      <c r="M640" s="68"/>
      <c r="O640" s="68"/>
      <c r="P640" s="68"/>
      <c r="Q640" s="68"/>
      <c r="R640" s="68"/>
      <c r="S640" s="68"/>
    </row>
    <row r="641" spans="1:19" ht="15.75" customHeight="1">
      <c r="A641" s="68"/>
      <c r="B641" s="68"/>
      <c r="D641" s="68"/>
      <c r="E641" s="69"/>
      <c r="M641" s="68"/>
      <c r="O641" s="68"/>
      <c r="P641" s="68"/>
      <c r="Q641" s="68"/>
      <c r="R641" s="68"/>
      <c r="S641" s="68"/>
    </row>
    <row r="642" spans="1:19" ht="15.75" customHeight="1">
      <c r="A642" s="68"/>
      <c r="B642" s="68"/>
      <c r="D642" s="68"/>
      <c r="E642" s="69"/>
      <c r="M642" s="68"/>
      <c r="O642" s="68"/>
      <c r="P642" s="68"/>
      <c r="Q642" s="68"/>
      <c r="R642" s="68"/>
      <c r="S642" s="68"/>
    </row>
    <row r="643" spans="1:19" ht="15.75" customHeight="1">
      <c r="A643" s="68"/>
      <c r="B643" s="68"/>
      <c r="D643" s="68"/>
      <c r="E643" s="69"/>
      <c r="M643" s="68"/>
      <c r="O643" s="68"/>
      <c r="P643" s="68"/>
      <c r="Q643" s="68"/>
      <c r="R643" s="68"/>
      <c r="S643" s="68"/>
    </row>
    <row r="644" spans="1:19" ht="15.75" customHeight="1">
      <c r="A644" s="68"/>
      <c r="B644" s="68"/>
      <c r="D644" s="68"/>
      <c r="E644" s="69"/>
      <c r="M644" s="68"/>
      <c r="O644" s="68"/>
      <c r="P644" s="68"/>
      <c r="Q644" s="68"/>
      <c r="R644" s="68"/>
      <c r="S644" s="68"/>
    </row>
    <row r="645" spans="1:19" ht="15.75" customHeight="1">
      <c r="A645" s="68"/>
      <c r="B645" s="68"/>
      <c r="D645" s="68"/>
      <c r="E645" s="69"/>
      <c r="M645" s="68"/>
      <c r="O645" s="68"/>
      <c r="P645" s="68"/>
      <c r="Q645" s="68"/>
      <c r="R645" s="68"/>
      <c r="S645" s="68"/>
    </row>
    <row r="646" spans="1:19" ht="15.75" customHeight="1">
      <c r="A646" s="68"/>
      <c r="B646" s="68"/>
      <c r="D646" s="68"/>
      <c r="E646" s="69"/>
      <c r="M646" s="68"/>
      <c r="O646" s="68"/>
      <c r="P646" s="68"/>
      <c r="Q646" s="68"/>
      <c r="R646" s="68"/>
      <c r="S646" s="68"/>
    </row>
    <row r="647" spans="1:19" ht="15.75" customHeight="1">
      <c r="A647" s="68"/>
      <c r="B647" s="68"/>
      <c r="D647" s="68"/>
      <c r="E647" s="69"/>
      <c r="M647" s="68"/>
      <c r="O647" s="68"/>
      <c r="P647" s="68"/>
      <c r="Q647" s="68"/>
      <c r="R647" s="68"/>
      <c r="S647" s="68"/>
    </row>
    <row r="648" spans="1:19" ht="15.75" customHeight="1">
      <c r="A648" s="68"/>
      <c r="B648" s="68"/>
      <c r="D648" s="68"/>
      <c r="E648" s="69"/>
      <c r="M648" s="68"/>
      <c r="O648" s="68"/>
      <c r="P648" s="68"/>
      <c r="Q648" s="68"/>
      <c r="R648" s="68"/>
      <c r="S648" s="68"/>
    </row>
    <row r="649" spans="1:19" ht="15.75" customHeight="1">
      <c r="A649" s="68"/>
      <c r="B649" s="68"/>
      <c r="D649" s="68"/>
      <c r="E649" s="69"/>
      <c r="M649" s="68"/>
      <c r="O649" s="68"/>
      <c r="P649" s="68"/>
      <c r="Q649" s="68"/>
      <c r="R649" s="68"/>
      <c r="S649" s="68"/>
    </row>
    <row r="650" spans="1:19" ht="15.75" customHeight="1">
      <c r="A650" s="68"/>
      <c r="B650" s="68"/>
      <c r="D650" s="68"/>
      <c r="E650" s="69"/>
      <c r="M650" s="68"/>
      <c r="O650" s="68"/>
      <c r="P650" s="68"/>
      <c r="Q650" s="68"/>
      <c r="R650" s="68"/>
      <c r="S650" s="68"/>
    </row>
    <row r="651" spans="1:19" ht="15.75" customHeight="1">
      <c r="A651" s="68"/>
      <c r="B651" s="68"/>
      <c r="D651" s="68"/>
      <c r="E651" s="69"/>
      <c r="M651" s="68"/>
      <c r="O651" s="68"/>
      <c r="P651" s="68"/>
      <c r="Q651" s="68"/>
      <c r="R651" s="68"/>
      <c r="S651" s="68"/>
    </row>
    <row r="652" spans="1:19" ht="15.75" customHeight="1">
      <c r="A652" s="68"/>
      <c r="B652" s="68"/>
      <c r="D652" s="68"/>
      <c r="E652" s="69"/>
      <c r="M652" s="68"/>
      <c r="O652" s="68"/>
      <c r="P652" s="68"/>
      <c r="Q652" s="68"/>
      <c r="R652" s="68"/>
      <c r="S652" s="68"/>
    </row>
    <row r="653" spans="1:19" ht="15.75" customHeight="1">
      <c r="A653" s="68"/>
      <c r="B653" s="68"/>
      <c r="D653" s="68"/>
      <c r="E653" s="69"/>
      <c r="M653" s="68"/>
      <c r="O653" s="68"/>
      <c r="P653" s="68"/>
      <c r="Q653" s="68"/>
      <c r="R653" s="68"/>
      <c r="S653" s="68"/>
    </row>
    <row r="654" spans="1:19" ht="15.75" customHeight="1">
      <c r="A654" s="68"/>
      <c r="B654" s="68"/>
      <c r="D654" s="68"/>
      <c r="E654" s="69"/>
      <c r="M654" s="68"/>
      <c r="O654" s="68"/>
      <c r="P654" s="68"/>
      <c r="Q654" s="68"/>
      <c r="R654" s="68"/>
      <c r="S654" s="68"/>
    </row>
    <row r="655" spans="1:19" ht="15.75" customHeight="1">
      <c r="A655" s="68"/>
      <c r="B655" s="68"/>
      <c r="D655" s="68"/>
      <c r="E655" s="69"/>
      <c r="M655" s="68"/>
      <c r="O655" s="68"/>
      <c r="P655" s="68"/>
      <c r="Q655" s="68"/>
      <c r="R655" s="68"/>
      <c r="S655" s="68"/>
    </row>
    <row r="656" spans="1:19" ht="15.75" customHeight="1">
      <c r="A656" s="68"/>
      <c r="B656" s="68"/>
      <c r="D656" s="68"/>
      <c r="E656" s="69"/>
      <c r="M656" s="68"/>
      <c r="O656" s="68"/>
      <c r="P656" s="68"/>
      <c r="Q656" s="68"/>
      <c r="R656" s="68"/>
      <c r="S656" s="68"/>
    </row>
    <row r="657" spans="1:19" ht="15.75" customHeight="1">
      <c r="A657" s="68"/>
      <c r="B657" s="68"/>
      <c r="D657" s="68"/>
      <c r="E657" s="69"/>
      <c r="M657" s="68"/>
      <c r="O657" s="68"/>
      <c r="P657" s="68"/>
      <c r="Q657" s="68"/>
      <c r="R657" s="68"/>
      <c r="S657" s="68"/>
    </row>
    <row r="658" spans="1:19" ht="15.75" customHeight="1">
      <c r="A658" s="68"/>
      <c r="B658" s="68"/>
      <c r="D658" s="68"/>
      <c r="E658" s="69"/>
      <c r="M658" s="68"/>
      <c r="O658" s="68"/>
      <c r="P658" s="68"/>
      <c r="Q658" s="68"/>
      <c r="R658" s="68"/>
      <c r="S658" s="68"/>
    </row>
    <row r="659" spans="1:19" ht="15.75" customHeight="1">
      <c r="A659" s="68"/>
      <c r="B659" s="68"/>
      <c r="D659" s="68"/>
      <c r="E659" s="69"/>
      <c r="M659" s="68"/>
      <c r="O659" s="68"/>
      <c r="P659" s="68"/>
      <c r="Q659" s="68"/>
      <c r="R659" s="68"/>
      <c r="S659" s="68"/>
    </row>
    <row r="660" spans="1:19" ht="15.75" customHeight="1">
      <c r="A660" s="68"/>
      <c r="B660" s="68"/>
      <c r="D660" s="68"/>
      <c r="E660" s="69"/>
      <c r="M660" s="68"/>
      <c r="O660" s="68"/>
      <c r="P660" s="68"/>
      <c r="Q660" s="68"/>
      <c r="R660" s="68"/>
      <c r="S660" s="68"/>
    </row>
    <row r="661" spans="1:19" ht="15.75" customHeight="1">
      <c r="A661" s="68"/>
      <c r="B661" s="68"/>
      <c r="D661" s="68"/>
      <c r="E661" s="69"/>
      <c r="M661" s="68"/>
      <c r="O661" s="68"/>
      <c r="P661" s="68"/>
      <c r="Q661" s="68"/>
      <c r="R661" s="68"/>
      <c r="S661" s="68"/>
    </row>
    <row r="662" spans="1:19" ht="15.75" customHeight="1">
      <c r="A662" s="68"/>
      <c r="B662" s="68"/>
      <c r="D662" s="68"/>
      <c r="E662" s="69"/>
      <c r="M662" s="68"/>
      <c r="O662" s="68"/>
      <c r="P662" s="68"/>
      <c r="Q662" s="68"/>
      <c r="R662" s="68"/>
      <c r="S662" s="68"/>
    </row>
    <row r="663" spans="1:19" ht="15.75" customHeight="1">
      <c r="A663" s="68"/>
      <c r="B663" s="68"/>
      <c r="D663" s="68"/>
      <c r="E663" s="69"/>
      <c r="M663" s="68"/>
      <c r="O663" s="68"/>
      <c r="P663" s="68"/>
      <c r="Q663" s="68"/>
      <c r="R663" s="68"/>
      <c r="S663" s="68"/>
    </row>
    <row r="664" spans="1:19" ht="15.75" customHeight="1">
      <c r="A664" s="68"/>
      <c r="B664" s="68"/>
      <c r="D664" s="68"/>
      <c r="E664" s="69"/>
      <c r="M664" s="68"/>
      <c r="O664" s="68"/>
      <c r="P664" s="68"/>
      <c r="Q664" s="68"/>
      <c r="R664" s="68"/>
      <c r="S664" s="68"/>
    </row>
    <row r="665" spans="1:19" ht="15.75" customHeight="1">
      <c r="A665" s="68"/>
      <c r="B665" s="68"/>
      <c r="D665" s="68"/>
      <c r="E665" s="69"/>
      <c r="M665" s="68"/>
      <c r="O665" s="68"/>
      <c r="P665" s="68"/>
      <c r="Q665" s="68"/>
      <c r="R665" s="68"/>
      <c r="S665" s="68"/>
    </row>
    <row r="666" spans="1:19" ht="15.75" customHeight="1">
      <c r="A666" s="68"/>
      <c r="B666" s="68"/>
      <c r="D666" s="68"/>
      <c r="E666" s="69"/>
      <c r="M666" s="68"/>
      <c r="O666" s="68"/>
      <c r="P666" s="68"/>
      <c r="Q666" s="68"/>
      <c r="R666" s="68"/>
      <c r="S666" s="68"/>
    </row>
    <row r="667" spans="1:19" ht="15.75" customHeight="1">
      <c r="A667" s="68"/>
      <c r="B667" s="68"/>
      <c r="D667" s="68"/>
      <c r="E667" s="69"/>
      <c r="M667" s="68"/>
      <c r="O667" s="68"/>
      <c r="P667" s="68"/>
      <c r="Q667" s="68"/>
      <c r="R667" s="68"/>
      <c r="S667" s="68"/>
    </row>
    <row r="668" spans="1:19" ht="15.75" customHeight="1">
      <c r="A668" s="68"/>
      <c r="B668" s="68"/>
      <c r="D668" s="68"/>
      <c r="E668" s="69"/>
      <c r="M668" s="68"/>
      <c r="O668" s="68"/>
      <c r="P668" s="68"/>
      <c r="Q668" s="68"/>
      <c r="R668" s="68"/>
      <c r="S668" s="68"/>
    </row>
    <row r="669" spans="1:19" ht="15.75" customHeight="1">
      <c r="A669" s="68"/>
      <c r="B669" s="68"/>
      <c r="D669" s="68"/>
      <c r="E669" s="69"/>
      <c r="M669" s="68"/>
      <c r="O669" s="68"/>
      <c r="P669" s="68"/>
      <c r="Q669" s="68"/>
      <c r="R669" s="68"/>
      <c r="S669" s="68"/>
    </row>
    <row r="670" spans="1:19" ht="15.75" customHeight="1">
      <c r="A670" s="68"/>
      <c r="B670" s="68"/>
      <c r="D670" s="68"/>
      <c r="E670" s="69"/>
      <c r="M670" s="68"/>
      <c r="O670" s="68"/>
      <c r="P670" s="68"/>
      <c r="Q670" s="68"/>
      <c r="R670" s="68"/>
      <c r="S670" s="68"/>
    </row>
    <row r="671" spans="1:19" ht="15.75" customHeight="1">
      <c r="A671" s="68"/>
      <c r="B671" s="68"/>
      <c r="D671" s="68"/>
      <c r="E671" s="69"/>
      <c r="M671" s="68"/>
      <c r="O671" s="68"/>
      <c r="P671" s="68"/>
      <c r="Q671" s="68"/>
      <c r="R671" s="68"/>
      <c r="S671" s="68"/>
    </row>
    <row r="672" spans="1:19" ht="15.75" customHeight="1">
      <c r="A672" s="68"/>
      <c r="B672" s="68"/>
      <c r="D672" s="68"/>
      <c r="E672" s="69"/>
      <c r="M672" s="68"/>
      <c r="O672" s="68"/>
      <c r="P672" s="68"/>
      <c r="Q672" s="68"/>
      <c r="R672" s="68"/>
      <c r="S672" s="68"/>
    </row>
    <row r="673" spans="1:19" ht="15.75" customHeight="1">
      <c r="A673" s="68"/>
      <c r="B673" s="68"/>
      <c r="D673" s="68"/>
      <c r="E673" s="69"/>
      <c r="M673" s="68"/>
      <c r="O673" s="68"/>
      <c r="P673" s="68"/>
      <c r="Q673" s="68"/>
      <c r="R673" s="68"/>
      <c r="S673" s="68"/>
    </row>
    <row r="674" spans="1:19" ht="15.75" customHeight="1">
      <c r="A674" s="68"/>
      <c r="B674" s="68"/>
      <c r="D674" s="68"/>
      <c r="E674" s="69"/>
      <c r="M674" s="68"/>
      <c r="O674" s="68"/>
      <c r="P674" s="68"/>
      <c r="Q674" s="68"/>
      <c r="R674" s="68"/>
      <c r="S674" s="68"/>
    </row>
    <row r="675" spans="1:19" ht="15.75" customHeight="1">
      <c r="A675" s="68"/>
      <c r="B675" s="68"/>
      <c r="D675" s="68"/>
      <c r="E675" s="69"/>
      <c r="M675" s="68"/>
      <c r="O675" s="68"/>
      <c r="P675" s="68"/>
      <c r="Q675" s="68"/>
      <c r="R675" s="68"/>
      <c r="S675" s="68"/>
    </row>
    <row r="676" spans="1:19" ht="15.75" customHeight="1">
      <c r="A676" s="68"/>
      <c r="B676" s="68"/>
      <c r="D676" s="68"/>
      <c r="E676" s="69"/>
      <c r="M676" s="68"/>
      <c r="O676" s="68"/>
      <c r="P676" s="68"/>
      <c r="Q676" s="68"/>
      <c r="R676" s="68"/>
      <c r="S676" s="68"/>
    </row>
    <row r="677" spans="1:19" ht="15.75" customHeight="1">
      <c r="A677" s="68"/>
      <c r="B677" s="68"/>
      <c r="D677" s="68"/>
      <c r="E677" s="69"/>
      <c r="M677" s="68"/>
      <c r="O677" s="68"/>
      <c r="P677" s="68"/>
      <c r="Q677" s="68"/>
      <c r="R677" s="68"/>
      <c r="S677" s="68"/>
    </row>
    <row r="678" spans="1:19" ht="15.75" customHeight="1">
      <c r="A678" s="68"/>
      <c r="B678" s="68"/>
      <c r="D678" s="68"/>
      <c r="E678" s="69"/>
      <c r="M678" s="68"/>
      <c r="O678" s="68"/>
      <c r="P678" s="68"/>
      <c r="Q678" s="68"/>
      <c r="R678" s="68"/>
      <c r="S678" s="68"/>
    </row>
    <row r="679" spans="1:19" ht="15.75" customHeight="1">
      <c r="A679" s="68"/>
      <c r="B679" s="68"/>
      <c r="D679" s="68"/>
      <c r="E679" s="69"/>
      <c r="M679" s="68"/>
      <c r="O679" s="68"/>
      <c r="P679" s="68"/>
      <c r="Q679" s="68"/>
      <c r="R679" s="68"/>
      <c r="S679" s="68"/>
    </row>
    <row r="680" spans="1:19" ht="15.75" customHeight="1">
      <c r="A680" s="68"/>
      <c r="B680" s="68"/>
      <c r="D680" s="68"/>
      <c r="E680" s="69"/>
      <c r="M680" s="68"/>
      <c r="O680" s="68"/>
      <c r="P680" s="68"/>
      <c r="Q680" s="68"/>
      <c r="R680" s="68"/>
      <c r="S680" s="68"/>
    </row>
    <row r="681" spans="1:19" ht="15.75" customHeight="1">
      <c r="A681" s="68"/>
      <c r="B681" s="68"/>
      <c r="D681" s="68"/>
      <c r="E681" s="69"/>
      <c r="M681" s="68"/>
      <c r="O681" s="68"/>
      <c r="P681" s="68"/>
      <c r="Q681" s="68"/>
      <c r="R681" s="68"/>
      <c r="S681" s="68"/>
    </row>
    <row r="682" spans="1:19" ht="15.75" customHeight="1">
      <c r="A682" s="68"/>
      <c r="B682" s="68"/>
      <c r="D682" s="68"/>
      <c r="E682" s="69"/>
      <c r="M682" s="68"/>
      <c r="O682" s="68"/>
      <c r="P682" s="68"/>
      <c r="Q682" s="68"/>
      <c r="R682" s="68"/>
      <c r="S682" s="68"/>
    </row>
    <row r="683" spans="1:19" ht="15.75" customHeight="1">
      <c r="A683" s="68"/>
      <c r="B683" s="68"/>
      <c r="D683" s="68"/>
      <c r="E683" s="69"/>
      <c r="M683" s="68"/>
      <c r="O683" s="68"/>
      <c r="P683" s="68"/>
      <c r="Q683" s="68"/>
      <c r="R683" s="68"/>
      <c r="S683" s="68"/>
    </row>
    <row r="684" spans="1:19" ht="15.75" customHeight="1">
      <c r="A684" s="68"/>
      <c r="B684" s="68"/>
      <c r="D684" s="68"/>
      <c r="E684" s="69"/>
      <c r="M684" s="68"/>
      <c r="O684" s="68"/>
      <c r="P684" s="68"/>
      <c r="Q684" s="68"/>
      <c r="R684" s="68"/>
      <c r="S684" s="68"/>
    </row>
    <row r="685" spans="1:19" ht="15.75" customHeight="1">
      <c r="A685" s="68"/>
      <c r="B685" s="68"/>
      <c r="D685" s="68"/>
      <c r="E685" s="69"/>
      <c r="M685" s="68"/>
      <c r="O685" s="68"/>
      <c r="P685" s="68"/>
      <c r="Q685" s="68"/>
      <c r="R685" s="68"/>
      <c r="S685" s="68"/>
    </row>
    <row r="686" spans="1:19" ht="15.75" customHeight="1">
      <c r="A686" s="68"/>
      <c r="B686" s="68"/>
      <c r="D686" s="68"/>
      <c r="E686" s="69"/>
      <c r="M686" s="68"/>
      <c r="O686" s="68"/>
      <c r="P686" s="68"/>
      <c r="Q686" s="68"/>
      <c r="R686" s="68"/>
      <c r="S686" s="68"/>
    </row>
    <row r="687" spans="1:19" ht="15.75" customHeight="1">
      <c r="A687" s="68"/>
      <c r="B687" s="68"/>
      <c r="D687" s="68"/>
      <c r="E687" s="69"/>
      <c r="M687" s="68"/>
      <c r="O687" s="68"/>
      <c r="P687" s="68"/>
      <c r="Q687" s="68"/>
      <c r="R687" s="68"/>
      <c r="S687" s="68"/>
    </row>
    <row r="688" spans="1:19" ht="15.75" customHeight="1">
      <c r="A688" s="68"/>
      <c r="B688" s="68"/>
      <c r="D688" s="68"/>
      <c r="E688" s="69"/>
      <c r="M688" s="68"/>
      <c r="O688" s="68"/>
      <c r="P688" s="68"/>
      <c r="Q688" s="68"/>
      <c r="R688" s="68"/>
      <c r="S688" s="68"/>
    </row>
    <row r="689" spans="1:19" ht="15.75" customHeight="1">
      <c r="A689" s="68"/>
      <c r="B689" s="68"/>
      <c r="D689" s="68"/>
      <c r="E689" s="69"/>
      <c r="M689" s="68"/>
      <c r="O689" s="68"/>
      <c r="P689" s="68"/>
      <c r="Q689" s="68"/>
      <c r="R689" s="68"/>
      <c r="S689" s="68"/>
    </row>
    <row r="690" spans="1:19" ht="15.75" customHeight="1">
      <c r="A690" s="68"/>
      <c r="B690" s="68"/>
      <c r="D690" s="68"/>
      <c r="E690" s="69"/>
      <c r="M690" s="68"/>
      <c r="O690" s="68"/>
      <c r="P690" s="68"/>
      <c r="Q690" s="68"/>
      <c r="R690" s="68"/>
      <c r="S690" s="68"/>
    </row>
    <row r="691" spans="1:19" ht="15.75" customHeight="1">
      <c r="A691" s="68"/>
      <c r="B691" s="68"/>
      <c r="D691" s="68"/>
      <c r="E691" s="69"/>
      <c r="M691" s="68"/>
      <c r="O691" s="68"/>
      <c r="P691" s="68"/>
      <c r="Q691" s="68"/>
      <c r="R691" s="68"/>
      <c r="S691" s="68"/>
    </row>
    <row r="692" spans="1:19" ht="15.75" customHeight="1">
      <c r="A692" s="68"/>
      <c r="B692" s="68"/>
      <c r="D692" s="68"/>
      <c r="E692" s="69"/>
      <c r="M692" s="68"/>
      <c r="O692" s="68"/>
      <c r="P692" s="68"/>
      <c r="Q692" s="68"/>
      <c r="R692" s="68"/>
      <c r="S692" s="68"/>
    </row>
    <row r="693" spans="1:19" ht="15.75" customHeight="1">
      <c r="A693" s="68"/>
      <c r="B693" s="68"/>
      <c r="D693" s="68"/>
      <c r="E693" s="69"/>
      <c r="M693" s="68"/>
      <c r="O693" s="68"/>
      <c r="P693" s="68"/>
      <c r="Q693" s="68"/>
      <c r="R693" s="68"/>
      <c r="S693" s="68"/>
    </row>
    <row r="694" spans="1:19" ht="15.75" customHeight="1">
      <c r="A694" s="68"/>
      <c r="B694" s="68"/>
      <c r="D694" s="68"/>
      <c r="E694" s="69"/>
      <c r="M694" s="68"/>
      <c r="O694" s="68"/>
      <c r="P694" s="68"/>
      <c r="Q694" s="68"/>
      <c r="R694" s="68"/>
      <c r="S694" s="68"/>
    </row>
    <row r="695" spans="1:19" ht="15.75" customHeight="1">
      <c r="A695" s="68"/>
      <c r="B695" s="68"/>
      <c r="D695" s="68"/>
      <c r="E695" s="69"/>
      <c r="M695" s="68"/>
      <c r="O695" s="68"/>
      <c r="P695" s="68"/>
      <c r="Q695" s="68"/>
      <c r="R695" s="68"/>
      <c r="S695" s="68"/>
    </row>
    <row r="696" spans="1:19" ht="15.75" customHeight="1">
      <c r="A696" s="68"/>
      <c r="B696" s="68"/>
      <c r="D696" s="68"/>
      <c r="E696" s="69"/>
      <c r="M696" s="68"/>
      <c r="O696" s="68"/>
      <c r="P696" s="68"/>
      <c r="Q696" s="68"/>
      <c r="R696" s="68"/>
      <c r="S696" s="68"/>
    </row>
    <row r="697" spans="1:19" ht="15.75" customHeight="1">
      <c r="A697" s="68"/>
      <c r="B697" s="68"/>
      <c r="D697" s="68"/>
      <c r="E697" s="69"/>
      <c r="M697" s="68"/>
      <c r="O697" s="68"/>
      <c r="P697" s="68"/>
      <c r="Q697" s="68"/>
      <c r="R697" s="68"/>
      <c r="S697" s="68"/>
    </row>
    <row r="698" spans="1:19" ht="15.75" customHeight="1">
      <c r="A698" s="68"/>
      <c r="B698" s="68"/>
      <c r="D698" s="68"/>
      <c r="E698" s="69"/>
      <c r="M698" s="68"/>
      <c r="O698" s="68"/>
      <c r="P698" s="68"/>
      <c r="Q698" s="68"/>
      <c r="R698" s="68"/>
      <c r="S698" s="68"/>
    </row>
    <row r="699" spans="1:19" ht="15.75" customHeight="1">
      <c r="A699" s="68"/>
      <c r="B699" s="68"/>
      <c r="D699" s="68"/>
      <c r="E699" s="69"/>
      <c r="M699" s="68"/>
      <c r="O699" s="68"/>
      <c r="P699" s="68"/>
      <c r="Q699" s="68"/>
      <c r="R699" s="68"/>
      <c r="S699" s="68"/>
    </row>
    <row r="700" spans="1:19" ht="15.75" customHeight="1">
      <c r="A700" s="68"/>
      <c r="B700" s="68"/>
      <c r="D700" s="68"/>
      <c r="E700" s="69"/>
      <c r="M700" s="68"/>
      <c r="O700" s="68"/>
      <c r="P700" s="68"/>
      <c r="Q700" s="68"/>
      <c r="R700" s="68"/>
      <c r="S700" s="68"/>
    </row>
    <row r="701" spans="1:19" ht="15.75" customHeight="1">
      <c r="A701" s="68"/>
      <c r="B701" s="68"/>
      <c r="D701" s="68"/>
      <c r="E701" s="69"/>
      <c r="M701" s="68"/>
      <c r="O701" s="68"/>
      <c r="P701" s="68"/>
      <c r="Q701" s="68"/>
      <c r="R701" s="68"/>
      <c r="S701" s="68"/>
    </row>
    <row r="702" spans="1:19" ht="15.75" customHeight="1">
      <c r="A702" s="68"/>
      <c r="B702" s="68"/>
      <c r="D702" s="68"/>
      <c r="E702" s="69"/>
      <c r="M702" s="68"/>
      <c r="O702" s="68"/>
      <c r="P702" s="68"/>
      <c r="Q702" s="68"/>
      <c r="R702" s="68"/>
      <c r="S702" s="68"/>
    </row>
    <row r="703" spans="1:19" ht="15.75" customHeight="1">
      <c r="A703" s="68"/>
      <c r="B703" s="68"/>
      <c r="D703" s="68"/>
      <c r="E703" s="69"/>
      <c r="M703" s="68"/>
      <c r="O703" s="68"/>
      <c r="P703" s="68"/>
      <c r="Q703" s="68"/>
      <c r="R703" s="68"/>
      <c r="S703" s="68"/>
    </row>
    <row r="704" spans="1:19" ht="15.75" customHeight="1">
      <c r="A704" s="68"/>
      <c r="B704" s="68"/>
      <c r="D704" s="68"/>
      <c r="E704" s="69"/>
      <c r="M704" s="68"/>
      <c r="O704" s="68"/>
      <c r="P704" s="68"/>
      <c r="Q704" s="68"/>
      <c r="R704" s="68"/>
      <c r="S704" s="68"/>
    </row>
    <row r="705" spans="1:19" ht="15.75" customHeight="1">
      <c r="A705" s="68"/>
      <c r="B705" s="68"/>
      <c r="D705" s="68"/>
      <c r="E705" s="69"/>
      <c r="M705" s="68"/>
      <c r="O705" s="68"/>
      <c r="P705" s="68"/>
      <c r="Q705" s="68"/>
      <c r="R705" s="68"/>
      <c r="S705" s="68"/>
    </row>
    <row r="706" spans="1:19" ht="15.75" customHeight="1">
      <c r="A706" s="68"/>
      <c r="B706" s="68"/>
      <c r="D706" s="68"/>
      <c r="E706" s="69"/>
      <c r="M706" s="68"/>
      <c r="O706" s="68"/>
      <c r="P706" s="68"/>
      <c r="Q706" s="68"/>
      <c r="R706" s="68"/>
      <c r="S706" s="68"/>
    </row>
    <row r="707" spans="1:19" ht="15.75" customHeight="1">
      <c r="A707" s="68"/>
      <c r="B707" s="68"/>
      <c r="D707" s="68"/>
      <c r="E707" s="69"/>
      <c r="M707" s="68"/>
      <c r="O707" s="68"/>
      <c r="P707" s="68"/>
      <c r="Q707" s="68"/>
      <c r="R707" s="68"/>
      <c r="S707" s="68"/>
    </row>
    <row r="708" spans="1:19" ht="15.75" customHeight="1">
      <c r="A708" s="68"/>
      <c r="B708" s="68"/>
      <c r="D708" s="68"/>
      <c r="E708" s="69"/>
      <c r="M708" s="68"/>
      <c r="O708" s="68"/>
      <c r="P708" s="68"/>
      <c r="Q708" s="68"/>
      <c r="R708" s="68"/>
      <c r="S708" s="68"/>
    </row>
    <row r="709" spans="1:19" ht="15.75" customHeight="1">
      <c r="A709" s="68"/>
      <c r="B709" s="68"/>
      <c r="D709" s="68"/>
      <c r="E709" s="69"/>
      <c r="M709" s="68"/>
      <c r="O709" s="68"/>
      <c r="P709" s="68"/>
      <c r="Q709" s="68"/>
      <c r="R709" s="68"/>
      <c r="S709" s="68"/>
    </row>
    <row r="710" spans="1:19" ht="15.75" customHeight="1">
      <c r="A710" s="68"/>
      <c r="B710" s="68"/>
      <c r="D710" s="68"/>
      <c r="E710" s="69"/>
      <c r="M710" s="68"/>
      <c r="O710" s="68"/>
      <c r="P710" s="68"/>
      <c r="Q710" s="68"/>
      <c r="R710" s="68"/>
      <c r="S710" s="68"/>
    </row>
    <row r="711" spans="1:19" ht="15.75" customHeight="1">
      <c r="A711" s="68"/>
      <c r="B711" s="68"/>
      <c r="D711" s="68"/>
      <c r="E711" s="69"/>
      <c r="M711" s="68"/>
      <c r="O711" s="68"/>
      <c r="P711" s="68"/>
      <c r="Q711" s="68"/>
      <c r="R711" s="68"/>
      <c r="S711" s="68"/>
    </row>
    <row r="712" spans="1:19" ht="15.75" customHeight="1">
      <c r="A712" s="68"/>
      <c r="B712" s="68"/>
      <c r="D712" s="68"/>
      <c r="E712" s="69"/>
      <c r="M712" s="68"/>
      <c r="O712" s="68"/>
      <c r="P712" s="68"/>
      <c r="Q712" s="68"/>
      <c r="R712" s="68"/>
      <c r="S712" s="68"/>
    </row>
    <row r="713" spans="1:19" ht="15.75" customHeight="1">
      <c r="A713" s="68"/>
      <c r="B713" s="68"/>
      <c r="D713" s="68"/>
      <c r="E713" s="69"/>
      <c r="M713" s="68"/>
      <c r="O713" s="68"/>
      <c r="P713" s="68"/>
      <c r="Q713" s="68"/>
      <c r="R713" s="68"/>
      <c r="S713" s="68"/>
    </row>
    <row r="714" spans="1:19" ht="15.75" customHeight="1">
      <c r="A714" s="68"/>
      <c r="B714" s="68"/>
      <c r="D714" s="68"/>
      <c r="E714" s="69"/>
      <c r="M714" s="68"/>
      <c r="O714" s="68"/>
      <c r="P714" s="68"/>
      <c r="Q714" s="68"/>
      <c r="R714" s="68"/>
      <c r="S714" s="68"/>
    </row>
    <row r="715" spans="1:19" ht="15.75" customHeight="1">
      <c r="A715" s="68"/>
      <c r="B715" s="68"/>
      <c r="D715" s="68"/>
      <c r="E715" s="69"/>
      <c r="M715" s="68"/>
      <c r="O715" s="68"/>
      <c r="P715" s="68"/>
      <c r="Q715" s="68"/>
      <c r="R715" s="68"/>
      <c r="S715" s="68"/>
    </row>
    <row r="716" spans="1:19" ht="15.75" customHeight="1">
      <c r="A716" s="68"/>
      <c r="B716" s="68"/>
      <c r="D716" s="68"/>
      <c r="E716" s="69"/>
      <c r="M716" s="68"/>
      <c r="O716" s="68"/>
      <c r="P716" s="68"/>
      <c r="Q716" s="68"/>
      <c r="R716" s="68"/>
      <c r="S716" s="68"/>
    </row>
    <row r="717" spans="1:19" ht="15.75" customHeight="1">
      <c r="A717" s="68"/>
      <c r="B717" s="68"/>
      <c r="D717" s="68"/>
      <c r="E717" s="69"/>
      <c r="M717" s="68"/>
      <c r="O717" s="68"/>
      <c r="P717" s="68"/>
      <c r="Q717" s="68"/>
      <c r="R717" s="68"/>
      <c r="S717" s="68"/>
    </row>
    <row r="718" spans="1:19" ht="15.75" customHeight="1">
      <c r="A718" s="68"/>
      <c r="B718" s="68"/>
      <c r="D718" s="68"/>
      <c r="E718" s="69"/>
      <c r="M718" s="68"/>
      <c r="O718" s="68"/>
      <c r="P718" s="68"/>
      <c r="Q718" s="68"/>
      <c r="R718" s="68"/>
      <c r="S718" s="68"/>
    </row>
    <row r="719" spans="1:19" ht="15.75" customHeight="1">
      <c r="A719" s="68"/>
      <c r="B719" s="68"/>
      <c r="D719" s="68"/>
      <c r="E719" s="69"/>
      <c r="M719" s="68"/>
      <c r="O719" s="68"/>
      <c r="P719" s="68"/>
      <c r="Q719" s="68"/>
      <c r="R719" s="68"/>
      <c r="S719" s="68"/>
    </row>
    <row r="720" spans="1:19" ht="15.75" customHeight="1">
      <c r="A720" s="68"/>
      <c r="B720" s="68"/>
      <c r="D720" s="68"/>
      <c r="E720" s="69"/>
      <c r="M720" s="68"/>
      <c r="O720" s="68"/>
      <c r="P720" s="68"/>
      <c r="Q720" s="68"/>
      <c r="R720" s="68"/>
      <c r="S720" s="68"/>
    </row>
    <row r="721" spans="1:19" ht="15.75" customHeight="1">
      <c r="A721" s="68"/>
      <c r="B721" s="68"/>
      <c r="D721" s="68"/>
      <c r="E721" s="69"/>
      <c r="M721" s="68"/>
      <c r="O721" s="68"/>
      <c r="P721" s="68"/>
      <c r="Q721" s="68"/>
      <c r="R721" s="68"/>
      <c r="S721" s="68"/>
    </row>
    <row r="722" spans="1:19" ht="15.75" customHeight="1">
      <c r="A722" s="68"/>
      <c r="B722" s="68"/>
      <c r="D722" s="68"/>
      <c r="E722" s="69"/>
      <c r="M722" s="68"/>
      <c r="O722" s="68"/>
      <c r="P722" s="68"/>
      <c r="Q722" s="68"/>
      <c r="R722" s="68"/>
      <c r="S722" s="68"/>
    </row>
    <row r="723" spans="1:19" ht="15.75" customHeight="1">
      <c r="A723" s="68"/>
      <c r="B723" s="68"/>
      <c r="D723" s="68"/>
      <c r="E723" s="69"/>
      <c r="M723" s="68"/>
      <c r="O723" s="68"/>
      <c r="P723" s="68"/>
      <c r="Q723" s="68"/>
      <c r="R723" s="68"/>
      <c r="S723" s="68"/>
    </row>
    <row r="724" spans="1:19" ht="15.75" customHeight="1">
      <c r="A724" s="68"/>
      <c r="B724" s="68"/>
      <c r="D724" s="68"/>
      <c r="E724" s="69"/>
      <c r="M724" s="68"/>
      <c r="O724" s="68"/>
      <c r="P724" s="68"/>
      <c r="Q724" s="68"/>
      <c r="R724" s="68"/>
      <c r="S724" s="68"/>
    </row>
    <row r="725" spans="1:19" ht="15.75" customHeight="1">
      <c r="A725" s="68"/>
      <c r="B725" s="68"/>
      <c r="D725" s="68"/>
      <c r="E725" s="69"/>
      <c r="M725" s="68"/>
      <c r="O725" s="68"/>
      <c r="P725" s="68"/>
      <c r="Q725" s="68"/>
      <c r="R725" s="68"/>
      <c r="S725" s="68"/>
    </row>
    <row r="726" spans="1:19" ht="15.75" customHeight="1">
      <c r="A726" s="68"/>
      <c r="B726" s="68"/>
      <c r="D726" s="68"/>
      <c r="E726" s="69"/>
      <c r="M726" s="68"/>
      <c r="O726" s="68"/>
      <c r="P726" s="68"/>
      <c r="Q726" s="68"/>
      <c r="R726" s="68"/>
      <c r="S726" s="68"/>
    </row>
    <row r="727" spans="1:19" ht="15.75" customHeight="1">
      <c r="A727" s="68"/>
      <c r="B727" s="68"/>
      <c r="D727" s="68"/>
      <c r="E727" s="69"/>
      <c r="M727" s="68"/>
      <c r="O727" s="68"/>
      <c r="P727" s="68"/>
      <c r="Q727" s="68"/>
      <c r="R727" s="68"/>
      <c r="S727" s="68"/>
    </row>
    <row r="728" spans="1:19" ht="15.75" customHeight="1">
      <c r="A728" s="68"/>
      <c r="B728" s="68"/>
      <c r="D728" s="68"/>
      <c r="E728" s="69"/>
      <c r="M728" s="68"/>
      <c r="O728" s="68"/>
      <c r="P728" s="68"/>
      <c r="Q728" s="68"/>
      <c r="R728" s="68"/>
      <c r="S728" s="68"/>
    </row>
    <row r="729" spans="1:19" ht="15.75" customHeight="1">
      <c r="A729" s="68"/>
      <c r="B729" s="68"/>
      <c r="D729" s="68"/>
      <c r="E729" s="69"/>
      <c r="M729" s="68"/>
      <c r="O729" s="68"/>
      <c r="P729" s="68"/>
      <c r="Q729" s="68"/>
      <c r="R729" s="68"/>
      <c r="S729" s="68"/>
    </row>
    <row r="730" spans="1:19" ht="15.75" customHeight="1">
      <c r="A730" s="68"/>
      <c r="B730" s="68"/>
      <c r="D730" s="68"/>
      <c r="E730" s="69"/>
      <c r="M730" s="68"/>
      <c r="O730" s="68"/>
      <c r="P730" s="68"/>
      <c r="Q730" s="68"/>
      <c r="R730" s="68"/>
      <c r="S730" s="68"/>
    </row>
    <row r="731" spans="1:19" ht="15.75" customHeight="1">
      <c r="A731" s="68"/>
      <c r="B731" s="68"/>
      <c r="D731" s="68"/>
      <c r="E731" s="69"/>
      <c r="M731" s="68"/>
      <c r="O731" s="68"/>
      <c r="P731" s="68"/>
      <c r="Q731" s="68"/>
      <c r="R731" s="68"/>
      <c r="S731" s="68"/>
    </row>
    <row r="732" spans="1:19" ht="15.75" customHeight="1">
      <c r="A732" s="68"/>
      <c r="B732" s="68"/>
      <c r="D732" s="68"/>
      <c r="E732" s="69"/>
      <c r="M732" s="68"/>
      <c r="O732" s="68"/>
      <c r="P732" s="68"/>
      <c r="Q732" s="68"/>
      <c r="R732" s="68"/>
      <c r="S732" s="68"/>
    </row>
    <row r="733" spans="1:19" ht="15.75" customHeight="1">
      <c r="A733" s="68"/>
      <c r="B733" s="68"/>
      <c r="D733" s="68"/>
      <c r="E733" s="69"/>
      <c r="M733" s="68"/>
      <c r="O733" s="68"/>
      <c r="P733" s="68"/>
      <c r="Q733" s="68"/>
      <c r="R733" s="68"/>
      <c r="S733" s="68"/>
    </row>
    <row r="734" spans="1:19" ht="15.75" customHeight="1">
      <c r="A734" s="68"/>
      <c r="B734" s="68"/>
      <c r="D734" s="68"/>
      <c r="E734" s="69"/>
      <c r="M734" s="68"/>
      <c r="O734" s="68"/>
      <c r="P734" s="68"/>
      <c r="Q734" s="68"/>
      <c r="R734" s="68"/>
      <c r="S734" s="68"/>
    </row>
    <row r="735" spans="1:19" ht="15.75" customHeight="1">
      <c r="A735" s="68"/>
      <c r="B735" s="68"/>
      <c r="D735" s="68"/>
      <c r="E735" s="69"/>
      <c r="M735" s="68"/>
      <c r="O735" s="68"/>
      <c r="P735" s="68"/>
      <c r="Q735" s="68"/>
      <c r="R735" s="68"/>
      <c r="S735" s="68"/>
    </row>
    <row r="736" spans="1:19" ht="15.75" customHeight="1">
      <c r="A736" s="68"/>
      <c r="B736" s="68"/>
      <c r="D736" s="68"/>
      <c r="E736" s="69"/>
      <c r="M736" s="68"/>
      <c r="O736" s="68"/>
      <c r="P736" s="68"/>
      <c r="Q736" s="68"/>
      <c r="R736" s="68"/>
      <c r="S736" s="68"/>
    </row>
    <row r="737" spans="1:19" ht="15.75" customHeight="1">
      <c r="A737" s="68"/>
      <c r="B737" s="68"/>
      <c r="D737" s="68"/>
      <c r="E737" s="69"/>
      <c r="M737" s="68"/>
      <c r="O737" s="68"/>
      <c r="P737" s="68"/>
      <c r="Q737" s="68"/>
      <c r="R737" s="68"/>
      <c r="S737" s="68"/>
    </row>
    <row r="738" spans="1:19" ht="15.75" customHeight="1">
      <c r="A738" s="68"/>
      <c r="B738" s="68"/>
      <c r="D738" s="68"/>
      <c r="E738" s="69"/>
      <c r="M738" s="68"/>
      <c r="O738" s="68"/>
      <c r="P738" s="68"/>
      <c r="Q738" s="68"/>
      <c r="R738" s="68"/>
      <c r="S738" s="68"/>
    </row>
    <row r="739" spans="1:19" ht="15.75" customHeight="1">
      <c r="A739" s="68"/>
      <c r="B739" s="68"/>
      <c r="D739" s="68"/>
      <c r="E739" s="69"/>
      <c r="M739" s="68"/>
      <c r="O739" s="68"/>
      <c r="P739" s="68"/>
      <c r="Q739" s="68"/>
      <c r="R739" s="68"/>
      <c r="S739" s="68"/>
    </row>
    <row r="740" spans="1:19" ht="15.75" customHeight="1">
      <c r="A740" s="68"/>
      <c r="B740" s="68"/>
      <c r="D740" s="68"/>
      <c r="E740" s="69"/>
      <c r="M740" s="68"/>
      <c r="O740" s="68"/>
      <c r="P740" s="68"/>
      <c r="Q740" s="68"/>
      <c r="R740" s="68"/>
      <c r="S740" s="68"/>
    </row>
    <row r="741" spans="1:19" ht="15.75" customHeight="1">
      <c r="A741" s="68"/>
      <c r="B741" s="68"/>
      <c r="D741" s="68"/>
      <c r="E741" s="69"/>
      <c r="M741" s="68"/>
      <c r="O741" s="68"/>
      <c r="P741" s="68"/>
      <c r="Q741" s="68"/>
      <c r="R741" s="68"/>
      <c r="S741" s="68"/>
    </row>
    <row r="742" spans="1:19" ht="15.75" customHeight="1">
      <c r="A742" s="68"/>
      <c r="B742" s="68"/>
      <c r="D742" s="68"/>
      <c r="E742" s="69"/>
      <c r="M742" s="68"/>
      <c r="O742" s="68"/>
      <c r="P742" s="68"/>
      <c r="Q742" s="68"/>
      <c r="R742" s="68"/>
      <c r="S742" s="68"/>
    </row>
    <row r="743" spans="1:19" ht="15.75" customHeight="1">
      <c r="A743" s="68"/>
      <c r="B743" s="68"/>
      <c r="D743" s="68"/>
      <c r="E743" s="69"/>
      <c r="M743" s="68"/>
      <c r="O743" s="68"/>
      <c r="P743" s="68"/>
      <c r="Q743" s="68"/>
      <c r="R743" s="68"/>
      <c r="S743" s="68"/>
    </row>
    <row r="744" spans="1:19" ht="15.75" customHeight="1">
      <c r="A744" s="68"/>
      <c r="B744" s="68"/>
      <c r="D744" s="68"/>
      <c r="E744" s="69"/>
      <c r="M744" s="68"/>
      <c r="O744" s="68"/>
      <c r="P744" s="68"/>
      <c r="Q744" s="68"/>
      <c r="R744" s="68"/>
      <c r="S744" s="68"/>
    </row>
    <row r="745" spans="1:19" ht="15.75" customHeight="1">
      <c r="A745" s="68"/>
      <c r="B745" s="68"/>
      <c r="D745" s="68"/>
      <c r="E745" s="69"/>
      <c r="M745" s="68"/>
      <c r="O745" s="68"/>
      <c r="P745" s="68"/>
      <c r="Q745" s="68"/>
      <c r="R745" s="68"/>
      <c r="S745" s="68"/>
    </row>
    <row r="746" spans="1:19" ht="15.75" customHeight="1">
      <c r="A746" s="68"/>
      <c r="B746" s="68"/>
      <c r="D746" s="68"/>
      <c r="E746" s="69"/>
      <c r="M746" s="68"/>
      <c r="O746" s="68"/>
      <c r="P746" s="68"/>
      <c r="Q746" s="68"/>
      <c r="R746" s="68"/>
      <c r="S746" s="68"/>
    </row>
    <row r="747" spans="1:19" ht="15.75" customHeight="1">
      <c r="A747" s="68"/>
      <c r="B747" s="68"/>
      <c r="D747" s="68"/>
      <c r="E747" s="69"/>
      <c r="M747" s="68"/>
      <c r="O747" s="68"/>
      <c r="P747" s="68"/>
      <c r="Q747" s="68"/>
      <c r="R747" s="68"/>
      <c r="S747" s="68"/>
    </row>
    <row r="748" spans="1:19" ht="15.75" customHeight="1">
      <c r="A748" s="68"/>
      <c r="B748" s="68"/>
      <c r="D748" s="68"/>
      <c r="E748" s="69"/>
      <c r="M748" s="68"/>
      <c r="O748" s="68"/>
      <c r="P748" s="68"/>
      <c r="Q748" s="68"/>
      <c r="R748" s="68"/>
      <c r="S748" s="68"/>
    </row>
    <row r="749" spans="1:19" ht="15.75" customHeight="1">
      <c r="A749" s="68"/>
      <c r="B749" s="68"/>
      <c r="D749" s="68"/>
      <c r="E749" s="69"/>
      <c r="M749" s="68"/>
      <c r="O749" s="68"/>
      <c r="P749" s="68"/>
      <c r="Q749" s="68"/>
      <c r="R749" s="68"/>
      <c r="S749" s="68"/>
    </row>
    <row r="750" spans="1:19" ht="15.75" customHeight="1">
      <c r="A750" s="68"/>
      <c r="B750" s="68"/>
      <c r="D750" s="68"/>
      <c r="E750" s="69"/>
      <c r="M750" s="68"/>
      <c r="O750" s="68"/>
      <c r="P750" s="68"/>
      <c r="Q750" s="68"/>
      <c r="R750" s="68"/>
      <c r="S750" s="68"/>
    </row>
    <row r="751" spans="1:19" ht="15.75" customHeight="1">
      <c r="A751" s="68"/>
      <c r="B751" s="68"/>
      <c r="D751" s="68"/>
      <c r="E751" s="69"/>
      <c r="M751" s="68"/>
      <c r="O751" s="68"/>
      <c r="P751" s="68"/>
      <c r="Q751" s="68"/>
      <c r="R751" s="68"/>
      <c r="S751" s="68"/>
    </row>
    <row r="752" spans="1:19" ht="15.75" customHeight="1">
      <c r="A752" s="68"/>
      <c r="B752" s="68"/>
      <c r="D752" s="68"/>
      <c r="E752" s="69"/>
      <c r="M752" s="68"/>
      <c r="O752" s="68"/>
      <c r="P752" s="68"/>
      <c r="Q752" s="68"/>
      <c r="R752" s="68"/>
      <c r="S752" s="68"/>
    </row>
    <row r="753" spans="1:19" ht="15.75" customHeight="1">
      <c r="A753" s="68"/>
      <c r="B753" s="68"/>
      <c r="D753" s="68"/>
      <c r="E753" s="69"/>
      <c r="M753" s="68"/>
      <c r="O753" s="68"/>
      <c r="P753" s="68"/>
      <c r="Q753" s="68"/>
      <c r="R753" s="68"/>
      <c r="S753" s="68"/>
    </row>
    <row r="754" spans="1:19" ht="15.75" customHeight="1">
      <c r="A754" s="68"/>
      <c r="B754" s="68"/>
      <c r="D754" s="68"/>
      <c r="E754" s="69"/>
      <c r="M754" s="68"/>
      <c r="O754" s="68"/>
      <c r="P754" s="68"/>
      <c r="Q754" s="68"/>
      <c r="R754" s="68"/>
      <c r="S754" s="68"/>
    </row>
    <row r="755" spans="1:19" ht="15.75" customHeight="1">
      <c r="A755" s="68"/>
      <c r="B755" s="68"/>
      <c r="D755" s="68"/>
      <c r="E755" s="69"/>
      <c r="M755" s="68"/>
      <c r="O755" s="68"/>
      <c r="P755" s="68"/>
      <c r="Q755" s="68"/>
      <c r="R755" s="68"/>
      <c r="S755" s="68"/>
    </row>
    <row r="756" spans="1:19" ht="15.75" customHeight="1">
      <c r="A756" s="68"/>
      <c r="B756" s="68"/>
      <c r="D756" s="68"/>
      <c r="E756" s="69"/>
      <c r="M756" s="68"/>
      <c r="O756" s="68"/>
      <c r="P756" s="68"/>
      <c r="Q756" s="68"/>
      <c r="R756" s="68"/>
      <c r="S756" s="68"/>
    </row>
    <row r="757" spans="1:19" ht="15.75" customHeight="1">
      <c r="A757" s="68"/>
      <c r="B757" s="68"/>
      <c r="D757" s="68"/>
      <c r="E757" s="69"/>
      <c r="M757" s="68"/>
      <c r="O757" s="68"/>
      <c r="P757" s="68"/>
      <c r="Q757" s="68"/>
      <c r="R757" s="68"/>
      <c r="S757" s="68"/>
    </row>
    <row r="758" spans="1:19" ht="15.75" customHeight="1">
      <c r="A758" s="68"/>
      <c r="B758" s="68"/>
      <c r="D758" s="68"/>
      <c r="E758" s="69"/>
      <c r="M758" s="68"/>
      <c r="O758" s="68"/>
      <c r="P758" s="68"/>
      <c r="Q758" s="68"/>
      <c r="R758" s="68"/>
      <c r="S758" s="68"/>
    </row>
    <row r="759" spans="1:19" ht="15.75" customHeight="1">
      <c r="A759" s="68"/>
      <c r="B759" s="68"/>
      <c r="D759" s="68"/>
      <c r="E759" s="69"/>
      <c r="M759" s="68"/>
      <c r="O759" s="68"/>
      <c r="P759" s="68"/>
      <c r="Q759" s="68"/>
      <c r="R759" s="68"/>
      <c r="S759" s="68"/>
    </row>
    <row r="760" spans="1:19" ht="15.75" customHeight="1">
      <c r="A760" s="68"/>
      <c r="B760" s="68"/>
      <c r="D760" s="68"/>
      <c r="E760" s="69"/>
      <c r="M760" s="68"/>
      <c r="O760" s="68"/>
      <c r="P760" s="68"/>
      <c r="Q760" s="68"/>
      <c r="R760" s="68"/>
      <c r="S760" s="68"/>
    </row>
    <row r="761" spans="1:19" ht="15.75" customHeight="1">
      <c r="A761" s="68"/>
      <c r="B761" s="68"/>
      <c r="D761" s="68"/>
      <c r="E761" s="69"/>
      <c r="M761" s="68"/>
      <c r="O761" s="68"/>
      <c r="P761" s="68"/>
      <c r="Q761" s="68"/>
      <c r="R761" s="68"/>
      <c r="S761" s="68"/>
    </row>
    <row r="762" spans="1:19" ht="15.75" customHeight="1">
      <c r="A762" s="68"/>
      <c r="B762" s="68"/>
      <c r="D762" s="68"/>
      <c r="E762" s="69"/>
      <c r="M762" s="68"/>
      <c r="O762" s="68"/>
      <c r="P762" s="68"/>
      <c r="Q762" s="68"/>
      <c r="R762" s="68"/>
      <c r="S762" s="68"/>
    </row>
    <row r="763" spans="1:19" ht="15.75" customHeight="1">
      <c r="A763" s="68"/>
      <c r="B763" s="68"/>
      <c r="D763" s="68"/>
      <c r="E763" s="69"/>
      <c r="M763" s="68"/>
      <c r="O763" s="68"/>
      <c r="P763" s="68"/>
      <c r="Q763" s="68"/>
      <c r="R763" s="68"/>
      <c r="S763" s="68"/>
    </row>
    <row r="764" spans="1:19" ht="15.75" customHeight="1">
      <c r="A764" s="68"/>
      <c r="B764" s="68"/>
      <c r="D764" s="68"/>
      <c r="E764" s="69"/>
      <c r="M764" s="68"/>
      <c r="O764" s="68"/>
      <c r="P764" s="68"/>
      <c r="Q764" s="68"/>
      <c r="R764" s="68"/>
      <c r="S764" s="68"/>
    </row>
    <row r="765" spans="1:19" ht="15.75" customHeight="1">
      <c r="A765" s="68"/>
      <c r="B765" s="68"/>
      <c r="D765" s="68"/>
      <c r="E765" s="69"/>
      <c r="M765" s="68"/>
      <c r="O765" s="68"/>
      <c r="P765" s="68"/>
      <c r="Q765" s="68"/>
      <c r="R765" s="68"/>
      <c r="S765" s="68"/>
    </row>
    <row r="766" spans="1:19" ht="15.75" customHeight="1">
      <c r="A766" s="68"/>
      <c r="B766" s="68"/>
      <c r="D766" s="68"/>
      <c r="E766" s="69"/>
      <c r="M766" s="68"/>
      <c r="O766" s="68"/>
      <c r="P766" s="68"/>
      <c r="Q766" s="68"/>
      <c r="R766" s="68"/>
      <c r="S766" s="68"/>
    </row>
    <row r="767" spans="1:19" ht="15.75" customHeight="1">
      <c r="A767" s="68"/>
      <c r="B767" s="68"/>
      <c r="D767" s="68"/>
      <c r="E767" s="69"/>
      <c r="M767" s="68"/>
      <c r="O767" s="68"/>
      <c r="P767" s="68"/>
      <c r="Q767" s="68"/>
      <c r="R767" s="68"/>
      <c r="S767" s="68"/>
    </row>
    <row r="768" spans="1:19" ht="15.75" customHeight="1">
      <c r="A768" s="68"/>
      <c r="B768" s="68"/>
      <c r="D768" s="68"/>
      <c r="E768" s="69"/>
      <c r="M768" s="68"/>
      <c r="O768" s="68"/>
      <c r="P768" s="68"/>
      <c r="Q768" s="68"/>
      <c r="R768" s="68"/>
      <c r="S768" s="68"/>
    </row>
    <row r="769" spans="1:19" ht="15.75" customHeight="1">
      <c r="A769" s="68"/>
      <c r="B769" s="68"/>
      <c r="D769" s="68"/>
      <c r="E769" s="69"/>
      <c r="M769" s="68"/>
      <c r="O769" s="68"/>
      <c r="P769" s="68"/>
      <c r="Q769" s="68"/>
      <c r="R769" s="68"/>
      <c r="S769" s="68"/>
    </row>
    <row r="770" spans="1:19" ht="15.75" customHeight="1">
      <c r="A770" s="68"/>
      <c r="B770" s="68"/>
      <c r="D770" s="68"/>
      <c r="E770" s="69"/>
      <c r="M770" s="68"/>
      <c r="O770" s="68"/>
      <c r="P770" s="68"/>
      <c r="Q770" s="68"/>
      <c r="R770" s="68"/>
      <c r="S770" s="68"/>
    </row>
    <row r="771" spans="1:19" ht="15.75" customHeight="1">
      <c r="A771" s="68"/>
      <c r="B771" s="68"/>
      <c r="D771" s="68"/>
      <c r="E771" s="69"/>
      <c r="M771" s="68"/>
      <c r="O771" s="68"/>
      <c r="P771" s="68"/>
      <c r="Q771" s="68"/>
      <c r="R771" s="68"/>
      <c r="S771" s="68"/>
    </row>
    <row r="772" spans="1:19" ht="15.75" customHeight="1">
      <c r="A772" s="68"/>
      <c r="B772" s="68"/>
      <c r="D772" s="68"/>
      <c r="E772" s="69"/>
      <c r="M772" s="68"/>
      <c r="O772" s="68"/>
      <c r="P772" s="68"/>
      <c r="Q772" s="68"/>
      <c r="R772" s="68"/>
      <c r="S772" s="68"/>
    </row>
    <row r="773" spans="1:19" ht="15.75" customHeight="1">
      <c r="A773" s="68"/>
      <c r="B773" s="68"/>
      <c r="D773" s="68"/>
      <c r="E773" s="69"/>
      <c r="M773" s="68"/>
      <c r="O773" s="68"/>
      <c r="P773" s="68"/>
      <c r="Q773" s="68"/>
      <c r="R773" s="68"/>
      <c r="S773" s="68"/>
    </row>
    <row r="774" spans="1:19" ht="15.75" customHeight="1">
      <c r="A774" s="68"/>
      <c r="B774" s="68"/>
      <c r="D774" s="68"/>
      <c r="E774" s="69"/>
      <c r="M774" s="68"/>
      <c r="O774" s="68"/>
      <c r="P774" s="68"/>
      <c r="Q774" s="68"/>
      <c r="R774" s="68"/>
      <c r="S774" s="68"/>
    </row>
    <row r="775" spans="1:19" ht="15.75" customHeight="1">
      <c r="A775" s="68"/>
      <c r="B775" s="68"/>
      <c r="D775" s="68"/>
      <c r="E775" s="69"/>
      <c r="M775" s="68"/>
      <c r="O775" s="68"/>
      <c r="P775" s="68"/>
      <c r="Q775" s="68"/>
      <c r="R775" s="68"/>
      <c r="S775" s="68"/>
    </row>
    <row r="776" spans="1:19" ht="15.75" customHeight="1">
      <c r="A776" s="68"/>
      <c r="B776" s="68"/>
      <c r="D776" s="68"/>
      <c r="E776" s="69"/>
      <c r="M776" s="68"/>
      <c r="O776" s="68"/>
      <c r="P776" s="68"/>
      <c r="Q776" s="68"/>
      <c r="R776" s="68"/>
      <c r="S776" s="68"/>
    </row>
    <row r="777" spans="1:19" ht="15.75" customHeight="1">
      <c r="A777" s="68"/>
      <c r="B777" s="68"/>
      <c r="D777" s="68"/>
      <c r="E777" s="69"/>
      <c r="M777" s="68"/>
      <c r="O777" s="68"/>
      <c r="P777" s="68"/>
      <c r="Q777" s="68"/>
      <c r="R777" s="68"/>
      <c r="S777" s="68"/>
    </row>
    <row r="778" spans="1:19" ht="15.75" customHeight="1">
      <c r="A778" s="68"/>
      <c r="B778" s="68"/>
      <c r="D778" s="68"/>
      <c r="E778" s="69"/>
      <c r="M778" s="68"/>
      <c r="O778" s="68"/>
      <c r="P778" s="68"/>
      <c r="Q778" s="68"/>
      <c r="R778" s="68"/>
      <c r="S778" s="68"/>
    </row>
    <row r="779" spans="1:19" ht="15.75" customHeight="1">
      <c r="A779" s="68"/>
      <c r="B779" s="68"/>
      <c r="D779" s="68"/>
      <c r="E779" s="69"/>
      <c r="M779" s="68"/>
      <c r="O779" s="68"/>
      <c r="P779" s="68"/>
      <c r="Q779" s="68"/>
      <c r="R779" s="68"/>
      <c r="S779" s="68"/>
    </row>
    <row r="780" spans="1:19" ht="15.75" customHeight="1">
      <c r="A780" s="68"/>
      <c r="B780" s="68"/>
      <c r="D780" s="68"/>
      <c r="E780" s="69"/>
      <c r="M780" s="68"/>
      <c r="O780" s="68"/>
      <c r="P780" s="68"/>
      <c r="Q780" s="68"/>
      <c r="R780" s="68"/>
      <c r="S780" s="68"/>
    </row>
    <row r="781" spans="1:19" ht="15.75" customHeight="1">
      <c r="A781" s="68"/>
      <c r="B781" s="68"/>
      <c r="D781" s="68"/>
      <c r="E781" s="69"/>
      <c r="M781" s="68"/>
      <c r="O781" s="68"/>
      <c r="P781" s="68"/>
      <c r="Q781" s="68"/>
      <c r="R781" s="68"/>
      <c r="S781" s="68"/>
    </row>
    <row r="782" spans="1:19" ht="15.75" customHeight="1">
      <c r="A782" s="68"/>
      <c r="B782" s="68"/>
      <c r="D782" s="68"/>
      <c r="E782" s="69"/>
      <c r="M782" s="68"/>
      <c r="O782" s="68"/>
      <c r="P782" s="68"/>
      <c r="Q782" s="68"/>
      <c r="R782" s="68"/>
      <c r="S782" s="68"/>
    </row>
    <row r="783" spans="1:19" ht="15.75" customHeight="1">
      <c r="A783" s="68"/>
      <c r="B783" s="68"/>
      <c r="D783" s="68"/>
      <c r="E783" s="69"/>
      <c r="M783" s="68"/>
      <c r="O783" s="68"/>
      <c r="P783" s="68"/>
      <c r="Q783" s="68"/>
      <c r="R783" s="68"/>
      <c r="S783" s="68"/>
    </row>
    <row r="784" spans="1:19" ht="15.75" customHeight="1">
      <c r="A784" s="68"/>
      <c r="B784" s="68"/>
      <c r="D784" s="68"/>
      <c r="E784" s="69"/>
      <c r="M784" s="68"/>
      <c r="O784" s="68"/>
      <c r="P784" s="68"/>
      <c r="Q784" s="68"/>
      <c r="R784" s="68"/>
      <c r="S784" s="68"/>
    </row>
    <row r="785" spans="1:19" ht="15.75" customHeight="1">
      <c r="A785" s="68"/>
      <c r="B785" s="68"/>
      <c r="D785" s="68"/>
      <c r="E785" s="69"/>
      <c r="M785" s="68"/>
      <c r="O785" s="68"/>
      <c r="P785" s="68"/>
      <c r="Q785" s="68"/>
      <c r="R785" s="68"/>
      <c r="S785" s="68"/>
    </row>
    <row r="786" spans="1:19" ht="15.75" customHeight="1">
      <c r="A786" s="68"/>
      <c r="B786" s="68"/>
      <c r="D786" s="68"/>
      <c r="E786" s="69"/>
      <c r="M786" s="68"/>
      <c r="O786" s="68"/>
      <c r="P786" s="68"/>
      <c r="Q786" s="68"/>
      <c r="R786" s="68"/>
      <c r="S786" s="68"/>
    </row>
    <row r="787" spans="1:19" ht="15.75" customHeight="1">
      <c r="A787" s="68"/>
      <c r="B787" s="68"/>
      <c r="D787" s="68"/>
      <c r="E787" s="69"/>
      <c r="M787" s="68"/>
      <c r="O787" s="68"/>
      <c r="P787" s="68"/>
      <c r="Q787" s="68"/>
      <c r="R787" s="68"/>
      <c r="S787" s="68"/>
    </row>
    <row r="788" spans="1:19" ht="15.75" customHeight="1">
      <c r="A788" s="68"/>
      <c r="B788" s="68"/>
      <c r="D788" s="68"/>
      <c r="E788" s="69"/>
      <c r="M788" s="68"/>
      <c r="O788" s="68"/>
      <c r="P788" s="68"/>
      <c r="Q788" s="68"/>
      <c r="R788" s="68"/>
      <c r="S788" s="68"/>
    </row>
    <row r="789" spans="1:19" ht="15.75" customHeight="1">
      <c r="A789" s="68"/>
      <c r="B789" s="68"/>
      <c r="D789" s="68"/>
      <c r="E789" s="69"/>
      <c r="M789" s="68"/>
      <c r="O789" s="68"/>
      <c r="P789" s="68"/>
      <c r="Q789" s="68"/>
      <c r="R789" s="68"/>
      <c r="S789" s="68"/>
    </row>
    <row r="790" spans="1:19" ht="15.75" customHeight="1">
      <c r="A790" s="68"/>
      <c r="B790" s="68"/>
      <c r="D790" s="68"/>
      <c r="E790" s="69"/>
      <c r="M790" s="68"/>
      <c r="O790" s="68"/>
      <c r="P790" s="68"/>
      <c r="Q790" s="68"/>
      <c r="R790" s="68"/>
      <c r="S790" s="68"/>
    </row>
    <row r="791" spans="1:19" ht="15.75" customHeight="1">
      <c r="A791" s="68"/>
      <c r="B791" s="68"/>
      <c r="D791" s="68"/>
      <c r="E791" s="69"/>
      <c r="M791" s="68"/>
      <c r="O791" s="68"/>
      <c r="P791" s="68"/>
      <c r="Q791" s="68"/>
      <c r="R791" s="68"/>
      <c r="S791" s="68"/>
    </row>
    <row r="792" spans="1:19" ht="15.75" customHeight="1">
      <c r="A792" s="68"/>
      <c r="B792" s="68"/>
      <c r="D792" s="68"/>
      <c r="E792" s="69"/>
      <c r="M792" s="68"/>
      <c r="O792" s="68"/>
      <c r="P792" s="68"/>
      <c r="Q792" s="68"/>
      <c r="R792" s="68"/>
      <c r="S792" s="68"/>
    </row>
    <row r="793" spans="1:19" ht="15.75" customHeight="1">
      <c r="A793" s="68"/>
      <c r="B793" s="68"/>
      <c r="D793" s="68"/>
      <c r="E793" s="69"/>
      <c r="M793" s="68"/>
      <c r="O793" s="68"/>
      <c r="P793" s="68"/>
      <c r="Q793" s="68"/>
      <c r="R793" s="68"/>
      <c r="S793" s="68"/>
    </row>
    <row r="794" spans="1:19" ht="15.75" customHeight="1">
      <c r="A794" s="68"/>
      <c r="B794" s="68"/>
      <c r="D794" s="68"/>
      <c r="E794" s="69"/>
      <c r="M794" s="68"/>
      <c r="O794" s="68"/>
      <c r="P794" s="68"/>
      <c r="Q794" s="68"/>
      <c r="R794" s="68"/>
      <c r="S794" s="68"/>
    </row>
    <row r="795" spans="1:19" ht="15.75" customHeight="1">
      <c r="A795" s="68"/>
      <c r="B795" s="68"/>
      <c r="D795" s="68"/>
      <c r="E795" s="69"/>
      <c r="M795" s="68"/>
      <c r="O795" s="68"/>
      <c r="P795" s="68"/>
      <c r="Q795" s="68"/>
      <c r="R795" s="68"/>
      <c r="S795" s="68"/>
    </row>
    <row r="796" spans="1:19" ht="15.75" customHeight="1">
      <c r="A796" s="68"/>
      <c r="B796" s="68"/>
      <c r="D796" s="68"/>
      <c r="E796" s="69"/>
      <c r="M796" s="68"/>
      <c r="O796" s="68"/>
      <c r="P796" s="68"/>
      <c r="Q796" s="68"/>
      <c r="R796" s="68"/>
      <c r="S796" s="68"/>
    </row>
    <row r="797" spans="1:19" ht="15.75" customHeight="1">
      <c r="A797" s="68"/>
      <c r="B797" s="68"/>
      <c r="D797" s="68"/>
      <c r="E797" s="69"/>
      <c r="M797" s="68"/>
      <c r="O797" s="68"/>
      <c r="P797" s="68"/>
      <c r="Q797" s="68"/>
      <c r="R797" s="68"/>
      <c r="S797" s="68"/>
    </row>
    <row r="798" spans="1:19" ht="15.75" customHeight="1">
      <c r="A798" s="68"/>
      <c r="B798" s="68"/>
      <c r="D798" s="68"/>
      <c r="E798" s="69"/>
      <c r="M798" s="68"/>
      <c r="O798" s="68"/>
      <c r="P798" s="68"/>
      <c r="Q798" s="68"/>
      <c r="R798" s="68"/>
      <c r="S798" s="68"/>
    </row>
    <row r="799" spans="1:19" ht="15.75" customHeight="1">
      <c r="A799" s="68"/>
      <c r="B799" s="68"/>
      <c r="D799" s="68"/>
      <c r="E799" s="69"/>
      <c r="M799" s="68"/>
      <c r="O799" s="68"/>
      <c r="P799" s="68"/>
      <c r="Q799" s="68"/>
      <c r="R799" s="68"/>
      <c r="S799" s="68"/>
    </row>
    <row r="800" spans="1:19" ht="15.75" customHeight="1">
      <c r="A800" s="68"/>
      <c r="B800" s="68"/>
      <c r="D800" s="68"/>
      <c r="E800" s="69"/>
      <c r="M800" s="68"/>
      <c r="O800" s="68"/>
      <c r="P800" s="68"/>
      <c r="Q800" s="68"/>
      <c r="R800" s="68"/>
      <c r="S800" s="68"/>
    </row>
    <row r="801" spans="1:19" ht="15.75" customHeight="1">
      <c r="A801" s="68"/>
      <c r="B801" s="68"/>
      <c r="D801" s="68"/>
      <c r="E801" s="69"/>
      <c r="M801" s="68"/>
      <c r="O801" s="68"/>
      <c r="P801" s="68"/>
      <c r="Q801" s="68"/>
      <c r="R801" s="68"/>
      <c r="S801" s="68"/>
    </row>
    <row r="802" spans="1:19" ht="15.75" customHeight="1">
      <c r="A802" s="68"/>
      <c r="B802" s="68"/>
      <c r="D802" s="68"/>
      <c r="E802" s="69"/>
      <c r="M802" s="68"/>
      <c r="O802" s="68"/>
      <c r="P802" s="68"/>
      <c r="Q802" s="68"/>
      <c r="R802" s="68"/>
      <c r="S802" s="68"/>
    </row>
    <row r="803" spans="1:19" ht="15.75" customHeight="1">
      <c r="A803" s="68"/>
      <c r="B803" s="68"/>
      <c r="D803" s="68"/>
      <c r="E803" s="69"/>
      <c r="M803" s="68"/>
      <c r="O803" s="68"/>
      <c r="P803" s="68"/>
      <c r="Q803" s="68"/>
      <c r="R803" s="68"/>
      <c r="S803" s="68"/>
    </row>
    <row r="804" spans="1:19" ht="15.75" customHeight="1">
      <c r="A804" s="68"/>
      <c r="B804" s="68"/>
      <c r="D804" s="68"/>
      <c r="E804" s="69"/>
      <c r="M804" s="68"/>
      <c r="O804" s="68"/>
      <c r="P804" s="68"/>
      <c r="Q804" s="68"/>
      <c r="R804" s="68"/>
      <c r="S804" s="68"/>
    </row>
    <row r="805" spans="1:19" ht="15.75" customHeight="1">
      <c r="A805" s="68"/>
      <c r="B805" s="68"/>
      <c r="D805" s="68"/>
      <c r="E805" s="69"/>
      <c r="M805" s="68"/>
      <c r="O805" s="68"/>
      <c r="P805" s="68"/>
      <c r="Q805" s="68"/>
      <c r="R805" s="68"/>
      <c r="S805" s="68"/>
    </row>
    <row r="806" spans="1:19" ht="15.75" customHeight="1">
      <c r="A806" s="68"/>
      <c r="B806" s="68"/>
      <c r="D806" s="68"/>
      <c r="E806" s="69"/>
      <c r="M806" s="68"/>
      <c r="O806" s="68"/>
      <c r="P806" s="68"/>
      <c r="Q806" s="68"/>
      <c r="R806" s="68"/>
      <c r="S806" s="68"/>
    </row>
    <row r="807" spans="1:19" ht="15.75" customHeight="1">
      <c r="A807" s="68"/>
      <c r="B807" s="68"/>
      <c r="D807" s="68"/>
      <c r="E807" s="69"/>
      <c r="M807" s="68"/>
      <c r="O807" s="68"/>
      <c r="P807" s="68"/>
      <c r="Q807" s="68"/>
      <c r="R807" s="68"/>
      <c r="S807" s="68"/>
    </row>
    <row r="808" spans="1:19" ht="15.75" customHeight="1">
      <c r="A808" s="68"/>
      <c r="B808" s="68"/>
      <c r="D808" s="68"/>
      <c r="E808" s="69"/>
      <c r="M808" s="68"/>
      <c r="O808" s="68"/>
      <c r="P808" s="68"/>
      <c r="Q808" s="68"/>
      <c r="R808" s="68"/>
      <c r="S808" s="68"/>
    </row>
    <row r="809" spans="1:19" ht="15.75" customHeight="1">
      <c r="A809" s="68"/>
      <c r="B809" s="68"/>
      <c r="D809" s="68"/>
      <c r="E809" s="69"/>
      <c r="M809" s="68"/>
      <c r="O809" s="68"/>
      <c r="P809" s="68"/>
      <c r="Q809" s="68"/>
      <c r="R809" s="68"/>
      <c r="S809" s="68"/>
    </row>
    <row r="810" spans="1:19" ht="15.75" customHeight="1">
      <c r="A810" s="68"/>
      <c r="B810" s="68"/>
      <c r="D810" s="68"/>
      <c r="E810" s="69"/>
      <c r="M810" s="68"/>
      <c r="O810" s="68"/>
      <c r="P810" s="68"/>
      <c r="Q810" s="68"/>
      <c r="R810" s="68"/>
      <c r="S810" s="68"/>
    </row>
    <row r="811" spans="1:19" ht="15.75" customHeight="1">
      <c r="A811" s="68"/>
      <c r="B811" s="68"/>
      <c r="D811" s="68"/>
      <c r="E811" s="69"/>
      <c r="M811" s="68"/>
      <c r="O811" s="68"/>
      <c r="P811" s="68"/>
      <c r="Q811" s="68"/>
      <c r="R811" s="68"/>
      <c r="S811" s="68"/>
    </row>
    <row r="812" spans="1:19" ht="15.75" customHeight="1">
      <c r="A812" s="68"/>
      <c r="B812" s="68"/>
      <c r="D812" s="68"/>
      <c r="E812" s="69"/>
      <c r="M812" s="68"/>
      <c r="O812" s="68"/>
      <c r="P812" s="68"/>
      <c r="Q812" s="68"/>
      <c r="R812" s="68"/>
      <c r="S812" s="68"/>
    </row>
    <row r="813" spans="1:19" ht="15.75" customHeight="1">
      <c r="A813" s="68"/>
      <c r="B813" s="68"/>
      <c r="D813" s="68"/>
      <c r="E813" s="69"/>
      <c r="M813" s="68"/>
      <c r="O813" s="68"/>
      <c r="P813" s="68"/>
      <c r="Q813" s="68"/>
      <c r="R813" s="68"/>
      <c r="S813" s="68"/>
    </row>
    <row r="814" spans="1:19" ht="15.75" customHeight="1">
      <c r="A814" s="68"/>
      <c r="B814" s="68"/>
      <c r="D814" s="68"/>
      <c r="E814" s="69"/>
      <c r="M814" s="68"/>
      <c r="O814" s="68"/>
      <c r="P814" s="68"/>
      <c r="Q814" s="68"/>
      <c r="R814" s="68"/>
      <c r="S814" s="68"/>
    </row>
    <row r="815" spans="1:19" ht="15.75" customHeight="1">
      <c r="A815" s="68"/>
      <c r="B815" s="68"/>
      <c r="D815" s="68"/>
      <c r="E815" s="69"/>
      <c r="M815" s="68"/>
      <c r="O815" s="68"/>
      <c r="P815" s="68"/>
      <c r="Q815" s="68"/>
      <c r="R815" s="68"/>
      <c r="S815" s="68"/>
    </row>
    <row r="816" spans="1:19" ht="15.75" customHeight="1">
      <c r="A816" s="68"/>
      <c r="B816" s="68"/>
      <c r="D816" s="68"/>
      <c r="E816" s="69"/>
      <c r="M816" s="68"/>
      <c r="O816" s="68"/>
      <c r="P816" s="68"/>
      <c r="Q816" s="68"/>
      <c r="R816" s="68"/>
      <c r="S816" s="68"/>
    </row>
    <row r="817" spans="1:19" ht="15.75" customHeight="1">
      <c r="A817" s="68"/>
      <c r="B817" s="68"/>
      <c r="D817" s="68"/>
      <c r="E817" s="69"/>
      <c r="M817" s="68"/>
      <c r="O817" s="68"/>
      <c r="P817" s="68"/>
      <c r="Q817" s="68"/>
      <c r="R817" s="68"/>
      <c r="S817" s="68"/>
    </row>
    <row r="818" spans="1:19" ht="15.75" customHeight="1">
      <c r="A818" s="68"/>
      <c r="B818" s="68"/>
      <c r="D818" s="68"/>
      <c r="E818" s="69"/>
      <c r="M818" s="68"/>
      <c r="O818" s="68"/>
      <c r="P818" s="68"/>
      <c r="Q818" s="68"/>
      <c r="R818" s="68"/>
      <c r="S818" s="68"/>
    </row>
    <row r="819" spans="1:19" ht="15.75" customHeight="1">
      <c r="A819" s="68"/>
      <c r="B819" s="68"/>
      <c r="D819" s="68"/>
      <c r="E819" s="69"/>
      <c r="M819" s="68"/>
      <c r="O819" s="68"/>
      <c r="P819" s="68"/>
      <c r="Q819" s="68"/>
      <c r="R819" s="68"/>
      <c r="S819" s="68"/>
    </row>
    <row r="820" spans="1:19" ht="15.75" customHeight="1">
      <c r="A820" s="68"/>
      <c r="B820" s="68"/>
      <c r="D820" s="68"/>
      <c r="E820" s="69"/>
      <c r="M820" s="68"/>
      <c r="O820" s="68"/>
      <c r="P820" s="68"/>
      <c r="Q820" s="68"/>
      <c r="R820" s="68"/>
      <c r="S820" s="68"/>
    </row>
    <row r="821" spans="1:19" ht="15.75" customHeight="1">
      <c r="A821" s="68"/>
      <c r="B821" s="68"/>
      <c r="D821" s="68"/>
      <c r="E821" s="69"/>
      <c r="M821" s="68"/>
      <c r="O821" s="68"/>
      <c r="P821" s="68"/>
      <c r="Q821" s="68"/>
      <c r="R821" s="68"/>
      <c r="S821" s="68"/>
    </row>
    <row r="822" spans="1:19" ht="15.75" customHeight="1">
      <c r="A822" s="68"/>
      <c r="B822" s="68"/>
      <c r="D822" s="68"/>
      <c r="E822" s="69"/>
      <c r="M822" s="68"/>
      <c r="O822" s="68"/>
      <c r="P822" s="68"/>
      <c r="Q822" s="68"/>
      <c r="R822" s="68"/>
      <c r="S822" s="68"/>
    </row>
    <row r="823" spans="1:19" ht="15.75" customHeight="1">
      <c r="A823" s="68"/>
      <c r="B823" s="68"/>
      <c r="D823" s="68"/>
      <c r="E823" s="69"/>
      <c r="M823" s="68"/>
      <c r="O823" s="68"/>
      <c r="P823" s="68"/>
      <c r="Q823" s="68"/>
      <c r="R823" s="68"/>
      <c r="S823" s="68"/>
    </row>
    <row r="824" spans="1:19" ht="15.75" customHeight="1">
      <c r="A824" s="68"/>
      <c r="B824" s="68"/>
      <c r="D824" s="68"/>
      <c r="E824" s="69"/>
      <c r="M824" s="68"/>
      <c r="O824" s="68"/>
      <c r="P824" s="68"/>
      <c r="Q824" s="68"/>
      <c r="R824" s="68"/>
      <c r="S824" s="68"/>
    </row>
    <row r="825" spans="1:19" ht="15.75" customHeight="1">
      <c r="A825" s="68"/>
      <c r="B825" s="68"/>
      <c r="D825" s="68"/>
      <c r="E825" s="69"/>
      <c r="M825" s="68"/>
      <c r="O825" s="68"/>
      <c r="P825" s="68"/>
      <c r="Q825" s="68"/>
      <c r="R825" s="68"/>
      <c r="S825" s="68"/>
    </row>
    <row r="826" spans="1:19" ht="15.75" customHeight="1">
      <c r="A826" s="68"/>
      <c r="B826" s="68"/>
      <c r="D826" s="68"/>
      <c r="E826" s="69"/>
      <c r="M826" s="68"/>
      <c r="O826" s="68"/>
      <c r="P826" s="68"/>
      <c r="Q826" s="68"/>
      <c r="R826" s="68"/>
      <c r="S826" s="68"/>
    </row>
    <row r="827" spans="1:19" ht="15.75" customHeight="1">
      <c r="A827" s="68"/>
      <c r="B827" s="68"/>
      <c r="D827" s="68"/>
      <c r="E827" s="69"/>
      <c r="M827" s="68"/>
      <c r="O827" s="68"/>
      <c r="P827" s="68"/>
      <c r="Q827" s="68"/>
      <c r="R827" s="68"/>
      <c r="S827" s="68"/>
    </row>
    <row r="828" spans="1:19" ht="15.75" customHeight="1">
      <c r="A828" s="68"/>
      <c r="B828" s="68"/>
      <c r="D828" s="68"/>
      <c r="E828" s="69"/>
      <c r="M828" s="68"/>
      <c r="O828" s="68"/>
      <c r="P828" s="68"/>
      <c r="Q828" s="68"/>
      <c r="R828" s="68"/>
      <c r="S828" s="68"/>
    </row>
    <row r="829" spans="1:19" ht="15.75" customHeight="1">
      <c r="A829" s="68"/>
      <c r="B829" s="68"/>
      <c r="D829" s="68"/>
      <c r="E829" s="69"/>
      <c r="M829" s="68"/>
      <c r="O829" s="68"/>
      <c r="P829" s="68"/>
      <c r="Q829" s="68"/>
      <c r="R829" s="68"/>
      <c r="S829" s="68"/>
    </row>
    <row r="830" spans="1:19" ht="15.75" customHeight="1">
      <c r="A830" s="68"/>
      <c r="B830" s="68"/>
      <c r="D830" s="68"/>
      <c r="E830" s="69"/>
      <c r="M830" s="68"/>
      <c r="O830" s="68"/>
      <c r="P830" s="68"/>
      <c r="Q830" s="68"/>
      <c r="R830" s="68"/>
      <c r="S830" s="68"/>
    </row>
    <row r="831" spans="1:19" ht="15.75" customHeight="1">
      <c r="A831" s="68"/>
      <c r="B831" s="68"/>
      <c r="D831" s="68"/>
      <c r="E831" s="69"/>
      <c r="M831" s="68"/>
      <c r="O831" s="68"/>
      <c r="P831" s="68"/>
      <c r="Q831" s="68"/>
      <c r="R831" s="68"/>
      <c r="S831" s="68"/>
    </row>
    <row r="832" spans="1:19" ht="15.75" customHeight="1">
      <c r="A832" s="68"/>
      <c r="B832" s="68"/>
      <c r="D832" s="68"/>
      <c r="E832" s="69"/>
      <c r="M832" s="68"/>
      <c r="O832" s="68"/>
      <c r="P832" s="68"/>
      <c r="Q832" s="68"/>
      <c r="R832" s="68"/>
      <c r="S832" s="68"/>
    </row>
    <row r="833" spans="1:19" ht="15.75" customHeight="1">
      <c r="A833" s="68"/>
      <c r="B833" s="68"/>
      <c r="D833" s="68"/>
      <c r="E833" s="69"/>
      <c r="M833" s="68"/>
      <c r="O833" s="68"/>
      <c r="P833" s="68"/>
      <c r="Q833" s="68"/>
      <c r="R833" s="68"/>
      <c r="S833" s="68"/>
    </row>
    <row r="834" spans="1:19" ht="15.75" customHeight="1">
      <c r="A834" s="68"/>
      <c r="B834" s="68"/>
      <c r="D834" s="68"/>
      <c r="E834" s="69"/>
      <c r="M834" s="68"/>
      <c r="O834" s="68"/>
      <c r="P834" s="68"/>
      <c r="Q834" s="68"/>
      <c r="R834" s="68"/>
      <c r="S834" s="68"/>
    </row>
    <row r="835" spans="1:19" ht="15.75" customHeight="1">
      <c r="A835" s="68"/>
      <c r="B835" s="68"/>
      <c r="D835" s="68"/>
      <c r="E835" s="69"/>
      <c r="M835" s="68"/>
      <c r="O835" s="68"/>
      <c r="P835" s="68"/>
      <c r="Q835" s="68"/>
      <c r="R835" s="68"/>
      <c r="S835" s="68"/>
    </row>
    <row r="836" spans="1:19" ht="15.75" customHeight="1">
      <c r="A836" s="68"/>
      <c r="B836" s="68"/>
      <c r="D836" s="68"/>
      <c r="E836" s="69"/>
      <c r="M836" s="68"/>
      <c r="O836" s="68"/>
      <c r="P836" s="68"/>
      <c r="Q836" s="68"/>
      <c r="R836" s="68"/>
      <c r="S836" s="68"/>
    </row>
    <row r="837" spans="1:19" ht="15.75" customHeight="1">
      <c r="A837" s="68"/>
      <c r="B837" s="68"/>
      <c r="D837" s="68"/>
      <c r="E837" s="69"/>
      <c r="M837" s="68"/>
      <c r="O837" s="68"/>
      <c r="P837" s="68"/>
      <c r="Q837" s="68"/>
      <c r="R837" s="68"/>
      <c r="S837" s="68"/>
    </row>
    <row r="838" spans="1:19" ht="15.75" customHeight="1">
      <c r="A838" s="68"/>
      <c r="B838" s="68"/>
      <c r="D838" s="68"/>
      <c r="E838" s="69"/>
      <c r="M838" s="68"/>
      <c r="O838" s="68"/>
      <c r="P838" s="68"/>
      <c r="Q838" s="68"/>
      <c r="R838" s="68"/>
      <c r="S838" s="68"/>
    </row>
    <row r="839" spans="1:19" ht="15.75" customHeight="1">
      <c r="A839" s="68"/>
      <c r="B839" s="68"/>
      <c r="D839" s="68"/>
      <c r="E839" s="69"/>
      <c r="M839" s="68"/>
      <c r="O839" s="68"/>
      <c r="P839" s="68"/>
      <c r="Q839" s="68"/>
      <c r="R839" s="68"/>
      <c r="S839" s="68"/>
    </row>
    <row r="840" spans="1:19" ht="15.75" customHeight="1">
      <c r="A840" s="68"/>
      <c r="B840" s="68"/>
      <c r="D840" s="68"/>
      <c r="E840" s="69"/>
      <c r="M840" s="68"/>
      <c r="O840" s="68"/>
      <c r="P840" s="68"/>
      <c r="Q840" s="68"/>
      <c r="R840" s="68"/>
      <c r="S840" s="68"/>
    </row>
    <row r="841" spans="1:19" ht="15.75" customHeight="1">
      <c r="A841" s="68"/>
      <c r="B841" s="68"/>
      <c r="D841" s="68"/>
      <c r="E841" s="69"/>
      <c r="M841" s="68"/>
      <c r="O841" s="68"/>
      <c r="P841" s="68"/>
      <c r="Q841" s="68"/>
      <c r="R841" s="68"/>
      <c r="S841" s="68"/>
    </row>
    <row r="842" spans="1:19" ht="15.75" customHeight="1">
      <c r="A842" s="68"/>
      <c r="B842" s="68"/>
      <c r="D842" s="68"/>
      <c r="E842" s="69"/>
      <c r="M842" s="68"/>
      <c r="O842" s="68"/>
      <c r="P842" s="68"/>
      <c r="Q842" s="68"/>
      <c r="R842" s="68"/>
      <c r="S842" s="68"/>
    </row>
    <row r="843" spans="1:19" ht="15.75" customHeight="1">
      <c r="A843" s="68"/>
      <c r="B843" s="68"/>
      <c r="D843" s="68"/>
      <c r="E843" s="69"/>
      <c r="M843" s="68"/>
      <c r="O843" s="68"/>
      <c r="P843" s="68"/>
      <c r="Q843" s="68"/>
      <c r="R843" s="68"/>
      <c r="S843" s="68"/>
    </row>
    <row r="844" spans="1:19" ht="15.75" customHeight="1">
      <c r="A844" s="68"/>
      <c r="B844" s="68"/>
      <c r="D844" s="68"/>
      <c r="E844" s="69"/>
      <c r="M844" s="68"/>
      <c r="O844" s="68"/>
      <c r="P844" s="68"/>
      <c r="Q844" s="68"/>
      <c r="R844" s="68"/>
      <c r="S844" s="68"/>
    </row>
    <row r="845" spans="1:19" ht="15.75" customHeight="1">
      <c r="A845" s="68"/>
      <c r="B845" s="68"/>
      <c r="D845" s="68"/>
      <c r="E845" s="69"/>
      <c r="M845" s="68"/>
      <c r="O845" s="68"/>
      <c r="P845" s="68"/>
      <c r="Q845" s="68"/>
      <c r="R845" s="68"/>
      <c r="S845" s="68"/>
    </row>
    <row r="846" spans="1:19" ht="15.75" customHeight="1">
      <c r="A846" s="68"/>
      <c r="B846" s="68"/>
      <c r="D846" s="68"/>
      <c r="E846" s="69"/>
      <c r="M846" s="68"/>
      <c r="O846" s="68"/>
      <c r="P846" s="68"/>
      <c r="Q846" s="68"/>
      <c r="R846" s="68"/>
      <c r="S846" s="68"/>
    </row>
    <row r="847" spans="1:19" ht="15.75" customHeight="1">
      <c r="A847" s="68"/>
      <c r="B847" s="68"/>
      <c r="D847" s="68"/>
      <c r="E847" s="69"/>
      <c r="M847" s="68"/>
      <c r="O847" s="68"/>
      <c r="P847" s="68"/>
      <c r="Q847" s="68"/>
      <c r="R847" s="68"/>
      <c r="S847" s="68"/>
    </row>
    <row r="848" spans="1:19" ht="15.75" customHeight="1">
      <c r="A848" s="68"/>
      <c r="B848" s="68"/>
      <c r="D848" s="68"/>
      <c r="E848" s="69"/>
      <c r="M848" s="68"/>
      <c r="O848" s="68"/>
      <c r="P848" s="68"/>
      <c r="Q848" s="68"/>
      <c r="R848" s="68"/>
      <c r="S848" s="68"/>
    </row>
    <row r="849" spans="1:19" ht="15.75" customHeight="1">
      <c r="A849" s="68"/>
      <c r="B849" s="68"/>
      <c r="D849" s="68"/>
      <c r="E849" s="69"/>
      <c r="M849" s="68"/>
      <c r="O849" s="68"/>
      <c r="P849" s="68"/>
      <c r="Q849" s="68"/>
      <c r="R849" s="68"/>
      <c r="S849" s="68"/>
    </row>
    <row r="850" spans="1:19" ht="15.75" customHeight="1">
      <c r="A850" s="68"/>
      <c r="B850" s="68"/>
      <c r="D850" s="68"/>
      <c r="E850" s="69"/>
      <c r="M850" s="68"/>
      <c r="O850" s="68"/>
      <c r="P850" s="68"/>
      <c r="Q850" s="68"/>
      <c r="R850" s="68"/>
      <c r="S850" s="68"/>
    </row>
    <row r="851" spans="1:19" ht="15.75" customHeight="1">
      <c r="A851" s="68"/>
      <c r="B851" s="68"/>
      <c r="D851" s="68"/>
      <c r="E851" s="69"/>
      <c r="M851" s="68"/>
      <c r="O851" s="68"/>
      <c r="P851" s="68"/>
      <c r="Q851" s="68"/>
      <c r="R851" s="68"/>
      <c r="S851" s="68"/>
    </row>
    <row r="852" spans="1:19" ht="15.75" customHeight="1">
      <c r="A852" s="68"/>
      <c r="B852" s="68"/>
      <c r="D852" s="68"/>
      <c r="E852" s="69"/>
      <c r="M852" s="68"/>
      <c r="O852" s="68"/>
      <c r="P852" s="68"/>
      <c r="Q852" s="68"/>
      <c r="R852" s="68"/>
      <c r="S852" s="68"/>
    </row>
    <row r="853" spans="1:19" ht="15.75" customHeight="1">
      <c r="A853" s="68"/>
      <c r="B853" s="68"/>
      <c r="D853" s="68"/>
      <c r="E853" s="69"/>
      <c r="M853" s="68"/>
      <c r="O853" s="68"/>
      <c r="P853" s="68"/>
      <c r="Q853" s="68"/>
      <c r="R853" s="68"/>
      <c r="S853" s="68"/>
    </row>
    <row r="854" spans="1:19" ht="15.75" customHeight="1">
      <c r="A854" s="68"/>
      <c r="B854" s="68"/>
      <c r="D854" s="68"/>
      <c r="E854" s="69"/>
      <c r="M854" s="68"/>
      <c r="O854" s="68"/>
      <c r="P854" s="68"/>
      <c r="Q854" s="68"/>
      <c r="R854" s="68"/>
      <c r="S854" s="68"/>
    </row>
    <row r="855" spans="1:19" ht="15.75" customHeight="1">
      <c r="A855" s="68"/>
      <c r="B855" s="68"/>
      <c r="D855" s="68"/>
      <c r="E855" s="69"/>
      <c r="M855" s="68"/>
      <c r="O855" s="68"/>
      <c r="P855" s="68"/>
      <c r="Q855" s="68"/>
      <c r="R855" s="68"/>
      <c r="S855" s="68"/>
    </row>
    <row r="856" spans="1:19" ht="15.75" customHeight="1">
      <c r="A856" s="68"/>
      <c r="B856" s="68"/>
      <c r="D856" s="68"/>
      <c r="E856" s="69"/>
      <c r="M856" s="68"/>
      <c r="O856" s="68"/>
      <c r="P856" s="68"/>
      <c r="Q856" s="68"/>
      <c r="R856" s="68"/>
      <c r="S856" s="68"/>
    </row>
    <row r="857" spans="1:19" ht="15.75" customHeight="1">
      <c r="A857" s="68"/>
      <c r="B857" s="68"/>
      <c r="D857" s="68"/>
      <c r="E857" s="69"/>
      <c r="M857" s="68"/>
      <c r="O857" s="68"/>
      <c r="P857" s="68"/>
      <c r="Q857" s="68"/>
      <c r="R857" s="68"/>
      <c r="S857" s="68"/>
    </row>
    <row r="858" spans="1:19" ht="15.75" customHeight="1">
      <c r="A858" s="68"/>
      <c r="B858" s="68"/>
      <c r="D858" s="68"/>
      <c r="E858" s="69"/>
      <c r="M858" s="68"/>
      <c r="O858" s="68"/>
      <c r="P858" s="68"/>
      <c r="Q858" s="68"/>
      <c r="R858" s="68"/>
      <c r="S858" s="68"/>
    </row>
    <row r="859" spans="1:19" ht="15.75" customHeight="1">
      <c r="A859" s="68"/>
      <c r="B859" s="68"/>
      <c r="D859" s="68"/>
      <c r="E859" s="69"/>
      <c r="M859" s="68"/>
      <c r="O859" s="68"/>
      <c r="P859" s="68"/>
      <c r="Q859" s="68"/>
      <c r="R859" s="68"/>
      <c r="S859" s="68"/>
    </row>
    <row r="860" spans="1:19" ht="15.75" customHeight="1">
      <c r="A860" s="68"/>
      <c r="B860" s="68"/>
      <c r="D860" s="68"/>
      <c r="E860" s="69"/>
      <c r="M860" s="68"/>
      <c r="O860" s="68"/>
      <c r="P860" s="68"/>
      <c r="Q860" s="68"/>
      <c r="R860" s="68"/>
      <c r="S860" s="68"/>
    </row>
    <row r="861" spans="1:19" ht="15.75" customHeight="1">
      <c r="A861" s="68"/>
      <c r="B861" s="68"/>
      <c r="D861" s="68"/>
      <c r="E861" s="69"/>
      <c r="M861" s="68"/>
      <c r="O861" s="68"/>
      <c r="P861" s="68"/>
      <c r="Q861" s="68"/>
      <c r="R861" s="68"/>
      <c r="S861" s="68"/>
    </row>
    <row r="862" spans="1:19" ht="15.75" customHeight="1">
      <c r="A862" s="68"/>
      <c r="B862" s="68"/>
      <c r="D862" s="68"/>
      <c r="E862" s="69"/>
      <c r="M862" s="68"/>
      <c r="O862" s="68"/>
      <c r="P862" s="68"/>
      <c r="Q862" s="68"/>
      <c r="R862" s="68"/>
      <c r="S862" s="68"/>
    </row>
    <row r="863" spans="1:19" ht="15.75" customHeight="1">
      <c r="A863" s="68"/>
      <c r="B863" s="68"/>
      <c r="D863" s="68"/>
      <c r="E863" s="69"/>
      <c r="M863" s="68"/>
      <c r="O863" s="68"/>
      <c r="P863" s="68"/>
      <c r="Q863" s="68"/>
      <c r="R863" s="68"/>
      <c r="S863" s="68"/>
    </row>
    <row r="864" spans="1:19" ht="15.75" customHeight="1">
      <c r="A864" s="68"/>
      <c r="B864" s="68"/>
      <c r="D864" s="68"/>
      <c r="E864" s="69"/>
      <c r="M864" s="68"/>
      <c r="O864" s="68"/>
      <c r="P864" s="68"/>
      <c r="Q864" s="68"/>
      <c r="R864" s="68"/>
      <c r="S864" s="68"/>
    </row>
    <row r="865" spans="1:19" ht="15.75" customHeight="1">
      <c r="A865" s="68"/>
      <c r="B865" s="68"/>
      <c r="D865" s="68"/>
      <c r="E865" s="69"/>
      <c r="M865" s="68"/>
      <c r="O865" s="68"/>
      <c r="P865" s="68"/>
      <c r="Q865" s="68"/>
      <c r="R865" s="68"/>
      <c r="S865" s="68"/>
    </row>
    <row r="866" spans="1:19" ht="15.75" customHeight="1">
      <c r="A866" s="68"/>
      <c r="B866" s="68"/>
      <c r="D866" s="68"/>
      <c r="E866" s="69"/>
      <c r="M866" s="68"/>
      <c r="O866" s="68"/>
      <c r="P866" s="68"/>
      <c r="Q866" s="68"/>
      <c r="R866" s="68"/>
      <c r="S866" s="68"/>
    </row>
    <row r="867" spans="1:19" ht="15.75" customHeight="1">
      <c r="A867" s="68"/>
      <c r="B867" s="68"/>
      <c r="D867" s="68"/>
      <c r="E867" s="69"/>
      <c r="M867" s="68"/>
      <c r="O867" s="68"/>
      <c r="P867" s="68"/>
      <c r="Q867" s="68"/>
      <c r="R867" s="68"/>
      <c r="S867" s="68"/>
    </row>
    <row r="868" spans="1:19" ht="15.75" customHeight="1">
      <c r="A868" s="68"/>
      <c r="B868" s="68"/>
      <c r="D868" s="68"/>
      <c r="E868" s="69"/>
      <c r="M868" s="68"/>
      <c r="O868" s="68"/>
      <c r="P868" s="68"/>
      <c r="Q868" s="68"/>
      <c r="R868" s="68"/>
      <c r="S868" s="68"/>
    </row>
    <row r="869" spans="1:19" ht="15.75" customHeight="1">
      <c r="A869" s="68"/>
      <c r="B869" s="68"/>
      <c r="D869" s="68"/>
      <c r="E869" s="69"/>
      <c r="M869" s="68"/>
      <c r="O869" s="68"/>
      <c r="P869" s="68"/>
      <c r="Q869" s="68"/>
      <c r="R869" s="68"/>
      <c r="S869" s="68"/>
    </row>
    <row r="870" spans="1:19" ht="15.75" customHeight="1">
      <c r="A870" s="68"/>
      <c r="B870" s="68"/>
      <c r="D870" s="68"/>
      <c r="E870" s="69"/>
      <c r="M870" s="68"/>
      <c r="O870" s="68"/>
      <c r="P870" s="68"/>
      <c r="Q870" s="68"/>
      <c r="R870" s="68"/>
      <c r="S870" s="68"/>
    </row>
    <row r="871" spans="1:19" ht="15.75" customHeight="1">
      <c r="A871" s="68"/>
      <c r="B871" s="68"/>
      <c r="D871" s="68"/>
      <c r="E871" s="69"/>
      <c r="M871" s="68"/>
      <c r="O871" s="68"/>
      <c r="P871" s="68"/>
      <c r="Q871" s="68"/>
      <c r="R871" s="68"/>
      <c r="S871" s="68"/>
    </row>
    <row r="872" spans="1:19" ht="15.75" customHeight="1">
      <c r="A872" s="68"/>
      <c r="B872" s="68"/>
      <c r="D872" s="68"/>
      <c r="E872" s="69"/>
      <c r="M872" s="68"/>
      <c r="O872" s="68"/>
      <c r="P872" s="68"/>
      <c r="Q872" s="68"/>
      <c r="R872" s="68"/>
      <c r="S872" s="68"/>
    </row>
    <row r="873" spans="1:19" ht="15.75" customHeight="1">
      <c r="A873" s="68"/>
      <c r="B873" s="68"/>
      <c r="D873" s="68"/>
      <c r="E873" s="69"/>
      <c r="M873" s="68"/>
      <c r="O873" s="68"/>
      <c r="P873" s="68"/>
      <c r="Q873" s="68"/>
      <c r="R873" s="68"/>
      <c r="S873" s="68"/>
    </row>
    <row r="874" spans="1:19" ht="15.75" customHeight="1">
      <c r="A874" s="68"/>
      <c r="B874" s="68"/>
      <c r="D874" s="68"/>
      <c r="E874" s="69"/>
      <c r="M874" s="68"/>
      <c r="O874" s="68"/>
      <c r="P874" s="68"/>
      <c r="Q874" s="68"/>
      <c r="R874" s="68"/>
      <c r="S874" s="68"/>
    </row>
    <row r="875" spans="1:19" ht="15.75" customHeight="1">
      <c r="A875" s="68"/>
      <c r="B875" s="68"/>
      <c r="D875" s="68"/>
      <c r="E875" s="69"/>
      <c r="M875" s="68"/>
      <c r="O875" s="68"/>
      <c r="P875" s="68"/>
      <c r="Q875" s="68"/>
      <c r="R875" s="68"/>
      <c r="S875" s="68"/>
    </row>
    <row r="876" spans="1:19" ht="15.75" customHeight="1">
      <c r="A876" s="68"/>
      <c r="B876" s="68"/>
      <c r="D876" s="68"/>
      <c r="E876" s="69"/>
      <c r="M876" s="68"/>
      <c r="O876" s="68"/>
      <c r="P876" s="68"/>
      <c r="Q876" s="68"/>
      <c r="R876" s="68"/>
      <c r="S876" s="68"/>
    </row>
    <row r="877" spans="1:19" ht="15.75" customHeight="1">
      <c r="A877" s="68"/>
      <c r="B877" s="68"/>
      <c r="D877" s="68"/>
      <c r="E877" s="69"/>
      <c r="M877" s="68"/>
      <c r="O877" s="68"/>
      <c r="P877" s="68"/>
      <c r="Q877" s="68"/>
      <c r="R877" s="68"/>
      <c r="S877" s="68"/>
    </row>
    <row r="878" spans="1:19" ht="15.75" customHeight="1">
      <c r="A878" s="68"/>
      <c r="B878" s="68"/>
      <c r="D878" s="68"/>
      <c r="E878" s="69"/>
      <c r="M878" s="68"/>
      <c r="O878" s="68"/>
      <c r="P878" s="68"/>
      <c r="Q878" s="68"/>
      <c r="R878" s="68"/>
      <c r="S878" s="68"/>
    </row>
    <row r="879" spans="1:19" ht="15.75" customHeight="1">
      <c r="A879" s="68"/>
      <c r="B879" s="68"/>
      <c r="D879" s="68"/>
      <c r="E879" s="69"/>
      <c r="M879" s="68"/>
      <c r="O879" s="68"/>
      <c r="P879" s="68"/>
      <c r="Q879" s="68"/>
      <c r="R879" s="68"/>
      <c r="S879" s="68"/>
    </row>
    <row r="880" spans="1:19" ht="15.75" customHeight="1">
      <c r="A880" s="68"/>
      <c r="B880" s="68"/>
      <c r="D880" s="68"/>
      <c r="E880" s="69"/>
      <c r="M880" s="68"/>
      <c r="O880" s="68"/>
      <c r="P880" s="68"/>
      <c r="Q880" s="68"/>
      <c r="R880" s="68"/>
      <c r="S880" s="68"/>
    </row>
    <row r="881" spans="1:19" ht="15.75" customHeight="1">
      <c r="A881" s="68"/>
      <c r="B881" s="68"/>
      <c r="D881" s="68"/>
      <c r="E881" s="69"/>
      <c r="M881" s="68"/>
      <c r="O881" s="68"/>
      <c r="P881" s="68"/>
      <c r="Q881" s="68"/>
      <c r="R881" s="68"/>
      <c r="S881" s="68"/>
    </row>
    <row r="882" spans="1:19" ht="15.75" customHeight="1">
      <c r="A882" s="68"/>
      <c r="B882" s="68"/>
      <c r="D882" s="68"/>
      <c r="E882" s="69"/>
      <c r="M882" s="68"/>
      <c r="O882" s="68"/>
      <c r="P882" s="68"/>
      <c r="Q882" s="68"/>
      <c r="R882" s="68"/>
      <c r="S882" s="68"/>
    </row>
    <row r="883" spans="1:19" ht="15.75" customHeight="1">
      <c r="A883" s="68"/>
      <c r="B883" s="68"/>
      <c r="D883" s="68"/>
      <c r="E883" s="69"/>
      <c r="M883" s="68"/>
      <c r="O883" s="68"/>
      <c r="P883" s="68"/>
      <c r="Q883" s="68"/>
      <c r="R883" s="68"/>
      <c r="S883" s="68"/>
    </row>
    <row r="884" spans="1:19" ht="15.75" customHeight="1">
      <c r="A884" s="68"/>
      <c r="B884" s="68"/>
      <c r="D884" s="68"/>
      <c r="E884" s="69"/>
      <c r="M884" s="68"/>
      <c r="O884" s="68"/>
      <c r="P884" s="68"/>
      <c r="Q884" s="68"/>
      <c r="R884" s="68"/>
      <c r="S884" s="68"/>
    </row>
    <row r="885" spans="1:19" ht="15.75" customHeight="1">
      <c r="A885" s="68"/>
      <c r="B885" s="68"/>
      <c r="D885" s="68"/>
      <c r="E885" s="69"/>
      <c r="M885" s="68"/>
      <c r="O885" s="68"/>
      <c r="P885" s="68"/>
      <c r="Q885" s="68"/>
      <c r="R885" s="68"/>
      <c r="S885" s="68"/>
    </row>
    <row r="886" spans="1:19" ht="15.75" customHeight="1">
      <c r="A886" s="68"/>
      <c r="B886" s="68"/>
      <c r="D886" s="68"/>
      <c r="E886" s="69"/>
      <c r="M886" s="68"/>
      <c r="O886" s="68"/>
      <c r="P886" s="68"/>
      <c r="Q886" s="68"/>
      <c r="R886" s="68"/>
      <c r="S886" s="68"/>
    </row>
    <row r="887" spans="1:19" ht="15.75" customHeight="1">
      <c r="A887" s="68"/>
      <c r="B887" s="68"/>
      <c r="D887" s="68"/>
      <c r="E887" s="69"/>
      <c r="M887" s="68"/>
      <c r="O887" s="68"/>
      <c r="P887" s="68"/>
      <c r="Q887" s="68"/>
      <c r="R887" s="68"/>
      <c r="S887" s="68"/>
    </row>
    <row r="888" spans="1:19" ht="15.75" customHeight="1">
      <c r="A888" s="68"/>
      <c r="B888" s="68"/>
      <c r="D888" s="68"/>
      <c r="E888" s="69"/>
      <c r="M888" s="68"/>
      <c r="O888" s="68"/>
      <c r="P888" s="68"/>
      <c r="Q888" s="68"/>
      <c r="R888" s="68"/>
      <c r="S888" s="68"/>
    </row>
    <row r="889" spans="1:19" ht="15.75" customHeight="1">
      <c r="A889" s="68"/>
      <c r="B889" s="68"/>
      <c r="D889" s="68"/>
      <c r="E889" s="69"/>
      <c r="M889" s="68"/>
      <c r="O889" s="68"/>
      <c r="P889" s="68"/>
      <c r="Q889" s="68"/>
      <c r="R889" s="68"/>
      <c r="S889" s="68"/>
    </row>
    <row r="890" spans="1:19" ht="15.75" customHeight="1">
      <c r="A890" s="68"/>
      <c r="B890" s="68"/>
      <c r="D890" s="68"/>
      <c r="E890" s="69"/>
      <c r="M890" s="68"/>
      <c r="O890" s="68"/>
      <c r="P890" s="68"/>
      <c r="Q890" s="68"/>
      <c r="R890" s="68"/>
      <c r="S890" s="68"/>
    </row>
    <row r="891" spans="1:19" ht="15.75" customHeight="1">
      <c r="A891" s="68"/>
      <c r="B891" s="68"/>
      <c r="D891" s="68"/>
      <c r="E891" s="69"/>
      <c r="M891" s="68"/>
      <c r="O891" s="68"/>
      <c r="P891" s="68"/>
      <c r="Q891" s="68"/>
      <c r="R891" s="68"/>
      <c r="S891" s="68"/>
    </row>
    <row r="892" spans="1:19" ht="15.75" customHeight="1">
      <c r="A892" s="68"/>
      <c r="B892" s="68"/>
      <c r="D892" s="68"/>
      <c r="E892" s="69"/>
      <c r="M892" s="68"/>
      <c r="O892" s="68"/>
      <c r="P892" s="68"/>
      <c r="Q892" s="68"/>
      <c r="R892" s="68"/>
      <c r="S892" s="68"/>
    </row>
    <row r="893" spans="1:19" ht="15.75" customHeight="1">
      <c r="A893" s="68"/>
      <c r="B893" s="68"/>
      <c r="D893" s="68"/>
      <c r="E893" s="69"/>
      <c r="M893" s="68"/>
      <c r="O893" s="68"/>
      <c r="P893" s="68"/>
      <c r="Q893" s="68"/>
      <c r="R893" s="68"/>
      <c r="S893" s="68"/>
    </row>
    <row r="894" spans="1:19" ht="15.75" customHeight="1">
      <c r="A894" s="68"/>
      <c r="B894" s="68"/>
      <c r="D894" s="68"/>
      <c r="E894" s="69"/>
      <c r="M894" s="68"/>
      <c r="O894" s="68"/>
      <c r="P894" s="68"/>
      <c r="Q894" s="68"/>
      <c r="R894" s="68"/>
      <c r="S894" s="68"/>
    </row>
    <row r="895" spans="1:19" ht="15.75" customHeight="1">
      <c r="A895" s="68"/>
      <c r="B895" s="68"/>
      <c r="D895" s="68"/>
      <c r="E895" s="69"/>
      <c r="M895" s="68"/>
      <c r="O895" s="68"/>
      <c r="P895" s="68"/>
      <c r="Q895" s="68"/>
      <c r="R895" s="68"/>
      <c r="S895" s="68"/>
    </row>
    <row r="896" spans="1:19" ht="15.75" customHeight="1">
      <c r="A896" s="68"/>
      <c r="B896" s="68"/>
      <c r="D896" s="68"/>
      <c r="E896" s="69"/>
      <c r="M896" s="68"/>
      <c r="O896" s="68"/>
      <c r="P896" s="68"/>
      <c r="Q896" s="68"/>
      <c r="R896" s="68"/>
      <c r="S896" s="68"/>
    </row>
    <row r="897" spans="1:19" ht="15.75" customHeight="1">
      <c r="A897" s="68"/>
      <c r="B897" s="68"/>
      <c r="D897" s="68"/>
      <c r="E897" s="69"/>
      <c r="M897" s="68"/>
      <c r="O897" s="68"/>
      <c r="P897" s="68"/>
      <c r="Q897" s="68"/>
      <c r="R897" s="68"/>
      <c r="S897" s="68"/>
    </row>
    <row r="898" spans="1:19" ht="15.75" customHeight="1">
      <c r="A898" s="68"/>
      <c r="B898" s="68"/>
      <c r="D898" s="68"/>
      <c r="E898" s="69"/>
      <c r="M898" s="68"/>
      <c r="O898" s="68"/>
      <c r="P898" s="68"/>
      <c r="Q898" s="68"/>
      <c r="R898" s="68"/>
      <c r="S898" s="68"/>
    </row>
    <row r="899" spans="1:19" ht="15.75" customHeight="1">
      <c r="A899" s="68"/>
      <c r="B899" s="68"/>
      <c r="D899" s="68"/>
      <c r="E899" s="69"/>
      <c r="M899" s="68"/>
      <c r="O899" s="68"/>
      <c r="P899" s="68"/>
      <c r="Q899" s="68"/>
      <c r="R899" s="68"/>
      <c r="S899" s="68"/>
    </row>
    <row r="900" spans="1:19" ht="15.75" customHeight="1">
      <c r="A900" s="68"/>
      <c r="B900" s="68"/>
      <c r="D900" s="68"/>
      <c r="E900" s="69"/>
      <c r="M900" s="68"/>
      <c r="O900" s="68"/>
      <c r="P900" s="68"/>
      <c r="Q900" s="68"/>
      <c r="R900" s="68"/>
      <c r="S900" s="68"/>
    </row>
    <row r="901" spans="1:19" ht="15.75" customHeight="1">
      <c r="A901" s="68"/>
      <c r="B901" s="68"/>
      <c r="D901" s="68"/>
      <c r="E901" s="69"/>
      <c r="M901" s="68"/>
      <c r="O901" s="68"/>
      <c r="P901" s="68"/>
      <c r="Q901" s="68"/>
      <c r="R901" s="68"/>
      <c r="S901" s="68"/>
    </row>
    <row r="902" spans="1:19" ht="15.75" customHeight="1">
      <c r="A902" s="68"/>
      <c r="B902" s="68"/>
      <c r="D902" s="68"/>
      <c r="E902" s="69"/>
      <c r="M902" s="68"/>
      <c r="O902" s="68"/>
      <c r="P902" s="68"/>
      <c r="Q902" s="68"/>
      <c r="R902" s="68"/>
      <c r="S902" s="68"/>
    </row>
    <row r="903" spans="1:19" ht="15.75" customHeight="1">
      <c r="A903" s="68"/>
      <c r="B903" s="68"/>
      <c r="D903" s="68"/>
      <c r="E903" s="69"/>
      <c r="M903" s="68"/>
      <c r="O903" s="68"/>
      <c r="P903" s="68"/>
      <c r="Q903" s="68"/>
      <c r="R903" s="68"/>
      <c r="S903" s="68"/>
    </row>
    <row r="904" spans="1:19" ht="15.75" customHeight="1">
      <c r="A904" s="68"/>
      <c r="B904" s="68"/>
      <c r="D904" s="68"/>
      <c r="E904" s="69"/>
      <c r="M904" s="68"/>
      <c r="O904" s="68"/>
      <c r="P904" s="68"/>
      <c r="Q904" s="68"/>
      <c r="R904" s="68"/>
      <c r="S904" s="68"/>
    </row>
    <row r="905" spans="1:19" ht="15.75" customHeight="1">
      <c r="A905" s="68"/>
      <c r="B905" s="68"/>
      <c r="D905" s="68"/>
      <c r="E905" s="69"/>
      <c r="M905" s="68"/>
      <c r="O905" s="68"/>
      <c r="P905" s="68"/>
      <c r="Q905" s="68"/>
      <c r="R905" s="68"/>
      <c r="S905" s="68"/>
    </row>
    <row r="906" spans="1:19" ht="15.75" customHeight="1">
      <c r="A906" s="68"/>
      <c r="B906" s="68"/>
      <c r="D906" s="68"/>
      <c r="E906" s="69"/>
      <c r="M906" s="68"/>
      <c r="O906" s="68"/>
      <c r="P906" s="68"/>
      <c r="Q906" s="68"/>
      <c r="R906" s="68"/>
      <c r="S906" s="68"/>
    </row>
    <row r="907" spans="1:19" ht="15.75" customHeight="1">
      <c r="A907" s="68"/>
      <c r="B907" s="68"/>
      <c r="D907" s="68"/>
      <c r="E907" s="69"/>
      <c r="M907" s="68"/>
      <c r="O907" s="68"/>
      <c r="P907" s="68"/>
      <c r="Q907" s="68"/>
      <c r="R907" s="68"/>
      <c r="S907" s="68"/>
    </row>
    <row r="908" spans="1:19" ht="15.75" customHeight="1">
      <c r="A908" s="68"/>
      <c r="B908" s="68"/>
      <c r="D908" s="68"/>
      <c r="E908" s="69"/>
      <c r="M908" s="68"/>
      <c r="O908" s="68"/>
      <c r="P908" s="68"/>
      <c r="Q908" s="68"/>
      <c r="R908" s="68"/>
      <c r="S908" s="68"/>
    </row>
    <row r="909" spans="1:19" ht="15.75" customHeight="1">
      <c r="A909" s="68"/>
      <c r="B909" s="68"/>
      <c r="D909" s="68"/>
      <c r="E909" s="69"/>
      <c r="M909" s="68"/>
      <c r="O909" s="68"/>
      <c r="P909" s="68"/>
      <c r="Q909" s="68"/>
      <c r="R909" s="68"/>
      <c r="S909" s="68"/>
    </row>
    <row r="910" spans="1:19" ht="15.75" customHeight="1">
      <c r="A910" s="68"/>
      <c r="B910" s="68"/>
      <c r="D910" s="68"/>
      <c r="E910" s="69"/>
      <c r="M910" s="68"/>
      <c r="O910" s="68"/>
      <c r="P910" s="68"/>
      <c r="Q910" s="68"/>
      <c r="R910" s="68"/>
      <c r="S910" s="68"/>
    </row>
    <row r="911" spans="1:19" ht="15.75" customHeight="1">
      <c r="A911" s="68"/>
      <c r="B911" s="68"/>
      <c r="D911" s="68"/>
      <c r="E911" s="69"/>
      <c r="M911" s="68"/>
      <c r="O911" s="68"/>
      <c r="P911" s="68"/>
      <c r="Q911" s="68"/>
      <c r="R911" s="68"/>
      <c r="S911" s="68"/>
    </row>
    <row r="912" spans="1:19" ht="15.75" customHeight="1">
      <c r="A912" s="68"/>
      <c r="B912" s="68"/>
      <c r="D912" s="68"/>
      <c r="E912" s="69"/>
      <c r="M912" s="68"/>
      <c r="O912" s="68"/>
      <c r="P912" s="68"/>
      <c r="Q912" s="68"/>
      <c r="R912" s="68"/>
      <c r="S912" s="68"/>
    </row>
    <row r="913" spans="1:19" ht="15.75" customHeight="1">
      <c r="A913" s="68"/>
      <c r="B913" s="68"/>
      <c r="D913" s="68"/>
      <c r="E913" s="69"/>
      <c r="M913" s="68"/>
      <c r="O913" s="68"/>
      <c r="P913" s="68"/>
      <c r="Q913" s="68"/>
      <c r="R913" s="68"/>
      <c r="S913" s="68"/>
    </row>
    <row r="914" spans="1:19" ht="15.75" customHeight="1">
      <c r="A914" s="68"/>
      <c r="B914" s="68"/>
      <c r="D914" s="68"/>
      <c r="E914" s="69"/>
      <c r="M914" s="68"/>
      <c r="O914" s="68"/>
      <c r="P914" s="68"/>
      <c r="Q914" s="68"/>
      <c r="R914" s="68"/>
      <c r="S914" s="68"/>
    </row>
    <row r="915" spans="1:19" ht="15.75" customHeight="1">
      <c r="A915" s="68"/>
      <c r="B915" s="68"/>
      <c r="D915" s="68"/>
      <c r="E915" s="69"/>
      <c r="M915" s="68"/>
      <c r="O915" s="68"/>
      <c r="P915" s="68"/>
      <c r="Q915" s="68"/>
      <c r="R915" s="68"/>
      <c r="S915" s="68"/>
    </row>
    <row r="916" spans="1:19" ht="15.75" customHeight="1">
      <c r="A916" s="68"/>
      <c r="B916" s="68"/>
      <c r="D916" s="68"/>
      <c r="E916" s="69"/>
      <c r="M916" s="68"/>
      <c r="O916" s="68"/>
      <c r="P916" s="68"/>
      <c r="Q916" s="68"/>
      <c r="R916" s="68"/>
      <c r="S916" s="68"/>
    </row>
    <row r="917" spans="1:19" ht="15.75" customHeight="1">
      <c r="A917" s="68"/>
      <c r="B917" s="68"/>
      <c r="D917" s="68"/>
      <c r="E917" s="69"/>
      <c r="M917" s="68"/>
      <c r="O917" s="68"/>
      <c r="P917" s="68"/>
      <c r="Q917" s="68"/>
      <c r="R917" s="68"/>
      <c r="S917" s="68"/>
    </row>
    <row r="918" spans="1:19" ht="15.75" customHeight="1">
      <c r="A918" s="68"/>
      <c r="B918" s="68"/>
      <c r="D918" s="68"/>
      <c r="E918" s="69"/>
      <c r="M918" s="68"/>
      <c r="O918" s="68"/>
      <c r="P918" s="68"/>
      <c r="Q918" s="68"/>
      <c r="R918" s="68"/>
      <c r="S918" s="68"/>
    </row>
    <row r="919" spans="1:19" ht="15.75" customHeight="1">
      <c r="A919" s="68"/>
      <c r="B919" s="68"/>
      <c r="D919" s="68"/>
      <c r="E919" s="69"/>
      <c r="M919" s="68"/>
      <c r="O919" s="68"/>
      <c r="P919" s="68"/>
      <c r="Q919" s="68"/>
      <c r="R919" s="68"/>
      <c r="S919" s="68"/>
    </row>
    <row r="920" spans="1:19" ht="15.75" customHeight="1">
      <c r="A920" s="68"/>
      <c r="B920" s="68"/>
      <c r="D920" s="68"/>
      <c r="E920" s="69"/>
      <c r="M920" s="68"/>
      <c r="O920" s="68"/>
      <c r="P920" s="68"/>
      <c r="Q920" s="68"/>
      <c r="R920" s="68"/>
      <c r="S920" s="68"/>
    </row>
    <row r="921" spans="1:19" ht="15.75" customHeight="1">
      <c r="A921" s="68"/>
      <c r="B921" s="68"/>
      <c r="D921" s="68"/>
      <c r="E921" s="69"/>
      <c r="M921" s="68"/>
      <c r="O921" s="68"/>
      <c r="P921" s="68"/>
      <c r="Q921" s="68"/>
      <c r="R921" s="68"/>
      <c r="S921" s="68"/>
    </row>
    <row r="922" spans="1:19" ht="15.75" customHeight="1">
      <c r="A922" s="68"/>
      <c r="B922" s="68"/>
      <c r="D922" s="68"/>
      <c r="E922" s="69"/>
      <c r="M922" s="68"/>
      <c r="O922" s="68"/>
      <c r="P922" s="68"/>
      <c r="Q922" s="68"/>
      <c r="R922" s="68"/>
      <c r="S922" s="68"/>
    </row>
    <row r="923" spans="1:19" ht="15.75" customHeight="1">
      <c r="A923" s="68"/>
      <c r="B923" s="68"/>
      <c r="D923" s="68"/>
      <c r="E923" s="69"/>
      <c r="M923" s="68"/>
      <c r="O923" s="68"/>
      <c r="P923" s="68"/>
      <c r="Q923" s="68"/>
      <c r="R923" s="68"/>
      <c r="S923" s="68"/>
    </row>
    <row r="924" spans="1:19" ht="15.75" customHeight="1">
      <c r="A924" s="68"/>
      <c r="B924" s="68"/>
      <c r="D924" s="68"/>
      <c r="E924" s="69"/>
      <c r="M924" s="68"/>
      <c r="O924" s="68"/>
      <c r="P924" s="68"/>
      <c r="Q924" s="68"/>
      <c r="R924" s="68"/>
      <c r="S924" s="68"/>
    </row>
    <row r="925" spans="1:19" ht="15.75" customHeight="1">
      <c r="A925" s="68"/>
      <c r="B925" s="68"/>
      <c r="D925" s="68"/>
      <c r="E925" s="69"/>
      <c r="M925" s="68"/>
      <c r="O925" s="68"/>
      <c r="P925" s="68"/>
      <c r="Q925" s="68"/>
      <c r="R925" s="68"/>
      <c r="S925" s="68"/>
    </row>
    <row r="926" spans="1:19" ht="15.75" customHeight="1">
      <c r="A926" s="68"/>
      <c r="B926" s="68"/>
      <c r="D926" s="68"/>
      <c r="E926" s="69"/>
      <c r="M926" s="68"/>
      <c r="O926" s="68"/>
      <c r="P926" s="68"/>
      <c r="Q926" s="68"/>
      <c r="R926" s="68"/>
      <c r="S926" s="68"/>
    </row>
    <row r="927" spans="1:19" ht="15.75" customHeight="1">
      <c r="A927" s="68"/>
      <c r="B927" s="68"/>
      <c r="D927" s="68"/>
      <c r="E927" s="69"/>
      <c r="M927" s="68"/>
      <c r="O927" s="68"/>
      <c r="P927" s="68"/>
      <c r="Q927" s="68"/>
      <c r="R927" s="68"/>
      <c r="S927" s="68"/>
    </row>
    <row r="928" spans="1:19" ht="15.75" customHeight="1">
      <c r="A928" s="68"/>
      <c r="B928" s="68"/>
      <c r="D928" s="68"/>
      <c r="E928" s="69"/>
      <c r="M928" s="68"/>
      <c r="O928" s="68"/>
      <c r="P928" s="68"/>
      <c r="Q928" s="68"/>
      <c r="R928" s="68"/>
      <c r="S928" s="68"/>
    </row>
    <row r="929" spans="1:19" ht="15.75" customHeight="1">
      <c r="A929" s="68"/>
      <c r="B929" s="68"/>
      <c r="D929" s="68"/>
      <c r="E929" s="69"/>
      <c r="M929" s="68"/>
      <c r="O929" s="68"/>
      <c r="P929" s="68"/>
      <c r="Q929" s="68"/>
      <c r="R929" s="68"/>
      <c r="S929" s="68"/>
    </row>
    <row r="930" spans="1:19" ht="15.75" customHeight="1">
      <c r="A930" s="68"/>
      <c r="B930" s="68"/>
      <c r="D930" s="68"/>
      <c r="E930" s="69"/>
      <c r="M930" s="68"/>
      <c r="O930" s="68"/>
      <c r="P930" s="68"/>
      <c r="Q930" s="68"/>
      <c r="R930" s="68"/>
      <c r="S930" s="68"/>
    </row>
    <row r="931" spans="1:19" ht="15.75" customHeight="1">
      <c r="A931" s="68"/>
      <c r="B931" s="68"/>
      <c r="D931" s="68"/>
      <c r="E931" s="69"/>
      <c r="M931" s="68"/>
      <c r="O931" s="68"/>
      <c r="P931" s="68"/>
      <c r="Q931" s="68"/>
      <c r="R931" s="68"/>
      <c r="S931" s="68"/>
    </row>
    <row r="932" spans="1:19" ht="15.75" customHeight="1">
      <c r="A932" s="68"/>
      <c r="B932" s="68"/>
      <c r="D932" s="68"/>
      <c r="E932" s="69"/>
      <c r="M932" s="68"/>
      <c r="O932" s="68"/>
      <c r="P932" s="68"/>
      <c r="Q932" s="68"/>
      <c r="R932" s="68"/>
      <c r="S932" s="68"/>
    </row>
    <row r="933" spans="1:19" ht="15.75" customHeight="1">
      <c r="A933" s="68"/>
      <c r="B933" s="68"/>
      <c r="D933" s="68"/>
      <c r="E933" s="69"/>
      <c r="M933" s="68"/>
      <c r="O933" s="68"/>
      <c r="P933" s="68"/>
      <c r="Q933" s="68"/>
      <c r="R933" s="68"/>
      <c r="S933" s="68"/>
    </row>
    <row r="934" spans="1:19" ht="15.75" customHeight="1">
      <c r="A934" s="68"/>
      <c r="B934" s="68"/>
      <c r="D934" s="68"/>
      <c r="E934" s="69"/>
      <c r="M934" s="68"/>
      <c r="O934" s="68"/>
      <c r="P934" s="68"/>
      <c r="Q934" s="68"/>
      <c r="R934" s="68"/>
      <c r="S934" s="68"/>
    </row>
    <row r="935" spans="1:19" ht="15.75" customHeight="1">
      <c r="A935" s="68"/>
      <c r="B935" s="68"/>
      <c r="D935" s="68"/>
      <c r="E935" s="69"/>
      <c r="M935" s="68"/>
      <c r="O935" s="68"/>
      <c r="P935" s="68"/>
      <c r="Q935" s="68"/>
      <c r="R935" s="68"/>
      <c r="S935" s="68"/>
    </row>
    <row r="936" spans="1:19" ht="15.75" customHeight="1">
      <c r="A936" s="68"/>
      <c r="B936" s="68"/>
      <c r="D936" s="68"/>
      <c r="E936" s="69"/>
      <c r="M936" s="68"/>
      <c r="O936" s="68"/>
      <c r="P936" s="68"/>
      <c r="Q936" s="68"/>
      <c r="R936" s="68"/>
      <c r="S936" s="68"/>
    </row>
    <row r="937" spans="1:19" ht="15.75" customHeight="1">
      <c r="A937" s="68"/>
      <c r="B937" s="68"/>
      <c r="D937" s="68"/>
      <c r="E937" s="69"/>
      <c r="M937" s="68"/>
      <c r="O937" s="68"/>
      <c r="P937" s="68"/>
      <c r="Q937" s="68"/>
      <c r="R937" s="68"/>
      <c r="S937" s="68"/>
    </row>
    <row r="938" spans="1:19" ht="15.75" customHeight="1">
      <c r="A938" s="68"/>
      <c r="B938" s="68"/>
      <c r="D938" s="68"/>
      <c r="E938" s="69"/>
      <c r="M938" s="68"/>
      <c r="O938" s="68"/>
      <c r="P938" s="68"/>
      <c r="Q938" s="68"/>
      <c r="R938" s="68"/>
      <c r="S938" s="68"/>
    </row>
    <row r="939" spans="1:19" ht="15.75" customHeight="1">
      <c r="A939" s="68"/>
      <c r="B939" s="68"/>
      <c r="D939" s="68"/>
      <c r="E939" s="69"/>
      <c r="M939" s="68"/>
      <c r="O939" s="68"/>
      <c r="P939" s="68"/>
      <c r="Q939" s="68"/>
      <c r="R939" s="68"/>
      <c r="S939" s="68"/>
    </row>
    <row r="940" spans="1:19" ht="15.75" customHeight="1">
      <c r="A940" s="68"/>
      <c r="B940" s="68"/>
      <c r="D940" s="68"/>
      <c r="E940" s="69"/>
      <c r="M940" s="68"/>
      <c r="O940" s="68"/>
      <c r="P940" s="68"/>
      <c r="Q940" s="68"/>
      <c r="R940" s="68"/>
      <c r="S940" s="68"/>
    </row>
    <row r="941" spans="1:19" ht="15.75" customHeight="1">
      <c r="A941" s="68"/>
      <c r="B941" s="68"/>
      <c r="D941" s="68"/>
      <c r="E941" s="69"/>
      <c r="M941" s="68"/>
      <c r="O941" s="68"/>
      <c r="P941" s="68"/>
      <c r="Q941" s="68"/>
      <c r="R941" s="68"/>
      <c r="S941" s="68"/>
    </row>
    <row r="942" spans="1:19" ht="15.75" customHeight="1">
      <c r="A942" s="68"/>
      <c r="B942" s="68"/>
      <c r="D942" s="68"/>
      <c r="E942" s="69"/>
      <c r="M942" s="68"/>
      <c r="O942" s="68"/>
      <c r="P942" s="68"/>
      <c r="Q942" s="68"/>
      <c r="R942" s="68"/>
      <c r="S942" s="68"/>
    </row>
    <row r="943" spans="1:19" ht="15.75" customHeight="1">
      <c r="A943" s="68"/>
      <c r="B943" s="68"/>
      <c r="D943" s="68"/>
      <c r="E943" s="69"/>
      <c r="M943" s="68"/>
      <c r="O943" s="68"/>
      <c r="P943" s="68"/>
      <c r="Q943" s="68"/>
      <c r="R943" s="68"/>
      <c r="S943" s="68"/>
    </row>
    <row r="944" spans="1:19" ht="15.75" customHeight="1">
      <c r="A944" s="68"/>
      <c r="B944" s="68"/>
      <c r="D944" s="68"/>
      <c r="E944" s="69"/>
      <c r="M944" s="68"/>
      <c r="O944" s="68"/>
      <c r="P944" s="68"/>
      <c r="Q944" s="68"/>
      <c r="R944" s="68"/>
      <c r="S944" s="68"/>
    </row>
    <row r="945" spans="1:19" ht="15.75" customHeight="1">
      <c r="A945" s="68"/>
      <c r="B945" s="68"/>
      <c r="D945" s="68"/>
      <c r="E945" s="69"/>
      <c r="M945" s="68"/>
      <c r="O945" s="68"/>
      <c r="P945" s="68"/>
      <c r="Q945" s="68"/>
      <c r="R945" s="68"/>
      <c r="S945" s="68"/>
    </row>
    <row r="946" spans="1:19" ht="15.75" customHeight="1">
      <c r="A946" s="68"/>
      <c r="B946" s="68"/>
      <c r="D946" s="68"/>
      <c r="E946" s="69"/>
      <c r="M946" s="68"/>
      <c r="O946" s="68"/>
      <c r="P946" s="68"/>
      <c r="Q946" s="68"/>
      <c r="R946" s="68"/>
      <c r="S946" s="68"/>
    </row>
    <row r="947" spans="1:19" ht="15.75" customHeight="1">
      <c r="A947" s="68"/>
      <c r="B947" s="68"/>
      <c r="D947" s="68"/>
      <c r="E947" s="69"/>
      <c r="M947" s="68"/>
      <c r="O947" s="68"/>
      <c r="P947" s="68"/>
      <c r="Q947" s="68"/>
      <c r="R947" s="68"/>
      <c r="S947" s="68"/>
    </row>
    <row r="948" spans="1:19" ht="15.75" customHeight="1">
      <c r="A948" s="68"/>
      <c r="B948" s="68"/>
      <c r="D948" s="68"/>
      <c r="E948" s="69"/>
      <c r="M948" s="68"/>
      <c r="O948" s="68"/>
      <c r="P948" s="68"/>
      <c r="Q948" s="68"/>
      <c r="R948" s="68"/>
      <c r="S948" s="68"/>
    </row>
    <row r="949" spans="1:19" ht="15.75" customHeight="1">
      <c r="A949" s="68"/>
      <c r="B949" s="68"/>
      <c r="D949" s="68"/>
      <c r="E949" s="69"/>
      <c r="M949" s="68"/>
      <c r="O949" s="68"/>
      <c r="P949" s="68"/>
      <c r="Q949" s="68"/>
      <c r="R949" s="68"/>
      <c r="S949" s="68"/>
    </row>
    <row r="950" spans="1:19" ht="15.75" customHeight="1">
      <c r="A950" s="68"/>
      <c r="B950" s="68"/>
      <c r="D950" s="68"/>
      <c r="E950" s="69"/>
      <c r="M950" s="68"/>
      <c r="O950" s="68"/>
      <c r="P950" s="68"/>
      <c r="Q950" s="68"/>
      <c r="R950" s="68"/>
      <c r="S950" s="68"/>
    </row>
    <row r="951" spans="1:19" ht="15.75" customHeight="1">
      <c r="A951" s="68"/>
      <c r="B951" s="68"/>
      <c r="D951" s="68"/>
      <c r="E951" s="69"/>
      <c r="M951" s="68"/>
      <c r="O951" s="68"/>
      <c r="P951" s="68"/>
      <c r="Q951" s="68"/>
      <c r="R951" s="68"/>
      <c r="S951" s="68"/>
    </row>
    <row r="952" spans="1:19" ht="15.75" customHeight="1">
      <c r="A952" s="68"/>
      <c r="B952" s="68"/>
      <c r="D952" s="68"/>
      <c r="E952" s="69"/>
      <c r="M952" s="68"/>
      <c r="O952" s="68"/>
      <c r="P952" s="68"/>
      <c r="Q952" s="68"/>
      <c r="R952" s="68"/>
      <c r="S952" s="68"/>
    </row>
    <row r="953" spans="1:19" ht="15.75" customHeight="1">
      <c r="A953" s="68"/>
      <c r="B953" s="68"/>
      <c r="D953" s="68"/>
      <c r="E953" s="69"/>
      <c r="M953" s="68"/>
      <c r="O953" s="68"/>
      <c r="P953" s="68"/>
      <c r="Q953" s="68"/>
      <c r="R953" s="68"/>
      <c r="S953" s="68"/>
    </row>
    <row r="954" spans="1:19" ht="15.75" customHeight="1">
      <c r="A954" s="68"/>
      <c r="B954" s="68"/>
      <c r="D954" s="68"/>
      <c r="E954" s="69"/>
      <c r="M954" s="68"/>
      <c r="O954" s="68"/>
      <c r="P954" s="68"/>
      <c r="Q954" s="68"/>
      <c r="R954" s="68"/>
      <c r="S954" s="68"/>
    </row>
    <row r="955" spans="1:19" ht="15.75" customHeight="1">
      <c r="A955" s="68"/>
      <c r="B955" s="68"/>
      <c r="D955" s="68"/>
      <c r="E955" s="69"/>
      <c r="M955" s="68"/>
      <c r="O955" s="68"/>
      <c r="P955" s="68"/>
      <c r="Q955" s="68"/>
      <c r="R955" s="68"/>
      <c r="S955" s="68"/>
    </row>
    <row r="956" spans="1:19" ht="15.75" customHeight="1">
      <c r="A956" s="68"/>
      <c r="B956" s="68"/>
      <c r="D956" s="68"/>
      <c r="E956" s="69"/>
      <c r="M956" s="68"/>
      <c r="O956" s="68"/>
      <c r="P956" s="68"/>
      <c r="Q956" s="68"/>
      <c r="R956" s="68"/>
      <c r="S956" s="68"/>
    </row>
    <row r="957" spans="1:19" ht="15.75" customHeight="1">
      <c r="A957" s="68"/>
      <c r="B957" s="68"/>
      <c r="D957" s="68"/>
      <c r="E957" s="69"/>
      <c r="M957" s="68"/>
      <c r="O957" s="68"/>
      <c r="P957" s="68"/>
      <c r="Q957" s="68"/>
      <c r="R957" s="68"/>
      <c r="S957" s="68"/>
    </row>
    <row r="958" spans="1:19" ht="15.75" customHeight="1">
      <c r="A958" s="68"/>
      <c r="B958" s="68"/>
      <c r="D958" s="68"/>
      <c r="E958" s="69"/>
      <c r="M958" s="68"/>
      <c r="O958" s="68"/>
      <c r="P958" s="68"/>
      <c r="Q958" s="68"/>
      <c r="R958" s="68"/>
      <c r="S958" s="68"/>
    </row>
    <row r="959" spans="1:19" ht="15.75" customHeight="1">
      <c r="A959" s="68"/>
      <c r="B959" s="68"/>
      <c r="D959" s="68"/>
      <c r="E959" s="69"/>
      <c r="M959" s="68"/>
      <c r="O959" s="68"/>
      <c r="P959" s="68"/>
      <c r="Q959" s="68"/>
      <c r="R959" s="68"/>
      <c r="S959" s="68"/>
    </row>
    <row r="960" spans="1:19" ht="15.75" customHeight="1">
      <c r="A960" s="68"/>
      <c r="B960" s="68"/>
      <c r="D960" s="68"/>
      <c r="E960" s="69"/>
      <c r="M960" s="68"/>
      <c r="O960" s="68"/>
      <c r="P960" s="68"/>
      <c r="Q960" s="68"/>
      <c r="R960" s="68"/>
      <c r="S960" s="68"/>
    </row>
    <row r="961" spans="1:19" ht="15.75" customHeight="1">
      <c r="A961" s="68"/>
      <c r="B961" s="68"/>
      <c r="D961" s="68"/>
      <c r="E961" s="69"/>
      <c r="M961" s="68"/>
      <c r="O961" s="68"/>
      <c r="P961" s="68"/>
      <c r="Q961" s="68"/>
      <c r="R961" s="68"/>
      <c r="S961" s="68"/>
    </row>
    <row r="962" spans="1:19" ht="15.75" customHeight="1">
      <c r="A962" s="68"/>
      <c r="B962" s="68"/>
      <c r="D962" s="68"/>
      <c r="E962" s="69"/>
      <c r="M962" s="68"/>
      <c r="O962" s="68"/>
      <c r="P962" s="68"/>
      <c r="Q962" s="68"/>
      <c r="R962" s="68"/>
      <c r="S962" s="68"/>
    </row>
    <row r="963" spans="1:19" ht="15.75" customHeight="1">
      <c r="A963" s="68"/>
      <c r="B963" s="68"/>
      <c r="D963" s="68"/>
      <c r="E963" s="69"/>
      <c r="M963" s="68"/>
      <c r="O963" s="68"/>
      <c r="P963" s="68"/>
      <c r="Q963" s="68"/>
      <c r="R963" s="68"/>
      <c r="S963" s="68"/>
    </row>
    <row r="964" spans="1:19" ht="15.75" customHeight="1">
      <c r="A964" s="68"/>
      <c r="B964" s="68"/>
      <c r="D964" s="68"/>
      <c r="E964" s="69"/>
      <c r="M964" s="68"/>
      <c r="O964" s="68"/>
      <c r="P964" s="68"/>
      <c r="Q964" s="68"/>
      <c r="R964" s="68"/>
      <c r="S964" s="68"/>
    </row>
    <row r="965" spans="1:19" ht="15.75" customHeight="1">
      <c r="A965" s="68"/>
      <c r="B965" s="68"/>
      <c r="D965" s="68"/>
      <c r="E965" s="69"/>
      <c r="M965" s="68"/>
      <c r="O965" s="68"/>
      <c r="P965" s="68"/>
      <c r="Q965" s="68"/>
      <c r="R965" s="68"/>
      <c r="S965" s="68"/>
    </row>
    <row r="966" spans="1:19" ht="15.75" customHeight="1">
      <c r="A966" s="68"/>
      <c r="B966" s="68"/>
      <c r="D966" s="68"/>
      <c r="E966" s="69"/>
      <c r="M966" s="68"/>
      <c r="O966" s="68"/>
      <c r="P966" s="68"/>
      <c r="Q966" s="68"/>
      <c r="R966" s="68"/>
      <c r="S966" s="68"/>
    </row>
    <row r="967" spans="1:19" ht="15.75" customHeight="1">
      <c r="A967" s="68"/>
      <c r="B967" s="68"/>
      <c r="D967" s="68"/>
      <c r="E967" s="69"/>
      <c r="M967" s="68"/>
      <c r="O967" s="68"/>
      <c r="P967" s="68"/>
      <c r="Q967" s="68"/>
      <c r="R967" s="68"/>
      <c r="S967" s="68"/>
    </row>
    <row r="968" spans="1:19" ht="15.75" customHeight="1">
      <c r="A968" s="68"/>
      <c r="B968" s="68"/>
      <c r="D968" s="68"/>
      <c r="E968" s="69"/>
      <c r="M968" s="68"/>
      <c r="O968" s="68"/>
      <c r="P968" s="68"/>
      <c r="Q968" s="68"/>
      <c r="R968" s="68"/>
      <c r="S968" s="68"/>
    </row>
    <row r="969" spans="1:19" ht="15.75" customHeight="1">
      <c r="A969" s="68"/>
      <c r="B969" s="68"/>
      <c r="D969" s="68"/>
      <c r="E969" s="69"/>
      <c r="M969" s="68"/>
      <c r="O969" s="68"/>
      <c r="P969" s="68"/>
      <c r="Q969" s="68"/>
      <c r="R969" s="68"/>
      <c r="S969" s="68"/>
    </row>
    <row r="970" spans="1:19" ht="15.75" customHeight="1">
      <c r="A970" s="68"/>
      <c r="B970" s="68"/>
      <c r="D970" s="68"/>
      <c r="E970" s="69"/>
      <c r="M970" s="68"/>
      <c r="O970" s="68"/>
      <c r="P970" s="68"/>
      <c r="Q970" s="68"/>
      <c r="R970" s="68"/>
      <c r="S970" s="68"/>
    </row>
    <row r="971" spans="1:19" ht="15.75" customHeight="1">
      <c r="A971" s="68"/>
      <c r="B971" s="68"/>
      <c r="D971" s="68"/>
      <c r="E971" s="69"/>
      <c r="M971" s="68"/>
      <c r="O971" s="68"/>
      <c r="P971" s="68"/>
      <c r="Q971" s="68"/>
      <c r="R971" s="68"/>
      <c r="S971" s="68"/>
    </row>
    <row r="972" spans="1:19" ht="15.75" customHeight="1">
      <c r="A972" s="68"/>
      <c r="B972" s="68"/>
      <c r="D972" s="68"/>
      <c r="E972" s="69"/>
      <c r="M972" s="68"/>
      <c r="O972" s="68"/>
      <c r="P972" s="68"/>
      <c r="Q972" s="68"/>
      <c r="R972" s="68"/>
      <c r="S972" s="68"/>
    </row>
    <row r="973" spans="1:19" ht="15.75" customHeight="1">
      <c r="A973" s="68"/>
      <c r="B973" s="68"/>
      <c r="D973" s="68"/>
      <c r="E973" s="69"/>
      <c r="M973" s="68"/>
      <c r="O973" s="68"/>
      <c r="P973" s="68"/>
      <c r="Q973" s="68"/>
      <c r="R973" s="68"/>
      <c r="S973" s="68"/>
    </row>
    <row r="974" spans="1:19" ht="15.75" customHeight="1">
      <c r="A974" s="68"/>
      <c r="B974" s="68"/>
      <c r="D974" s="68"/>
      <c r="E974" s="69"/>
      <c r="M974" s="68"/>
      <c r="O974" s="68"/>
      <c r="P974" s="68"/>
      <c r="Q974" s="68"/>
      <c r="R974" s="68"/>
      <c r="S974" s="68"/>
    </row>
    <row r="975" spans="1:19" ht="15.75" customHeight="1">
      <c r="A975" s="68"/>
      <c r="B975" s="68"/>
      <c r="D975" s="68"/>
      <c r="E975" s="69"/>
      <c r="M975" s="68"/>
      <c r="O975" s="68"/>
      <c r="P975" s="68"/>
      <c r="Q975" s="68"/>
      <c r="R975" s="68"/>
      <c r="S975" s="68"/>
    </row>
    <row r="976" spans="1:19" ht="15.75" customHeight="1">
      <c r="A976" s="68"/>
      <c r="B976" s="68"/>
      <c r="D976" s="68"/>
      <c r="E976" s="69"/>
      <c r="M976" s="68"/>
      <c r="O976" s="68"/>
      <c r="P976" s="68"/>
      <c r="Q976" s="68"/>
      <c r="R976" s="68"/>
      <c r="S976" s="68"/>
    </row>
    <row r="977" spans="1:19" ht="15.75" customHeight="1">
      <c r="A977" s="68"/>
      <c r="B977" s="68"/>
      <c r="D977" s="68"/>
      <c r="E977" s="69"/>
      <c r="M977" s="68"/>
      <c r="O977" s="68"/>
      <c r="P977" s="68"/>
      <c r="Q977" s="68"/>
      <c r="R977" s="68"/>
      <c r="S977" s="68"/>
    </row>
    <row r="978" spans="1:19" ht="15.75" customHeight="1">
      <c r="A978" s="68"/>
      <c r="B978" s="68"/>
      <c r="D978" s="68"/>
      <c r="E978" s="69"/>
      <c r="M978" s="68"/>
      <c r="O978" s="68"/>
      <c r="P978" s="68"/>
      <c r="Q978" s="68"/>
      <c r="R978" s="68"/>
      <c r="S978" s="68"/>
    </row>
    <row r="979" spans="1:19" ht="15.75" customHeight="1">
      <c r="A979" s="68"/>
      <c r="B979" s="68"/>
      <c r="D979" s="68"/>
      <c r="E979" s="69"/>
      <c r="M979" s="68"/>
      <c r="O979" s="68"/>
      <c r="P979" s="68"/>
      <c r="Q979" s="68"/>
      <c r="R979" s="68"/>
      <c r="S979" s="68"/>
    </row>
    <row r="980" spans="1:19" ht="15.75" customHeight="1">
      <c r="A980" s="68"/>
      <c r="B980" s="68"/>
      <c r="D980" s="68"/>
      <c r="E980" s="69"/>
      <c r="M980" s="68"/>
      <c r="O980" s="68"/>
      <c r="P980" s="68"/>
      <c r="Q980" s="68"/>
      <c r="R980" s="68"/>
      <c r="S980" s="68"/>
    </row>
    <row r="981" spans="1:19" ht="15.75" customHeight="1">
      <c r="A981" s="68"/>
      <c r="B981" s="68"/>
      <c r="D981" s="68"/>
      <c r="E981" s="69"/>
      <c r="M981" s="68"/>
      <c r="O981" s="68"/>
      <c r="P981" s="68"/>
      <c r="Q981" s="68"/>
      <c r="R981" s="68"/>
      <c r="S981" s="68"/>
    </row>
    <row r="982" spans="1:19" ht="15.75" customHeight="1">
      <c r="A982" s="68"/>
      <c r="B982" s="68"/>
      <c r="D982" s="68"/>
      <c r="E982" s="69"/>
      <c r="M982" s="68"/>
      <c r="O982" s="68"/>
      <c r="P982" s="68"/>
      <c r="Q982" s="68"/>
      <c r="R982" s="68"/>
      <c r="S982" s="68"/>
    </row>
    <row r="983" spans="1:19" ht="15.75" customHeight="1">
      <c r="A983" s="68"/>
      <c r="B983" s="68"/>
      <c r="D983" s="68"/>
      <c r="E983" s="69"/>
      <c r="M983" s="68"/>
      <c r="O983" s="68"/>
      <c r="P983" s="68"/>
      <c r="Q983" s="68"/>
      <c r="R983" s="68"/>
      <c r="S983" s="68"/>
    </row>
    <row r="984" spans="1:19" ht="15.75" customHeight="1">
      <c r="A984" s="68"/>
      <c r="B984" s="68"/>
      <c r="D984" s="68"/>
      <c r="E984" s="69"/>
      <c r="M984" s="68"/>
      <c r="O984" s="68"/>
      <c r="P984" s="68"/>
      <c r="Q984" s="68"/>
      <c r="R984" s="68"/>
      <c r="S984" s="68"/>
    </row>
    <row r="985" spans="1:19" ht="15.75" customHeight="1">
      <c r="A985" s="68"/>
      <c r="B985" s="68"/>
      <c r="D985" s="68"/>
      <c r="E985" s="69"/>
      <c r="M985" s="68"/>
      <c r="O985" s="68"/>
      <c r="P985" s="68"/>
      <c r="Q985" s="68"/>
      <c r="R985" s="68"/>
      <c r="S985" s="68"/>
    </row>
    <row r="986" spans="1:19" ht="15.75" customHeight="1">
      <c r="A986" s="68"/>
      <c r="B986" s="68"/>
      <c r="D986" s="68"/>
      <c r="E986" s="69"/>
      <c r="M986" s="68"/>
      <c r="O986" s="68"/>
      <c r="P986" s="68"/>
      <c r="Q986" s="68"/>
      <c r="R986" s="68"/>
      <c r="S986" s="68"/>
    </row>
    <row r="987" spans="1:19" ht="15.75" customHeight="1">
      <c r="A987" s="68"/>
      <c r="B987" s="68"/>
      <c r="D987" s="68"/>
      <c r="E987" s="69"/>
      <c r="M987" s="68"/>
      <c r="O987" s="68"/>
      <c r="P987" s="68"/>
      <c r="Q987" s="68"/>
      <c r="R987" s="68"/>
      <c r="S987" s="68"/>
    </row>
    <row r="988" spans="1:19" ht="15.75" customHeight="1">
      <c r="A988" s="68"/>
      <c r="B988" s="68"/>
      <c r="D988" s="68"/>
      <c r="E988" s="69"/>
      <c r="M988" s="68"/>
      <c r="O988" s="68"/>
      <c r="P988" s="68"/>
      <c r="Q988" s="68"/>
      <c r="R988" s="68"/>
      <c r="S988" s="68"/>
    </row>
    <row r="989" spans="1:19" ht="15.75" customHeight="1">
      <c r="A989" s="68"/>
      <c r="B989" s="68"/>
      <c r="D989" s="68"/>
      <c r="E989" s="69"/>
      <c r="M989" s="68"/>
      <c r="O989" s="68"/>
      <c r="P989" s="68"/>
      <c r="Q989" s="68"/>
      <c r="R989" s="68"/>
      <c r="S989" s="68"/>
    </row>
    <row r="990" spans="1:19" ht="15.75" customHeight="1">
      <c r="A990" s="68"/>
      <c r="B990" s="68"/>
      <c r="D990" s="68"/>
      <c r="E990" s="69"/>
      <c r="M990" s="68"/>
      <c r="O990" s="68"/>
      <c r="P990" s="68"/>
      <c r="Q990" s="68"/>
      <c r="R990" s="68"/>
      <c r="S990" s="68"/>
    </row>
    <row r="991" spans="1:19" ht="15.75" customHeight="1">
      <c r="A991" s="68"/>
      <c r="B991" s="68"/>
      <c r="D991" s="68"/>
      <c r="E991" s="69"/>
      <c r="M991" s="68"/>
      <c r="O991" s="68"/>
      <c r="P991" s="68"/>
      <c r="Q991" s="68"/>
      <c r="R991" s="68"/>
      <c r="S991" s="68"/>
    </row>
    <row r="992" spans="1:19" ht="15.75" customHeight="1">
      <c r="A992" s="68"/>
      <c r="B992" s="68"/>
      <c r="D992" s="68"/>
      <c r="E992" s="69"/>
      <c r="M992" s="68"/>
      <c r="O992" s="68"/>
      <c r="P992" s="68"/>
      <c r="Q992" s="68"/>
      <c r="R992" s="68"/>
      <c r="S992" s="68"/>
    </row>
    <row r="993" spans="1:19" ht="15.75" customHeight="1">
      <c r="A993" s="68"/>
      <c r="B993" s="68"/>
      <c r="D993" s="68"/>
      <c r="E993" s="69"/>
      <c r="M993" s="68"/>
      <c r="O993" s="68"/>
      <c r="P993" s="68"/>
      <c r="Q993" s="68"/>
      <c r="R993" s="68"/>
      <c r="S993" s="68"/>
    </row>
    <row r="994" spans="1:19" ht="15.75" customHeight="1">
      <c r="A994" s="68"/>
      <c r="B994" s="68"/>
      <c r="D994" s="68"/>
      <c r="E994" s="69"/>
      <c r="M994" s="68"/>
      <c r="O994" s="68"/>
      <c r="P994" s="68"/>
      <c r="Q994" s="68"/>
      <c r="R994" s="68"/>
      <c r="S994" s="68"/>
    </row>
    <row r="995" spans="1:19" ht="15.75" customHeight="1">
      <c r="A995" s="68"/>
      <c r="B995" s="68"/>
      <c r="D995" s="68"/>
      <c r="E995" s="69"/>
      <c r="M995" s="68"/>
      <c r="O995" s="68"/>
      <c r="P995" s="68"/>
      <c r="Q995" s="68"/>
      <c r="R995" s="68"/>
      <c r="S995" s="68"/>
    </row>
    <row r="996" spans="1:19" ht="15.75" customHeight="1">
      <c r="A996" s="68"/>
      <c r="B996" s="68"/>
      <c r="D996" s="68"/>
      <c r="E996" s="69"/>
      <c r="M996" s="68"/>
      <c r="O996" s="68"/>
      <c r="P996" s="68"/>
      <c r="Q996" s="68"/>
      <c r="R996" s="68"/>
      <c r="S996" s="68"/>
    </row>
    <row r="997" spans="1:19" ht="15.75" customHeight="1">
      <c r="A997" s="68"/>
      <c r="B997" s="68"/>
      <c r="D997" s="68"/>
      <c r="E997" s="69"/>
      <c r="M997" s="68"/>
      <c r="O997" s="68"/>
      <c r="P997" s="68"/>
      <c r="Q997" s="68"/>
      <c r="R997" s="68"/>
      <c r="S997" s="68"/>
    </row>
    <row r="998" spans="1:19" ht="15.75" customHeight="1">
      <c r="A998" s="68"/>
      <c r="B998" s="68"/>
      <c r="D998" s="68"/>
      <c r="E998" s="69"/>
      <c r="M998" s="68"/>
      <c r="O998" s="68"/>
      <c r="P998" s="68"/>
      <c r="Q998" s="68"/>
      <c r="R998" s="68"/>
      <c r="S998" s="68"/>
    </row>
    <row r="999" spans="1:19" ht="15.75" customHeight="1">
      <c r="A999" s="68"/>
      <c r="B999" s="68"/>
      <c r="D999" s="68"/>
      <c r="E999" s="69"/>
      <c r="M999" s="68"/>
      <c r="O999" s="68"/>
      <c r="P999" s="68"/>
      <c r="Q999" s="68"/>
      <c r="R999" s="68"/>
      <c r="S999" s="68"/>
    </row>
    <row r="1000" spans="1:19" ht="15.75" customHeight="1">
      <c r="A1000" s="68"/>
      <c r="B1000" s="68"/>
      <c r="D1000" s="68"/>
      <c r="E1000" s="69"/>
      <c r="M1000" s="68"/>
      <c r="O1000" s="68"/>
      <c r="P1000" s="68"/>
      <c r="Q1000" s="68"/>
      <c r="R1000" s="68"/>
      <c r="S1000" s="68"/>
    </row>
  </sheetData>
  <mergeCells count="296">
    <mergeCell ref="A305:A307"/>
    <mergeCell ref="B305:B307"/>
    <mergeCell ref="A301:A302"/>
    <mergeCell ref="B301:B302"/>
    <mergeCell ref="A303:A304"/>
    <mergeCell ref="B303:B304"/>
    <mergeCell ref="A319:A320"/>
    <mergeCell ref="B319:B320"/>
    <mergeCell ref="A308:A315"/>
    <mergeCell ref="B308:B315"/>
    <mergeCell ref="A316:A318"/>
    <mergeCell ref="B316:B318"/>
    <mergeCell ref="A278:A281"/>
    <mergeCell ref="B278:B281"/>
    <mergeCell ref="A266:A268"/>
    <mergeCell ref="B266:B268"/>
    <mergeCell ref="A270:A277"/>
    <mergeCell ref="B270:B277"/>
    <mergeCell ref="A292:A300"/>
    <mergeCell ref="B292:B300"/>
    <mergeCell ref="A282:A283"/>
    <mergeCell ref="B282:B283"/>
    <mergeCell ref="A284:A291"/>
    <mergeCell ref="B284:B291"/>
    <mergeCell ref="A328:A334"/>
    <mergeCell ref="B328:B334"/>
    <mergeCell ref="A321:A325"/>
    <mergeCell ref="B321:B325"/>
    <mergeCell ref="A326:A327"/>
    <mergeCell ref="B326:B327"/>
    <mergeCell ref="A177:A180"/>
    <mergeCell ref="B177:B180"/>
    <mergeCell ref="A165:A166"/>
    <mergeCell ref="B165:B166"/>
    <mergeCell ref="A167:A176"/>
    <mergeCell ref="B167:B176"/>
    <mergeCell ref="A191:A207"/>
    <mergeCell ref="B191:B207"/>
    <mergeCell ref="A181:A186"/>
    <mergeCell ref="B181:B186"/>
    <mergeCell ref="A187:A190"/>
    <mergeCell ref="B187:B190"/>
    <mergeCell ref="A263:A265"/>
    <mergeCell ref="B263:B265"/>
    <mergeCell ref="A254:A258"/>
    <mergeCell ref="B254:B258"/>
    <mergeCell ref="A259:A262"/>
    <mergeCell ref="B259:B262"/>
    <mergeCell ref="A247:A253"/>
    <mergeCell ref="B247:B253"/>
    <mergeCell ref="A208:A224"/>
    <mergeCell ref="B208:B224"/>
    <mergeCell ref="A225:A246"/>
    <mergeCell ref="B225:B246"/>
    <mergeCell ref="A75:A83"/>
    <mergeCell ref="B75:B83"/>
    <mergeCell ref="A102:A117"/>
    <mergeCell ref="B102:B119"/>
    <mergeCell ref="A118:A119"/>
    <mergeCell ref="A146:A149"/>
    <mergeCell ref="B146:B149"/>
    <mergeCell ref="A138:A141"/>
    <mergeCell ref="B138:B141"/>
    <mergeCell ref="A142:A145"/>
    <mergeCell ref="B142:B145"/>
    <mergeCell ref="A160:A161"/>
    <mergeCell ref="B160:B161"/>
    <mergeCell ref="A150:A155"/>
    <mergeCell ref="B150:B155"/>
    <mergeCell ref="A156:A158"/>
    <mergeCell ref="B156:B158"/>
    <mergeCell ref="A120:A137"/>
    <mergeCell ref="M165:M180"/>
    <mergeCell ref="H167:H168"/>
    <mergeCell ref="H177:H178"/>
    <mergeCell ref="H179:H180"/>
    <mergeCell ref="E191:E196"/>
    <mergeCell ref="F191:F192"/>
    <mergeCell ref="G191:G192"/>
    <mergeCell ref="H191:H192"/>
    <mergeCell ref="F193:F194"/>
    <mergeCell ref="G193:G194"/>
    <mergeCell ref="H195:H196"/>
    <mergeCell ref="G183:G184"/>
    <mergeCell ref="H183:H184"/>
    <mergeCell ref="G185:G186"/>
    <mergeCell ref="H185:H186"/>
    <mergeCell ref="H193:H194"/>
    <mergeCell ref="E181:E182"/>
    <mergeCell ref="F181:F182"/>
    <mergeCell ref="G181:G182"/>
    <mergeCell ref="H181:H182"/>
    <mergeCell ref="G195:G196"/>
    <mergeCell ref="D165:D166"/>
    <mergeCell ref="H173:H174"/>
    <mergeCell ref="E175:E176"/>
    <mergeCell ref="F175:F176"/>
    <mergeCell ref="G175:G176"/>
    <mergeCell ref="H175:H176"/>
    <mergeCell ref="F179:F180"/>
    <mergeCell ref="G179:G180"/>
    <mergeCell ref="D156:D158"/>
    <mergeCell ref="D160:D161"/>
    <mergeCell ref="D167:D176"/>
    <mergeCell ref="G169:G170"/>
    <mergeCell ref="G173:G174"/>
    <mergeCell ref="H169:H170"/>
    <mergeCell ref="E171:E172"/>
    <mergeCell ref="F171:F172"/>
    <mergeCell ref="G171:G172"/>
    <mergeCell ref="H171:H172"/>
    <mergeCell ref="E173:E174"/>
    <mergeCell ref="F173:F174"/>
    <mergeCell ref="F177:F178"/>
    <mergeCell ref="G177:G178"/>
    <mergeCell ref="E177:E180"/>
    <mergeCell ref="D177:D180"/>
    <mergeCell ref="B120:B137"/>
    <mergeCell ref="D120:D137"/>
    <mergeCell ref="D138:D141"/>
    <mergeCell ref="H91:H92"/>
    <mergeCell ref="D142:D145"/>
    <mergeCell ref="D146:D149"/>
    <mergeCell ref="E146:E149"/>
    <mergeCell ref="D150:D155"/>
    <mergeCell ref="M63:M83"/>
    <mergeCell ref="E67:E72"/>
    <mergeCell ref="H105:H106"/>
    <mergeCell ref="E107:E108"/>
    <mergeCell ref="H107:H108"/>
    <mergeCell ref="H84:H85"/>
    <mergeCell ref="M84:M116"/>
    <mergeCell ref="H87:H88"/>
    <mergeCell ref="H89:H90"/>
    <mergeCell ref="A84:A101"/>
    <mergeCell ref="B84:B101"/>
    <mergeCell ref="D84:D101"/>
    <mergeCell ref="E84:E85"/>
    <mergeCell ref="A63:A74"/>
    <mergeCell ref="B63:B74"/>
    <mergeCell ref="D63:D74"/>
    <mergeCell ref="E63:E66"/>
    <mergeCell ref="E31:E32"/>
    <mergeCell ref="E33:E34"/>
    <mergeCell ref="E87:E88"/>
    <mergeCell ref="E89:E90"/>
    <mergeCell ref="E91:E92"/>
    <mergeCell ref="A50:A55"/>
    <mergeCell ref="B50:B55"/>
    <mergeCell ref="D50:D55"/>
    <mergeCell ref="E50:E51"/>
    <mergeCell ref="D75:D83"/>
    <mergeCell ref="A56:A62"/>
    <mergeCell ref="B56:B62"/>
    <mergeCell ref="D56:D62"/>
    <mergeCell ref="E56:E57"/>
    <mergeCell ref="A4:A22"/>
    <mergeCell ref="B4:B22"/>
    <mergeCell ref="D4:D22"/>
    <mergeCell ref="E8:E10"/>
    <mergeCell ref="A23:A36"/>
    <mergeCell ref="B23:B36"/>
    <mergeCell ref="D23:D36"/>
    <mergeCell ref="E27:E29"/>
    <mergeCell ref="F37:F48"/>
    <mergeCell ref="A37:A49"/>
    <mergeCell ref="B37:B49"/>
    <mergeCell ref="D37:D49"/>
    <mergeCell ref="E37:E48"/>
    <mergeCell ref="M14:M21"/>
    <mergeCell ref="E16:E18"/>
    <mergeCell ref="F31:F32"/>
    <mergeCell ref="F33:F34"/>
    <mergeCell ref="G33:G34"/>
    <mergeCell ref="M33:M34"/>
    <mergeCell ref="F27:F29"/>
    <mergeCell ref="G27:G29"/>
    <mergeCell ref="H27:H29"/>
    <mergeCell ref="G31:G32"/>
    <mergeCell ref="H31:H32"/>
    <mergeCell ref="E19:E21"/>
    <mergeCell ref="D326:D327"/>
    <mergeCell ref="F8:F10"/>
    <mergeCell ref="G8:G10"/>
    <mergeCell ref="H8:H10"/>
    <mergeCell ref="E12:E13"/>
    <mergeCell ref="F12:F13"/>
    <mergeCell ref="G12:G13"/>
    <mergeCell ref="H12:H13"/>
    <mergeCell ref="F16:F18"/>
    <mergeCell ref="G17:G18"/>
    <mergeCell ref="F19:F21"/>
    <mergeCell ref="G20:G21"/>
    <mergeCell ref="E14:E15"/>
    <mergeCell ref="F14:F15"/>
    <mergeCell ref="G14:G15"/>
    <mergeCell ref="G37:G48"/>
    <mergeCell ref="E105:E106"/>
    <mergeCell ref="D102:D117"/>
    <mergeCell ref="D118:D119"/>
    <mergeCell ref="E167:E168"/>
    <mergeCell ref="F167:F168"/>
    <mergeCell ref="E169:E170"/>
    <mergeCell ref="F169:F170"/>
    <mergeCell ref="G167:G168"/>
    <mergeCell ref="D316:D318"/>
    <mergeCell ref="D319:D320"/>
    <mergeCell ref="E319:E320"/>
    <mergeCell ref="D328:D334"/>
    <mergeCell ref="D270:D271"/>
    <mergeCell ref="M270:M277"/>
    <mergeCell ref="D272:D273"/>
    <mergeCell ref="D274:D275"/>
    <mergeCell ref="D276:D277"/>
    <mergeCell ref="D278:D281"/>
    <mergeCell ref="E278:E281"/>
    <mergeCell ref="D282:D283"/>
    <mergeCell ref="D303:D304"/>
    <mergeCell ref="E303:E304"/>
    <mergeCell ref="D284:D291"/>
    <mergeCell ref="D292:D300"/>
    <mergeCell ref="D301:D302"/>
    <mergeCell ref="G308:G311"/>
    <mergeCell ref="M308:M310"/>
    <mergeCell ref="E312:E315"/>
    <mergeCell ref="G312:G315"/>
    <mergeCell ref="D321:D325"/>
    <mergeCell ref="E321:E322"/>
    <mergeCell ref="E323:E325"/>
    <mergeCell ref="D263:D265"/>
    <mergeCell ref="D266:D268"/>
    <mergeCell ref="E241:E242"/>
    <mergeCell ref="E243:E244"/>
    <mergeCell ref="E245:E246"/>
    <mergeCell ref="D305:D307"/>
    <mergeCell ref="D308:D315"/>
    <mergeCell ref="E308:E311"/>
    <mergeCell ref="F308:F311"/>
    <mergeCell ref="F312:F315"/>
    <mergeCell ref="D225:D246"/>
    <mergeCell ref="E225:E230"/>
    <mergeCell ref="G257:G258"/>
    <mergeCell ref="H257:H258"/>
    <mergeCell ref="D247:D253"/>
    <mergeCell ref="D254:D258"/>
    <mergeCell ref="E257:E258"/>
    <mergeCell ref="F257:F258"/>
    <mergeCell ref="D259:D262"/>
    <mergeCell ref="E259:E262"/>
    <mergeCell ref="E235:E236"/>
    <mergeCell ref="F235:F236"/>
    <mergeCell ref="G235:G236"/>
    <mergeCell ref="E237:E238"/>
    <mergeCell ref="F237:F238"/>
    <mergeCell ref="G237:G238"/>
    <mergeCell ref="F243:F244"/>
    <mergeCell ref="F245:F246"/>
    <mergeCell ref="G245:G246"/>
    <mergeCell ref="E239:E240"/>
    <mergeCell ref="F239:F240"/>
    <mergeCell ref="G239:G240"/>
    <mergeCell ref="F241:F242"/>
    <mergeCell ref="G241:G242"/>
    <mergeCell ref="G243:G244"/>
    <mergeCell ref="H208:H209"/>
    <mergeCell ref="H210:H211"/>
    <mergeCell ref="H212:H213"/>
    <mergeCell ref="F227:F228"/>
    <mergeCell ref="F229:F230"/>
    <mergeCell ref="G229:G230"/>
    <mergeCell ref="H229:H230"/>
    <mergeCell ref="F225:F226"/>
    <mergeCell ref="G225:G226"/>
    <mergeCell ref="H225:H226"/>
    <mergeCell ref="G227:G228"/>
    <mergeCell ref="H227:H228"/>
    <mergeCell ref="G210:G211"/>
    <mergeCell ref="G212:G213"/>
    <mergeCell ref="E197:E198"/>
    <mergeCell ref="E202:E203"/>
    <mergeCell ref="E208:E213"/>
    <mergeCell ref="F212:F213"/>
    <mergeCell ref="D208:D224"/>
    <mergeCell ref="G208:G209"/>
    <mergeCell ref="E214:E215"/>
    <mergeCell ref="E219:E220"/>
    <mergeCell ref="D181:D186"/>
    <mergeCell ref="E183:E186"/>
    <mergeCell ref="F183:F184"/>
    <mergeCell ref="F185:F186"/>
    <mergeCell ref="D187:D190"/>
    <mergeCell ref="E187:E188"/>
    <mergeCell ref="D191:D207"/>
    <mergeCell ref="F208:F209"/>
    <mergeCell ref="F210:F211"/>
    <mergeCell ref="F195:F196"/>
  </mergeCells>
  <conditionalFormatting sqref="I3:J13 I63:J73 I75:J83">
    <cfRule type="cellIs" dxfId="1288" priority="1" stopIfTrue="1" operator="equal">
      <formula>"OK"</formula>
    </cfRule>
  </conditionalFormatting>
  <conditionalFormatting sqref="I3:J13 I63:J73 I75:J83">
    <cfRule type="cellIs" dxfId="1287" priority="2" stopIfTrue="1" operator="equal">
      <formula>"Fail"</formula>
    </cfRule>
  </conditionalFormatting>
  <conditionalFormatting sqref="I3:J13 I63:J73 I75:J83">
    <cfRule type="cellIs" dxfId="1286" priority="3" stopIfTrue="1" operator="equal">
      <formula>"OK"</formula>
    </cfRule>
  </conditionalFormatting>
  <conditionalFormatting sqref="I3:J13 I63:J73 I75:J83">
    <cfRule type="cellIs" dxfId="1285" priority="4" stopIfTrue="1" operator="equal">
      <formula>"Fail"</formula>
    </cfRule>
  </conditionalFormatting>
  <conditionalFormatting sqref="K3:K116 L3:L83 L109:L116 L156:L161 K162:K186 L181:L207 L225:L271 K243:K246 K266 K269 L274:L275 L278:L281 L292:L300">
    <cfRule type="containsText" dxfId="1284" priority="5" operator="containsText" text="NG">
      <formula>NOT(ISERROR(SEARCH(("NG"),(K3))))</formula>
    </cfRule>
  </conditionalFormatting>
  <conditionalFormatting sqref="K3:K116 L3:L83 L109:L116 L156:L161 K162:K186 L181:L207 L225:L271 K243:K246 K266 K269 L274:L275 L278:L281 L292:L300">
    <cfRule type="containsText" dxfId="1283" priority="6" operator="containsText" text="OK">
      <formula>NOT(ISERROR(SEARCH(("OK"),(K3))))</formula>
    </cfRule>
  </conditionalFormatting>
  <conditionalFormatting sqref="I269:J269">
    <cfRule type="cellIs" dxfId="1282" priority="7" stopIfTrue="1" operator="equal">
      <formula>"OK"</formula>
    </cfRule>
  </conditionalFormatting>
  <conditionalFormatting sqref="I269:J269">
    <cfRule type="cellIs" dxfId="1281" priority="8" stopIfTrue="1" operator="equal">
      <formula>"Fail"</formula>
    </cfRule>
  </conditionalFormatting>
  <conditionalFormatting sqref="I269:J269">
    <cfRule type="cellIs" dxfId="1280" priority="9" stopIfTrue="1" operator="equal">
      <formula>"OK"</formula>
    </cfRule>
  </conditionalFormatting>
  <conditionalFormatting sqref="I269:J269">
    <cfRule type="cellIs" dxfId="1279" priority="10" stopIfTrue="1" operator="equal">
      <formula>"Fail"</formula>
    </cfRule>
  </conditionalFormatting>
  <conditionalFormatting sqref="I266:J266">
    <cfRule type="containsText" dxfId="1278" priority="11" operator="containsText" text="NG">
      <formula>NOT(ISERROR(SEARCH(("NG"),(I266))))</formula>
    </cfRule>
  </conditionalFormatting>
  <conditionalFormatting sqref="I266:J266">
    <cfRule type="containsText" dxfId="1277" priority="12" operator="containsText" text="OK">
      <formula>NOT(ISERROR(SEARCH(("OK"),(I266))))</formula>
    </cfRule>
  </conditionalFormatting>
  <conditionalFormatting sqref="K267:K268">
    <cfRule type="containsText" dxfId="1276" priority="13" operator="containsText" text="NG">
      <formula>NOT(ISERROR(SEARCH(("NG"),(K267))))</formula>
    </cfRule>
  </conditionalFormatting>
  <conditionalFormatting sqref="K267:K268">
    <cfRule type="containsText" dxfId="1275" priority="14" operator="containsText" text="OK">
      <formula>NOT(ISERROR(SEARCH(("OK"),(K267))))</formula>
    </cfRule>
  </conditionalFormatting>
  <conditionalFormatting sqref="I267:J268">
    <cfRule type="containsText" dxfId="1274" priority="15" operator="containsText" text="NG">
      <formula>NOT(ISERROR(SEARCH(("NG"),(I267))))</formula>
    </cfRule>
  </conditionalFormatting>
  <conditionalFormatting sqref="I267:J268">
    <cfRule type="containsText" dxfId="1273" priority="16" operator="containsText" text="OK">
      <formula>NOT(ISERROR(SEARCH(("OK"),(I267))))</formula>
    </cfRule>
  </conditionalFormatting>
  <conditionalFormatting sqref="L191:L207">
    <cfRule type="containsText" dxfId="1272" priority="17" operator="containsText" text="NG">
      <formula>NOT(ISERROR(SEARCH(("NG"),(L191))))</formula>
    </cfRule>
  </conditionalFormatting>
  <conditionalFormatting sqref="L191:L207">
    <cfRule type="containsText" dxfId="1271" priority="18" operator="containsText" text="OK">
      <formula>NOT(ISERROR(SEARCH(("OK"),(L191))))</formula>
    </cfRule>
  </conditionalFormatting>
  <conditionalFormatting sqref="L247:L253">
    <cfRule type="containsText" dxfId="1270" priority="19" operator="containsText" text="NG">
      <formula>NOT(ISERROR(SEARCH(("NG"),(L247))))</formula>
    </cfRule>
  </conditionalFormatting>
  <conditionalFormatting sqref="L247:L253">
    <cfRule type="containsText" dxfId="1269" priority="20" operator="containsText" text="OK">
      <formula>NOT(ISERROR(SEARCH(("OK"),(L247))))</formula>
    </cfRule>
  </conditionalFormatting>
  <conditionalFormatting sqref="L254:L258">
    <cfRule type="containsText" dxfId="1268" priority="21" operator="containsText" text="NG">
      <formula>NOT(ISERROR(SEARCH(("NG"),(L254))))</formula>
    </cfRule>
  </conditionalFormatting>
  <conditionalFormatting sqref="L254:L258">
    <cfRule type="containsText" dxfId="1267" priority="22" operator="containsText" text="OK">
      <formula>NOT(ISERROR(SEARCH(("OK"),(L254))))</formula>
    </cfRule>
  </conditionalFormatting>
  <conditionalFormatting sqref="L259:L262">
    <cfRule type="containsText" dxfId="1266" priority="23" operator="containsText" text="NG">
      <formula>NOT(ISERROR(SEARCH(("NG"),(L259))))</formula>
    </cfRule>
  </conditionalFormatting>
  <conditionalFormatting sqref="L259:L262">
    <cfRule type="containsText" dxfId="1265" priority="24" operator="containsText" text="OK">
      <formula>NOT(ISERROR(SEARCH(("OK"),(L259))))</formula>
    </cfRule>
  </conditionalFormatting>
  <conditionalFormatting sqref="L266:L268">
    <cfRule type="containsText" dxfId="1264" priority="25" operator="containsText" text="NG">
      <formula>NOT(ISERROR(SEARCH(("NG"),(L266))))</formula>
    </cfRule>
  </conditionalFormatting>
  <conditionalFormatting sqref="L266:L268">
    <cfRule type="containsText" dxfId="1263" priority="26" operator="containsText" text="OK">
      <formula>NOT(ISERROR(SEARCH(("OK"),(L266))))</formula>
    </cfRule>
  </conditionalFormatting>
  <conditionalFormatting sqref="L84:L101">
    <cfRule type="containsText" dxfId="1262" priority="27" operator="containsText" text="NG">
      <formula>NOT(ISERROR(SEARCH(("NG"),(L84))))</formula>
    </cfRule>
  </conditionalFormatting>
  <conditionalFormatting sqref="L84:L101">
    <cfRule type="containsText" dxfId="1261" priority="28" operator="containsText" text="OK">
      <formula>NOT(ISERROR(SEARCH(("OK"),(L84))))</formula>
    </cfRule>
  </conditionalFormatting>
  <conditionalFormatting sqref="L102 L104">
    <cfRule type="containsText" dxfId="1260" priority="29" operator="containsText" text="NG">
      <formula>NOT(ISERROR(SEARCH(("NG"),(L102))))</formula>
    </cfRule>
  </conditionalFormatting>
  <conditionalFormatting sqref="L102 L104">
    <cfRule type="containsText" dxfId="1259" priority="30" operator="containsText" text="OK">
      <formula>NOT(ISERROR(SEARCH(("OK"),(L102))))</formula>
    </cfRule>
  </conditionalFormatting>
  <conditionalFormatting sqref="L122:L134">
    <cfRule type="containsText" dxfId="1258" priority="31" operator="containsText" text="NG">
      <formula>NOT(ISERROR(SEARCH(("NG"),(L122))))</formula>
    </cfRule>
  </conditionalFormatting>
  <conditionalFormatting sqref="L122:L134">
    <cfRule type="containsText" dxfId="1257" priority="32" operator="containsText" text="OK">
      <formula>NOT(ISERROR(SEARCH(("OK"),(L122))))</formula>
    </cfRule>
  </conditionalFormatting>
  <conditionalFormatting sqref="L138:L141">
    <cfRule type="containsText" dxfId="1256" priority="33" operator="containsText" text="NG">
      <formula>NOT(ISERROR(SEARCH(("NG"),(L138))))</formula>
    </cfRule>
  </conditionalFormatting>
  <conditionalFormatting sqref="L138:L141">
    <cfRule type="containsText" dxfId="1255" priority="34" operator="containsText" text="OK">
      <formula>NOT(ISERROR(SEARCH(("OK"),(L138))))</formula>
    </cfRule>
  </conditionalFormatting>
  <conditionalFormatting sqref="L142:L145">
    <cfRule type="containsText" dxfId="1254" priority="35" operator="containsText" text="NG">
      <formula>NOT(ISERROR(SEARCH(("NG"),(L142))))</formula>
    </cfRule>
  </conditionalFormatting>
  <conditionalFormatting sqref="L142:L145">
    <cfRule type="containsText" dxfId="1253" priority="36" operator="containsText" text="OK">
      <formula>NOT(ISERROR(SEARCH(("OK"),(L142))))</formula>
    </cfRule>
  </conditionalFormatting>
  <conditionalFormatting sqref="L146:L149">
    <cfRule type="containsText" dxfId="1252" priority="37" operator="containsText" text="NG">
      <formula>NOT(ISERROR(SEARCH(("NG"),(L146))))</formula>
    </cfRule>
  </conditionalFormatting>
  <conditionalFormatting sqref="L146:L149">
    <cfRule type="containsText" dxfId="1251" priority="38" operator="containsText" text="OK">
      <formula>NOT(ISERROR(SEARCH(("OK"),(L146))))</formula>
    </cfRule>
  </conditionalFormatting>
  <conditionalFormatting sqref="K181:K186 K189:K208 K247:K268">
    <cfRule type="containsText" dxfId="1250" priority="39" operator="containsText" text="미해당">
      <formula>NOT(ISERROR(SEARCH(("미해당"),(K181))))</formula>
    </cfRule>
  </conditionalFormatting>
  <conditionalFormatting sqref="K177:K180">
    <cfRule type="containsText" dxfId="1249" priority="40" operator="containsText" text="미해당">
      <formula>NOT(ISERROR(SEARCH(("미해당"),(K177))))</formula>
    </cfRule>
  </conditionalFormatting>
  <conditionalFormatting sqref="L176">
    <cfRule type="containsText" dxfId="1248" priority="41" operator="containsText" text="NG">
      <formula>NOT(ISERROR(SEARCH(("NG"),(L176))))</formula>
    </cfRule>
  </conditionalFormatting>
  <conditionalFormatting sqref="L176">
    <cfRule type="containsText" dxfId="1247" priority="42" operator="containsText" text="OK">
      <formula>NOT(ISERROR(SEARCH(("OK"),(L176))))</formula>
    </cfRule>
  </conditionalFormatting>
  <conditionalFormatting sqref="L150:L155">
    <cfRule type="containsText" dxfId="1246" priority="43" operator="containsText" text="NG">
      <formula>NOT(ISERROR(SEARCH(("NG"),(L150))))</formula>
    </cfRule>
  </conditionalFormatting>
  <conditionalFormatting sqref="L150:L155">
    <cfRule type="containsText" dxfId="1245" priority="44" operator="containsText" text="OK">
      <formula>NOT(ISERROR(SEARCH(("OK"),(L150))))</formula>
    </cfRule>
  </conditionalFormatting>
  <conditionalFormatting sqref="L162">
    <cfRule type="containsText" dxfId="1244" priority="45" operator="containsText" text="NG">
      <formula>NOT(ISERROR(SEARCH(("NG"),(L162))))</formula>
    </cfRule>
  </conditionalFormatting>
  <conditionalFormatting sqref="L162">
    <cfRule type="containsText" dxfId="1243" priority="46" operator="containsText" text="OK">
      <formula>NOT(ISERROR(SEARCH(("OK"),(L162))))</formula>
    </cfRule>
  </conditionalFormatting>
  <conditionalFormatting sqref="L163">
    <cfRule type="containsText" dxfId="1242" priority="47" operator="containsText" text="NG">
      <formula>NOT(ISERROR(SEARCH(("NG"),(L163))))</formula>
    </cfRule>
  </conditionalFormatting>
  <conditionalFormatting sqref="L163">
    <cfRule type="containsText" dxfId="1241" priority="48" operator="containsText" text="OK">
      <formula>NOT(ISERROR(SEARCH(("OK"),(L163))))</formula>
    </cfRule>
  </conditionalFormatting>
  <conditionalFormatting sqref="L164">
    <cfRule type="containsText" dxfId="1240" priority="49" operator="containsText" text="NG">
      <formula>NOT(ISERROR(SEARCH(("NG"),(L164))))</formula>
    </cfRule>
  </conditionalFormatting>
  <conditionalFormatting sqref="L164">
    <cfRule type="containsText" dxfId="1239" priority="50" operator="containsText" text="OK">
      <formula>NOT(ISERROR(SEARCH(("OK"),(L164))))</formula>
    </cfRule>
  </conditionalFormatting>
  <conditionalFormatting sqref="L177:L180">
    <cfRule type="containsText" dxfId="1238" priority="51" operator="containsText" text="NG">
      <formula>NOT(ISERROR(SEARCH(("NG"),(L177))))</formula>
    </cfRule>
  </conditionalFormatting>
  <conditionalFormatting sqref="L177:L180">
    <cfRule type="containsText" dxfId="1237" priority="52" operator="containsText" text="OK">
      <formula>NOT(ISERROR(SEARCH(("OK"),(L177))))</formula>
    </cfRule>
  </conditionalFormatting>
  <conditionalFormatting sqref="L63:L74">
    <cfRule type="containsText" dxfId="1236" priority="53" operator="containsText" text="NG">
      <formula>NOT(ISERROR(SEARCH(("NG"),(L63))))</formula>
    </cfRule>
  </conditionalFormatting>
  <conditionalFormatting sqref="L63:L74">
    <cfRule type="containsText" dxfId="1235" priority="54" operator="containsText" text="OK">
      <formula>NOT(ISERROR(SEARCH(("OK"),(L63))))</formula>
    </cfRule>
  </conditionalFormatting>
  <conditionalFormatting sqref="L75:L83">
    <cfRule type="containsText" dxfId="1234" priority="55" operator="containsText" text="NG">
      <formula>NOT(ISERROR(SEARCH(("NG"),(L75))))</formula>
    </cfRule>
  </conditionalFormatting>
  <conditionalFormatting sqref="L75:L83">
    <cfRule type="containsText" dxfId="1233" priority="56" operator="containsText" text="OK">
      <formula>NOT(ISERROR(SEARCH(("OK"),(L75))))</formula>
    </cfRule>
  </conditionalFormatting>
  <conditionalFormatting sqref="L282:L283">
    <cfRule type="containsText" dxfId="1232" priority="57" operator="containsText" text="NG">
      <formula>NOT(ISERROR(SEARCH(("NG"),(L282))))</formula>
    </cfRule>
  </conditionalFormatting>
  <conditionalFormatting sqref="L282:L283">
    <cfRule type="containsText" dxfId="1231" priority="58" operator="containsText" text="OK">
      <formula>NOT(ISERROR(SEARCH(("OK"),(L282))))</formula>
    </cfRule>
  </conditionalFormatting>
  <conditionalFormatting sqref="L284:L289">
    <cfRule type="containsText" dxfId="1230" priority="59" operator="containsText" text="NG">
      <formula>NOT(ISERROR(SEARCH(("NG"),(L284))))</formula>
    </cfRule>
  </conditionalFormatting>
  <conditionalFormatting sqref="L284:L289">
    <cfRule type="containsText" dxfId="1229" priority="60" operator="containsText" text="OK">
      <formula>NOT(ISERROR(SEARCH(("OK"),(L284))))</formula>
    </cfRule>
  </conditionalFormatting>
  <conditionalFormatting sqref="L290">
    <cfRule type="containsText" dxfId="1228" priority="61" operator="containsText" text="NG">
      <formula>NOT(ISERROR(SEARCH(("NG"),(L290))))</formula>
    </cfRule>
  </conditionalFormatting>
  <conditionalFormatting sqref="L290">
    <cfRule type="containsText" dxfId="1227" priority="62" operator="containsText" text="OK">
      <formula>NOT(ISERROR(SEARCH(("OK"),(L290))))</formula>
    </cfRule>
  </conditionalFormatting>
  <conditionalFormatting sqref="L291">
    <cfRule type="containsText" dxfId="1226" priority="63" operator="containsText" text="NG">
      <formula>NOT(ISERROR(SEARCH(("NG"),(L291))))</formula>
    </cfRule>
  </conditionalFormatting>
  <conditionalFormatting sqref="L291">
    <cfRule type="containsText" dxfId="1225" priority="64" operator="containsText" text="OK">
      <formula>NOT(ISERROR(SEARCH(("OK"),(L291))))</formula>
    </cfRule>
  </conditionalFormatting>
  <conditionalFormatting sqref="I4:J4">
    <cfRule type="cellIs" dxfId="1224" priority="65" stopIfTrue="1" operator="equal">
      <formula>"OK"</formula>
    </cfRule>
  </conditionalFormatting>
  <conditionalFormatting sqref="I4:J4">
    <cfRule type="cellIs" dxfId="1223" priority="66" stopIfTrue="1" operator="equal">
      <formula>"Fail"</formula>
    </cfRule>
  </conditionalFormatting>
  <conditionalFormatting sqref="I4:J4">
    <cfRule type="cellIs" dxfId="1222" priority="67" stopIfTrue="1" operator="equal">
      <formula>"OK"</formula>
    </cfRule>
  </conditionalFormatting>
  <conditionalFormatting sqref="I4:J4">
    <cfRule type="cellIs" dxfId="1221" priority="68" stopIfTrue="1" operator="equal">
      <formula>"Fail"</formula>
    </cfRule>
  </conditionalFormatting>
  <conditionalFormatting sqref="L4">
    <cfRule type="containsText" dxfId="1220" priority="69" operator="containsText" text="NG">
      <formula>NOT(ISERROR(SEARCH(("NG"),(L4))))</formula>
    </cfRule>
  </conditionalFormatting>
  <conditionalFormatting sqref="L4">
    <cfRule type="containsText" dxfId="1219" priority="70" operator="containsText" text="OK">
      <formula>NOT(ISERROR(SEARCH(("OK"),(L4))))</formula>
    </cfRule>
  </conditionalFormatting>
  <conditionalFormatting sqref="L4">
    <cfRule type="containsText" dxfId="1218" priority="71" operator="containsText" text="NG">
      <formula>NOT(ISERROR(SEARCH(("NG"),(L4))))</formula>
    </cfRule>
  </conditionalFormatting>
  <conditionalFormatting sqref="L4">
    <cfRule type="containsText" dxfId="1217" priority="72" operator="containsText" text="OK">
      <formula>NOT(ISERROR(SEARCH(("OK"),(L4))))</formula>
    </cfRule>
  </conditionalFormatting>
  <conditionalFormatting sqref="L105:L108">
    <cfRule type="containsText" dxfId="1216" priority="73" operator="containsText" text="NG">
      <formula>NOT(ISERROR(SEARCH(("NG"),(L105))))</formula>
    </cfRule>
  </conditionalFormatting>
  <conditionalFormatting sqref="L105:L108">
    <cfRule type="containsText" dxfId="1215" priority="74" operator="containsText" text="OK">
      <formula>NOT(ISERROR(SEARCH(("OK"),(L105))))</formula>
    </cfRule>
  </conditionalFormatting>
  <conditionalFormatting sqref="L135:L137">
    <cfRule type="containsText" dxfId="1214" priority="75" operator="containsText" text="NG">
      <formula>NOT(ISERROR(SEARCH(("NG"),(L135))))</formula>
    </cfRule>
  </conditionalFormatting>
  <conditionalFormatting sqref="L135:L137">
    <cfRule type="containsText" dxfId="1213" priority="76" operator="containsText" text="OK">
      <formula>NOT(ISERROR(SEARCH(("OK"),(L135))))</formula>
    </cfRule>
  </conditionalFormatting>
  <conditionalFormatting sqref="L50:L55">
    <cfRule type="containsText" dxfId="1212" priority="77" operator="containsText" text="NG">
      <formula>NOT(ISERROR(SEARCH(("NG"),(L50))))</formula>
    </cfRule>
  </conditionalFormatting>
  <conditionalFormatting sqref="L50:L55">
    <cfRule type="containsText" dxfId="1211" priority="78" operator="containsText" text="OK">
      <formula>NOT(ISERROR(SEARCH(("OK"),(L50))))</formula>
    </cfRule>
  </conditionalFormatting>
  <conditionalFormatting sqref="I37:J55">
    <cfRule type="cellIs" dxfId="1210" priority="79" stopIfTrue="1" operator="equal">
      <formula>"OK"</formula>
    </cfRule>
  </conditionalFormatting>
  <conditionalFormatting sqref="I37:J55">
    <cfRule type="cellIs" dxfId="1209" priority="80" stopIfTrue="1" operator="equal">
      <formula>"Fail"</formula>
    </cfRule>
  </conditionalFormatting>
  <conditionalFormatting sqref="I37:J55">
    <cfRule type="cellIs" dxfId="1208" priority="81" stopIfTrue="1" operator="equal">
      <formula>"OK"</formula>
    </cfRule>
  </conditionalFormatting>
  <conditionalFormatting sqref="I37:J55">
    <cfRule type="cellIs" dxfId="1207" priority="82" stopIfTrue="1" operator="equal">
      <formula>"Fail"</formula>
    </cfRule>
  </conditionalFormatting>
  <conditionalFormatting sqref="L37:L49">
    <cfRule type="containsText" dxfId="1206" priority="83" operator="containsText" text="NG">
      <formula>NOT(ISERROR(SEARCH(("NG"),(L37))))</formula>
    </cfRule>
  </conditionalFormatting>
  <conditionalFormatting sqref="L37:L49">
    <cfRule type="containsText" dxfId="1205" priority="84" operator="containsText" text="OK">
      <formula>NOT(ISERROR(SEARCH(("OK"),(L37))))</formula>
    </cfRule>
  </conditionalFormatting>
  <conditionalFormatting sqref="L272">
    <cfRule type="containsText" dxfId="1204" priority="85" operator="containsText" text="NG">
      <formula>NOT(ISERROR(SEARCH(("NG"),(L272))))</formula>
    </cfRule>
  </conditionalFormatting>
  <conditionalFormatting sqref="L272">
    <cfRule type="containsText" dxfId="1203" priority="86" operator="containsText" text="OK">
      <formula>NOT(ISERROR(SEARCH(("OK"),(L272))))</formula>
    </cfRule>
  </conditionalFormatting>
  <conditionalFormatting sqref="L273">
    <cfRule type="containsText" dxfId="1202" priority="87" operator="containsText" text="NG">
      <formula>NOT(ISERROR(SEARCH(("NG"),(L273))))</formula>
    </cfRule>
  </conditionalFormatting>
  <conditionalFormatting sqref="L273">
    <cfRule type="containsText" dxfId="1201" priority="88" operator="containsText" text="OK">
      <formula>NOT(ISERROR(SEARCH(("OK"),(L273))))</formula>
    </cfRule>
  </conditionalFormatting>
  <conditionalFormatting sqref="L301:L304">
    <cfRule type="containsText" dxfId="1200" priority="89" operator="containsText" text="NG">
      <formula>NOT(ISERROR(SEARCH(("NG"),(L301))))</formula>
    </cfRule>
  </conditionalFormatting>
  <conditionalFormatting sqref="L301:L304">
    <cfRule type="containsText" dxfId="1199" priority="90" operator="containsText" text="OK">
      <formula>NOT(ISERROR(SEARCH(("OK"),(L301))))</formula>
    </cfRule>
  </conditionalFormatting>
  <conditionalFormatting sqref="I301:J304">
    <cfRule type="cellIs" dxfId="1198" priority="91" stopIfTrue="1" operator="equal">
      <formula>"OK"</formula>
    </cfRule>
  </conditionalFormatting>
  <conditionalFormatting sqref="I301:J304">
    <cfRule type="cellIs" dxfId="1197" priority="92" stopIfTrue="1" operator="equal">
      <formula>"Fail"</formula>
    </cfRule>
  </conditionalFormatting>
  <conditionalFormatting sqref="I301:J304">
    <cfRule type="cellIs" dxfId="1196" priority="93" stopIfTrue="1" operator="equal">
      <formula>"OK"</formula>
    </cfRule>
  </conditionalFormatting>
  <conditionalFormatting sqref="I301:J304">
    <cfRule type="cellIs" dxfId="1195" priority="94" stopIfTrue="1" operator="equal">
      <formula>"Fail"</formula>
    </cfRule>
  </conditionalFormatting>
  <conditionalFormatting sqref="I15:J15">
    <cfRule type="cellIs" dxfId="1194" priority="95" stopIfTrue="1" operator="equal">
      <formula>"OK"</formula>
    </cfRule>
  </conditionalFormatting>
  <conditionalFormatting sqref="I15:J15">
    <cfRule type="cellIs" dxfId="1193" priority="96" stopIfTrue="1" operator="equal">
      <formula>"Fail"</formula>
    </cfRule>
  </conditionalFormatting>
  <conditionalFormatting sqref="I15:J15">
    <cfRule type="cellIs" dxfId="1192" priority="97" stopIfTrue="1" operator="equal">
      <formula>"OK"</formula>
    </cfRule>
  </conditionalFormatting>
  <conditionalFormatting sqref="I15:J15">
    <cfRule type="cellIs" dxfId="1191" priority="98" stopIfTrue="1" operator="equal">
      <formula>"Fail"</formula>
    </cfRule>
  </conditionalFormatting>
  <conditionalFormatting sqref="I18:J18">
    <cfRule type="cellIs" dxfId="1190" priority="99" stopIfTrue="1" operator="equal">
      <formula>"OK"</formula>
    </cfRule>
  </conditionalFormatting>
  <conditionalFormatting sqref="I18:J18">
    <cfRule type="cellIs" dxfId="1189" priority="100" stopIfTrue="1" operator="equal">
      <formula>"Fail"</formula>
    </cfRule>
  </conditionalFormatting>
  <conditionalFormatting sqref="I18:J18">
    <cfRule type="cellIs" dxfId="1188" priority="101" stopIfTrue="1" operator="equal">
      <formula>"OK"</formula>
    </cfRule>
  </conditionalFormatting>
  <conditionalFormatting sqref="I18:J18">
    <cfRule type="cellIs" dxfId="1187" priority="102" stopIfTrue="1" operator="equal">
      <formula>"Fail"</formula>
    </cfRule>
  </conditionalFormatting>
  <conditionalFormatting sqref="K37:K55 K122:K161 K187:K208 K247:K268">
    <cfRule type="containsText" dxfId="1186" priority="103" operator="containsText" text="NG">
      <formula>NOT(ISERROR(SEARCH(("NG"),(K37))))</formula>
    </cfRule>
  </conditionalFormatting>
  <conditionalFormatting sqref="K37:K55 K122:K161 K187:K208 K247:K268">
    <cfRule type="containsText" dxfId="1185" priority="104" operator="containsText" text="OK">
      <formula>NOT(ISERROR(SEARCH(("OK"),(K37))))</formula>
    </cfRule>
  </conditionalFormatting>
  <conditionalFormatting sqref="K270:K275 K278:K327">
    <cfRule type="containsText" dxfId="1184" priority="105" operator="containsText" text="NG">
      <formula>NOT(ISERROR(SEARCH(("NG"),(K270))))</formula>
    </cfRule>
  </conditionalFormatting>
  <conditionalFormatting sqref="K270:K275 K278:K327">
    <cfRule type="containsText" dxfId="1183" priority="106" operator="containsText" text="OK">
      <formula>NOT(ISERROR(SEARCH(("OK"),(K270))))</formula>
    </cfRule>
  </conditionalFormatting>
  <conditionalFormatting sqref="I21:J21">
    <cfRule type="cellIs" dxfId="1182" priority="107" stopIfTrue="1" operator="equal">
      <formula>"OK"</formula>
    </cfRule>
  </conditionalFormatting>
  <conditionalFormatting sqref="I21:J21">
    <cfRule type="cellIs" dxfId="1181" priority="108" stopIfTrue="1" operator="equal">
      <formula>"Fail"</formula>
    </cfRule>
  </conditionalFormatting>
  <conditionalFormatting sqref="I21:J21">
    <cfRule type="cellIs" dxfId="1180" priority="109" stopIfTrue="1" operator="equal">
      <formula>"OK"</formula>
    </cfRule>
  </conditionalFormatting>
  <conditionalFormatting sqref="I21:J21">
    <cfRule type="cellIs" dxfId="1179" priority="110" stopIfTrue="1" operator="equal">
      <formula>"Fail"</formula>
    </cfRule>
  </conditionalFormatting>
  <conditionalFormatting sqref="L321:L325">
    <cfRule type="containsText" dxfId="1178" priority="111" operator="containsText" text="NG">
      <formula>NOT(ISERROR(SEARCH(("NG"),(L321))))</formula>
    </cfRule>
  </conditionalFormatting>
  <conditionalFormatting sqref="L321:L325">
    <cfRule type="containsText" dxfId="1177" priority="112" operator="containsText" text="OK">
      <formula>NOT(ISERROR(SEARCH(("OK"),(L321))))</formula>
    </cfRule>
  </conditionalFormatting>
  <conditionalFormatting sqref="I22:J22">
    <cfRule type="cellIs" dxfId="1176" priority="113" stopIfTrue="1" operator="equal">
      <formula>"OK"</formula>
    </cfRule>
  </conditionalFormatting>
  <conditionalFormatting sqref="I22:J22">
    <cfRule type="cellIs" dxfId="1175" priority="114" stopIfTrue="1" operator="equal">
      <formula>"Fail"</formula>
    </cfRule>
  </conditionalFormatting>
  <conditionalFormatting sqref="I22:J22">
    <cfRule type="cellIs" dxfId="1174" priority="115" stopIfTrue="1" operator="equal">
      <formula>"OK"</formula>
    </cfRule>
  </conditionalFormatting>
  <conditionalFormatting sqref="I22:J22">
    <cfRule type="cellIs" dxfId="1173" priority="116" stopIfTrue="1" operator="equal">
      <formula>"Fail"</formula>
    </cfRule>
  </conditionalFormatting>
  <conditionalFormatting sqref="I35:J36">
    <cfRule type="cellIs" dxfId="1172" priority="117" stopIfTrue="1" operator="equal">
      <formula>"OK"</formula>
    </cfRule>
  </conditionalFormatting>
  <conditionalFormatting sqref="I35:J36">
    <cfRule type="cellIs" dxfId="1171" priority="118" stopIfTrue="1" operator="equal">
      <formula>"Fail"</formula>
    </cfRule>
  </conditionalFormatting>
  <conditionalFormatting sqref="I35:J36">
    <cfRule type="cellIs" dxfId="1170" priority="119" stopIfTrue="1" operator="equal">
      <formula>"OK"</formula>
    </cfRule>
  </conditionalFormatting>
  <conditionalFormatting sqref="I35:J36">
    <cfRule type="cellIs" dxfId="1169" priority="120" stopIfTrue="1" operator="equal">
      <formula>"Fail"</formula>
    </cfRule>
  </conditionalFormatting>
  <conditionalFormatting sqref="I23:J32">
    <cfRule type="cellIs" dxfId="1168" priority="121" stopIfTrue="1" operator="equal">
      <formula>"OK"</formula>
    </cfRule>
  </conditionalFormatting>
  <conditionalFormatting sqref="I23:J32">
    <cfRule type="cellIs" dxfId="1167" priority="122" stopIfTrue="1" operator="equal">
      <formula>"Fail"</formula>
    </cfRule>
  </conditionalFormatting>
  <conditionalFormatting sqref="I23:J32">
    <cfRule type="cellIs" dxfId="1166" priority="123" stopIfTrue="1" operator="equal">
      <formula>"OK"</formula>
    </cfRule>
  </conditionalFormatting>
  <conditionalFormatting sqref="I23:J32">
    <cfRule type="cellIs" dxfId="1165" priority="124" stopIfTrue="1" operator="equal">
      <formula>"Fail"</formula>
    </cfRule>
  </conditionalFormatting>
  <conditionalFormatting sqref="I23:J23">
    <cfRule type="cellIs" dxfId="1164" priority="125" stopIfTrue="1" operator="equal">
      <formula>"OK"</formula>
    </cfRule>
  </conditionalFormatting>
  <conditionalFormatting sqref="I23:J23">
    <cfRule type="cellIs" dxfId="1163" priority="126" stopIfTrue="1" operator="equal">
      <formula>"Fail"</formula>
    </cfRule>
  </conditionalFormatting>
  <conditionalFormatting sqref="I23:J23">
    <cfRule type="cellIs" dxfId="1162" priority="127" stopIfTrue="1" operator="equal">
      <formula>"OK"</formula>
    </cfRule>
  </conditionalFormatting>
  <conditionalFormatting sqref="I23:J23">
    <cfRule type="cellIs" dxfId="1161" priority="128" stopIfTrue="1" operator="equal">
      <formula>"Fail"</formula>
    </cfRule>
  </conditionalFormatting>
  <conditionalFormatting sqref="I34:J34">
    <cfRule type="cellIs" dxfId="1160" priority="129" stopIfTrue="1" operator="equal">
      <formula>"OK"</formula>
    </cfRule>
  </conditionalFormatting>
  <conditionalFormatting sqref="I34:J34">
    <cfRule type="cellIs" dxfId="1159" priority="130" stopIfTrue="1" operator="equal">
      <formula>"Fail"</formula>
    </cfRule>
  </conditionalFormatting>
  <conditionalFormatting sqref="I34:J34">
    <cfRule type="cellIs" dxfId="1158" priority="131" stopIfTrue="1" operator="equal">
      <formula>"OK"</formula>
    </cfRule>
  </conditionalFormatting>
  <conditionalFormatting sqref="I34:J34">
    <cfRule type="cellIs" dxfId="1157" priority="132" stopIfTrue="1" operator="equal">
      <formula>"Fail"</formula>
    </cfRule>
  </conditionalFormatting>
  <conditionalFormatting sqref="K56:K62">
    <cfRule type="containsText" dxfId="1156" priority="133" operator="containsText" text="NG">
      <formula>NOT(ISERROR(SEARCH(("NG"),(K56))))</formula>
    </cfRule>
  </conditionalFormatting>
  <conditionalFormatting sqref="K56:K62">
    <cfRule type="containsText" dxfId="1155" priority="134" operator="containsText" text="OK">
      <formula>NOT(ISERROR(SEARCH(("OK"),(K56))))</formula>
    </cfRule>
  </conditionalFormatting>
  <conditionalFormatting sqref="L56:L62">
    <cfRule type="containsText" dxfId="1154" priority="135" operator="containsText" text="NG">
      <formula>NOT(ISERROR(SEARCH(("NG"),(L56))))</formula>
    </cfRule>
  </conditionalFormatting>
  <conditionalFormatting sqref="L56:L62">
    <cfRule type="containsText" dxfId="1153" priority="136" operator="containsText" text="OK">
      <formula>NOT(ISERROR(SEARCH(("OK"),(L56))))</formula>
    </cfRule>
  </conditionalFormatting>
  <conditionalFormatting sqref="I56:J62">
    <cfRule type="cellIs" dxfId="1152" priority="137" stopIfTrue="1" operator="equal">
      <formula>"OK"</formula>
    </cfRule>
  </conditionalFormatting>
  <conditionalFormatting sqref="I56:J62">
    <cfRule type="cellIs" dxfId="1151" priority="138" stopIfTrue="1" operator="equal">
      <formula>"Fail"</formula>
    </cfRule>
  </conditionalFormatting>
  <conditionalFormatting sqref="I56:J62">
    <cfRule type="cellIs" dxfId="1150" priority="139" stopIfTrue="1" operator="equal">
      <formula>"OK"</formula>
    </cfRule>
  </conditionalFormatting>
  <conditionalFormatting sqref="I56:J62">
    <cfRule type="cellIs" dxfId="1149" priority="140" stopIfTrue="1" operator="equal">
      <formula>"Fail"</formula>
    </cfRule>
  </conditionalFormatting>
  <conditionalFormatting sqref="K243:K246">
    <cfRule type="containsText" dxfId="1148" priority="141" operator="containsText" text="미해당">
      <formula>NOT(ISERROR(SEARCH(("미해당"),(K243))))</formula>
    </cfRule>
  </conditionalFormatting>
  <conditionalFormatting sqref="K328:K330 K332:K334">
    <cfRule type="containsText" dxfId="1147" priority="142" operator="containsText" text="NG">
      <formula>NOT(ISERROR(SEARCH(("NG"),(K328))))</formula>
    </cfRule>
  </conditionalFormatting>
  <conditionalFormatting sqref="K328:K330 K332:K334">
    <cfRule type="containsText" dxfId="1146" priority="143" operator="containsText" text="OK">
      <formula>NOT(ISERROR(SEARCH(("OK"),(K328))))</formula>
    </cfRule>
  </conditionalFormatting>
  <conditionalFormatting sqref="I326:J326">
    <cfRule type="cellIs" dxfId="1145" priority="144" stopIfTrue="1" operator="equal">
      <formula>"OK"</formula>
    </cfRule>
  </conditionalFormatting>
  <conditionalFormatting sqref="I326:J326">
    <cfRule type="cellIs" dxfId="1144" priority="145" stopIfTrue="1" operator="equal">
      <formula>"Fail"</formula>
    </cfRule>
  </conditionalFormatting>
  <conditionalFormatting sqref="I327:J327">
    <cfRule type="cellIs" dxfId="1143" priority="146" stopIfTrue="1" operator="equal">
      <formula>"OK"</formula>
    </cfRule>
  </conditionalFormatting>
  <conditionalFormatting sqref="I327:J327">
    <cfRule type="cellIs" dxfId="1142" priority="147" stopIfTrue="1" operator="equal">
      <formula>"Fail"</formula>
    </cfRule>
  </conditionalFormatting>
  <conditionalFormatting sqref="I332:J333">
    <cfRule type="cellIs" dxfId="1141" priority="148" stopIfTrue="1" operator="equal">
      <formula>"OK"</formula>
    </cfRule>
  </conditionalFormatting>
  <conditionalFormatting sqref="I332:J333">
    <cfRule type="cellIs" dxfId="1140" priority="149" stopIfTrue="1" operator="equal">
      <formula>"Fail"</formula>
    </cfRule>
  </conditionalFormatting>
  <conditionalFormatting sqref="I332:J333">
    <cfRule type="cellIs" dxfId="1139" priority="150" stopIfTrue="1" operator="equal">
      <formula>"OK"</formula>
    </cfRule>
  </conditionalFormatting>
  <conditionalFormatting sqref="I332:J333">
    <cfRule type="cellIs" dxfId="1138" priority="151" stopIfTrue="1" operator="equal">
      <formula>"Fail"</formula>
    </cfRule>
  </conditionalFormatting>
  <conditionalFormatting sqref="I334:J334">
    <cfRule type="cellIs" dxfId="1137" priority="152" stopIfTrue="1" operator="equal">
      <formula>"OK"</formula>
    </cfRule>
  </conditionalFormatting>
  <conditionalFormatting sqref="I334:J334">
    <cfRule type="cellIs" dxfId="1136" priority="153" stopIfTrue="1" operator="equal">
      <formula>"Fail"</formula>
    </cfRule>
  </conditionalFormatting>
  <conditionalFormatting sqref="I334:J334">
    <cfRule type="cellIs" dxfId="1135" priority="154" stopIfTrue="1" operator="equal">
      <formula>"OK"</formula>
    </cfRule>
  </conditionalFormatting>
  <conditionalFormatting sqref="I334:J334">
    <cfRule type="cellIs" dxfId="1134" priority="155" stopIfTrue="1" operator="equal">
      <formula>"Fail"</formula>
    </cfRule>
  </conditionalFormatting>
  <conditionalFormatting sqref="K331">
    <cfRule type="containsText" dxfId="1133" priority="156" operator="containsText" text="NG">
      <formula>NOT(ISERROR(SEARCH(("NG"),(K331))))</formula>
    </cfRule>
  </conditionalFormatting>
  <conditionalFormatting sqref="K331">
    <cfRule type="containsText" dxfId="1132" priority="157" operator="containsText" text="OK">
      <formula>NOT(ISERROR(SEARCH(("OK"),(K331))))</formula>
    </cfRule>
  </conditionalFormatting>
  <conditionalFormatting sqref="L117:L118">
    <cfRule type="containsText" dxfId="1131" priority="158" operator="containsText" text="NG">
      <formula>NOT(ISERROR(SEARCH(("NG"),(L117))))</formula>
    </cfRule>
  </conditionalFormatting>
  <conditionalFormatting sqref="L117:L118">
    <cfRule type="containsText" dxfId="1130" priority="159" operator="containsText" text="OK">
      <formula>NOT(ISERROR(SEARCH(("OK"),(L117))))</formula>
    </cfRule>
  </conditionalFormatting>
  <conditionalFormatting sqref="K117:K118">
    <cfRule type="containsText" dxfId="1129" priority="160" operator="containsText" text="NG">
      <formula>NOT(ISERROR(SEARCH(("NG"),(K117))))</formula>
    </cfRule>
  </conditionalFormatting>
  <conditionalFormatting sqref="K117:K118">
    <cfRule type="containsText" dxfId="1128" priority="161" operator="containsText" text="OK">
      <formula>NOT(ISERROR(SEARCH(("OK"),(K117))))</formula>
    </cfRule>
  </conditionalFormatting>
  <conditionalFormatting sqref="L119:L121">
    <cfRule type="containsText" dxfId="1127" priority="162" operator="containsText" text="NG">
      <formula>NOT(ISERROR(SEARCH(("NG"),(L119))))</formula>
    </cfRule>
  </conditionalFormatting>
  <conditionalFormatting sqref="L119:L121">
    <cfRule type="containsText" dxfId="1126" priority="163" operator="containsText" text="OK">
      <formula>NOT(ISERROR(SEARCH(("OK"),(L119))))</formula>
    </cfRule>
  </conditionalFormatting>
  <conditionalFormatting sqref="K119:K121">
    <cfRule type="containsText" dxfId="1125" priority="164" operator="containsText" text="NG">
      <formula>NOT(ISERROR(SEARCH(("NG"),(K119))))</formula>
    </cfRule>
  </conditionalFormatting>
  <conditionalFormatting sqref="K119:K121">
    <cfRule type="containsText" dxfId="1124" priority="165" operator="containsText" text="OK">
      <formula>NOT(ISERROR(SEARCH(("OK"),(K119))))</formula>
    </cfRule>
  </conditionalFormatting>
  <conditionalFormatting sqref="L276:L277">
    <cfRule type="containsText" dxfId="1123" priority="166" operator="containsText" text="NG">
      <formula>NOT(ISERROR(SEARCH(("NG"),(L276))))</formula>
    </cfRule>
  </conditionalFormatting>
  <conditionalFormatting sqref="L276:L277">
    <cfRule type="containsText" dxfId="1122" priority="167" operator="containsText" text="OK">
      <formula>NOT(ISERROR(SEARCH(("OK"),(L276))))</formula>
    </cfRule>
  </conditionalFormatting>
  <conditionalFormatting sqref="K276:K277">
    <cfRule type="containsText" dxfId="1121" priority="168" operator="containsText" text="NG">
      <formula>NOT(ISERROR(SEARCH(("NG"),(K276))))</formula>
    </cfRule>
  </conditionalFormatting>
  <conditionalFormatting sqref="K276:K277">
    <cfRule type="containsText" dxfId="1120" priority="169" operator="containsText" text="OK">
      <formula>NOT(ISERROR(SEARCH(("OK"),(K276))))</formula>
    </cfRule>
  </conditionalFormatting>
  <conditionalFormatting sqref="L335">
    <cfRule type="containsText" dxfId="1119" priority="170" operator="containsText" text="NG">
      <formula>NOT(ISERROR(SEARCH(("NG"),(L335))))</formula>
    </cfRule>
  </conditionalFormatting>
  <conditionalFormatting sqref="L335">
    <cfRule type="containsText" dxfId="1118" priority="171" operator="containsText" text="OK">
      <formula>NOT(ISERROR(SEARCH(("OK"),(L335))))</formula>
    </cfRule>
  </conditionalFormatting>
  <conditionalFormatting sqref="K335">
    <cfRule type="containsText" dxfId="1117" priority="172" operator="containsText" text="NG">
      <formula>NOT(ISERROR(SEARCH(("NG"),(K335))))</formula>
    </cfRule>
  </conditionalFormatting>
  <conditionalFormatting sqref="K335">
    <cfRule type="containsText" dxfId="1116" priority="173" operator="containsText" text="OK">
      <formula>NOT(ISERROR(SEARCH(("OK"),(K335))))</formula>
    </cfRule>
  </conditionalFormatting>
  <conditionalFormatting sqref="L208:L224">
    <cfRule type="containsText" dxfId="1115" priority="174" operator="containsText" text="NG">
      <formula>NOT(ISERROR(SEARCH(("NG"),(L208))))</formula>
    </cfRule>
  </conditionalFormatting>
  <conditionalFormatting sqref="L208:L224">
    <cfRule type="containsText" dxfId="1114" priority="175" operator="containsText" text="OK">
      <formula>NOT(ISERROR(SEARCH(("OK"),(L208))))</formula>
    </cfRule>
  </conditionalFormatting>
  <conditionalFormatting sqref="L208:L224">
    <cfRule type="containsText" dxfId="1113" priority="176" operator="containsText" text="NG">
      <formula>NOT(ISERROR(SEARCH(("NG"),(L208))))</formula>
    </cfRule>
  </conditionalFormatting>
  <conditionalFormatting sqref="L208:L224">
    <cfRule type="containsText" dxfId="1112" priority="177" operator="containsText" text="OK">
      <formula>NOT(ISERROR(SEARCH(("OK"),(L208))))</formula>
    </cfRule>
  </conditionalFormatting>
  <conditionalFormatting sqref="K209:K242">
    <cfRule type="containsText" dxfId="1111" priority="178" operator="containsText" text="미해당">
      <formula>NOT(ISERROR(SEARCH(("미해당"),(K209))))</formula>
    </cfRule>
  </conditionalFormatting>
  <conditionalFormatting sqref="K209:K242">
    <cfRule type="containsText" dxfId="1110" priority="179" operator="containsText" text="NG">
      <formula>NOT(ISERROR(SEARCH(("NG"),(K209))))</formula>
    </cfRule>
  </conditionalFormatting>
  <conditionalFormatting sqref="K209:K242">
    <cfRule type="containsText" dxfId="1109" priority="180" operator="containsText" text="OK">
      <formula>NOT(ISERROR(SEARCH(("OK"),(K209))))</formula>
    </cfRule>
  </conditionalFormatting>
  <conditionalFormatting sqref="L103">
    <cfRule type="containsText" dxfId="1108" priority="181" operator="containsText" text="NG">
      <formula>NOT(ISERROR(SEARCH(("NG"),(L103))))</formula>
    </cfRule>
  </conditionalFormatting>
  <conditionalFormatting sqref="L103">
    <cfRule type="containsText" dxfId="1107" priority="182" operator="containsText" text="OK">
      <formula>NOT(ISERROR(SEARCH(("OK"),(L103))))</formula>
    </cfRule>
  </conditionalFormatting>
  <conditionalFormatting sqref="M241:M244">
    <cfRule type="containsText" dxfId="1106" priority="183" operator="containsText" text="NG">
      <formula>NOT(ISERROR(SEARCH(("NG"),(M241))))</formula>
    </cfRule>
  </conditionalFormatting>
  <conditionalFormatting sqref="M241:M244">
    <cfRule type="containsText" dxfId="1105" priority="184" operator="containsText" text="OK">
      <formula>NOT(ISERROR(SEARCH(("OK"),(M241))))</formula>
    </cfRule>
  </conditionalFormatting>
  <dataValidations count="3">
    <dataValidation type="list" allowBlank="1" showErrorMessage="1" sqref="O4:P49 O50:O51 O52:P83 O84:O92 O93:P101 O102:O108 O109:P137 O138:O145 O146:P149 O150:O155 O156:P190 O191:O224 O225:P268 O270:P301 O305:P325 O335:P335">
      <formula1>"필수,중요,선택"</formula1>
    </dataValidation>
    <dataValidation type="list" allowBlank="1" showErrorMessage="1" sqref="K4:L304 K305:M307 K308:L315 K316:M317 K318:L335">
      <formula1>"Pass,Fail,NA"</formula1>
    </dataValidation>
    <dataValidation type="list" allowBlank="1" showErrorMessage="1" sqref="O302:P304">
      <formula1>"Proto,M/CAR,Pilot,M,SOP"</formula1>
    </dataValidation>
  </dataValidations>
  <pageMargins left="0.7" right="0.7" top="0.75" bottom="0.75" header="0" footer="0"/>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55A11"/>
  </sheetPr>
  <dimension ref="A1:AF1000"/>
  <sheetViews>
    <sheetView tabSelected="1" workbookViewId="0">
      <selection activeCell="E4" sqref="E4:E7"/>
    </sheetView>
  </sheetViews>
  <sheetFormatPr defaultColWidth="14.42578125" defaultRowHeight="15" customHeight="1"/>
  <cols>
    <col min="1" max="1" width="36.42578125" customWidth="1"/>
    <col min="2" max="2" width="9.28515625" customWidth="1"/>
    <col min="3" max="3" width="9" customWidth="1"/>
    <col min="4" max="4" width="43.28515625" customWidth="1"/>
    <col min="5" max="5" width="63.85546875" customWidth="1"/>
    <col min="6" max="7" width="5.42578125" customWidth="1"/>
    <col min="8" max="8" width="83" customWidth="1"/>
    <col min="9" max="9" width="86" customWidth="1"/>
    <col min="10" max="10" width="45.140625" style="326" customWidth="1"/>
    <col min="11" max="11" width="10.5703125" customWidth="1"/>
    <col min="12" max="12" width="15.28515625" customWidth="1"/>
    <col min="13" max="15" width="9" customWidth="1"/>
    <col min="16" max="17" width="7.42578125" customWidth="1"/>
    <col min="18" max="18" width="25" customWidth="1"/>
    <col min="19" max="19" width="7.42578125" customWidth="1"/>
    <col min="20" max="32" width="9" customWidth="1"/>
  </cols>
  <sheetData>
    <row r="1" spans="1:32" ht="39.75" customHeight="1">
      <c r="A1" s="8"/>
      <c r="B1" s="11" t="str">
        <f t="array" ref="B1">"BAT_"&amp;TEXT(MAX(IFERROR(--MID($B$2:$B$4984,5,3),0)),"000")</f>
        <v>BAT_059</v>
      </c>
      <c r="C1" s="4"/>
      <c r="D1" s="8"/>
      <c r="E1" s="9"/>
      <c r="F1" s="4"/>
      <c r="G1" s="4"/>
      <c r="H1" s="118"/>
      <c r="I1" s="118"/>
      <c r="J1" s="118"/>
      <c r="K1" s="11"/>
      <c r="L1" s="3"/>
      <c r="M1" s="11"/>
      <c r="N1" s="3"/>
      <c r="O1" s="11"/>
      <c r="P1" s="11"/>
      <c r="Q1" s="11"/>
      <c r="R1" s="11"/>
      <c r="S1" s="11"/>
    </row>
    <row r="2" spans="1:32" ht="39" customHeight="1">
      <c r="A2" s="12" t="s">
        <v>309</v>
      </c>
      <c r="B2" s="70" t="s">
        <v>310</v>
      </c>
      <c r="C2" s="70" t="s">
        <v>311</v>
      </c>
      <c r="D2" s="12" t="s">
        <v>312</v>
      </c>
      <c r="E2" s="12" t="s">
        <v>313</v>
      </c>
      <c r="F2" s="70" t="s">
        <v>314</v>
      </c>
      <c r="G2" s="70" t="s">
        <v>315</v>
      </c>
      <c r="H2" s="12" t="s">
        <v>316</v>
      </c>
      <c r="I2" s="12" t="s">
        <v>317</v>
      </c>
      <c r="J2" s="70" t="s">
        <v>7999</v>
      </c>
      <c r="K2" s="70" t="s">
        <v>291</v>
      </c>
      <c r="L2" s="70" t="s">
        <v>318</v>
      </c>
      <c r="M2" s="70" t="s">
        <v>293</v>
      </c>
      <c r="N2" s="13"/>
      <c r="O2" s="70" t="s">
        <v>319</v>
      </c>
      <c r="P2" s="70" t="s">
        <v>320</v>
      </c>
      <c r="Q2" s="70" t="s">
        <v>321</v>
      </c>
      <c r="R2" s="70" t="s">
        <v>1</v>
      </c>
      <c r="S2" s="70" t="s">
        <v>2190</v>
      </c>
      <c r="T2" s="14"/>
      <c r="U2" s="14"/>
      <c r="V2" s="14"/>
      <c r="W2" s="14"/>
      <c r="X2" s="14"/>
      <c r="Y2" s="14"/>
      <c r="Z2" s="14"/>
      <c r="AA2" s="14"/>
      <c r="AB2" s="14"/>
      <c r="AC2" s="14"/>
      <c r="AD2" s="14"/>
      <c r="AE2" s="14"/>
      <c r="AF2" s="14"/>
    </row>
    <row r="3" spans="1:32" ht="56.25">
      <c r="A3" s="15" t="s">
        <v>2191</v>
      </c>
      <c r="B3" s="16"/>
      <c r="C3" s="16"/>
      <c r="D3" s="17"/>
      <c r="E3" s="18"/>
      <c r="F3" s="19"/>
      <c r="G3" s="19"/>
      <c r="H3" s="17"/>
      <c r="I3" s="20"/>
      <c r="J3" s="20"/>
      <c r="K3" s="16"/>
      <c r="L3" s="16"/>
      <c r="M3" s="71"/>
      <c r="N3" s="3"/>
      <c r="O3" s="16"/>
      <c r="P3" s="16"/>
      <c r="Q3" s="16"/>
      <c r="R3" s="16"/>
      <c r="S3" s="16"/>
    </row>
    <row r="4" spans="1:32" ht="90">
      <c r="A4" s="361" t="s">
        <v>2192</v>
      </c>
      <c r="B4" s="354" t="s">
        <v>85</v>
      </c>
      <c r="C4" s="34">
        <v>1</v>
      </c>
      <c r="D4" s="361" t="s">
        <v>2193</v>
      </c>
      <c r="E4" s="351" t="s">
        <v>2194</v>
      </c>
      <c r="F4" s="34" t="s">
        <v>326</v>
      </c>
      <c r="G4" s="34" t="s">
        <v>327</v>
      </c>
      <c r="H4" s="119" t="s">
        <v>2195</v>
      </c>
      <c r="I4" s="23" t="s">
        <v>2196</v>
      </c>
      <c r="J4" s="170"/>
      <c r="K4" s="25"/>
      <c r="L4" s="57"/>
      <c r="M4" s="120"/>
      <c r="N4" s="100"/>
      <c r="O4" s="28" t="s">
        <v>140</v>
      </c>
      <c r="P4" s="25"/>
      <c r="Q4" s="50" t="s">
        <v>282</v>
      </c>
      <c r="R4" s="25" t="s">
        <v>300</v>
      </c>
      <c r="S4" s="50"/>
      <c r="T4" s="65"/>
      <c r="U4" s="65"/>
      <c r="V4" s="65"/>
      <c r="W4" s="65"/>
      <c r="X4" s="65"/>
      <c r="Y4" s="65"/>
      <c r="Z4" s="65"/>
      <c r="AA4" s="65"/>
      <c r="AB4" s="65"/>
      <c r="AC4" s="65"/>
      <c r="AD4" s="65"/>
      <c r="AE4" s="65"/>
      <c r="AF4" s="65"/>
    </row>
    <row r="5" spans="1:32" ht="90">
      <c r="A5" s="344"/>
      <c r="B5" s="344"/>
      <c r="C5" s="34">
        <v>2</v>
      </c>
      <c r="D5" s="344"/>
      <c r="E5" s="344"/>
      <c r="F5" s="34" t="s">
        <v>326</v>
      </c>
      <c r="G5" s="34" t="s">
        <v>327</v>
      </c>
      <c r="H5" s="119" t="s">
        <v>2197</v>
      </c>
      <c r="I5" s="23" t="s">
        <v>2198</v>
      </c>
      <c r="J5" s="170"/>
      <c r="K5" s="25"/>
      <c r="L5" s="57"/>
      <c r="M5" s="121"/>
      <c r="N5" s="122"/>
      <c r="O5" s="28"/>
      <c r="P5" s="25"/>
      <c r="Q5" s="50" t="s">
        <v>282</v>
      </c>
      <c r="R5" s="25" t="s">
        <v>300</v>
      </c>
      <c r="S5" s="50"/>
      <c r="T5" s="65"/>
      <c r="U5" s="65"/>
      <c r="V5" s="65"/>
      <c r="W5" s="65"/>
      <c r="X5" s="65"/>
      <c r="Y5" s="65"/>
      <c r="Z5" s="65"/>
      <c r="AA5" s="65"/>
      <c r="AB5" s="65"/>
      <c r="AC5" s="65"/>
      <c r="AD5" s="65"/>
      <c r="AE5" s="65"/>
      <c r="AF5" s="65"/>
    </row>
    <row r="6" spans="1:32" ht="45">
      <c r="A6" s="344"/>
      <c r="B6" s="344"/>
      <c r="C6" s="34">
        <v>3</v>
      </c>
      <c r="D6" s="344"/>
      <c r="E6" s="344"/>
      <c r="F6" s="34" t="s">
        <v>326</v>
      </c>
      <c r="G6" s="34" t="s">
        <v>327</v>
      </c>
      <c r="H6" s="119" t="s">
        <v>2199</v>
      </c>
      <c r="I6" s="23" t="s">
        <v>2196</v>
      </c>
      <c r="J6" s="170"/>
      <c r="K6" s="25"/>
      <c r="L6" s="57"/>
      <c r="M6" s="121"/>
      <c r="N6" s="122"/>
      <c r="O6" s="28"/>
      <c r="P6" s="25"/>
      <c r="Q6" s="50" t="s">
        <v>282</v>
      </c>
      <c r="R6" s="25" t="s">
        <v>300</v>
      </c>
      <c r="S6" s="50"/>
      <c r="T6" s="65"/>
      <c r="U6" s="65"/>
      <c r="V6" s="65"/>
      <c r="W6" s="65"/>
      <c r="X6" s="65"/>
      <c r="Y6" s="65"/>
      <c r="Z6" s="65"/>
      <c r="AA6" s="65"/>
      <c r="AB6" s="65"/>
      <c r="AC6" s="65"/>
      <c r="AD6" s="65"/>
      <c r="AE6" s="65"/>
      <c r="AF6" s="65"/>
    </row>
    <row r="7" spans="1:32" ht="45">
      <c r="A7" s="344"/>
      <c r="B7" s="344"/>
      <c r="C7" s="34">
        <v>4</v>
      </c>
      <c r="D7" s="344"/>
      <c r="E7" s="345"/>
      <c r="F7" s="34" t="s">
        <v>326</v>
      </c>
      <c r="G7" s="34" t="s">
        <v>327</v>
      </c>
      <c r="H7" s="119" t="s">
        <v>2200</v>
      </c>
      <c r="I7" s="23" t="s">
        <v>2196</v>
      </c>
      <c r="J7" s="170"/>
      <c r="K7" s="25"/>
      <c r="L7" s="57"/>
      <c r="M7" s="121"/>
      <c r="N7" s="122"/>
      <c r="O7" s="28"/>
      <c r="P7" s="25"/>
      <c r="Q7" s="50" t="s">
        <v>282</v>
      </c>
      <c r="R7" s="25" t="s">
        <v>300</v>
      </c>
      <c r="S7" s="50"/>
      <c r="T7" s="65"/>
      <c r="U7" s="65"/>
      <c r="V7" s="65"/>
      <c r="W7" s="65"/>
      <c r="X7" s="65"/>
      <c r="Y7" s="65"/>
      <c r="Z7" s="65"/>
      <c r="AA7" s="65"/>
      <c r="AB7" s="65"/>
      <c r="AC7" s="65"/>
      <c r="AD7" s="65"/>
      <c r="AE7" s="65"/>
      <c r="AF7" s="65"/>
    </row>
    <row r="8" spans="1:32" ht="30">
      <c r="A8" s="345"/>
      <c r="B8" s="345"/>
      <c r="C8" s="34">
        <v>5</v>
      </c>
      <c r="D8" s="345"/>
      <c r="E8" s="54" t="s">
        <v>2201</v>
      </c>
      <c r="F8" s="34" t="s">
        <v>326</v>
      </c>
      <c r="G8" s="34" t="s">
        <v>327</v>
      </c>
      <c r="H8" s="119" t="s">
        <v>2202</v>
      </c>
      <c r="I8" s="23" t="s">
        <v>2203</v>
      </c>
      <c r="J8" s="170"/>
      <c r="K8" s="25"/>
      <c r="L8" s="57"/>
      <c r="M8" s="121"/>
      <c r="N8" s="122"/>
      <c r="O8" s="28" t="s">
        <v>140</v>
      </c>
      <c r="P8" s="25"/>
      <c r="Q8" s="50" t="s">
        <v>282</v>
      </c>
      <c r="R8" s="25" t="s">
        <v>300</v>
      </c>
      <c r="S8" s="50"/>
      <c r="T8" s="65"/>
      <c r="U8" s="65"/>
      <c r="V8" s="65"/>
      <c r="W8" s="65"/>
      <c r="X8" s="65"/>
      <c r="Y8" s="65"/>
      <c r="Z8" s="65"/>
      <c r="AA8" s="65"/>
      <c r="AB8" s="65"/>
      <c r="AC8" s="65"/>
      <c r="AD8" s="65"/>
      <c r="AE8" s="65"/>
      <c r="AF8" s="65"/>
    </row>
    <row r="9" spans="1:32" ht="90">
      <c r="A9" s="351" t="s">
        <v>2204</v>
      </c>
      <c r="B9" s="354" t="s">
        <v>130</v>
      </c>
      <c r="C9" s="34">
        <v>1</v>
      </c>
      <c r="D9" s="351" t="s">
        <v>2205</v>
      </c>
      <c r="E9" s="351" t="s">
        <v>2206</v>
      </c>
      <c r="F9" s="34" t="s">
        <v>326</v>
      </c>
      <c r="G9" s="34" t="s">
        <v>327</v>
      </c>
      <c r="H9" s="33" t="s">
        <v>2207</v>
      </c>
      <c r="I9" s="58" t="s">
        <v>2208</v>
      </c>
      <c r="J9" s="253"/>
      <c r="K9" s="25"/>
      <c r="L9" s="57"/>
      <c r="M9" s="121"/>
      <c r="N9" s="122"/>
      <c r="O9" s="28" t="s">
        <v>140</v>
      </c>
      <c r="P9" s="25"/>
      <c r="Q9" s="50" t="s">
        <v>140</v>
      </c>
      <c r="R9" s="25" t="s">
        <v>300</v>
      </c>
      <c r="S9" s="50"/>
      <c r="T9" s="65"/>
      <c r="U9" s="65"/>
      <c r="V9" s="65"/>
      <c r="W9" s="65"/>
      <c r="X9" s="65"/>
      <c r="Y9" s="65"/>
      <c r="Z9" s="65"/>
      <c r="AA9" s="65"/>
      <c r="AB9" s="65"/>
      <c r="AC9" s="65"/>
      <c r="AD9" s="65"/>
      <c r="AE9" s="65"/>
      <c r="AF9" s="65"/>
    </row>
    <row r="10" spans="1:32" ht="45">
      <c r="A10" s="344"/>
      <c r="B10" s="344"/>
      <c r="C10" s="34">
        <v>2</v>
      </c>
      <c r="D10" s="344"/>
      <c r="E10" s="344"/>
      <c r="F10" s="34" t="s">
        <v>326</v>
      </c>
      <c r="G10" s="34" t="s">
        <v>327</v>
      </c>
      <c r="H10" s="33" t="s">
        <v>2209</v>
      </c>
      <c r="I10" s="23" t="s">
        <v>2210</v>
      </c>
      <c r="J10" s="170"/>
      <c r="K10" s="25"/>
      <c r="L10" s="57"/>
      <c r="M10" s="121"/>
      <c r="N10" s="122"/>
      <c r="O10" s="28"/>
      <c r="P10" s="25"/>
      <c r="Q10" s="50" t="s">
        <v>140</v>
      </c>
      <c r="R10" s="25" t="s">
        <v>300</v>
      </c>
      <c r="S10" s="50"/>
      <c r="T10" s="65"/>
      <c r="U10" s="65"/>
      <c r="V10" s="65"/>
      <c r="W10" s="65"/>
      <c r="X10" s="65"/>
      <c r="Y10" s="65"/>
      <c r="Z10" s="65"/>
      <c r="AA10" s="65"/>
      <c r="AB10" s="65"/>
      <c r="AC10" s="65"/>
      <c r="AD10" s="65"/>
      <c r="AE10" s="65"/>
      <c r="AF10" s="65"/>
    </row>
    <row r="11" spans="1:32" ht="58.5" customHeight="1">
      <c r="A11" s="353"/>
      <c r="B11" s="353"/>
      <c r="C11" s="86">
        <v>3</v>
      </c>
      <c r="D11" s="353"/>
      <c r="E11" s="353"/>
      <c r="F11" s="86" t="s">
        <v>326</v>
      </c>
      <c r="G11" s="86" t="s">
        <v>327</v>
      </c>
      <c r="H11" s="175" t="s">
        <v>2211</v>
      </c>
      <c r="I11" s="58" t="s">
        <v>2212</v>
      </c>
      <c r="J11" s="253"/>
      <c r="K11" s="25"/>
      <c r="L11" s="57"/>
      <c r="M11" s="123"/>
      <c r="N11" s="124"/>
      <c r="O11" s="28"/>
      <c r="P11" s="50"/>
      <c r="Q11" s="50" t="s">
        <v>140</v>
      </c>
      <c r="R11" s="50" t="s">
        <v>306</v>
      </c>
      <c r="S11" s="50"/>
      <c r="T11" s="5"/>
      <c r="U11" s="5"/>
      <c r="V11" s="5"/>
      <c r="W11" s="5"/>
      <c r="X11" s="5"/>
      <c r="Y11" s="5"/>
      <c r="Z11" s="5"/>
      <c r="AA11" s="5"/>
      <c r="AB11" s="5"/>
      <c r="AC11" s="5"/>
      <c r="AD11" s="5"/>
      <c r="AE11" s="5"/>
      <c r="AF11" s="5"/>
    </row>
    <row r="12" spans="1:32" ht="30">
      <c r="A12" s="351" t="s">
        <v>2213</v>
      </c>
      <c r="B12" s="354" t="s">
        <v>2214</v>
      </c>
      <c r="C12" s="34">
        <v>1</v>
      </c>
      <c r="D12" s="351" t="s">
        <v>2213</v>
      </c>
      <c r="E12" s="33" t="s">
        <v>2215</v>
      </c>
      <c r="F12" s="34" t="s">
        <v>326</v>
      </c>
      <c r="G12" s="34" t="s">
        <v>349</v>
      </c>
      <c r="H12" s="33" t="s">
        <v>2216</v>
      </c>
      <c r="I12" s="23" t="s">
        <v>2217</v>
      </c>
      <c r="J12" s="170"/>
      <c r="K12" s="25"/>
      <c r="L12" s="57"/>
      <c r="M12" s="121"/>
      <c r="N12" s="122"/>
      <c r="O12" s="28" t="s">
        <v>140</v>
      </c>
      <c r="P12" s="25"/>
      <c r="Q12" s="50" t="s">
        <v>282</v>
      </c>
      <c r="R12" s="25" t="s">
        <v>300</v>
      </c>
      <c r="S12" s="50"/>
      <c r="T12" s="65"/>
      <c r="U12" s="65"/>
      <c r="V12" s="65"/>
      <c r="W12" s="65"/>
      <c r="X12" s="65"/>
      <c r="Y12" s="65"/>
      <c r="Z12" s="65"/>
      <c r="AA12" s="65"/>
      <c r="AB12" s="65"/>
      <c r="AC12" s="65"/>
      <c r="AD12" s="65"/>
      <c r="AE12" s="65"/>
      <c r="AF12" s="65"/>
    </row>
    <row r="13" spans="1:32" ht="30">
      <c r="A13" s="344"/>
      <c r="B13" s="344"/>
      <c r="C13" s="34">
        <v>2</v>
      </c>
      <c r="D13" s="344"/>
      <c r="E13" s="33" t="s">
        <v>2218</v>
      </c>
      <c r="F13" s="34" t="s">
        <v>326</v>
      </c>
      <c r="G13" s="34" t="s">
        <v>327</v>
      </c>
      <c r="H13" s="33" t="s">
        <v>2216</v>
      </c>
      <c r="I13" s="23" t="s">
        <v>2217</v>
      </c>
      <c r="J13" s="170"/>
      <c r="K13" s="25"/>
      <c r="L13" s="57"/>
      <c r="M13" s="121"/>
      <c r="N13" s="122"/>
      <c r="O13" s="28" t="s">
        <v>140</v>
      </c>
      <c r="P13" s="25"/>
      <c r="Q13" s="50" t="s">
        <v>282</v>
      </c>
      <c r="R13" s="25" t="s">
        <v>300</v>
      </c>
      <c r="S13" s="50"/>
      <c r="T13" s="65"/>
      <c r="U13" s="65"/>
      <c r="V13" s="65"/>
      <c r="W13" s="65"/>
      <c r="X13" s="65"/>
      <c r="Y13" s="65"/>
      <c r="Z13" s="65"/>
      <c r="AA13" s="65"/>
      <c r="AB13" s="65"/>
      <c r="AC13" s="65"/>
      <c r="AD13" s="65"/>
      <c r="AE13" s="65"/>
      <c r="AF13" s="65"/>
    </row>
    <row r="14" spans="1:32" ht="45">
      <c r="A14" s="344"/>
      <c r="B14" s="344"/>
      <c r="C14" s="34">
        <v>3</v>
      </c>
      <c r="D14" s="344"/>
      <c r="E14" s="33" t="s">
        <v>2219</v>
      </c>
      <c r="F14" s="34" t="s">
        <v>326</v>
      </c>
      <c r="G14" s="34" t="s">
        <v>524</v>
      </c>
      <c r="H14" s="33" t="s">
        <v>2220</v>
      </c>
      <c r="I14" s="23" t="s">
        <v>2217</v>
      </c>
      <c r="J14" s="170"/>
      <c r="K14" s="25"/>
      <c r="L14" s="57"/>
      <c r="M14" s="121"/>
      <c r="N14" s="122"/>
      <c r="O14" s="28" t="s">
        <v>140</v>
      </c>
      <c r="P14" s="25"/>
      <c r="Q14" s="50" t="s">
        <v>282</v>
      </c>
      <c r="R14" s="25" t="s">
        <v>300</v>
      </c>
      <c r="S14" s="50"/>
      <c r="T14" s="65"/>
      <c r="U14" s="65"/>
      <c r="V14" s="65"/>
      <c r="W14" s="65"/>
      <c r="X14" s="65"/>
      <c r="Y14" s="65"/>
      <c r="Z14" s="65"/>
      <c r="AA14" s="65"/>
      <c r="AB14" s="65"/>
      <c r="AC14" s="65"/>
      <c r="AD14" s="65"/>
      <c r="AE14" s="65"/>
      <c r="AF14" s="65"/>
    </row>
    <row r="15" spans="1:32" ht="45">
      <c r="A15" s="344"/>
      <c r="B15" s="344"/>
      <c r="C15" s="34">
        <v>4</v>
      </c>
      <c r="D15" s="344"/>
      <c r="E15" s="33" t="s">
        <v>2221</v>
      </c>
      <c r="F15" s="34" t="s">
        <v>326</v>
      </c>
      <c r="G15" s="34" t="s">
        <v>524</v>
      </c>
      <c r="H15" s="33" t="s">
        <v>2222</v>
      </c>
      <c r="I15" s="23" t="s">
        <v>2223</v>
      </c>
      <c r="J15" s="170"/>
      <c r="K15" s="25"/>
      <c r="L15" s="57"/>
      <c r="M15" s="121"/>
      <c r="N15" s="122"/>
      <c r="O15" s="28" t="s">
        <v>140</v>
      </c>
      <c r="P15" s="25"/>
      <c r="Q15" s="50" t="s">
        <v>282</v>
      </c>
      <c r="R15" s="25" t="s">
        <v>300</v>
      </c>
      <c r="S15" s="50"/>
      <c r="T15" s="65"/>
      <c r="U15" s="65"/>
      <c r="V15" s="65"/>
      <c r="W15" s="65"/>
      <c r="X15" s="65"/>
      <c r="Y15" s="65"/>
      <c r="Z15" s="65"/>
      <c r="AA15" s="65"/>
      <c r="AB15" s="65"/>
      <c r="AC15" s="65"/>
      <c r="AD15" s="65"/>
      <c r="AE15" s="65"/>
      <c r="AF15" s="65"/>
    </row>
    <row r="16" spans="1:32" ht="45">
      <c r="A16" s="345"/>
      <c r="B16" s="345"/>
      <c r="C16" s="34">
        <v>5</v>
      </c>
      <c r="D16" s="345"/>
      <c r="E16" s="33" t="s">
        <v>2224</v>
      </c>
      <c r="F16" s="34" t="s">
        <v>326</v>
      </c>
      <c r="G16" s="34" t="s">
        <v>524</v>
      </c>
      <c r="H16" s="33" t="s">
        <v>2225</v>
      </c>
      <c r="I16" s="23" t="s">
        <v>2226</v>
      </c>
      <c r="J16" s="170"/>
      <c r="K16" s="25"/>
      <c r="L16" s="57"/>
      <c r="M16" s="121"/>
      <c r="N16" s="122"/>
      <c r="O16" s="28" t="s">
        <v>140</v>
      </c>
      <c r="P16" s="25"/>
      <c r="Q16" s="50" t="s">
        <v>282</v>
      </c>
      <c r="R16" s="25" t="s">
        <v>300</v>
      </c>
      <c r="S16" s="50"/>
      <c r="T16" s="65"/>
      <c r="U16" s="65"/>
      <c r="V16" s="65"/>
      <c r="W16" s="65"/>
      <c r="X16" s="65"/>
      <c r="Y16" s="65"/>
      <c r="Z16" s="65"/>
      <c r="AA16" s="65"/>
      <c r="AB16" s="65"/>
      <c r="AC16" s="65"/>
      <c r="AD16" s="65"/>
      <c r="AE16" s="65"/>
      <c r="AF16" s="65"/>
    </row>
    <row r="17" spans="1:32" ht="33" customHeight="1">
      <c r="A17" s="361" t="s">
        <v>2227</v>
      </c>
      <c r="B17" s="354" t="s">
        <v>2228</v>
      </c>
      <c r="C17" s="34">
        <v>1</v>
      </c>
      <c r="D17" s="361" t="s">
        <v>2229</v>
      </c>
      <c r="E17" s="54" t="s">
        <v>2230</v>
      </c>
      <c r="F17" s="34" t="s">
        <v>326</v>
      </c>
      <c r="G17" s="34" t="s">
        <v>327</v>
      </c>
      <c r="H17" s="33" t="s">
        <v>2231</v>
      </c>
      <c r="I17" s="23" t="s">
        <v>2232</v>
      </c>
      <c r="J17" s="170"/>
      <c r="K17" s="25"/>
      <c r="L17" s="57"/>
      <c r="M17" s="121"/>
      <c r="N17" s="122"/>
      <c r="O17" s="28" t="s">
        <v>140</v>
      </c>
      <c r="P17" s="25"/>
      <c r="Q17" s="50" t="s">
        <v>140</v>
      </c>
      <c r="R17" s="25" t="s">
        <v>300</v>
      </c>
      <c r="S17" s="50"/>
      <c r="T17" s="65"/>
      <c r="U17" s="65"/>
      <c r="V17" s="65"/>
      <c r="W17" s="65"/>
      <c r="X17" s="65"/>
      <c r="Y17" s="65"/>
      <c r="Z17" s="65"/>
      <c r="AA17" s="65"/>
      <c r="AB17" s="65"/>
      <c r="AC17" s="65"/>
      <c r="AD17" s="65"/>
      <c r="AE17" s="65"/>
      <c r="AF17" s="65"/>
    </row>
    <row r="18" spans="1:32" ht="90">
      <c r="A18" s="345"/>
      <c r="B18" s="345"/>
      <c r="C18" s="34">
        <v>2</v>
      </c>
      <c r="D18" s="345"/>
      <c r="E18" s="54" t="s">
        <v>2233</v>
      </c>
      <c r="F18" s="34" t="s">
        <v>326</v>
      </c>
      <c r="G18" s="34" t="s">
        <v>2234</v>
      </c>
      <c r="H18" s="33" t="s">
        <v>2235</v>
      </c>
      <c r="I18" s="23" t="s">
        <v>2236</v>
      </c>
      <c r="J18" s="170"/>
      <c r="K18" s="25"/>
      <c r="L18" s="57"/>
      <c r="M18" s="121"/>
      <c r="N18" s="122"/>
      <c r="O18" s="28" t="s">
        <v>140</v>
      </c>
      <c r="P18" s="25"/>
      <c r="Q18" s="50" t="s">
        <v>140</v>
      </c>
      <c r="R18" s="25" t="s">
        <v>300</v>
      </c>
      <c r="S18" s="50"/>
      <c r="T18" s="65"/>
      <c r="U18" s="65"/>
      <c r="V18" s="65"/>
      <c r="W18" s="65"/>
      <c r="X18" s="65"/>
      <c r="Y18" s="65"/>
      <c r="Z18" s="65"/>
      <c r="AA18" s="65"/>
      <c r="AB18" s="65"/>
      <c r="AC18" s="65"/>
      <c r="AD18" s="65"/>
      <c r="AE18" s="65"/>
      <c r="AF18" s="65"/>
    </row>
    <row r="19" spans="1:32" ht="60">
      <c r="A19" s="351" t="s">
        <v>2237</v>
      </c>
      <c r="B19" s="354" t="s">
        <v>2238</v>
      </c>
      <c r="C19" s="34">
        <v>1</v>
      </c>
      <c r="D19" s="351" t="s">
        <v>2237</v>
      </c>
      <c r="E19" s="54" t="s">
        <v>2239</v>
      </c>
      <c r="F19" s="34" t="s">
        <v>326</v>
      </c>
      <c r="G19" s="34" t="s">
        <v>2234</v>
      </c>
      <c r="H19" s="33" t="s">
        <v>2240</v>
      </c>
      <c r="I19" s="23" t="s">
        <v>2241</v>
      </c>
      <c r="J19" s="170"/>
      <c r="K19" s="25"/>
      <c r="L19" s="57"/>
      <c r="M19" s="121"/>
      <c r="N19" s="122"/>
      <c r="O19" s="28"/>
      <c r="P19" s="25"/>
      <c r="Q19" s="50" t="s">
        <v>140</v>
      </c>
      <c r="R19" s="25" t="s">
        <v>300</v>
      </c>
      <c r="S19" s="50"/>
      <c r="T19" s="65"/>
      <c r="U19" s="65"/>
      <c r="V19" s="65"/>
      <c r="W19" s="65"/>
      <c r="X19" s="65"/>
      <c r="Y19" s="65"/>
      <c r="Z19" s="65"/>
      <c r="AA19" s="65"/>
      <c r="AB19" s="65"/>
      <c r="AC19" s="65"/>
      <c r="AD19" s="65"/>
      <c r="AE19" s="65"/>
      <c r="AF19" s="65"/>
    </row>
    <row r="20" spans="1:32" ht="45">
      <c r="A20" s="345"/>
      <c r="B20" s="345"/>
      <c r="C20" s="34">
        <v>2</v>
      </c>
      <c r="D20" s="345"/>
      <c r="E20" s="54" t="s">
        <v>2242</v>
      </c>
      <c r="F20" s="34" t="s">
        <v>326</v>
      </c>
      <c r="G20" s="34" t="s">
        <v>2234</v>
      </c>
      <c r="H20" s="52" t="s">
        <v>2243</v>
      </c>
      <c r="I20" s="125" t="s">
        <v>2241</v>
      </c>
      <c r="J20" s="323"/>
      <c r="K20" s="25"/>
      <c r="L20" s="57"/>
      <c r="M20" s="121"/>
      <c r="N20" s="122"/>
      <c r="O20" s="28"/>
      <c r="P20" s="25"/>
      <c r="Q20" s="50" t="s">
        <v>140</v>
      </c>
      <c r="R20" s="25" t="s">
        <v>300</v>
      </c>
      <c r="S20" s="50"/>
      <c r="T20" s="65"/>
      <c r="U20" s="65"/>
      <c r="V20" s="65"/>
      <c r="W20" s="65"/>
      <c r="X20" s="65"/>
      <c r="Y20" s="65"/>
      <c r="Z20" s="65"/>
      <c r="AA20" s="65"/>
      <c r="AB20" s="65"/>
      <c r="AC20" s="65"/>
      <c r="AD20" s="65"/>
      <c r="AE20" s="65"/>
      <c r="AF20" s="65"/>
    </row>
    <row r="21" spans="1:32" ht="67.5" customHeight="1">
      <c r="A21" s="361" t="s">
        <v>2244</v>
      </c>
      <c r="B21" s="354" t="s">
        <v>2245</v>
      </c>
      <c r="C21" s="34">
        <v>1</v>
      </c>
      <c r="D21" s="361" t="s">
        <v>2246</v>
      </c>
      <c r="E21" s="361" t="s">
        <v>2247</v>
      </c>
      <c r="F21" s="354" t="s">
        <v>326</v>
      </c>
      <c r="G21" s="354" t="s">
        <v>2234</v>
      </c>
      <c r="H21" s="119" t="s">
        <v>2248</v>
      </c>
      <c r="I21" s="23" t="s">
        <v>2249</v>
      </c>
      <c r="J21" s="170"/>
      <c r="K21" s="25"/>
      <c r="L21" s="57"/>
      <c r="M21" s="121"/>
      <c r="N21" s="122"/>
      <c r="O21" s="28"/>
      <c r="P21" s="25"/>
      <c r="Q21" s="50" t="s">
        <v>140</v>
      </c>
      <c r="R21" s="25" t="s">
        <v>300</v>
      </c>
      <c r="S21" s="50"/>
      <c r="T21" s="65"/>
      <c r="U21" s="65"/>
      <c r="V21" s="65"/>
      <c r="W21" s="65"/>
      <c r="X21" s="65"/>
      <c r="Y21" s="65"/>
      <c r="Z21" s="65"/>
      <c r="AA21" s="65"/>
      <c r="AB21" s="65"/>
      <c r="AC21" s="65"/>
      <c r="AD21" s="65"/>
      <c r="AE21" s="65"/>
      <c r="AF21" s="65"/>
    </row>
    <row r="22" spans="1:32" ht="15.75" customHeight="1">
      <c r="A22" s="344"/>
      <c r="B22" s="344"/>
      <c r="C22" s="34">
        <v>2</v>
      </c>
      <c r="D22" s="344"/>
      <c r="E22" s="345"/>
      <c r="F22" s="345"/>
      <c r="G22" s="345"/>
      <c r="H22" s="119" t="s">
        <v>2250</v>
      </c>
      <c r="I22" s="23" t="s">
        <v>2251</v>
      </c>
      <c r="J22" s="170"/>
      <c r="K22" s="25"/>
      <c r="L22" s="57"/>
      <c r="M22" s="121"/>
      <c r="N22" s="122"/>
      <c r="O22" s="28"/>
      <c r="P22" s="25"/>
      <c r="Q22" s="50" t="s">
        <v>140</v>
      </c>
      <c r="R22" s="25" t="s">
        <v>300</v>
      </c>
      <c r="S22" s="50"/>
      <c r="T22" s="65"/>
      <c r="U22" s="65"/>
      <c r="V22" s="65"/>
      <c r="W22" s="65"/>
      <c r="X22" s="65"/>
      <c r="Y22" s="65"/>
      <c r="Z22" s="65"/>
      <c r="AA22" s="65"/>
      <c r="AB22" s="65"/>
      <c r="AC22" s="65"/>
      <c r="AD22" s="65"/>
      <c r="AE22" s="65"/>
      <c r="AF22" s="65"/>
    </row>
    <row r="23" spans="1:32" ht="15.75" customHeight="1">
      <c r="A23" s="344"/>
      <c r="B23" s="344"/>
      <c r="C23" s="34">
        <v>3</v>
      </c>
      <c r="D23" s="344"/>
      <c r="E23" s="42" t="s">
        <v>2252</v>
      </c>
      <c r="F23" s="34" t="s">
        <v>326</v>
      </c>
      <c r="G23" s="34" t="s">
        <v>2234</v>
      </c>
      <c r="H23" s="119" t="s">
        <v>2253</v>
      </c>
      <c r="I23" s="23" t="s">
        <v>2254</v>
      </c>
      <c r="J23" s="170"/>
      <c r="K23" s="25"/>
      <c r="L23" s="57"/>
      <c r="M23" s="121"/>
      <c r="N23" s="122"/>
      <c r="O23" s="28"/>
      <c r="P23" s="25"/>
      <c r="Q23" s="50" t="s">
        <v>140</v>
      </c>
      <c r="R23" s="25" t="s">
        <v>300</v>
      </c>
      <c r="S23" s="50"/>
      <c r="T23" s="65"/>
      <c r="U23" s="65"/>
      <c r="V23" s="65"/>
      <c r="W23" s="65"/>
      <c r="X23" s="65"/>
      <c r="Y23" s="65"/>
      <c r="Z23" s="65"/>
      <c r="AA23" s="65"/>
      <c r="AB23" s="65"/>
      <c r="AC23" s="65"/>
      <c r="AD23" s="65"/>
      <c r="AE23" s="65"/>
      <c r="AF23" s="65"/>
    </row>
    <row r="24" spans="1:32" ht="15.75" customHeight="1">
      <c r="A24" s="344"/>
      <c r="B24" s="344"/>
      <c r="C24" s="34">
        <v>4</v>
      </c>
      <c r="D24" s="344"/>
      <c r="E24" s="42" t="s">
        <v>2255</v>
      </c>
      <c r="F24" s="34" t="s">
        <v>326</v>
      </c>
      <c r="G24" s="34" t="s">
        <v>2234</v>
      </c>
      <c r="H24" s="119" t="s">
        <v>2256</v>
      </c>
      <c r="I24" s="23" t="s">
        <v>2257</v>
      </c>
      <c r="J24" s="170"/>
      <c r="K24" s="25"/>
      <c r="L24" s="57"/>
      <c r="M24" s="121"/>
      <c r="N24" s="122"/>
      <c r="O24" s="28"/>
      <c r="P24" s="25"/>
      <c r="Q24" s="50" t="s">
        <v>140</v>
      </c>
      <c r="R24" s="25" t="s">
        <v>300</v>
      </c>
      <c r="S24" s="50"/>
      <c r="T24" s="65"/>
      <c r="U24" s="65"/>
      <c r="V24" s="65"/>
      <c r="W24" s="65"/>
      <c r="X24" s="65"/>
      <c r="Y24" s="65"/>
      <c r="Z24" s="65"/>
      <c r="AA24" s="65"/>
      <c r="AB24" s="65"/>
      <c r="AC24" s="65"/>
      <c r="AD24" s="65"/>
      <c r="AE24" s="65"/>
      <c r="AF24" s="65"/>
    </row>
    <row r="25" spans="1:32" ht="15.75" customHeight="1">
      <c r="A25" s="344"/>
      <c r="B25" s="344"/>
      <c r="C25" s="34">
        <v>5</v>
      </c>
      <c r="D25" s="344"/>
      <c r="E25" s="42" t="s">
        <v>2258</v>
      </c>
      <c r="F25" s="34" t="s">
        <v>326</v>
      </c>
      <c r="G25" s="34" t="s">
        <v>2234</v>
      </c>
      <c r="H25" s="119" t="s">
        <v>2259</v>
      </c>
      <c r="I25" s="23" t="s">
        <v>2260</v>
      </c>
      <c r="J25" s="170"/>
      <c r="K25" s="25"/>
      <c r="L25" s="57"/>
      <c r="M25" s="121"/>
      <c r="N25" s="122"/>
      <c r="O25" s="28"/>
      <c r="P25" s="25"/>
      <c r="Q25" s="50" t="s">
        <v>140</v>
      </c>
      <c r="R25" s="25" t="s">
        <v>300</v>
      </c>
      <c r="S25" s="50"/>
      <c r="T25" s="65"/>
      <c r="U25" s="65"/>
      <c r="V25" s="65"/>
      <c r="W25" s="65"/>
      <c r="X25" s="65"/>
      <c r="Y25" s="65"/>
      <c r="Z25" s="65"/>
      <c r="AA25" s="65"/>
      <c r="AB25" s="65"/>
      <c r="AC25" s="65"/>
      <c r="AD25" s="65"/>
      <c r="AE25" s="65"/>
      <c r="AF25" s="65"/>
    </row>
    <row r="26" spans="1:32" ht="15.75" customHeight="1">
      <c r="A26" s="345"/>
      <c r="B26" s="345"/>
      <c r="C26" s="34">
        <v>6</v>
      </c>
      <c r="D26" s="345"/>
      <c r="E26" s="42" t="s">
        <v>2261</v>
      </c>
      <c r="F26" s="34" t="s">
        <v>326</v>
      </c>
      <c r="G26" s="34" t="s">
        <v>524</v>
      </c>
      <c r="H26" s="119" t="s">
        <v>2261</v>
      </c>
      <c r="I26" s="23" t="s">
        <v>2262</v>
      </c>
      <c r="J26" s="170"/>
      <c r="K26" s="25"/>
      <c r="L26" s="57"/>
      <c r="M26" s="121"/>
      <c r="N26" s="122"/>
      <c r="O26" s="28"/>
      <c r="P26" s="25"/>
      <c r="Q26" s="50" t="s">
        <v>140</v>
      </c>
      <c r="R26" s="25" t="s">
        <v>300</v>
      </c>
      <c r="S26" s="50"/>
      <c r="T26" s="65"/>
      <c r="U26" s="65"/>
      <c r="V26" s="65"/>
      <c r="W26" s="65"/>
      <c r="X26" s="65"/>
      <c r="Y26" s="65"/>
      <c r="Z26" s="65"/>
      <c r="AA26" s="65"/>
      <c r="AB26" s="65"/>
      <c r="AC26" s="65"/>
      <c r="AD26" s="65"/>
      <c r="AE26" s="65"/>
      <c r="AF26" s="65"/>
    </row>
    <row r="27" spans="1:32" ht="15.75" customHeight="1">
      <c r="A27" s="361" t="s">
        <v>2263</v>
      </c>
      <c r="B27" s="354" t="s">
        <v>170</v>
      </c>
      <c r="C27" s="34">
        <v>1</v>
      </c>
      <c r="D27" s="361" t="s">
        <v>2264</v>
      </c>
      <c r="E27" s="54" t="s">
        <v>2265</v>
      </c>
      <c r="F27" s="34" t="s">
        <v>326</v>
      </c>
      <c r="G27" s="34" t="s">
        <v>327</v>
      </c>
      <c r="H27" s="126" t="s">
        <v>2266</v>
      </c>
      <c r="I27" s="127" t="s">
        <v>2267</v>
      </c>
      <c r="J27" s="428"/>
      <c r="K27" s="25" t="s">
        <v>294</v>
      </c>
      <c r="L27" s="57"/>
      <c r="M27" s="121"/>
      <c r="N27" s="122"/>
      <c r="O27" s="28" t="s">
        <v>140</v>
      </c>
      <c r="P27" s="50" t="s">
        <v>140</v>
      </c>
      <c r="Q27" s="50" t="s">
        <v>140</v>
      </c>
      <c r="R27" s="25" t="s">
        <v>300</v>
      </c>
      <c r="S27" s="50"/>
      <c r="T27" s="65"/>
      <c r="U27" s="65"/>
      <c r="V27" s="65"/>
      <c r="W27" s="65"/>
      <c r="X27" s="65"/>
      <c r="Y27" s="65"/>
      <c r="Z27" s="65"/>
      <c r="AA27" s="65"/>
      <c r="AB27" s="65"/>
      <c r="AC27" s="65"/>
      <c r="AD27" s="65"/>
      <c r="AE27" s="65"/>
      <c r="AF27" s="65"/>
    </row>
    <row r="28" spans="1:32" ht="15.75" customHeight="1">
      <c r="A28" s="344"/>
      <c r="B28" s="344"/>
      <c r="C28" s="34">
        <v>2</v>
      </c>
      <c r="D28" s="344"/>
      <c r="E28" s="33" t="s">
        <v>13</v>
      </c>
      <c r="F28" s="34" t="s">
        <v>326</v>
      </c>
      <c r="G28" s="34" t="s">
        <v>524</v>
      </c>
      <c r="H28" s="33" t="s">
        <v>2268</v>
      </c>
      <c r="I28" s="23" t="s">
        <v>2269</v>
      </c>
      <c r="J28" s="170"/>
      <c r="K28" s="25" t="s">
        <v>294</v>
      </c>
      <c r="L28" s="99"/>
      <c r="M28" s="99"/>
      <c r="N28" s="55"/>
      <c r="O28" s="28"/>
      <c r="P28" s="50" t="s">
        <v>140</v>
      </c>
      <c r="Q28" s="50" t="s">
        <v>140</v>
      </c>
      <c r="R28" s="25" t="s">
        <v>300</v>
      </c>
      <c r="S28" s="50"/>
      <c r="T28" s="65"/>
      <c r="U28" s="65"/>
      <c r="V28" s="65"/>
      <c r="W28" s="65"/>
      <c r="X28" s="65"/>
      <c r="Y28" s="65"/>
      <c r="Z28" s="65"/>
      <c r="AA28" s="65"/>
      <c r="AB28" s="65"/>
      <c r="AC28" s="65"/>
      <c r="AD28" s="65"/>
      <c r="AE28" s="65"/>
      <c r="AF28" s="65"/>
    </row>
    <row r="29" spans="1:32" ht="39" customHeight="1">
      <c r="A29" s="344"/>
      <c r="B29" s="344"/>
      <c r="C29" s="34">
        <v>3</v>
      </c>
      <c r="D29" s="344"/>
      <c r="E29" s="33" t="s">
        <v>14</v>
      </c>
      <c r="F29" s="34" t="s">
        <v>326</v>
      </c>
      <c r="G29" s="34" t="s">
        <v>524</v>
      </c>
      <c r="H29" s="33" t="s">
        <v>2270</v>
      </c>
      <c r="I29" s="23" t="s">
        <v>2271</v>
      </c>
      <c r="J29" s="170"/>
      <c r="K29" s="25" t="s">
        <v>294</v>
      </c>
      <c r="L29" s="99"/>
      <c r="M29" s="99"/>
      <c r="N29" s="55"/>
      <c r="O29" s="25"/>
      <c r="P29" s="50" t="s">
        <v>140</v>
      </c>
      <c r="Q29" s="50" t="s">
        <v>140</v>
      </c>
      <c r="R29" s="25" t="s">
        <v>300</v>
      </c>
      <c r="S29" s="50"/>
      <c r="T29" s="65"/>
      <c r="U29" s="65"/>
      <c r="V29" s="65"/>
      <c r="W29" s="65"/>
      <c r="X29" s="65"/>
      <c r="Y29" s="65"/>
      <c r="Z29" s="65"/>
      <c r="AA29" s="65"/>
      <c r="AB29" s="65"/>
      <c r="AC29" s="65"/>
      <c r="AD29" s="65"/>
      <c r="AE29" s="65"/>
      <c r="AF29" s="65"/>
    </row>
    <row r="30" spans="1:32" ht="39" customHeight="1">
      <c r="A30" s="344"/>
      <c r="B30" s="344"/>
      <c r="C30" s="34">
        <v>4</v>
      </c>
      <c r="D30" s="344"/>
      <c r="E30" s="33" t="s">
        <v>15</v>
      </c>
      <c r="F30" s="34" t="s">
        <v>326</v>
      </c>
      <c r="G30" s="34" t="s">
        <v>524</v>
      </c>
      <c r="H30" s="33" t="s">
        <v>2272</v>
      </c>
      <c r="I30" s="23" t="s">
        <v>2271</v>
      </c>
      <c r="J30" s="170"/>
      <c r="K30" s="25" t="s">
        <v>294</v>
      </c>
      <c r="L30" s="99"/>
      <c r="M30" s="99"/>
      <c r="N30" s="55"/>
      <c r="O30" s="25"/>
      <c r="P30" s="50" t="s">
        <v>140</v>
      </c>
      <c r="Q30" s="50" t="s">
        <v>140</v>
      </c>
      <c r="R30" s="25" t="s">
        <v>300</v>
      </c>
      <c r="S30" s="50"/>
      <c r="T30" s="65"/>
      <c r="U30" s="65"/>
      <c r="V30" s="65"/>
      <c r="W30" s="65"/>
      <c r="X30" s="65"/>
      <c r="Y30" s="65"/>
      <c r="Z30" s="65"/>
      <c r="AA30" s="65"/>
      <c r="AB30" s="65"/>
      <c r="AC30" s="65"/>
      <c r="AD30" s="65"/>
      <c r="AE30" s="65"/>
      <c r="AF30" s="65"/>
    </row>
    <row r="31" spans="1:32" ht="39" customHeight="1">
      <c r="A31" s="344"/>
      <c r="B31" s="344"/>
      <c r="C31" s="34">
        <v>5</v>
      </c>
      <c r="D31" s="344"/>
      <c r="E31" s="33" t="s">
        <v>16</v>
      </c>
      <c r="F31" s="34" t="s">
        <v>326</v>
      </c>
      <c r="G31" s="34" t="s">
        <v>524</v>
      </c>
      <c r="H31" s="33" t="s">
        <v>2273</v>
      </c>
      <c r="I31" s="23" t="s">
        <v>2271</v>
      </c>
      <c r="J31" s="170"/>
      <c r="K31" s="25" t="s">
        <v>294</v>
      </c>
      <c r="L31" s="99"/>
      <c r="M31" s="99"/>
      <c r="N31" s="55"/>
      <c r="O31" s="25"/>
      <c r="P31" s="50" t="s">
        <v>140</v>
      </c>
      <c r="Q31" s="50" t="s">
        <v>140</v>
      </c>
      <c r="R31" s="25" t="s">
        <v>300</v>
      </c>
      <c r="S31" s="50"/>
      <c r="T31" s="65"/>
      <c r="U31" s="65"/>
      <c r="V31" s="65"/>
      <c r="W31" s="65"/>
      <c r="X31" s="65"/>
      <c r="Y31" s="65"/>
      <c r="Z31" s="65"/>
      <c r="AA31" s="65"/>
      <c r="AB31" s="65"/>
      <c r="AC31" s="65"/>
      <c r="AD31" s="65"/>
      <c r="AE31" s="65"/>
      <c r="AF31" s="65"/>
    </row>
    <row r="32" spans="1:32" ht="15.75" customHeight="1">
      <c r="A32" s="344"/>
      <c r="B32" s="344"/>
      <c r="C32" s="34">
        <v>6</v>
      </c>
      <c r="D32" s="344"/>
      <c r="E32" s="33" t="s">
        <v>2274</v>
      </c>
      <c r="F32" s="34" t="s">
        <v>326</v>
      </c>
      <c r="G32" s="34" t="s">
        <v>524</v>
      </c>
      <c r="H32" s="33" t="s">
        <v>2274</v>
      </c>
      <c r="I32" s="23" t="s">
        <v>2269</v>
      </c>
      <c r="J32" s="170"/>
      <c r="K32" s="25" t="s">
        <v>294</v>
      </c>
      <c r="L32" s="99"/>
      <c r="M32" s="128"/>
      <c r="N32" s="55"/>
      <c r="O32" s="25"/>
      <c r="P32" s="50" t="s">
        <v>140</v>
      </c>
      <c r="Q32" s="50" t="s">
        <v>140</v>
      </c>
      <c r="R32" s="25" t="s">
        <v>300</v>
      </c>
      <c r="S32" s="50"/>
      <c r="T32" s="65"/>
      <c r="U32" s="65"/>
      <c r="V32" s="65"/>
      <c r="W32" s="65"/>
      <c r="X32" s="65"/>
      <c r="Y32" s="65"/>
      <c r="Z32" s="65"/>
      <c r="AA32" s="65"/>
      <c r="AB32" s="65"/>
      <c r="AC32" s="65"/>
      <c r="AD32" s="65"/>
      <c r="AE32" s="65"/>
      <c r="AF32" s="65"/>
    </row>
    <row r="33" spans="1:32" ht="39" customHeight="1">
      <c r="A33" s="344"/>
      <c r="B33" s="344"/>
      <c r="C33" s="34">
        <v>7</v>
      </c>
      <c r="D33" s="344"/>
      <c r="E33" s="33" t="s">
        <v>22</v>
      </c>
      <c r="F33" s="34" t="s">
        <v>326</v>
      </c>
      <c r="G33" s="34" t="s">
        <v>524</v>
      </c>
      <c r="H33" s="33" t="s">
        <v>2275</v>
      </c>
      <c r="I33" s="23" t="s">
        <v>2271</v>
      </c>
      <c r="J33" s="170"/>
      <c r="K33" s="25" t="s">
        <v>294</v>
      </c>
      <c r="L33" s="99"/>
      <c r="M33" s="128"/>
      <c r="N33" s="55"/>
      <c r="O33" s="25"/>
      <c r="P33" s="50" t="s">
        <v>140</v>
      </c>
      <c r="Q33" s="50" t="s">
        <v>140</v>
      </c>
      <c r="R33" s="25" t="s">
        <v>300</v>
      </c>
      <c r="S33" s="50"/>
      <c r="T33" s="65"/>
      <c r="U33" s="65"/>
      <c r="V33" s="65"/>
      <c r="W33" s="65"/>
      <c r="X33" s="65"/>
      <c r="Y33" s="65"/>
      <c r="Z33" s="65"/>
      <c r="AA33" s="65"/>
      <c r="AB33" s="65"/>
      <c r="AC33" s="65"/>
      <c r="AD33" s="65"/>
      <c r="AE33" s="65"/>
      <c r="AF33" s="65"/>
    </row>
    <row r="34" spans="1:32" ht="39" customHeight="1">
      <c r="A34" s="344"/>
      <c r="B34" s="344"/>
      <c r="C34" s="34">
        <v>8</v>
      </c>
      <c r="D34" s="344"/>
      <c r="E34" s="33" t="s">
        <v>23</v>
      </c>
      <c r="F34" s="34" t="s">
        <v>326</v>
      </c>
      <c r="G34" s="34" t="s">
        <v>524</v>
      </c>
      <c r="H34" s="33" t="s">
        <v>2276</v>
      </c>
      <c r="I34" s="23" t="s">
        <v>2271</v>
      </c>
      <c r="J34" s="170"/>
      <c r="K34" s="25" t="s">
        <v>294</v>
      </c>
      <c r="L34" s="99"/>
      <c r="M34" s="128"/>
      <c r="N34" s="55"/>
      <c r="O34" s="25"/>
      <c r="P34" s="50" t="s">
        <v>140</v>
      </c>
      <c r="Q34" s="50" t="s">
        <v>140</v>
      </c>
      <c r="R34" s="25" t="s">
        <v>300</v>
      </c>
      <c r="S34" s="50"/>
      <c r="T34" s="65"/>
      <c r="U34" s="65"/>
      <c r="V34" s="65"/>
      <c r="W34" s="65"/>
      <c r="X34" s="65"/>
      <c r="Y34" s="65"/>
      <c r="Z34" s="65"/>
      <c r="AA34" s="65"/>
      <c r="AB34" s="65"/>
      <c r="AC34" s="65"/>
      <c r="AD34" s="65"/>
      <c r="AE34" s="65"/>
      <c r="AF34" s="65"/>
    </row>
    <row r="35" spans="1:32" ht="15.75" customHeight="1">
      <c r="A35" s="344"/>
      <c r="B35" s="344"/>
      <c r="C35" s="34">
        <v>9</v>
      </c>
      <c r="D35" s="344"/>
      <c r="E35" s="54" t="s">
        <v>2277</v>
      </c>
      <c r="F35" s="34" t="s">
        <v>326</v>
      </c>
      <c r="G35" s="34" t="s">
        <v>327</v>
      </c>
      <c r="H35" s="126" t="s">
        <v>2278</v>
      </c>
      <c r="I35" s="127" t="s">
        <v>2279</v>
      </c>
      <c r="J35" s="428"/>
      <c r="K35" s="25" t="s">
        <v>294</v>
      </c>
      <c r="L35" s="57"/>
      <c r="M35" s="121"/>
      <c r="N35" s="122"/>
      <c r="O35" s="28" t="s">
        <v>140</v>
      </c>
      <c r="P35" s="50" t="s">
        <v>140</v>
      </c>
      <c r="Q35" s="50" t="s">
        <v>140</v>
      </c>
      <c r="R35" s="25" t="s">
        <v>300</v>
      </c>
      <c r="S35" s="50"/>
      <c r="T35" s="65"/>
      <c r="U35" s="65"/>
      <c r="V35" s="65"/>
      <c r="W35" s="65"/>
      <c r="X35" s="65"/>
      <c r="Y35" s="65"/>
      <c r="Z35" s="65"/>
      <c r="AA35" s="65"/>
      <c r="AB35" s="65"/>
      <c r="AC35" s="65"/>
      <c r="AD35" s="65"/>
      <c r="AE35" s="65"/>
      <c r="AF35" s="65"/>
    </row>
    <row r="36" spans="1:32" ht="15.75" customHeight="1">
      <c r="A36" s="344"/>
      <c r="B36" s="344"/>
      <c r="C36" s="34">
        <v>10</v>
      </c>
      <c r="D36" s="344"/>
      <c r="E36" s="54" t="s">
        <v>2280</v>
      </c>
      <c r="F36" s="34" t="s">
        <v>326</v>
      </c>
      <c r="G36" s="34" t="s">
        <v>327</v>
      </c>
      <c r="H36" s="126" t="s">
        <v>2281</v>
      </c>
      <c r="I36" s="127" t="s">
        <v>2282</v>
      </c>
      <c r="J36" s="428"/>
      <c r="K36" s="25" t="s">
        <v>294</v>
      </c>
      <c r="L36" s="57"/>
      <c r="M36" s="121"/>
      <c r="N36" s="122"/>
      <c r="O36" s="28" t="s">
        <v>140</v>
      </c>
      <c r="P36" s="50" t="s">
        <v>140</v>
      </c>
      <c r="Q36" s="50" t="s">
        <v>140</v>
      </c>
      <c r="R36" s="25" t="s">
        <v>300</v>
      </c>
      <c r="S36" s="50"/>
      <c r="T36" s="65"/>
      <c r="U36" s="65"/>
      <c r="V36" s="65"/>
      <c r="W36" s="65"/>
      <c r="X36" s="65"/>
      <c r="Y36" s="65"/>
      <c r="Z36" s="65"/>
      <c r="AA36" s="65"/>
      <c r="AB36" s="65"/>
      <c r="AC36" s="65"/>
      <c r="AD36" s="65"/>
      <c r="AE36" s="65"/>
      <c r="AF36" s="65"/>
    </row>
    <row r="37" spans="1:32" ht="15.75" customHeight="1">
      <c r="A37" s="345"/>
      <c r="B37" s="344"/>
      <c r="C37" s="34">
        <v>11</v>
      </c>
      <c r="D37" s="344"/>
      <c r="E37" s="54" t="s">
        <v>2283</v>
      </c>
      <c r="F37" s="34" t="s">
        <v>326</v>
      </c>
      <c r="G37" s="34" t="s">
        <v>524</v>
      </c>
      <c r="H37" s="126" t="s">
        <v>2284</v>
      </c>
      <c r="I37" s="127" t="s">
        <v>2285</v>
      </c>
      <c r="J37" s="428"/>
      <c r="K37" s="25" t="s">
        <v>294</v>
      </c>
      <c r="L37" s="57"/>
      <c r="M37" s="121"/>
      <c r="N37" s="122"/>
      <c r="O37" s="28" t="s">
        <v>140</v>
      </c>
      <c r="P37" s="50" t="s">
        <v>140</v>
      </c>
      <c r="Q37" s="50" t="s">
        <v>140</v>
      </c>
      <c r="R37" s="25" t="s">
        <v>300</v>
      </c>
      <c r="S37" s="50"/>
      <c r="T37" s="65"/>
      <c r="U37" s="65"/>
      <c r="V37" s="65"/>
      <c r="W37" s="65"/>
      <c r="X37" s="65"/>
      <c r="Y37" s="65"/>
      <c r="Z37" s="65"/>
      <c r="AA37" s="65"/>
      <c r="AB37" s="65"/>
      <c r="AC37" s="65"/>
      <c r="AD37" s="65"/>
      <c r="AE37" s="65"/>
      <c r="AF37" s="65"/>
    </row>
    <row r="38" spans="1:32" ht="15.75" customHeight="1">
      <c r="A38" s="59" t="s">
        <v>2286</v>
      </c>
      <c r="B38" s="344"/>
      <c r="C38" s="34">
        <v>12</v>
      </c>
      <c r="D38" s="344"/>
      <c r="E38" s="54" t="s">
        <v>2287</v>
      </c>
      <c r="F38" s="34" t="s">
        <v>326</v>
      </c>
      <c r="G38" s="34" t="s">
        <v>327</v>
      </c>
      <c r="H38" s="126" t="s">
        <v>2288</v>
      </c>
      <c r="I38" s="127" t="s">
        <v>2289</v>
      </c>
      <c r="J38" s="428"/>
      <c r="K38" s="25" t="s">
        <v>294</v>
      </c>
      <c r="L38" s="57"/>
      <c r="M38" s="129" t="s">
        <v>2290</v>
      </c>
      <c r="N38" s="122"/>
      <c r="O38" s="28"/>
      <c r="P38" s="50" t="s">
        <v>140</v>
      </c>
      <c r="Q38" s="50" t="s">
        <v>140</v>
      </c>
      <c r="R38" s="25" t="s">
        <v>300</v>
      </c>
      <c r="S38" s="50" t="s">
        <v>140</v>
      </c>
      <c r="T38" s="65"/>
      <c r="U38" s="65"/>
      <c r="V38" s="65"/>
      <c r="W38" s="65"/>
      <c r="X38" s="65"/>
      <c r="Y38" s="65"/>
      <c r="Z38" s="65"/>
      <c r="AA38" s="65"/>
      <c r="AB38" s="65"/>
      <c r="AC38" s="65"/>
      <c r="AD38" s="65"/>
      <c r="AE38" s="65"/>
      <c r="AF38" s="65"/>
    </row>
    <row r="39" spans="1:32" ht="15.75" customHeight="1">
      <c r="A39" s="351" t="s">
        <v>2291</v>
      </c>
      <c r="B39" s="344"/>
      <c r="C39" s="34">
        <v>13</v>
      </c>
      <c r="D39" s="344"/>
      <c r="E39" s="54" t="s">
        <v>2292</v>
      </c>
      <c r="F39" s="34" t="s">
        <v>326</v>
      </c>
      <c r="G39" s="34" t="s">
        <v>327</v>
      </c>
      <c r="H39" s="126" t="s">
        <v>2293</v>
      </c>
      <c r="I39" s="127" t="s">
        <v>2294</v>
      </c>
      <c r="J39" s="428"/>
      <c r="K39" s="25" t="s">
        <v>294</v>
      </c>
      <c r="L39" s="57"/>
      <c r="M39" s="130"/>
      <c r="N39" s="122"/>
      <c r="O39" s="28"/>
      <c r="P39" s="50" t="s">
        <v>140</v>
      </c>
      <c r="Q39" s="50" t="s">
        <v>140</v>
      </c>
      <c r="R39" s="25" t="s">
        <v>300</v>
      </c>
      <c r="S39" s="50"/>
      <c r="T39" s="65"/>
      <c r="U39" s="65"/>
      <c r="V39" s="65"/>
      <c r="W39" s="65"/>
      <c r="X39" s="65"/>
      <c r="Y39" s="65"/>
      <c r="Z39" s="65"/>
      <c r="AA39" s="65"/>
      <c r="AB39" s="65"/>
      <c r="AC39" s="65"/>
      <c r="AD39" s="65"/>
      <c r="AE39" s="65"/>
      <c r="AF39" s="65"/>
    </row>
    <row r="40" spans="1:32" ht="26.25" customHeight="1">
      <c r="A40" s="345"/>
      <c r="B40" s="345"/>
      <c r="C40" s="34">
        <v>14</v>
      </c>
      <c r="D40" s="345"/>
      <c r="E40" s="54" t="s">
        <v>2295</v>
      </c>
      <c r="F40" s="34" t="s">
        <v>326</v>
      </c>
      <c r="G40" s="34" t="s">
        <v>327</v>
      </c>
      <c r="H40" s="126" t="s">
        <v>2296</v>
      </c>
      <c r="I40" s="127" t="s">
        <v>2297</v>
      </c>
      <c r="J40" s="428"/>
      <c r="K40" s="25" t="s">
        <v>294</v>
      </c>
      <c r="L40" s="57"/>
      <c r="M40" s="130"/>
      <c r="N40" s="122"/>
      <c r="O40" s="28"/>
      <c r="P40" s="50" t="s">
        <v>140</v>
      </c>
      <c r="Q40" s="50" t="s">
        <v>140</v>
      </c>
      <c r="R40" s="25" t="s">
        <v>300</v>
      </c>
      <c r="S40" s="50"/>
      <c r="T40" s="65"/>
      <c r="U40" s="65"/>
      <c r="V40" s="65"/>
      <c r="W40" s="65"/>
      <c r="X40" s="65"/>
      <c r="Y40" s="65"/>
      <c r="Z40" s="65"/>
      <c r="AA40" s="65"/>
      <c r="AB40" s="65"/>
      <c r="AC40" s="65"/>
      <c r="AD40" s="65"/>
      <c r="AE40" s="65"/>
      <c r="AF40" s="65"/>
    </row>
    <row r="41" spans="1:32" ht="15.75" customHeight="1">
      <c r="A41" s="351" t="s">
        <v>2298</v>
      </c>
      <c r="B41" s="354" t="s">
        <v>2299</v>
      </c>
      <c r="C41" s="34">
        <v>1</v>
      </c>
      <c r="D41" s="351" t="s">
        <v>2298</v>
      </c>
      <c r="E41" s="54" t="s">
        <v>2300</v>
      </c>
      <c r="F41" s="34" t="s">
        <v>326</v>
      </c>
      <c r="G41" s="34" t="s">
        <v>327</v>
      </c>
      <c r="H41" s="119" t="s">
        <v>2301</v>
      </c>
      <c r="I41" s="23" t="s">
        <v>2302</v>
      </c>
      <c r="J41" s="170"/>
      <c r="K41" s="25"/>
      <c r="L41" s="57"/>
      <c r="M41" s="131"/>
      <c r="N41" s="122"/>
      <c r="O41" s="28"/>
      <c r="P41" s="25"/>
      <c r="Q41" s="50" t="s">
        <v>140</v>
      </c>
      <c r="R41" s="25" t="s">
        <v>300</v>
      </c>
      <c r="S41" s="50"/>
      <c r="T41" s="65"/>
      <c r="U41" s="65"/>
      <c r="V41" s="65"/>
      <c r="W41" s="65"/>
      <c r="X41" s="65"/>
      <c r="Y41" s="65"/>
      <c r="Z41" s="65"/>
      <c r="AA41" s="65"/>
      <c r="AB41" s="65"/>
      <c r="AC41" s="65"/>
      <c r="AD41" s="65"/>
      <c r="AE41" s="65"/>
      <c r="AF41" s="65"/>
    </row>
    <row r="42" spans="1:32" ht="15.75" customHeight="1">
      <c r="A42" s="345"/>
      <c r="B42" s="345"/>
      <c r="C42" s="34">
        <v>2</v>
      </c>
      <c r="D42" s="345"/>
      <c r="E42" s="54" t="s">
        <v>2303</v>
      </c>
      <c r="F42" s="34" t="s">
        <v>326</v>
      </c>
      <c r="G42" s="34" t="s">
        <v>327</v>
      </c>
      <c r="H42" s="119" t="s">
        <v>2304</v>
      </c>
      <c r="I42" s="23" t="s">
        <v>2305</v>
      </c>
      <c r="J42" s="170"/>
      <c r="K42" s="25"/>
      <c r="L42" s="57"/>
      <c r="M42" s="130"/>
      <c r="N42" s="122"/>
      <c r="O42" s="28"/>
      <c r="P42" s="25"/>
      <c r="Q42" s="50" t="s">
        <v>140</v>
      </c>
      <c r="R42" s="25" t="s">
        <v>300</v>
      </c>
      <c r="S42" s="50"/>
      <c r="T42" s="65"/>
      <c r="U42" s="65"/>
      <c r="V42" s="65"/>
      <c r="W42" s="65"/>
      <c r="X42" s="65"/>
      <c r="Y42" s="65"/>
      <c r="Z42" s="65"/>
      <c r="AA42" s="65"/>
      <c r="AB42" s="65"/>
      <c r="AC42" s="65"/>
      <c r="AD42" s="65"/>
      <c r="AE42" s="65"/>
      <c r="AF42" s="65"/>
    </row>
    <row r="43" spans="1:32" ht="66.75" customHeight="1">
      <c r="A43" s="361" t="s">
        <v>2306</v>
      </c>
      <c r="B43" s="354" t="s">
        <v>2307</v>
      </c>
      <c r="C43" s="34">
        <v>1</v>
      </c>
      <c r="D43" s="361" t="s">
        <v>2308</v>
      </c>
      <c r="E43" s="361" t="s">
        <v>2309</v>
      </c>
      <c r="F43" s="34" t="s">
        <v>326</v>
      </c>
      <c r="G43" s="34" t="s">
        <v>2234</v>
      </c>
      <c r="H43" s="33" t="s">
        <v>2310</v>
      </c>
      <c r="I43" s="23" t="s">
        <v>2311</v>
      </c>
      <c r="J43" s="170"/>
      <c r="K43" s="25" t="s">
        <v>294</v>
      </c>
      <c r="L43" s="57"/>
      <c r="M43" s="43"/>
      <c r="N43" s="55"/>
      <c r="O43" s="28" t="s">
        <v>140</v>
      </c>
      <c r="P43" s="50" t="s">
        <v>140</v>
      </c>
      <c r="Q43" s="50" t="s">
        <v>140</v>
      </c>
      <c r="R43" s="25" t="s">
        <v>300</v>
      </c>
      <c r="S43" s="50"/>
      <c r="T43" s="65"/>
      <c r="U43" s="65"/>
      <c r="V43" s="65"/>
      <c r="W43" s="65"/>
      <c r="X43" s="65"/>
      <c r="Y43" s="65"/>
      <c r="Z43" s="65"/>
      <c r="AA43" s="65"/>
      <c r="AB43" s="65"/>
      <c r="AC43" s="65"/>
      <c r="AD43" s="65"/>
      <c r="AE43" s="65"/>
      <c r="AF43" s="65"/>
    </row>
    <row r="44" spans="1:32" ht="15.75" customHeight="1">
      <c r="A44" s="344"/>
      <c r="B44" s="344"/>
      <c r="C44" s="34">
        <v>2</v>
      </c>
      <c r="D44" s="344"/>
      <c r="E44" s="344"/>
      <c r="F44" s="34" t="s">
        <v>326</v>
      </c>
      <c r="G44" s="34" t="s">
        <v>2234</v>
      </c>
      <c r="H44" s="33" t="s">
        <v>2312</v>
      </c>
      <c r="I44" s="23" t="s">
        <v>2313</v>
      </c>
      <c r="J44" s="170"/>
      <c r="K44" s="25" t="s">
        <v>294</v>
      </c>
      <c r="L44" s="57"/>
      <c r="M44" s="43"/>
      <c r="N44" s="55"/>
      <c r="O44" s="28" t="s">
        <v>140</v>
      </c>
      <c r="P44" s="50" t="s">
        <v>140</v>
      </c>
      <c r="Q44" s="50" t="s">
        <v>140</v>
      </c>
      <c r="R44" s="25" t="s">
        <v>300</v>
      </c>
      <c r="S44" s="50"/>
      <c r="T44" s="65"/>
      <c r="U44" s="65"/>
      <c r="V44" s="65"/>
      <c r="W44" s="65"/>
      <c r="X44" s="65"/>
      <c r="Y44" s="65"/>
      <c r="Z44" s="65"/>
      <c r="AA44" s="65"/>
      <c r="AB44" s="65"/>
      <c r="AC44" s="65"/>
      <c r="AD44" s="65"/>
      <c r="AE44" s="65"/>
      <c r="AF44" s="65"/>
    </row>
    <row r="45" spans="1:32" ht="15.75" customHeight="1">
      <c r="A45" s="344"/>
      <c r="B45" s="344"/>
      <c r="C45" s="34">
        <v>3</v>
      </c>
      <c r="D45" s="344"/>
      <c r="E45" s="344"/>
      <c r="F45" s="34" t="s">
        <v>326</v>
      </c>
      <c r="G45" s="34" t="s">
        <v>2234</v>
      </c>
      <c r="H45" s="33" t="s">
        <v>2314</v>
      </c>
      <c r="I45" s="23" t="s">
        <v>2315</v>
      </c>
      <c r="J45" s="170"/>
      <c r="K45" s="25" t="s">
        <v>294</v>
      </c>
      <c r="L45" s="57"/>
      <c r="M45" s="43"/>
      <c r="N45" s="55"/>
      <c r="O45" s="28" t="s">
        <v>140</v>
      </c>
      <c r="P45" s="50" t="s">
        <v>140</v>
      </c>
      <c r="Q45" s="50" t="s">
        <v>140</v>
      </c>
      <c r="R45" s="25" t="s">
        <v>300</v>
      </c>
      <c r="S45" s="50"/>
      <c r="T45" s="65"/>
      <c r="U45" s="65"/>
      <c r="V45" s="65"/>
      <c r="W45" s="65"/>
      <c r="X45" s="65"/>
      <c r="Y45" s="65"/>
      <c r="Z45" s="65"/>
      <c r="AA45" s="65"/>
      <c r="AB45" s="65"/>
      <c r="AC45" s="65"/>
      <c r="AD45" s="65"/>
      <c r="AE45" s="65"/>
      <c r="AF45" s="65"/>
    </row>
    <row r="46" spans="1:32" ht="15.75" customHeight="1">
      <c r="A46" s="344"/>
      <c r="B46" s="344"/>
      <c r="C46" s="34">
        <v>4</v>
      </c>
      <c r="D46" s="344"/>
      <c r="E46" s="345"/>
      <c r="F46" s="34" t="s">
        <v>326</v>
      </c>
      <c r="G46" s="34" t="s">
        <v>2234</v>
      </c>
      <c r="H46" s="33" t="s">
        <v>2316</v>
      </c>
      <c r="I46" s="23" t="s">
        <v>2315</v>
      </c>
      <c r="J46" s="170"/>
      <c r="K46" s="25" t="s">
        <v>294</v>
      </c>
      <c r="L46" s="57"/>
      <c r="M46" s="43"/>
      <c r="N46" s="55"/>
      <c r="O46" s="28" t="s">
        <v>140</v>
      </c>
      <c r="P46" s="50" t="s">
        <v>140</v>
      </c>
      <c r="Q46" s="50" t="s">
        <v>140</v>
      </c>
      <c r="R46" s="25" t="s">
        <v>300</v>
      </c>
      <c r="S46" s="50"/>
      <c r="T46" s="65"/>
      <c r="U46" s="65"/>
      <c r="V46" s="65"/>
      <c r="W46" s="65"/>
      <c r="X46" s="65"/>
      <c r="Y46" s="65"/>
      <c r="Z46" s="65"/>
      <c r="AA46" s="65"/>
      <c r="AB46" s="65"/>
      <c r="AC46" s="65"/>
      <c r="AD46" s="65"/>
      <c r="AE46" s="65"/>
      <c r="AF46" s="65"/>
    </row>
    <row r="47" spans="1:32" ht="15.75" customHeight="1">
      <c r="A47" s="344"/>
      <c r="B47" s="344"/>
      <c r="C47" s="34">
        <v>5</v>
      </c>
      <c r="D47" s="344"/>
      <c r="E47" s="54" t="s">
        <v>2317</v>
      </c>
      <c r="F47" s="34" t="s">
        <v>326</v>
      </c>
      <c r="G47" s="34" t="s">
        <v>2234</v>
      </c>
      <c r="H47" s="33" t="s">
        <v>2318</v>
      </c>
      <c r="I47" s="23" t="s">
        <v>2319</v>
      </c>
      <c r="J47" s="170"/>
      <c r="K47" s="25"/>
      <c r="L47" s="57"/>
      <c r="M47" s="43"/>
      <c r="N47" s="55"/>
      <c r="O47" s="28"/>
      <c r="P47" s="25"/>
      <c r="Q47" s="50" t="s">
        <v>140</v>
      </c>
      <c r="R47" s="25" t="s">
        <v>300</v>
      </c>
      <c r="S47" s="50"/>
      <c r="T47" s="65"/>
      <c r="U47" s="65"/>
      <c r="V47" s="65"/>
      <c r="W47" s="65"/>
      <c r="X47" s="65"/>
      <c r="Y47" s="65"/>
      <c r="Z47" s="65"/>
      <c r="AA47" s="65"/>
      <c r="AB47" s="65"/>
      <c r="AC47" s="65"/>
      <c r="AD47" s="65"/>
      <c r="AE47" s="65"/>
      <c r="AF47" s="65"/>
    </row>
    <row r="48" spans="1:32" ht="15.75" customHeight="1">
      <c r="A48" s="344"/>
      <c r="B48" s="344"/>
      <c r="C48" s="34">
        <v>6</v>
      </c>
      <c r="D48" s="344"/>
      <c r="E48" s="361" t="s">
        <v>2320</v>
      </c>
      <c r="F48" s="34" t="s">
        <v>326</v>
      </c>
      <c r="G48" s="34" t="s">
        <v>2234</v>
      </c>
      <c r="H48" s="33" t="s">
        <v>2321</v>
      </c>
      <c r="I48" s="23" t="s">
        <v>2322</v>
      </c>
      <c r="J48" s="170"/>
      <c r="K48" s="25"/>
      <c r="L48" s="57"/>
      <c r="M48" s="43"/>
      <c r="N48" s="55"/>
      <c r="O48" s="28"/>
      <c r="P48" s="25"/>
      <c r="Q48" s="50" t="s">
        <v>140</v>
      </c>
      <c r="R48" s="25" t="s">
        <v>300</v>
      </c>
      <c r="S48" s="50"/>
      <c r="T48" s="65"/>
      <c r="U48" s="65"/>
      <c r="V48" s="65"/>
      <c r="W48" s="65"/>
      <c r="X48" s="65"/>
      <c r="Y48" s="65"/>
      <c r="Z48" s="65"/>
      <c r="AA48" s="65"/>
      <c r="AB48" s="65"/>
      <c r="AC48" s="65"/>
      <c r="AD48" s="65"/>
      <c r="AE48" s="65"/>
      <c r="AF48" s="65"/>
    </row>
    <row r="49" spans="1:32" ht="128.25" customHeight="1">
      <c r="A49" s="344"/>
      <c r="B49" s="344"/>
      <c r="C49" s="34">
        <v>7</v>
      </c>
      <c r="D49" s="344"/>
      <c r="E49" s="345"/>
      <c r="F49" s="34" t="s">
        <v>326</v>
      </c>
      <c r="G49" s="34" t="s">
        <v>2234</v>
      </c>
      <c r="H49" s="33" t="s">
        <v>2323</v>
      </c>
      <c r="I49" s="23" t="s">
        <v>2322</v>
      </c>
      <c r="J49" s="170"/>
      <c r="K49" s="25"/>
      <c r="L49" s="57"/>
      <c r="M49" s="43"/>
      <c r="N49" s="55"/>
      <c r="O49" s="28"/>
      <c r="P49" s="25"/>
      <c r="Q49" s="50" t="s">
        <v>140</v>
      </c>
      <c r="R49" s="25" t="s">
        <v>300</v>
      </c>
      <c r="S49" s="50"/>
      <c r="T49" s="65"/>
      <c r="U49" s="65"/>
      <c r="V49" s="65"/>
      <c r="W49" s="65"/>
      <c r="X49" s="65"/>
      <c r="Y49" s="65"/>
      <c r="Z49" s="65"/>
      <c r="AA49" s="65"/>
      <c r="AB49" s="65"/>
      <c r="AC49" s="65"/>
      <c r="AD49" s="65"/>
      <c r="AE49" s="65"/>
      <c r="AF49" s="65"/>
    </row>
    <row r="50" spans="1:32" ht="15.75" customHeight="1">
      <c r="A50" s="344"/>
      <c r="B50" s="344"/>
      <c r="C50" s="34">
        <v>8</v>
      </c>
      <c r="D50" s="344"/>
      <c r="E50" s="361" t="s">
        <v>2324</v>
      </c>
      <c r="F50" s="34" t="s">
        <v>326</v>
      </c>
      <c r="G50" s="34" t="s">
        <v>349</v>
      </c>
      <c r="H50" s="33" t="s">
        <v>2325</v>
      </c>
      <c r="I50" s="23" t="s">
        <v>2326</v>
      </c>
      <c r="J50" s="170"/>
      <c r="K50" s="25"/>
      <c r="L50" s="57"/>
      <c r="M50" s="43"/>
      <c r="N50" s="55"/>
      <c r="O50" s="28"/>
      <c r="P50" s="25"/>
      <c r="Q50" s="50" t="s">
        <v>140</v>
      </c>
      <c r="R50" s="25" t="s">
        <v>300</v>
      </c>
      <c r="S50" s="50"/>
      <c r="T50" s="65"/>
      <c r="U50" s="65"/>
      <c r="V50" s="65"/>
      <c r="W50" s="65"/>
      <c r="X50" s="65"/>
      <c r="Y50" s="65"/>
      <c r="Z50" s="65"/>
      <c r="AA50" s="65"/>
      <c r="AB50" s="65"/>
      <c r="AC50" s="65"/>
      <c r="AD50" s="65"/>
      <c r="AE50" s="65"/>
      <c r="AF50" s="65"/>
    </row>
    <row r="51" spans="1:32" ht="15.75" customHeight="1">
      <c r="A51" s="344"/>
      <c r="B51" s="344"/>
      <c r="C51" s="34">
        <v>9</v>
      </c>
      <c r="D51" s="344"/>
      <c r="E51" s="345"/>
      <c r="F51" s="34" t="s">
        <v>326</v>
      </c>
      <c r="G51" s="34" t="s">
        <v>327</v>
      </c>
      <c r="H51" s="33" t="s">
        <v>2325</v>
      </c>
      <c r="I51" s="23" t="s">
        <v>2326</v>
      </c>
      <c r="J51" s="170"/>
      <c r="K51" s="25"/>
      <c r="L51" s="57"/>
      <c r="M51" s="43"/>
      <c r="N51" s="55"/>
      <c r="O51" s="28"/>
      <c r="P51" s="25"/>
      <c r="Q51" s="50" t="s">
        <v>140</v>
      </c>
      <c r="R51" s="25" t="s">
        <v>300</v>
      </c>
      <c r="S51" s="50"/>
      <c r="T51" s="65"/>
      <c r="U51" s="65"/>
      <c r="V51" s="65"/>
      <c r="W51" s="65"/>
      <c r="X51" s="65"/>
      <c r="Y51" s="65"/>
      <c r="Z51" s="65"/>
      <c r="AA51" s="65"/>
      <c r="AB51" s="65"/>
      <c r="AC51" s="65"/>
      <c r="AD51" s="65"/>
      <c r="AE51" s="65"/>
      <c r="AF51" s="65"/>
    </row>
    <row r="52" spans="1:32" ht="15.75" customHeight="1">
      <c r="A52" s="344"/>
      <c r="B52" s="344"/>
      <c r="C52" s="34">
        <v>10</v>
      </c>
      <c r="D52" s="344"/>
      <c r="E52" s="361" t="s">
        <v>2327</v>
      </c>
      <c r="F52" s="354" t="s">
        <v>326</v>
      </c>
      <c r="G52" s="354" t="s">
        <v>2234</v>
      </c>
      <c r="H52" s="351" t="s">
        <v>2328</v>
      </c>
      <c r="I52" s="23" t="s">
        <v>2282</v>
      </c>
      <c r="J52" s="170"/>
      <c r="K52" s="25"/>
      <c r="L52" s="57"/>
      <c r="M52" s="110"/>
      <c r="N52" s="55"/>
      <c r="O52" s="28"/>
      <c r="P52" s="25"/>
      <c r="Q52" s="50" t="s">
        <v>140</v>
      </c>
      <c r="R52" s="25" t="s">
        <v>300</v>
      </c>
      <c r="S52" s="50"/>
      <c r="T52" s="65"/>
      <c r="U52" s="65"/>
      <c r="V52" s="65"/>
      <c r="W52" s="65"/>
      <c r="X52" s="65"/>
      <c r="Y52" s="65"/>
      <c r="Z52" s="65"/>
      <c r="AA52" s="65"/>
      <c r="AB52" s="65"/>
      <c r="AC52" s="65"/>
      <c r="AD52" s="65"/>
      <c r="AE52" s="65"/>
      <c r="AF52" s="65"/>
    </row>
    <row r="53" spans="1:32" ht="51" customHeight="1">
      <c r="A53" s="344"/>
      <c r="B53" s="344"/>
      <c r="C53" s="34">
        <v>11</v>
      </c>
      <c r="D53" s="344"/>
      <c r="E53" s="344"/>
      <c r="F53" s="345"/>
      <c r="G53" s="345"/>
      <c r="H53" s="345"/>
      <c r="I53" s="23" t="s">
        <v>2329</v>
      </c>
      <c r="J53" s="170"/>
      <c r="K53" s="25"/>
      <c r="L53" s="57"/>
      <c r="M53" s="132"/>
      <c r="N53" s="55"/>
      <c r="O53" s="28"/>
      <c r="P53" s="25"/>
      <c r="Q53" s="50" t="s">
        <v>282</v>
      </c>
      <c r="R53" s="25" t="s">
        <v>300</v>
      </c>
      <c r="S53" s="50"/>
      <c r="T53" s="65"/>
      <c r="U53" s="65"/>
      <c r="V53" s="65"/>
      <c r="W53" s="65"/>
      <c r="X53" s="65"/>
      <c r="Y53" s="65"/>
      <c r="Z53" s="65"/>
      <c r="AA53" s="65"/>
      <c r="AB53" s="65"/>
      <c r="AC53" s="65"/>
      <c r="AD53" s="65"/>
      <c r="AE53" s="65"/>
      <c r="AF53" s="65"/>
    </row>
    <row r="54" spans="1:32" ht="15.75" customHeight="1">
      <c r="A54" s="345"/>
      <c r="B54" s="345"/>
      <c r="C54" s="34">
        <v>12</v>
      </c>
      <c r="D54" s="345"/>
      <c r="E54" s="345"/>
      <c r="F54" s="34" t="s">
        <v>326</v>
      </c>
      <c r="G54" s="34" t="s">
        <v>2234</v>
      </c>
      <c r="H54" s="33" t="s">
        <v>2330</v>
      </c>
      <c r="I54" s="23" t="s">
        <v>2331</v>
      </c>
      <c r="J54" s="170"/>
      <c r="K54" s="25"/>
      <c r="L54" s="57"/>
      <c r="M54" s="43"/>
      <c r="N54" s="55"/>
      <c r="O54" s="28"/>
      <c r="P54" s="25"/>
      <c r="Q54" s="50" t="s">
        <v>140</v>
      </c>
      <c r="R54" s="25" t="s">
        <v>300</v>
      </c>
      <c r="S54" s="50"/>
      <c r="T54" s="65"/>
      <c r="U54" s="65"/>
      <c r="V54" s="65"/>
      <c r="W54" s="65"/>
      <c r="X54" s="65"/>
      <c r="Y54" s="65"/>
      <c r="Z54" s="65"/>
      <c r="AA54" s="65"/>
      <c r="AB54" s="65"/>
      <c r="AC54" s="65"/>
      <c r="AD54" s="65"/>
      <c r="AE54" s="65"/>
      <c r="AF54" s="65"/>
    </row>
    <row r="55" spans="1:32" ht="15.75" customHeight="1">
      <c r="A55" s="361" t="s">
        <v>2332</v>
      </c>
      <c r="B55" s="354" t="s">
        <v>2333</v>
      </c>
      <c r="C55" s="34">
        <v>1</v>
      </c>
      <c r="D55" s="361" t="s">
        <v>2332</v>
      </c>
      <c r="E55" s="54" t="s">
        <v>2334</v>
      </c>
      <c r="F55" s="34" t="s">
        <v>326</v>
      </c>
      <c r="G55" s="34" t="s">
        <v>327</v>
      </c>
      <c r="H55" s="119" t="s">
        <v>2335</v>
      </c>
      <c r="I55" s="23" t="s">
        <v>2336</v>
      </c>
      <c r="J55" s="170"/>
      <c r="K55" s="25"/>
      <c r="L55" s="57"/>
      <c r="M55" s="121"/>
      <c r="N55" s="122"/>
      <c r="O55" s="28" t="s">
        <v>140</v>
      </c>
      <c r="P55" s="25"/>
      <c r="Q55" s="50" t="s">
        <v>140</v>
      </c>
      <c r="R55" s="25" t="s">
        <v>300</v>
      </c>
      <c r="S55" s="50"/>
      <c r="T55" s="65"/>
      <c r="U55" s="65"/>
      <c r="V55" s="65"/>
      <c r="W55" s="65"/>
      <c r="X55" s="65"/>
      <c r="Y55" s="65"/>
      <c r="Z55" s="65"/>
      <c r="AA55" s="65"/>
      <c r="AB55" s="65"/>
      <c r="AC55" s="65"/>
      <c r="AD55" s="65"/>
      <c r="AE55" s="65"/>
      <c r="AF55" s="65"/>
    </row>
    <row r="56" spans="1:32" ht="15.75" customHeight="1">
      <c r="A56" s="345"/>
      <c r="B56" s="345"/>
      <c r="C56" s="34">
        <v>2</v>
      </c>
      <c r="D56" s="345"/>
      <c r="E56" s="54" t="s">
        <v>2337</v>
      </c>
      <c r="F56" s="34" t="s">
        <v>326</v>
      </c>
      <c r="G56" s="34" t="s">
        <v>327</v>
      </c>
      <c r="H56" s="119" t="s">
        <v>2338</v>
      </c>
      <c r="I56" s="23" t="s">
        <v>2232</v>
      </c>
      <c r="J56" s="170"/>
      <c r="K56" s="25"/>
      <c r="L56" s="57"/>
      <c r="M56" s="121"/>
      <c r="N56" s="122"/>
      <c r="O56" s="28" t="s">
        <v>140</v>
      </c>
      <c r="P56" s="25"/>
      <c r="Q56" s="50" t="s">
        <v>140</v>
      </c>
      <c r="R56" s="25" t="s">
        <v>300</v>
      </c>
      <c r="S56" s="50"/>
      <c r="T56" s="65"/>
      <c r="U56" s="65"/>
      <c r="V56" s="65"/>
      <c r="W56" s="65"/>
      <c r="X56" s="65"/>
      <c r="Y56" s="65"/>
      <c r="Z56" s="65"/>
      <c r="AA56" s="65"/>
      <c r="AB56" s="65"/>
      <c r="AC56" s="65"/>
      <c r="AD56" s="65"/>
      <c r="AE56" s="65"/>
      <c r="AF56" s="65"/>
    </row>
    <row r="57" spans="1:32" ht="15.75" customHeight="1">
      <c r="A57" s="361" t="s">
        <v>2339</v>
      </c>
      <c r="B57" s="354" t="s">
        <v>2340</v>
      </c>
      <c r="C57" s="34">
        <v>1</v>
      </c>
      <c r="D57" s="361" t="s">
        <v>2341</v>
      </c>
      <c r="E57" s="54" t="s">
        <v>2342</v>
      </c>
      <c r="F57" s="34" t="s">
        <v>326</v>
      </c>
      <c r="G57" s="34" t="s">
        <v>327</v>
      </c>
      <c r="H57" s="33" t="s">
        <v>2343</v>
      </c>
      <c r="I57" s="23" t="s">
        <v>2344</v>
      </c>
      <c r="J57" s="170"/>
      <c r="K57" s="25"/>
      <c r="L57" s="57"/>
      <c r="M57" s="133"/>
      <c r="N57" s="134"/>
      <c r="O57" s="28"/>
      <c r="P57" s="25"/>
      <c r="Q57" s="50" t="s">
        <v>140</v>
      </c>
      <c r="R57" s="25" t="s">
        <v>300</v>
      </c>
      <c r="S57" s="50"/>
      <c r="T57" s="65"/>
      <c r="U57" s="65"/>
      <c r="V57" s="65"/>
      <c r="W57" s="65"/>
      <c r="X57" s="65"/>
      <c r="Y57" s="65"/>
      <c r="Z57" s="65"/>
      <c r="AA57" s="65"/>
      <c r="AB57" s="65"/>
      <c r="AC57" s="65"/>
      <c r="AD57" s="65"/>
      <c r="AE57" s="65"/>
      <c r="AF57" s="65"/>
    </row>
    <row r="58" spans="1:32" ht="15.75" customHeight="1">
      <c r="A58" s="344"/>
      <c r="B58" s="344"/>
      <c r="C58" s="34">
        <v>2</v>
      </c>
      <c r="D58" s="344"/>
      <c r="E58" s="54" t="s">
        <v>2345</v>
      </c>
      <c r="F58" s="34" t="s">
        <v>326</v>
      </c>
      <c r="G58" s="34" t="s">
        <v>327</v>
      </c>
      <c r="H58" s="33" t="s">
        <v>2346</v>
      </c>
      <c r="I58" s="23" t="s">
        <v>2347</v>
      </c>
      <c r="J58" s="170"/>
      <c r="K58" s="25"/>
      <c r="L58" s="57"/>
      <c r="M58" s="133"/>
      <c r="N58" s="134"/>
      <c r="O58" s="28"/>
      <c r="P58" s="25"/>
      <c r="Q58" s="50" t="s">
        <v>140</v>
      </c>
      <c r="R58" s="25" t="s">
        <v>300</v>
      </c>
      <c r="S58" s="50"/>
      <c r="T58" s="65"/>
      <c r="U58" s="65"/>
      <c r="V58" s="65"/>
      <c r="W58" s="65"/>
      <c r="X58" s="65"/>
      <c r="Y58" s="65"/>
      <c r="Z58" s="65"/>
      <c r="AA58" s="65"/>
      <c r="AB58" s="65"/>
      <c r="AC58" s="65"/>
      <c r="AD58" s="65"/>
      <c r="AE58" s="65"/>
      <c r="AF58" s="65"/>
    </row>
    <row r="59" spans="1:32" ht="15.75" customHeight="1">
      <c r="A59" s="344"/>
      <c r="B59" s="344"/>
      <c r="C59" s="34">
        <v>3</v>
      </c>
      <c r="D59" s="344"/>
      <c r="E59" s="54" t="s">
        <v>2348</v>
      </c>
      <c r="F59" s="34" t="s">
        <v>326</v>
      </c>
      <c r="G59" s="34" t="s">
        <v>327</v>
      </c>
      <c r="H59" s="33" t="s">
        <v>2349</v>
      </c>
      <c r="I59" s="23" t="s">
        <v>2350</v>
      </c>
      <c r="J59" s="170"/>
      <c r="K59" s="25"/>
      <c r="L59" s="57"/>
      <c r="M59" s="133"/>
      <c r="N59" s="134"/>
      <c r="O59" s="28"/>
      <c r="P59" s="25"/>
      <c r="Q59" s="50" t="s">
        <v>140</v>
      </c>
      <c r="R59" s="25" t="s">
        <v>300</v>
      </c>
      <c r="S59" s="50"/>
      <c r="T59" s="65"/>
      <c r="U59" s="65"/>
      <c r="V59" s="65"/>
      <c r="W59" s="65"/>
      <c r="X59" s="65"/>
      <c r="Y59" s="65"/>
      <c r="Z59" s="65"/>
      <c r="AA59" s="65"/>
      <c r="AB59" s="65"/>
      <c r="AC59" s="65"/>
      <c r="AD59" s="65"/>
      <c r="AE59" s="65"/>
      <c r="AF59" s="65"/>
    </row>
    <row r="60" spans="1:32" ht="15.75" customHeight="1">
      <c r="A60" s="344"/>
      <c r="B60" s="344"/>
      <c r="C60" s="34">
        <v>4</v>
      </c>
      <c r="D60" s="344"/>
      <c r="E60" s="54" t="s">
        <v>2351</v>
      </c>
      <c r="F60" s="34" t="s">
        <v>326</v>
      </c>
      <c r="G60" s="34" t="s">
        <v>327</v>
      </c>
      <c r="H60" s="33" t="s">
        <v>2352</v>
      </c>
      <c r="I60" s="23" t="s">
        <v>2353</v>
      </c>
      <c r="J60" s="170"/>
      <c r="K60" s="25"/>
      <c r="L60" s="57"/>
      <c r="M60" s="133"/>
      <c r="N60" s="134"/>
      <c r="O60" s="28"/>
      <c r="P60" s="25"/>
      <c r="Q60" s="50" t="s">
        <v>140</v>
      </c>
      <c r="R60" s="25" t="s">
        <v>300</v>
      </c>
      <c r="S60" s="50"/>
      <c r="T60" s="65"/>
      <c r="U60" s="65"/>
      <c r="V60" s="65"/>
      <c r="W60" s="65"/>
      <c r="X60" s="65"/>
      <c r="Y60" s="65"/>
      <c r="Z60" s="65"/>
      <c r="AA60" s="65"/>
      <c r="AB60" s="65"/>
      <c r="AC60" s="65"/>
      <c r="AD60" s="65"/>
      <c r="AE60" s="65"/>
      <c r="AF60" s="65"/>
    </row>
    <row r="61" spans="1:32" ht="15.75" customHeight="1">
      <c r="A61" s="344"/>
      <c r="B61" s="344"/>
      <c r="C61" s="34">
        <v>5</v>
      </c>
      <c r="D61" s="344"/>
      <c r="E61" s="54" t="s">
        <v>2354</v>
      </c>
      <c r="F61" s="34" t="s">
        <v>326</v>
      </c>
      <c r="G61" s="34" t="s">
        <v>327</v>
      </c>
      <c r="H61" s="33" t="s">
        <v>2355</v>
      </c>
      <c r="I61" s="23" t="s">
        <v>2356</v>
      </c>
      <c r="J61" s="170"/>
      <c r="K61" s="25"/>
      <c r="L61" s="57"/>
      <c r="M61" s="133"/>
      <c r="N61" s="134"/>
      <c r="O61" s="28"/>
      <c r="P61" s="25"/>
      <c r="Q61" s="50" t="s">
        <v>140</v>
      </c>
      <c r="R61" s="25" t="s">
        <v>300</v>
      </c>
      <c r="S61" s="50"/>
      <c r="T61" s="65"/>
      <c r="U61" s="65"/>
      <c r="V61" s="65"/>
      <c r="W61" s="65"/>
      <c r="X61" s="65"/>
      <c r="Y61" s="65"/>
      <c r="Z61" s="65"/>
      <c r="AA61" s="65"/>
      <c r="AB61" s="65"/>
      <c r="AC61" s="65"/>
      <c r="AD61" s="65"/>
      <c r="AE61" s="65"/>
      <c r="AF61" s="65"/>
    </row>
    <row r="62" spans="1:32" ht="15.75" customHeight="1">
      <c r="A62" s="344"/>
      <c r="B62" s="344"/>
      <c r="C62" s="34">
        <v>6</v>
      </c>
      <c r="D62" s="344"/>
      <c r="E62" s="54" t="s">
        <v>2357</v>
      </c>
      <c r="F62" s="34" t="s">
        <v>326</v>
      </c>
      <c r="G62" s="34" t="s">
        <v>327</v>
      </c>
      <c r="H62" s="33" t="s">
        <v>2358</v>
      </c>
      <c r="I62" s="23" t="s">
        <v>2359</v>
      </c>
      <c r="J62" s="170"/>
      <c r="K62" s="25"/>
      <c r="L62" s="57"/>
      <c r="M62" s="133"/>
      <c r="N62" s="134"/>
      <c r="O62" s="28"/>
      <c r="P62" s="25"/>
      <c r="Q62" s="50" t="s">
        <v>140</v>
      </c>
      <c r="R62" s="25" t="s">
        <v>300</v>
      </c>
      <c r="S62" s="50"/>
      <c r="T62" s="65"/>
      <c r="U62" s="65"/>
      <c r="V62" s="65"/>
      <c r="W62" s="65"/>
      <c r="X62" s="65"/>
      <c r="Y62" s="65"/>
      <c r="Z62" s="65"/>
      <c r="AA62" s="65"/>
      <c r="AB62" s="65"/>
      <c r="AC62" s="65"/>
      <c r="AD62" s="65"/>
      <c r="AE62" s="65"/>
      <c r="AF62" s="65"/>
    </row>
    <row r="63" spans="1:32" ht="15.75" customHeight="1">
      <c r="A63" s="344"/>
      <c r="B63" s="344"/>
      <c r="C63" s="34">
        <v>7</v>
      </c>
      <c r="D63" s="344"/>
      <c r="E63" s="54" t="s">
        <v>2360</v>
      </c>
      <c r="F63" s="34" t="s">
        <v>326</v>
      </c>
      <c r="G63" s="34" t="s">
        <v>327</v>
      </c>
      <c r="H63" s="33" t="s">
        <v>2361</v>
      </c>
      <c r="I63" s="23" t="s">
        <v>2362</v>
      </c>
      <c r="J63" s="170"/>
      <c r="K63" s="25"/>
      <c r="L63" s="57"/>
      <c r="M63" s="133"/>
      <c r="N63" s="134"/>
      <c r="O63" s="28"/>
      <c r="P63" s="25"/>
      <c r="Q63" s="50" t="s">
        <v>140</v>
      </c>
      <c r="R63" s="25" t="s">
        <v>300</v>
      </c>
      <c r="S63" s="50"/>
      <c r="T63" s="65"/>
      <c r="U63" s="65"/>
      <c r="V63" s="65"/>
      <c r="W63" s="65"/>
      <c r="X63" s="65"/>
      <c r="Y63" s="65"/>
      <c r="Z63" s="65"/>
      <c r="AA63" s="65"/>
      <c r="AB63" s="65"/>
      <c r="AC63" s="65"/>
      <c r="AD63" s="65"/>
      <c r="AE63" s="65"/>
      <c r="AF63" s="65"/>
    </row>
    <row r="64" spans="1:32" ht="15.75" customHeight="1">
      <c r="A64" s="344"/>
      <c r="B64" s="344"/>
      <c r="C64" s="34">
        <v>8</v>
      </c>
      <c r="D64" s="344"/>
      <c r="E64" s="54" t="s">
        <v>2363</v>
      </c>
      <c r="F64" s="34" t="s">
        <v>326</v>
      </c>
      <c r="G64" s="34" t="s">
        <v>327</v>
      </c>
      <c r="H64" s="33" t="s">
        <v>2364</v>
      </c>
      <c r="I64" s="23" t="s">
        <v>2365</v>
      </c>
      <c r="J64" s="170"/>
      <c r="K64" s="25"/>
      <c r="L64" s="57"/>
      <c r="M64" s="133"/>
      <c r="N64" s="134"/>
      <c r="O64" s="28"/>
      <c r="P64" s="25"/>
      <c r="Q64" s="50" t="s">
        <v>140</v>
      </c>
      <c r="R64" s="25" t="s">
        <v>300</v>
      </c>
      <c r="S64" s="50"/>
      <c r="T64" s="65"/>
      <c r="U64" s="65"/>
      <c r="V64" s="65"/>
      <c r="W64" s="65"/>
      <c r="X64" s="65"/>
      <c r="Y64" s="65"/>
      <c r="Z64" s="65"/>
      <c r="AA64" s="65"/>
      <c r="AB64" s="65"/>
      <c r="AC64" s="65"/>
      <c r="AD64" s="65"/>
      <c r="AE64" s="65"/>
      <c r="AF64" s="65"/>
    </row>
    <row r="65" spans="1:32" ht="15.75" customHeight="1">
      <c r="A65" s="344"/>
      <c r="B65" s="344"/>
      <c r="C65" s="34">
        <v>9</v>
      </c>
      <c r="D65" s="344"/>
      <c r="E65" s="54" t="s">
        <v>2366</v>
      </c>
      <c r="F65" s="34" t="s">
        <v>326</v>
      </c>
      <c r="G65" s="34" t="s">
        <v>327</v>
      </c>
      <c r="H65" s="33" t="s">
        <v>2367</v>
      </c>
      <c r="I65" s="23" t="s">
        <v>2368</v>
      </c>
      <c r="J65" s="170"/>
      <c r="K65" s="25"/>
      <c r="L65" s="57"/>
      <c r="M65" s="133"/>
      <c r="N65" s="134"/>
      <c r="O65" s="28"/>
      <c r="P65" s="25"/>
      <c r="Q65" s="50" t="s">
        <v>140</v>
      </c>
      <c r="R65" s="25" t="s">
        <v>300</v>
      </c>
      <c r="S65" s="50"/>
      <c r="T65" s="65"/>
      <c r="U65" s="65"/>
      <c r="V65" s="65"/>
      <c r="W65" s="65"/>
      <c r="X65" s="65"/>
      <c r="Y65" s="65"/>
      <c r="Z65" s="65"/>
      <c r="AA65" s="65"/>
      <c r="AB65" s="65"/>
      <c r="AC65" s="65"/>
      <c r="AD65" s="65"/>
      <c r="AE65" s="65"/>
      <c r="AF65" s="65"/>
    </row>
    <row r="66" spans="1:32" ht="15.75" customHeight="1">
      <c r="A66" s="344"/>
      <c r="B66" s="344"/>
      <c r="C66" s="34">
        <v>10</v>
      </c>
      <c r="D66" s="344"/>
      <c r="E66" s="54" t="s">
        <v>2369</v>
      </c>
      <c r="F66" s="34" t="s">
        <v>326</v>
      </c>
      <c r="G66" s="34" t="s">
        <v>327</v>
      </c>
      <c r="H66" s="33" t="s">
        <v>2370</v>
      </c>
      <c r="I66" s="23" t="s">
        <v>2371</v>
      </c>
      <c r="J66" s="170"/>
      <c r="K66" s="25"/>
      <c r="L66" s="57"/>
      <c r="M66" s="133"/>
      <c r="N66" s="134"/>
      <c r="O66" s="28"/>
      <c r="P66" s="25"/>
      <c r="Q66" s="50" t="s">
        <v>140</v>
      </c>
      <c r="R66" s="25" t="s">
        <v>300</v>
      </c>
      <c r="S66" s="50"/>
      <c r="T66" s="65"/>
      <c r="U66" s="65"/>
      <c r="V66" s="65"/>
      <c r="W66" s="65"/>
      <c r="X66" s="65"/>
      <c r="Y66" s="65"/>
      <c r="Z66" s="65"/>
      <c r="AA66" s="65"/>
      <c r="AB66" s="65"/>
      <c r="AC66" s="65"/>
      <c r="AD66" s="65"/>
      <c r="AE66" s="65"/>
      <c r="AF66" s="65"/>
    </row>
    <row r="67" spans="1:32" ht="15.75" customHeight="1">
      <c r="A67" s="344"/>
      <c r="B67" s="344"/>
      <c r="C67" s="34">
        <v>11</v>
      </c>
      <c r="D67" s="344"/>
      <c r="E67" s="54" t="s">
        <v>2372</v>
      </c>
      <c r="F67" s="34" t="s">
        <v>326</v>
      </c>
      <c r="G67" s="34" t="s">
        <v>327</v>
      </c>
      <c r="H67" s="33" t="s">
        <v>2373</v>
      </c>
      <c r="I67" s="23" t="s">
        <v>2374</v>
      </c>
      <c r="J67" s="170"/>
      <c r="K67" s="25"/>
      <c r="L67" s="57"/>
      <c r="M67" s="133"/>
      <c r="N67" s="134"/>
      <c r="O67" s="28"/>
      <c r="P67" s="25"/>
      <c r="Q67" s="50" t="s">
        <v>140</v>
      </c>
      <c r="R67" s="25" t="s">
        <v>300</v>
      </c>
      <c r="S67" s="50"/>
      <c r="T67" s="65"/>
      <c r="U67" s="65"/>
      <c r="V67" s="65"/>
      <c r="W67" s="65"/>
      <c r="X67" s="65"/>
      <c r="Y67" s="65"/>
      <c r="Z67" s="65"/>
      <c r="AA67" s="65"/>
      <c r="AB67" s="65"/>
      <c r="AC67" s="65"/>
      <c r="AD67" s="65"/>
      <c r="AE67" s="65"/>
      <c r="AF67" s="65"/>
    </row>
    <row r="68" spans="1:32" ht="15.75" customHeight="1">
      <c r="A68" s="344"/>
      <c r="B68" s="344"/>
      <c r="C68" s="34">
        <v>12</v>
      </c>
      <c r="D68" s="344"/>
      <c r="E68" s="54" t="s">
        <v>2375</v>
      </c>
      <c r="F68" s="34" t="s">
        <v>326</v>
      </c>
      <c r="G68" s="34" t="s">
        <v>327</v>
      </c>
      <c r="H68" s="33" t="s">
        <v>2376</v>
      </c>
      <c r="I68" s="23" t="s">
        <v>2377</v>
      </c>
      <c r="J68" s="170"/>
      <c r="K68" s="25"/>
      <c r="L68" s="57"/>
      <c r="M68" s="133"/>
      <c r="N68" s="134"/>
      <c r="O68" s="28"/>
      <c r="P68" s="25"/>
      <c r="Q68" s="50" t="s">
        <v>140</v>
      </c>
      <c r="R68" s="25" t="s">
        <v>300</v>
      </c>
      <c r="S68" s="50"/>
      <c r="T68" s="65"/>
      <c r="U68" s="65"/>
      <c r="V68" s="65"/>
      <c r="W68" s="65"/>
      <c r="X68" s="65"/>
      <c r="Y68" s="65"/>
      <c r="Z68" s="65"/>
      <c r="AA68" s="65"/>
      <c r="AB68" s="65"/>
      <c r="AC68" s="65"/>
      <c r="AD68" s="65"/>
      <c r="AE68" s="65"/>
      <c r="AF68" s="65"/>
    </row>
    <row r="69" spans="1:32" ht="15.75" customHeight="1">
      <c r="A69" s="344"/>
      <c r="B69" s="344"/>
      <c r="C69" s="34">
        <v>13</v>
      </c>
      <c r="D69" s="344"/>
      <c r="E69" s="54" t="s">
        <v>2378</v>
      </c>
      <c r="F69" s="34" t="s">
        <v>326</v>
      </c>
      <c r="G69" s="34" t="s">
        <v>327</v>
      </c>
      <c r="H69" s="33" t="s">
        <v>2379</v>
      </c>
      <c r="I69" s="23" t="s">
        <v>2380</v>
      </c>
      <c r="J69" s="170"/>
      <c r="K69" s="25"/>
      <c r="L69" s="57"/>
      <c r="M69" s="133"/>
      <c r="N69" s="134"/>
      <c r="O69" s="28"/>
      <c r="P69" s="25"/>
      <c r="Q69" s="50" t="s">
        <v>140</v>
      </c>
      <c r="R69" s="25" t="s">
        <v>300</v>
      </c>
      <c r="S69" s="50"/>
      <c r="T69" s="65"/>
      <c r="U69" s="65"/>
      <c r="V69" s="65"/>
      <c r="W69" s="65"/>
      <c r="X69" s="65"/>
      <c r="Y69" s="65"/>
      <c r="Z69" s="65"/>
      <c r="AA69" s="65"/>
      <c r="AB69" s="65"/>
      <c r="AC69" s="65"/>
      <c r="AD69" s="65"/>
      <c r="AE69" s="65"/>
      <c r="AF69" s="65"/>
    </row>
    <row r="70" spans="1:32" ht="15.75" customHeight="1">
      <c r="A70" s="344"/>
      <c r="B70" s="344"/>
      <c r="C70" s="34">
        <v>14</v>
      </c>
      <c r="D70" s="344"/>
      <c r="E70" s="54" t="s">
        <v>2381</v>
      </c>
      <c r="F70" s="34" t="s">
        <v>326</v>
      </c>
      <c r="G70" s="34" t="s">
        <v>327</v>
      </c>
      <c r="H70" s="33" t="s">
        <v>2382</v>
      </c>
      <c r="I70" s="23" t="s">
        <v>2383</v>
      </c>
      <c r="J70" s="170"/>
      <c r="K70" s="25"/>
      <c r="L70" s="57"/>
      <c r="M70" s="133"/>
      <c r="N70" s="134"/>
      <c r="O70" s="28"/>
      <c r="P70" s="25"/>
      <c r="Q70" s="50" t="s">
        <v>140</v>
      </c>
      <c r="R70" s="25" t="s">
        <v>300</v>
      </c>
      <c r="S70" s="50"/>
      <c r="T70" s="65"/>
      <c r="U70" s="65"/>
      <c r="V70" s="65"/>
      <c r="W70" s="65"/>
      <c r="X70" s="65"/>
      <c r="Y70" s="65"/>
      <c r="Z70" s="65"/>
      <c r="AA70" s="65"/>
      <c r="AB70" s="65"/>
      <c r="AC70" s="65"/>
      <c r="AD70" s="65"/>
      <c r="AE70" s="65"/>
      <c r="AF70" s="65"/>
    </row>
    <row r="71" spans="1:32" ht="15.75" customHeight="1">
      <c r="A71" s="344"/>
      <c r="B71" s="344"/>
      <c r="C71" s="34">
        <v>15</v>
      </c>
      <c r="D71" s="344"/>
      <c r="E71" s="54" t="s">
        <v>2384</v>
      </c>
      <c r="F71" s="34" t="s">
        <v>326</v>
      </c>
      <c r="G71" s="34" t="s">
        <v>327</v>
      </c>
      <c r="H71" s="33" t="s">
        <v>2385</v>
      </c>
      <c r="I71" s="23" t="s">
        <v>2386</v>
      </c>
      <c r="J71" s="170"/>
      <c r="K71" s="25"/>
      <c r="L71" s="57"/>
      <c r="M71" s="133"/>
      <c r="N71" s="134"/>
      <c r="O71" s="28"/>
      <c r="P71" s="25"/>
      <c r="Q71" s="50" t="s">
        <v>140</v>
      </c>
      <c r="R71" s="25" t="s">
        <v>300</v>
      </c>
      <c r="S71" s="50"/>
      <c r="T71" s="65"/>
      <c r="U71" s="65"/>
      <c r="V71" s="65"/>
      <c r="W71" s="65"/>
      <c r="X71" s="65"/>
      <c r="Y71" s="65"/>
      <c r="Z71" s="65"/>
      <c r="AA71" s="65"/>
      <c r="AB71" s="65"/>
      <c r="AC71" s="65"/>
      <c r="AD71" s="65"/>
      <c r="AE71" s="65"/>
      <c r="AF71" s="65"/>
    </row>
    <row r="72" spans="1:32" ht="15.75" customHeight="1">
      <c r="A72" s="344"/>
      <c r="B72" s="344"/>
      <c r="C72" s="34">
        <v>16</v>
      </c>
      <c r="D72" s="344"/>
      <c r="E72" s="54" t="s">
        <v>2387</v>
      </c>
      <c r="F72" s="34" t="s">
        <v>326</v>
      </c>
      <c r="G72" s="34" t="s">
        <v>327</v>
      </c>
      <c r="H72" s="33" t="s">
        <v>2388</v>
      </c>
      <c r="I72" s="23" t="s">
        <v>2389</v>
      </c>
      <c r="J72" s="170"/>
      <c r="K72" s="25"/>
      <c r="L72" s="57"/>
      <c r="M72" s="133"/>
      <c r="N72" s="134"/>
      <c r="O72" s="28"/>
      <c r="P72" s="25"/>
      <c r="Q72" s="50" t="s">
        <v>140</v>
      </c>
      <c r="R72" s="25" t="s">
        <v>300</v>
      </c>
      <c r="S72" s="50"/>
      <c r="T72" s="65"/>
      <c r="U72" s="65"/>
      <c r="V72" s="65"/>
      <c r="W72" s="65"/>
      <c r="X72" s="65"/>
      <c r="Y72" s="65"/>
      <c r="Z72" s="65"/>
      <c r="AA72" s="65"/>
      <c r="AB72" s="65"/>
      <c r="AC72" s="65"/>
      <c r="AD72" s="65"/>
      <c r="AE72" s="65"/>
      <c r="AF72" s="65"/>
    </row>
    <row r="73" spans="1:32" ht="15.75" customHeight="1">
      <c r="A73" s="344"/>
      <c r="B73" s="344"/>
      <c r="C73" s="34">
        <v>17</v>
      </c>
      <c r="D73" s="344"/>
      <c r="E73" s="54" t="s">
        <v>2390</v>
      </c>
      <c r="F73" s="34" t="s">
        <v>326</v>
      </c>
      <c r="G73" s="34" t="s">
        <v>327</v>
      </c>
      <c r="H73" s="33" t="s">
        <v>2391</v>
      </c>
      <c r="I73" s="23" t="s">
        <v>2392</v>
      </c>
      <c r="J73" s="170"/>
      <c r="K73" s="25"/>
      <c r="L73" s="57"/>
      <c r="M73" s="133"/>
      <c r="N73" s="134"/>
      <c r="O73" s="28"/>
      <c r="P73" s="25"/>
      <c r="Q73" s="50" t="s">
        <v>140</v>
      </c>
      <c r="R73" s="25" t="s">
        <v>300</v>
      </c>
      <c r="S73" s="50"/>
      <c r="T73" s="65"/>
      <c r="U73" s="65"/>
      <c r="V73" s="65"/>
      <c r="W73" s="65"/>
      <c r="X73" s="65"/>
      <c r="Y73" s="65"/>
      <c r="Z73" s="65"/>
      <c r="AA73" s="65"/>
      <c r="AB73" s="65"/>
      <c r="AC73" s="65"/>
      <c r="AD73" s="65"/>
      <c r="AE73" s="65"/>
      <c r="AF73" s="65"/>
    </row>
    <row r="74" spans="1:32" ht="15.75" customHeight="1">
      <c r="A74" s="344"/>
      <c r="B74" s="344"/>
      <c r="C74" s="34">
        <v>18</v>
      </c>
      <c r="D74" s="344"/>
      <c r="E74" s="54" t="s">
        <v>2393</v>
      </c>
      <c r="F74" s="34" t="s">
        <v>326</v>
      </c>
      <c r="G74" s="34" t="s">
        <v>327</v>
      </c>
      <c r="H74" s="33" t="s">
        <v>2394</v>
      </c>
      <c r="I74" s="23" t="s">
        <v>2395</v>
      </c>
      <c r="J74" s="170"/>
      <c r="K74" s="25"/>
      <c r="L74" s="57"/>
      <c r="M74" s="133"/>
      <c r="N74" s="134"/>
      <c r="O74" s="28"/>
      <c r="P74" s="25"/>
      <c r="Q74" s="50" t="s">
        <v>140</v>
      </c>
      <c r="R74" s="25" t="s">
        <v>300</v>
      </c>
      <c r="S74" s="50"/>
      <c r="T74" s="65"/>
      <c r="U74" s="65"/>
      <c r="V74" s="65"/>
      <c r="W74" s="65"/>
      <c r="X74" s="65"/>
      <c r="Y74" s="65"/>
      <c r="Z74" s="65"/>
      <c r="AA74" s="65"/>
      <c r="AB74" s="65"/>
      <c r="AC74" s="65"/>
      <c r="AD74" s="65"/>
      <c r="AE74" s="65"/>
      <c r="AF74" s="65"/>
    </row>
    <row r="75" spans="1:32" ht="15.75" customHeight="1">
      <c r="A75" s="344"/>
      <c r="B75" s="344"/>
      <c r="C75" s="34">
        <v>19</v>
      </c>
      <c r="D75" s="344"/>
      <c r="E75" s="54" t="s">
        <v>2396</v>
      </c>
      <c r="F75" s="34" t="s">
        <v>326</v>
      </c>
      <c r="G75" s="34" t="s">
        <v>327</v>
      </c>
      <c r="H75" s="33" t="s">
        <v>2397</v>
      </c>
      <c r="I75" s="23" t="s">
        <v>2398</v>
      </c>
      <c r="J75" s="170"/>
      <c r="K75" s="25"/>
      <c r="L75" s="57"/>
      <c r="M75" s="133"/>
      <c r="N75" s="134"/>
      <c r="O75" s="28"/>
      <c r="P75" s="25"/>
      <c r="Q75" s="50" t="s">
        <v>140</v>
      </c>
      <c r="R75" s="25" t="s">
        <v>300</v>
      </c>
      <c r="S75" s="50"/>
      <c r="T75" s="65"/>
      <c r="U75" s="65"/>
      <c r="V75" s="65"/>
      <c r="W75" s="65"/>
      <c r="X75" s="65"/>
      <c r="Y75" s="65"/>
      <c r="Z75" s="65"/>
      <c r="AA75" s="65"/>
      <c r="AB75" s="65"/>
      <c r="AC75" s="65"/>
      <c r="AD75" s="65"/>
      <c r="AE75" s="65"/>
      <c r="AF75" s="65"/>
    </row>
    <row r="76" spans="1:32" ht="15.75" customHeight="1">
      <c r="A76" s="344"/>
      <c r="B76" s="344"/>
      <c r="C76" s="34">
        <v>20</v>
      </c>
      <c r="D76" s="344"/>
      <c r="E76" s="54" t="s">
        <v>2399</v>
      </c>
      <c r="F76" s="34" t="s">
        <v>326</v>
      </c>
      <c r="G76" s="34" t="s">
        <v>327</v>
      </c>
      <c r="H76" s="33" t="s">
        <v>2400</v>
      </c>
      <c r="I76" s="23" t="s">
        <v>2401</v>
      </c>
      <c r="J76" s="170"/>
      <c r="K76" s="25"/>
      <c r="L76" s="57"/>
      <c r="M76" s="133"/>
      <c r="N76" s="134"/>
      <c r="O76" s="28"/>
      <c r="P76" s="25"/>
      <c r="Q76" s="50" t="s">
        <v>140</v>
      </c>
      <c r="R76" s="25" t="s">
        <v>300</v>
      </c>
      <c r="S76" s="50"/>
      <c r="T76" s="65"/>
      <c r="U76" s="65"/>
      <c r="V76" s="65"/>
      <c r="W76" s="65"/>
      <c r="X76" s="65"/>
      <c r="Y76" s="65"/>
      <c r="Z76" s="65"/>
      <c r="AA76" s="65"/>
      <c r="AB76" s="65"/>
      <c r="AC76" s="65"/>
      <c r="AD76" s="65"/>
      <c r="AE76" s="65"/>
      <c r="AF76" s="65"/>
    </row>
    <row r="77" spans="1:32" ht="15.75" customHeight="1">
      <c r="A77" s="344"/>
      <c r="B77" s="344"/>
      <c r="C77" s="34">
        <v>21</v>
      </c>
      <c r="D77" s="344"/>
      <c r="E77" s="54" t="s">
        <v>2402</v>
      </c>
      <c r="F77" s="34" t="s">
        <v>326</v>
      </c>
      <c r="G77" s="34" t="s">
        <v>327</v>
      </c>
      <c r="H77" s="33" t="s">
        <v>2403</v>
      </c>
      <c r="I77" s="23" t="s">
        <v>2404</v>
      </c>
      <c r="J77" s="170"/>
      <c r="K77" s="25"/>
      <c r="L77" s="57"/>
      <c r="M77" s="133"/>
      <c r="N77" s="134"/>
      <c r="O77" s="28" t="s">
        <v>140</v>
      </c>
      <c r="P77" s="25"/>
      <c r="Q77" s="50" t="s">
        <v>140</v>
      </c>
      <c r="R77" s="25" t="s">
        <v>300</v>
      </c>
      <c r="S77" s="50"/>
      <c r="T77" s="65"/>
      <c r="U77" s="65"/>
      <c r="V77" s="65"/>
      <c r="W77" s="65"/>
      <c r="X77" s="65"/>
      <c r="Y77" s="65"/>
      <c r="Z77" s="65"/>
      <c r="AA77" s="65"/>
      <c r="AB77" s="65"/>
      <c r="AC77" s="65"/>
      <c r="AD77" s="65"/>
      <c r="AE77" s="65"/>
      <c r="AF77" s="65"/>
    </row>
    <row r="78" spans="1:32" ht="15.75" customHeight="1">
      <c r="A78" s="345"/>
      <c r="B78" s="345"/>
      <c r="C78" s="34">
        <v>22</v>
      </c>
      <c r="D78" s="345"/>
      <c r="E78" s="54" t="s">
        <v>2405</v>
      </c>
      <c r="F78" s="34" t="s">
        <v>326</v>
      </c>
      <c r="G78" s="34" t="s">
        <v>327</v>
      </c>
      <c r="H78" s="33" t="s">
        <v>2406</v>
      </c>
      <c r="I78" s="23" t="s">
        <v>2344</v>
      </c>
      <c r="J78" s="170"/>
      <c r="K78" s="25"/>
      <c r="L78" s="57"/>
      <c r="M78" s="133"/>
      <c r="N78" s="134"/>
      <c r="O78" s="28"/>
      <c r="P78" s="25"/>
      <c r="Q78" s="50" t="s">
        <v>140</v>
      </c>
      <c r="R78" s="25" t="s">
        <v>300</v>
      </c>
      <c r="S78" s="50"/>
      <c r="T78" s="65"/>
      <c r="U78" s="65"/>
      <c r="V78" s="65"/>
      <c r="W78" s="65"/>
      <c r="X78" s="65"/>
      <c r="Y78" s="65"/>
      <c r="Z78" s="65"/>
      <c r="AA78" s="65"/>
      <c r="AB78" s="65"/>
      <c r="AC78" s="65"/>
      <c r="AD78" s="65"/>
      <c r="AE78" s="65"/>
      <c r="AF78" s="65"/>
    </row>
    <row r="79" spans="1:32" ht="15.75" customHeight="1">
      <c r="A79" s="356" t="s">
        <v>2407</v>
      </c>
      <c r="B79" s="360" t="s">
        <v>2408</v>
      </c>
      <c r="C79" s="41">
        <v>1</v>
      </c>
      <c r="D79" s="356" t="s">
        <v>2409</v>
      </c>
      <c r="E79" s="35" t="s">
        <v>2410</v>
      </c>
      <c r="F79" s="46" t="s">
        <v>326</v>
      </c>
      <c r="G79" s="46" t="s">
        <v>524</v>
      </c>
      <c r="H79" s="35" t="s">
        <v>2411</v>
      </c>
      <c r="I79" s="35" t="s">
        <v>2412</v>
      </c>
      <c r="J79" s="172"/>
      <c r="K79" s="25" t="s">
        <v>294</v>
      </c>
      <c r="L79" s="57"/>
      <c r="M79" s="26"/>
      <c r="N79" s="79"/>
      <c r="O79" s="28"/>
      <c r="P79" s="25"/>
      <c r="Q79" s="50" t="s">
        <v>140</v>
      </c>
      <c r="R79" s="25" t="s">
        <v>7</v>
      </c>
      <c r="S79" s="50"/>
      <c r="T79" s="51"/>
      <c r="U79" s="51"/>
      <c r="V79" s="51"/>
      <c r="W79" s="51"/>
      <c r="X79" s="51"/>
      <c r="Y79" s="51"/>
      <c r="Z79" s="51"/>
      <c r="AA79" s="51"/>
      <c r="AB79" s="51"/>
      <c r="AC79" s="51"/>
      <c r="AD79" s="51"/>
      <c r="AE79" s="51"/>
      <c r="AF79" s="51"/>
    </row>
    <row r="80" spans="1:32" ht="15.75" customHeight="1">
      <c r="A80" s="344"/>
      <c r="B80" s="344"/>
      <c r="C80" s="41">
        <v>2</v>
      </c>
      <c r="D80" s="344"/>
      <c r="E80" s="35" t="s">
        <v>2413</v>
      </c>
      <c r="F80" s="46" t="s">
        <v>326</v>
      </c>
      <c r="G80" s="46" t="s">
        <v>524</v>
      </c>
      <c r="H80" s="35" t="s">
        <v>2414</v>
      </c>
      <c r="I80" s="35" t="s">
        <v>2415</v>
      </c>
      <c r="J80" s="172"/>
      <c r="K80" s="25" t="s">
        <v>294</v>
      </c>
      <c r="L80" s="57"/>
      <c r="M80" s="26"/>
      <c r="N80" s="55"/>
      <c r="O80" s="25"/>
      <c r="P80" s="25"/>
      <c r="Q80" s="50" t="s">
        <v>140</v>
      </c>
      <c r="R80" s="25" t="s">
        <v>7</v>
      </c>
      <c r="S80" s="50"/>
      <c r="T80" s="51"/>
      <c r="U80" s="51"/>
      <c r="V80" s="51"/>
      <c r="W80" s="51"/>
      <c r="X80" s="51"/>
      <c r="Y80" s="51"/>
      <c r="Z80" s="51"/>
      <c r="AA80" s="51"/>
      <c r="AB80" s="51"/>
      <c r="AC80" s="51"/>
      <c r="AD80" s="51"/>
      <c r="AE80" s="51"/>
      <c r="AF80" s="51"/>
    </row>
    <row r="81" spans="1:32" ht="15.75" customHeight="1">
      <c r="A81" s="345"/>
      <c r="B81" s="345"/>
      <c r="C81" s="41">
        <v>3</v>
      </c>
      <c r="D81" s="345"/>
      <c r="E81" s="35" t="s">
        <v>2416</v>
      </c>
      <c r="F81" s="46" t="s">
        <v>326</v>
      </c>
      <c r="G81" s="46" t="s">
        <v>524</v>
      </c>
      <c r="H81" s="35" t="s">
        <v>2417</v>
      </c>
      <c r="I81" s="35" t="s">
        <v>2415</v>
      </c>
      <c r="J81" s="172"/>
      <c r="K81" s="25" t="s">
        <v>294</v>
      </c>
      <c r="L81" s="57"/>
      <c r="M81" s="26"/>
      <c r="N81" s="55"/>
      <c r="O81" s="25"/>
      <c r="P81" s="25"/>
      <c r="Q81" s="50" t="s">
        <v>140</v>
      </c>
      <c r="R81" s="25" t="s">
        <v>7</v>
      </c>
      <c r="S81" s="50"/>
      <c r="T81" s="51"/>
      <c r="U81" s="51"/>
      <c r="V81" s="51"/>
      <c r="W81" s="51"/>
      <c r="X81" s="51"/>
      <c r="Y81" s="51"/>
      <c r="Z81" s="51"/>
      <c r="AA81" s="51"/>
      <c r="AB81" s="51"/>
      <c r="AC81" s="51"/>
      <c r="AD81" s="51"/>
      <c r="AE81" s="51"/>
      <c r="AF81" s="51"/>
    </row>
    <row r="82" spans="1:32" ht="15.75" customHeight="1">
      <c r="A82" s="356" t="s">
        <v>2418</v>
      </c>
      <c r="B82" s="360" t="s">
        <v>31</v>
      </c>
      <c r="C82" s="31">
        <v>1</v>
      </c>
      <c r="D82" s="356" t="s">
        <v>2419</v>
      </c>
      <c r="E82" s="35" t="s">
        <v>2420</v>
      </c>
      <c r="F82" s="46" t="s">
        <v>326</v>
      </c>
      <c r="G82" s="46" t="s">
        <v>524</v>
      </c>
      <c r="H82" s="35" t="s">
        <v>2421</v>
      </c>
      <c r="I82" s="35" t="s">
        <v>2422</v>
      </c>
      <c r="J82" s="172"/>
      <c r="K82" s="25" t="s">
        <v>294</v>
      </c>
      <c r="L82" s="57"/>
      <c r="M82" s="25"/>
      <c r="N82" s="55"/>
      <c r="O82" s="25"/>
      <c r="P82" s="50" t="s">
        <v>140</v>
      </c>
      <c r="Q82" s="50" t="s">
        <v>140</v>
      </c>
      <c r="R82" s="25" t="s">
        <v>7</v>
      </c>
      <c r="S82" s="50"/>
      <c r="T82" s="30"/>
      <c r="U82" s="30"/>
      <c r="V82" s="30"/>
      <c r="W82" s="30"/>
      <c r="X82" s="30"/>
      <c r="Y82" s="30"/>
      <c r="Z82" s="30"/>
      <c r="AA82" s="30"/>
      <c r="AB82" s="30"/>
      <c r="AC82" s="30"/>
      <c r="AD82" s="30"/>
      <c r="AE82" s="30"/>
      <c r="AF82" s="30"/>
    </row>
    <row r="83" spans="1:32" ht="15.75" customHeight="1">
      <c r="A83" s="344"/>
      <c r="B83" s="344"/>
      <c r="C83" s="31">
        <v>2</v>
      </c>
      <c r="D83" s="344"/>
      <c r="E83" s="35" t="s">
        <v>2423</v>
      </c>
      <c r="F83" s="46" t="s">
        <v>326</v>
      </c>
      <c r="G83" s="46" t="s">
        <v>524</v>
      </c>
      <c r="H83" s="35" t="s">
        <v>2424</v>
      </c>
      <c r="I83" s="35" t="s">
        <v>2425</v>
      </c>
      <c r="J83" s="172"/>
      <c r="K83" s="25" t="s">
        <v>294</v>
      </c>
      <c r="L83" s="57"/>
      <c r="M83" s="25"/>
      <c r="N83" s="55"/>
      <c r="O83" s="25"/>
      <c r="P83" s="50" t="s">
        <v>282</v>
      </c>
      <c r="Q83" s="50" t="s">
        <v>140</v>
      </c>
      <c r="R83" s="25" t="s">
        <v>7</v>
      </c>
      <c r="S83" s="50"/>
      <c r="T83" s="30"/>
      <c r="U83" s="30"/>
      <c r="V83" s="30"/>
      <c r="W83" s="30"/>
      <c r="X83" s="30"/>
      <c r="Y83" s="30"/>
      <c r="Z83" s="30"/>
      <c r="AA83" s="30"/>
      <c r="AB83" s="30"/>
      <c r="AC83" s="30"/>
      <c r="AD83" s="30"/>
      <c r="AE83" s="30"/>
      <c r="AF83" s="30"/>
    </row>
    <row r="84" spans="1:32" ht="15.75" customHeight="1">
      <c r="A84" s="345"/>
      <c r="B84" s="345"/>
      <c r="C84" s="31">
        <v>3</v>
      </c>
      <c r="D84" s="345"/>
      <c r="E84" s="35" t="s">
        <v>2426</v>
      </c>
      <c r="F84" s="46" t="s">
        <v>326</v>
      </c>
      <c r="G84" s="46" t="s">
        <v>524</v>
      </c>
      <c r="H84" s="35" t="s">
        <v>2427</v>
      </c>
      <c r="I84" s="35" t="s">
        <v>2428</v>
      </c>
      <c r="J84" s="172"/>
      <c r="K84" s="25" t="s">
        <v>294</v>
      </c>
      <c r="L84" s="57"/>
      <c r="M84" s="25"/>
      <c r="N84" s="55"/>
      <c r="O84" s="25"/>
      <c r="P84" s="50" t="s">
        <v>282</v>
      </c>
      <c r="Q84" s="50" t="s">
        <v>140</v>
      </c>
      <c r="R84" s="25" t="s">
        <v>7</v>
      </c>
      <c r="S84" s="50"/>
      <c r="T84" s="30"/>
      <c r="U84" s="30"/>
      <c r="V84" s="30"/>
      <c r="W84" s="30"/>
      <c r="X84" s="30"/>
      <c r="Y84" s="30"/>
      <c r="Z84" s="30"/>
      <c r="AA84" s="30"/>
      <c r="AB84" s="30"/>
      <c r="AC84" s="30"/>
      <c r="AD84" s="30"/>
      <c r="AE84" s="30"/>
      <c r="AF84" s="30"/>
    </row>
    <row r="85" spans="1:32" ht="15.75" customHeight="1">
      <c r="A85" s="356" t="s">
        <v>2429</v>
      </c>
      <c r="B85" s="360" t="s">
        <v>103</v>
      </c>
      <c r="C85" s="61">
        <v>1</v>
      </c>
      <c r="D85" s="378" t="s">
        <v>2419</v>
      </c>
      <c r="E85" s="378" t="s">
        <v>2430</v>
      </c>
      <c r="F85" s="61" t="s">
        <v>326</v>
      </c>
      <c r="G85" s="61" t="s">
        <v>524</v>
      </c>
      <c r="H85" s="63" t="s">
        <v>2431</v>
      </c>
      <c r="I85" s="63" t="s">
        <v>2432</v>
      </c>
      <c r="J85" s="171"/>
      <c r="K85" s="25"/>
      <c r="L85" s="57"/>
      <c r="M85" s="25"/>
      <c r="N85" s="55"/>
      <c r="O85" s="25"/>
      <c r="P85" s="25"/>
      <c r="Q85" s="89" t="s">
        <v>393</v>
      </c>
      <c r="R85" s="25" t="s">
        <v>307</v>
      </c>
      <c r="S85" s="50"/>
      <c r="T85" s="30"/>
      <c r="U85" s="30"/>
      <c r="V85" s="30"/>
      <c r="W85" s="30"/>
      <c r="X85" s="30"/>
      <c r="Y85" s="30"/>
      <c r="Z85" s="30"/>
      <c r="AA85" s="30"/>
      <c r="AB85" s="30"/>
      <c r="AC85" s="30"/>
      <c r="AD85" s="30"/>
      <c r="AE85" s="30"/>
      <c r="AF85" s="30"/>
    </row>
    <row r="86" spans="1:32" ht="15.75" customHeight="1">
      <c r="A86" s="344"/>
      <c r="B86" s="344"/>
      <c r="C86" s="61">
        <v>2</v>
      </c>
      <c r="D86" s="344"/>
      <c r="E86" s="345"/>
      <c r="F86" s="61" t="s">
        <v>326</v>
      </c>
      <c r="G86" s="61" t="s">
        <v>524</v>
      </c>
      <c r="H86" s="63" t="s">
        <v>2433</v>
      </c>
      <c r="I86" s="63" t="s">
        <v>2434</v>
      </c>
      <c r="J86" s="171"/>
      <c r="K86" s="25"/>
      <c r="L86" s="57"/>
      <c r="M86" s="50"/>
      <c r="N86" s="55"/>
      <c r="O86" s="25"/>
      <c r="P86" s="25"/>
      <c r="Q86" s="89" t="s">
        <v>393</v>
      </c>
      <c r="R86" s="25" t="s">
        <v>307</v>
      </c>
      <c r="S86" s="50"/>
      <c r="T86" s="30"/>
      <c r="U86" s="30"/>
      <c r="V86" s="30"/>
      <c r="W86" s="30"/>
      <c r="X86" s="30"/>
      <c r="Y86" s="30"/>
      <c r="Z86" s="30"/>
      <c r="AA86" s="30"/>
      <c r="AB86" s="30"/>
      <c r="AC86" s="30"/>
      <c r="AD86" s="30"/>
      <c r="AE86" s="30"/>
      <c r="AF86" s="30"/>
    </row>
    <row r="87" spans="1:32" ht="15.75" customHeight="1">
      <c r="A87" s="344"/>
      <c r="B87" s="344"/>
      <c r="C87" s="61">
        <v>3</v>
      </c>
      <c r="D87" s="344"/>
      <c r="E87" s="378" t="s">
        <v>2435</v>
      </c>
      <c r="F87" s="61" t="s">
        <v>326</v>
      </c>
      <c r="G87" s="61" t="s">
        <v>524</v>
      </c>
      <c r="H87" s="63" t="s">
        <v>2436</v>
      </c>
      <c r="I87" s="63" t="s">
        <v>1163</v>
      </c>
      <c r="J87" s="171"/>
      <c r="K87" s="25"/>
      <c r="L87" s="57"/>
      <c r="M87" s="50"/>
      <c r="N87" s="55"/>
      <c r="O87" s="25"/>
      <c r="P87" s="25"/>
      <c r="Q87" s="89" t="s">
        <v>393</v>
      </c>
      <c r="R87" s="25" t="s">
        <v>307</v>
      </c>
      <c r="S87" s="50"/>
      <c r="T87" s="30"/>
      <c r="U87" s="30"/>
      <c r="V87" s="30"/>
      <c r="W87" s="30"/>
      <c r="X87" s="30"/>
      <c r="Y87" s="30"/>
      <c r="Z87" s="30"/>
      <c r="AA87" s="30"/>
      <c r="AB87" s="30"/>
      <c r="AC87" s="30"/>
      <c r="AD87" s="30"/>
      <c r="AE87" s="30"/>
      <c r="AF87" s="30"/>
    </row>
    <row r="88" spans="1:32" ht="15.75" customHeight="1">
      <c r="A88" s="345"/>
      <c r="B88" s="345"/>
      <c r="C88" s="61">
        <v>4</v>
      </c>
      <c r="D88" s="345"/>
      <c r="E88" s="345"/>
      <c r="F88" s="61" t="s">
        <v>326</v>
      </c>
      <c r="G88" s="61" t="s">
        <v>524</v>
      </c>
      <c r="H88" s="63" t="s">
        <v>2437</v>
      </c>
      <c r="I88" s="63" t="s">
        <v>1163</v>
      </c>
      <c r="J88" s="171"/>
      <c r="K88" s="25"/>
      <c r="L88" s="57"/>
      <c r="M88" s="50"/>
      <c r="N88" s="55"/>
      <c r="O88" s="25"/>
      <c r="P88" s="25"/>
      <c r="Q88" s="89" t="s">
        <v>393</v>
      </c>
      <c r="R88" s="25" t="s">
        <v>307</v>
      </c>
      <c r="S88" s="50"/>
      <c r="T88" s="30"/>
      <c r="U88" s="30"/>
      <c r="V88" s="30"/>
      <c r="W88" s="30"/>
      <c r="X88" s="30"/>
      <c r="Y88" s="30"/>
      <c r="Z88" s="30"/>
      <c r="AA88" s="30"/>
      <c r="AB88" s="30"/>
      <c r="AC88" s="30"/>
      <c r="AD88" s="30"/>
      <c r="AE88" s="30"/>
      <c r="AF88" s="30"/>
    </row>
    <row r="89" spans="1:32" ht="15.75" customHeight="1">
      <c r="A89" s="351" t="s">
        <v>2438</v>
      </c>
      <c r="B89" s="354" t="s">
        <v>131</v>
      </c>
      <c r="C89" s="34">
        <v>1</v>
      </c>
      <c r="D89" s="351" t="s">
        <v>2439</v>
      </c>
      <c r="E89" s="33" t="s">
        <v>2440</v>
      </c>
      <c r="F89" s="34" t="s">
        <v>326</v>
      </c>
      <c r="G89" s="34" t="s">
        <v>327</v>
      </c>
      <c r="H89" s="33" t="s">
        <v>2441</v>
      </c>
      <c r="I89" s="63" t="s">
        <v>2442</v>
      </c>
      <c r="J89" s="171"/>
      <c r="K89" s="25" t="s">
        <v>294</v>
      </c>
      <c r="L89" s="57"/>
      <c r="M89" s="101"/>
      <c r="N89" s="55"/>
      <c r="O89" s="28"/>
      <c r="P89" s="50" t="s">
        <v>140</v>
      </c>
      <c r="Q89" s="50" t="s">
        <v>140</v>
      </c>
      <c r="R89" s="25" t="s">
        <v>300</v>
      </c>
      <c r="S89" s="50"/>
      <c r="T89" s="30"/>
      <c r="U89" s="30"/>
      <c r="V89" s="30"/>
      <c r="W89" s="30"/>
      <c r="X89" s="30"/>
      <c r="Y89" s="30"/>
      <c r="Z89" s="30"/>
      <c r="AA89" s="30"/>
      <c r="AB89" s="30"/>
      <c r="AC89" s="30"/>
      <c r="AD89" s="30"/>
      <c r="AE89" s="30"/>
      <c r="AF89" s="30"/>
    </row>
    <row r="90" spans="1:32" ht="15.75" customHeight="1">
      <c r="A90" s="344"/>
      <c r="B90" s="344"/>
      <c r="C90" s="34">
        <v>2</v>
      </c>
      <c r="D90" s="344"/>
      <c r="E90" s="33" t="s">
        <v>2443</v>
      </c>
      <c r="F90" s="34" t="s">
        <v>326</v>
      </c>
      <c r="G90" s="34" t="s">
        <v>327</v>
      </c>
      <c r="H90" s="33" t="s">
        <v>2444</v>
      </c>
      <c r="I90" s="63" t="s">
        <v>2445</v>
      </c>
      <c r="J90" s="171"/>
      <c r="K90" s="25" t="s">
        <v>294</v>
      </c>
      <c r="L90" s="57"/>
      <c r="M90" s="101"/>
      <c r="N90" s="55"/>
      <c r="O90" s="28"/>
      <c r="P90" s="50" t="s">
        <v>140</v>
      </c>
      <c r="Q90" s="50" t="s">
        <v>140</v>
      </c>
      <c r="R90" s="25" t="s">
        <v>300</v>
      </c>
      <c r="S90" s="50"/>
      <c r="T90" s="30"/>
      <c r="U90" s="30"/>
      <c r="V90" s="30"/>
      <c r="W90" s="30"/>
      <c r="X90" s="30"/>
      <c r="Y90" s="30"/>
      <c r="Z90" s="30"/>
      <c r="AA90" s="30"/>
      <c r="AB90" s="30"/>
      <c r="AC90" s="30"/>
      <c r="AD90" s="30"/>
      <c r="AE90" s="30"/>
      <c r="AF90" s="30"/>
    </row>
    <row r="91" spans="1:32" ht="15.75" customHeight="1">
      <c r="A91" s="353"/>
      <c r="B91" s="353"/>
      <c r="C91" s="86">
        <v>3</v>
      </c>
      <c r="D91" s="353"/>
      <c r="E91" s="175" t="s">
        <v>2446</v>
      </c>
      <c r="F91" s="86" t="s">
        <v>326</v>
      </c>
      <c r="G91" s="86" t="s">
        <v>327</v>
      </c>
      <c r="H91" s="175" t="s">
        <v>2447</v>
      </c>
      <c r="I91" s="67" t="s">
        <v>2448</v>
      </c>
      <c r="J91" s="67"/>
      <c r="K91" s="25"/>
      <c r="L91" s="57"/>
      <c r="M91" s="66"/>
      <c r="N91" s="4"/>
      <c r="O91" s="28"/>
      <c r="P91" s="50" t="s">
        <v>140</v>
      </c>
      <c r="Q91" s="50" t="s">
        <v>140</v>
      </c>
      <c r="R91" s="50" t="s">
        <v>306</v>
      </c>
      <c r="S91" s="50"/>
      <c r="T91" s="30"/>
      <c r="U91" s="30"/>
      <c r="V91" s="30"/>
      <c r="W91" s="30"/>
      <c r="X91" s="30"/>
      <c r="Y91" s="30"/>
      <c r="Z91" s="30"/>
      <c r="AA91" s="30"/>
      <c r="AB91" s="30"/>
      <c r="AC91" s="30"/>
      <c r="AD91" s="30"/>
      <c r="AE91" s="30"/>
      <c r="AF91" s="30"/>
    </row>
    <row r="92" spans="1:32" ht="15.75" customHeight="1">
      <c r="A92" s="360" t="s">
        <v>45</v>
      </c>
      <c r="B92" s="360" t="s">
        <v>44</v>
      </c>
      <c r="C92" s="31">
        <v>1</v>
      </c>
      <c r="D92" s="356" t="s">
        <v>45</v>
      </c>
      <c r="E92" s="73" t="s">
        <v>2449</v>
      </c>
      <c r="F92" s="74" t="s">
        <v>326</v>
      </c>
      <c r="G92" s="74" t="s">
        <v>327</v>
      </c>
      <c r="H92" s="35" t="s">
        <v>2450</v>
      </c>
      <c r="I92" s="73" t="s">
        <v>2451</v>
      </c>
      <c r="J92" s="79"/>
      <c r="K92" s="25" t="s">
        <v>294</v>
      </c>
      <c r="L92" s="57"/>
      <c r="M92" s="26"/>
      <c r="N92" s="55"/>
      <c r="O92" s="28"/>
      <c r="P92" s="50" t="s">
        <v>140</v>
      </c>
      <c r="Q92" s="50" t="s">
        <v>140</v>
      </c>
      <c r="R92" s="25" t="s">
        <v>7</v>
      </c>
      <c r="S92" s="50"/>
      <c r="T92" s="65"/>
      <c r="U92" s="65"/>
      <c r="V92" s="65"/>
      <c r="W92" s="65"/>
      <c r="X92" s="65"/>
      <c r="Y92" s="65"/>
      <c r="Z92" s="65"/>
      <c r="AA92" s="65"/>
      <c r="AB92" s="65"/>
      <c r="AC92" s="65"/>
      <c r="AD92" s="65"/>
      <c r="AE92" s="65"/>
      <c r="AF92" s="65"/>
    </row>
    <row r="93" spans="1:32" ht="15.75" customHeight="1">
      <c r="A93" s="344"/>
      <c r="B93" s="344"/>
      <c r="C93" s="31">
        <v>2</v>
      </c>
      <c r="D93" s="344"/>
      <c r="E93" s="73" t="s">
        <v>2452</v>
      </c>
      <c r="F93" s="74" t="s">
        <v>326</v>
      </c>
      <c r="G93" s="74" t="s">
        <v>327</v>
      </c>
      <c r="H93" s="35" t="s">
        <v>2450</v>
      </c>
      <c r="I93" s="73" t="s">
        <v>2451</v>
      </c>
      <c r="J93" s="79"/>
      <c r="K93" s="25" t="s">
        <v>294</v>
      </c>
      <c r="L93" s="57"/>
      <c r="M93" s="26"/>
      <c r="N93" s="55"/>
      <c r="O93" s="28"/>
      <c r="P93" s="50" t="s">
        <v>140</v>
      </c>
      <c r="Q93" s="50" t="s">
        <v>140</v>
      </c>
      <c r="R93" s="25" t="s">
        <v>7</v>
      </c>
      <c r="S93" s="50"/>
      <c r="T93" s="65"/>
      <c r="U93" s="65"/>
      <c r="V93" s="65"/>
      <c r="W93" s="65"/>
      <c r="X93" s="65"/>
      <c r="Y93" s="65"/>
      <c r="Z93" s="65"/>
      <c r="AA93" s="65"/>
      <c r="AB93" s="65"/>
      <c r="AC93" s="65"/>
      <c r="AD93" s="65"/>
      <c r="AE93" s="65"/>
      <c r="AF93" s="65"/>
    </row>
    <row r="94" spans="1:32" ht="15.75" customHeight="1">
      <c r="A94" s="344"/>
      <c r="B94" s="344"/>
      <c r="C94" s="31">
        <v>3</v>
      </c>
      <c r="D94" s="344"/>
      <c r="E94" s="73" t="s">
        <v>2453</v>
      </c>
      <c r="F94" s="74" t="s">
        <v>326</v>
      </c>
      <c r="G94" s="74" t="s">
        <v>327</v>
      </c>
      <c r="H94" s="35" t="s">
        <v>2450</v>
      </c>
      <c r="I94" s="73" t="s">
        <v>2454</v>
      </c>
      <c r="J94" s="79"/>
      <c r="K94" s="25" t="s">
        <v>294</v>
      </c>
      <c r="L94" s="57"/>
      <c r="M94" s="26"/>
      <c r="N94" s="55"/>
      <c r="O94" s="28"/>
      <c r="P94" s="50" t="s">
        <v>140</v>
      </c>
      <c r="Q94" s="50" t="s">
        <v>140</v>
      </c>
      <c r="R94" s="25" t="s">
        <v>7</v>
      </c>
      <c r="S94" s="50"/>
      <c r="T94" s="65"/>
      <c r="U94" s="65"/>
      <c r="V94" s="65"/>
      <c r="W94" s="65"/>
      <c r="X94" s="65"/>
      <c r="Y94" s="65"/>
      <c r="Z94" s="65"/>
      <c r="AA94" s="65"/>
      <c r="AB94" s="65"/>
      <c r="AC94" s="65"/>
      <c r="AD94" s="65"/>
      <c r="AE94" s="65"/>
      <c r="AF94" s="65"/>
    </row>
    <row r="95" spans="1:32" ht="15.75" customHeight="1">
      <c r="A95" s="352"/>
      <c r="B95" s="352"/>
      <c r="C95" s="86">
        <v>4</v>
      </c>
      <c r="D95" s="352"/>
      <c r="E95" s="181" t="s">
        <v>2455</v>
      </c>
      <c r="F95" s="86" t="s">
        <v>326</v>
      </c>
      <c r="G95" s="86" t="s">
        <v>327</v>
      </c>
      <c r="H95" s="175" t="s">
        <v>2450</v>
      </c>
      <c r="I95" s="80" t="s">
        <v>2456</v>
      </c>
      <c r="J95" s="84"/>
      <c r="K95" s="25"/>
      <c r="L95" s="57"/>
      <c r="M95" s="66"/>
      <c r="N95" s="4"/>
      <c r="O95" s="28"/>
      <c r="P95" s="50" t="s">
        <v>140</v>
      </c>
      <c r="Q95" s="50" t="s">
        <v>140</v>
      </c>
      <c r="R95" s="50" t="s">
        <v>306</v>
      </c>
      <c r="S95" s="50"/>
      <c r="T95" s="5"/>
      <c r="U95" s="5"/>
      <c r="V95" s="5"/>
      <c r="W95" s="5"/>
      <c r="X95" s="5"/>
      <c r="Y95" s="5"/>
      <c r="Z95" s="5"/>
      <c r="AA95" s="5"/>
      <c r="AB95" s="5"/>
      <c r="AC95" s="5"/>
      <c r="AD95" s="5"/>
      <c r="AE95" s="5"/>
      <c r="AF95" s="5"/>
    </row>
    <row r="96" spans="1:32" ht="15.75" customHeight="1">
      <c r="A96" s="345"/>
      <c r="B96" s="345"/>
      <c r="C96" s="31">
        <v>5</v>
      </c>
      <c r="D96" s="345"/>
      <c r="E96" s="80" t="s">
        <v>2457</v>
      </c>
      <c r="F96" s="74" t="s">
        <v>326</v>
      </c>
      <c r="G96" s="74" t="s">
        <v>327</v>
      </c>
      <c r="H96" s="47" t="s">
        <v>2458</v>
      </c>
      <c r="I96" s="80" t="s">
        <v>2459</v>
      </c>
      <c r="J96" s="84"/>
      <c r="K96" s="25" t="s">
        <v>294</v>
      </c>
      <c r="L96" s="57"/>
      <c r="M96" s="66"/>
      <c r="N96" s="4"/>
      <c r="O96" s="28"/>
      <c r="P96" s="50" t="s">
        <v>140</v>
      </c>
      <c r="Q96" s="50" t="s">
        <v>140</v>
      </c>
      <c r="R96" s="25" t="s">
        <v>7</v>
      </c>
      <c r="S96" s="50"/>
      <c r="T96" s="5"/>
      <c r="U96" s="5"/>
      <c r="V96" s="5"/>
      <c r="W96" s="5"/>
      <c r="X96" s="5"/>
      <c r="Y96" s="5"/>
      <c r="Z96" s="5"/>
      <c r="AA96" s="5"/>
      <c r="AB96" s="5"/>
      <c r="AC96" s="5"/>
      <c r="AD96" s="5"/>
      <c r="AE96" s="5"/>
      <c r="AF96" s="5"/>
    </row>
    <row r="97" spans="1:32" ht="15.75" customHeight="1">
      <c r="A97" s="54" t="s">
        <v>2460</v>
      </c>
      <c r="B97" s="34" t="s">
        <v>2461</v>
      </c>
      <c r="C97" s="34">
        <v>1</v>
      </c>
      <c r="D97" s="54" t="s">
        <v>2462</v>
      </c>
      <c r="E97" s="54" t="s">
        <v>2463</v>
      </c>
      <c r="F97" s="34" t="s">
        <v>326</v>
      </c>
      <c r="G97" s="34" t="s">
        <v>2464</v>
      </c>
      <c r="H97" s="33" t="s">
        <v>2465</v>
      </c>
      <c r="I97" s="35" t="s">
        <v>2466</v>
      </c>
      <c r="J97" s="172"/>
      <c r="K97" s="25"/>
      <c r="L97" s="57"/>
      <c r="M97" s="133"/>
      <c r="N97" s="134"/>
      <c r="O97" s="28"/>
      <c r="P97" s="25"/>
      <c r="Q97" s="50" t="s">
        <v>140</v>
      </c>
      <c r="R97" s="25" t="s">
        <v>300</v>
      </c>
      <c r="S97" s="50"/>
      <c r="T97" s="65"/>
      <c r="U97" s="65"/>
      <c r="V97" s="65"/>
      <c r="W97" s="65"/>
      <c r="X97" s="65"/>
      <c r="Y97" s="65"/>
      <c r="Z97" s="65"/>
      <c r="AA97" s="65"/>
      <c r="AB97" s="65"/>
      <c r="AC97" s="65"/>
      <c r="AD97" s="65"/>
      <c r="AE97" s="65"/>
      <c r="AF97" s="65"/>
    </row>
    <row r="98" spans="1:32" ht="16.5" customHeight="1">
      <c r="A98" s="351" t="s">
        <v>2467</v>
      </c>
      <c r="B98" s="354" t="s">
        <v>159</v>
      </c>
      <c r="C98" s="34">
        <v>1</v>
      </c>
      <c r="D98" s="351" t="s">
        <v>2468</v>
      </c>
      <c r="E98" s="54" t="s">
        <v>2469</v>
      </c>
      <c r="F98" s="34" t="s">
        <v>326</v>
      </c>
      <c r="G98" s="34" t="s">
        <v>349</v>
      </c>
      <c r="H98" s="119" t="s">
        <v>2470</v>
      </c>
      <c r="I98" s="35" t="s">
        <v>2471</v>
      </c>
      <c r="J98" s="172"/>
      <c r="K98" s="25"/>
      <c r="L98" s="57"/>
      <c r="M98" s="121"/>
      <c r="N98" s="122"/>
      <c r="O98" s="28"/>
      <c r="P98" s="25"/>
      <c r="Q98" s="50" t="s">
        <v>282</v>
      </c>
      <c r="R98" s="25" t="s">
        <v>300</v>
      </c>
      <c r="S98" s="50"/>
      <c r="T98" s="65"/>
      <c r="U98" s="65"/>
      <c r="V98" s="65"/>
      <c r="W98" s="65"/>
      <c r="X98" s="65"/>
      <c r="Y98" s="65"/>
      <c r="Z98" s="65"/>
      <c r="AA98" s="65"/>
      <c r="AB98" s="65"/>
      <c r="AC98" s="65"/>
      <c r="AD98" s="65"/>
      <c r="AE98" s="65"/>
      <c r="AF98" s="65"/>
    </row>
    <row r="99" spans="1:32" ht="16.5" customHeight="1">
      <c r="A99" s="344"/>
      <c r="B99" s="344"/>
      <c r="C99" s="34">
        <v>2</v>
      </c>
      <c r="D99" s="344"/>
      <c r="E99" s="54" t="s">
        <v>2472</v>
      </c>
      <c r="F99" s="34" t="s">
        <v>326</v>
      </c>
      <c r="G99" s="34" t="s">
        <v>349</v>
      </c>
      <c r="H99" s="119" t="s">
        <v>2473</v>
      </c>
      <c r="I99" s="35" t="s">
        <v>2474</v>
      </c>
      <c r="J99" s="172"/>
      <c r="K99" s="25"/>
      <c r="L99" s="57"/>
      <c r="M99" s="121"/>
      <c r="N99" s="122"/>
      <c r="O99" s="28"/>
      <c r="P99" s="25"/>
      <c r="Q99" s="50" t="s">
        <v>282</v>
      </c>
      <c r="R99" s="25" t="s">
        <v>300</v>
      </c>
      <c r="S99" s="50"/>
      <c r="T99" s="65"/>
      <c r="U99" s="65"/>
      <c r="V99" s="65"/>
      <c r="W99" s="65"/>
      <c r="X99" s="65"/>
      <c r="Y99" s="65"/>
      <c r="Z99" s="65"/>
      <c r="AA99" s="65"/>
      <c r="AB99" s="65"/>
      <c r="AC99" s="65"/>
      <c r="AD99" s="65"/>
      <c r="AE99" s="65"/>
      <c r="AF99" s="65"/>
    </row>
    <row r="100" spans="1:32" ht="15.75" customHeight="1">
      <c r="A100" s="344"/>
      <c r="B100" s="344"/>
      <c r="C100" s="34">
        <v>3</v>
      </c>
      <c r="D100" s="344"/>
      <c r="E100" s="54" t="s">
        <v>2475</v>
      </c>
      <c r="F100" s="34" t="s">
        <v>326</v>
      </c>
      <c r="G100" s="34" t="s">
        <v>349</v>
      </c>
      <c r="H100" s="119" t="s">
        <v>2476</v>
      </c>
      <c r="I100" s="23" t="s">
        <v>2477</v>
      </c>
      <c r="J100" s="170"/>
      <c r="K100" s="25"/>
      <c r="L100" s="57"/>
      <c r="M100" s="121"/>
      <c r="N100" s="122"/>
      <c r="O100" s="28"/>
      <c r="P100" s="25"/>
      <c r="Q100" s="50" t="s">
        <v>282</v>
      </c>
      <c r="R100" s="25" t="s">
        <v>300</v>
      </c>
      <c r="S100" s="50"/>
      <c r="T100" s="65"/>
      <c r="U100" s="65"/>
      <c r="V100" s="65"/>
      <c r="W100" s="65"/>
      <c r="X100" s="65"/>
      <c r="Y100" s="65"/>
      <c r="Z100" s="65"/>
      <c r="AA100" s="65"/>
      <c r="AB100" s="65"/>
      <c r="AC100" s="65"/>
      <c r="AD100" s="65"/>
      <c r="AE100" s="65"/>
      <c r="AF100" s="65"/>
    </row>
    <row r="101" spans="1:32" ht="16.5" customHeight="1">
      <c r="A101" s="344"/>
      <c r="B101" s="344"/>
      <c r="C101" s="34">
        <v>4</v>
      </c>
      <c r="D101" s="344"/>
      <c r="E101" s="54" t="s">
        <v>2478</v>
      </c>
      <c r="F101" s="34" t="s">
        <v>326</v>
      </c>
      <c r="G101" s="34" t="s">
        <v>327</v>
      </c>
      <c r="H101" s="119" t="s">
        <v>2470</v>
      </c>
      <c r="I101" s="23" t="s">
        <v>2471</v>
      </c>
      <c r="J101" s="170"/>
      <c r="K101" s="25"/>
      <c r="L101" s="57"/>
      <c r="M101" s="121"/>
      <c r="N101" s="122"/>
      <c r="O101" s="28"/>
      <c r="P101" s="25"/>
      <c r="Q101" s="50" t="s">
        <v>282</v>
      </c>
      <c r="R101" s="25" t="s">
        <v>300</v>
      </c>
      <c r="S101" s="50"/>
      <c r="T101" s="65"/>
      <c r="U101" s="65"/>
      <c r="V101" s="65"/>
      <c r="W101" s="65"/>
      <c r="X101" s="65"/>
      <c r="Y101" s="65"/>
      <c r="Z101" s="65"/>
      <c r="AA101" s="65"/>
      <c r="AB101" s="65"/>
      <c r="AC101" s="65"/>
      <c r="AD101" s="65"/>
      <c r="AE101" s="65"/>
      <c r="AF101" s="65"/>
    </row>
    <row r="102" spans="1:32" ht="16.5" customHeight="1">
      <c r="A102" s="344"/>
      <c r="B102" s="344"/>
      <c r="C102" s="34">
        <v>5</v>
      </c>
      <c r="D102" s="344"/>
      <c r="E102" s="54" t="s">
        <v>2479</v>
      </c>
      <c r="F102" s="34" t="s">
        <v>326</v>
      </c>
      <c r="G102" s="34" t="s">
        <v>327</v>
      </c>
      <c r="H102" s="119" t="s">
        <v>2480</v>
      </c>
      <c r="I102" s="23" t="s">
        <v>2471</v>
      </c>
      <c r="J102" s="170"/>
      <c r="K102" s="25"/>
      <c r="L102" s="57"/>
      <c r="M102" s="121"/>
      <c r="N102" s="122"/>
      <c r="O102" s="28"/>
      <c r="P102" s="25"/>
      <c r="Q102" s="50" t="s">
        <v>282</v>
      </c>
      <c r="R102" s="25" t="s">
        <v>300</v>
      </c>
      <c r="S102" s="50"/>
      <c r="T102" s="65"/>
      <c r="U102" s="65"/>
      <c r="V102" s="65"/>
      <c r="W102" s="65"/>
      <c r="X102" s="65"/>
      <c r="Y102" s="65"/>
      <c r="Z102" s="65"/>
      <c r="AA102" s="65"/>
      <c r="AB102" s="65"/>
      <c r="AC102" s="65"/>
      <c r="AD102" s="65"/>
      <c r="AE102" s="65"/>
      <c r="AF102" s="65"/>
    </row>
    <row r="103" spans="1:32" ht="16.5" customHeight="1">
      <c r="A103" s="344"/>
      <c r="B103" s="345"/>
      <c r="C103" s="34">
        <v>6</v>
      </c>
      <c r="D103" s="344"/>
      <c r="E103" s="54" t="s">
        <v>2481</v>
      </c>
      <c r="F103" s="34" t="s">
        <v>326</v>
      </c>
      <c r="G103" s="34" t="s">
        <v>327</v>
      </c>
      <c r="H103" s="119" t="s">
        <v>2470</v>
      </c>
      <c r="I103" s="23" t="s">
        <v>2471</v>
      </c>
      <c r="J103" s="170"/>
      <c r="K103" s="25"/>
      <c r="L103" s="57"/>
      <c r="M103" s="121"/>
      <c r="N103" s="122"/>
      <c r="O103" s="28"/>
      <c r="P103" s="25"/>
      <c r="Q103" s="50" t="s">
        <v>282</v>
      </c>
      <c r="R103" s="25" t="s">
        <v>300</v>
      </c>
      <c r="S103" s="50"/>
      <c r="T103" s="65"/>
      <c r="U103" s="65"/>
      <c r="V103" s="65"/>
      <c r="W103" s="65"/>
      <c r="X103" s="65"/>
      <c r="Y103" s="65"/>
      <c r="Z103" s="65"/>
      <c r="AA103" s="65"/>
      <c r="AB103" s="65"/>
      <c r="AC103" s="65"/>
      <c r="AD103" s="65"/>
      <c r="AE103" s="65"/>
      <c r="AF103" s="65"/>
    </row>
    <row r="104" spans="1:32" ht="33" customHeight="1">
      <c r="A104" s="351" t="s">
        <v>2482</v>
      </c>
      <c r="B104" s="354" t="s">
        <v>120</v>
      </c>
      <c r="C104" s="34">
        <v>1</v>
      </c>
      <c r="D104" s="351" t="s">
        <v>2483</v>
      </c>
      <c r="E104" s="54" t="s">
        <v>2484</v>
      </c>
      <c r="F104" s="34" t="s">
        <v>326</v>
      </c>
      <c r="G104" s="34" t="s">
        <v>524</v>
      </c>
      <c r="H104" s="119" t="s">
        <v>2485</v>
      </c>
      <c r="I104" s="23" t="s">
        <v>2486</v>
      </c>
      <c r="J104" s="170"/>
      <c r="K104" s="25"/>
      <c r="L104" s="57"/>
      <c r="M104" s="43"/>
      <c r="N104" s="55"/>
      <c r="O104" s="28"/>
      <c r="P104" s="25"/>
      <c r="Q104" s="50" t="s">
        <v>140</v>
      </c>
      <c r="R104" s="25" t="s">
        <v>300</v>
      </c>
      <c r="S104" s="50"/>
      <c r="T104" s="65"/>
      <c r="U104" s="65"/>
      <c r="V104" s="65"/>
      <c r="W104" s="65"/>
      <c r="X104" s="65"/>
      <c r="Y104" s="65"/>
      <c r="Z104" s="65"/>
      <c r="AA104" s="65"/>
      <c r="AB104" s="65"/>
      <c r="AC104" s="65"/>
      <c r="AD104" s="65"/>
      <c r="AE104" s="65"/>
      <c r="AF104" s="65"/>
    </row>
    <row r="105" spans="1:32" ht="15.75" customHeight="1">
      <c r="A105" s="344"/>
      <c r="B105" s="344"/>
      <c r="C105" s="34">
        <v>2</v>
      </c>
      <c r="D105" s="344"/>
      <c r="E105" s="54" t="s">
        <v>2487</v>
      </c>
      <c r="F105" s="34" t="s">
        <v>326</v>
      </c>
      <c r="G105" s="34" t="s">
        <v>2488</v>
      </c>
      <c r="H105" s="119" t="s">
        <v>2489</v>
      </c>
      <c r="I105" s="23" t="s">
        <v>2486</v>
      </c>
      <c r="J105" s="170"/>
      <c r="K105" s="25"/>
      <c r="L105" s="57"/>
      <c r="M105" s="43"/>
      <c r="N105" s="55"/>
      <c r="O105" s="28"/>
      <c r="P105" s="25"/>
      <c r="Q105" s="50" t="s">
        <v>140</v>
      </c>
      <c r="R105" s="25" t="s">
        <v>300</v>
      </c>
      <c r="S105" s="50"/>
      <c r="T105" s="65"/>
      <c r="U105" s="65"/>
      <c r="V105" s="65"/>
      <c r="W105" s="65"/>
      <c r="X105" s="65"/>
      <c r="Y105" s="65"/>
      <c r="Z105" s="65"/>
      <c r="AA105" s="65"/>
      <c r="AB105" s="65"/>
      <c r="AC105" s="65"/>
      <c r="AD105" s="65"/>
      <c r="AE105" s="65"/>
      <c r="AF105" s="65"/>
    </row>
    <row r="106" spans="1:32" ht="15.75" customHeight="1">
      <c r="A106" s="344"/>
      <c r="B106" s="344"/>
      <c r="C106" s="34">
        <v>3</v>
      </c>
      <c r="D106" s="344"/>
      <c r="E106" s="54" t="s">
        <v>2490</v>
      </c>
      <c r="F106" s="34" t="s">
        <v>326</v>
      </c>
      <c r="G106" s="34" t="s">
        <v>2491</v>
      </c>
      <c r="H106" s="119" t="s">
        <v>2492</v>
      </c>
      <c r="I106" s="63" t="s">
        <v>2486</v>
      </c>
      <c r="J106" s="171"/>
      <c r="K106" s="25"/>
      <c r="L106" s="57"/>
      <c r="M106" s="43"/>
      <c r="N106" s="55"/>
      <c r="O106" s="28"/>
      <c r="P106" s="25"/>
      <c r="Q106" s="50" t="s">
        <v>140</v>
      </c>
      <c r="R106" s="25" t="s">
        <v>300</v>
      </c>
      <c r="S106" s="50"/>
      <c r="T106" s="65"/>
      <c r="U106" s="65"/>
      <c r="V106" s="65"/>
      <c r="W106" s="65"/>
      <c r="X106" s="65"/>
      <c r="Y106" s="65"/>
      <c r="Z106" s="65"/>
      <c r="AA106" s="65"/>
      <c r="AB106" s="65"/>
      <c r="AC106" s="65"/>
      <c r="AD106" s="65"/>
      <c r="AE106" s="65"/>
      <c r="AF106" s="65"/>
    </row>
    <row r="107" spans="1:32" ht="15.75" customHeight="1">
      <c r="A107" s="344"/>
      <c r="B107" s="344"/>
      <c r="C107" s="74">
        <v>4</v>
      </c>
      <c r="D107" s="344"/>
      <c r="E107" s="80" t="s">
        <v>2493</v>
      </c>
      <c r="F107" s="74" t="s">
        <v>326</v>
      </c>
      <c r="G107" s="74" t="s">
        <v>524</v>
      </c>
      <c r="H107" s="135" t="s">
        <v>2494</v>
      </c>
      <c r="I107" s="63" t="s">
        <v>2486</v>
      </c>
      <c r="J107" s="171"/>
      <c r="K107" s="25" t="s">
        <v>294</v>
      </c>
      <c r="L107" s="57"/>
      <c r="M107" s="43"/>
      <c r="N107" s="55"/>
      <c r="O107" s="28"/>
      <c r="P107" s="25"/>
      <c r="Q107" s="50" t="s">
        <v>140</v>
      </c>
      <c r="R107" s="25" t="s">
        <v>298</v>
      </c>
      <c r="S107" s="50"/>
      <c r="T107" s="65"/>
      <c r="U107" s="65"/>
      <c r="V107" s="65"/>
      <c r="W107" s="65"/>
      <c r="X107" s="65"/>
      <c r="Y107" s="65"/>
      <c r="Z107" s="65"/>
      <c r="AA107" s="65"/>
      <c r="AB107" s="65"/>
      <c r="AC107" s="65"/>
      <c r="AD107" s="65"/>
      <c r="AE107" s="65"/>
      <c r="AF107" s="65"/>
    </row>
    <row r="108" spans="1:32" ht="15.75" customHeight="1">
      <c r="A108" s="344"/>
      <c r="B108" s="344"/>
      <c r="C108" s="74">
        <v>5</v>
      </c>
      <c r="D108" s="344"/>
      <c r="E108" s="80" t="s">
        <v>2495</v>
      </c>
      <c r="F108" s="74" t="s">
        <v>326</v>
      </c>
      <c r="G108" s="74" t="s">
        <v>2488</v>
      </c>
      <c r="H108" s="135" t="s">
        <v>2496</v>
      </c>
      <c r="I108" s="63" t="s">
        <v>2486</v>
      </c>
      <c r="J108" s="171"/>
      <c r="K108" s="25" t="s">
        <v>294</v>
      </c>
      <c r="L108" s="57"/>
      <c r="M108" s="43"/>
      <c r="N108" s="55"/>
      <c r="O108" s="28"/>
      <c r="P108" s="25"/>
      <c r="Q108" s="50" t="s">
        <v>140</v>
      </c>
      <c r="R108" s="25" t="s">
        <v>298</v>
      </c>
      <c r="S108" s="50"/>
      <c r="T108" s="65"/>
      <c r="U108" s="65"/>
      <c r="V108" s="65"/>
      <c r="W108" s="65"/>
      <c r="X108" s="65"/>
      <c r="Y108" s="65"/>
      <c r="Z108" s="65"/>
      <c r="AA108" s="65"/>
      <c r="AB108" s="65"/>
      <c r="AC108" s="65"/>
      <c r="AD108" s="65"/>
      <c r="AE108" s="65"/>
      <c r="AF108" s="65"/>
    </row>
    <row r="109" spans="1:32" ht="15.75" customHeight="1">
      <c r="A109" s="345"/>
      <c r="B109" s="344"/>
      <c r="C109" s="74">
        <v>6</v>
      </c>
      <c r="D109" s="344"/>
      <c r="E109" s="80" t="s">
        <v>2497</v>
      </c>
      <c r="F109" s="74" t="s">
        <v>326</v>
      </c>
      <c r="G109" s="74" t="s">
        <v>2491</v>
      </c>
      <c r="H109" s="135" t="s">
        <v>2498</v>
      </c>
      <c r="I109" s="63" t="s">
        <v>2486</v>
      </c>
      <c r="J109" s="171"/>
      <c r="K109" s="25" t="s">
        <v>294</v>
      </c>
      <c r="L109" s="57"/>
      <c r="M109" s="43"/>
      <c r="N109" s="55"/>
      <c r="O109" s="28"/>
      <c r="P109" s="25"/>
      <c r="Q109" s="50" t="s">
        <v>140</v>
      </c>
      <c r="R109" s="25" t="s">
        <v>298</v>
      </c>
      <c r="S109" s="50"/>
      <c r="T109" s="65"/>
      <c r="U109" s="65"/>
      <c r="V109" s="65"/>
      <c r="W109" s="65"/>
      <c r="X109" s="65"/>
      <c r="Y109" s="65"/>
      <c r="Z109" s="65"/>
      <c r="AA109" s="65"/>
      <c r="AB109" s="65"/>
      <c r="AC109" s="65"/>
      <c r="AD109" s="65"/>
      <c r="AE109" s="65"/>
      <c r="AF109" s="65"/>
    </row>
    <row r="110" spans="1:32" ht="33" customHeight="1">
      <c r="A110" s="351" t="s">
        <v>2499</v>
      </c>
      <c r="B110" s="344"/>
      <c r="C110" s="34">
        <v>7</v>
      </c>
      <c r="D110" s="344"/>
      <c r="E110" s="54" t="s">
        <v>2500</v>
      </c>
      <c r="F110" s="34" t="s">
        <v>326</v>
      </c>
      <c r="G110" s="34" t="s">
        <v>524</v>
      </c>
      <c r="H110" s="119" t="s">
        <v>2501</v>
      </c>
      <c r="I110" s="63" t="s">
        <v>2502</v>
      </c>
      <c r="J110" s="171"/>
      <c r="K110" s="25"/>
      <c r="L110" s="57"/>
      <c r="M110" s="43"/>
      <c r="N110" s="55"/>
      <c r="O110" s="28"/>
      <c r="P110" s="25"/>
      <c r="Q110" s="50" t="s">
        <v>140</v>
      </c>
      <c r="R110" s="25" t="s">
        <v>300</v>
      </c>
      <c r="S110" s="50"/>
      <c r="T110" s="65"/>
      <c r="U110" s="65"/>
      <c r="V110" s="65"/>
      <c r="W110" s="65"/>
      <c r="X110" s="65"/>
      <c r="Y110" s="65"/>
      <c r="Z110" s="65"/>
      <c r="AA110" s="65"/>
      <c r="AB110" s="65"/>
      <c r="AC110" s="65"/>
      <c r="AD110" s="65"/>
      <c r="AE110" s="65"/>
      <c r="AF110" s="65"/>
    </row>
    <row r="111" spans="1:32" ht="15.75" customHeight="1">
      <c r="A111" s="344"/>
      <c r="B111" s="344"/>
      <c r="C111" s="34">
        <v>8</v>
      </c>
      <c r="D111" s="344"/>
      <c r="E111" s="54" t="s">
        <v>2503</v>
      </c>
      <c r="F111" s="34" t="s">
        <v>326</v>
      </c>
      <c r="G111" s="34" t="s">
        <v>524</v>
      </c>
      <c r="H111" s="119" t="s">
        <v>2504</v>
      </c>
      <c r="I111" s="63" t="s">
        <v>2502</v>
      </c>
      <c r="J111" s="171"/>
      <c r="K111" s="25"/>
      <c r="L111" s="57"/>
      <c r="M111" s="43"/>
      <c r="N111" s="55"/>
      <c r="O111" s="28"/>
      <c r="P111" s="25"/>
      <c r="Q111" s="50" t="s">
        <v>140</v>
      </c>
      <c r="R111" s="25" t="s">
        <v>300</v>
      </c>
      <c r="S111" s="50"/>
      <c r="T111" s="65"/>
      <c r="U111" s="65"/>
      <c r="V111" s="65"/>
      <c r="W111" s="65"/>
      <c r="X111" s="65"/>
      <c r="Y111" s="65"/>
      <c r="Z111" s="65"/>
      <c r="AA111" s="65"/>
      <c r="AB111" s="65"/>
      <c r="AC111" s="65"/>
      <c r="AD111" s="65"/>
      <c r="AE111" s="65"/>
      <c r="AF111" s="65"/>
    </row>
    <row r="112" spans="1:32" ht="15.75" customHeight="1">
      <c r="A112" s="344"/>
      <c r="B112" s="344"/>
      <c r="C112" s="34">
        <v>9</v>
      </c>
      <c r="D112" s="344"/>
      <c r="E112" s="54" t="s">
        <v>2505</v>
      </c>
      <c r="F112" s="34" t="s">
        <v>326</v>
      </c>
      <c r="G112" s="34" t="s">
        <v>524</v>
      </c>
      <c r="H112" s="119" t="s">
        <v>2506</v>
      </c>
      <c r="I112" s="63" t="s">
        <v>2502</v>
      </c>
      <c r="J112" s="171"/>
      <c r="K112" s="25"/>
      <c r="L112" s="57"/>
      <c r="M112" s="43"/>
      <c r="N112" s="55"/>
      <c r="O112" s="28"/>
      <c r="P112" s="25"/>
      <c r="Q112" s="50" t="s">
        <v>282</v>
      </c>
      <c r="R112" s="25" t="s">
        <v>300</v>
      </c>
      <c r="S112" s="50"/>
      <c r="T112" s="65"/>
      <c r="U112" s="65"/>
      <c r="V112" s="65"/>
      <c r="W112" s="65"/>
      <c r="X112" s="65"/>
      <c r="Y112" s="65"/>
      <c r="Z112" s="65"/>
      <c r="AA112" s="65"/>
      <c r="AB112" s="65"/>
      <c r="AC112" s="65"/>
      <c r="AD112" s="65"/>
      <c r="AE112" s="65"/>
      <c r="AF112" s="65"/>
    </row>
    <row r="113" spans="1:32" ht="15.75" customHeight="1">
      <c r="A113" s="344"/>
      <c r="B113" s="344"/>
      <c r="C113" s="34">
        <v>10</v>
      </c>
      <c r="D113" s="344"/>
      <c r="E113" s="54" t="s">
        <v>2507</v>
      </c>
      <c r="F113" s="34" t="s">
        <v>326</v>
      </c>
      <c r="G113" s="34" t="s">
        <v>524</v>
      </c>
      <c r="H113" s="119" t="s">
        <v>2508</v>
      </c>
      <c r="I113" s="63" t="s">
        <v>2502</v>
      </c>
      <c r="J113" s="171"/>
      <c r="K113" s="25"/>
      <c r="L113" s="57"/>
      <c r="M113" s="43"/>
      <c r="N113" s="55"/>
      <c r="O113" s="28"/>
      <c r="P113" s="25"/>
      <c r="Q113" s="50" t="s">
        <v>140</v>
      </c>
      <c r="R113" s="25" t="s">
        <v>300</v>
      </c>
      <c r="S113" s="50"/>
      <c r="T113" s="65"/>
      <c r="U113" s="65"/>
      <c r="V113" s="65"/>
      <c r="W113" s="65"/>
      <c r="X113" s="65"/>
      <c r="Y113" s="65"/>
      <c r="Z113" s="65"/>
      <c r="AA113" s="65"/>
      <c r="AB113" s="65"/>
      <c r="AC113" s="65"/>
      <c r="AD113" s="65"/>
      <c r="AE113" s="65"/>
      <c r="AF113" s="65"/>
    </row>
    <row r="114" spans="1:32" ht="15.75" customHeight="1">
      <c r="A114" s="344"/>
      <c r="B114" s="344"/>
      <c r="C114" s="34">
        <v>11</v>
      </c>
      <c r="D114" s="344"/>
      <c r="E114" s="54" t="s">
        <v>2509</v>
      </c>
      <c r="F114" s="34" t="s">
        <v>326</v>
      </c>
      <c r="G114" s="34" t="s">
        <v>524</v>
      </c>
      <c r="H114" s="119" t="s">
        <v>2510</v>
      </c>
      <c r="I114" s="63" t="s">
        <v>2502</v>
      </c>
      <c r="J114" s="171"/>
      <c r="K114" s="25"/>
      <c r="L114" s="57"/>
      <c r="M114" s="43"/>
      <c r="N114" s="55"/>
      <c r="O114" s="28"/>
      <c r="P114" s="25"/>
      <c r="Q114" s="50" t="s">
        <v>140</v>
      </c>
      <c r="R114" s="25" t="s">
        <v>300</v>
      </c>
      <c r="S114" s="50"/>
      <c r="T114" s="65"/>
      <c r="U114" s="65"/>
      <c r="V114" s="65"/>
      <c r="W114" s="65"/>
      <c r="X114" s="65"/>
      <c r="Y114" s="65"/>
      <c r="Z114" s="65"/>
      <c r="AA114" s="65"/>
      <c r="AB114" s="65"/>
      <c r="AC114" s="65"/>
      <c r="AD114" s="65"/>
      <c r="AE114" s="65"/>
      <c r="AF114" s="65"/>
    </row>
    <row r="115" spans="1:32" ht="15.75" customHeight="1">
      <c r="A115" s="344"/>
      <c r="B115" s="344"/>
      <c r="C115" s="34">
        <v>12</v>
      </c>
      <c r="D115" s="344"/>
      <c r="E115" s="54" t="s">
        <v>2511</v>
      </c>
      <c r="F115" s="34" t="s">
        <v>326</v>
      </c>
      <c r="G115" s="34" t="s">
        <v>524</v>
      </c>
      <c r="H115" s="119" t="s">
        <v>2512</v>
      </c>
      <c r="I115" s="63" t="s">
        <v>2502</v>
      </c>
      <c r="J115" s="171"/>
      <c r="K115" s="25"/>
      <c r="L115" s="57"/>
      <c r="M115" s="43"/>
      <c r="N115" s="55"/>
      <c r="O115" s="28"/>
      <c r="P115" s="25"/>
      <c r="Q115" s="50" t="s">
        <v>282</v>
      </c>
      <c r="R115" s="25" t="s">
        <v>300</v>
      </c>
      <c r="S115" s="50"/>
      <c r="T115" s="65"/>
      <c r="U115" s="65"/>
      <c r="V115" s="65"/>
      <c r="W115" s="65"/>
      <c r="X115" s="65"/>
      <c r="Y115" s="65"/>
      <c r="Z115" s="65"/>
      <c r="AA115" s="65"/>
      <c r="AB115" s="65"/>
      <c r="AC115" s="65"/>
      <c r="AD115" s="65"/>
      <c r="AE115" s="65"/>
      <c r="AF115" s="65"/>
    </row>
    <row r="116" spans="1:32" ht="15.75" customHeight="1">
      <c r="A116" s="344"/>
      <c r="B116" s="344"/>
      <c r="C116" s="74">
        <v>13</v>
      </c>
      <c r="D116" s="344"/>
      <c r="E116" s="80" t="s">
        <v>2513</v>
      </c>
      <c r="F116" s="74" t="s">
        <v>326</v>
      </c>
      <c r="G116" s="74" t="s">
        <v>524</v>
      </c>
      <c r="H116" s="135" t="s">
        <v>2501</v>
      </c>
      <c r="I116" s="63" t="s">
        <v>2502</v>
      </c>
      <c r="J116" s="171"/>
      <c r="K116" s="25" t="s">
        <v>294</v>
      </c>
      <c r="L116" s="57"/>
      <c r="M116" s="43"/>
      <c r="N116" s="55"/>
      <c r="O116" s="28"/>
      <c r="P116" s="25"/>
      <c r="Q116" s="50" t="s">
        <v>140</v>
      </c>
      <c r="R116" s="25" t="s">
        <v>298</v>
      </c>
      <c r="S116" s="50"/>
      <c r="T116" s="65"/>
      <c r="U116" s="65"/>
      <c r="V116" s="65"/>
      <c r="W116" s="65"/>
      <c r="X116" s="65"/>
      <c r="Y116" s="65"/>
      <c r="Z116" s="65"/>
      <c r="AA116" s="65"/>
      <c r="AB116" s="65"/>
      <c r="AC116" s="65"/>
      <c r="AD116" s="65"/>
      <c r="AE116" s="65"/>
      <c r="AF116" s="65"/>
    </row>
    <row r="117" spans="1:32" ht="15.75" customHeight="1">
      <c r="A117" s="344"/>
      <c r="B117" s="344"/>
      <c r="C117" s="74">
        <v>14</v>
      </c>
      <c r="D117" s="344"/>
      <c r="E117" s="80" t="s">
        <v>2514</v>
      </c>
      <c r="F117" s="74" t="s">
        <v>326</v>
      </c>
      <c r="G117" s="74" t="s">
        <v>524</v>
      </c>
      <c r="H117" s="135" t="s">
        <v>2504</v>
      </c>
      <c r="I117" s="63" t="s">
        <v>2502</v>
      </c>
      <c r="J117" s="171"/>
      <c r="K117" s="25" t="s">
        <v>294</v>
      </c>
      <c r="L117" s="57"/>
      <c r="M117" s="43"/>
      <c r="N117" s="55"/>
      <c r="O117" s="28"/>
      <c r="P117" s="25"/>
      <c r="Q117" s="50" t="s">
        <v>140</v>
      </c>
      <c r="R117" s="25" t="s">
        <v>298</v>
      </c>
      <c r="S117" s="50"/>
      <c r="T117" s="65"/>
      <c r="U117" s="65"/>
      <c r="V117" s="65"/>
      <c r="W117" s="65"/>
      <c r="X117" s="65"/>
      <c r="Y117" s="65"/>
      <c r="Z117" s="65"/>
      <c r="AA117" s="65"/>
      <c r="AB117" s="65"/>
      <c r="AC117" s="65"/>
      <c r="AD117" s="65"/>
      <c r="AE117" s="65"/>
      <c r="AF117" s="65"/>
    </row>
    <row r="118" spans="1:32" ht="15.75" customHeight="1">
      <c r="A118" s="344"/>
      <c r="B118" s="344"/>
      <c r="C118" s="74">
        <v>15</v>
      </c>
      <c r="D118" s="344"/>
      <c r="E118" s="80" t="s">
        <v>2515</v>
      </c>
      <c r="F118" s="74" t="s">
        <v>326</v>
      </c>
      <c r="G118" s="74" t="s">
        <v>524</v>
      </c>
      <c r="H118" s="135" t="s">
        <v>2516</v>
      </c>
      <c r="I118" s="63" t="s">
        <v>2502</v>
      </c>
      <c r="J118" s="171"/>
      <c r="K118" s="25"/>
      <c r="L118" s="57"/>
      <c r="M118" s="43"/>
      <c r="N118" s="55"/>
      <c r="O118" s="28"/>
      <c r="P118" s="25"/>
      <c r="Q118" s="50" t="s">
        <v>282</v>
      </c>
      <c r="R118" s="25" t="s">
        <v>298</v>
      </c>
      <c r="S118" s="50"/>
      <c r="T118" s="65"/>
      <c r="U118" s="65"/>
      <c r="V118" s="65"/>
      <c r="W118" s="65"/>
      <c r="X118" s="65"/>
      <c r="Y118" s="65"/>
      <c r="Z118" s="65"/>
      <c r="AA118" s="65"/>
      <c r="AB118" s="65"/>
      <c r="AC118" s="65"/>
      <c r="AD118" s="65"/>
      <c r="AE118" s="65"/>
      <c r="AF118" s="65"/>
    </row>
    <row r="119" spans="1:32" ht="15.75" customHeight="1">
      <c r="A119" s="344"/>
      <c r="B119" s="344"/>
      <c r="C119" s="74">
        <v>16</v>
      </c>
      <c r="D119" s="344"/>
      <c r="E119" s="80" t="s">
        <v>2517</v>
      </c>
      <c r="F119" s="74" t="s">
        <v>326</v>
      </c>
      <c r="G119" s="74" t="s">
        <v>524</v>
      </c>
      <c r="H119" s="135" t="s">
        <v>2508</v>
      </c>
      <c r="I119" s="63" t="s">
        <v>2502</v>
      </c>
      <c r="J119" s="171"/>
      <c r="K119" s="25" t="s">
        <v>294</v>
      </c>
      <c r="L119" s="57"/>
      <c r="M119" s="43"/>
      <c r="N119" s="55"/>
      <c r="O119" s="28"/>
      <c r="P119" s="25"/>
      <c r="Q119" s="50" t="s">
        <v>140</v>
      </c>
      <c r="R119" s="25" t="s">
        <v>298</v>
      </c>
      <c r="S119" s="50"/>
      <c r="T119" s="65"/>
      <c r="U119" s="65"/>
      <c r="V119" s="65"/>
      <c r="W119" s="65"/>
      <c r="X119" s="65"/>
      <c r="Y119" s="65"/>
      <c r="Z119" s="65"/>
      <c r="AA119" s="65"/>
      <c r="AB119" s="65"/>
      <c r="AC119" s="65"/>
      <c r="AD119" s="65"/>
      <c r="AE119" s="65"/>
      <c r="AF119" s="65"/>
    </row>
    <row r="120" spans="1:32" ht="15.75" customHeight="1">
      <c r="A120" s="344"/>
      <c r="B120" s="344"/>
      <c r="C120" s="74">
        <v>17</v>
      </c>
      <c r="D120" s="344"/>
      <c r="E120" s="80" t="s">
        <v>2518</v>
      </c>
      <c r="F120" s="74" t="s">
        <v>326</v>
      </c>
      <c r="G120" s="74" t="s">
        <v>524</v>
      </c>
      <c r="H120" s="135" t="s">
        <v>2510</v>
      </c>
      <c r="I120" s="63" t="s">
        <v>2502</v>
      </c>
      <c r="J120" s="171"/>
      <c r="K120" s="25" t="s">
        <v>294</v>
      </c>
      <c r="L120" s="57"/>
      <c r="M120" s="43"/>
      <c r="N120" s="55"/>
      <c r="O120" s="28"/>
      <c r="P120" s="25"/>
      <c r="Q120" s="50" t="s">
        <v>140</v>
      </c>
      <c r="R120" s="25" t="s">
        <v>298</v>
      </c>
      <c r="S120" s="50"/>
      <c r="T120" s="65"/>
      <c r="U120" s="65"/>
      <c r="V120" s="65"/>
      <c r="W120" s="65"/>
      <c r="X120" s="65"/>
      <c r="Y120" s="65"/>
      <c r="Z120" s="65"/>
      <c r="AA120" s="65"/>
      <c r="AB120" s="65"/>
      <c r="AC120" s="65"/>
      <c r="AD120" s="65"/>
      <c r="AE120" s="65"/>
      <c r="AF120" s="65"/>
    </row>
    <row r="121" spans="1:32" ht="15.75" customHeight="1">
      <c r="A121" s="345"/>
      <c r="B121" s="345"/>
      <c r="C121" s="74">
        <v>18</v>
      </c>
      <c r="D121" s="345"/>
      <c r="E121" s="80" t="s">
        <v>2519</v>
      </c>
      <c r="F121" s="74" t="s">
        <v>326</v>
      </c>
      <c r="G121" s="74" t="s">
        <v>524</v>
      </c>
      <c r="H121" s="135" t="s">
        <v>2512</v>
      </c>
      <c r="I121" s="63" t="s">
        <v>2502</v>
      </c>
      <c r="J121" s="171"/>
      <c r="K121" s="25"/>
      <c r="L121" s="57"/>
      <c r="M121" s="43"/>
      <c r="N121" s="55"/>
      <c r="O121" s="28"/>
      <c r="P121" s="25"/>
      <c r="Q121" s="50" t="s">
        <v>282</v>
      </c>
      <c r="R121" s="25" t="s">
        <v>298</v>
      </c>
      <c r="S121" s="50"/>
      <c r="T121" s="65"/>
      <c r="U121" s="65"/>
      <c r="V121" s="65"/>
      <c r="W121" s="65"/>
      <c r="X121" s="65"/>
      <c r="Y121" s="65"/>
      <c r="Z121" s="65"/>
      <c r="AA121" s="65"/>
      <c r="AB121" s="65"/>
      <c r="AC121" s="65"/>
      <c r="AD121" s="65"/>
      <c r="AE121" s="65"/>
      <c r="AF121" s="65"/>
    </row>
    <row r="122" spans="1:32" ht="15.75" customHeight="1">
      <c r="A122" s="54" t="s">
        <v>2520</v>
      </c>
      <c r="B122" s="34" t="s">
        <v>2521</v>
      </c>
      <c r="C122" s="34">
        <v>1</v>
      </c>
      <c r="D122" s="54" t="s">
        <v>2522</v>
      </c>
      <c r="E122" s="59" t="s">
        <v>30</v>
      </c>
      <c r="F122" s="53" t="s">
        <v>326</v>
      </c>
      <c r="G122" s="53" t="s">
        <v>327</v>
      </c>
      <c r="H122" s="54" t="s">
        <v>2523</v>
      </c>
      <c r="I122" s="63" t="s">
        <v>2524</v>
      </c>
      <c r="J122" s="171"/>
      <c r="K122" s="25"/>
      <c r="L122" s="57"/>
      <c r="M122" s="43"/>
      <c r="N122" s="55"/>
      <c r="O122" s="28"/>
      <c r="P122" s="25"/>
      <c r="Q122" s="50" t="s">
        <v>282</v>
      </c>
      <c r="R122" s="25" t="s">
        <v>300</v>
      </c>
      <c r="S122" s="50"/>
      <c r="T122" s="65"/>
      <c r="U122" s="65"/>
      <c r="V122" s="65"/>
      <c r="W122" s="65"/>
      <c r="X122" s="65"/>
      <c r="Y122" s="65"/>
      <c r="Z122" s="65"/>
      <c r="AA122" s="65"/>
      <c r="AB122" s="65"/>
      <c r="AC122" s="65"/>
      <c r="AD122" s="65"/>
      <c r="AE122" s="65"/>
      <c r="AF122" s="65"/>
    </row>
    <row r="123" spans="1:32" ht="15.75" customHeight="1">
      <c r="A123" s="54" t="s">
        <v>2525</v>
      </c>
      <c r="B123" s="34" t="s">
        <v>2526</v>
      </c>
      <c r="C123" s="34">
        <v>1</v>
      </c>
      <c r="D123" s="54" t="s">
        <v>2525</v>
      </c>
      <c r="E123" s="59" t="s">
        <v>2527</v>
      </c>
      <c r="F123" s="53" t="s">
        <v>326</v>
      </c>
      <c r="G123" s="53" t="s">
        <v>327</v>
      </c>
      <c r="H123" s="136" t="s">
        <v>2528</v>
      </c>
      <c r="I123" s="137" t="s">
        <v>2529</v>
      </c>
      <c r="J123" s="429"/>
      <c r="K123" s="25"/>
      <c r="L123" s="57"/>
      <c r="M123" s="383" t="s">
        <v>2530</v>
      </c>
      <c r="N123" s="122"/>
      <c r="O123" s="28"/>
      <c r="P123" s="25"/>
      <c r="Q123" s="50" t="s">
        <v>140</v>
      </c>
      <c r="R123" s="25" t="s">
        <v>300</v>
      </c>
      <c r="S123" s="50" t="s">
        <v>140</v>
      </c>
      <c r="T123" s="65"/>
      <c r="U123" s="65"/>
      <c r="V123" s="65"/>
      <c r="W123" s="65"/>
      <c r="X123" s="65"/>
      <c r="Y123" s="65"/>
      <c r="Z123" s="65"/>
      <c r="AA123" s="65"/>
      <c r="AB123" s="65"/>
      <c r="AC123" s="65"/>
      <c r="AD123" s="65"/>
      <c r="AE123" s="65"/>
      <c r="AF123" s="65"/>
    </row>
    <row r="124" spans="1:32" ht="15.75" customHeight="1">
      <c r="A124" s="351" t="s">
        <v>3</v>
      </c>
      <c r="B124" s="354" t="s">
        <v>2531</v>
      </c>
      <c r="C124" s="34">
        <v>1</v>
      </c>
      <c r="D124" s="351" t="s">
        <v>3</v>
      </c>
      <c r="E124" s="54" t="s">
        <v>2532</v>
      </c>
      <c r="F124" s="34" t="s">
        <v>326</v>
      </c>
      <c r="G124" s="34" t="s">
        <v>327</v>
      </c>
      <c r="H124" s="138" t="s">
        <v>2533</v>
      </c>
      <c r="I124" s="63" t="s">
        <v>2534</v>
      </c>
      <c r="J124" s="171"/>
      <c r="K124" s="25"/>
      <c r="L124" s="57"/>
      <c r="M124" s="344"/>
      <c r="N124" s="122"/>
      <c r="O124" s="28"/>
      <c r="P124" s="25"/>
      <c r="Q124" s="50" t="s">
        <v>140</v>
      </c>
      <c r="R124" s="25" t="s">
        <v>300</v>
      </c>
      <c r="S124" s="50" t="s">
        <v>140</v>
      </c>
      <c r="T124" s="65"/>
      <c r="U124" s="65"/>
      <c r="V124" s="65"/>
      <c r="W124" s="65"/>
      <c r="X124" s="65"/>
      <c r="Y124" s="65"/>
      <c r="Z124" s="65"/>
      <c r="AA124" s="65"/>
      <c r="AB124" s="65"/>
      <c r="AC124" s="65"/>
      <c r="AD124" s="65"/>
      <c r="AE124" s="65"/>
      <c r="AF124" s="65"/>
    </row>
    <row r="125" spans="1:32" ht="15.75" customHeight="1">
      <c r="A125" s="344"/>
      <c r="B125" s="344"/>
      <c r="C125" s="34">
        <v>2</v>
      </c>
      <c r="D125" s="344"/>
      <c r="E125" s="54" t="s">
        <v>2535</v>
      </c>
      <c r="F125" s="34" t="s">
        <v>326</v>
      </c>
      <c r="G125" s="34" t="s">
        <v>327</v>
      </c>
      <c r="H125" s="138" t="s">
        <v>2533</v>
      </c>
      <c r="I125" s="63" t="s">
        <v>2534</v>
      </c>
      <c r="J125" s="171"/>
      <c r="K125" s="25"/>
      <c r="L125" s="57"/>
      <c r="M125" s="344"/>
      <c r="N125" s="122"/>
      <c r="O125" s="28"/>
      <c r="P125" s="25"/>
      <c r="Q125" s="50" t="s">
        <v>140</v>
      </c>
      <c r="R125" s="25" t="s">
        <v>300</v>
      </c>
      <c r="S125" s="50" t="s">
        <v>140</v>
      </c>
      <c r="T125" s="65"/>
      <c r="U125" s="65"/>
      <c r="V125" s="65"/>
      <c r="W125" s="65"/>
      <c r="X125" s="65"/>
      <c r="Y125" s="65"/>
      <c r="Z125" s="65"/>
      <c r="AA125" s="65"/>
      <c r="AB125" s="65"/>
      <c r="AC125" s="65"/>
      <c r="AD125" s="65"/>
      <c r="AE125" s="65"/>
      <c r="AF125" s="65"/>
    </row>
    <row r="126" spans="1:32" ht="15.75" customHeight="1">
      <c r="A126" s="344"/>
      <c r="B126" s="344"/>
      <c r="C126" s="34">
        <v>3</v>
      </c>
      <c r="D126" s="344"/>
      <c r="E126" s="54" t="s">
        <v>2536</v>
      </c>
      <c r="F126" s="34" t="s">
        <v>326</v>
      </c>
      <c r="G126" s="34" t="s">
        <v>327</v>
      </c>
      <c r="H126" s="138" t="s">
        <v>2537</v>
      </c>
      <c r="I126" s="63" t="s">
        <v>2534</v>
      </c>
      <c r="J126" s="171"/>
      <c r="K126" s="25"/>
      <c r="L126" s="57"/>
      <c r="M126" s="344"/>
      <c r="N126" s="122"/>
      <c r="O126" s="28"/>
      <c r="P126" s="25"/>
      <c r="Q126" s="50" t="s">
        <v>140</v>
      </c>
      <c r="R126" s="25" t="s">
        <v>300</v>
      </c>
      <c r="S126" s="50" t="s">
        <v>140</v>
      </c>
      <c r="T126" s="65"/>
      <c r="U126" s="65"/>
      <c r="V126" s="65"/>
      <c r="W126" s="65"/>
      <c r="X126" s="65"/>
      <c r="Y126" s="65"/>
      <c r="Z126" s="65"/>
      <c r="AA126" s="65"/>
      <c r="AB126" s="65"/>
      <c r="AC126" s="65"/>
      <c r="AD126" s="65"/>
      <c r="AE126" s="65"/>
      <c r="AF126" s="65"/>
    </row>
    <row r="127" spans="1:32" ht="15.75" customHeight="1">
      <c r="A127" s="344"/>
      <c r="B127" s="344"/>
      <c r="C127" s="34">
        <v>4</v>
      </c>
      <c r="D127" s="344"/>
      <c r="E127" s="54" t="s">
        <v>2538</v>
      </c>
      <c r="F127" s="34" t="s">
        <v>326</v>
      </c>
      <c r="G127" s="34" t="s">
        <v>327</v>
      </c>
      <c r="H127" s="138" t="s">
        <v>2539</v>
      </c>
      <c r="I127" s="63" t="s">
        <v>2534</v>
      </c>
      <c r="J127" s="171"/>
      <c r="K127" s="25"/>
      <c r="L127" s="57"/>
      <c r="M127" s="344"/>
      <c r="N127" s="122"/>
      <c r="O127" s="28"/>
      <c r="P127" s="25"/>
      <c r="Q127" s="50" t="s">
        <v>140</v>
      </c>
      <c r="R127" s="25" t="s">
        <v>300</v>
      </c>
      <c r="S127" s="50" t="s">
        <v>140</v>
      </c>
      <c r="T127" s="65"/>
      <c r="U127" s="65"/>
      <c r="V127" s="65"/>
      <c r="W127" s="65"/>
      <c r="X127" s="65"/>
      <c r="Y127" s="65"/>
      <c r="Z127" s="65"/>
      <c r="AA127" s="65"/>
      <c r="AB127" s="65"/>
      <c r="AC127" s="65"/>
      <c r="AD127" s="65"/>
      <c r="AE127" s="65"/>
      <c r="AF127" s="65"/>
    </row>
    <row r="128" spans="1:32" ht="15.75" customHeight="1">
      <c r="A128" s="344"/>
      <c r="B128" s="344"/>
      <c r="C128" s="34">
        <v>5</v>
      </c>
      <c r="D128" s="344"/>
      <c r="E128" s="54" t="s">
        <v>2540</v>
      </c>
      <c r="F128" s="34" t="s">
        <v>326</v>
      </c>
      <c r="G128" s="34" t="s">
        <v>327</v>
      </c>
      <c r="H128" s="138" t="s">
        <v>2537</v>
      </c>
      <c r="I128" s="63" t="s">
        <v>2534</v>
      </c>
      <c r="J128" s="171"/>
      <c r="K128" s="25"/>
      <c r="L128" s="57"/>
      <c r="M128" s="344"/>
      <c r="N128" s="122"/>
      <c r="O128" s="28"/>
      <c r="P128" s="25"/>
      <c r="Q128" s="50" t="s">
        <v>140</v>
      </c>
      <c r="R128" s="25" t="s">
        <v>300</v>
      </c>
      <c r="S128" s="50" t="s">
        <v>140</v>
      </c>
      <c r="T128" s="65"/>
      <c r="U128" s="65"/>
      <c r="V128" s="65"/>
      <c r="W128" s="65"/>
      <c r="X128" s="65"/>
      <c r="Y128" s="65"/>
      <c r="Z128" s="65"/>
      <c r="AA128" s="65"/>
      <c r="AB128" s="65"/>
      <c r="AC128" s="65"/>
      <c r="AD128" s="65"/>
      <c r="AE128" s="65"/>
      <c r="AF128" s="65"/>
    </row>
    <row r="129" spans="1:32" ht="15.75" customHeight="1">
      <c r="A129" s="344"/>
      <c r="B129" s="344"/>
      <c r="C129" s="34">
        <v>6</v>
      </c>
      <c r="D129" s="344"/>
      <c r="E129" s="54" t="s">
        <v>2541</v>
      </c>
      <c r="F129" s="34" t="s">
        <v>326</v>
      </c>
      <c r="G129" s="34" t="s">
        <v>327</v>
      </c>
      <c r="H129" s="138" t="s">
        <v>2537</v>
      </c>
      <c r="I129" s="63" t="s">
        <v>2534</v>
      </c>
      <c r="J129" s="171"/>
      <c r="K129" s="25"/>
      <c r="L129" s="57"/>
      <c r="M129" s="344"/>
      <c r="N129" s="122"/>
      <c r="O129" s="28"/>
      <c r="P129" s="25"/>
      <c r="Q129" s="50" t="s">
        <v>140</v>
      </c>
      <c r="R129" s="25" t="s">
        <v>300</v>
      </c>
      <c r="S129" s="50" t="s">
        <v>140</v>
      </c>
      <c r="T129" s="65"/>
      <c r="U129" s="65"/>
      <c r="V129" s="65"/>
      <c r="W129" s="65"/>
      <c r="X129" s="65"/>
      <c r="Y129" s="65"/>
      <c r="Z129" s="65"/>
      <c r="AA129" s="65"/>
      <c r="AB129" s="65"/>
      <c r="AC129" s="65"/>
      <c r="AD129" s="65"/>
      <c r="AE129" s="65"/>
      <c r="AF129" s="65"/>
    </row>
    <row r="130" spans="1:32" ht="15.75" customHeight="1">
      <c r="A130" s="345"/>
      <c r="B130" s="345"/>
      <c r="C130" s="34">
        <v>7</v>
      </c>
      <c r="D130" s="345"/>
      <c r="E130" s="54" t="s">
        <v>2542</v>
      </c>
      <c r="F130" s="34" t="s">
        <v>326</v>
      </c>
      <c r="G130" s="34" t="s">
        <v>327</v>
      </c>
      <c r="H130" s="138" t="s">
        <v>2543</v>
      </c>
      <c r="I130" s="63" t="s">
        <v>2544</v>
      </c>
      <c r="J130" s="171"/>
      <c r="K130" s="25"/>
      <c r="L130" s="57"/>
      <c r="M130" s="344"/>
      <c r="N130" s="122"/>
      <c r="O130" s="28"/>
      <c r="P130" s="25"/>
      <c r="Q130" s="50" t="s">
        <v>140</v>
      </c>
      <c r="R130" s="25" t="s">
        <v>300</v>
      </c>
      <c r="S130" s="50" t="s">
        <v>140</v>
      </c>
      <c r="T130" s="65"/>
      <c r="U130" s="65"/>
      <c r="V130" s="65"/>
      <c r="W130" s="65"/>
      <c r="X130" s="65"/>
      <c r="Y130" s="65"/>
      <c r="Z130" s="65"/>
      <c r="AA130" s="65"/>
      <c r="AB130" s="65"/>
      <c r="AC130" s="65"/>
      <c r="AD130" s="65"/>
      <c r="AE130" s="65"/>
      <c r="AF130" s="65"/>
    </row>
    <row r="131" spans="1:32" ht="15.75" customHeight="1">
      <c r="A131" s="361" t="s">
        <v>4</v>
      </c>
      <c r="B131" s="354" t="s">
        <v>2545</v>
      </c>
      <c r="C131" s="34">
        <v>1</v>
      </c>
      <c r="D131" s="361" t="s">
        <v>4</v>
      </c>
      <c r="E131" s="54" t="s">
        <v>2546</v>
      </c>
      <c r="F131" s="34" t="s">
        <v>326</v>
      </c>
      <c r="G131" s="34" t="s">
        <v>327</v>
      </c>
      <c r="H131" s="138" t="s">
        <v>2547</v>
      </c>
      <c r="I131" s="63" t="s">
        <v>2548</v>
      </c>
      <c r="J131" s="171"/>
      <c r="K131" s="25"/>
      <c r="L131" s="57"/>
      <c r="M131" s="344"/>
      <c r="N131" s="122"/>
      <c r="O131" s="28"/>
      <c r="P131" s="25"/>
      <c r="Q131" s="50" t="s">
        <v>140</v>
      </c>
      <c r="R131" s="25" t="s">
        <v>300</v>
      </c>
      <c r="S131" s="50" t="s">
        <v>140</v>
      </c>
      <c r="T131" s="65"/>
      <c r="U131" s="65"/>
      <c r="V131" s="65"/>
      <c r="W131" s="65"/>
      <c r="X131" s="65"/>
      <c r="Y131" s="65"/>
      <c r="Z131" s="65"/>
      <c r="AA131" s="65"/>
      <c r="AB131" s="65"/>
      <c r="AC131" s="65"/>
      <c r="AD131" s="65"/>
      <c r="AE131" s="65"/>
      <c r="AF131" s="65"/>
    </row>
    <row r="132" spans="1:32" ht="15.75" customHeight="1">
      <c r="A132" s="344"/>
      <c r="B132" s="344"/>
      <c r="C132" s="34">
        <v>2</v>
      </c>
      <c r="D132" s="344"/>
      <c r="E132" s="54" t="s">
        <v>2549</v>
      </c>
      <c r="F132" s="34" t="s">
        <v>326</v>
      </c>
      <c r="G132" s="34" t="s">
        <v>327</v>
      </c>
      <c r="H132" s="138" t="s">
        <v>2550</v>
      </c>
      <c r="I132" s="23" t="s">
        <v>2534</v>
      </c>
      <c r="J132" s="170"/>
      <c r="K132" s="25"/>
      <c r="L132" s="57"/>
      <c r="M132" s="344"/>
      <c r="N132" s="122"/>
      <c r="O132" s="28"/>
      <c r="P132" s="25"/>
      <c r="Q132" s="50" t="s">
        <v>140</v>
      </c>
      <c r="R132" s="25" t="s">
        <v>300</v>
      </c>
      <c r="S132" s="50" t="s">
        <v>140</v>
      </c>
      <c r="T132" s="65"/>
      <c r="U132" s="65"/>
      <c r="V132" s="65"/>
      <c r="W132" s="65"/>
      <c r="X132" s="65"/>
      <c r="Y132" s="65"/>
      <c r="Z132" s="65"/>
      <c r="AA132" s="65"/>
      <c r="AB132" s="65"/>
      <c r="AC132" s="65"/>
      <c r="AD132" s="65"/>
      <c r="AE132" s="65"/>
      <c r="AF132" s="65"/>
    </row>
    <row r="133" spans="1:32" ht="15.75" customHeight="1">
      <c r="A133" s="344"/>
      <c r="B133" s="344"/>
      <c r="C133" s="34">
        <v>3</v>
      </c>
      <c r="D133" s="344"/>
      <c r="E133" s="54" t="s">
        <v>2551</v>
      </c>
      <c r="F133" s="34" t="s">
        <v>326</v>
      </c>
      <c r="G133" s="34" t="s">
        <v>327</v>
      </c>
      <c r="H133" s="138" t="s">
        <v>2552</v>
      </c>
      <c r="I133" s="23" t="s">
        <v>2553</v>
      </c>
      <c r="J133" s="170"/>
      <c r="K133" s="25"/>
      <c r="L133" s="57"/>
      <c r="M133" s="344"/>
      <c r="N133" s="122"/>
      <c r="O133" s="28"/>
      <c r="P133" s="25"/>
      <c r="Q133" s="50" t="s">
        <v>140</v>
      </c>
      <c r="R133" s="25" t="s">
        <v>300</v>
      </c>
      <c r="S133" s="50" t="s">
        <v>140</v>
      </c>
      <c r="T133" s="65"/>
      <c r="U133" s="65"/>
      <c r="V133" s="65"/>
      <c r="W133" s="65"/>
      <c r="X133" s="65"/>
      <c r="Y133" s="65"/>
      <c r="Z133" s="65"/>
      <c r="AA133" s="65"/>
      <c r="AB133" s="65"/>
      <c r="AC133" s="65"/>
      <c r="AD133" s="65"/>
      <c r="AE133" s="65"/>
      <c r="AF133" s="65"/>
    </row>
    <row r="134" spans="1:32" ht="15.75" customHeight="1">
      <c r="A134" s="345"/>
      <c r="B134" s="345"/>
      <c r="C134" s="34">
        <v>4</v>
      </c>
      <c r="D134" s="345"/>
      <c r="E134" s="54" t="s">
        <v>2554</v>
      </c>
      <c r="F134" s="34" t="s">
        <v>326</v>
      </c>
      <c r="G134" s="34" t="s">
        <v>327</v>
      </c>
      <c r="H134" s="138" t="s">
        <v>2550</v>
      </c>
      <c r="I134" s="23" t="s">
        <v>2555</v>
      </c>
      <c r="J134" s="170"/>
      <c r="K134" s="25"/>
      <c r="L134" s="57"/>
      <c r="M134" s="344"/>
      <c r="N134" s="122"/>
      <c r="O134" s="28"/>
      <c r="P134" s="25"/>
      <c r="Q134" s="50" t="s">
        <v>140</v>
      </c>
      <c r="R134" s="25" t="s">
        <v>300</v>
      </c>
      <c r="S134" s="50" t="s">
        <v>140</v>
      </c>
      <c r="T134" s="65"/>
      <c r="U134" s="65"/>
      <c r="V134" s="65"/>
      <c r="W134" s="65"/>
      <c r="X134" s="65"/>
      <c r="Y134" s="65"/>
      <c r="Z134" s="65"/>
      <c r="AA134" s="65"/>
      <c r="AB134" s="65"/>
      <c r="AC134" s="65"/>
      <c r="AD134" s="65"/>
      <c r="AE134" s="65"/>
      <c r="AF134" s="65"/>
    </row>
    <row r="135" spans="1:32" ht="33" customHeight="1">
      <c r="A135" s="361" t="s">
        <v>2556</v>
      </c>
      <c r="B135" s="354" t="s">
        <v>2557</v>
      </c>
      <c r="C135" s="34">
        <v>1</v>
      </c>
      <c r="D135" s="361" t="s">
        <v>2558</v>
      </c>
      <c r="E135" s="33" t="s">
        <v>2559</v>
      </c>
      <c r="F135" s="34" t="s">
        <v>326</v>
      </c>
      <c r="G135" s="34" t="s">
        <v>327</v>
      </c>
      <c r="H135" s="138" t="s">
        <v>2560</v>
      </c>
      <c r="I135" s="23" t="s">
        <v>2534</v>
      </c>
      <c r="J135" s="170"/>
      <c r="K135" s="25"/>
      <c r="L135" s="57"/>
      <c r="M135" s="344"/>
      <c r="N135" s="122"/>
      <c r="O135" s="28"/>
      <c r="P135" s="25"/>
      <c r="Q135" s="50" t="s">
        <v>140</v>
      </c>
      <c r="R135" s="25" t="s">
        <v>300</v>
      </c>
      <c r="S135" s="50" t="s">
        <v>140</v>
      </c>
      <c r="T135" s="65"/>
      <c r="U135" s="65"/>
      <c r="V135" s="65"/>
      <c r="W135" s="65"/>
      <c r="X135" s="65"/>
      <c r="Y135" s="65"/>
      <c r="Z135" s="65"/>
      <c r="AA135" s="65"/>
      <c r="AB135" s="65"/>
      <c r="AC135" s="65"/>
      <c r="AD135" s="65"/>
      <c r="AE135" s="65"/>
      <c r="AF135" s="65"/>
    </row>
    <row r="136" spans="1:32" ht="15.75" customHeight="1">
      <c r="A136" s="344"/>
      <c r="B136" s="344"/>
      <c r="C136" s="34">
        <v>2</v>
      </c>
      <c r="D136" s="344"/>
      <c r="E136" s="33" t="s">
        <v>2561</v>
      </c>
      <c r="F136" s="34" t="s">
        <v>326</v>
      </c>
      <c r="G136" s="34" t="s">
        <v>327</v>
      </c>
      <c r="H136" s="138" t="s">
        <v>2562</v>
      </c>
      <c r="I136" s="23" t="s">
        <v>2534</v>
      </c>
      <c r="J136" s="170"/>
      <c r="K136" s="25"/>
      <c r="L136" s="57"/>
      <c r="M136" s="344"/>
      <c r="N136" s="122"/>
      <c r="O136" s="28"/>
      <c r="P136" s="25"/>
      <c r="Q136" s="50" t="s">
        <v>140</v>
      </c>
      <c r="R136" s="25" t="s">
        <v>300</v>
      </c>
      <c r="S136" s="50" t="s">
        <v>140</v>
      </c>
      <c r="T136" s="65"/>
      <c r="U136" s="65"/>
      <c r="V136" s="65"/>
      <c r="W136" s="65"/>
      <c r="X136" s="65"/>
      <c r="Y136" s="65"/>
      <c r="Z136" s="65"/>
      <c r="AA136" s="65"/>
      <c r="AB136" s="65"/>
      <c r="AC136" s="65"/>
      <c r="AD136" s="65"/>
      <c r="AE136" s="65"/>
      <c r="AF136" s="65"/>
    </row>
    <row r="137" spans="1:32" ht="15.75" customHeight="1">
      <c r="A137" s="344"/>
      <c r="B137" s="344"/>
      <c r="C137" s="34">
        <v>3</v>
      </c>
      <c r="D137" s="344"/>
      <c r="E137" s="33" t="s">
        <v>2563</v>
      </c>
      <c r="F137" s="34" t="s">
        <v>326</v>
      </c>
      <c r="G137" s="34" t="s">
        <v>327</v>
      </c>
      <c r="H137" s="138" t="s">
        <v>2564</v>
      </c>
      <c r="I137" s="23" t="s">
        <v>2534</v>
      </c>
      <c r="J137" s="170"/>
      <c r="K137" s="25"/>
      <c r="L137" s="57"/>
      <c r="M137" s="344"/>
      <c r="N137" s="122"/>
      <c r="O137" s="28"/>
      <c r="P137" s="25"/>
      <c r="Q137" s="50" t="s">
        <v>140</v>
      </c>
      <c r="R137" s="25" t="s">
        <v>300</v>
      </c>
      <c r="S137" s="50" t="s">
        <v>140</v>
      </c>
      <c r="T137" s="65"/>
      <c r="U137" s="65"/>
      <c r="V137" s="65"/>
      <c r="W137" s="65"/>
      <c r="X137" s="65"/>
      <c r="Y137" s="65"/>
      <c r="Z137" s="65"/>
      <c r="AA137" s="65"/>
      <c r="AB137" s="65"/>
      <c r="AC137" s="65"/>
      <c r="AD137" s="65"/>
      <c r="AE137" s="65"/>
      <c r="AF137" s="65"/>
    </row>
    <row r="138" spans="1:32" ht="15.75" customHeight="1">
      <c r="A138" s="344"/>
      <c r="B138" s="344"/>
      <c r="C138" s="34">
        <v>4</v>
      </c>
      <c r="D138" s="344"/>
      <c r="E138" s="33" t="s">
        <v>2565</v>
      </c>
      <c r="F138" s="34" t="s">
        <v>326</v>
      </c>
      <c r="G138" s="34" t="s">
        <v>327</v>
      </c>
      <c r="H138" s="138" t="s">
        <v>2566</v>
      </c>
      <c r="I138" s="23" t="s">
        <v>2534</v>
      </c>
      <c r="J138" s="170"/>
      <c r="K138" s="25"/>
      <c r="L138" s="57"/>
      <c r="M138" s="344"/>
      <c r="N138" s="122"/>
      <c r="O138" s="28"/>
      <c r="P138" s="25"/>
      <c r="Q138" s="50" t="s">
        <v>140</v>
      </c>
      <c r="R138" s="25" t="s">
        <v>300</v>
      </c>
      <c r="S138" s="50" t="s">
        <v>140</v>
      </c>
      <c r="T138" s="65"/>
      <c r="U138" s="65"/>
      <c r="V138" s="65"/>
      <c r="W138" s="65"/>
      <c r="X138" s="65"/>
      <c r="Y138" s="65"/>
      <c r="Z138" s="65"/>
      <c r="AA138" s="65"/>
      <c r="AB138" s="65"/>
      <c r="AC138" s="65"/>
      <c r="AD138" s="65"/>
      <c r="AE138" s="65"/>
      <c r="AF138" s="65"/>
    </row>
    <row r="139" spans="1:32" ht="15.75" customHeight="1">
      <c r="A139" s="345"/>
      <c r="B139" s="345"/>
      <c r="C139" s="34">
        <v>5</v>
      </c>
      <c r="D139" s="345"/>
      <c r="E139" s="33" t="s">
        <v>2567</v>
      </c>
      <c r="F139" s="34" t="s">
        <v>326</v>
      </c>
      <c r="G139" s="34" t="s">
        <v>327</v>
      </c>
      <c r="H139" s="138" t="s">
        <v>2568</v>
      </c>
      <c r="I139" s="23" t="s">
        <v>2534</v>
      </c>
      <c r="J139" s="170"/>
      <c r="K139" s="25"/>
      <c r="L139" s="57"/>
      <c r="M139" s="344"/>
      <c r="N139" s="122"/>
      <c r="O139" s="28"/>
      <c r="P139" s="25"/>
      <c r="Q139" s="50" t="s">
        <v>140</v>
      </c>
      <c r="R139" s="25" t="s">
        <v>300</v>
      </c>
      <c r="S139" s="50" t="s">
        <v>140</v>
      </c>
      <c r="T139" s="65"/>
      <c r="U139" s="65"/>
      <c r="V139" s="65"/>
      <c r="W139" s="65"/>
      <c r="X139" s="65"/>
      <c r="Y139" s="65"/>
      <c r="Z139" s="65"/>
      <c r="AA139" s="65"/>
      <c r="AB139" s="65"/>
      <c r="AC139" s="65"/>
      <c r="AD139" s="65"/>
      <c r="AE139" s="65"/>
      <c r="AF139" s="65"/>
    </row>
    <row r="140" spans="1:32" ht="33" customHeight="1">
      <c r="A140" s="361" t="s">
        <v>2569</v>
      </c>
      <c r="B140" s="354" t="s">
        <v>2570</v>
      </c>
      <c r="C140" s="34">
        <v>1</v>
      </c>
      <c r="D140" s="361" t="s">
        <v>2571</v>
      </c>
      <c r="E140" s="54" t="s">
        <v>2572</v>
      </c>
      <c r="F140" s="34" t="s">
        <v>326</v>
      </c>
      <c r="G140" s="34" t="s">
        <v>327</v>
      </c>
      <c r="H140" s="33" t="s">
        <v>2573</v>
      </c>
      <c r="I140" s="23" t="s">
        <v>2534</v>
      </c>
      <c r="J140" s="170"/>
      <c r="K140" s="25"/>
      <c r="L140" s="57"/>
      <c r="M140" s="344"/>
      <c r="N140" s="122"/>
      <c r="O140" s="28"/>
      <c r="P140" s="25"/>
      <c r="Q140" s="50" t="s">
        <v>140</v>
      </c>
      <c r="R140" s="25" t="s">
        <v>300</v>
      </c>
      <c r="S140" s="50" t="s">
        <v>140</v>
      </c>
      <c r="T140" s="65"/>
      <c r="U140" s="65"/>
      <c r="V140" s="65"/>
      <c r="W140" s="65"/>
      <c r="X140" s="65"/>
      <c r="Y140" s="65"/>
      <c r="Z140" s="65"/>
      <c r="AA140" s="65"/>
      <c r="AB140" s="65"/>
      <c r="AC140" s="65"/>
      <c r="AD140" s="65"/>
      <c r="AE140" s="65"/>
      <c r="AF140" s="65"/>
    </row>
    <row r="141" spans="1:32" ht="15.75" customHeight="1">
      <c r="A141" s="344"/>
      <c r="B141" s="344"/>
      <c r="C141" s="34">
        <v>2</v>
      </c>
      <c r="D141" s="344"/>
      <c r="E141" s="54" t="s">
        <v>2574</v>
      </c>
      <c r="F141" s="34" t="s">
        <v>326</v>
      </c>
      <c r="G141" s="34" t="s">
        <v>327</v>
      </c>
      <c r="H141" s="33" t="s">
        <v>2575</v>
      </c>
      <c r="I141" s="23" t="s">
        <v>2534</v>
      </c>
      <c r="J141" s="170"/>
      <c r="K141" s="25"/>
      <c r="L141" s="57"/>
      <c r="M141" s="344"/>
      <c r="N141" s="122"/>
      <c r="O141" s="28"/>
      <c r="P141" s="25"/>
      <c r="Q141" s="50" t="s">
        <v>140</v>
      </c>
      <c r="R141" s="25" t="s">
        <v>300</v>
      </c>
      <c r="S141" s="50" t="s">
        <v>140</v>
      </c>
      <c r="T141" s="65"/>
      <c r="U141" s="65"/>
      <c r="V141" s="65"/>
      <c r="W141" s="65"/>
      <c r="X141" s="65"/>
      <c r="Y141" s="65"/>
      <c r="Z141" s="65"/>
      <c r="AA141" s="65"/>
      <c r="AB141" s="65"/>
      <c r="AC141" s="65"/>
      <c r="AD141" s="65"/>
      <c r="AE141" s="65"/>
      <c r="AF141" s="65"/>
    </row>
    <row r="142" spans="1:32" ht="15.75" customHeight="1">
      <c r="A142" s="345"/>
      <c r="B142" s="345"/>
      <c r="C142" s="34">
        <v>3</v>
      </c>
      <c r="D142" s="345"/>
      <c r="E142" s="54" t="s">
        <v>2576</v>
      </c>
      <c r="F142" s="34" t="s">
        <v>326</v>
      </c>
      <c r="G142" s="34" t="s">
        <v>327</v>
      </c>
      <c r="H142" s="33" t="s">
        <v>2577</v>
      </c>
      <c r="I142" s="23" t="s">
        <v>2534</v>
      </c>
      <c r="J142" s="170"/>
      <c r="K142" s="25"/>
      <c r="L142" s="57"/>
      <c r="M142" s="344"/>
      <c r="N142" s="122"/>
      <c r="O142" s="28"/>
      <c r="P142" s="25"/>
      <c r="Q142" s="50" t="s">
        <v>140</v>
      </c>
      <c r="R142" s="25" t="s">
        <v>300</v>
      </c>
      <c r="S142" s="50" t="s">
        <v>140</v>
      </c>
      <c r="T142" s="65"/>
      <c r="U142" s="65"/>
      <c r="V142" s="65"/>
      <c r="W142" s="65"/>
      <c r="X142" s="65"/>
      <c r="Y142" s="65"/>
      <c r="Z142" s="65"/>
      <c r="AA142" s="65"/>
      <c r="AB142" s="65"/>
      <c r="AC142" s="65"/>
      <c r="AD142" s="65"/>
      <c r="AE142" s="65"/>
      <c r="AF142" s="65"/>
    </row>
    <row r="143" spans="1:32" ht="33" customHeight="1">
      <c r="A143" s="351" t="s">
        <v>2578</v>
      </c>
      <c r="B143" s="354" t="s">
        <v>2579</v>
      </c>
      <c r="C143" s="34">
        <v>1</v>
      </c>
      <c r="D143" s="351" t="s">
        <v>2580</v>
      </c>
      <c r="E143" s="54" t="s">
        <v>2581</v>
      </c>
      <c r="F143" s="34" t="s">
        <v>326</v>
      </c>
      <c r="G143" s="34" t="s">
        <v>327</v>
      </c>
      <c r="H143" s="33" t="s">
        <v>2582</v>
      </c>
      <c r="I143" s="23" t="s">
        <v>2534</v>
      </c>
      <c r="J143" s="170"/>
      <c r="K143" s="25"/>
      <c r="L143" s="57"/>
      <c r="M143" s="344"/>
      <c r="N143" s="122"/>
      <c r="O143" s="28"/>
      <c r="P143" s="25"/>
      <c r="Q143" s="50" t="s">
        <v>140</v>
      </c>
      <c r="R143" s="25" t="s">
        <v>300</v>
      </c>
      <c r="S143" s="50" t="s">
        <v>140</v>
      </c>
      <c r="T143" s="65"/>
      <c r="U143" s="65"/>
      <c r="V143" s="65"/>
      <c r="W143" s="65"/>
      <c r="X143" s="65"/>
      <c r="Y143" s="65"/>
      <c r="Z143" s="65"/>
      <c r="AA143" s="65"/>
      <c r="AB143" s="65"/>
      <c r="AC143" s="65"/>
      <c r="AD143" s="65"/>
      <c r="AE143" s="65"/>
      <c r="AF143" s="65"/>
    </row>
    <row r="144" spans="1:32" ht="15.75" customHeight="1">
      <c r="A144" s="344"/>
      <c r="B144" s="344"/>
      <c r="C144" s="34">
        <v>2</v>
      </c>
      <c r="D144" s="344"/>
      <c r="E144" s="54" t="s">
        <v>2583</v>
      </c>
      <c r="F144" s="34" t="s">
        <v>326</v>
      </c>
      <c r="G144" s="34" t="s">
        <v>327</v>
      </c>
      <c r="H144" s="33" t="s">
        <v>2584</v>
      </c>
      <c r="I144" s="23" t="s">
        <v>2534</v>
      </c>
      <c r="J144" s="170"/>
      <c r="K144" s="25"/>
      <c r="L144" s="57"/>
      <c r="M144" s="344"/>
      <c r="N144" s="122"/>
      <c r="O144" s="28"/>
      <c r="P144" s="25"/>
      <c r="Q144" s="50" t="s">
        <v>140</v>
      </c>
      <c r="R144" s="25" t="s">
        <v>300</v>
      </c>
      <c r="S144" s="50" t="s">
        <v>140</v>
      </c>
      <c r="T144" s="65"/>
      <c r="U144" s="65"/>
      <c r="V144" s="65"/>
      <c r="W144" s="65"/>
      <c r="X144" s="65"/>
      <c r="Y144" s="65"/>
      <c r="Z144" s="65"/>
      <c r="AA144" s="65"/>
      <c r="AB144" s="65"/>
      <c r="AC144" s="65"/>
      <c r="AD144" s="65"/>
      <c r="AE144" s="65"/>
      <c r="AF144" s="65"/>
    </row>
    <row r="145" spans="1:32" ht="15.75" customHeight="1">
      <c r="A145" s="344"/>
      <c r="B145" s="344"/>
      <c r="C145" s="34">
        <v>3</v>
      </c>
      <c r="D145" s="344"/>
      <c r="E145" s="54" t="s">
        <v>2585</v>
      </c>
      <c r="F145" s="34" t="s">
        <v>326</v>
      </c>
      <c r="G145" s="34" t="s">
        <v>327</v>
      </c>
      <c r="H145" s="33" t="s">
        <v>2586</v>
      </c>
      <c r="I145" s="23" t="s">
        <v>2534</v>
      </c>
      <c r="J145" s="170"/>
      <c r="K145" s="25"/>
      <c r="L145" s="57"/>
      <c r="M145" s="344"/>
      <c r="N145" s="122"/>
      <c r="O145" s="28"/>
      <c r="P145" s="25"/>
      <c r="Q145" s="50" t="s">
        <v>140</v>
      </c>
      <c r="R145" s="25" t="s">
        <v>300</v>
      </c>
      <c r="S145" s="50" t="s">
        <v>140</v>
      </c>
      <c r="T145" s="65"/>
      <c r="U145" s="65"/>
      <c r="V145" s="65"/>
      <c r="W145" s="65"/>
      <c r="X145" s="65"/>
      <c r="Y145" s="65"/>
      <c r="Z145" s="65"/>
      <c r="AA145" s="65"/>
      <c r="AB145" s="65"/>
      <c r="AC145" s="65"/>
      <c r="AD145" s="65"/>
      <c r="AE145" s="65"/>
      <c r="AF145" s="65"/>
    </row>
    <row r="146" spans="1:32" ht="15.75" customHeight="1">
      <c r="A146" s="344"/>
      <c r="B146" s="344"/>
      <c r="C146" s="34">
        <v>4</v>
      </c>
      <c r="D146" s="344"/>
      <c r="E146" s="54" t="s">
        <v>2587</v>
      </c>
      <c r="F146" s="34" t="s">
        <v>326</v>
      </c>
      <c r="G146" s="34" t="s">
        <v>327</v>
      </c>
      <c r="H146" s="33" t="s">
        <v>2588</v>
      </c>
      <c r="I146" s="23" t="s">
        <v>2534</v>
      </c>
      <c r="J146" s="170"/>
      <c r="K146" s="25"/>
      <c r="L146" s="57"/>
      <c r="M146" s="344"/>
      <c r="N146" s="122"/>
      <c r="O146" s="28"/>
      <c r="P146" s="25"/>
      <c r="Q146" s="50" t="s">
        <v>140</v>
      </c>
      <c r="R146" s="25" t="s">
        <v>300</v>
      </c>
      <c r="S146" s="50" t="s">
        <v>140</v>
      </c>
      <c r="T146" s="65"/>
      <c r="U146" s="65"/>
      <c r="V146" s="65"/>
      <c r="W146" s="65"/>
      <c r="X146" s="65"/>
      <c r="Y146" s="65"/>
      <c r="Z146" s="65"/>
      <c r="AA146" s="65"/>
      <c r="AB146" s="65"/>
      <c r="AC146" s="65"/>
      <c r="AD146" s="65"/>
      <c r="AE146" s="65"/>
      <c r="AF146" s="65"/>
    </row>
    <row r="147" spans="1:32" ht="15.75" customHeight="1">
      <c r="A147" s="344"/>
      <c r="B147" s="344"/>
      <c r="C147" s="34">
        <v>5</v>
      </c>
      <c r="D147" s="344"/>
      <c r="E147" s="54" t="s">
        <v>2589</v>
      </c>
      <c r="F147" s="34" t="s">
        <v>326</v>
      </c>
      <c r="G147" s="34" t="s">
        <v>327</v>
      </c>
      <c r="H147" s="33" t="s">
        <v>2590</v>
      </c>
      <c r="I147" s="23" t="s">
        <v>2534</v>
      </c>
      <c r="J147" s="170"/>
      <c r="K147" s="25"/>
      <c r="L147" s="57"/>
      <c r="M147" s="344"/>
      <c r="N147" s="122"/>
      <c r="O147" s="28"/>
      <c r="P147" s="25"/>
      <c r="Q147" s="50" t="s">
        <v>140</v>
      </c>
      <c r="R147" s="25" t="s">
        <v>300</v>
      </c>
      <c r="S147" s="50" t="s">
        <v>140</v>
      </c>
      <c r="T147" s="65"/>
      <c r="U147" s="65"/>
      <c r="V147" s="65"/>
      <c r="W147" s="65"/>
      <c r="X147" s="65"/>
      <c r="Y147" s="65"/>
      <c r="Z147" s="65"/>
      <c r="AA147" s="65"/>
      <c r="AB147" s="65"/>
      <c r="AC147" s="65"/>
      <c r="AD147" s="65"/>
      <c r="AE147" s="65"/>
      <c r="AF147" s="65"/>
    </row>
    <row r="148" spans="1:32" ht="15.75" customHeight="1">
      <c r="A148" s="344"/>
      <c r="B148" s="344"/>
      <c r="C148" s="34">
        <v>6</v>
      </c>
      <c r="D148" s="344"/>
      <c r="E148" s="54" t="s">
        <v>2591</v>
      </c>
      <c r="F148" s="34" t="s">
        <v>326</v>
      </c>
      <c r="G148" s="34" t="s">
        <v>327</v>
      </c>
      <c r="H148" s="33" t="s">
        <v>2592</v>
      </c>
      <c r="I148" s="23" t="s">
        <v>2534</v>
      </c>
      <c r="J148" s="170"/>
      <c r="K148" s="25"/>
      <c r="L148" s="57"/>
      <c r="M148" s="344"/>
      <c r="N148" s="122"/>
      <c r="O148" s="28"/>
      <c r="P148" s="25"/>
      <c r="Q148" s="50" t="s">
        <v>140</v>
      </c>
      <c r="R148" s="25" t="s">
        <v>300</v>
      </c>
      <c r="S148" s="50" t="s">
        <v>140</v>
      </c>
      <c r="T148" s="65"/>
      <c r="U148" s="65"/>
      <c r="V148" s="65"/>
      <c r="W148" s="65"/>
      <c r="X148" s="65"/>
      <c r="Y148" s="65"/>
      <c r="Z148" s="65"/>
      <c r="AA148" s="65"/>
      <c r="AB148" s="65"/>
      <c r="AC148" s="65"/>
      <c r="AD148" s="65"/>
      <c r="AE148" s="65"/>
      <c r="AF148" s="65"/>
    </row>
    <row r="149" spans="1:32" ht="15.75" customHeight="1">
      <c r="A149" s="345"/>
      <c r="B149" s="345"/>
      <c r="C149" s="34">
        <v>7</v>
      </c>
      <c r="D149" s="345"/>
      <c r="E149" s="54" t="s">
        <v>2593</v>
      </c>
      <c r="F149" s="34" t="s">
        <v>326</v>
      </c>
      <c r="G149" s="34" t="s">
        <v>327</v>
      </c>
      <c r="H149" s="33" t="s">
        <v>2594</v>
      </c>
      <c r="I149" s="23" t="s">
        <v>2534</v>
      </c>
      <c r="J149" s="170"/>
      <c r="K149" s="25"/>
      <c r="L149" s="57"/>
      <c r="M149" s="344"/>
      <c r="N149" s="122"/>
      <c r="O149" s="28"/>
      <c r="P149" s="25"/>
      <c r="Q149" s="50" t="s">
        <v>140</v>
      </c>
      <c r="R149" s="25" t="s">
        <v>300</v>
      </c>
      <c r="S149" s="50" t="s">
        <v>140</v>
      </c>
      <c r="T149" s="65"/>
      <c r="U149" s="65"/>
      <c r="V149" s="65"/>
      <c r="W149" s="65"/>
      <c r="X149" s="65"/>
      <c r="Y149" s="65"/>
      <c r="Z149" s="65"/>
      <c r="AA149" s="65"/>
      <c r="AB149" s="65"/>
      <c r="AC149" s="65"/>
      <c r="AD149" s="65"/>
      <c r="AE149" s="65"/>
      <c r="AF149" s="65"/>
    </row>
    <row r="150" spans="1:32" ht="53.25" customHeight="1">
      <c r="A150" s="361" t="s">
        <v>2595</v>
      </c>
      <c r="B150" s="354" t="s">
        <v>2596</v>
      </c>
      <c r="C150" s="34">
        <v>1</v>
      </c>
      <c r="D150" s="361" t="s">
        <v>2597</v>
      </c>
      <c r="E150" s="54" t="s">
        <v>2598</v>
      </c>
      <c r="F150" s="34" t="s">
        <v>326</v>
      </c>
      <c r="G150" s="34" t="s">
        <v>327</v>
      </c>
      <c r="H150" s="33" t="s">
        <v>2599</v>
      </c>
      <c r="I150" s="23" t="s">
        <v>2534</v>
      </c>
      <c r="J150" s="170"/>
      <c r="K150" s="25"/>
      <c r="L150" s="57"/>
      <c r="M150" s="344"/>
      <c r="N150" s="122"/>
      <c r="O150" s="28"/>
      <c r="P150" s="25"/>
      <c r="Q150" s="50" t="s">
        <v>140</v>
      </c>
      <c r="R150" s="25" t="s">
        <v>300</v>
      </c>
      <c r="S150" s="50" t="s">
        <v>140</v>
      </c>
      <c r="T150" s="65"/>
      <c r="U150" s="65"/>
      <c r="V150" s="65"/>
      <c r="W150" s="65"/>
      <c r="X150" s="65"/>
      <c r="Y150" s="65"/>
      <c r="Z150" s="65"/>
      <c r="AA150" s="65"/>
      <c r="AB150" s="65"/>
      <c r="AC150" s="65"/>
      <c r="AD150" s="65"/>
      <c r="AE150" s="65"/>
      <c r="AF150" s="65"/>
    </row>
    <row r="151" spans="1:32" ht="15.75" customHeight="1">
      <c r="A151" s="345"/>
      <c r="B151" s="345"/>
      <c r="C151" s="34">
        <v>2</v>
      </c>
      <c r="D151" s="345"/>
      <c r="E151" s="54" t="s">
        <v>2600</v>
      </c>
      <c r="F151" s="34" t="s">
        <v>326</v>
      </c>
      <c r="G151" s="34" t="s">
        <v>327</v>
      </c>
      <c r="H151" s="33" t="s">
        <v>2601</v>
      </c>
      <c r="I151" s="23" t="s">
        <v>2534</v>
      </c>
      <c r="J151" s="170"/>
      <c r="K151" s="25"/>
      <c r="L151" s="57"/>
      <c r="M151" s="344"/>
      <c r="N151" s="122"/>
      <c r="O151" s="28"/>
      <c r="P151" s="25"/>
      <c r="Q151" s="50" t="s">
        <v>140</v>
      </c>
      <c r="R151" s="25" t="s">
        <v>300</v>
      </c>
      <c r="S151" s="50" t="s">
        <v>140</v>
      </c>
      <c r="T151" s="65"/>
      <c r="U151" s="65"/>
      <c r="V151" s="65"/>
      <c r="W151" s="65"/>
      <c r="X151" s="65"/>
      <c r="Y151" s="65"/>
      <c r="Z151" s="65"/>
      <c r="AA151" s="65"/>
      <c r="AB151" s="65"/>
      <c r="AC151" s="65"/>
      <c r="AD151" s="65"/>
      <c r="AE151" s="65"/>
      <c r="AF151" s="65"/>
    </row>
    <row r="152" spans="1:32" ht="15.75" customHeight="1">
      <c r="A152" s="54" t="s">
        <v>2602</v>
      </c>
      <c r="B152" s="34" t="s">
        <v>2603</v>
      </c>
      <c r="C152" s="34">
        <v>1</v>
      </c>
      <c r="D152" s="54" t="s">
        <v>2604</v>
      </c>
      <c r="E152" s="54" t="s">
        <v>2605</v>
      </c>
      <c r="F152" s="34" t="s">
        <v>326</v>
      </c>
      <c r="G152" s="34" t="s">
        <v>327</v>
      </c>
      <c r="H152" s="33" t="s">
        <v>2606</v>
      </c>
      <c r="I152" s="23" t="s">
        <v>2607</v>
      </c>
      <c r="J152" s="170"/>
      <c r="K152" s="25"/>
      <c r="L152" s="57"/>
      <c r="M152" s="344"/>
      <c r="N152" s="55"/>
      <c r="O152" s="28"/>
      <c r="P152" s="25"/>
      <c r="Q152" s="50" t="s">
        <v>140</v>
      </c>
      <c r="R152" s="25" t="s">
        <v>300</v>
      </c>
      <c r="S152" s="50" t="s">
        <v>140</v>
      </c>
      <c r="T152" s="65"/>
      <c r="U152" s="65"/>
      <c r="V152" s="65"/>
      <c r="W152" s="65"/>
      <c r="X152" s="65"/>
      <c r="Y152" s="65"/>
      <c r="Z152" s="65"/>
      <c r="AA152" s="65"/>
      <c r="AB152" s="65"/>
      <c r="AC152" s="65"/>
      <c r="AD152" s="65"/>
      <c r="AE152" s="65"/>
      <c r="AF152" s="65"/>
    </row>
    <row r="153" spans="1:32" ht="15.75" customHeight="1">
      <c r="A153" s="54" t="s">
        <v>2608</v>
      </c>
      <c r="B153" s="34" t="s">
        <v>2609</v>
      </c>
      <c r="C153" s="34">
        <v>1</v>
      </c>
      <c r="D153" s="54" t="s">
        <v>2610</v>
      </c>
      <c r="E153" s="54" t="s">
        <v>2611</v>
      </c>
      <c r="F153" s="34" t="s">
        <v>326</v>
      </c>
      <c r="G153" s="34" t="s">
        <v>327</v>
      </c>
      <c r="H153" s="33" t="s">
        <v>2612</v>
      </c>
      <c r="I153" s="23" t="s">
        <v>2534</v>
      </c>
      <c r="J153" s="170"/>
      <c r="K153" s="25"/>
      <c r="L153" s="57"/>
      <c r="M153" s="344"/>
      <c r="N153" s="55"/>
      <c r="O153" s="28"/>
      <c r="P153" s="25"/>
      <c r="Q153" s="50" t="s">
        <v>140</v>
      </c>
      <c r="R153" s="25" t="s">
        <v>300</v>
      </c>
      <c r="S153" s="50" t="s">
        <v>140</v>
      </c>
      <c r="T153" s="65"/>
      <c r="U153" s="65"/>
      <c r="V153" s="65"/>
      <c r="W153" s="65"/>
      <c r="X153" s="65"/>
      <c r="Y153" s="65"/>
      <c r="Z153" s="65"/>
      <c r="AA153" s="65"/>
      <c r="AB153" s="65"/>
      <c r="AC153" s="65"/>
      <c r="AD153" s="65"/>
      <c r="AE153" s="65"/>
      <c r="AF153" s="65"/>
    </row>
    <row r="154" spans="1:32" ht="52.5" customHeight="1">
      <c r="A154" s="351" t="s">
        <v>2613</v>
      </c>
      <c r="B154" s="354" t="s">
        <v>2614</v>
      </c>
      <c r="C154" s="34">
        <v>1</v>
      </c>
      <c r="D154" s="351" t="s">
        <v>2615</v>
      </c>
      <c r="E154" s="54" t="s">
        <v>2616</v>
      </c>
      <c r="F154" s="34" t="s">
        <v>326</v>
      </c>
      <c r="G154" s="34" t="s">
        <v>327</v>
      </c>
      <c r="H154" s="33" t="s">
        <v>2612</v>
      </c>
      <c r="I154" s="23" t="s">
        <v>2534</v>
      </c>
      <c r="J154" s="170"/>
      <c r="K154" s="25"/>
      <c r="L154" s="57"/>
      <c r="M154" s="344"/>
      <c r="N154" s="55"/>
      <c r="O154" s="28"/>
      <c r="P154" s="25"/>
      <c r="Q154" s="50" t="s">
        <v>140</v>
      </c>
      <c r="R154" s="25" t="s">
        <v>300</v>
      </c>
      <c r="S154" s="50" t="s">
        <v>140</v>
      </c>
      <c r="T154" s="65"/>
      <c r="U154" s="65"/>
      <c r="V154" s="65"/>
      <c r="W154" s="65"/>
      <c r="X154" s="65"/>
      <c r="Y154" s="65"/>
      <c r="Z154" s="65"/>
      <c r="AA154" s="65"/>
      <c r="AB154" s="65"/>
      <c r="AC154" s="65"/>
      <c r="AD154" s="65"/>
      <c r="AE154" s="65"/>
      <c r="AF154" s="65"/>
    </row>
    <row r="155" spans="1:32" ht="15.75" customHeight="1">
      <c r="A155" s="345"/>
      <c r="B155" s="345"/>
      <c r="C155" s="34">
        <v>2</v>
      </c>
      <c r="D155" s="345"/>
      <c r="E155" s="54" t="s">
        <v>2617</v>
      </c>
      <c r="F155" s="34" t="s">
        <v>326</v>
      </c>
      <c r="G155" s="34" t="s">
        <v>327</v>
      </c>
      <c r="H155" s="33" t="s">
        <v>2612</v>
      </c>
      <c r="I155" s="23" t="s">
        <v>2534</v>
      </c>
      <c r="J155" s="170"/>
      <c r="K155" s="25"/>
      <c r="L155" s="57"/>
      <c r="M155" s="345"/>
      <c r="N155" s="55"/>
      <c r="O155" s="28"/>
      <c r="P155" s="25"/>
      <c r="Q155" s="50" t="s">
        <v>140</v>
      </c>
      <c r="R155" s="25" t="s">
        <v>300</v>
      </c>
      <c r="S155" s="50" t="s">
        <v>140</v>
      </c>
      <c r="T155" s="65"/>
      <c r="U155" s="65"/>
      <c r="V155" s="65"/>
      <c r="W155" s="65"/>
      <c r="X155" s="65"/>
      <c r="Y155" s="65"/>
      <c r="Z155" s="65"/>
      <c r="AA155" s="65"/>
      <c r="AB155" s="65"/>
      <c r="AC155" s="65"/>
      <c r="AD155" s="65"/>
      <c r="AE155" s="65"/>
      <c r="AF155" s="65"/>
    </row>
    <row r="156" spans="1:32" ht="15.75" customHeight="1">
      <c r="A156" s="351" t="s">
        <v>2618</v>
      </c>
      <c r="B156" s="354" t="s">
        <v>32</v>
      </c>
      <c r="C156" s="86">
        <v>1</v>
      </c>
      <c r="D156" s="354" t="s">
        <v>2619</v>
      </c>
      <c r="E156" s="175" t="s">
        <v>2620</v>
      </c>
      <c r="F156" s="86" t="s">
        <v>326</v>
      </c>
      <c r="G156" s="86" t="s">
        <v>327</v>
      </c>
      <c r="H156" s="175" t="s">
        <v>2621</v>
      </c>
      <c r="I156" s="47" t="s">
        <v>2622</v>
      </c>
      <c r="J156" s="168"/>
      <c r="K156" s="25"/>
      <c r="L156" s="57"/>
      <c r="M156" s="139"/>
      <c r="N156" s="4"/>
      <c r="O156" s="28" t="s">
        <v>140</v>
      </c>
      <c r="P156" s="50"/>
      <c r="Q156" s="50" t="s">
        <v>140</v>
      </c>
      <c r="R156" s="50" t="s">
        <v>301</v>
      </c>
      <c r="S156" s="50"/>
      <c r="T156" s="51"/>
      <c r="U156" s="51"/>
      <c r="V156" s="51"/>
      <c r="W156" s="51"/>
      <c r="X156" s="51"/>
      <c r="Y156" s="51"/>
      <c r="Z156" s="51"/>
      <c r="AA156" s="51"/>
      <c r="AB156" s="51"/>
      <c r="AC156" s="51"/>
      <c r="AD156" s="51"/>
      <c r="AE156" s="51"/>
      <c r="AF156" s="51"/>
    </row>
    <row r="157" spans="1:32" ht="15.75" customHeight="1">
      <c r="A157" s="352"/>
      <c r="B157" s="352"/>
      <c r="C157" s="86">
        <v>2</v>
      </c>
      <c r="D157" s="352"/>
      <c r="E157" s="140" t="s">
        <v>2623</v>
      </c>
      <c r="F157" s="141" t="s">
        <v>326</v>
      </c>
      <c r="G157" s="141" t="s">
        <v>327</v>
      </c>
      <c r="H157" s="140" t="s">
        <v>2624</v>
      </c>
      <c r="I157" s="142" t="s">
        <v>2625</v>
      </c>
      <c r="J157" s="142"/>
      <c r="K157" s="25"/>
      <c r="L157" s="57"/>
      <c r="M157" s="139"/>
      <c r="N157" s="4"/>
      <c r="O157" s="28"/>
      <c r="P157" s="50"/>
      <c r="Q157" s="50" t="s">
        <v>140</v>
      </c>
      <c r="R157" s="50" t="s">
        <v>301</v>
      </c>
      <c r="S157" s="50"/>
      <c r="T157" s="51"/>
      <c r="U157" s="51"/>
      <c r="V157" s="51"/>
      <c r="W157" s="51"/>
      <c r="X157" s="51"/>
      <c r="Y157" s="51"/>
      <c r="Z157" s="51"/>
      <c r="AA157" s="51"/>
      <c r="AB157" s="51"/>
      <c r="AC157" s="51"/>
      <c r="AD157" s="51"/>
      <c r="AE157" s="51"/>
      <c r="AF157" s="51"/>
    </row>
    <row r="158" spans="1:32" ht="15.75" customHeight="1">
      <c r="A158" s="352"/>
      <c r="B158" s="352"/>
      <c r="C158" s="86">
        <v>3</v>
      </c>
      <c r="D158" s="352"/>
      <c r="E158" s="140" t="s">
        <v>2626</v>
      </c>
      <c r="F158" s="141" t="s">
        <v>326</v>
      </c>
      <c r="G158" s="141" t="s">
        <v>327</v>
      </c>
      <c r="H158" s="140" t="s">
        <v>2627</v>
      </c>
      <c r="I158" s="142" t="s">
        <v>2625</v>
      </c>
      <c r="J158" s="142"/>
      <c r="K158" s="25"/>
      <c r="L158" s="57"/>
      <c r="M158" s="139"/>
      <c r="N158" s="4"/>
      <c r="O158" s="28"/>
      <c r="P158" s="50"/>
      <c r="Q158" s="50" t="s">
        <v>140</v>
      </c>
      <c r="R158" s="50" t="s">
        <v>301</v>
      </c>
      <c r="S158" s="50"/>
      <c r="T158" s="51"/>
      <c r="U158" s="51"/>
      <c r="V158" s="51"/>
      <c r="W158" s="51"/>
      <c r="X158" s="51"/>
      <c r="Y158" s="51"/>
      <c r="Z158" s="51"/>
      <c r="AA158" s="51"/>
      <c r="AB158" s="51"/>
      <c r="AC158" s="51"/>
      <c r="AD158" s="51"/>
      <c r="AE158" s="51"/>
      <c r="AF158" s="51"/>
    </row>
    <row r="159" spans="1:32" ht="15.75" customHeight="1">
      <c r="A159" s="352"/>
      <c r="B159" s="352"/>
      <c r="C159" s="86">
        <v>4</v>
      </c>
      <c r="D159" s="352"/>
      <c r="E159" s="140" t="s">
        <v>2628</v>
      </c>
      <c r="F159" s="141" t="s">
        <v>326</v>
      </c>
      <c r="G159" s="141" t="s">
        <v>327</v>
      </c>
      <c r="H159" s="140" t="s">
        <v>2629</v>
      </c>
      <c r="I159" s="142" t="s">
        <v>2625</v>
      </c>
      <c r="J159" s="142"/>
      <c r="K159" s="25"/>
      <c r="L159" s="57"/>
      <c r="M159" s="139"/>
      <c r="N159" s="4"/>
      <c r="O159" s="28"/>
      <c r="P159" s="50"/>
      <c r="Q159" s="50" t="s">
        <v>140</v>
      </c>
      <c r="R159" s="50" t="s">
        <v>301</v>
      </c>
      <c r="S159" s="50"/>
      <c r="T159" s="51"/>
      <c r="U159" s="51"/>
      <c r="V159" s="51"/>
      <c r="W159" s="51"/>
      <c r="X159" s="51"/>
      <c r="Y159" s="51"/>
      <c r="Z159" s="51"/>
      <c r="AA159" s="51"/>
      <c r="AB159" s="51"/>
      <c r="AC159" s="51"/>
      <c r="AD159" s="51"/>
      <c r="AE159" s="51"/>
      <c r="AF159" s="51"/>
    </row>
    <row r="160" spans="1:32" ht="15.75" customHeight="1">
      <c r="A160" s="352"/>
      <c r="B160" s="352"/>
      <c r="C160" s="86">
        <v>5</v>
      </c>
      <c r="D160" s="352"/>
      <c r="E160" s="140" t="s">
        <v>2630</v>
      </c>
      <c r="F160" s="141" t="s">
        <v>326</v>
      </c>
      <c r="G160" s="141" t="s">
        <v>327</v>
      </c>
      <c r="H160" s="140" t="s">
        <v>2631</v>
      </c>
      <c r="I160" s="142" t="s">
        <v>2625</v>
      </c>
      <c r="J160" s="142"/>
      <c r="K160" s="25"/>
      <c r="L160" s="57"/>
      <c r="M160" s="139"/>
      <c r="N160" s="4"/>
      <c r="O160" s="28"/>
      <c r="P160" s="50"/>
      <c r="Q160" s="50" t="s">
        <v>140</v>
      </c>
      <c r="R160" s="50" t="s">
        <v>301</v>
      </c>
      <c r="S160" s="50"/>
      <c r="T160" s="51"/>
      <c r="U160" s="51"/>
      <c r="V160" s="51"/>
      <c r="W160" s="51"/>
      <c r="X160" s="51"/>
      <c r="Y160" s="51"/>
      <c r="Z160" s="51"/>
      <c r="AA160" s="51"/>
      <c r="AB160" s="51"/>
      <c r="AC160" s="51"/>
      <c r="AD160" s="51"/>
      <c r="AE160" s="51"/>
      <c r="AF160" s="51"/>
    </row>
    <row r="161" spans="1:32" ht="15.75" customHeight="1">
      <c r="A161" s="352"/>
      <c r="B161" s="352"/>
      <c r="C161" s="86">
        <v>6</v>
      </c>
      <c r="D161" s="352"/>
      <c r="E161" s="140" t="s">
        <v>2632</v>
      </c>
      <c r="F161" s="141" t="s">
        <v>326</v>
      </c>
      <c r="G161" s="141" t="s">
        <v>327</v>
      </c>
      <c r="H161" s="140" t="s">
        <v>2633</v>
      </c>
      <c r="I161" s="142" t="s">
        <v>2625</v>
      </c>
      <c r="J161" s="142"/>
      <c r="K161" s="25"/>
      <c r="L161" s="57"/>
      <c r="M161" s="139"/>
      <c r="N161" s="4"/>
      <c r="O161" s="28"/>
      <c r="P161" s="50"/>
      <c r="Q161" s="50" t="s">
        <v>140</v>
      </c>
      <c r="R161" s="50" t="s">
        <v>301</v>
      </c>
      <c r="S161" s="50"/>
      <c r="T161" s="51"/>
      <c r="U161" s="51"/>
      <c r="V161" s="51"/>
      <c r="W161" s="51"/>
      <c r="X161" s="51"/>
      <c r="Y161" s="51"/>
      <c r="Z161" s="51"/>
      <c r="AA161" s="51"/>
      <c r="AB161" s="51"/>
      <c r="AC161" s="51"/>
      <c r="AD161" s="51"/>
      <c r="AE161" s="51"/>
      <c r="AF161" s="51"/>
    </row>
    <row r="162" spans="1:32" ht="15.75" customHeight="1">
      <c r="A162" s="352"/>
      <c r="B162" s="352"/>
      <c r="C162" s="86">
        <v>7</v>
      </c>
      <c r="D162" s="352"/>
      <c r="E162" s="140" t="s">
        <v>2634</v>
      </c>
      <c r="F162" s="141" t="s">
        <v>326</v>
      </c>
      <c r="G162" s="141" t="s">
        <v>327</v>
      </c>
      <c r="H162" s="140" t="s">
        <v>2635</v>
      </c>
      <c r="I162" s="142" t="s">
        <v>2625</v>
      </c>
      <c r="J162" s="142"/>
      <c r="K162" s="25"/>
      <c r="L162" s="57"/>
      <c r="M162" s="139"/>
      <c r="N162" s="4"/>
      <c r="O162" s="28"/>
      <c r="P162" s="50"/>
      <c r="Q162" s="50" t="s">
        <v>140</v>
      </c>
      <c r="R162" s="50" t="s">
        <v>301</v>
      </c>
      <c r="S162" s="50"/>
      <c r="T162" s="51"/>
      <c r="U162" s="51"/>
      <c r="V162" s="51"/>
      <c r="W162" s="51"/>
      <c r="X162" s="51"/>
      <c r="Y162" s="51"/>
      <c r="Z162" s="51"/>
      <c r="AA162" s="51"/>
      <c r="AB162" s="51"/>
      <c r="AC162" s="51"/>
      <c r="AD162" s="51"/>
      <c r="AE162" s="51"/>
      <c r="AF162" s="51"/>
    </row>
    <row r="163" spans="1:32" ht="15.75" customHeight="1">
      <c r="A163" s="352"/>
      <c r="B163" s="352"/>
      <c r="C163" s="86">
        <v>8</v>
      </c>
      <c r="D163" s="352"/>
      <c r="E163" s="140" t="s">
        <v>2636</v>
      </c>
      <c r="F163" s="141" t="s">
        <v>326</v>
      </c>
      <c r="G163" s="141" t="s">
        <v>327</v>
      </c>
      <c r="H163" s="140" t="s">
        <v>2637</v>
      </c>
      <c r="I163" s="142" t="s">
        <v>2625</v>
      </c>
      <c r="J163" s="142"/>
      <c r="K163" s="25"/>
      <c r="L163" s="57"/>
      <c r="M163" s="139"/>
      <c r="N163" s="4"/>
      <c r="O163" s="28"/>
      <c r="P163" s="50"/>
      <c r="Q163" s="50" t="s">
        <v>140</v>
      </c>
      <c r="R163" s="50" t="s">
        <v>301</v>
      </c>
      <c r="S163" s="50"/>
      <c r="T163" s="51"/>
      <c r="U163" s="51"/>
      <c r="V163" s="51"/>
      <c r="W163" s="51"/>
      <c r="X163" s="51"/>
      <c r="Y163" s="51"/>
      <c r="Z163" s="51"/>
      <c r="AA163" s="51"/>
      <c r="AB163" s="51"/>
      <c r="AC163" s="51"/>
      <c r="AD163" s="51"/>
      <c r="AE163" s="51"/>
      <c r="AF163" s="51"/>
    </row>
    <row r="164" spans="1:32" ht="15.75" customHeight="1">
      <c r="A164" s="352"/>
      <c r="B164" s="352"/>
      <c r="C164" s="86">
        <v>9</v>
      </c>
      <c r="D164" s="352"/>
      <c r="E164" s="140" t="s">
        <v>2638</v>
      </c>
      <c r="F164" s="141" t="s">
        <v>326</v>
      </c>
      <c r="G164" s="141" t="s">
        <v>327</v>
      </c>
      <c r="H164" s="140" t="s">
        <v>2639</v>
      </c>
      <c r="I164" s="142" t="s">
        <v>2625</v>
      </c>
      <c r="J164" s="142"/>
      <c r="K164" s="25"/>
      <c r="L164" s="57"/>
      <c r="M164" s="139"/>
      <c r="N164" s="4"/>
      <c r="O164" s="28"/>
      <c r="P164" s="50"/>
      <c r="Q164" s="50" t="s">
        <v>140</v>
      </c>
      <c r="R164" s="50" t="s">
        <v>301</v>
      </c>
      <c r="S164" s="50"/>
      <c r="T164" s="51"/>
      <c r="U164" s="51"/>
      <c r="V164" s="51"/>
      <c r="W164" s="51"/>
      <c r="X164" s="51"/>
      <c r="Y164" s="51"/>
      <c r="Z164" s="51"/>
      <c r="AA164" s="51"/>
      <c r="AB164" s="51"/>
      <c r="AC164" s="51"/>
      <c r="AD164" s="51"/>
      <c r="AE164" s="51"/>
      <c r="AF164" s="51"/>
    </row>
    <row r="165" spans="1:32" ht="15.75" customHeight="1">
      <c r="A165" s="352"/>
      <c r="B165" s="352"/>
      <c r="C165" s="86">
        <v>10</v>
      </c>
      <c r="D165" s="352"/>
      <c r="E165" s="140" t="s">
        <v>2640</v>
      </c>
      <c r="F165" s="141" t="s">
        <v>326</v>
      </c>
      <c r="G165" s="141" t="s">
        <v>327</v>
      </c>
      <c r="H165" s="140" t="s">
        <v>2641</v>
      </c>
      <c r="I165" s="142" t="s">
        <v>2625</v>
      </c>
      <c r="J165" s="142"/>
      <c r="K165" s="25"/>
      <c r="L165" s="57"/>
      <c r="M165" s="139"/>
      <c r="N165" s="4"/>
      <c r="O165" s="28"/>
      <c r="P165" s="50"/>
      <c r="Q165" s="50" t="s">
        <v>140</v>
      </c>
      <c r="R165" s="50" t="s">
        <v>301</v>
      </c>
      <c r="S165" s="50"/>
      <c r="T165" s="51"/>
      <c r="U165" s="51"/>
      <c r="V165" s="51"/>
      <c r="W165" s="51"/>
      <c r="X165" s="51"/>
      <c r="Y165" s="51"/>
      <c r="Z165" s="51"/>
      <c r="AA165" s="51"/>
      <c r="AB165" s="51"/>
      <c r="AC165" s="51"/>
      <c r="AD165" s="51"/>
      <c r="AE165" s="51"/>
      <c r="AF165" s="51"/>
    </row>
    <row r="166" spans="1:32" ht="15.75" customHeight="1">
      <c r="A166" s="352"/>
      <c r="B166" s="352"/>
      <c r="C166" s="86">
        <v>11</v>
      </c>
      <c r="D166" s="352"/>
      <c r="E166" s="140" t="s">
        <v>2642</v>
      </c>
      <c r="F166" s="141" t="s">
        <v>326</v>
      </c>
      <c r="G166" s="141" t="s">
        <v>327</v>
      </c>
      <c r="H166" s="140" t="s">
        <v>2643</v>
      </c>
      <c r="I166" s="142" t="s">
        <v>2625</v>
      </c>
      <c r="J166" s="142"/>
      <c r="K166" s="25"/>
      <c r="L166" s="57"/>
      <c r="M166" s="139"/>
      <c r="N166" s="4"/>
      <c r="O166" s="28"/>
      <c r="P166" s="50"/>
      <c r="Q166" s="50" t="s">
        <v>140</v>
      </c>
      <c r="R166" s="50" t="s">
        <v>301</v>
      </c>
      <c r="S166" s="50"/>
      <c r="T166" s="51"/>
      <c r="U166" s="51"/>
      <c r="V166" s="51"/>
      <c r="W166" s="51"/>
      <c r="X166" s="51"/>
      <c r="Y166" s="51"/>
      <c r="Z166" s="51"/>
      <c r="AA166" s="51"/>
      <c r="AB166" s="51"/>
      <c r="AC166" s="51"/>
      <c r="AD166" s="51"/>
      <c r="AE166" s="51"/>
      <c r="AF166" s="51"/>
    </row>
    <row r="167" spans="1:32" ht="15.75" customHeight="1">
      <c r="A167" s="352"/>
      <c r="B167" s="352"/>
      <c r="C167" s="86">
        <v>12</v>
      </c>
      <c r="D167" s="352"/>
      <c r="E167" s="140" t="s">
        <v>2644</v>
      </c>
      <c r="F167" s="141" t="s">
        <v>326</v>
      </c>
      <c r="G167" s="141" t="s">
        <v>327</v>
      </c>
      <c r="H167" s="140" t="s">
        <v>2645</v>
      </c>
      <c r="I167" s="142" t="s">
        <v>2625</v>
      </c>
      <c r="J167" s="142"/>
      <c r="K167" s="25"/>
      <c r="L167" s="57"/>
      <c r="M167" s="139"/>
      <c r="N167" s="4"/>
      <c r="O167" s="28"/>
      <c r="P167" s="50"/>
      <c r="Q167" s="50" t="s">
        <v>140</v>
      </c>
      <c r="R167" s="50" t="s">
        <v>301</v>
      </c>
      <c r="S167" s="50"/>
      <c r="T167" s="51"/>
      <c r="U167" s="51"/>
      <c r="V167" s="51"/>
      <c r="W167" s="51"/>
      <c r="X167" s="51"/>
      <c r="Y167" s="51"/>
      <c r="Z167" s="51"/>
      <c r="AA167" s="51"/>
      <c r="AB167" s="51"/>
      <c r="AC167" s="51"/>
      <c r="AD167" s="51"/>
      <c r="AE167" s="51"/>
      <c r="AF167" s="51"/>
    </row>
    <row r="168" spans="1:32" ht="15.75" customHeight="1">
      <c r="A168" s="352"/>
      <c r="B168" s="352"/>
      <c r="C168" s="86">
        <v>13</v>
      </c>
      <c r="D168" s="352"/>
      <c r="E168" s="140" t="s">
        <v>2646</v>
      </c>
      <c r="F168" s="141" t="s">
        <v>326</v>
      </c>
      <c r="G168" s="141" t="s">
        <v>327</v>
      </c>
      <c r="H168" s="140" t="s">
        <v>2647</v>
      </c>
      <c r="I168" s="142" t="s">
        <v>2625</v>
      </c>
      <c r="J168" s="142"/>
      <c r="K168" s="25"/>
      <c r="L168" s="57"/>
      <c r="M168" s="139"/>
      <c r="N168" s="4"/>
      <c r="O168" s="28"/>
      <c r="P168" s="50"/>
      <c r="Q168" s="50" t="s">
        <v>140</v>
      </c>
      <c r="R168" s="50" t="s">
        <v>301</v>
      </c>
      <c r="S168" s="50"/>
      <c r="T168" s="51"/>
      <c r="U168" s="51"/>
      <c r="V168" s="51"/>
      <c r="W168" s="51"/>
      <c r="X168" s="51"/>
      <c r="Y168" s="51"/>
      <c r="Z168" s="51"/>
      <c r="AA168" s="51"/>
      <c r="AB168" s="51"/>
      <c r="AC168" s="51"/>
      <c r="AD168" s="51"/>
      <c r="AE168" s="51"/>
      <c r="AF168" s="51"/>
    </row>
    <row r="169" spans="1:32" ht="15.75" customHeight="1">
      <c r="A169" s="352"/>
      <c r="B169" s="352"/>
      <c r="C169" s="86">
        <v>14</v>
      </c>
      <c r="D169" s="352"/>
      <c r="E169" s="140" t="s">
        <v>2648</v>
      </c>
      <c r="F169" s="141" t="s">
        <v>326</v>
      </c>
      <c r="G169" s="141" t="s">
        <v>327</v>
      </c>
      <c r="H169" s="140" t="s">
        <v>2649</v>
      </c>
      <c r="I169" s="142" t="s">
        <v>2625</v>
      </c>
      <c r="J169" s="142"/>
      <c r="K169" s="25"/>
      <c r="L169" s="57"/>
      <c r="M169" s="139"/>
      <c r="N169" s="4"/>
      <c r="O169" s="28"/>
      <c r="P169" s="50"/>
      <c r="Q169" s="50" t="s">
        <v>140</v>
      </c>
      <c r="R169" s="50" t="s">
        <v>301</v>
      </c>
      <c r="S169" s="50"/>
      <c r="T169" s="51"/>
      <c r="U169" s="51"/>
      <c r="V169" s="51"/>
      <c r="W169" s="51"/>
      <c r="X169" s="51"/>
      <c r="Y169" s="51"/>
      <c r="Z169" s="51"/>
      <c r="AA169" s="51"/>
      <c r="AB169" s="51"/>
      <c r="AC169" s="51"/>
      <c r="AD169" s="51"/>
      <c r="AE169" s="51"/>
      <c r="AF169" s="51"/>
    </row>
    <row r="170" spans="1:32" ht="15.75" customHeight="1">
      <c r="A170" s="352"/>
      <c r="B170" s="352"/>
      <c r="C170" s="86">
        <v>15</v>
      </c>
      <c r="D170" s="352"/>
      <c r="E170" s="140" t="s">
        <v>2650</v>
      </c>
      <c r="F170" s="141" t="s">
        <v>326</v>
      </c>
      <c r="G170" s="141" t="s">
        <v>327</v>
      </c>
      <c r="H170" s="140" t="s">
        <v>2651</v>
      </c>
      <c r="I170" s="142" t="s">
        <v>2625</v>
      </c>
      <c r="J170" s="142"/>
      <c r="K170" s="25"/>
      <c r="L170" s="57"/>
      <c r="M170" s="139"/>
      <c r="N170" s="4"/>
      <c r="O170" s="28"/>
      <c r="P170" s="50"/>
      <c r="Q170" s="50" t="s">
        <v>140</v>
      </c>
      <c r="R170" s="50" t="s">
        <v>301</v>
      </c>
      <c r="S170" s="50"/>
      <c r="T170" s="51"/>
      <c r="U170" s="51"/>
      <c r="V170" s="51"/>
      <c r="W170" s="51"/>
      <c r="X170" s="51"/>
      <c r="Y170" s="51"/>
      <c r="Z170" s="51"/>
      <c r="AA170" s="51"/>
      <c r="AB170" s="51"/>
      <c r="AC170" s="51"/>
      <c r="AD170" s="51"/>
      <c r="AE170" s="51"/>
      <c r="AF170" s="51"/>
    </row>
    <row r="171" spans="1:32" ht="15.75" customHeight="1">
      <c r="A171" s="352"/>
      <c r="B171" s="352"/>
      <c r="C171" s="86">
        <v>16</v>
      </c>
      <c r="D171" s="352"/>
      <c r="E171" s="140" t="s">
        <v>2652</v>
      </c>
      <c r="F171" s="141" t="s">
        <v>326</v>
      </c>
      <c r="G171" s="141" t="s">
        <v>327</v>
      </c>
      <c r="H171" s="140" t="s">
        <v>2653</v>
      </c>
      <c r="I171" s="142" t="s">
        <v>2625</v>
      </c>
      <c r="J171" s="142"/>
      <c r="K171" s="25"/>
      <c r="L171" s="57"/>
      <c r="M171" s="139"/>
      <c r="N171" s="4"/>
      <c r="O171" s="28"/>
      <c r="P171" s="50"/>
      <c r="Q171" s="50" t="s">
        <v>140</v>
      </c>
      <c r="R171" s="50" t="s">
        <v>301</v>
      </c>
      <c r="S171" s="50"/>
      <c r="T171" s="51"/>
      <c r="U171" s="51"/>
      <c r="V171" s="51"/>
      <c r="W171" s="51"/>
      <c r="X171" s="51"/>
      <c r="Y171" s="51"/>
      <c r="Z171" s="51"/>
      <c r="AA171" s="51"/>
      <c r="AB171" s="51"/>
      <c r="AC171" s="51"/>
      <c r="AD171" s="51"/>
      <c r="AE171" s="51"/>
      <c r="AF171" s="51"/>
    </row>
    <row r="172" spans="1:32" ht="15.75" customHeight="1">
      <c r="A172" s="352"/>
      <c r="B172" s="352"/>
      <c r="C172" s="86">
        <v>17</v>
      </c>
      <c r="D172" s="352"/>
      <c r="E172" s="140" t="s">
        <v>2654</v>
      </c>
      <c r="F172" s="141" t="s">
        <v>326</v>
      </c>
      <c r="G172" s="141" t="s">
        <v>327</v>
      </c>
      <c r="H172" s="140" t="s">
        <v>2655</v>
      </c>
      <c r="I172" s="142" t="s">
        <v>2625</v>
      </c>
      <c r="J172" s="142"/>
      <c r="K172" s="25"/>
      <c r="L172" s="57"/>
      <c r="M172" s="139"/>
      <c r="N172" s="4"/>
      <c r="O172" s="28"/>
      <c r="P172" s="50"/>
      <c r="Q172" s="50" t="s">
        <v>140</v>
      </c>
      <c r="R172" s="50" t="s">
        <v>301</v>
      </c>
      <c r="S172" s="50"/>
      <c r="T172" s="51"/>
      <c r="U172" s="51"/>
      <c r="V172" s="51"/>
      <c r="W172" s="51"/>
      <c r="X172" s="51"/>
      <c r="Y172" s="51"/>
      <c r="Z172" s="51"/>
      <c r="AA172" s="51"/>
      <c r="AB172" s="51"/>
      <c r="AC172" s="51"/>
      <c r="AD172" s="51"/>
      <c r="AE172" s="51"/>
      <c r="AF172" s="51"/>
    </row>
    <row r="173" spans="1:32" ht="15.75" customHeight="1">
      <c r="A173" s="352"/>
      <c r="B173" s="352"/>
      <c r="C173" s="86">
        <v>18</v>
      </c>
      <c r="D173" s="352"/>
      <c r="E173" s="140" t="s">
        <v>2656</v>
      </c>
      <c r="F173" s="141" t="s">
        <v>326</v>
      </c>
      <c r="G173" s="141" t="s">
        <v>327</v>
      </c>
      <c r="H173" s="140" t="s">
        <v>2657</v>
      </c>
      <c r="I173" s="142" t="s">
        <v>2625</v>
      </c>
      <c r="J173" s="142"/>
      <c r="K173" s="25"/>
      <c r="L173" s="57"/>
      <c r="M173" s="139"/>
      <c r="N173" s="4"/>
      <c r="O173" s="28"/>
      <c r="P173" s="50"/>
      <c r="Q173" s="50" t="s">
        <v>140</v>
      </c>
      <c r="R173" s="50" t="s">
        <v>301</v>
      </c>
      <c r="S173" s="50"/>
      <c r="T173" s="51"/>
      <c r="U173" s="51"/>
      <c r="V173" s="51"/>
      <c r="W173" s="51"/>
      <c r="X173" s="51"/>
      <c r="Y173" s="51"/>
      <c r="Z173" s="51"/>
      <c r="AA173" s="51"/>
      <c r="AB173" s="51"/>
      <c r="AC173" s="51"/>
      <c r="AD173" s="51"/>
      <c r="AE173" s="51"/>
      <c r="AF173" s="51"/>
    </row>
    <row r="174" spans="1:32" ht="15.75" customHeight="1">
      <c r="A174" s="352"/>
      <c r="B174" s="352"/>
      <c r="C174" s="86">
        <v>19</v>
      </c>
      <c r="D174" s="352"/>
      <c r="E174" s="140" t="s">
        <v>2658</v>
      </c>
      <c r="F174" s="141" t="s">
        <v>326</v>
      </c>
      <c r="G174" s="141" t="s">
        <v>327</v>
      </c>
      <c r="H174" s="140" t="s">
        <v>2659</v>
      </c>
      <c r="I174" s="142" t="s">
        <v>2625</v>
      </c>
      <c r="J174" s="142"/>
      <c r="K174" s="25"/>
      <c r="L174" s="57"/>
      <c r="M174" s="139"/>
      <c r="N174" s="4"/>
      <c r="O174" s="28"/>
      <c r="P174" s="50"/>
      <c r="Q174" s="50" t="s">
        <v>140</v>
      </c>
      <c r="R174" s="50" t="s">
        <v>301</v>
      </c>
      <c r="S174" s="50"/>
      <c r="T174" s="51"/>
      <c r="U174" s="51"/>
      <c r="V174" s="51"/>
      <c r="W174" s="51"/>
      <c r="X174" s="51"/>
      <c r="Y174" s="51"/>
      <c r="Z174" s="51"/>
      <c r="AA174" s="51"/>
      <c r="AB174" s="51"/>
      <c r="AC174" s="51"/>
      <c r="AD174" s="51"/>
      <c r="AE174" s="51"/>
      <c r="AF174" s="51"/>
    </row>
    <row r="175" spans="1:32" ht="15.75" customHeight="1">
      <c r="A175" s="352"/>
      <c r="B175" s="352"/>
      <c r="C175" s="86">
        <v>20</v>
      </c>
      <c r="D175" s="352"/>
      <c r="E175" s="140" t="s">
        <v>2660</v>
      </c>
      <c r="F175" s="141" t="s">
        <v>326</v>
      </c>
      <c r="G175" s="141" t="s">
        <v>327</v>
      </c>
      <c r="H175" s="140" t="s">
        <v>2661</v>
      </c>
      <c r="I175" s="142" t="s">
        <v>2625</v>
      </c>
      <c r="J175" s="142"/>
      <c r="K175" s="25"/>
      <c r="L175" s="57"/>
      <c r="M175" s="139"/>
      <c r="N175" s="4"/>
      <c r="O175" s="28"/>
      <c r="P175" s="50"/>
      <c r="Q175" s="50" t="s">
        <v>140</v>
      </c>
      <c r="R175" s="50" t="s">
        <v>301</v>
      </c>
      <c r="S175" s="50"/>
      <c r="T175" s="51"/>
      <c r="U175" s="51"/>
      <c r="V175" s="51"/>
      <c r="W175" s="51"/>
      <c r="X175" s="51"/>
      <c r="Y175" s="51"/>
      <c r="Z175" s="51"/>
      <c r="AA175" s="51"/>
      <c r="AB175" s="51"/>
      <c r="AC175" s="51"/>
      <c r="AD175" s="51"/>
      <c r="AE175" s="51"/>
      <c r="AF175" s="51"/>
    </row>
    <row r="176" spans="1:32" ht="15.75" customHeight="1">
      <c r="A176" s="352"/>
      <c r="B176" s="352"/>
      <c r="C176" s="86">
        <v>21</v>
      </c>
      <c r="D176" s="352"/>
      <c r="E176" s="175" t="s">
        <v>2662</v>
      </c>
      <c r="F176" s="86" t="s">
        <v>326</v>
      </c>
      <c r="G176" s="86" t="s">
        <v>327</v>
      </c>
      <c r="H176" s="175" t="s">
        <v>2663</v>
      </c>
      <c r="I176" s="67" t="s">
        <v>2625</v>
      </c>
      <c r="J176" s="67"/>
      <c r="K176" s="25"/>
      <c r="L176" s="57"/>
      <c r="M176" s="139"/>
      <c r="N176" s="4"/>
      <c r="O176" s="28"/>
      <c r="P176" s="50"/>
      <c r="Q176" s="50" t="s">
        <v>140</v>
      </c>
      <c r="R176" s="50" t="s">
        <v>301</v>
      </c>
      <c r="S176" s="50"/>
      <c r="T176" s="51"/>
      <c r="U176" s="51"/>
      <c r="V176" s="51"/>
      <c r="W176" s="51"/>
      <c r="X176" s="51"/>
      <c r="Y176" s="51"/>
      <c r="Z176" s="51"/>
      <c r="AA176" s="51"/>
      <c r="AB176" s="51"/>
      <c r="AC176" s="51"/>
      <c r="AD176" s="51"/>
      <c r="AE176" s="51"/>
      <c r="AF176" s="51"/>
    </row>
    <row r="177" spans="1:32" ht="15.75" customHeight="1">
      <c r="A177" s="352"/>
      <c r="B177" s="352"/>
      <c r="C177" s="86">
        <v>22</v>
      </c>
      <c r="D177" s="352"/>
      <c r="E177" s="175" t="s">
        <v>2664</v>
      </c>
      <c r="F177" s="86" t="s">
        <v>326</v>
      </c>
      <c r="G177" s="86" t="s">
        <v>327</v>
      </c>
      <c r="H177" s="175" t="s">
        <v>2665</v>
      </c>
      <c r="I177" s="67" t="s">
        <v>2666</v>
      </c>
      <c r="J177" s="67"/>
      <c r="K177" s="25"/>
      <c r="L177" s="57"/>
      <c r="M177" s="139"/>
      <c r="N177" s="4"/>
      <c r="O177" s="28"/>
      <c r="P177" s="50"/>
      <c r="Q177" s="50" t="s">
        <v>282</v>
      </c>
      <c r="R177" s="50" t="s">
        <v>301</v>
      </c>
      <c r="S177" s="50"/>
      <c r="T177" s="51"/>
      <c r="U177" s="51"/>
      <c r="V177" s="51"/>
      <c r="W177" s="51"/>
      <c r="X177" s="51"/>
      <c r="Y177" s="51"/>
      <c r="Z177" s="51"/>
      <c r="AA177" s="51"/>
      <c r="AB177" s="51"/>
      <c r="AC177" s="51"/>
      <c r="AD177" s="51"/>
      <c r="AE177" s="51"/>
      <c r="AF177" s="51"/>
    </row>
    <row r="178" spans="1:32" ht="15.75" customHeight="1">
      <c r="A178" s="352"/>
      <c r="B178" s="352"/>
      <c r="C178" s="86">
        <v>23</v>
      </c>
      <c r="D178" s="352"/>
      <c r="E178" s="175" t="s">
        <v>2667</v>
      </c>
      <c r="F178" s="86" t="s">
        <v>326</v>
      </c>
      <c r="G178" s="86" t="s">
        <v>327</v>
      </c>
      <c r="H178" s="175" t="s">
        <v>2668</v>
      </c>
      <c r="I178" s="47" t="s">
        <v>2669</v>
      </c>
      <c r="J178" s="168"/>
      <c r="K178" s="25"/>
      <c r="L178" s="57"/>
      <c r="M178" s="139"/>
      <c r="N178" s="4"/>
      <c r="O178" s="28"/>
      <c r="P178" s="50"/>
      <c r="Q178" s="50" t="s">
        <v>282</v>
      </c>
      <c r="R178" s="50" t="s">
        <v>301</v>
      </c>
      <c r="S178" s="50"/>
      <c r="T178" s="51"/>
      <c r="U178" s="51"/>
      <c r="V178" s="51"/>
      <c r="W178" s="51"/>
      <c r="X178" s="51"/>
      <c r="Y178" s="51"/>
      <c r="Z178" s="51"/>
      <c r="AA178" s="51"/>
      <c r="AB178" s="51"/>
      <c r="AC178" s="51"/>
      <c r="AD178" s="51"/>
      <c r="AE178" s="51"/>
      <c r="AF178" s="51"/>
    </row>
    <row r="179" spans="1:32" ht="60" customHeight="1">
      <c r="A179" s="352"/>
      <c r="B179" s="352"/>
      <c r="C179" s="86">
        <v>24</v>
      </c>
      <c r="D179" s="352"/>
      <c r="E179" s="175" t="s">
        <v>2670</v>
      </c>
      <c r="F179" s="86" t="s">
        <v>326</v>
      </c>
      <c r="G179" s="86" t="s">
        <v>327</v>
      </c>
      <c r="H179" s="175" t="s">
        <v>2671</v>
      </c>
      <c r="I179" s="47" t="s">
        <v>2404</v>
      </c>
      <c r="J179" s="168"/>
      <c r="K179" s="25"/>
      <c r="L179" s="57"/>
      <c r="M179" s="139"/>
      <c r="N179" s="4"/>
      <c r="O179" s="28"/>
      <c r="P179" s="50"/>
      <c r="Q179" s="50" t="s">
        <v>140</v>
      </c>
      <c r="R179" s="50" t="s">
        <v>301</v>
      </c>
      <c r="S179" s="50"/>
      <c r="T179" s="51"/>
      <c r="U179" s="51"/>
      <c r="V179" s="51"/>
      <c r="W179" s="51"/>
      <c r="X179" s="51"/>
      <c r="Y179" s="51"/>
      <c r="Z179" s="51"/>
      <c r="AA179" s="51"/>
      <c r="AB179" s="51"/>
      <c r="AC179" s="51"/>
      <c r="AD179" s="51"/>
      <c r="AE179" s="51"/>
      <c r="AF179" s="51"/>
    </row>
    <row r="180" spans="1:32" ht="15.75" customHeight="1">
      <c r="A180" s="352"/>
      <c r="B180" s="352"/>
      <c r="C180" s="86">
        <v>25</v>
      </c>
      <c r="D180" s="352"/>
      <c r="E180" s="175" t="s">
        <v>2672</v>
      </c>
      <c r="F180" s="86" t="s">
        <v>326</v>
      </c>
      <c r="G180" s="86" t="s">
        <v>2673</v>
      </c>
      <c r="H180" s="175" t="s">
        <v>2674</v>
      </c>
      <c r="I180" s="47" t="s">
        <v>2675</v>
      </c>
      <c r="J180" s="168"/>
      <c r="K180" s="25"/>
      <c r="L180" s="57"/>
      <c r="M180" s="139"/>
      <c r="N180" s="4"/>
      <c r="O180" s="28"/>
      <c r="P180" s="50"/>
      <c r="Q180" s="50" t="s">
        <v>140</v>
      </c>
      <c r="R180" s="50" t="s">
        <v>301</v>
      </c>
      <c r="S180" s="50"/>
      <c r="T180" s="51"/>
      <c r="U180" s="51"/>
      <c r="V180" s="51"/>
      <c r="W180" s="51"/>
      <c r="X180" s="51"/>
      <c r="Y180" s="51"/>
      <c r="Z180" s="51"/>
      <c r="AA180" s="51"/>
      <c r="AB180" s="51"/>
      <c r="AC180" s="51"/>
      <c r="AD180" s="51"/>
      <c r="AE180" s="51"/>
      <c r="AF180" s="51"/>
    </row>
    <row r="181" spans="1:32" ht="15.75" customHeight="1">
      <c r="A181" s="352"/>
      <c r="B181" s="352"/>
      <c r="C181" s="86">
        <v>26</v>
      </c>
      <c r="D181" s="352"/>
      <c r="E181" s="175" t="s">
        <v>2676</v>
      </c>
      <c r="F181" s="86" t="s">
        <v>326</v>
      </c>
      <c r="G181" s="86" t="s">
        <v>327</v>
      </c>
      <c r="H181" s="175" t="s">
        <v>2677</v>
      </c>
      <c r="I181" s="67" t="s">
        <v>2675</v>
      </c>
      <c r="J181" s="67"/>
      <c r="K181" s="25"/>
      <c r="L181" s="57"/>
      <c r="M181" s="139"/>
      <c r="N181" s="4"/>
      <c r="O181" s="28"/>
      <c r="P181" s="50"/>
      <c r="Q181" s="50" t="s">
        <v>140</v>
      </c>
      <c r="R181" s="50" t="s">
        <v>301</v>
      </c>
      <c r="S181" s="50"/>
      <c r="T181" s="51"/>
      <c r="U181" s="51"/>
      <c r="V181" s="51"/>
      <c r="W181" s="51"/>
      <c r="X181" s="51"/>
      <c r="Y181" s="51"/>
      <c r="Z181" s="51"/>
      <c r="AA181" s="51"/>
      <c r="AB181" s="51"/>
      <c r="AC181" s="51"/>
      <c r="AD181" s="51"/>
      <c r="AE181" s="51"/>
      <c r="AF181" s="51"/>
    </row>
    <row r="182" spans="1:32" ht="15.75" customHeight="1">
      <c r="A182" s="353"/>
      <c r="B182" s="353"/>
      <c r="C182" s="86">
        <v>27</v>
      </c>
      <c r="D182" s="353"/>
      <c r="E182" s="175" t="s">
        <v>2678</v>
      </c>
      <c r="F182" s="86" t="s">
        <v>326</v>
      </c>
      <c r="G182" s="86" t="s">
        <v>327</v>
      </c>
      <c r="H182" s="175" t="s">
        <v>2679</v>
      </c>
      <c r="I182" s="67" t="s">
        <v>2675</v>
      </c>
      <c r="J182" s="67"/>
      <c r="K182" s="25"/>
      <c r="L182" s="57"/>
      <c r="M182" s="139"/>
      <c r="N182" s="4"/>
      <c r="O182" s="28"/>
      <c r="P182" s="50"/>
      <c r="Q182" s="50" t="s">
        <v>140</v>
      </c>
      <c r="R182" s="50" t="s">
        <v>301</v>
      </c>
      <c r="S182" s="50"/>
      <c r="T182" s="51"/>
      <c r="U182" s="51"/>
      <c r="V182" s="51"/>
      <c r="W182" s="51"/>
      <c r="X182" s="51"/>
      <c r="Y182" s="51"/>
      <c r="Z182" s="51"/>
      <c r="AA182" s="51"/>
      <c r="AB182" s="51"/>
      <c r="AC182" s="51"/>
      <c r="AD182" s="51"/>
      <c r="AE182" s="51"/>
      <c r="AF182" s="51"/>
    </row>
    <row r="183" spans="1:32" ht="17.25" customHeight="1">
      <c r="A183" s="351" t="s">
        <v>2680</v>
      </c>
      <c r="B183" s="354" t="s">
        <v>171</v>
      </c>
      <c r="C183" s="86">
        <v>1</v>
      </c>
      <c r="D183" s="351" t="s">
        <v>2681</v>
      </c>
      <c r="E183" s="181" t="s">
        <v>2402</v>
      </c>
      <c r="F183" s="86" t="s">
        <v>326</v>
      </c>
      <c r="G183" s="86" t="s">
        <v>327</v>
      </c>
      <c r="H183" s="175" t="s">
        <v>2682</v>
      </c>
      <c r="I183" s="63" t="s">
        <v>2404</v>
      </c>
      <c r="J183" s="171"/>
      <c r="K183" s="25"/>
      <c r="L183" s="57"/>
      <c r="M183" s="133"/>
      <c r="N183" s="134"/>
      <c r="O183" s="28" t="s">
        <v>140</v>
      </c>
      <c r="P183" s="25"/>
      <c r="Q183" s="50" t="s">
        <v>140</v>
      </c>
      <c r="R183" s="25" t="s">
        <v>302</v>
      </c>
      <c r="S183" s="50"/>
      <c r="T183" s="65"/>
      <c r="U183" s="65"/>
      <c r="V183" s="65"/>
      <c r="W183" s="65"/>
      <c r="X183" s="65"/>
      <c r="Y183" s="65"/>
      <c r="Z183" s="65"/>
      <c r="AA183" s="65"/>
      <c r="AB183" s="65"/>
      <c r="AC183" s="65"/>
      <c r="AD183" s="65"/>
      <c r="AE183" s="65"/>
      <c r="AF183" s="65"/>
    </row>
    <row r="184" spans="1:32" ht="33" customHeight="1">
      <c r="A184" s="352"/>
      <c r="B184" s="352"/>
      <c r="C184" s="86">
        <v>2</v>
      </c>
      <c r="D184" s="352"/>
      <c r="E184" s="181" t="s">
        <v>2399</v>
      </c>
      <c r="F184" s="86" t="s">
        <v>326</v>
      </c>
      <c r="G184" s="86" t="s">
        <v>327</v>
      </c>
      <c r="H184" s="175" t="s">
        <v>2683</v>
      </c>
      <c r="I184" s="63" t="s">
        <v>2401</v>
      </c>
      <c r="J184" s="171"/>
      <c r="K184" s="25"/>
      <c r="L184" s="57"/>
      <c r="M184" s="133"/>
      <c r="N184" s="134"/>
      <c r="O184" s="28"/>
      <c r="P184" s="25"/>
      <c r="Q184" s="50" t="s">
        <v>140</v>
      </c>
      <c r="R184" s="25" t="s">
        <v>302</v>
      </c>
      <c r="S184" s="50"/>
      <c r="T184" s="65"/>
      <c r="U184" s="65"/>
      <c r="V184" s="65"/>
      <c r="W184" s="65"/>
      <c r="X184" s="65"/>
      <c r="Y184" s="65"/>
      <c r="Z184" s="65"/>
      <c r="AA184" s="65"/>
      <c r="AB184" s="65"/>
      <c r="AC184" s="65"/>
      <c r="AD184" s="65"/>
      <c r="AE184" s="65"/>
      <c r="AF184" s="65"/>
    </row>
    <row r="185" spans="1:32" ht="33" customHeight="1">
      <c r="A185" s="352"/>
      <c r="B185" s="352"/>
      <c r="C185" s="86">
        <v>3</v>
      </c>
      <c r="D185" s="352"/>
      <c r="E185" s="181" t="s">
        <v>2396</v>
      </c>
      <c r="F185" s="86" t="s">
        <v>326</v>
      </c>
      <c r="G185" s="86" t="s">
        <v>327</v>
      </c>
      <c r="H185" s="175" t="s">
        <v>2684</v>
      </c>
      <c r="I185" s="63" t="s">
        <v>2398</v>
      </c>
      <c r="J185" s="171"/>
      <c r="K185" s="25"/>
      <c r="L185" s="57"/>
      <c r="M185" s="133"/>
      <c r="N185" s="134"/>
      <c r="O185" s="28"/>
      <c r="P185" s="25"/>
      <c r="Q185" s="50" t="s">
        <v>140</v>
      </c>
      <c r="R185" s="25" t="s">
        <v>302</v>
      </c>
      <c r="S185" s="50"/>
      <c r="T185" s="65"/>
      <c r="U185" s="65"/>
      <c r="V185" s="65"/>
      <c r="W185" s="65"/>
      <c r="X185" s="65"/>
      <c r="Y185" s="65"/>
      <c r="Z185" s="65"/>
      <c r="AA185" s="65"/>
      <c r="AB185" s="65"/>
      <c r="AC185" s="65"/>
      <c r="AD185" s="65"/>
      <c r="AE185" s="65"/>
      <c r="AF185" s="65"/>
    </row>
    <row r="186" spans="1:32" ht="33" customHeight="1">
      <c r="A186" s="352"/>
      <c r="B186" s="352"/>
      <c r="C186" s="86">
        <v>4</v>
      </c>
      <c r="D186" s="352"/>
      <c r="E186" s="181" t="s">
        <v>2393</v>
      </c>
      <c r="F186" s="86" t="s">
        <v>326</v>
      </c>
      <c r="G186" s="86" t="s">
        <v>327</v>
      </c>
      <c r="H186" s="175" t="s">
        <v>2685</v>
      </c>
      <c r="I186" s="63" t="s">
        <v>2395</v>
      </c>
      <c r="J186" s="171"/>
      <c r="K186" s="25"/>
      <c r="L186" s="57"/>
      <c r="M186" s="133"/>
      <c r="N186" s="134"/>
      <c r="O186" s="28"/>
      <c r="P186" s="25"/>
      <c r="Q186" s="50" t="s">
        <v>140</v>
      </c>
      <c r="R186" s="25" t="s">
        <v>302</v>
      </c>
      <c r="S186" s="50"/>
      <c r="T186" s="65"/>
      <c r="U186" s="65"/>
      <c r="V186" s="65"/>
      <c r="W186" s="65"/>
      <c r="X186" s="65"/>
      <c r="Y186" s="65"/>
      <c r="Z186" s="65"/>
      <c r="AA186" s="65"/>
      <c r="AB186" s="65"/>
      <c r="AC186" s="65"/>
      <c r="AD186" s="65"/>
      <c r="AE186" s="65"/>
      <c r="AF186" s="65"/>
    </row>
    <row r="187" spans="1:32" ht="33" customHeight="1">
      <c r="A187" s="352"/>
      <c r="B187" s="352"/>
      <c r="C187" s="86">
        <v>5</v>
      </c>
      <c r="D187" s="352"/>
      <c r="E187" s="181" t="s">
        <v>2390</v>
      </c>
      <c r="F187" s="86" t="s">
        <v>326</v>
      </c>
      <c r="G187" s="86" t="s">
        <v>327</v>
      </c>
      <c r="H187" s="175" t="s">
        <v>2686</v>
      </c>
      <c r="I187" s="63" t="s">
        <v>2392</v>
      </c>
      <c r="J187" s="171"/>
      <c r="K187" s="25"/>
      <c r="L187" s="57"/>
      <c r="M187" s="133"/>
      <c r="N187" s="134"/>
      <c r="O187" s="28"/>
      <c r="P187" s="25"/>
      <c r="Q187" s="50" t="s">
        <v>140</v>
      </c>
      <c r="R187" s="25" t="s">
        <v>302</v>
      </c>
      <c r="S187" s="50"/>
      <c r="T187" s="65"/>
      <c r="U187" s="65"/>
      <c r="V187" s="65"/>
      <c r="W187" s="65"/>
      <c r="X187" s="65"/>
      <c r="Y187" s="65"/>
      <c r="Z187" s="65"/>
      <c r="AA187" s="65"/>
      <c r="AB187" s="65"/>
      <c r="AC187" s="65"/>
      <c r="AD187" s="65"/>
      <c r="AE187" s="65"/>
      <c r="AF187" s="65"/>
    </row>
    <row r="188" spans="1:32" ht="33" customHeight="1">
      <c r="A188" s="352"/>
      <c r="B188" s="352"/>
      <c r="C188" s="86">
        <v>6</v>
      </c>
      <c r="D188" s="352"/>
      <c r="E188" s="181" t="s">
        <v>2387</v>
      </c>
      <c r="F188" s="86" t="s">
        <v>326</v>
      </c>
      <c r="G188" s="86" t="s">
        <v>327</v>
      </c>
      <c r="H188" s="175" t="s">
        <v>2687</v>
      </c>
      <c r="I188" s="63" t="s">
        <v>2389</v>
      </c>
      <c r="J188" s="171"/>
      <c r="K188" s="25"/>
      <c r="L188" s="57"/>
      <c r="M188" s="133"/>
      <c r="N188" s="134"/>
      <c r="O188" s="28"/>
      <c r="P188" s="25"/>
      <c r="Q188" s="50" t="s">
        <v>140</v>
      </c>
      <c r="R188" s="25" t="s">
        <v>302</v>
      </c>
      <c r="S188" s="50"/>
      <c r="T188" s="65"/>
      <c r="U188" s="65"/>
      <c r="V188" s="65"/>
      <c r="W188" s="65"/>
      <c r="X188" s="65"/>
      <c r="Y188" s="65"/>
      <c r="Z188" s="65"/>
      <c r="AA188" s="65"/>
      <c r="AB188" s="65"/>
      <c r="AC188" s="65"/>
      <c r="AD188" s="65"/>
      <c r="AE188" s="65"/>
      <c r="AF188" s="65"/>
    </row>
    <row r="189" spans="1:32" ht="33" customHeight="1">
      <c r="A189" s="352"/>
      <c r="B189" s="352"/>
      <c r="C189" s="86">
        <v>7</v>
      </c>
      <c r="D189" s="352"/>
      <c r="E189" s="181" t="s">
        <v>2384</v>
      </c>
      <c r="F189" s="86" t="s">
        <v>326</v>
      </c>
      <c r="G189" s="86" t="s">
        <v>327</v>
      </c>
      <c r="H189" s="175" t="s">
        <v>2688</v>
      </c>
      <c r="I189" s="63" t="s">
        <v>2386</v>
      </c>
      <c r="J189" s="171"/>
      <c r="K189" s="25"/>
      <c r="L189" s="57"/>
      <c r="M189" s="133"/>
      <c r="N189" s="134"/>
      <c r="O189" s="28"/>
      <c r="P189" s="25"/>
      <c r="Q189" s="50" t="s">
        <v>140</v>
      </c>
      <c r="R189" s="25" t="s">
        <v>302</v>
      </c>
      <c r="S189" s="50"/>
      <c r="T189" s="65"/>
      <c r="U189" s="65"/>
      <c r="V189" s="65"/>
      <c r="W189" s="65"/>
      <c r="X189" s="65"/>
      <c r="Y189" s="65"/>
      <c r="Z189" s="65"/>
      <c r="AA189" s="65"/>
      <c r="AB189" s="65"/>
      <c r="AC189" s="65"/>
      <c r="AD189" s="65"/>
      <c r="AE189" s="65"/>
      <c r="AF189" s="65"/>
    </row>
    <row r="190" spans="1:32" ht="33" customHeight="1">
      <c r="A190" s="352"/>
      <c r="B190" s="352"/>
      <c r="C190" s="86">
        <v>8</v>
      </c>
      <c r="D190" s="352"/>
      <c r="E190" s="181" t="s">
        <v>2381</v>
      </c>
      <c r="F190" s="86" t="s">
        <v>326</v>
      </c>
      <c r="G190" s="86" t="s">
        <v>327</v>
      </c>
      <c r="H190" s="175" t="s">
        <v>2689</v>
      </c>
      <c r="I190" s="63" t="s">
        <v>2383</v>
      </c>
      <c r="J190" s="171"/>
      <c r="K190" s="25"/>
      <c r="L190" s="57"/>
      <c r="M190" s="133"/>
      <c r="N190" s="134"/>
      <c r="O190" s="28"/>
      <c r="P190" s="25"/>
      <c r="Q190" s="50" t="s">
        <v>140</v>
      </c>
      <c r="R190" s="25" t="s">
        <v>302</v>
      </c>
      <c r="S190" s="50"/>
      <c r="T190" s="65"/>
      <c r="U190" s="65"/>
      <c r="V190" s="65"/>
      <c r="W190" s="65"/>
      <c r="X190" s="65"/>
      <c r="Y190" s="65"/>
      <c r="Z190" s="65"/>
      <c r="AA190" s="65"/>
      <c r="AB190" s="65"/>
      <c r="AC190" s="65"/>
      <c r="AD190" s="65"/>
      <c r="AE190" s="65"/>
      <c r="AF190" s="65"/>
    </row>
    <row r="191" spans="1:32" ht="33" customHeight="1">
      <c r="A191" s="352"/>
      <c r="B191" s="352"/>
      <c r="C191" s="86">
        <v>9</v>
      </c>
      <c r="D191" s="352"/>
      <c r="E191" s="181" t="s">
        <v>2378</v>
      </c>
      <c r="F191" s="86" t="s">
        <v>326</v>
      </c>
      <c r="G191" s="86" t="s">
        <v>327</v>
      </c>
      <c r="H191" s="175" t="s">
        <v>2690</v>
      </c>
      <c r="I191" s="63" t="s">
        <v>2380</v>
      </c>
      <c r="J191" s="171"/>
      <c r="K191" s="25"/>
      <c r="L191" s="57"/>
      <c r="M191" s="133"/>
      <c r="N191" s="134"/>
      <c r="O191" s="28"/>
      <c r="P191" s="25"/>
      <c r="Q191" s="50" t="s">
        <v>140</v>
      </c>
      <c r="R191" s="25" t="s">
        <v>302</v>
      </c>
      <c r="S191" s="50"/>
      <c r="T191" s="65"/>
      <c r="U191" s="65"/>
      <c r="V191" s="65"/>
      <c r="W191" s="65"/>
      <c r="X191" s="65"/>
      <c r="Y191" s="65"/>
      <c r="Z191" s="65"/>
      <c r="AA191" s="65"/>
      <c r="AB191" s="65"/>
      <c r="AC191" s="65"/>
      <c r="AD191" s="65"/>
      <c r="AE191" s="65"/>
      <c r="AF191" s="65"/>
    </row>
    <row r="192" spans="1:32" ht="33" customHeight="1">
      <c r="A192" s="352"/>
      <c r="B192" s="352"/>
      <c r="C192" s="86">
        <v>10</v>
      </c>
      <c r="D192" s="352"/>
      <c r="E192" s="181" t="s">
        <v>2375</v>
      </c>
      <c r="F192" s="86" t="s">
        <v>326</v>
      </c>
      <c r="G192" s="86" t="s">
        <v>327</v>
      </c>
      <c r="H192" s="175" t="s">
        <v>2691</v>
      </c>
      <c r="I192" s="63" t="s">
        <v>2377</v>
      </c>
      <c r="J192" s="171"/>
      <c r="K192" s="25"/>
      <c r="L192" s="57"/>
      <c r="M192" s="133"/>
      <c r="N192" s="134"/>
      <c r="O192" s="28"/>
      <c r="P192" s="25"/>
      <c r="Q192" s="50" t="s">
        <v>140</v>
      </c>
      <c r="R192" s="25" t="s">
        <v>302</v>
      </c>
      <c r="S192" s="50"/>
      <c r="T192" s="65"/>
      <c r="U192" s="65"/>
      <c r="V192" s="65"/>
      <c r="W192" s="65"/>
      <c r="X192" s="65"/>
      <c r="Y192" s="65"/>
      <c r="Z192" s="65"/>
      <c r="AA192" s="65"/>
      <c r="AB192" s="65"/>
      <c r="AC192" s="65"/>
      <c r="AD192" s="65"/>
      <c r="AE192" s="65"/>
      <c r="AF192" s="65"/>
    </row>
    <row r="193" spans="1:32" ht="33" customHeight="1">
      <c r="A193" s="352"/>
      <c r="B193" s="352"/>
      <c r="C193" s="86">
        <v>11</v>
      </c>
      <c r="D193" s="352"/>
      <c r="E193" s="181" t="s">
        <v>2372</v>
      </c>
      <c r="F193" s="86" t="s">
        <v>326</v>
      </c>
      <c r="G193" s="86" t="s">
        <v>327</v>
      </c>
      <c r="H193" s="175" t="s">
        <v>2692</v>
      </c>
      <c r="I193" s="63" t="s">
        <v>2374</v>
      </c>
      <c r="J193" s="171"/>
      <c r="K193" s="25"/>
      <c r="L193" s="57"/>
      <c r="M193" s="133"/>
      <c r="N193" s="134"/>
      <c r="O193" s="28"/>
      <c r="P193" s="25"/>
      <c r="Q193" s="50" t="s">
        <v>140</v>
      </c>
      <c r="R193" s="25" t="s">
        <v>302</v>
      </c>
      <c r="S193" s="50"/>
      <c r="T193" s="65"/>
      <c r="U193" s="65"/>
      <c r="V193" s="65"/>
      <c r="W193" s="65"/>
      <c r="X193" s="65"/>
      <c r="Y193" s="65"/>
      <c r="Z193" s="65"/>
      <c r="AA193" s="65"/>
      <c r="AB193" s="65"/>
      <c r="AC193" s="65"/>
      <c r="AD193" s="65"/>
      <c r="AE193" s="65"/>
      <c r="AF193" s="65"/>
    </row>
    <row r="194" spans="1:32" ht="33" customHeight="1">
      <c r="A194" s="352"/>
      <c r="B194" s="352"/>
      <c r="C194" s="86">
        <v>12</v>
      </c>
      <c r="D194" s="352"/>
      <c r="E194" s="181" t="s">
        <v>2369</v>
      </c>
      <c r="F194" s="86" t="s">
        <v>326</v>
      </c>
      <c r="G194" s="86" t="s">
        <v>327</v>
      </c>
      <c r="H194" s="175" t="s">
        <v>2684</v>
      </c>
      <c r="I194" s="63" t="s">
        <v>2371</v>
      </c>
      <c r="J194" s="171"/>
      <c r="K194" s="25"/>
      <c r="L194" s="57"/>
      <c r="M194" s="133"/>
      <c r="N194" s="134"/>
      <c r="O194" s="28"/>
      <c r="P194" s="25"/>
      <c r="Q194" s="50" t="s">
        <v>140</v>
      </c>
      <c r="R194" s="25" t="s">
        <v>302</v>
      </c>
      <c r="S194" s="50"/>
      <c r="T194" s="65"/>
      <c r="U194" s="65"/>
      <c r="V194" s="65"/>
      <c r="W194" s="65"/>
      <c r="X194" s="65"/>
      <c r="Y194" s="65"/>
      <c r="Z194" s="65"/>
      <c r="AA194" s="65"/>
      <c r="AB194" s="65"/>
      <c r="AC194" s="65"/>
      <c r="AD194" s="65"/>
      <c r="AE194" s="65"/>
      <c r="AF194" s="65"/>
    </row>
    <row r="195" spans="1:32" ht="33" customHeight="1">
      <c r="A195" s="352"/>
      <c r="B195" s="352"/>
      <c r="C195" s="86">
        <v>13</v>
      </c>
      <c r="D195" s="352"/>
      <c r="E195" s="181" t="s">
        <v>2366</v>
      </c>
      <c r="F195" s="86" t="s">
        <v>326</v>
      </c>
      <c r="G195" s="86" t="s">
        <v>327</v>
      </c>
      <c r="H195" s="175" t="s">
        <v>2693</v>
      </c>
      <c r="I195" s="63" t="s">
        <v>2368</v>
      </c>
      <c r="J195" s="171"/>
      <c r="K195" s="25"/>
      <c r="L195" s="57"/>
      <c r="M195" s="133"/>
      <c r="N195" s="134"/>
      <c r="O195" s="28"/>
      <c r="P195" s="25"/>
      <c r="Q195" s="50" t="s">
        <v>140</v>
      </c>
      <c r="R195" s="25" t="s">
        <v>302</v>
      </c>
      <c r="S195" s="50"/>
      <c r="T195" s="65"/>
      <c r="U195" s="65"/>
      <c r="V195" s="65"/>
      <c r="W195" s="65"/>
      <c r="X195" s="65"/>
      <c r="Y195" s="65"/>
      <c r="Z195" s="65"/>
      <c r="AA195" s="65"/>
      <c r="AB195" s="65"/>
      <c r="AC195" s="65"/>
      <c r="AD195" s="65"/>
      <c r="AE195" s="65"/>
      <c r="AF195" s="65"/>
    </row>
    <row r="196" spans="1:32" ht="33" customHeight="1">
      <c r="A196" s="352"/>
      <c r="B196" s="352"/>
      <c r="C196" s="86">
        <v>14</v>
      </c>
      <c r="D196" s="352"/>
      <c r="E196" s="181" t="s">
        <v>2363</v>
      </c>
      <c r="F196" s="86" t="s">
        <v>326</v>
      </c>
      <c r="G196" s="86" t="s">
        <v>327</v>
      </c>
      <c r="H196" s="175" t="s">
        <v>2694</v>
      </c>
      <c r="I196" s="63" t="s">
        <v>2365</v>
      </c>
      <c r="J196" s="171"/>
      <c r="K196" s="25"/>
      <c r="L196" s="57"/>
      <c r="M196" s="133"/>
      <c r="N196" s="134"/>
      <c r="O196" s="28"/>
      <c r="P196" s="25"/>
      <c r="Q196" s="50" t="s">
        <v>140</v>
      </c>
      <c r="R196" s="25" t="s">
        <v>302</v>
      </c>
      <c r="S196" s="50"/>
      <c r="T196" s="65"/>
      <c r="U196" s="65"/>
      <c r="V196" s="65"/>
      <c r="W196" s="65"/>
      <c r="X196" s="65"/>
      <c r="Y196" s="65"/>
      <c r="Z196" s="65"/>
      <c r="AA196" s="65"/>
      <c r="AB196" s="65"/>
      <c r="AC196" s="65"/>
      <c r="AD196" s="65"/>
      <c r="AE196" s="65"/>
      <c r="AF196" s="65"/>
    </row>
    <row r="197" spans="1:32" ht="33" customHeight="1">
      <c r="A197" s="352"/>
      <c r="B197" s="352"/>
      <c r="C197" s="86">
        <v>15</v>
      </c>
      <c r="D197" s="352"/>
      <c r="E197" s="181" t="s">
        <v>2360</v>
      </c>
      <c r="F197" s="86" t="s">
        <v>326</v>
      </c>
      <c r="G197" s="86" t="s">
        <v>327</v>
      </c>
      <c r="H197" s="175" t="s">
        <v>2695</v>
      </c>
      <c r="I197" s="63" t="s">
        <v>2362</v>
      </c>
      <c r="J197" s="171"/>
      <c r="K197" s="25"/>
      <c r="L197" s="57"/>
      <c r="M197" s="133"/>
      <c r="N197" s="134"/>
      <c r="O197" s="28"/>
      <c r="P197" s="25"/>
      <c r="Q197" s="50" t="s">
        <v>140</v>
      </c>
      <c r="R197" s="25" t="s">
        <v>302</v>
      </c>
      <c r="S197" s="50"/>
      <c r="T197" s="65"/>
      <c r="U197" s="65"/>
      <c r="V197" s="65"/>
      <c r="W197" s="65"/>
      <c r="X197" s="65"/>
      <c r="Y197" s="65"/>
      <c r="Z197" s="65"/>
      <c r="AA197" s="65"/>
      <c r="AB197" s="65"/>
      <c r="AC197" s="65"/>
      <c r="AD197" s="65"/>
      <c r="AE197" s="65"/>
      <c r="AF197" s="65"/>
    </row>
    <row r="198" spans="1:32" ht="33" customHeight="1">
      <c r="A198" s="352"/>
      <c r="B198" s="352"/>
      <c r="C198" s="86">
        <v>16</v>
      </c>
      <c r="D198" s="352"/>
      <c r="E198" s="181" t="s">
        <v>2357</v>
      </c>
      <c r="F198" s="86" t="s">
        <v>326</v>
      </c>
      <c r="G198" s="86" t="s">
        <v>327</v>
      </c>
      <c r="H198" s="175" t="s">
        <v>2696</v>
      </c>
      <c r="I198" s="63" t="s">
        <v>2359</v>
      </c>
      <c r="J198" s="171"/>
      <c r="K198" s="25"/>
      <c r="L198" s="57"/>
      <c r="M198" s="133"/>
      <c r="N198" s="134"/>
      <c r="O198" s="28"/>
      <c r="P198" s="25"/>
      <c r="Q198" s="50" t="s">
        <v>140</v>
      </c>
      <c r="R198" s="25" t="s">
        <v>302</v>
      </c>
      <c r="S198" s="50"/>
      <c r="T198" s="65"/>
      <c r="U198" s="65"/>
      <c r="V198" s="65"/>
      <c r="W198" s="65"/>
      <c r="X198" s="65"/>
      <c r="Y198" s="65"/>
      <c r="Z198" s="65"/>
      <c r="AA198" s="65"/>
      <c r="AB198" s="65"/>
      <c r="AC198" s="65"/>
      <c r="AD198" s="65"/>
      <c r="AE198" s="65"/>
      <c r="AF198" s="65"/>
    </row>
    <row r="199" spans="1:32" ht="33" customHeight="1">
      <c r="A199" s="352"/>
      <c r="B199" s="352"/>
      <c r="C199" s="86">
        <v>17</v>
      </c>
      <c r="D199" s="352"/>
      <c r="E199" s="181" t="s">
        <v>2354</v>
      </c>
      <c r="F199" s="86" t="s">
        <v>326</v>
      </c>
      <c r="G199" s="86" t="s">
        <v>327</v>
      </c>
      <c r="H199" s="175" t="s">
        <v>2697</v>
      </c>
      <c r="I199" s="63" t="s">
        <v>2356</v>
      </c>
      <c r="J199" s="171"/>
      <c r="K199" s="25"/>
      <c r="L199" s="57"/>
      <c r="M199" s="133"/>
      <c r="N199" s="134"/>
      <c r="O199" s="28"/>
      <c r="P199" s="25"/>
      <c r="Q199" s="50" t="s">
        <v>140</v>
      </c>
      <c r="R199" s="25" t="s">
        <v>302</v>
      </c>
      <c r="S199" s="50"/>
      <c r="T199" s="65"/>
      <c r="U199" s="65"/>
      <c r="V199" s="65"/>
      <c r="W199" s="65"/>
      <c r="X199" s="65"/>
      <c r="Y199" s="65"/>
      <c r="Z199" s="65"/>
      <c r="AA199" s="65"/>
      <c r="AB199" s="65"/>
      <c r="AC199" s="65"/>
      <c r="AD199" s="65"/>
      <c r="AE199" s="65"/>
      <c r="AF199" s="65"/>
    </row>
    <row r="200" spans="1:32" ht="33" customHeight="1">
      <c r="A200" s="352"/>
      <c r="B200" s="352"/>
      <c r="C200" s="86">
        <v>18</v>
      </c>
      <c r="D200" s="352"/>
      <c r="E200" s="181" t="s">
        <v>2351</v>
      </c>
      <c r="F200" s="86" t="s">
        <v>326</v>
      </c>
      <c r="G200" s="86" t="s">
        <v>327</v>
      </c>
      <c r="H200" s="175" t="s">
        <v>2698</v>
      </c>
      <c r="I200" s="63" t="s">
        <v>2353</v>
      </c>
      <c r="J200" s="171"/>
      <c r="K200" s="25"/>
      <c r="L200" s="57"/>
      <c r="M200" s="133"/>
      <c r="N200" s="134"/>
      <c r="O200" s="28"/>
      <c r="P200" s="25"/>
      <c r="Q200" s="50" t="s">
        <v>140</v>
      </c>
      <c r="R200" s="25" t="s">
        <v>302</v>
      </c>
      <c r="S200" s="50"/>
      <c r="T200" s="65"/>
      <c r="U200" s="65"/>
      <c r="V200" s="65"/>
      <c r="W200" s="65"/>
      <c r="X200" s="65"/>
      <c r="Y200" s="65"/>
      <c r="Z200" s="65"/>
      <c r="AA200" s="65"/>
      <c r="AB200" s="65"/>
      <c r="AC200" s="65"/>
      <c r="AD200" s="65"/>
      <c r="AE200" s="65"/>
      <c r="AF200" s="65"/>
    </row>
    <row r="201" spans="1:32" ht="33" customHeight="1">
      <c r="A201" s="352"/>
      <c r="B201" s="352"/>
      <c r="C201" s="86">
        <v>19</v>
      </c>
      <c r="D201" s="352"/>
      <c r="E201" s="181" t="s">
        <v>2348</v>
      </c>
      <c r="F201" s="86" t="s">
        <v>326</v>
      </c>
      <c r="G201" s="86" t="s">
        <v>327</v>
      </c>
      <c r="H201" s="175" t="s">
        <v>2699</v>
      </c>
      <c r="I201" s="63" t="s">
        <v>2350</v>
      </c>
      <c r="J201" s="171"/>
      <c r="K201" s="25"/>
      <c r="L201" s="57"/>
      <c r="M201" s="133"/>
      <c r="N201" s="134"/>
      <c r="O201" s="28"/>
      <c r="P201" s="25"/>
      <c r="Q201" s="50" t="s">
        <v>140</v>
      </c>
      <c r="R201" s="25" t="s">
        <v>302</v>
      </c>
      <c r="S201" s="50"/>
      <c r="T201" s="65"/>
      <c r="U201" s="65"/>
      <c r="V201" s="65"/>
      <c r="W201" s="65"/>
      <c r="X201" s="65"/>
      <c r="Y201" s="65"/>
      <c r="Z201" s="65"/>
      <c r="AA201" s="65"/>
      <c r="AB201" s="65"/>
      <c r="AC201" s="65"/>
      <c r="AD201" s="65"/>
      <c r="AE201" s="65"/>
      <c r="AF201" s="65"/>
    </row>
    <row r="202" spans="1:32" ht="33" customHeight="1">
      <c r="A202" s="352"/>
      <c r="B202" s="352"/>
      <c r="C202" s="86">
        <v>20</v>
      </c>
      <c r="D202" s="352"/>
      <c r="E202" s="181" t="s">
        <v>2345</v>
      </c>
      <c r="F202" s="86" t="s">
        <v>326</v>
      </c>
      <c r="G202" s="86" t="s">
        <v>327</v>
      </c>
      <c r="H202" s="175" t="s">
        <v>2700</v>
      </c>
      <c r="I202" s="35" t="s">
        <v>2347</v>
      </c>
      <c r="J202" s="172"/>
      <c r="K202" s="25"/>
      <c r="L202" s="57"/>
      <c r="M202" s="133"/>
      <c r="N202" s="134"/>
      <c r="O202" s="28"/>
      <c r="P202" s="25"/>
      <c r="Q202" s="50" t="s">
        <v>140</v>
      </c>
      <c r="R202" s="25" t="s">
        <v>302</v>
      </c>
      <c r="S202" s="50"/>
      <c r="T202" s="65"/>
      <c r="U202" s="65"/>
      <c r="V202" s="65"/>
      <c r="W202" s="65"/>
      <c r="X202" s="65"/>
      <c r="Y202" s="65"/>
      <c r="Z202" s="65"/>
      <c r="AA202" s="65"/>
      <c r="AB202" s="65"/>
      <c r="AC202" s="65"/>
      <c r="AD202" s="65"/>
      <c r="AE202" s="65"/>
      <c r="AF202" s="65"/>
    </row>
    <row r="203" spans="1:32" ht="15.75" customHeight="1">
      <c r="A203" s="352"/>
      <c r="B203" s="352"/>
      <c r="C203" s="86">
        <v>21</v>
      </c>
      <c r="D203" s="352"/>
      <c r="E203" s="181" t="s">
        <v>2342</v>
      </c>
      <c r="F203" s="86" t="s">
        <v>326</v>
      </c>
      <c r="G203" s="86" t="s">
        <v>327</v>
      </c>
      <c r="H203" s="175" t="s">
        <v>2701</v>
      </c>
      <c r="I203" s="35" t="s">
        <v>2344</v>
      </c>
      <c r="J203" s="172"/>
      <c r="K203" s="25"/>
      <c r="L203" s="57"/>
      <c r="M203" s="133"/>
      <c r="N203" s="134"/>
      <c r="O203" s="28"/>
      <c r="P203" s="25"/>
      <c r="Q203" s="50" t="s">
        <v>140</v>
      </c>
      <c r="R203" s="25" t="s">
        <v>302</v>
      </c>
      <c r="S203" s="50"/>
      <c r="T203" s="65"/>
      <c r="U203" s="65"/>
      <c r="V203" s="65"/>
      <c r="W203" s="65"/>
      <c r="X203" s="65"/>
      <c r="Y203" s="65"/>
      <c r="Z203" s="65"/>
      <c r="AA203" s="65"/>
      <c r="AB203" s="65"/>
      <c r="AC203" s="65"/>
      <c r="AD203" s="65"/>
      <c r="AE203" s="65"/>
      <c r="AF203" s="65"/>
    </row>
    <row r="204" spans="1:32" ht="15.75" customHeight="1">
      <c r="A204" s="352"/>
      <c r="B204" s="352"/>
      <c r="C204" s="86">
        <v>22</v>
      </c>
      <c r="D204" s="352"/>
      <c r="E204" s="175" t="s">
        <v>2664</v>
      </c>
      <c r="F204" s="86" t="s">
        <v>326</v>
      </c>
      <c r="G204" s="86" t="s">
        <v>327</v>
      </c>
      <c r="H204" s="175" t="s">
        <v>2702</v>
      </c>
      <c r="I204" s="47" t="s">
        <v>2666</v>
      </c>
      <c r="J204" s="168"/>
      <c r="K204" s="25"/>
      <c r="L204" s="57"/>
      <c r="M204" s="139"/>
      <c r="N204" s="4"/>
      <c r="O204" s="28"/>
      <c r="P204" s="50"/>
      <c r="Q204" s="50" t="s">
        <v>282</v>
      </c>
      <c r="R204" s="25" t="s">
        <v>302</v>
      </c>
      <c r="S204" s="50"/>
      <c r="T204" s="51"/>
      <c r="U204" s="51"/>
      <c r="V204" s="51"/>
      <c r="W204" s="51"/>
      <c r="X204" s="51"/>
      <c r="Y204" s="51"/>
      <c r="Z204" s="51"/>
      <c r="AA204" s="51"/>
      <c r="AB204" s="51"/>
      <c r="AC204" s="51"/>
      <c r="AD204" s="51"/>
      <c r="AE204" s="51"/>
      <c r="AF204" s="51"/>
    </row>
    <row r="205" spans="1:32" ht="15.75" customHeight="1">
      <c r="A205" s="352"/>
      <c r="B205" s="352"/>
      <c r="C205" s="86">
        <v>23</v>
      </c>
      <c r="D205" s="352"/>
      <c r="E205" s="175" t="s">
        <v>2667</v>
      </c>
      <c r="F205" s="86" t="s">
        <v>326</v>
      </c>
      <c r="G205" s="86" t="s">
        <v>327</v>
      </c>
      <c r="H205" s="175" t="s">
        <v>2703</v>
      </c>
      <c r="I205" s="47" t="s">
        <v>2669</v>
      </c>
      <c r="J205" s="168"/>
      <c r="K205" s="25"/>
      <c r="L205" s="57"/>
      <c r="M205" s="139"/>
      <c r="N205" s="4"/>
      <c r="O205" s="28"/>
      <c r="P205" s="50"/>
      <c r="Q205" s="50" t="s">
        <v>282</v>
      </c>
      <c r="R205" s="25" t="s">
        <v>302</v>
      </c>
      <c r="S205" s="50"/>
      <c r="T205" s="51"/>
      <c r="U205" s="51"/>
      <c r="V205" s="51"/>
      <c r="W205" s="51"/>
      <c r="X205" s="51"/>
      <c r="Y205" s="51"/>
      <c r="Z205" s="51"/>
      <c r="AA205" s="51"/>
      <c r="AB205" s="51"/>
      <c r="AC205" s="51"/>
      <c r="AD205" s="51"/>
      <c r="AE205" s="51"/>
      <c r="AF205" s="51"/>
    </row>
    <row r="206" spans="1:32" ht="59.25" customHeight="1">
      <c r="A206" s="352"/>
      <c r="B206" s="352"/>
      <c r="C206" s="86">
        <v>24</v>
      </c>
      <c r="D206" s="352"/>
      <c r="E206" s="175" t="s">
        <v>2670</v>
      </c>
      <c r="F206" s="86" t="s">
        <v>326</v>
      </c>
      <c r="G206" s="86" t="s">
        <v>327</v>
      </c>
      <c r="H206" s="175" t="s">
        <v>2704</v>
      </c>
      <c r="I206" s="47" t="s">
        <v>2404</v>
      </c>
      <c r="J206" s="168"/>
      <c r="K206" s="25"/>
      <c r="L206" s="57"/>
      <c r="M206" s="139"/>
      <c r="N206" s="4"/>
      <c r="O206" s="28"/>
      <c r="P206" s="50"/>
      <c r="Q206" s="50" t="s">
        <v>282</v>
      </c>
      <c r="R206" s="25" t="s">
        <v>302</v>
      </c>
      <c r="S206" s="50"/>
      <c r="T206" s="51"/>
      <c r="U206" s="51"/>
      <c r="V206" s="51"/>
      <c r="W206" s="51"/>
      <c r="X206" s="51"/>
      <c r="Y206" s="51"/>
      <c r="Z206" s="51"/>
      <c r="AA206" s="51"/>
      <c r="AB206" s="51"/>
      <c r="AC206" s="51"/>
      <c r="AD206" s="51"/>
      <c r="AE206" s="51"/>
      <c r="AF206" s="51"/>
    </row>
    <row r="207" spans="1:32" ht="15.75" customHeight="1">
      <c r="A207" s="352"/>
      <c r="B207" s="352"/>
      <c r="C207" s="86">
        <v>25</v>
      </c>
      <c r="D207" s="352"/>
      <c r="E207" s="324" t="s">
        <v>2705</v>
      </c>
      <c r="F207" s="86" t="s">
        <v>326</v>
      </c>
      <c r="G207" s="143" t="s">
        <v>2673</v>
      </c>
      <c r="H207" s="175" t="s">
        <v>2706</v>
      </c>
      <c r="I207" s="144" t="s">
        <v>2707</v>
      </c>
      <c r="J207" s="144"/>
      <c r="K207" s="25"/>
      <c r="L207" s="57"/>
      <c r="M207" s="139"/>
      <c r="N207" s="4"/>
      <c r="O207" s="28"/>
      <c r="P207" s="50"/>
      <c r="Q207" s="50" t="s">
        <v>140</v>
      </c>
      <c r="R207" s="25" t="s">
        <v>302</v>
      </c>
      <c r="S207" s="50"/>
      <c r="T207" s="51"/>
      <c r="U207" s="51"/>
      <c r="V207" s="51"/>
      <c r="W207" s="51"/>
      <c r="X207" s="51"/>
      <c r="Y207" s="51"/>
      <c r="Z207" s="51"/>
      <c r="AA207" s="51"/>
      <c r="AB207" s="51"/>
      <c r="AC207" s="51"/>
      <c r="AD207" s="51"/>
      <c r="AE207" s="51"/>
      <c r="AF207" s="51"/>
    </row>
    <row r="208" spans="1:32" ht="15.75" customHeight="1">
      <c r="A208" s="353"/>
      <c r="B208" s="353"/>
      <c r="C208" s="86">
        <v>26</v>
      </c>
      <c r="D208" s="353"/>
      <c r="E208" s="324" t="s">
        <v>2708</v>
      </c>
      <c r="F208" s="86" t="s">
        <v>326</v>
      </c>
      <c r="G208" s="86" t="s">
        <v>327</v>
      </c>
      <c r="H208" s="175" t="s">
        <v>2709</v>
      </c>
      <c r="I208" s="145" t="s">
        <v>2707</v>
      </c>
      <c r="J208" s="145"/>
      <c r="K208" s="25"/>
      <c r="L208" s="57"/>
      <c r="M208" s="139"/>
      <c r="N208" s="4"/>
      <c r="O208" s="28"/>
      <c r="P208" s="50"/>
      <c r="Q208" s="50" t="s">
        <v>140</v>
      </c>
      <c r="R208" s="25" t="s">
        <v>302</v>
      </c>
      <c r="S208" s="50"/>
      <c r="T208" s="51"/>
      <c r="U208" s="51"/>
      <c r="V208" s="51"/>
      <c r="W208" s="51"/>
      <c r="X208" s="51"/>
      <c r="Y208" s="51"/>
      <c r="Z208" s="51"/>
      <c r="AA208" s="51"/>
      <c r="AB208" s="51"/>
      <c r="AC208" s="51"/>
      <c r="AD208" s="51"/>
      <c r="AE208" s="51"/>
      <c r="AF208" s="51"/>
    </row>
    <row r="209" spans="1:32" ht="15.75" customHeight="1">
      <c r="A209" s="351" t="s">
        <v>2710</v>
      </c>
      <c r="B209" s="354" t="s">
        <v>2711</v>
      </c>
      <c r="C209" s="86">
        <v>1</v>
      </c>
      <c r="D209" s="361" t="s">
        <v>2712</v>
      </c>
      <c r="E209" s="361" t="s">
        <v>2713</v>
      </c>
      <c r="F209" s="354" t="s">
        <v>326</v>
      </c>
      <c r="G209" s="354" t="s">
        <v>524</v>
      </c>
      <c r="H209" s="175" t="s">
        <v>2714</v>
      </c>
      <c r="I209" s="35" t="s">
        <v>2715</v>
      </c>
      <c r="J209" s="172"/>
      <c r="K209" s="25"/>
      <c r="L209" s="57"/>
      <c r="M209" s="133"/>
      <c r="N209" s="134"/>
      <c r="O209" s="28"/>
      <c r="P209" s="25"/>
      <c r="Q209" s="50" t="s">
        <v>140</v>
      </c>
      <c r="R209" s="25" t="s">
        <v>302</v>
      </c>
      <c r="S209" s="50"/>
      <c r="T209" s="65"/>
      <c r="U209" s="65"/>
      <c r="V209" s="65"/>
      <c r="W209" s="65"/>
      <c r="X209" s="65"/>
      <c r="Y209" s="65"/>
      <c r="Z209" s="65"/>
      <c r="AA209" s="65"/>
      <c r="AB209" s="65"/>
      <c r="AC209" s="65"/>
      <c r="AD209" s="65"/>
      <c r="AE209" s="65"/>
      <c r="AF209" s="65"/>
    </row>
    <row r="210" spans="1:32" ht="15.75" customHeight="1">
      <c r="A210" s="352"/>
      <c r="B210" s="352"/>
      <c r="C210" s="86">
        <v>2</v>
      </c>
      <c r="D210" s="352"/>
      <c r="E210" s="352"/>
      <c r="F210" s="352"/>
      <c r="G210" s="352"/>
      <c r="H210" s="175" t="s">
        <v>2716</v>
      </c>
      <c r="I210" s="35" t="s">
        <v>2715</v>
      </c>
      <c r="J210" s="172"/>
      <c r="K210" s="25"/>
      <c r="L210" s="57"/>
      <c r="M210" s="133"/>
      <c r="N210" s="134"/>
      <c r="O210" s="28" t="s">
        <v>140</v>
      </c>
      <c r="P210" s="25"/>
      <c r="Q210" s="50" t="s">
        <v>140</v>
      </c>
      <c r="R210" s="25" t="s">
        <v>302</v>
      </c>
      <c r="S210" s="50"/>
      <c r="T210" s="65"/>
      <c r="U210" s="65"/>
      <c r="V210" s="65"/>
      <c r="W210" s="65"/>
      <c r="X210" s="65"/>
      <c r="Y210" s="65"/>
      <c r="Z210" s="65"/>
      <c r="AA210" s="65"/>
      <c r="AB210" s="65"/>
      <c r="AC210" s="65"/>
      <c r="AD210" s="65"/>
      <c r="AE210" s="65"/>
      <c r="AF210" s="65"/>
    </row>
    <row r="211" spans="1:32" ht="15.75" customHeight="1">
      <c r="A211" s="352"/>
      <c r="B211" s="352"/>
      <c r="C211" s="86">
        <v>3</v>
      </c>
      <c r="D211" s="352"/>
      <c r="E211" s="384"/>
      <c r="F211" s="384"/>
      <c r="G211" s="384"/>
      <c r="H211" s="175" t="s">
        <v>2717</v>
      </c>
      <c r="I211" s="35" t="s">
        <v>2718</v>
      </c>
      <c r="J211" s="172"/>
      <c r="K211" s="25"/>
      <c r="L211" s="57"/>
      <c r="M211" s="133"/>
      <c r="N211" s="134"/>
      <c r="O211" s="28" t="s">
        <v>140</v>
      </c>
      <c r="P211" s="25"/>
      <c r="Q211" s="50" t="s">
        <v>140</v>
      </c>
      <c r="R211" s="25" t="s">
        <v>302</v>
      </c>
      <c r="S211" s="50"/>
      <c r="T211" s="65"/>
      <c r="U211" s="65"/>
      <c r="V211" s="65"/>
      <c r="W211" s="65"/>
      <c r="X211" s="65"/>
      <c r="Y211" s="65"/>
      <c r="Z211" s="65"/>
      <c r="AA211" s="65"/>
      <c r="AB211" s="65"/>
      <c r="AC211" s="65"/>
      <c r="AD211" s="65"/>
      <c r="AE211" s="65"/>
      <c r="AF211" s="65"/>
    </row>
    <row r="212" spans="1:32" ht="15.75" customHeight="1">
      <c r="A212" s="352"/>
      <c r="B212" s="352"/>
      <c r="C212" s="86">
        <v>4</v>
      </c>
      <c r="D212" s="352"/>
      <c r="E212" s="385" t="s">
        <v>2719</v>
      </c>
      <c r="F212" s="354" t="s">
        <v>326</v>
      </c>
      <c r="G212" s="354" t="s">
        <v>524</v>
      </c>
      <c r="H212" s="175" t="s">
        <v>2720</v>
      </c>
      <c r="I212" s="35" t="s">
        <v>2715</v>
      </c>
      <c r="J212" s="172"/>
      <c r="K212" s="25"/>
      <c r="L212" s="57"/>
      <c r="M212" s="133"/>
      <c r="N212" s="134"/>
      <c r="O212" s="28" t="s">
        <v>140</v>
      </c>
      <c r="P212" s="25"/>
      <c r="Q212" s="50" t="s">
        <v>140</v>
      </c>
      <c r="R212" s="25" t="s">
        <v>302</v>
      </c>
      <c r="S212" s="50"/>
      <c r="T212" s="65"/>
      <c r="U212" s="65"/>
      <c r="V212" s="65"/>
      <c r="W212" s="65"/>
      <c r="X212" s="65"/>
      <c r="Y212" s="65"/>
      <c r="Z212" s="65"/>
      <c r="AA212" s="65"/>
      <c r="AB212" s="65"/>
      <c r="AC212" s="65"/>
      <c r="AD212" s="65"/>
      <c r="AE212" s="65"/>
      <c r="AF212" s="65"/>
    </row>
    <row r="213" spans="1:32" ht="15.75" customHeight="1">
      <c r="A213" s="352"/>
      <c r="B213" s="352"/>
      <c r="C213" s="86">
        <v>5</v>
      </c>
      <c r="D213" s="352"/>
      <c r="E213" s="352"/>
      <c r="F213" s="352"/>
      <c r="G213" s="352"/>
      <c r="H213" s="175" t="s">
        <v>2721</v>
      </c>
      <c r="I213" s="35" t="s">
        <v>2715</v>
      </c>
      <c r="J213" s="172"/>
      <c r="K213" s="25"/>
      <c r="L213" s="57"/>
      <c r="M213" s="133"/>
      <c r="N213" s="134"/>
      <c r="O213" s="28" t="s">
        <v>140</v>
      </c>
      <c r="P213" s="25"/>
      <c r="Q213" s="50" t="s">
        <v>140</v>
      </c>
      <c r="R213" s="25" t="s">
        <v>302</v>
      </c>
      <c r="S213" s="50"/>
      <c r="T213" s="65"/>
      <c r="U213" s="65"/>
      <c r="V213" s="65"/>
      <c r="W213" s="65"/>
      <c r="X213" s="65"/>
      <c r="Y213" s="65"/>
      <c r="Z213" s="65"/>
      <c r="AA213" s="65"/>
      <c r="AB213" s="65"/>
      <c r="AC213" s="65"/>
      <c r="AD213" s="65"/>
      <c r="AE213" s="65"/>
      <c r="AF213" s="65"/>
    </row>
    <row r="214" spans="1:32" ht="15.75" customHeight="1">
      <c r="A214" s="352"/>
      <c r="B214" s="352"/>
      <c r="C214" s="86">
        <v>6</v>
      </c>
      <c r="D214" s="352"/>
      <c r="E214" s="384"/>
      <c r="F214" s="384"/>
      <c r="G214" s="384"/>
      <c r="H214" s="175" t="s">
        <v>2722</v>
      </c>
      <c r="I214" s="35" t="s">
        <v>2718</v>
      </c>
      <c r="J214" s="172"/>
      <c r="K214" s="25"/>
      <c r="L214" s="57"/>
      <c r="M214" s="133"/>
      <c r="N214" s="134"/>
      <c r="O214" s="28" t="s">
        <v>140</v>
      </c>
      <c r="P214" s="25"/>
      <c r="Q214" s="50" t="s">
        <v>140</v>
      </c>
      <c r="R214" s="25" t="s">
        <v>302</v>
      </c>
      <c r="S214" s="50"/>
      <c r="T214" s="65"/>
      <c r="U214" s="65"/>
      <c r="V214" s="65"/>
      <c r="W214" s="65"/>
      <c r="X214" s="65"/>
      <c r="Y214" s="65"/>
      <c r="Z214" s="65"/>
      <c r="AA214" s="65"/>
      <c r="AB214" s="65"/>
      <c r="AC214" s="65"/>
      <c r="AD214" s="65"/>
      <c r="AE214" s="65"/>
      <c r="AF214" s="65"/>
    </row>
    <row r="215" spans="1:32" ht="15.75" customHeight="1">
      <c r="A215" s="352"/>
      <c r="B215" s="352"/>
      <c r="C215" s="86">
        <v>7</v>
      </c>
      <c r="D215" s="352"/>
      <c r="E215" s="385" t="s">
        <v>2723</v>
      </c>
      <c r="F215" s="354" t="s">
        <v>361</v>
      </c>
      <c r="G215" s="354" t="s">
        <v>524</v>
      </c>
      <c r="H215" s="175" t="s">
        <v>2724</v>
      </c>
      <c r="I215" s="35" t="s">
        <v>2725</v>
      </c>
      <c r="J215" s="172"/>
      <c r="K215" s="25"/>
      <c r="L215" s="57"/>
      <c r="M215" s="133"/>
      <c r="N215" s="134"/>
      <c r="O215" s="28" t="s">
        <v>140</v>
      </c>
      <c r="P215" s="25"/>
      <c r="Q215" s="50" t="s">
        <v>140</v>
      </c>
      <c r="R215" s="25" t="s">
        <v>302</v>
      </c>
      <c r="S215" s="50"/>
      <c r="T215" s="65"/>
      <c r="U215" s="65"/>
      <c r="V215" s="65"/>
      <c r="W215" s="65"/>
      <c r="X215" s="65"/>
      <c r="Y215" s="65"/>
      <c r="Z215" s="65"/>
      <c r="AA215" s="65"/>
      <c r="AB215" s="65"/>
      <c r="AC215" s="65"/>
      <c r="AD215" s="65"/>
      <c r="AE215" s="65"/>
      <c r="AF215" s="65"/>
    </row>
    <row r="216" spans="1:32" ht="15.75" customHeight="1">
      <c r="A216" s="352"/>
      <c r="B216" s="352"/>
      <c r="C216" s="86">
        <v>8</v>
      </c>
      <c r="D216" s="352"/>
      <c r="E216" s="353"/>
      <c r="F216" s="353"/>
      <c r="G216" s="353"/>
      <c r="H216" s="175" t="s">
        <v>2726</v>
      </c>
      <c r="I216" s="35" t="s">
        <v>2725</v>
      </c>
      <c r="J216" s="172"/>
      <c r="K216" s="25"/>
      <c r="L216" s="57"/>
      <c r="M216" s="133"/>
      <c r="N216" s="134"/>
      <c r="O216" s="28" t="s">
        <v>140</v>
      </c>
      <c r="P216" s="25"/>
      <c r="Q216" s="50" t="s">
        <v>140</v>
      </c>
      <c r="R216" s="25" t="s">
        <v>302</v>
      </c>
      <c r="S216" s="50"/>
      <c r="T216" s="65"/>
      <c r="U216" s="65"/>
      <c r="V216" s="65"/>
      <c r="W216" s="65"/>
      <c r="X216" s="65"/>
      <c r="Y216" s="65"/>
      <c r="Z216" s="65"/>
      <c r="AA216" s="65"/>
      <c r="AB216" s="65"/>
      <c r="AC216" s="65"/>
      <c r="AD216" s="65"/>
      <c r="AE216" s="65"/>
      <c r="AF216" s="65"/>
    </row>
    <row r="217" spans="1:32" ht="15.75" customHeight="1">
      <c r="A217" s="352"/>
      <c r="B217" s="352"/>
      <c r="C217" s="86">
        <v>9</v>
      </c>
      <c r="D217" s="352"/>
      <c r="E217" s="361" t="s">
        <v>2727</v>
      </c>
      <c r="F217" s="354" t="s">
        <v>361</v>
      </c>
      <c r="G217" s="354" t="s">
        <v>524</v>
      </c>
      <c r="H217" s="175" t="s">
        <v>2728</v>
      </c>
      <c r="I217" s="35" t="s">
        <v>2725</v>
      </c>
      <c r="J217" s="172"/>
      <c r="K217" s="25"/>
      <c r="L217" s="57"/>
      <c r="M217" s="133"/>
      <c r="N217" s="134"/>
      <c r="O217" s="28" t="s">
        <v>140</v>
      </c>
      <c r="P217" s="25"/>
      <c r="Q217" s="50" t="s">
        <v>140</v>
      </c>
      <c r="R217" s="25" t="s">
        <v>302</v>
      </c>
      <c r="S217" s="50"/>
      <c r="T217" s="65"/>
      <c r="U217" s="65"/>
      <c r="V217" s="65"/>
      <c r="W217" s="65"/>
      <c r="X217" s="65"/>
      <c r="Y217" s="65"/>
      <c r="Z217" s="65"/>
      <c r="AA217" s="65"/>
      <c r="AB217" s="65"/>
      <c r="AC217" s="65"/>
      <c r="AD217" s="65"/>
      <c r="AE217" s="65"/>
      <c r="AF217" s="65"/>
    </row>
    <row r="218" spans="1:32" ht="15.75" customHeight="1">
      <c r="A218" s="353"/>
      <c r="B218" s="353"/>
      <c r="C218" s="86">
        <v>10</v>
      </c>
      <c r="D218" s="353"/>
      <c r="E218" s="353"/>
      <c r="F218" s="353"/>
      <c r="G218" s="353"/>
      <c r="H218" s="175" t="s">
        <v>2729</v>
      </c>
      <c r="I218" s="35" t="s">
        <v>2725</v>
      </c>
      <c r="J218" s="172"/>
      <c r="K218" s="25"/>
      <c r="L218" s="57"/>
      <c r="M218" s="133"/>
      <c r="N218" s="134"/>
      <c r="O218" s="28" t="s">
        <v>140</v>
      </c>
      <c r="P218" s="25"/>
      <c r="Q218" s="50" t="s">
        <v>140</v>
      </c>
      <c r="R218" s="25" t="s">
        <v>302</v>
      </c>
      <c r="S218" s="50"/>
      <c r="T218" s="65"/>
      <c r="U218" s="65"/>
      <c r="V218" s="65"/>
      <c r="W218" s="65"/>
      <c r="X218" s="65"/>
      <c r="Y218" s="65"/>
      <c r="Z218" s="65"/>
      <c r="AA218" s="65"/>
      <c r="AB218" s="65"/>
      <c r="AC218" s="65"/>
      <c r="AD218" s="65"/>
      <c r="AE218" s="65"/>
      <c r="AF218" s="65"/>
    </row>
    <row r="219" spans="1:32" ht="15.75" customHeight="1">
      <c r="A219" s="351" t="s">
        <v>2710</v>
      </c>
      <c r="B219" s="354" t="s">
        <v>99</v>
      </c>
      <c r="C219" s="86">
        <v>1</v>
      </c>
      <c r="D219" s="361" t="s">
        <v>2730</v>
      </c>
      <c r="E219" s="361" t="s">
        <v>2731</v>
      </c>
      <c r="F219" s="354" t="s">
        <v>326</v>
      </c>
      <c r="G219" s="354" t="s">
        <v>524</v>
      </c>
      <c r="H219" s="175" t="s">
        <v>2732</v>
      </c>
      <c r="I219" s="63" t="s">
        <v>2733</v>
      </c>
      <c r="J219" s="171"/>
      <c r="K219" s="25"/>
      <c r="L219" s="57"/>
      <c r="M219" s="133"/>
      <c r="N219" s="134"/>
      <c r="O219" s="28"/>
      <c r="P219" s="25"/>
      <c r="Q219" s="50" t="s">
        <v>140</v>
      </c>
      <c r="R219" s="25" t="s">
        <v>302</v>
      </c>
      <c r="S219" s="50"/>
      <c r="T219" s="65"/>
      <c r="U219" s="65"/>
      <c r="V219" s="65"/>
      <c r="W219" s="65"/>
      <c r="X219" s="65"/>
      <c r="Y219" s="65"/>
      <c r="Z219" s="65"/>
      <c r="AA219" s="65"/>
      <c r="AB219" s="65"/>
      <c r="AC219" s="65"/>
      <c r="AD219" s="65"/>
      <c r="AE219" s="65"/>
      <c r="AF219" s="65"/>
    </row>
    <row r="220" spans="1:32" ht="15.75" customHeight="1">
      <c r="A220" s="352"/>
      <c r="B220" s="352"/>
      <c r="C220" s="86">
        <v>2</v>
      </c>
      <c r="D220" s="352"/>
      <c r="E220" s="352"/>
      <c r="F220" s="352"/>
      <c r="G220" s="352"/>
      <c r="H220" s="175" t="s">
        <v>2734</v>
      </c>
      <c r="I220" s="63" t="s">
        <v>2733</v>
      </c>
      <c r="J220" s="171"/>
      <c r="K220" s="25"/>
      <c r="L220" s="57"/>
      <c r="M220" s="133"/>
      <c r="N220" s="134"/>
      <c r="O220" s="28"/>
      <c r="P220" s="25"/>
      <c r="Q220" s="50" t="s">
        <v>140</v>
      </c>
      <c r="R220" s="25" t="s">
        <v>302</v>
      </c>
      <c r="S220" s="50"/>
      <c r="T220" s="65"/>
      <c r="U220" s="65"/>
      <c r="V220" s="65"/>
      <c r="W220" s="65"/>
      <c r="X220" s="65"/>
      <c r="Y220" s="65"/>
      <c r="Z220" s="65"/>
      <c r="AA220" s="65"/>
      <c r="AB220" s="65"/>
      <c r="AC220" s="65"/>
      <c r="AD220" s="65"/>
      <c r="AE220" s="65"/>
      <c r="AF220" s="65"/>
    </row>
    <row r="221" spans="1:32" ht="15.75" customHeight="1">
      <c r="A221" s="352"/>
      <c r="B221" s="352"/>
      <c r="C221" s="86">
        <v>3</v>
      </c>
      <c r="D221" s="352"/>
      <c r="E221" s="384"/>
      <c r="F221" s="384"/>
      <c r="G221" s="384"/>
      <c r="H221" s="175" t="s">
        <v>2717</v>
      </c>
      <c r="I221" s="63" t="s">
        <v>2735</v>
      </c>
      <c r="J221" s="171"/>
      <c r="K221" s="25"/>
      <c r="L221" s="57"/>
      <c r="M221" s="133"/>
      <c r="N221" s="134"/>
      <c r="O221" s="28"/>
      <c r="P221" s="25"/>
      <c r="Q221" s="50" t="s">
        <v>140</v>
      </c>
      <c r="R221" s="25" t="s">
        <v>302</v>
      </c>
      <c r="S221" s="50"/>
      <c r="T221" s="65"/>
      <c r="U221" s="65"/>
      <c r="V221" s="65"/>
      <c r="W221" s="65"/>
      <c r="X221" s="65"/>
      <c r="Y221" s="65"/>
      <c r="Z221" s="65"/>
      <c r="AA221" s="65"/>
      <c r="AB221" s="65"/>
      <c r="AC221" s="65"/>
      <c r="AD221" s="65"/>
      <c r="AE221" s="65"/>
      <c r="AF221" s="65"/>
    </row>
    <row r="222" spans="1:32" ht="15.75" customHeight="1">
      <c r="A222" s="352"/>
      <c r="B222" s="352"/>
      <c r="C222" s="86">
        <v>4</v>
      </c>
      <c r="D222" s="352"/>
      <c r="E222" s="385" t="s">
        <v>2736</v>
      </c>
      <c r="F222" s="354" t="s">
        <v>326</v>
      </c>
      <c r="G222" s="354" t="s">
        <v>524</v>
      </c>
      <c r="H222" s="175" t="s">
        <v>2737</v>
      </c>
      <c r="I222" s="63" t="s">
        <v>2733</v>
      </c>
      <c r="J222" s="171"/>
      <c r="K222" s="25"/>
      <c r="L222" s="57"/>
      <c r="M222" s="133"/>
      <c r="N222" s="134"/>
      <c r="O222" s="28"/>
      <c r="P222" s="25"/>
      <c r="Q222" s="50" t="s">
        <v>140</v>
      </c>
      <c r="R222" s="25" t="s">
        <v>302</v>
      </c>
      <c r="S222" s="50"/>
      <c r="T222" s="65"/>
      <c r="U222" s="65"/>
      <c r="V222" s="65"/>
      <c r="W222" s="65"/>
      <c r="X222" s="65"/>
      <c r="Y222" s="65"/>
      <c r="Z222" s="65"/>
      <c r="AA222" s="65"/>
      <c r="AB222" s="65"/>
      <c r="AC222" s="65"/>
      <c r="AD222" s="65"/>
      <c r="AE222" s="65"/>
      <c r="AF222" s="65"/>
    </row>
    <row r="223" spans="1:32" ht="15.75" customHeight="1">
      <c r="A223" s="352"/>
      <c r="B223" s="352"/>
      <c r="C223" s="86">
        <v>5</v>
      </c>
      <c r="D223" s="352"/>
      <c r="E223" s="352"/>
      <c r="F223" s="352"/>
      <c r="G223" s="352"/>
      <c r="H223" s="175" t="s">
        <v>2738</v>
      </c>
      <c r="I223" s="63" t="s">
        <v>2733</v>
      </c>
      <c r="J223" s="171"/>
      <c r="K223" s="25"/>
      <c r="L223" s="57"/>
      <c r="M223" s="133"/>
      <c r="N223" s="134"/>
      <c r="O223" s="28"/>
      <c r="P223" s="25"/>
      <c r="Q223" s="50" t="s">
        <v>140</v>
      </c>
      <c r="R223" s="25" t="s">
        <v>302</v>
      </c>
      <c r="S223" s="50"/>
      <c r="T223" s="65"/>
      <c r="U223" s="65"/>
      <c r="V223" s="65"/>
      <c r="W223" s="65"/>
      <c r="X223" s="65"/>
      <c r="Y223" s="65"/>
      <c r="Z223" s="65"/>
      <c r="AA223" s="65"/>
      <c r="AB223" s="65"/>
      <c r="AC223" s="65"/>
      <c r="AD223" s="65"/>
      <c r="AE223" s="65"/>
      <c r="AF223" s="65"/>
    </row>
    <row r="224" spans="1:32" ht="15.75" customHeight="1">
      <c r="A224" s="352"/>
      <c r="B224" s="352"/>
      <c r="C224" s="86">
        <v>6</v>
      </c>
      <c r="D224" s="352"/>
      <c r="E224" s="384"/>
      <c r="F224" s="384"/>
      <c r="G224" s="384"/>
      <c r="H224" s="175" t="s">
        <v>2739</v>
      </c>
      <c r="I224" s="63" t="s">
        <v>2735</v>
      </c>
      <c r="J224" s="171"/>
      <c r="K224" s="25"/>
      <c r="L224" s="57"/>
      <c r="M224" s="133"/>
      <c r="N224" s="134"/>
      <c r="O224" s="28"/>
      <c r="P224" s="25"/>
      <c r="Q224" s="50" t="s">
        <v>140</v>
      </c>
      <c r="R224" s="25" t="s">
        <v>302</v>
      </c>
      <c r="S224" s="50"/>
      <c r="T224" s="65"/>
      <c r="U224" s="65"/>
      <c r="V224" s="65"/>
      <c r="W224" s="65"/>
      <c r="X224" s="65"/>
      <c r="Y224" s="65"/>
      <c r="Z224" s="65"/>
      <c r="AA224" s="65"/>
      <c r="AB224" s="65"/>
      <c r="AC224" s="65"/>
      <c r="AD224" s="65"/>
      <c r="AE224" s="65"/>
      <c r="AF224" s="65"/>
    </row>
    <row r="225" spans="1:32" ht="15.75" customHeight="1">
      <c r="A225" s="352"/>
      <c r="B225" s="352"/>
      <c r="C225" s="86">
        <v>7</v>
      </c>
      <c r="D225" s="352"/>
      <c r="E225" s="385" t="s">
        <v>2740</v>
      </c>
      <c r="F225" s="354" t="s">
        <v>361</v>
      </c>
      <c r="G225" s="354" t="s">
        <v>524</v>
      </c>
      <c r="H225" s="175" t="s">
        <v>2741</v>
      </c>
      <c r="I225" s="63" t="s">
        <v>2742</v>
      </c>
      <c r="J225" s="171"/>
      <c r="K225" s="25"/>
      <c r="L225" s="57"/>
      <c r="M225" s="133"/>
      <c r="N225" s="134"/>
      <c r="O225" s="28"/>
      <c r="P225" s="25"/>
      <c r="Q225" s="50" t="s">
        <v>140</v>
      </c>
      <c r="R225" s="25" t="s">
        <v>302</v>
      </c>
      <c r="S225" s="50"/>
      <c r="T225" s="65"/>
      <c r="U225" s="65"/>
      <c r="V225" s="65"/>
      <c r="W225" s="65"/>
      <c r="X225" s="65"/>
      <c r="Y225" s="65"/>
      <c r="Z225" s="65"/>
      <c r="AA225" s="65"/>
      <c r="AB225" s="65"/>
      <c r="AC225" s="65"/>
      <c r="AD225" s="65"/>
      <c r="AE225" s="65"/>
      <c r="AF225" s="65"/>
    </row>
    <row r="226" spans="1:32" ht="15.75" customHeight="1">
      <c r="A226" s="352"/>
      <c r="B226" s="352"/>
      <c r="C226" s="86">
        <v>8</v>
      </c>
      <c r="D226" s="352"/>
      <c r="E226" s="353"/>
      <c r="F226" s="353"/>
      <c r="G226" s="353"/>
      <c r="H226" s="175" t="s">
        <v>2743</v>
      </c>
      <c r="I226" s="63" t="s">
        <v>2742</v>
      </c>
      <c r="J226" s="171"/>
      <c r="K226" s="25"/>
      <c r="L226" s="57"/>
      <c r="M226" s="133"/>
      <c r="N226" s="134"/>
      <c r="O226" s="28"/>
      <c r="P226" s="25"/>
      <c r="Q226" s="50" t="s">
        <v>140</v>
      </c>
      <c r="R226" s="25" t="s">
        <v>302</v>
      </c>
      <c r="S226" s="50"/>
      <c r="T226" s="65"/>
      <c r="U226" s="65"/>
      <c r="V226" s="65"/>
      <c r="W226" s="65"/>
      <c r="X226" s="65"/>
      <c r="Y226" s="65"/>
      <c r="Z226" s="65"/>
      <c r="AA226" s="65"/>
      <c r="AB226" s="65"/>
      <c r="AC226" s="65"/>
      <c r="AD226" s="65"/>
      <c r="AE226" s="65"/>
      <c r="AF226" s="65"/>
    </row>
    <row r="227" spans="1:32" ht="15.75" customHeight="1">
      <c r="A227" s="352"/>
      <c r="B227" s="352"/>
      <c r="C227" s="86">
        <v>9</v>
      </c>
      <c r="D227" s="352"/>
      <c r="E227" s="361" t="s">
        <v>2744</v>
      </c>
      <c r="F227" s="354" t="s">
        <v>361</v>
      </c>
      <c r="G227" s="354" t="s">
        <v>524</v>
      </c>
      <c r="H227" s="175" t="s">
        <v>2745</v>
      </c>
      <c r="I227" s="63" t="s">
        <v>2742</v>
      </c>
      <c r="J227" s="171"/>
      <c r="K227" s="25"/>
      <c r="L227" s="57"/>
      <c r="M227" s="133"/>
      <c r="N227" s="134"/>
      <c r="O227" s="28"/>
      <c r="P227" s="25"/>
      <c r="Q227" s="50" t="s">
        <v>140</v>
      </c>
      <c r="R227" s="25" t="s">
        <v>302</v>
      </c>
      <c r="S227" s="50"/>
      <c r="T227" s="65"/>
      <c r="U227" s="65"/>
      <c r="V227" s="65"/>
      <c r="W227" s="65"/>
      <c r="X227" s="65"/>
      <c r="Y227" s="65"/>
      <c r="Z227" s="65"/>
      <c r="AA227" s="65"/>
      <c r="AB227" s="65"/>
      <c r="AC227" s="65"/>
      <c r="AD227" s="65"/>
      <c r="AE227" s="65"/>
      <c r="AF227" s="65"/>
    </row>
    <row r="228" spans="1:32" ht="15.75" customHeight="1">
      <c r="A228" s="353"/>
      <c r="B228" s="353"/>
      <c r="C228" s="86">
        <v>10</v>
      </c>
      <c r="D228" s="353"/>
      <c r="E228" s="353"/>
      <c r="F228" s="353"/>
      <c r="G228" s="353"/>
      <c r="H228" s="175" t="s">
        <v>2746</v>
      </c>
      <c r="I228" s="63" t="s">
        <v>2742</v>
      </c>
      <c r="J228" s="171"/>
      <c r="K228" s="25"/>
      <c r="L228" s="57"/>
      <c r="M228" s="133"/>
      <c r="N228" s="134"/>
      <c r="O228" s="28"/>
      <c r="P228" s="25"/>
      <c r="Q228" s="50" t="s">
        <v>140</v>
      </c>
      <c r="R228" s="25" t="s">
        <v>302</v>
      </c>
      <c r="S228" s="50"/>
      <c r="T228" s="65"/>
      <c r="U228" s="65"/>
      <c r="V228" s="65"/>
      <c r="W228" s="65"/>
      <c r="X228" s="65"/>
      <c r="Y228" s="65"/>
      <c r="Z228" s="65"/>
      <c r="AA228" s="65"/>
      <c r="AB228" s="65"/>
      <c r="AC228" s="65"/>
      <c r="AD228" s="65"/>
      <c r="AE228" s="65"/>
      <c r="AF228" s="65"/>
    </row>
    <row r="229" spans="1:32" ht="15.75" customHeight="1">
      <c r="A229" s="351" t="s">
        <v>2747</v>
      </c>
      <c r="B229" s="354" t="s">
        <v>2748</v>
      </c>
      <c r="C229" s="86">
        <v>1</v>
      </c>
      <c r="D229" s="351" t="s">
        <v>2749</v>
      </c>
      <c r="E229" s="181" t="s">
        <v>2750</v>
      </c>
      <c r="F229" s="86" t="s">
        <v>326</v>
      </c>
      <c r="G229" s="86" t="s">
        <v>2234</v>
      </c>
      <c r="H229" s="175" t="s">
        <v>2751</v>
      </c>
      <c r="I229" s="146" t="s">
        <v>2752</v>
      </c>
      <c r="J229" s="146"/>
      <c r="K229" s="25"/>
      <c r="L229" s="57"/>
      <c r="M229" s="66"/>
      <c r="N229" s="84"/>
      <c r="O229" s="28"/>
      <c r="P229" s="50"/>
      <c r="Q229" s="50" t="s">
        <v>140</v>
      </c>
      <c r="R229" s="50" t="s">
        <v>301</v>
      </c>
      <c r="S229" s="50"/>
      <c r="T229" s="5"/>
      <c r="U229" s="5"/>
      <c r="V229" s="5"/>
      <c r="W229" s="5"/>
      <c r="X229" s="5"/>
      <c r="Y229" s="5"/>
      <c r="Z229" s="5"/>
      <c r="AA229" s="5"/>
      <c r="AB229" s="5"/>
      <c r="AC229" s="5"/>
      <c r="AD229" s="5"/>
      <c r="AE229" s="5"/>
      <c r="AF229" s="5"/>
    </row>
    <row r="230" spans="1:32" ht="15.75" customHeight="1">
      <c r="A230" s="353"/>
      <c r="B230" s="353"/>
      <c r="C230" s="86">
        <v>2</v>
      </c>
      <c r="D230" s="353"/>
      <c r="E230" s="181" t="s">
        <v>2753</v>
      </c>
      <c r="F230" s="86" t="s">
        <v>326</v>
      </c>
      <c r="G230" s="86" t="s">
        <v>2234</v>
      </c>
      <c r="H230" s="175" t="s">
        <v>2754</v>
      </c>
      <c r="I230" s="146" t="s">
        <v>2752</v>
      </c>
      <c r="J230" s="146"/>
      <c r="K230" s="25"/>
      <c r="L230" s="57"/>
      <c r="M230" s="66"/>
      <c r="N230" s="84"/>
      <c r="O230" s="28"/>
      <c r="P230" s="50"/>
      <c r="Q230" s="50" t="s">
        <v>140</v>
      </c>
      <c r="R230" s="50" t="s">
        <v>301</v>
      </c>
      <c r="S230" s="50"/>
      <c r="T230" s="5"/>
      <c r="U230" s="5"/>
      <c r="V230" s="5"/>
      <c r="W230" s="5"/>
      <c r="X230" s="5"/>
      <c r="Y230" s="5"/>
      <c r="Z230" s="5"/>
      <c r="AA230" s="5"/>
      <c r="AB230" s="5"/>
      <c r="AC230" s="5"/>
      <c r="AD230" s="5"/>
      <c r="AE230" s="5"/>
      <c r="AF230" s="5"/>
    </row>
    <row r="231" spans="1:32" ht="15.75" customHeight="1">
      <c r="A231" s="351" t="s">
        <v>2755</v>
      </c>
      <c r="B231" s="354" t="s">
        <v>43</v>
      </c>
      <c r="C231" s="86">
        <v>1</v>
      </c>
      <c r="D231" s="351" t="s">
        <v>2756</v>
      </c>
      <c r="E231" s="181" t="s">
        <v>2757</v>
      </c>
      <c r="F231" s="86" t="s">
        <v>326</v>
      </c>
      <c r="G231" s="86" t="s">
        <v>327</v>
      </c>
      <c r="H231" s="181" t="s">
        <v>2758</v>
      </c>
      <c r="I231" s="83" t="s">
        <v>2759</v>
      </c>
      <c r="J231" s="271"/>
      <c r="K231" s="25"/>
      <c r="L231" s="57"/>
      <c r="M231" s="50"/>
      <c r="N231" s="84"/>
      <c r="O231" s="28" t="s">
        <v>140</v>
      </c>
      <c r="P231" s="50"/>
      <c r="Q231" s="50" t="s">
        <v>140</v>
      </c>
      <c r="R231" s="50" t="s">
        <v>301</v>
      </c>
      <c r="S231" s="50"/>
      <c r="T231" s="5"/>
      <c r="U231" s="5"/>
      <c r="V231" s="5"/>
      <c r="W231" s="5"/>
      <c r="X231" s="5"/>
      <c r="Y231" s="5"/>
      <c r="Z231" s="5"/>
      <c r="AA231" s="5"/>
      <c r="AB231" s="5"/>
      <c r="AC231" s="5"/>
      <c r="AD231" s="5"/>
      <c r="AE231" s="5"/>
      <c r="AF231" s="5"/>
    </row>
    <row r="232" spans="1:32" ht="66" customHeight="1">
      <c r="A232" s="352"/>
      <c r="B232" s="352"/>
      <c r="C232" s="86">
        <v>2</v>
      </c>
      <c r="D232" s="352"/>
      <c r="E232" s="351" t="s">
        <v>2760</v>
      </c>
      <c r="F232" s="354" t="s">
        <v>361</v>
      </c>
      <c r="G232" s="354" t="s">
        <v>327</v>
      </c>
      <c r="H232" s="181" t="s">
        <v>2761</v>
      </c>
      <c r="I232" s="83" t="s">
        <v>2762</v>
      </c>
      <c r="J232" s="271"/>
      <c r="K232" s="25"/>
      <c r="L232" s="57"/>
      <c r="M232" s="50"/>
      <c r="N232" s="84"/>
      <c r="O232" s="28" t="s">
        <v>140</v>
      </c>
      <c r="P232" s="50"/>
      <c r="Q232" s="50" t="s">
        <v>140</v>
      </c>
      <c r="R232" s="50" t="s">
        <v>301</v>
      </c>
      <c r="S232" s="50"/>
      <c r="T232" s="5"/>
      <c r="U232" s="5"/>
      <c r="V232" s="5"/>
      <c r="W232" s="5"/>
      <c r="X232" s="5"/>
      <c r="Y232" s="5"/>
      <c r="Z232" s="5"/>
      <c r="AA232" s="5"/>
      <c r="AB232" s="5"/>
      <c r="AC232" s="5"/>
      <c r="AD232" s="5"/>
      <c r="AE232" s="5"/>
      <c r="AF232" s="5"/>
    </row>
    <row r="233" spans="1:32" ht="15.75" customHeight="1">
      <c r="A233" s="352"/>
      <c r="B233" s="352"/>
      <c r="C233" s="86">
        <v>3</v>
      </c>
      <c r="D233" s="352"/>
      <c r="E233" s="352"/>
      <c r="F233" s="352"/>
      <c r="G233" s="352"/>
      <c r="H233" s="181" t="s">
        <v>2763</v>
      </c>
      <c r="I233" s="83" t="s">
        <v>2764</v>
      </c>
      <c r="J233" s="271"/>
      <c r="K233" s="25"/>
      <c r="L233" s="57"/>
      <c r="M233" s="50"/>
      <c r="N233" s="84"/>
      <c r="O233" s="28" t="s">
        <v>140</v>
      </c>
      <c r="P233" s="50"/>
      <c r="Q233" s="50" t="s">
        <v>140</v>
      </c>
      <c r="R233" s="50" t="s">
        <v>301</v>
      </c>
      <c r="S233" s="50"/>
      <c r="T233" s="5"/>
      <c r="U233" s="5"/>
      <c r="V233" s="5"/>
      <c r="W233" s="5"/>
      <c r="X233" s="5"/>
      <c r="Y233" s="5"/>
      <c r="Z233" s="5"/>
      <c r="AA233" s="5"/>
      <c r="AB233" s="5"/>
      <c r="AC233" s="5"/>
      <c r="AD233" s="5"/>
      <c r="AE233" s="5"/>
      <c r="AF233" s="5"/>
    </row>
    <row r="234" spans="1:32" ht="15.75" customHeight="1">
      <c r="A234" s="352"/>
      <c r="B234" s="352"/>
      <c r="C234" s="86">
        <v>4</v>
      </c>
      <c r="D234" s="352"/>
      <c r="E234" s="353"/>
      <c r="F234" s="353"/>
      <c r="G234" s="353"/>
      <c r="H234" s="181" t="s">
        <v>2765</v>
      </c>
      <c r="I234" s="83" t="s">
        <v>2766</v>
      </c>
      <c r="J234" s="271"/>
      <c r="K234" s="25"/>
      <c r="L234" s="57"/>
      <c r="M234" s="50"/>
      <c r="N234" s="84"/>
      <c r="O234" s="28" t="s">
        <v>140</v>
      </c>
      <c r="P234" s="50"/>
      <c r="Q234" s="50" t="s">
        <v>140</v>
      </c>
      <c r="R234" s="50" t="s">
        <v>301</v>
      </c>
      <c r="S234" s="50"/>
      <c r="T234" s="5"/>
      <c r="U234" s="5"/>
      <c r="V234" s="5"/>
      <c r="W234" s="5"/>
      <c r="X234" s="5"/>
      <c r="Y234" s="5"/>
      <c r="Z234" s="5"/>
      <c r="AA234" s="5"/>
      <c r="AB234" s="5"/>
      <c r="AC234" s="5"/>
      <c r="AD234" s="5"/>
      <c r="AE234" s="5"/>
      <c r="AF234" s="5"/>
    </row>
    <row r="235" spans="1:32" ht="15.75" customHeight="1">
      <c r="A235" s="352"/>
      <c r="B235" s="352"/>
      <c r="C235" s="86">
        <v>5</v>
      </c>
      <c r="D235" s="352"/>
      <c r="E235" s="52" t="s">
        <v>2767</v>
      </c>
      <c r="F235" s="53" t="s">
        <v>361</v>
      </c>
      <c r="G235" s="53" t="s">
        <v>327</v>
      </c>
      <c r="H235" s="181" t="s">
        <v>2768</v>
      </c>
      <c r="I235" s="83" t="s">
        <v>2769</v>
      </c>
      <c r="J235" s="271"/>
      <c r="K235" s="25"/>
      <c r="L235" s="57"/>
      <c r="M235" s="50"/>
      <c r="N235" s="84"/>
      <c r="O235" s="28" t="s">
        <v>140</v>
      </c>
      <c r="P235" s="50"/>
      <c r="Q235" s="50" t="s">
        <v>140</v>
      </c>
      <c r="R235" s="50" t="s">
        <v>301</v>
      </c>
      <c r="S235" s="50"/>
      <c r="T235" s="5"/>
      <c r="U235" s="5"/>
      <c r="V235" s="5"/>
      <c r="W235" s="5"/>
      <c r="X235" s="5"/>
      <c r="Y235" s="5"/>
      <c r="Z235" s="5"/>
      <c r="AA235" s="5"/>
      <c r="AB235" s="5"/>
      <c r="AC235" s="5"/>
      <c r="AD235" s="5"/>
      <c r="AE235" s="5"/>
      <c r="AF235" s="5"/>
    </row>
    <row r="236" spans="1:32" ht="15.75" customHeight="1">
      <c r="A236" s="352"/>
      <c r="B236" s="352"/>
      <c r="C236" s="86">
        <v>6</v>
      </c>
      <c r="D236" s="352"/>
      <c r="E236" s="177" t="s">
        <v>2770</v>
      </c>
      <c r="F236" s="53" t="s">
        <v>361</v>
      </c>
      <c r="G236" s="53" t="s">
        <v>327</v>
      </c>
      <c r="H236" s="181" t="s">
        <v>2771</v>
      </c>
      <c r="I236" s="83" t="s">
        <v>2772</v>
      </c>
      <c r="J236" s="271"/>
      <c r="K236" s="25"/>
      <c r="L236" s="57"/>
      <c r="M236" s="50"/>
      <c r="N236" s="84"/>
      <c r="O236" s="28"/>
      <c r="P236" s="50"/>
      <c r="Q236" s="50" t="s">
        <v>140</v>
      </c>
      <c r="R236" s="50" t="s">
        <v>301</v>
      </c>
      <c r="S236" s="50"/>
      <c r="T236" s="5"/>
      <c r="U236" s="5"/>
      <c r="V236" s="5"/>
      <c r="W236" s="5"/>
      <c r="X236" s="5"/>
      <c r="Y236" s="5"/>
      <c r="Z236" s="5"/>
      <c r="AA236" s="5"/>
      <c r="AB236" s="5"/>
      <c r="AC236" s="5"/>
      <c r="AD236" s="5"/>
      <c r="AE236" s="5"/>
      <c r="AF236" s="5"/>
    </row>
    <row r="237" spans="1:32" ht="15.75" customHeight="1">
      <c r="A237" s="352"/>
      <c r="B237" s="352"/>
      <c r="C237" s="86">
        <v>7</v>
      </c>
      <c r="D237" s="352"/>
      <c r="E237" s="177" t="s">
        <v>2773</v>
      </c>
      <c r="F237" s="53" t="s">
        <v>361</v>
      </c>
      <c r="G237" s="53" t="s">
        <v>327</v>
      </c>
      <c r="H237" s="181" t="s">
        <v>2774</v>
      </c>
      <c r="I237" s="83" t="s">
        <v>2775</v>
      </c>
      <c r="J237" s="271"/>
      <c r="K237" s="25"/>
      <c r="L237" s="57"/>
      <c r="M237" s="50"/>
      <c r="N237" s="84"/>
      <c r="O237" s="28"/>
      <c r="P237" s="50"/>
      <c r="Q237" s="50" t="s">
        <v>140</v>
      </c>
      <c r="R237" s="50" t="s">
        <v>301</v>
      </c>
      <c r="S237" s="50"/>
      <c r="T237" s="5"/>
      <c r="U237" s="5"/>
      <c r="V237" s="5"/>
      <c r="W237" s="5"/>
      <c r="X237" s="5"/>
      <c r="Y237" s="5"/>
      <c r="Z237" s="5"/>
      <c r="AA237" s="5"/>
      <c r="AB237" s="5"/>
      <c r="AC237" s="5"/>
      <c r="AD237" s="5"/>
      <c r="AE237" s="5"/>
      <c r="AF237" s="5"/>
    </row>
    <row r="238" spans="1:32" ht="15.75" customHeight="1">
      <c r="A238" s="352"/>
      <c r="B238" s="352"/>
      <c r="C238" s="86">
        <v>8</v>
      </c>
      <c r="D238" s="352"/>
      <c r="E238" s="181" t="s">
        <v>2776</v>
      </c>
      <c r="F238" s="86" t="s">
        <v>326</v>
      </c>
      <c r="G238" s="86" t="s">
        <v>2234</v>
      </c>
      <c r="H238" s="181" t="s">
        <v>2777</v>
      </c>
      <c r="I238" s="80" t="s">
        <v>2778</v>
      </c>
      <c r="J238" s="84"/>
      <c r="K238" s="25"/>
      <c r="L238" s="57"/>
      <c r="M238" s="50"/>
      <c r="N238" s="84"/>
      <c r="O238" s="28" t="s">
        <v>140</v>
      </c>
      <c r="P238" s="50"/>
      <c r="Q238" s="50" t="s">
        <v>140</v>
      </c>
      <c r="R238" s="50" t="s">
        <v>301</v>
      </c>
      <c r="S238" s="50"/>
      <c r="T238" s="5"/>
      <c r="U238" s="5"/>
      <c r="V238" s="5"/>
      <c r="W238" s="5"/>
      <c r="X238" s="5"/>
      <c r="Y238" s="5"/>
      <c r="Z238" s="5"/>
      <c r="AA238" s="5"/>
      <c r="AB238" s="5"/>
      <c r="AC238" s="5"/>
      <c r="AD238" s="5"/>
      <c r="AE238" s="5"/>
      <c r="AF238" s="5"/>
    </row>
    <row r="239" spans="1:32" ht="15.75" customHeight="1">
      <c r="A239" s="352"/>
      <c r="B239" s="352"/>
      <c r="C239" s="86">
        <v>9</v>
      </c>
      <c r="D239" s="352"/>
      <c r="E239" s="181" t="s">
        <v>2776</v>
      </c>
      <c r="F239" s="86" t="s">
        <v>326</v>
      </c>
      <c r="G239" s="86" t="s">
        <v>2234</v>
      </c>
      <c r="H239" s="181" t="s">
        <v>2779</v>
      </c>
      <c r="I239" s="80" t="s">
        <v>2780</v>
      </c>
      <c r="J239" s="84"/>
      <c r="K239" s="25"/>
      <c r="L239" s="57"/>
      <c r="M239" s="50"/>
      <c r="N239" s="84"/>
      <c r="O239" s="28"/>
      <c r="P239" s="50"/>
      <c r="Q239" s="50" t="s">
        <v>140</v>
      </c>
      <c r="R239" s="50" t="s">
        <v>301</v>
      </c>
      <c r="S239" s="50"/>
      <c r="T239" s="5"/>
      <c r="U239" s="5"/>
      <c r="V239" s="5"/>
      <c r="W239" s="5"/>
      <c r="X239" s="5"/>
      <c r="Y239" s="5"/>
      <c r="Z239" s="5"/>
      <c r="AA239" s="5"/>
      <c r="AB239" s="5"/>
      <c r="AC239" s="5"/>
      <c r="AD239" s="5"/>
      <c r="AE239" s="5"/>
      <c r="AF239" s="5"/>
    </row>
    <row r="240" spans="1:32" ht="91.5" customHeight="1">
      <c r="A240" s="353"/>
      <c r="B240" s="353"/>
      <c r="C240" s="86">
        <v>10</v>
      </c>
      <c r="D240" s="353"/>
      <c r="E240" s="147" t="s">
        <v>2781</v>
      </c>
      <c r="F240" s="53" t="s">
        <v>361</v>
      </c>
      <c r="G240" s="53" t="s">
        <v>327</v>
      </c>
      <c r="H240" s="181" t="s">
        <v>2782</v>
      </c>
      <c r="I240" s="80" t="s">
        <v>2783</v>
      </c>
      <c r="J240" s="84"/>
      <c r="K240" s="25"/>
      <c r="L240" s="57"/>
      <c r="M240" s="50"/>
      <c r="N240" s="84"/>
      <c r="O240" s="28"/>
      <c r="P240" s="50"/>
      <c r="Q240" s="50" t="s">
        <v>282</v>
      </c>
      <c r="R240" s="50" t="s">
        <v>301</v>
      </c>
      <c r="S240" s="50"/>
      <c r="T240" s="5"/>
      <c r="U240" s="5"/>
      <c r="V240" s="5"/>
      <c r="W240" s="5"/>
      <c r="X240" s="5"/>
      <c r="Y240" s="5"/>
      <c r="Z240" s="5"/>
      <c r="AA240" s="5"/>
      <c r="AB240" s="5"/>
      <c r="AC240" s="5"/>
      <c r="AD240" s="5"/>
      <c r="AE240" s="5"/>
      <c r="AF240" s="5"/>
    </row>
    <row r="241" spans="1:32" ht="15.75" customHeight="1">
      <c r="A241" s="351" t="s">
        <v>2784</v>
      </c>
      <c r="B241" s="354" t="s">
        <v>33</v>
      </c>
      <c r="C241" s="86">
        <v>1</v>
      </c>
      <c r="D241" s="351" t="s">
        <v>2785</v>
      </c>
      <c r="E241" s="181" t="s">
        <v>2786</v>
      </c>
      <c r="F241" s="86" t="s">
        <v>361</v>
      </c>
      <c r="G241" s="86" t="s">
        <v>2787</v>
      </c>
      <c r="H241" s="181" t="s">
        <v>2788</v>
      </c>
      <c r="I241" s="146" t="s">
        <v>2789</v>
      </c>
      <c r="J241" s="146"/>
      <c r="K241" s="25"/>
      <c r="L241" s="57"/>
      <c r="M241" s="50"/>
      <c r="N241" s="84"/>
      <c r="O241" s="28"/>
      <c r="P241" s="50"/>
      <c r="Q241" s="50" t="s">
        <v>282</v>
      </c>
      <c r="R241" s="50" t="s">
        <v>301</v>
      </c>
      <c r="S241" s="50"/>
      <c r="T241" s="5"/>
      <c r="U241" s="5"/>
      <c r="V241" s="5"/>
      <c r="W241" s="5"/>
      <c r="X241" s="5"/>
      <c r="Y241" s="5"/>
      <c r="Z241" s="5"/>
      <c r="AA241" s="5"/>
      <c r="AB241" s="5"/>
      <c r="AC241" s="5"/>
      <c r="AD241" s="5"/>
      <c r="AE241" s="5"/>
      <c r="AF241" s="5"/>
    </row>
    <row r="242" spans="1:32" ht="15.75" customHeight="1">
      <c r="A242" s="352"/>
      <c r="B242" s="352"/>
      <c r="C242" s="86">
        <v>2</v>
      </c>
      <c r="D242" s="352"/>
      <c r="E242" s="181" t="s">
        <v>2790</v>
      </c>
      <c r="F242" s="86" t="s">
        <v>361</v>
      </c>
      <c r="G242" s="86" t="s">
        <v>2787</v>
      </c>
      <c r="H242" s="181" t="s">
        <v>2791</v>
      </c>
      <c r="I242" s="146" t="s">
        <v>2789</v>
      </c>
      <c r="J242" s="146"/>
      <c r="K242" s="25"/>
      <c r="L242" s="57"/>
      <c r="M242" s="50"/>
      <c r="N242" s="84"/>
      <c r="O242" s="28"/>
      <c r="P242" s="50"/>
      <c r="Q242" s="50" t="s">
        <v>282</v>
      </c>
      <c r="R242" s="50" t="s">
        <v>301</v>
      </c>
      <c r="S242" s="50"/>
      <c r="T242" s="5"/>
      <c r="U242" s="5"/>
      <c r="V242" s="5"/>
      <c r="W242" s="5"/>
      <c r="X242" s="5"/>
      <c r="Y242" s="5"/>
      <c r="Z242" s="5"/>
      <c r="AA242" s="5"/>
      <c r="AB242" s="5"/>
      <c r="AC242" s="5"/>
      <c r="AD242" s="5"/>
      <c r="AE242" s="5"/>
      <c r="AF242" s="5"/>
    </row>
    <row r="243" spans="1:32" ht="15.75" customHeight="1">
      <c r="A243" s="352"/>
      <c r="B243" s="352"/>
      <c r="C243" s="86">
        <v>3</v>
      </c>
      <c r="D243" s="352"/>
      <c r="E243" s="181" t="s">
        <v>2792</v>
      </c>
      <c r="F243" s="86" t="s">
        <v>361</v>
      </c>
      <c r="G243" s="86" t="s">
        <v>524</v>
      </c>
      <c r="H243" s="181" t="s">
        <v>2793</v>
      </c>
      <c r="I243" s="146" t="s">
        <v>2794</v>
      </c>
      <c r="J243" s="146"/>
      <c r="K243" s="25"/>
      <c r="L243" s="57"/>
      <c r="M243" s="50"/>
      <c r="N243" s="84"/>
      <c r="O243" s="28"/>
      <c r="P243" s="50"/>
      <c r="Q243" s="50" t="s">
        <v>282</v>
      </c>
      <c r="R243" s="50" t="s">
        <v>301</v>
      </c>
      <c r="S243" s="50"/>
      <c r="T243" s="5"/>
      <c r="U243" s="5"/>
      <c r="V243" s="5"/>
      <c r="W243" s="5"/>
      <c r="X243" s="5"/>
      <c r="Y243" s="5"/>
      <c r="Z243" s="5"/>
      <c r="AA243" s="5"/>
      <c r="AB243" s="5"/>
      <c r="AC243" s="5"/>
      <c r="AD243" s="5"/>
      <c r="AE243" s="5"/>
      <c r="AF243" s="5"/>
    </row>
    <row r="244" spans="1:32" ht="15.75" customHeight="1">
      <c r="A244" s="353"/>
      <c r="B244" s="352"/>
      <c r="C244" s="86">
        <v>4</v>
      </c>
      <c r="D244" s="352"/>
      <c r="E244" s="181" t="s">
        <v>2795</v>
      </c>
      <c r="F244" s="86" t="s">
        <v>361</v>
      </c>
      <c r="G244" s="86" t="s">
        <v>524</v>
      </c>
      <c r="H244" s="181" t="s">
        <v>2796</v>
      </c>
      <c r="I244" s="146" t="s">
        <v>2794</v>
      </c>
      <c r="J244" s="146"/>
      <c r="K244" s="25"/>
      <c r="L244" s="57"/>
      <c r="M244" s="50"/>
      <c r="N244" s="84"/>
      <c r="O244" s="28"/>
      <c r="P244" s="50"/>
      <c r="Q244" s="50" t="s">
        <v>282</v>
      </c>
      <c r="R244" s="50" t="s">
        <v>301</v>
      </c>
      <c r="S244" s="50"/>
      <c r="T244" s="5"/>
      <c r="U244" s="5"/>
      <c r="V244" s="5"/>
      <c r="W244" s="5"/>
      <c r="X244" s="5"/>
      <c r="Y244" s="5"/>
      <c r="Z244" s="5"/>
      <c r="AA244" s="5"/>
      <c r="AB244" s="5"/>
      <c r="AC244" s="5"/>
      <c r="AD244" s="5"/>
      <c r="AE244" s="5"/>
      <c r="AF244" s="5"/>
    </row>
    <row r="245" spans="1:32" ht="15.75" customHeight="1">
      <c r="A245" s="351" t="s">
        <v>2797</v>
      </c>
      <c r="B245" s="352"/>
      <c r="C245" s="86">
        <v>5</v>
      </c>
      <c r="D245" s="352"/>
      <c r="E245" s="181" t="s">
        <v>2798</v>
      </c>
      <c r="F245" s="86" t="s">
        <v>361</v>
      </c>
      <c r="G245" s="86" t="s">
        <v>2787</v>
      </c>
      <c r="H245" s="181" t="s">
        <v>2799</v>
      </c>
      <c r="I245" s="146" t="s">
        <v>2789</v>
      </c>
      <c r="J245" s="146"/>
      <c r="K245" s="25"/>
      <c r="L245" s="57"/>
      <c r="M245" s="50"/>
      <c r="N245" s="84"/>
      <c r="O245" s="28"/>
      <c r="P245" s="50"/>
      <c r="Q245" s="50" t="s">
        <v>282</v>
      </c>
      <c r="R245" s="50" t="s">
        <v>301</v>
      </c>
      <c r="S245" s="50"/>
      <c r="T245" s="5"/>
      <c r="U245" s="5"/>
      <c r="V245" s="5"/>
      <c r="W245" s="5"/>
      <c r="X245" s="5"/>
      <c r="Y245" s="5"/>
      <c r="Z245" s="5"/>
      <c r="AA245" s="5"/>
      <c r="AB245" s="5"/>
      <c r="AC245" s="5"/>
      <c r="AD245" s="5"/>
      <c r="AE245" s="5"/>
      <c r="AF245" s="5"/>
    </row>
    <row r="246" spans="1:32" ht="15.75" customHeight="1">
      <c r="A246" s="353"/>
      <c r="B246" s="352"/>
      <c r="C246" s="86">
        <v>6</v>
      </c>
      <c r="D246" s="352"/>
      <c r="E246" s="181" t="s">
        <v>2800</v>
      </c>
      <c r="F246" s="86" t="s">
        <v>361</v>
      </c>
      <c r="G246" s="86" t="s">
        <v>524</v>
      </c>
      <c r="H246" s="181" t="s">
        <v>2801</v>
      </c>
      <c r="I246" s="80" t="s">
        <v>2802</v>
      </c>
      <c r="J246" s="84"/>
      <c r="K246" s="25"/>
      <c r="L246" s="57"/>
      <c r="M246" s="50"/>
      <c r="N246" s="84"/>
      <c r="O246" s="28"/>
      <c r="P246" s="50"/>
      <c r="Q246" s="50" t="s">
        <v>282</v>
      </c>
      <c r="R246" s="50" t="s">
        <v>301</v>
      </c>
      <c r="S246" s="50"/>
      <c r="T246" s="5"/>
      <c r="U246" s="5"/>
      <c r="V246" s="5"/>
      <c r="W246" s="5"/>
      <c r="X246" s="5"/>
      <c r="Y246" s="5"/>
      <c r="Z246" s="5"/>
      <c r="AA246" s="5"/>
      <c r="AB246" s="5"/>
      <c r="AC246" s="5"/>
      <c r="AD246" s="5"/>
      <c r="AE246" s="5"/>
      <c r="AF246" s="5"/>
    </row>
    <row r="247" spans="1:32" ht="15.75" customHeight="1">
      <c r="A247" s="351" t="s">
        <v>2803</v>
      </c>
      <c r="B247" s="352"/>
      <c r="C247" s="86">
        <v>7</v>
      </c>
      <c r="D247" s="352"/>
      <c r="E247" s="181" t="s">
        <v>2804</v>
      </c>
      <c r="F247" s="86" t="s">
        <v>361</v>
      </c>
      <c r="G247" s="86" t="s">
        <v>524</v>
      </c>
      <c r="H247" s="181" t="s">
        <v>2805</v>
      </c>
      <c r="I247" s="80" t="s">
        <v>2806</v>
      </c>
      <c r="J247" s="84"/>
      <c r="K247" s="25"/>
      <c r="L247" s="57"/>
      <c r="M247" s="50"/>
      <c r="N247" s="84"/>
      <c r="O247" s="28"/>
      <c r="P247" s="50"/>
      <c r="Q247" s="50" t="s">
        <v>140</v>
      </c>
      <c r="R247" s="50" t="s">
        <v>301</v>
      </c>
      <c r="S247" s="50"/>
      <c r="T247" s="5"/>
      <c r="U247" s="5"/>
      <c r="V247" s="5"/>
      <c r="W247" s="5"/>
      <c r="X247" s="5"/>
      <c r="Y247" s="5"/>
      <c r="Z247" s="5"/>
      <c r="AA247" s="5"/>
      <c r="AB247" s="5"/>
      <c r="AC247" s="5"/>
      <c r="AD247" s="5"/>
      <c r="AE247" s="5"/>
      <c r="AF247" s="5"/>
    </row>
    <row r="248" spans="1:32" ht="15.75" customHeight="1">
      <c r="A248" s="352"/>
      <c r="B248" s="352"/>
      <c r="C248" s="86">
        <v>8</v>
      </c>
      <c r="D248" s="352"/>
      <c r="E248" s="181" t="s">
        <v>2807</v>
      </c>
      <c r="F248" s="86" t="s">
        <v>361</v>
      </c>
      <c r="G248" s="86" t="s">
        <v>524</v>
      </c>
      <c r="H248" s="181" t="s">
        <v>2808</v>
      </c>
      <c r="I248" s="80" t="s">
        <v>2809</v>
      </c>
      <c r="J248" s="84"/>
      <c r="K248" s="25"/>
      <c r="L248" s="57"/>
      <c r="M248" s="50"/>
      <c r="N248" s="84"/>
      <c r="O248" s="28"/>
      <c r="P248" s="50"/>
      <c r="Q248" s="50" t="s">
        <v>140</v>
      </c>
      <c r="R248" s="50" t="s">
        <v>301</v>
      </c>
      <c r="S248" s="50"/>
      <c r="T248" s="5"/>
      <c r="U248" s="5"/>
      <c r="V248" s="5"/>
      <c r="W248" s="5"/>
      <c r="X248" s="5"/>
      <c r="Y248" s="5"/>
      <c r="Z248" s="5"/>
      <c r="AA248" s="5"/>
      <c r="AB248" s="5"/>
      <c r="AC248" s="5"/>
      <c r="AD248" s="5"/>
      <c r="AE248" s="5"/>
      <c r="AF248" s="5"/>
    </row>
    <row r="249" spans="1:32" ht="15.75" customHeight="1">
      <c r="A249" s="352"/>
      <c r="B249" s="352"/>
      <c r="C249" s="86">
        <v>9</v>
      </c>
      <c r="D249" s="352"/>
      <c r="E249" s="181" t="s">
        <v>2810</v>
      </c>
      <c r="F249" s="86" t="s">
        <v>361</v>
      </c>
      <c r="G249" s="86" t="s">
        <v>524</v>
      </c>
      <c r="H249" s="181" t="s">
        <v>2805</v>
      </c>
      <c r="I249" s="80" t="s">
        <v>2809</v>
      </c>
      <c r="J249" s="84"/>
      <c r="K249" s="25"/>
      <c r="L249" s="57"/>
      <c r="M249" s="50"/>
      <c r="N249" s="84"/>
      <c r="O249" s="28"/>
      <c r="P249" s="50"/>
      <c r="Q249" s="50" t="s">
        <v>140</v>
      </c>
      <c r="R249" s="50" t="s">
        <v>301</v>
      </c>
      <c r="S249" s="50"/>
      <c r="T249" s="5"/>
      <c r="U249" s="5"/>
      <c r="V249" s="5"/>
      <c r="W249" s="5"/>
      <c r="X249" s="5"/>
      <c r="Y249" s="5"/>
      <c r="Z249" s="5"/>
      <c r="AA249" s="5"/>
      <c r="AB249" s="5"/>
      <c r="AC249" s="5"/>
      <c r="AD249" s="5"/>
      <c r="AE249" s="5"/>
      <c r="AF249" s="5"/>
    </row>
    <row r="250" spans="1:32" ht="15.75" customHeight="1">
      <c r="A250" s="352"/>
      <c r="B250" s="352"/>
      <c r="C250" s="86">
        <v>10</v>
      </c>
      <c r="D250" s="352"/>
      <c r="E250" s="181" t="s">
        <v>2811</v>
      </c>
      <c r="F250" s="86" t="s">
        <v>361</v>
      </c>
      <c r="G250" s="86" t="s">
        <v>524</v>
      </c>
      <c r="H250" s="181" t="s">
        <v>2812</v>
      </c>
      <c r="I250" s="80" t="s">
        <v>2806</v>
      </c>
      <c r="J250" s="84"/>
      <c r="K250" s="25"/>
      <c r="L250" s="57"/>
      <c r="M250" s="50"/>
      <c r="N250" s="84"/>
      <c r="O250" s="28"/>
      <c r="P250" s="50"/>
      <c r="Q250" s="50" t="s">
        <v>140</v>
      </c>
      <c r="R250" s="50" t="s">
        <v>301</v>
      </c>
      <c r="S250" s="50"/>
      <c r="T250" s="5"/>
      <c r="U250" s="5"/>
      <c r="V250" s="5"/>
      <c r="W250" s="5"/>
      <c r="X250" s="5"/>
      <c r="Y250" s="5"/>
      <c r="Z250" s="5"/>
      <c r="AA250" s="5"/>
      <c r="AB250" s="5"/>
      <c r="AC250" s="5"/>
      <c r="AD250" s="5"/>
      <c r="AE250" s="5"/>
      <c r="AF250" s="5"/>
    </row>
    <row r="251" spans="1:32" ht="15.75" customHeight="1">
      <c r="A251" s="353"/>
      <c r="B251" s="353"/>
      <c r="C251" s="86">
        <v>11</v>
      </c>
      <c r="D251" s="353"/>
      <c r="E251" s="181" t="s">
        <v>2813</v>
      </c>
      <c r="F251" s="86" t="s">
        <v>361</v>
      </c>
      <c r="G251" s="86" t="s">
        <v>524</v>
      </c>
      <c r="H251" s="181" t="s">
        <v>2805</v>
      </c>
      <c r="I251" s="80" t="s">
        <v>2809</v>
      </c>
      <c r="J251" s="84"/>
      <c r="K251" s="25"/>
      <c r="L251" s="57"/>
      <c r="M251" s="50"/>
      <c r="N251" s="84"/>
      <c r="O251" s="28"/>
      <c r="P251" s="50"/>
      <c r="Q251" s="50" t="s">
        <v>140</v>
      </c>
      <c r="R251" s="50" t="s">
        <v>301</v>
      </c>
      <c r="S251" s="50"/>
      <c r="T251" s="5"/>
      <c r="U251" s="5"/>
      <c r="V251" s="5"/>
      <c r="W251" s="5"/>
      <c r="X251" s="5"/>
      <c r="Y251" s="5"/>
      <c r="Z251" s="5"/>
      <c r="AA251" s="5"/>
      <c r="AB251" s="5"/>
      <c r="AC251" s="5"/>
      <c r="AD251" s="5"/>
      <c r="AE251" s="5"/>
      <c r="AF251" s="5"/>
    </row>
    <row r="252" spans="1:32" ht="15.75" customHeight="1">
      <c r="A252" s="351" t="s">
        <v>2814</v>
      </c>
      <c r="B252" s="354" t="s">
        <v>2815</v>
      </c>
      <c r="C252" s="86">
        <v>1</v>
      </c>
      <c r="D252" s="351" t="s">
        <v>2816</v>
      </c>
      <c r="E252" s="181" t="s">
        <v>2817</v>
      </c>
      <c r="F252" s="86" t="s">
        <v>361</v>
      </c>
      <c r="G252" s="86" t="s">
        <v>524</v>
      </c>
      <c r="H252" s="181" t="s">
        <v>2818</v>
      </c>
      <c r="I252" s="146" t="s">
        <v>2819</v>
      </c>
      <c r="J252" s="146"/>
      <c r="K252" s="25"/>
      <c r="L252" s="57"/>
      <c r="M252" s="50"/>
      <c r="N252" s="84"/>
      <c r="O252" s="28"/>
      <c r="P252" s="50"/>
      <c r="Q252" s="50" t="s">
        <v>140</v>
      </c>
      <c r="R252" s="50" t="s">
        <v>301</v>
      </c>
      <c r="S252" s="50"/>
      <c r="T252" s="5"/>
      <c r="U252" s="5"/>
      <c r="V252" s="5"/>
      <c r="W252" s="5"/>
      <c r="X252" s="5"/>
      <c r="Y252" s="5"/>
      <c r="Z252" s="5"/>
      <c r="AA252" s="5"/>
      <c r="AB252" s="5"/>
      <c r="AC252" s="5"/>
      <c r="AD252" s="5"/>
      <c r="AE252" s="5"/>
      <c r="AF252" s="5"/>
    </row>
    <row r="253" spans="1:32" ht="15.75" customHeight="1">
      <c r="A253" s="352"/>
      <c r="B253" s="352"/>
      <c r="C253" s="86">
        <v>2</v>
      </c>
      <c r="D253" s="352"/>
      <c r="E253" s="181" t="s">
        <v>2820</v>
      </c>
      <c r="F253" s="86" t="s">
        <v>361</v>
      </c>
      <c r="G253" s="86" t="s">
        <v>524</v>
      </c>
      <c r="H253" s="181" t="s">
        <v>2821</v>
      </c>
      <c r="I253" s="146" t="s">
        <v>2819</v>
      </c>
      <c r="J253" s="146"/>
      <c r="K253" s="25"/>
      <c r="L253" s="57"/>
      <c r="M253" s="50"/>
      <c r="N253" s="84"/>
      <c r="O253" s="28"/>
      <c r="P253" s="50"/>
      <c r="Q253" s="50" t="s">
        <v>140</v>
      </c>
      <c r="R253" s="50" t="s">
        <v>301</v>
      </c>
      <c r="S253" s="50"/>
      <c r="T253" s="5"/>
      <c r="U253" s="5"/>
      <c r="V253" s="5"/>
      <c r="W253" s="5"/>
      <c r="X253" s="5"/>
      <c r="Y253" s="5"/>
      <c r="Z253" s="5"/>
      <c r="AA253" s="5"/>
      <c r="AB253" s="5"/>
      <c r="AC253" s="5"/>
      <c r="AD253" s="5"/>
      <c r="AE253" s="5"/>
      <c r="AF253" s="5"/>
    </row>
    <row r="254" spans="1:32" ht="15.75" customHeight="1">
      <c r="A254" s="352"/>
      <c r="B254" s="352"/>
      <c r="C254" s="86">
        <v>3</v>
      </c>
      <c r="D254" s="352"/>
      <c r="E254" s="181" t="s">
        <v>2822</v>
      </c>
      <c r="F254" s="86" t="s">
        <v>361</v>
      </c>
      <c r="G254" s="86" t="s">
        <v>524</v>
      </c>
      <c r="H254" s="181" t="s">
        <v>2823</v>
      </c>
      <c r="I254" s="146" t="s">
        <v>2819</v>
      </c>
      <c r="J254" s="146"/>
      <c r="K254" s="25"/>
      <c r="L254" s="57"/>
      <c r="M254" s="50"/>
      <c r="N254" s="84"/>
      <c r="O254" s="28"/>
      <c r="P254" s="50"/>
      <c r="Q254" s="50" t="s">
        <v>140</v>
      </c>
      <c r="R254" s="50" t="s">
        <v>301</v>
      </c>
      <c r="S254" s="50"/>
      <c r="T254" s="5"/>
      <c r="U254" s="5"/>
      <c r="V254" s="5"/>
      <c r="W254" s="5"/>
      <c r="X254" s="5"/>
      <c r="Y254" s="5"/>
      <c r="Z254" s="5"/>
      <c r="AA254" s="5"/>
      <c r="AB254" s="5"/>
      <c r="AC254" s="5"/>
      <c r="AD254" s="5"/>
      <c r="AE254" s="5"/>
      <c r="AF254" s="5"/>
    </row>
    <row r="255" spans="1:32" ht="15.75" customHeight="1">
      <c r="A255" s="352"/>
      <c r="B255" s="352"/>
      <c r="C255" s="86">
        <v>4</v>
      </c>
      <c r="D255" s="352"/>
      <c r="E255" s="181" t="s">
        <v>2824</v>
      </c>
      <c r="F255" s="86" t="s">
        <v>361</v>
      </c>
      <c r="G255" s="86" t="s">
        <v>524</v>
      </c>
      <c r="H255" s="181" t="s">
        <v>2825</v>
      </c>
      <c r="I255" s="146" t="s">
        <v>2826</v>
      </c>
      <c r="J255" s="146"/>
      <c r="K255" s="25"/>
      <c r="L255" s="57"/>
      <c r="M255" s="50"/>
      <c r="N255" s="84"/>
      <c r="O255" s="28"/>
      <c r="P255" s="50"/>
      <c r="Q255" s="50" t="s">
        <v>140</v>
      </c>
      <c r="R255" s="50" t="s">
        <v>301</v>
      </c>
      <c r="S255" s="50"/>
      <c r="T255" s="5"/>
      <c r="U255" s="5"/>
      <c r="V255" s="5"/>
      <c r="W255" s="5"/>
      <c r="X255" s="5"/>
      <c r="Y255" s="5"/>
      <c r="Z255" s="5"/>
      <c r="AA255" s="5"/>
      <c r="AB255" s="5"/>
      <c r="AC255" s="5"/>
      <c r="AD255" s="5"/>
      <c r="AE255" s="5"/>
      <c r="AF255" s="5"/>
    </row>
    <row r="256" spans="1:32" ht="15.75" customHeight="1">
      <c r="A256" s="352"/>
      <c r="B256" s="352"/>
      <c r="C256" s="86">
        <v>5</v>
      </c>
      <c r="D256" s="352"/>
      <c r="E256" s="181" t="s">
        <v>2827</v>
      </c>
      <c r="F256" s="86" t="s">
        <v>361</v>
      </c>
      <c r="G256" s="86" t="s">
        <v>524</v>
      </c>
      <c r="H256" s="181" t="s">
        <v>2828</v>
      </c>
      <c r="I256" s="146" t="s">
        <v>2829</v>
      </c>
      <c r="J256" s="146"/>
      <c r="K256" s="25"/>
      <c r="L256" s="57"/>
      <c r="M256" s="50"/>
      <c r="N256" s="84"/>
      <c r="O256" s="28"/>
      <c r="P256" s="50"/>
      <c r="Q256" s="50" t="s">
        <v>140</v>
      </c>
      <c r="R256" s="50" t="s">
        <v>301</v>
      </c>
      <c r="S256" s="50"/>
      <c r="T256" s="5"/>
      <c r="U256" s="5"/>
      <c r="V256" s="5"/>
      <c r="W256" s="5"/>
      <c r="X256" s="5"/>
      <c r="Y256" s="5"/>
      <c r="Z256" s="5"/>
      <c r="AA256" s="5"/>
      <c r="AB256" s="5"/>
      <c r="AC256" s="5"/>
      <c r="AD256" s="5"/>
      <c r="AE256" s="5"/>
      <c r="AF256" s="5"/>
    </row>
    <row r="257" spans="1:32" ht="15.75" customHeight="1">
      <c r="A257" s="353"/>
      <c r="B257" s="353"/>
      <c r="C257" s="86">
        <v>6</v>
      </c>
      <c r="D257" s="353"/>
      <c r="E257" s="181" t="s">
        <v>2830</v>
      </c>
      <c r="F257" s="86" t="s">
        <v>361</v>
      </c>
      <c r="G257" s="86" t="s">
        <v>524</v>
      </c>
      <c r="H257" s="181" t="s">
        <v>2831</v>
      </c>
      <c r="I257" s="146" t="s">
        <v>2832</v>
      </c>
      <c r="J257" s="146"/>
      <c r="K257" s="25"/>
      <c r="L257" s="57"/>
      <c r="M257" s="50"/>
      <c r="N257" s="148"/>
      <c r="O257" s="28"/>
      <c r="P257" s="149"/>
      <c r="Q257" s="50" t="s">
        <v>140</v>
      </c>
      <c r="R257" s="50" t="s">
        <v>301</v>
      </c>
      <c r="S257" s="50"/>
      <c r="T257" s="5"/>
      <c r="U257" s="5"/>
      <c r="V257" s="5"/>
      <c r="W257" s="5"/>
      <c r="X257" s="5"/>
      <c r="Y257" s="5"/>
      <c r="Z257" s="5"/>
      <c r="AA257" s="5"/>
      <c r="AB257" s="5"/>
      <c r="AC257" s="5"/>
      <c r="AD257" s="5"/>
      <c r="AE257" s="5"/>
      <c r="AF257" s="5"/>
    </row>
    <row r="258" spans="1:32" ht="15.75" customHeight="1">
      <c r="A258" s="354" t="s">
        <v>2833</v>
      </c>
      <c r="B258" s="354" t="s">
        <v>2834</v>
      </c>
      <c r="C258" s="86">
        <v>1</v>
      </c>
      <c r="D258" s="354" t="s">
        <v>2835</v>
      </c>
      <c r="E258" s="181" t="s">
        <v>2836</v>
      </c>
      <c r="F258" s="86" t="s">
        <v>1585</v>
      </c>
      <c r="G258" s="86" t="s">
        <v>524</v>
      </c>
      <c r="H258" s="181" t="s">
        <v>2837</v>
      </c>
      <c r="I258" s="146" t="s">
        <v>2838</v>
      </c>
      <c r="J258" s="146"/>
      <c r="K258" s="25"/>
      <c r="L258" s="57"/>
      <c r="M258" s="66"/>
      <c r="N258" s="84"/>
      <c r="O258" s="28"/>
      <c r="P258" s="149"/>
      <c r="Q258" s="50" t="s">
        <v>282</v>
      </c>
      <c r="R258" s="50" t="s">
        <v>301</v>
      </c>
      <c r="S258" s="50"/>
      <c r="T258" s="5"/>
      <c r="U258" s="5"/>
      <c r="V258" s="5"/>
      <c r="W258" s="5"/>
      <c r="X258" s="5"/>
      <c r="Y258" s="5"/>
      <c r="Z258" s="5"/>
      <c r="AA258" s="5"/>
      <c r="AB258" s="5"/>
      <c r="AC258" s="5"/>
      <c r="AD258" s="5"/>
      <c r="AE258" s="5"/>
      <c r="AF258" s="5"/>
    </row>
    <row r="259" spans="1:32" ht="15.75" customHeight="1">
      <c r="A259" s="352"/>
      <c r="B259" s="352"/>
      <c r="C259" s="86">
        <v>2</v>
      </c>
      <c r="D259" s="352"/>
      <c r="E259" s="181" t="s">
        <v>2839</v>
      </c>
      <c r="F259" s="86" t="s">
        <v>1585</v>
      </c>
      <c r="G259" s="86" t="s">
        <v>524</v>
      </c>
      <c r="H259" s="181" t="s">
        <v>2840</v>
      </c>
      <c r="I259" s="146" t="s">
        <v>2838</v>
      </c>
      <c r="J259" s="146"/>
      <c r="K259" s="25"/>
      <c r="L259" s="57"/>
      <c r="M259" s="66"/>
      <c r="N259" s="84"/>
      <c r="O259" s="28"/>
      <c r="P259" s="149"/>
      <c r="Q259" s="50" t="s">
        <v>282</v>
      </c>
      <c r="R259" s="50" t="s">
        <v>301</v>
      </c>
      <c r="S259" s="50"/>
      <c r="T259" s="5"/>
      <c r="U259" s="5"/>
      <c r="V259" s="5"/>
      <c r="W259" s="5"/>
      <c r="X259" s="5"/>
      <c r="Y259" s="5"/>
      <c r="Z259" s="5"/>
      <c r="AA259" s="5"/>
      <c r="AB259" s="5"/>
      <c r="AC259" s="5"/>
      <c r="AD259" s="5"/>
      <c r="AE259" s="5"/>
      <c r="AF259" s="5"/>
    </row>
    <row r="260" spans="1:32" ht="15.75" customHeight="1">
      <c r="A260" s="352"/>
      <c r="B260" s="352"/>
      <c r="C260" s="86">
        <v>3</v>
      </c>
      <c r="D260" s="352"/>
      <c r="E260" s="181" t="s">
        <v>2841</v>
      </c>
      <c r="F260" s="86" t="s">
        <v>1585</v>
      </c>
      <c r="G260" s="86" t="s">
        <v>524</v>
      </c>
      <c r="H260" s="181" t="s">
        <v>2842</v>
      </c>
      <c r="I260" s="146" t="s">
        <v>2843</v>
      </c>
      <c r="J260" s="146"/>
      <c r="K260" s="25"/>
      <c r="L260" s="57"/>
      <c r="M260" s="66"/>
      <c r="N260" s="84"/>
      <c r="O260" s="28"/>
      <c r="P260" s="149"/>
      <c r="Q260" s="50" t="s">
        <v>282</v>
      </c>
      <c r="R260" s="50" t="s">
        <v>301</v>
      </c>
      <c r="S260" s="50"/>
      <c r="T260" s="5"/>
      <c r="U260" s="5"/>
      <c r="V260" s="5"/>
      <c r="W260" s="5"/>
      <c r="X260" s="5"/>
      <c r="Y260" s="5"/>
      <c r="Z260" s="5"/>
      <c r="AA260" s="5"/>
      <c r="AB260" s="5"/>
      <c r="AC260" s="5"/>
      <c r="AD260" s="5"/>
      <c r="AE260" s="5"/>
      <c r="AF260" s="5"/>
    </row>
    <row r="261" spans="1:32" ht="15.75" customHeight="1">
      <c r="A261" s="352"/>
      <c r="B261" s="352"/>
      <c r="C261" s="86">
        <v>4</v>
      </c>
      <c r="D261" s="352"/>
      <c r="E261" s="181" t="s">
        <v>2844</v>
      </c>
      <c r="F261" s="86" t="s">
        <v>1585</v>
      </c>
      <c r="G261" s="86" t="s">
        <v>524</v>
      </c>
      <c r="H261" s="181" t="s">
        <v>2845</v>
      </c>
      <c r="I261" s="146" t="s">
        <v>2843</v>
      </c>
      <c r="J261" s="146"/>
      <c r="K261" s="25"/>
      <c r="L261" s="57"/>
      <c r="M261" s="66"/>
      <c r="N261" s="84"/>
      <c r="O261" s="28"/>
      <c r="P261" s="149"/>
      <c r="Q261" s="50" t="s">
        <v>282</v>
      </c>
      <c r="R261" s="50" t="s">
        <v>301</v>
      </c>
      <c r="S261" s="50"/>
      <c r="T261" s="5"/>
      <c r="U261" s="5"/>
      <c r="V261" s="5"/>
      <c r="W261" s="5"/>
      <c r="X261" s="5"/>
      <c r="Y261" s="5"/>
      <c r="Z261" s="5"/>
      <c r="AA261" s="5"/>
      <c r="AB261" s="5"/>
      <c r="AC261" s="5"/>
      <c r="AD261" s="5"/>
      <c r="AE261" s="5"/>
      <c r="AF261" s="5"/>
    </row>
    <row r="262" spans="1:32" ht="15.75" customHeight="1">
      <c r="A262" s="352"/>
      <c r="B262" s="352"/>
      <c r="C262" s="86">
        <v>5</v>
      </c>
      <c r="D262" s="352"/>
      <c r="E262" s="181" t="s">
        <v>2846</v>
      </c>
      <c r="F262" s="86" t="s">
        <v>1585</v>
      </c>
      <c r="G262" s="86" t="s">
        <v>524</v>
      </c>
      <c r="H262" s="181" t="s">
        <v>2847</v>
      </c>
      <c r="I262" s="146" t="s">
        <v>2843</v>
      </c>
      <c r="J262" s="146"/>
      <c r="K262" s="25"/>
      <c r="L262" s="57"/>
      <c r="M262" s="66"/>
      <c r="N262" s="84"/>
      <c r="O262" s="28"/>
      <c r="P262" s="149"/>
      <c r="Q262" s="50" t="s">
        <v>282</v>
      </c>
      <c r="R262" s="50" t="s">
        <v>301</v>
      </c>
      <c r="S262" s="50"/>
      <c r="T262" s="5"/>
      <c r="U262" s="5"/>
      <c r="V262" s="5"/>
      <c r="W262" s="5"/>
      <c r="X262" s="5"/>
      <c r="Y262" s="5"/>
      <c r="Z262" s="5"/>
      <c r="AA262" s="5"/>
      <c r="AB262" s="5"/>
      <c r="AC262" s="5"/>
      <c r="AD262" s="5"/>
      <c r="AE262" s="5"/>
      <c r="AF262" s="5"/>
    </row>
    <row r="263" spans="1:32" ht="15.75" customHeight="1">
      <c r="A263" s="352"/>
      <c r="B263" s="352"/>
      <c r="C263" s="86">
        <v>6</v>
      </c>
      <c r="D263" s="352"/>
      <c r="E263" s="181" t="s">
        <v>2848</v>
      </c>
      <c r="F263" s="86" t="s">
        <v>1585</v>
      </c>
      <c r="G263" s="86" t="s">
        <v>524</v>
      </c>
      <c r="H263" s="181" t="s">
        <v>2849</v>
      </c>
      <c r="I263" s="146" t="s">
        <v>2850</v>
      </c>
      <c r="J263" s="146"/>
      <c r="K263" s="25"/>
      <c r="L263" s="57"/>
      <c r="M263" s="66"/>
      <c r="N263" s="84"/>
      <c r="O263" s="28"/>
      <c r="P263" s="149"/>
      <c r="Q263" s="50" t="s">
        <v>282</v>
      </c>
      <c r="R263" s="50" t="s">
        <v>301</v>
      </c>
      <c r="S263" s="50"/>
      <c r="T263" s="5"/>
      <c r="U263" s="5"/>
      <c r="V263" s="5"/>
      <c r="W263" s="5"/>
      <c r="X263" s="5"/>
      <c r="Y263" s="5"/>
      <c r="Z263" s="5"/>
      <c r="AA263" s="5"/>
      <c r="AB263" s="5"/>
      <c r="AC263" s="5"/>
      <c r="AD263" s="5"/>
      <c r="AE263" s="5"/>
      <c r="AF263" s="5"/>
    </row>
    <row r="264" spans="1:32" ht="15.75" customHeight="1">
      <c r="A264" s="353"/>
      <c r="B264" s="353"/>
      <c r="C264" s="86">
        <v>7</v>
      </c>
      <c r="D264" s="353"/>
      <c r="E264" s="181" t="s">
        <v>2851</v>
      </c>
      <c r="F264" s="86" t="s">
        <v>1585</v>
      </c>
      <c r="G264" s="86" t="s">
        <v>524</v>
      </c>
      <c r="H264" s="181" t="s">
        <v>2852</v>
      </c>
      <c r="I264" s="146" t="s">
        <v>2850</v>
      </c>
      <c r="J264" s="146"/>
      <c r="K264" s="25"/>
      <c r="L264" s="57"/>
      <c r="M264" s="66"/>
      <c r="N264" s="84"/>
      <c r="O264" s="28"/>
      <c r="P264" s="149"/>
      <c r="Q264" s="50" t="s">
        <v>282</v>
      </c>
      <c r="R264" s="50" t="s">
        <v>301</v>
      </c>
      <c r="S264" s="50"/>
      <c r="T264" s="5"/>
      <c r="U264" s="5"/>
      <c r="V264" s="5"/>
      <c r="W264" s="5"/>
      <c r="X264" s="5"/>
      <c r="Y264" s="5"/>
      <c r="Z264" s="5"/>
      <c r="AA264" s="5"/>
      <c r="AB264" s="5"/>
      <c r="AC264" s="5"/>
      <c r="AD264" s="5"/>
      <c r="AE264" s="5"/>
      <c r="AF264" s="5"/>
    </row>
    <row r="265" spans="1:32" ht="15.75" customHeight="1">
      <c r="A265" s="354" t="s">
        <v>2853</v>
      </c>
      <c r="B265" s="354" t="s">
        <v>2854</v>
      </c>
      <c r="C265" s="86">
        <v>1</v>
      </c>
      <c r="D265" s="354" t="s">
        <v>2855</v>
      </c>
      <c r="E265" s="181" t="s">
        <v>2856</v>
      </c>
      <c r="F265" s="86" t="s">
        <v>1585</v>
      </c>
      <c r="G265" s="86" t="s">
        <v>524</v>
      </c>
      <c r="H265" s="181" t="s">
        <v>2857</v>
      </c>
      <c r="I265" s="146" t="s">
        <v>2838</v>
      </c>
      <c r="J265" s="146"/>
      <c r="K265" s="25"/>
      <c r="L265" s="57"/>
      <c r="M265" s="66"/>
      <c r="N265" s="84"/>
      <c r="O265" s="28"/>
      <c r="P265" s="149"/>
      <c r="Q265" s="50" t="s">
        <v>282</v>
      </c>
      <c r="R265" s="50" t="s">
        <v>301</v>
      </c>
      <c r="S265" s="50"/>
      <c r="T265" s="5"/>
      <c r="U265" s="5"/>
      <c r="V265" s="5"/>
      <c r="W265" s="5"/>
      <c r="X265" s="5"/>
      <c r="Y265" s="5"/>
      <c r="Z265" s="5"/>
      <c r="AA265" s="5"/>
      <c r="AB265" s="5"/>
      <c r="AC265" s="5"/>
      <c r="AD265" s="5"/>
      <c r="AE265" s="5"/>
      <c r="AF265" s="5"/>
    </row>
    <row r="266" spans="1:32" ht="15.75" customHeight="1">
      <c r="A266" s="352"/>
      <c r="B266" s="352"/>
      <c r="C266" s="86">
        <v>2</v>
      </c>
      <c r="D266" s="352"/>
      <c r="E266" s="181" t="s">
        <v>2858</v>
      </c>
      <c r="F266" s="86" t="s">
        <v>1585</v>
      </c>
      <c r="G266" s="86" t="s">
        <v>524</v>
      </c>
      <c r="H266" s="181" t="s">
        <v>2859</v>
      </c>
      <c r="I266" s="146" t="s">
        <v>2838</v>
      </c>
      <c r="J266" s="146"/>
      <c r="K266" s="25"/>
      <c r="L266" s="57"/>
      <c r="M266" s="66"/>
      <c r="N266" s="84"/>
      <c r="O266" s="28"/>
      <c r="P266" s="149"/>
      <c r="Q266" s="50" t="s">
        <v>282</v>
      </c>
      <c r="R266" s="50" t="s">
        <v>301</v>
      </c>
      <c r="S266" s="50"/>
      <c r="T266" s="5"/>
      <c r="U266" s="5"/>
      <c r="V266" s="5"/>
      <c r="W266" s="5"/>
      <c r="X266" s="5"/>
      <c r="Y266" s="5"/>
      <c r="Z266" s="5"/>
      <c r="AA266" s="5"/>
      <c r="AB266" s="5"/>
      <c r="AC266" s="5"/>
      <c r="AD266" s="5"/>
      <c r="AE266" s="5"/>
      <c r="AF266" s="5"/>
    </row>
    <row r="267" spans="1:32" ht="15.75" customHeight="1">
      <c r="A267" s="352"/>
      <c r="B267" s="352"/>
      <c r="C267" s="86">
        <v>3</v>
      </c>
      <c r="D267" s="352"/>
      <c r="E267" s="181" t="s">
        <v>2860</v>
      </c>
      <c r="F267" s="86" t="s">
        <v>1585</v>
      </c>
      <c r="G267" s="86" t="s">
        <v>524</v>
      </c>
      <c r="H267" s="181" t="s">
        <v>2861</v>
      </c>
      <c r="I267" s="146" t="s">
        <v>2838</v>
      </c>
      <c r="J267" s="146"/>
      <c r="K267" s="25"/>
      <c r="L267" s="57"/>
      <c r="M267" s="66"/>
      <c r="N267" s="84"/>
      <c r="O267" s="28"/>
      <c r="P267" s="149"/>
      <c r="Q267" s="50" t="s">
        <v>282</v>
      </c>
      <c r="R267" s="50" t="s">
        <v>301</v>
      </c>
      <c r="S267" s="50"/>
      <c r="T267" s="5"/>
      <c r="U267" s="5"/>
      <c r="V267" s="5"/>
      <c r="W267" s="5"/>
      <c r="X267" s="5"/>
      <c r="Y267" s="5"/>
      <c r="Z267" s="5"/>
      <c r="AA267" s="5"/>
      <c r="AB267" s="5"/>
      <c r="AC267" s="5"/>
      <c r="AD267" s="5"/>
      <c r="AE267" s="5"/>
      <c r="AF267" s="5"/>
    </row>
    <row r="268" spans="1:32" ht="15.75" customHeight="1">
      <c r="A268" s="352"/>
      <c r="B268" s="352"/>
      <c r="C268" s="86">
        <v>4</v>
      </c>
      <c r="D268" s="352"/>
      <c r="E268" s="181" t="s">
        <v>2862</v>
      </c>
      <c r="F268" s="86" t="s">
        <v>1585</v>
      </c>
      <c r="G268" s="86" t="s">
        <v>524</v>
      </c>
      <c r="H268" s="181" t="s">
        <v>2863</v>
      </c>
      <c r="I268" s="146" t="s">
        <v>2838</v>
      </c>
      <c r="J268" s="146"/>
      <c r="K268" s="25"/>
      <c r="L268" s="57"/>
      <c r="M268" s="66"/>
      <c r="N268" s="84"/>
      <c r="O268" s="28"/>
      <c r="P268" s="149"/>
      <c r="Q268" s="50" t="s">
        <v>282</v>
      </c>
      <c r="R268" s="50" t="s">
        <v>301</v>
      </c>
      <c r="S268" s="50"/>
      <c r="T268" s="5"/>
      <c r="U268" s="5"/>
      <c r="V268" s="5"/>
      <c r="W268" s="5"/>
      <c r="X268" s="5"/>
      <c r="Y268" s="5"/>
      <c r="Z268" s="5"/>
      <c r="AA268" s="5"/>
      <c r="AB268" s="5"/>
      <c r="AC268" s="5"/>
      <c r="AD268" s="5"/>
      <c r="AE268" s="5"/>
      <c r="AF268" s="5"/>
    </row>
    <row r="269" spans="1:32" ht="15.75" customHeight="1">
      <c r="A269" s="353"/>
      <c r="B269" s="353"/>
      <c r="C269" s="86">
        <v>5</v>
      </c>
      <c r="D269" s="353"/>
      <c r="E269" s="181" t="s">
        <v>2864</v>
      </c>
      <c r="F269" s="86" t="s">
        <v>1585</v>
      </c>
      <c r="G269" s="86" t="s">
        <v>524</v>
      </c>
      <c r="H269" s="181" t="s">
        <v>2865</v>
      </c>
      <c r="I269" s="146" t="s">
        <v>2838</v>
      </c>
      <c r="J269" s="146"/>
      <c r="K269" s="25"/>
      <c r="L269" s="57"/>
      <c r="M269" s="66"/>
      <c r="N269" s="84"/>
      <c r="O269" s="28"/>
      <c r="P269" s="149"/>
      <c r="Q269" s="50" t="s">
        <v>282</v>
      </c>
      <c r="R269" s="50" t="s">
        <v>301</v>
      </c>
      <c r="S269" s="50"/>
      <c r="T269" s="5"/>
      <c r="U269" s="5"/>
      <c r="V269" s="5"/>
      <c r="W269" s="5"/>
      <c r="X269" s="5"/>
      <c r="Y269" s="5"/>
      <c r="Z269" s="5"/>
      <c r="AA269" s="5"/>
      <c r="AB269" s="5"/>
      <c r="AC269" s="5"/>
      <c r="AD269" s="5"/>
      <c r="AE269" s="5"/>
      <c r="AF269" s="5"/>
    </row>
    <row r="270" spans="1:32" ht="15.75" customHeight="1">
      <c r="A270" s="354" t="s">
        <v>2866</v>
      </c>
      <c r="B270" s="354" t="s">
        <v>270</v>
      </c>
      <c r="C270" s="86">
        <v>1</v>
      </c>
      <c r="D270" s="354" t="s">
        <v>2867</v>
      </c>
      <c r="E270" s="181" t="s">
        <v>2868</v>
      </c>
      <c r="F270" s="86" t="s">
        <v>1585</v>
      </c>
      <c r="G270" s="86" t="s">
        <v>524</v>
      </c>
      <c r="H270" s="181" t="s">
        <v>2869</v>
      </c>
      <c r="I270" s="146" t="s">
        <v>2870</v>
      </c>
      <c r="J270" s="146"/>
      <c r="K270" s="25"/>
      <c r="L270" s="57"/>
      <c r="M270" s="66"/>
      <c r="N270" s="84"/>
      <c r="O270" s="28"/>
      <c r="P270" s="149"/>
      <c r="Q270" s="50" t="s">
        <v>140</v>
      </c>
      <c r="R270" s="50" t="s">
        <v>301</v>
      </c>
      <c r="S270" s="50"/>
      <c r="T270" s="5"/>
      <c r="U270" s="5"/>
      <c r="V270" s="5"/>
      <c r="W270" s="5"/>
      <c r="X270" s="5"/>
      <c r="Y270" s="5"/>
      <c r="Z270" s="5"/>
      <c r="AA270" s="5"/>
      <c r="AB270" s="5"/>
      <c r="AC270" s="5"/>
      <c r="AD270" s="5"/>
      <c r="AE270" s="5"/>
      <c r="AF270" s="5"/>
    </row>
    <row r="271" spans="1:32" ht="15.75" customHeight="1">
      <c r="A271" s="352"/>
      <c r="B271" s="352"/>
      <c r="C271" s="86">
        <v>2</v>
      </c>
      <c r="D271" s="352"/>
      <c r="E271" s="181" t="s">
        <v>2871</v>
      </c>
      <c r="F271" s="86" t="s">
        <v>1585</v>
      </c>
      <c r="G271" s="86" t="s">
        <v>524</v>
      </c>
      <c r="H271" s="181" t="s">
        <v>2872</v>
      </c>
      <c r="I271" s="146" t="s">
        <v>2870</v>
      </c>
      <c r="J271" s="146"/>
      <c r="K271" s="25"/>
      <c r="L271" s="57"/>
      <c r="M271" s="66"/>
      <c r="N271" s="84"/>
      <c r="O271" s="28"/>
      <c r="P271" s="149"/>
      <c r="Q271" s="50" t="s">
        <v>140</v>
      </c>
      <c r="R271" s="50" t="s">
        <v>301</v>
      </c>
      <c r="S271" s="50"/>
      <c r="T271" s="5"/>
      <c r="U271" s="5"/>
      <c r="V271" s="5"/>
      <c r="W271" s="5"/>
      <c r="X271" s="5"/>
      <c r="Y271" s="5"/>
      <c r="Z271" s="5"/>
      <c r="AA271" s="5"/>
      <c r="AB271" s="5"/>
      <c r="AC271" s="5"/>
      <c r="AD271" s="5"/>
      <c r="AE271" s="5"/>
      <c r="AF271" s="5"/>
    </row>
    <row r="272" spans="1:32" ht="15.75" customHeight="1">
      <c r="A272" s="353"/>
      <c r="B272" s="353"/>
      <c r="C272" s="86">
        <v>3</v>
      </c>
      <c r="D272" s="353"/>
      <c r="E272" s="181" t="s">
        <v>2873</v>
      </c>
      <c r="F272" s="86" t="s">
        <v>1585</v>
      </c>
      <c r="G272" s="86" t="s">
        <v>524</v>
      </c>
      <c r="H272" s="181" t="s">
        <v>2874</v>
      </c>
      <c r="I272" s="80" t="s">
        <v>2870</v>
      </c>
      <c r="J272" s="84"/>
      <c r="K272" s="25"/>
      <c r="L272" s="57"/>
      <c r="M272" s="66"/>
      <c r="N272" s="84"/>
      <c r="O272" s="28"/>
      <c r="P272" s="149"/>
      <c r="Q272" s="50" t="s">
        <v>140</v>
      </c>
      <c r="R272" s="50" t="s">
        <v>301</v>
      </c>
      <c r="S272" s="50"/>
      <c r="T272" s="5"/>
      <c r="U272" s="5"/>
      <c r="V272" s="5"/>
      <c r="W272" s="5"/>
      <c r="X272" s="5"/>
      <c r="Y272" s="5"/>
      <c r="Z272" s="5"/>
      <c r="AA272" s="5"/>
      <c r="AB272" s="5"/>
      <c r="AC272" s="5"/>
      <c r="AD272" s="5"/>
      <c r="AE272" s="5"/>
      <c r="AF272" s="5"/>
    </row>
    <row r="273" spans="1:32" ht="15.75" customHeight="1">
      <c r="A273" s="351" t="s">
        <v>2875</v>
      </c>
      <c r="B273" s="354" t="s">
        <v>2876</v>
      </c>
      <c r="C273" s="86">
        <v>1</v>
      </c>
      <c r="D273" s="351" t="s">
        <v>2877</v>
      </c>
      <c r="E273" s="181" t="s">
        <v>2878</v>
      </c>
      <c r="F273" s="86" t="s">
        <v>1585</v>
      </c>
      <c r="G273" s="86" t="s">
        <v>524</v>
      </c>
      <c r="H273" s="181" t="s">
        <v>2879</v>
      </c>
      <c r="I273" s="146" t="s">
        <v>2880</v>
      </c>
      <c r="J273" s="146"/>
      <c r="K273" s="25"/>
      <c r="L273" s="57"/>
      <c r="M273" s="66"/>
      <c r="N273" s="148"/>
      <c r="O273" s="28"/>
      <c r="P273" s="149"/>
      <c r="Q273" s="50" t="s">
        <v>282</v>
      </c>
      <c r="R273" s="50" t="s">
        <v>301</v>
      </c>
      <c r="S273" s="50"/>
      <c r="T273" s="5"/>
      <c r="U273" s="5"/>
      <c r="V273" s="5"/>
      <c r="W273" s="5"/>
      <c r="X273" s="5"/>
      <c r="Y273" s="5"/>
      <c r="Z273" s="5"/>
      <c r="AA273" s="5"/>
      <c r="AB273" s="5"/>
      <c r="AC273" s="5"/>
      <c r="AD273" s="5"/>
      <c r="AE273" s="5"/>
      <c r="AF273" s="5"/>
    </row>
    <row r="274" spans="1:32" ht="15.75" customHeight="1">
      <c r="A274" s="352"/>
      <c r="B274" s="352"/>
      <c r="C274" s="86">
        <v>2</v>
      </c>
      <c r="D274" s="352"/>
      <c r="E274" s="181" t="s">
        <v>2881</v>
      </c>
      <c r="F274" s="86" t="s">
        <v>1585</v>
      </c>
      <c r="G274" s="86" t="s">
        <v>524</v>
      </c>
      <c r="H274" s="181" t="s">
        <v>2882</v>
      </c>
      <c r="I274" s="146" t="s">
        <v>2880</v>
      </c>
      <c r="J274" s="146"/>
      <c r="K274" s="25"/>
      <c r="L274" s="57"/>
      <c r="M274" s="66"/>
      <c r="N274" s="148"/>
      <c r="O274" s="28"/>
      <c r="P274" s="149"/>
      <c r="Q274" s="50" t="s">
        <v>282</v>
      </c>
      <c r="R274" s="50" t="s">
        <v>301</v>
      </c>
      <c r="S274" s="50"/>
      <c r="T274" s="5"/>
      <c r="U274" s="5"/>
      <c r="V274" s="5"/>
      <c r="W274" s="5"/>
      <c r="X274" s="5"/>
      <c r="Y274" s="5"/>
      <c r="Z274" s="5"/>
      <c r="AA274" s="5"/>
      <c r="AB274" s="5"/>
      <c r="AC274" s="5"/>
      <c r="AD274" s="5"/>
      <c r="AE274" s="5"/>
      <c r="AF274" s="5"/>
    </row>
    <row r="275" spans="1:32" ht="15.75" customHeight="1">
      <c r="A275" s="352"/>
      <c r="B275" s="352"/>
      <c r="C275" s="86">
        <v>3</v>
      </c>
      <c r="D275" s="352"/>
      <c r="E275" s="181" t="s">
        <v>2883</v>
      </c>
      <c r="F275" s="86" t="s">
        <v>1585</v>
      </c>
      <c r="G275" s="86" t="s">
        <v>524</v>
      </c>
      <c r="H275" s="181" t="s">
        <v>2884</v>
      </c>
      <c r="I275" s="146" t="s">
        <v>2880</v>
      </c>
      <c r="J275" s="146"/>
      <c r="K275" s="25"/>
      <c r="L275" s="57"/>
      <c r="M275" s="66"/>
      <c r="N275" s="148"/>
      <c r="O275" s="28"/>
      <c r="P275" s="149"/>
      <c r="Q275" s="50" t="s">
        <v>282</v>
      </c>
      <c r="R275" s="50" t="s">
        <v>301</v>
      </c>
      <c r="S275" s="50"/>
      <c r="T275" s="5"/>
      <c r="U275" s="5"/>
      <c r="V275" s="5"/>
      <c r="W275" s="5"/>
      <c r="X275" s="5"/>
      <c r="Y275" s="5"/>
      <c r="Z275" s="5"/>
      <c r="AA275" s="5"/>
      <c r="AB275" s="5"/>
      <c r="AC275" s="5"/>
      <c r="AD275" s="5"/>
      <c r="AE275" s="5"/>
      <c r="AF275" s="5"/>
    </row>
    <row r="276" spans="1:32" ht="15.75" customHeight="1">
      <c r="A276" s="353"/>
      <c r="B276" s="352"/>
      <c r="C276" s="86">
        <v>4</v>
      </c>
      <c r="D276" s="352"/>
      <c r="E276" s="181" t="s">
        <v>2885</v>
      </c>
      <c r="F276" s="86" t="s">
        <v>1585</v>
      </c>
      <c r="G276" s="86" t="s">
        <v>524</v>
      </c>
      <c r="H276" s="181" t="s">
        <v>2886</v>
      </c>
      <c r="I276" s="146" t="s">
        <v>2880</v>
      </c>
      <c r="J276" s="146"/>
      <c r="K276" s="25"/>
      <c r="L276" s="57"/>
      <c r="M276" s="66"/>
      <c r="N276" s="148"/>
      <c r="O276" s="28"/>
      <c r="P276" s="149"/>
      <c r="Q276" s="50" t="s">
        <v>282</v>
      </c>
      <c r="R276" s="50" t="s">
        <v>301</v>
      </c>
      <c r="S276" s="50"/>
      <c r="T276" s="5"/>
      <c r="U276" s="5"/>
      <c r="V276" s="5"/>
      <c r="W276" s="5"/>
      <c r="X276" s="5"/>
      <c r="Y276" s="5"/>
      <c r="Z276" s="5"/>
      <c r="AA276" s="5"/>
      <c r="AB276" s="5"/>
      <c r="AC276" s="5"/>
      <c r="AD276" s="5"/>
      <c r="AE276" s="5"/>
      <c r="AF276" s="5"/>
    </row>
    <row r="277" spans="1:32" ht="15.75" customHeight="1">
      <c r="A277" s="181" t="s">
        <v>2887</v>
      </c>
      <c r="B277" s="352"/>
      <c r="C277" s="86">
        <v>5</v>
      </c>
      <c r="D277" s="352"/>
      <c r="E277" s="181" t="s">
        <v>2888</v>
      </c>
      <c r="F277" s="86" t="s">
        <v>1585</v>
      </c>
      <c r="G277" s="86" t="s">
        <v>524</v>
      </c>
      <c r="H277" s="181" t="s">
        <v>2889</v>
      </c>
      <c r="I277" s="146" t="s">
        <v>2890</v>
      </c>
      <c r="J277" s="146"/>
      <c r="K277" s="25"/>
      <c r="L277" s="57"/>
      <c r="M277" s="66"/>
      <c r="N277" s="84"/>
      <c r="O277" s="28"/>
      <c r="P277" s="149"/>
      <c r="Q277" s="50" t="s">
        <v>140</v>
      </c>
      <c r="R277" s="50" t="s">
        <v>301</v>
      </c>
      <c r="S277" s="50"/>
      <c r="T277" s="5"/>
      <c r="U277" s="5"/>
      <c r="V277" s="5"/>
      <c r="W277" s="5"/>
      <c r="X277" s="5"/>
      <c r="Y277" s="5"/>
      <c r="Z277" s="5"/>
      <c r="AA277" s="5"/>
      <c r="AB277" s="5"/>
      <c r="AC277" s="5"/>
      <c r="AD277" s="5"/>
      <c r="AE277" s="5"/>
      <c r="AF277" s="5"/>
    </row>
    <row r="278" spans="1:32" ht="15.75" customHeight="1">
      <c r="A278" s="181" t="s">
        <v>2891</v>
      </c>
      <c r="B278" s="353"/>
      <c r="C278" s="86">
        <v>6</v>
      </c>
      <c r="D278" s="353"/>
      <c r="E278" s="181" t="s">
        <v>2892</v>
      </c>
      <c r="F278" s="86" t="s">
        <v>1585</v>
      </c>
      <c r="G278" s="86" t="s">
        <v>524</v>
      </c>
      <c r="H278" s="181" t="s">
        <v>2893</v>
      </c>
      <c r="I278" s="146" t="s">
        <v>2894</v>
      </c>
      <c r="J278" s="146"/>
      <c r="K278" s="25"/>
      <c r="L278" s="57"/>
      <c r="M278" s="66"/>
      <c r="N278" s="84"/>
      <c r="O278" s="28"/>
      <c r="P278" s="149"/>
      <c r="Q278" s="50" t="s">
        <v>140</v>
      </c>
      <c r="R278" s="50" t="s">
        <v>301</v>
      </c>
      <c r="S278" s="50"/>
      <c r="T278" s="5"/>
      <c r="U278" s="5"/>
      <c r="V278" s="5"/>
      <c r="W278" s="5"/>
      <c r="X278" s="5"/>
      <c r="Y278" s="5"/>
      <c r="Z278" s="5"/>
      <c r="AA278" s="5"/>
      <c r="AB278" s="5"/>
      <c r="AC278" s="5"/>
      <c r="AD278" s="5"/>
      <c r="AE278" s="5"/>
      <c r="AF278" s="5"/>
    </row>
    <row r="279" spans="1:32" ht="121.5" customHeight="1">
      <c r="A279" s="181" t="s">
        <v>2895</v>
      </c>
      <c r="B279" s="354" t="s">
        <v>258</v>
      </c>
      <c r="C279" s="86">
        <v>1</v>
      </c>
      <c r="D279" s="361" t="s">
        <v>2896</v>
      </c>
      <c r="E279" s="181" t="s">
        <v>2897</v>
      </c>
      <c r="F279" s="86" t="s">
        <v>1585</v>
      </c>
      <c r="G279" s="86" t="s">
        <v>524</v>
      </c>
      <c r="H279" s="181" t="s">
        <v>2898</v>
      </c>
      <c r="I279" s="146" t="s">
        <v>2899</v>
      </c>
      <c r="J279" s="146"/>
      <c r="K279" s="25"/>
      <c r="L279" s="57"/>
      <c r="M279" s="66"/>
      <c r="N279" s="150"/>
      <c r="O279" s="28"/>
      <c r="P279" s="50"/>
      <c r="Q279" s="50" t="s">
        <v>282</v>
      </c>
      <c r="R279" s="50" t="s">
        <v>301</v>
      </c>
      <c r="S279" s="50"/>
      <c r="T279" s="5"/>
      <c r="U279" s="5"/>
      <c r="V279" s="5"/>
      <c r="W279" s="5"/>
      <c r="X279" s="5"/>
      <c r="Y279" s="5"/>
      <c r="Z279" s="5"/>
      <c r="AA279" s="5"/>
      <c r="AB279" s="5"/>
      <c r="AC279" s="5"/>
      <c r="AD279" s="5"/>
      <c r="AE279" s="5"/>
      <c r="AF279" s="5"/>
    </row>
    <row r="280" spans="1:32" ht="15.75" customHeight="1">
      <c r="A280" s="351" t="s">
        <v>2900</v>
      </c>
      <c r="B280" s="352"/>
      <c r="C280" s="86">
        <v>2</v>
      </c>
      <c r="D280" s="352"/>
      <c r="E280" s="181" t="s">
        <v>2901</v>
      </c>
      <c r="F280" s="86" t="s">
        <v>1585</v>
      </c>
      <c r="G280" s="86" t="s">
        <v>327</v>
      </c>
      <c r="H280" s="181" t="s">
        <v>2902</v>
      </c>
      <c r="I280" s="146" t="s">
        <v>2903</v>
      </c>
      <c r="J280" s="146"/>
      <c r="K280" s="25"/>
      <c r="L280" s="57"/>
      <c r="M280" s="66"/>
      <c r="N280" s="4"/>
      <c r="O280" s="28"/>
      <c r="P280" s="50"/>
      <c r="Q280" s="50" t="s">
        <v>140</v>
      </c>
      <c r="R280" s="50" t="s">
        <v>301</v>
      </c>
      <c r="S280" s="50"/>
      <c r="T280" s="5"/>
      <c r="U280" s="5"/>
      <c r="V280" s="5"/>
      <c r="W280" s="5"/>
      <c r="X280" s="5"/>
      <c r="Y280" s="5"/>
      <c r="Z280" s="5"/>
      <c r="AA280" s="5"/>
      <c r="AB280" s="5"/>
      <c r="AC280" s="5"/>
      <c r="AD280" s="5"/>
      <c r="AE280" s="5"/>
      <c r="AF280" s="5"/>
    </row>
    <row r="281" spans="1:32" ht="15.75" customHeight="1">
      <c r="A281" s="352"/>
      <c r="B281" s="352"/>
      <c r="C281" s="86">
        <v>3</v>
      </c>
      <c r="D281" s="352"/>
      <c r="E281" s="181" t="s">
        <v>2904</v>
      </c>
      <c r="F281" s="86" t="s">
        <v>1585</v>
      </c>
      <c r="G281" s="86" t="s">
        <v>327</v>
      </c>
      <c r="H281" s="181" t="s">
        <v>2905</v>
      </c>
      <c r="I281" s="146" t="s">
        <v>2906</v>
      </c>
      <c r="J281" s="146"/>
      <c r="K281" s="25"/>
      <c r="L281" s="57"/>
      <c r="M281" s="66"/>
      <c r="N281" s="4"/>
      <c r="O281" s="28"/>
      <c r="P281" s="50"/>
      <c r="Q281" s="50" t="s">
        <v>140</v>
      </c>
      <c r="R281" s="50" t="s">
        <v>301</v>
      </c>
      <c r="S281" s="50"/>
      <c r="T281" s="5"/>
      <c r="U281" s="5"/>
      <c r="V281" s="5"/>
      <c r="W281" s="5"/>
      <c r="X281" s="5"/>
      <c r="Y281" s="5"/>
      <c r="Z281" s="5"/>
      <c r="AA281" s="5"/>
      <c r="AB281" s="5"/>
      <c r="AC281" s="5"/>
      <c r="AD281" s="5"/>
      <c r="AE281" s="5"/>
      <c r="AF281" s="5"/>
    </row>
    <row r="282" spans="1:32" ht="15.75" customHeight="1">
      <c r="A282" s="353"/>
      <c r="B282" s="352"/>
      <c r="C282" s="86">
        <v>4</v>
      </c>
      <c r="D282" s="352"/>
      <c r="E282" s="181" t="s">
        <v>2907</v>
      </c>
      <c r="F282" s="86" t="s">
        <v>1585</v>
      </c>
      <c r="G282" s="86" t="s">
        <v>327</v>
      </c>
      <c r="H282" s="181" t="s">
        <v>2908</v>
      </c>
      <c r="I282" s="146" t="s">
        <v>2909</v>
      </c>
      <c r="J282" s="146"/>
      <c r="K282" s="25"/>
      <c r="L282" s="57"/>
      <c r="M282" s="66"/>
      <c r="N282" s="4"/>
      <c r="O282" s="28"/>
      <c r="P282" s="50"/>
      <c r="Q282" s="50" t="s">
        <v>140</v>
      </c>
      <c r="R282" s="50" t="s">
        <v>301</v>
      </c>
      <c r="S282" s="50"/>
      <c r="T282" s="5"/>
      <c r="U282" s="5"/>
      <c r="V282" s="5"/>
      <c r="W282" s="5"/>
      <c r="X282" s="5"/>
      <c r="Y282" s="5"/>
      <c r="Z282" s="5"/>
      <c r="AA282" s="5"/>
      <c r="AB282" s="5"/>
      <c r="AC282" s="5"/>
      <c r="AD282" s="5"/>
      <c r="AE282" s="5"/>
      <c r="AF282" s="5"/>
    </row>
    <row r="283" spans="1:32" ht="15.75" customHeight="1">
      <c r="A283" s="351" t="s">
        <v>2910</v>
      </c>
      <c r="B283" s="352"/>
      <c r="C283" s="86">
        <v>5</v>
      </c>
      <c r="D283" s="352"/>
      <c r="E283" s="351" t="s">
        <v>2911</v>
      </c>
      <c r="F283" s="86" t="s">
        <v>361</v>
      </c>
      <c r="G283" s="86" t="s">
        <v>524</v>
      </c>
      <c r="H283" s="181" t="s">
        <v>2912</v>
      </c>
      <c r="I283" s="146" t="s">
        <v>2913</v>
      </c>
      <c r="J283" s="146"/>
      <c r="K283" s="25"/>
      <c r="L283" s="57"/>
      <c r="M283" s="66"/>
      <c r="N283" s="4"/>
      <c r="O283" s="28"/>
      <c r="P283" s="50"/>
      <c r="Q283" s="50" t="s">
        <v>282</v>
      </c>
      <c r="R283" s="50" t="s">
        <v>301</v>
      </c>
      <c r="S283" s="50"/>
      <c r="T283" s="5"/>
      <c r="U283" s="5"/>
      <c r="V283" s="5"/>
      <c r="W283" s="5"/>
      <c r="X283" s="5"/>
      <c r="Y283" s="5"/>
      <c r="Z283" s="5"/>
      <c r="AA283" s="5"/>
      <c r="AB283" s="5"/>
      <c r="AC283" s="5"/>
      <c r="AD283" s="5"/>
      <c r="AE283" s="5"/>
      <c r="AF283" s="5"/>
    </row>
    <row r="284" spans="1:32" ht="15.75" customHeight="1">
      <c r="A284" s="352"/>
      <c r="B284" s="352"/>
      <c r="C284" s="86">
        <v>6</v>
      </c>
      <c r="D284" s="352"/>
      <c r="E284" s="353"/>
      <c r="F284" s="86" t="s">
        <v>361</v>
      </c>
      <c r="G284" s="86" t="s">
        <v>524</v>
      </c>
      <c r="H284" s="181" t="s">
        <v>2914</v>
      </c>
      <c r="I284" s="146" t="s">
        <v>2915</v>
      </c>
      <c r="J284" s="146"/>
      <c r="K284" s="25"/>
      <c r="L284" s="57"/>
      <c r="M284" s="66"/>
      <c r="N284" s="4"/>
      <c r="O284" s="28"/>
      <c r="P284" s="50"/>
      <c r="Q284" s="50" t="s">
        <v>282</v>
      </c>
      <c r="R284" s="50" t="s">
        <v>301</v>
      </c>
      <c r="S284" s="50"/>
      <c r="T284" s="5"/>
      <c r="U284" s="5"/>
      <c r="V284" s="5"/>
      <c r="W284" s="5"/>
      <c r="X284" s="5"/>
      <c r="Y284" s="5"/>
      <c r="Z284" s="5"/>
      <c r="AA284" s="5"/>
      <c r="AB284" s="5"/>
      <c r="AC284" s="5"/>
      <c r="AD284" s="5"/>
      <c r="AE284" s="5"/>
      <c r="AF284" s="5"/>
    </row>
    <row r="285" spans="1:32" ht="15.75" customHeight="1">
      <c r="A285" s="352"/>
      <c r="B285" s="352"/>
      <c r="C285" s="86">
        <v>7</v>
      </c>
      <c r="D285" s="352"/>
      <c r="E285" s="351" t="s">
        <v>2916</v>
      </c>
      <c r="F285" s="86" t="s">
        <v>361</v>
      </c>
      <c r="G285" s="86" t="s">
        <v>524</v>
      </c>
      <c r="H285" s="181" t="s">
        <v>2917</v>
      </c>
      <c r="I285" s="146" t="s">
        <v>2918</v>
      </c>
      <c r="J285" s="146"/>
      <c r="K285" s="25"/>
      <c r="L285" s="57"/>
      <c r="M285" s="66"/>
      <c r="N285" s="4"/>
      <c r="O285" s="28"/>
      <c r="P285" s="50"/>
      <c r="Q285" s="50" t="s">
        <v>282</v>
      </c>
      <c r="R285" s="50" t="s">
        <v>301</v>
      </c>
      <c r="S285" s="50"/>
      <c r="T285" s="5"/>
      <c r="U285" s="5"/>
      <c r="V285" s="5"/>
      <c r="W285" s="5"/>
      <c r="X285" s="5"/>
      <c r="Y285" s="5"/>
      <c r="Z285" s="5"/>
      <c r="AA285" s="5"/>
      <c r="AB285" s="5"/>
      <c r="AC285" s="5"/>
      <c r="AD285" s="5"/>
      <c r="AE285" s="5"/>
      <c r="AF285" s="5"/>
    </row>
    <row r="286" spans="1:32" ht="15.75" customHeight="1">
      <c r="A286" s="353"/>
      <c r="B286" s="353"/>
      <c r="C286" s="86">
        <v>8</v>
      </c>
      <c r="D286" s="353"/>
      <c r="E286" s="353"/>
      <c r="F286" s="86" t="s">
        <v>361</v>
      </c>
      <c r="G286" s="86" t="s">
        <v>524</v>
      </c>
      <c r="H286" s="181" t="s">
        <v>2919</v>
      </c>
      <c r="I286" s="146" t="s">
        <v>2918</v>
      </c>
      <c r="J286" s="146"/>
      <c r="K286" s="25"/>
      <c r="L286" s="57"/>
      <c r="M286" s="66"/>
      <c r="N286" s="4"/>
      <c r="O286" s="28"/>
      <c r="P286" s="50"/>
      <c r="Q286" s="50" t="s">
        <v>282</v>
      </c>
      <c r="R286" s="50" t="s">
        <v>301</v>
      </c>
      <c r="S286" s="50"/>
      <c r="T286" s="5"/>
      <c r="U286" s="5"/>
      <c r="V286" s="5"/>
      <c r="W286" s="5"/>
      <c r="X286" s="5"/>
      <c r="Y286" s="5"/>
      <c r="Z286" s="5"/>
      <c r="AA286" s="5"/>
      <c r="AB286" s="5"/>
      <c r="AC286" s="5"/>
      <c r="AD286" s="5"/>
      <c r="AE286" s="5"/>
      <c r="AF286" s="5"/>
    </row>
    <row r="287" spans="1:32" ht="15.75" customHeight="1">
      <c r="A287" s="351" t="s">
        <v>2920</v>
      </c>
      <c r="B287" s="354" t="s">
        <v>2921</v>
      </c>
      <c r="C287" s="86">
        <v>1</v>
      </c>
      <c r="D287" s="351" t="s">
        <v>2922</v>
      </c>
      <c r="E287" s="181" t="s">
        <v>2923</v>
      </c>
      <c r="F287" s="86" t="s">
        <v>361</v>
      </c>
      <c r="G287" s="86" t="s">
        <v>524</v>
      </c>
      <c r="H287" s="181" t="s">
        <v>2924</v>
      </c>
      <c r="I287" s="146" t="s">
        <v>2925</v>
      </c>
      <c r="J287" s="146"/>
      <c r="K287" s="25"/>
      <c r="L287" s="57"/>
      <c r="M287" s="66"/>
      <c r="N287" s="4"/>
      <c r="O287" s="28"/>
      <c r="P287" s="50"/>
      <c r="Q287" s="50" t="s">
        <v>282</v>
      </c>
      <c r="R287" s="50" t="s">
        <v>301</v>
      </c>
      <c r="S287" s="50"/>
      <c r="T287" s="5"/>
      <c r="U287" s="5"/>
      <c r="V287" s="5"/>
      <c r="W287" s="5"/>
      <c r="X287" s="5"/>
      <c r="Y287" s="5"/>
      <c r="Z287" s="5"/>
      <c r="AA287" s="5"/>
      <c r="AB287" s="5"/>
      <c r="AC287" s="5"/>
      <c r="AD287" s="5"/>
      <c r="AE287" s="5"/>
      <c r="AF287" s="5"/>
    </row>
    <row r="288" spans="1:32" ht="15.75" customHeight="1">
      <c r="A288" s="352"/>
      <c r="B288" s="352"/>
      <c r="C288" s="86">
        <v>2</v>
      </c>
      <c r="D288" s="352"/>
      <c r="E288" s="181" t="s">
        <v>2926</v>
      </c>
      <c r="F288" s="86" t="s">
        <v>361</v>
      </c>
      <c r="G288" s="86" t="s">
        <v>524</v>
      </c>
      <c r="H288" s="181" t="s">
        <v>2927</v>
      </c>
      <c r="I288" s="146" t="s">
        <v>2928</v>
      </c>
      <c r="J288" s="146"/>
      <c r="K288" s="25"/>
      <c r="L288" s="57"/>
      <c r="M288" s="66"/>
      <c r="N288" s="4"/>
      <c r="O288" s="28"/>
      <c r="P288" s="50"/>
      <c r="Q288" s="50" t="s">
        <v>282</v>
      </c>
      <c r="R288" s="50" t="s">
        <v>301</v>
      </c>
      <c r="S288" s="50"/>
      <c r="T288" s="5"/>
      <c r="U288" s="5"/>
      <c r="V288" s="5"/>
      <c r="W288" s="5"/>
      <c r="X288" s="5"/>
      <c r="Y288" s="5"/>
      <c r="Z288" s="5"/>
      <c r="AA288" s="5"/>
      <c r="AB288" s="5"/>
      <c r="AC288" s="5"/>
      <c r="AD288" s="5"/>
      <c r="AE288" s="5"/>
      <c r="AF288" s="5"/>
    </row>
    <row r="289" spans="1:32" ht="15.75" customHeight="1">
      <c r="A289" s="352"/>
      <c r="B289" s="352"/>
      <c r="C289" s="86">
        <v>3</v>
      </c>
      <c r="D289" s="352"/>
      <c r="E289" s="181" t="s">
        <v>2929</v>
      </c>
      <c r="F289" s="86" t="s">
        <v>361</v>
      </c>
      <c r="G289" s="86" t="s">
        <v>524</v>
      </c>
      <c r="H289" s="181" t="s">
        <v>2930</v>
      </c>
      <c r="I289" s="146" t="s">
        <v>2928</v>
      </c>
      <c r="J289" s="146"/>
      <c r="K289" s="25"/>
      <c r="L289" s="57"/>
      <c r="M289" s="66"/>
      <c r="N289" s="4"/>
      <c r="O289" s="28"/>
      <c r="P289" s="50"/>
      <c r="Q289" s="50" t="s">
        <v>282</v>
      </c>
      <c r="R289" s="50" t="s">
        <v>301</v>
      </c>
      <c r="S289" s="50"/>
      <c r="T289" s="5"/>
      <c r="U289" s="5"/>
      <c r="V289" s="5"/>
      <c r="W289" s="5"/>
      <c r="X289" s="5"/>
      <c r="Y289" s="5"/>
      <c r="Z289" s="5"/>
      <c r="AA289" s="5"/>
      <c r="AB289" s="5"/>
      <c r="AC289" s="5"/>
      <c r="AD289" s="5"/>
      <c r="AE289" s="5"/>
      <c r="AF289" s="5"/>
    </row>
    <row r="290" spans="1:32" ht="15.75" customHeight="1">
      <c r="A290" s="352"/>
      <c r="B290" s="352"/>
      <c r="C290" s="86">
        <v>4</v>
      </c>
      <c r="D290" s="352"/>
      <c r="E290" s="181" t="s">
        <v>2931</v>
      </c>
      <c r="F290" s="86" t="s">
        <v>361</v>
      </c>
      <c r="G290" s="86" t="s">
        <v>524</v>
      </c>
      <c r="H290" s="181" t="s">
        <v>2932</v>
      </c>
      <c r="I290" s="146" t="s">
        <v>2928</v>
      </c>
      <c r="J290" s="146"/>
      <c r="K290" s="25"/>
      <c r="L290" s="57"/>
      <c r="M290" s="66"/>
      <c r="N290" s="4"/>
      <c r="O290" s="28"/>
      <c r="P290" s="50"/>
      <c r="Q290" s="50" t="s">
        <v>282</v>
      </c>
      <c r="R290" s="50" t="s">
        <v>301</v>
      </c>
      <c r="S290" s="50"/>
      <c r="T290" s="5"/>
      <c r="U290" s="5"/>
      <c r="V290" s="5"/>
      <c r="W290" s="5"/>
      <c r="X290" s="5"/>
      <c r="Y290" s="5"/>
      <c r="Z290" s="5"/>
      <c r="AA290" s="5"/>
      <c r="AB290" s="5"/>
      <c r="AC290" s="5"/>
      <c r="AD290" s="5"/>
      <c r="AE290" s="5"/>
      <c r="AF290" s="5"/>
    </row>
    <row r="291" spans="1:32" ht="15.75" customHeight="1">
      <c r="A291" s="352"/>
      <c r="B291" s="352"/>
      <c r="C291" s="86">
        <v>5</v>
      </c>
      <c r="D291" s="352"/>
      <c r="E291" s="181" t="s">
        <v>2933</v>
      </c>
      <c r="F291" s="86" t="s">
        <v>361</v>
      </c>
      <c r="G291" s="86" t="s">
        <v>524</v>
      </c>
      <c r="H291" s="181" t="s">
        <v>2934</v>
      </c>
      <c r="I291" s="146" t="s">
        <v>2928</v>
      </c>
      <c r="J291" s="146"/>
      <c r="K291" s="25"/>
      <c r="L291" s="57"/>
      <c r="M291" s="66"/>
      <c r="N291" s="4"/>
      <c r="O291" s="28"/>
      <c r="P291" s="50"/>
      <c r="Q291" s="50" t="s">
        <v>282</v>
      </c>
      <c r="R291" s="50" t="s">
        <v>301</v>
      </c>
      <c r="S291" s="50"/>
      <c r="T291" s="5"/>
      <c r="U291" s="5"/>
      <c r="V291" s="5"/>
      <c r="W291" s="5"/>
      <c r="X291" s="5"/>
      <c r="Y291" s="5"/>
      <c r="Z291" s="5"/>
      <c r="AA291" s="5"/>
      <c r="AB291" s="5"/>
      <c r="AC291" s="5"/>
      <c r="AD291" s="5"/>
      <c r="AE291" s="5"/>
      <c r="AF291" s="5"/>
    </row>
    <row r="292" spans="1:32" ht="15.75" customHeight="1">
      <c r="A292" s="353"/>
      <c r="B292" s="353"/>
      <c r="C292" s="86">
        <v>6</v>
      </c>
      <c r="D292" s="353"/>
      <c r="E292" s="181" t="s">
        <v>2935</v>
      </c>
      <c r="F292" s="86" t="s">
        <v>361</v>
      </c>
      <c r="G292" s="86" t="s">
        <v>524</v>
      </c>
      <c r="H292" s="181" t="s">
        <v>2936</v>
      </c>
      <c r="I292" s="146" t="s">
        <v>2928</v>
      </c>
      <c r="J292" s="146"/>
      <c r="K292" s="25"/>
      <c r="L292" s="57"/>
      <c r="M292" s="66"/>
      <c r="N292" s="4"/>
      <c r="O292" s="28"/>
      <c r="P292" s="50"/>
      <c r="Q292" s="50" t="s">
        <v>282</v>
      </c>
      <c r="R292" s="50" t="s">
        <v>301</v>
      </c>
      <c r="S292" s="50"/>
      <c r="T292" s="5"/>
      <c r="U292" s="5"/>
      <c r="V292" s="5"/>
      <c r="W292" s="5"/>
      <c r="X292" s="5"/>
      <c r="Y292" s="5"/>
      <c r="Z292" s="5"/>
      <c r="AA292" s="5"/>
      <c r="AB292" s="5"/>
      <c r="AC292" s="5"/>
      <c r="AD292" s="5"/>
      <c r="AE292" s="5"/>
      <c r="AF292" s="5"/>
    </row>
    <row r="293" spans="1:32" ht="15.75" customHeight="1">
      <c r="A293" s="351" t="s">
        <v>2937</v>
      </c>
      <c r="B293" s="354" t="s">
        <v>2938</v>
      </c>
      <c r="C293" s="86">
        <v>1</v>
      </c>
      <c r="D293" s="351" t="s">
        <v>2939</v>
      </c>
      <c r="E293" s="181" t="s">
        <v>2940</v>
      </c>
      <c r="F293" s="86" t="s">
        <v>361</v>
      </c>
      <c r="G293" s="86" t="s">
        <v>524</v>
      </c>
      <c r="H293" s="181" t="s">
        <v>2941</v>
      </c>
      <c r="I293" s="146" t="s">
        <v>2942</v>
      </c>
      <c r="J293" s="146"/>
      <c r="K293" s="25"/>
      <c r="L293" s="57"/>
      <c r="M293" s="66"/>
      <c r="N293" s="4"/>
      <c r="O293" s="28"/>
      <c r="P293" s="50"/>
      <c r="Q293" s="50" t="s">
        <v>282</v>
      </c>
      <c r="R293" s="50" t="s">
        <v>301</v>
      </c>
      <c r="S293" s="50"/>
      <c r="T293" s="5"/>
      <c r="U293" s="5"/>
      <c r="V293" s="5"/>
      <c r="W293" s="5"/>
      <c r="X293" s="5"/>
      <c r="Y293" s="5"/>
      <c r="Z293" s="5"/>
      <c r="AA293" s="5"/>
      <c r="AB293" s="5"/>
      <c r="AC293" s="5"/>
      <c r="AD293" s="5"/>
      <c r="AE293" s="5"/>
      <c r="AF293" s="5"/>
    </row>
    <row r="294" spans="1:32" ht="15.75" customHeight="1">
      <c r="A294" s="352"/>
      <c r="B294" s="352"/>
      <c r="C294" s="86">
        <v>2</v>
      </c>
      <c r="D294" s="352"/>
      <c r="E294" s="181" t="s">
        <v>2943</v>
      </c>
      <c r="F294" s="86" t="s">
        <v>361</v>
      </c>
      <c r="G294" s="86" t="s">
        <v>524</v>
      </c>
      <c r="H294" s="181" t="s">
        <v>2944</v>
      </c>
      <c r="I294" s="146" t="s">
        <v>2942</v>
      </c>
      <c r="J294" s="146"/>
      <c r="K294" s="25"/>
      <c r="L294" s="57"/>
      <c r="M294" s="66"/>
      <c r="N294" s="4"/>
      <c r="O294" s="28"/>
      <c r="P294" s="50"/>
      <c r="Q294" s="50" t="s">
        <v>282</v>
      </c>
      <c r="R294" s="50" t="s">
        <v>301</v>
      </c>
      <c r="S294" s="50"/>
      <c r="T294" s="5"/>
      <c r="U294" s="5"/>
      <c r="V294" s="5"/>
      <c r="W294" s="5"/>
      <c r="X294" s="5"/>
      <c r="Y294" s="5"/>
      <c r="Z294" s="5"/>
      <c r="AA294" s="5"/>
      <c r="AB294" s="5"/>
      <c r="AC294" s="5"/>
      <c r="AD294" s="5"/>
      <c r="AE294" s="5"/>
      <c r="AF294" s="5"/>
    </row>
    <row r="295" spans="1:32" ht="15.75" customHeight="1">
      <c r="A295" s="352"/>
      <c r="B295" s="352"/>
      <c r="C295" s="86">
        <v>3</v>
      </c>
      <c r="D295" s="352"/>
      <c r="E295" s="181" t="s">
        <v>2945</v>
      </c>
      <c r="F295" s="86" t="s">
        <v>361</v>
      </c>
      <c r="G295" s="86" t="s">
        <v>524</v>
      </c>
      <c r="H295" s="181" t="s">
        <v>2946</v>
      </c>
      <c r="I295" s="146" t="s">
        <v>2942</v>
      </c>
      <c r="J295" s="146"/>
      <c r="K295" s="25"/>
      <c r="L295" s="57"/>
      <c r="M295" s="66"/>
      <c r="N295" s="4"/>
      <c r="O295" s="28"/>
      <c r="P295" s="50"/>
      <c r="Q295" s="50" t="s">
        <v>282</v>
      </c>
      <c r="R295" s="50" t="s">
        <v>301</v>
      </c>
      <c r="S295" s="50"/>
      <c r="T295" s="5"/>
      <c r="U295" s="5"/>
      <c r="V295" s="5"/>
      <c r="W295" s="5"/>
      <c r="X295" s="5"/>
      <c r="Y295" s="5"/>
      <c r="Z295" s="5"/>
      <c r="AA295" s="5"/>
      <c r="AB295" s="5"/>
      <c r="AC295" s="5"/>
      <c r="AD295" s="5"/>
      <c r="AE295" s="5"/>
      <c r="AF295" s="5"/>
    </row>
    <row r="296" spans="1:32" ht="15.75" customHeight="1">
      <c r="A296" s="352"/>
      <c r="B296" s="352"/>
      <c r="C296" s="86">
        <v>4</v>
      </c>
      <c r="D296" s="352"/>
      <c r="E296" s="181" t="s">
        <v>2947</v>
      </c>
      <c r="F296" s="86" t="s">
        <v>361</v>
      </c>
      <c r="G296" s="86" t="s">
        <v>524</v>
      </c>
      <c r="H296" s="181" t="s">
        <v>2948</v>
      </c>
      <c r="I296" s="146" t="s">
        <v>2942</v>
      </c>
      <c r="J296" s="146"/>
      <c r="K296" s="25"/>
      <c r="L296" s="57"/>
      <c r="M296" s="66"/>
      <c r="N296" s="4"/>
      <c r="O296" s="28"/>
      <c r="P296" s="50"/>
      <c r="Q296" s="50" t="s">
        <v>282</v>
      </c>
      <c r="R296" s="50" t="s">
        <v>301</v>
      </c>
      <c r="S296" s="50"/>
      <c r="T296" s="5"/>
      <c r="U296" s="5"/>
      <c r="V296" s="5"/>
      <c r="W296" s="5"/>
      <c r="X296" s="5"/>
      <c r="Y296" s="5"/>
      <c r="Z296" s="5"/>
      <c r="AA296" s="5"/>
      <c r="AB296" s="5"/>
      <c r="AC296" s="5"/>
      <c r="AD296" s="5"/>
      <c r="AE296" s="5"/>
      <c r="AF296" s="5"/>
    </row>
    <row r="297" spans="1:32" ht="15.75" customHeight="1">
      <c r="A297" s="352"/>
      <c r="B297" s="352"/>
      <c r="C297" s="86">
        <v>5</v>
      </c>
      <c r="D297" s="352"/>
      <c r="E297" s="181" t="s">
        <v>2949</v>
      </c>
      <c r="F297" s="86" t="s">
        <v>361</v>
      </c>
      <c r="G297" s="86" t="s">
        <v>524</v>
      </c>
      <c r="H297" s="181" t="s">
        <v>2950</v>
      </c>
      <c r="I297" s="146" t="s">
        <v>2942</v>
      </c>
      <c r="J297" s="146"/>
      <c r="K297" s="25"/>
      <c r="L297" s="57"/>
      <c r="M297" s="66"/>
      <c r="N297" s="4"/>
      <c r="O297" s="28"/>
      <c r="P297" s="50"/>
      <c r="Q297" s="50" t="s">
        <v>282</v>
      </c>
      <c r="R297" s="50" t="s">
        <v>301</v>
      </c>
      <c r="S297" s="50"/>
      <c r="T297" s="5"/>
      <c r="U297" s="5"/>
      <c r="V297" s="5"/>
      <c r="W297" s="5"/>
      <c r="X297" s="5"/>
      <c r="Y297" s="5"/>
      <c r="Z297" s="5"/>
      <c r="AA297" s="5"/>
      <c r="AB297" s="5"/>
      <c r="AC297" s="5"/>
      <c r="AD297" s="5"/>
      <c r="AE297" s="5"/>
      <c r="AF297" s="5"/>
    </row>
    <row r="298" spans="1:32" ht="15.75" customHeight="1">
      <c r="A298" s="353"/>
      <c r="B298" s="353"/>
      <c r="C298" s="86">
        <v>6</v>
      </c>
      <c r="D298" s="353"/>
      <c r="E298" s="181" t="s">
        <v>2951</v>
      </c>
      <c r="F298" s="86" t="s">
        <v>361</v>
      </c>
      <c r="G298" s="86" t="s">
        <v>524</v>
      </c>
      <c r="H298" s="181" t="s">
        <v>2952</v>
      </c>
      <c r="I298" s="146" t="s">
        <v>2942</v>
      </c>
      <c r="J298" s="146"/>
      <c r="K298" s="25"/>
      <c r="L298" s="57"/>
      <c r="M298" s="66"/>
      <c r="N298" s="4"/>
      <c r="O298" s="28"/>
      <c r="P298" s="50"/>
      <c r="Q298" s="50" t="s">
        <v>282</v>
      </c>
      <c r="R298" s="50" t="s">
        <v>301</v>
      </c>
      <c r="S298" s="50"/>
      <c r="T298" s="5"/>
      <c r="U298" s="5"/>
      <c r="V298" s="5"/>
      <c r="W298" s="5"/>
      <c r="X298" s="5"/>
      <c r="Y298" s="5"/>
      <c r="Z298" s="5"/>
      <c r="AA298" s="5"/>
      <c r="AB298" s="5"/>
      <c r="AC298" s="5"/>
      <c r="AD298" s="5"/>
      <c r="AE298" s="5"/>
      <c r="AF298" s="5"/>
    </row>
    <row r="299" spans="1:32" ht="15.75" customHeight="1">
      <c r="A299" s="351" t="s">
        <v>2953</v>
      </c>
      <c r="B299" s="354" t="s">
        <v>269</v>
      </c>
      <c r="C299" s="86">
        <v>1</v>
      </c>
      <c r="D299" s="351" t="s">
        <v>2954</v>
      </c>
      <c r="E299" s="181" t="s">
        <v>2955</v>
      </c>
      <c r="F299" s="86" t="s">
        <v>361</v>
      </c>
      <c r="G299" s="86" t="s">
        <v>524</v>
      </c>
      <c r="H299" s="181" t="s">
        <v>2956</v>
      </c>
      <c r="I299" s="80" t="s">
        <v>2957</v>
      </c>
      <c r="J299" s="84"/>
      <c r="K299" s="25"/>
      <c r="L299" s="57"/>
      <c r="M299" s="66"/>
      <c r="N299" s="4"/>
      <c r="O299" s="28"/>
      <c r="P299" s="50"/>
      <c r="Q299" s="50" t="s">
        <v>140</v>
      </c>
      <c r="R299" s="50" t="s">
        <v>301</v>
      </c>
      <c r="S299" s="50"/>
      <c r="T299" s="5"/>
      <c r="U299" s="5"/>
      <c r="V299" s="5"/>
      <c r="W299" s="5"/>
      <c r="X299" s="5"/>
      <c r="Y299" s="5"/>
      <c r="Z299" s="5"/>
      <c r="AA299" s="5"/>
      <c r="AB299" s="5"/>
      <c r="AC299" s="5"/>
      <c r="AD299" s="5"/>
      <c r="AE299" s="5"/>
      <c r="AF299" s="5"/>
    </row>
    <row r="300" spans="1:32" ht="15.75" customHeight="1">
      <c r="A300" s="352"/>
      <c r="B300" s="352"/>
      <c r="C300" s="86">
        <v>2</v>
      </c>
      <c r="D300" s="352"/>
      <c r="E300" s="181" t="s">
        <v>2958</v>
      </c>
      <c r="F300" s="86" t="s">
        <v>361</v>
      </c>
      <c r="G300" s="86" t="s">
        <v>524</v>
      </c>
      <c r="H300" s="181" t="s">
        <v>2959</v>
      </c>
      <c r="I300" s="80" t="s">
        <v>2957</v>
      </c>
      <c r="J300" s="84"/>
      <c r="K300" s="25"/>
      <c r="L300" s="57"/>
      <c r="M300" s="66"/>
      <c r="N300" s="4"/>
      <c r="O300" s="28"/>
      <c r="P300" s="50"/>
      <c r="Q300" s="50" t="s">
        <v>140</v>
      </c>
      <c r="R300" s="50" t="s">
        <v>301</v>
      </c>
      <c r="S300" s="50"/>
      <c r="T300" s="5"/>
      <c r="U300" s="5"/>
      <c r="V300" s="5"/>
      <c r="W300" s="5"/>
      <c r="X300" s="5"/>
      <c r="Y300" s="5"/>
      <c r="Z300" s="5"/>
      <c r="AA300" s="5"/>
      <c r="AB300" s="5"/>
      <c r="AC300" s="5"/>
      <c r="AD300" s="5"/>
      <c r="AE300" s="5"/>
      <c r="AF300" s="5"/>
    </row>
    <row r="301" spans="1:32" ht="15.75" customHeight="1">
      <c r="A301" s="352"/>
      <c r="B301" s="352"/>
      <c r="C301" s="86">
        <v>3</v>
      </c>
      <c r="D301" s="352"/>
      <c r="E301" s="181" t="s">
        <v>2960</v>
      </c>
      <c r="F301" s="86"/>
      <c r="G301" s="86"/>
      <c r="H301" s="181" t="s">
        <v>2961</v>
      </c>
      <c r="I301" s="80" t="s">
        <v>2957</v>
      </c>
      <c r="J301" s="84"/>
      <c r="K301" s="25"/>
      <c r="L301" s="57"/>
      <c r="M301" s="66"/>
      <c r="N301" s="4"/>
      <c r="O301" s="28"/>
      <c r="P301" s="50"/>
      <c r="Q301" s="89" t="s">
        <v>393</v>
      </c>
      <c r="R301" s="50" t="s">
        <v>301</v>
      </c>
      <c r="S301" s="50"/>
      <c r="T301" s="5"/>
      <c r="U301" s="5"/>
      <c r="V301" s="5"/>
      <c r="W301" s="5"/>
      <c r="X301" s="5"/>
      <c r="Y301" s="5"/>
      <c r="Z301" s="5"/>
      <c r="AA301" s="5"/>
      <c r="AB301" s="5"/>
      <c r="AC301" s="5"/>
      <c r="AD301" s="5"/>
      <c r="AE301" s="5"/>
      <c r="AF301" s="5"/>
    </row>
    <row r="302" spans="1:32" ht="56.25" customHeight="1">
      <c r="A302" s="353"/>
      <c r="B302" s="353"/>
      <c r="C302" s="86">
        <v>4</v>
      </c>
      <c r="D302" s="353"/>
      <c r="E302" s="181" t="s">
        <v>2962</v>
      </c>
      <c r="F302" s="86" t="s">
        <v>361</v>
      </c>
      <c r="G302" s="86" t="s">
        <v>524</v>
      </c>
      <c r="H302" s="181" t="s">
        <v>2963</v>
      </c>
      <c r="I302" s="146" t="s">
        <v>2957</v>
      </c>
      <c r="J302" s="146"/>
      <c r="K302" s="25"/>
      <c r="L302" s="57"/>
      <c r="M302" s="66"/>
      <c r="N302" s="4"/>
      <c r="O302" s="28"/>
      <c r="P302" s="50"/>
      <c r="Q302" s="50" t="s">
        <v>140</v>
      </c>
      <c r="R302" s="50" t="s">
        <v>301</v>
      </c>
      <c r="S302" s="50"/>
      <c r="T302" s="5"/>
      <c r="U302" s="5"/>
      <c r="V302" s="5"/>
      <c r="W302" s="5"/>
      <c r="X302" s="5"/>
      <c r="Y302" s="5"/>
      <c r="Z302" s="5"/>
      <c r="AA302" s="5"/>
      <c r="AB302" s="5"/>
      <c r="AC302" s="5"/>
      <c r="AD302" s="5"/>
      <c r="AE302" s="5"/>
      <c r="AF302" s="5"/>
    </row>
    <row r="303" spans="1:32" ht="15.75" customHeight="1">
      <c r="A303" s="351" t="s">
        <v>2964</v>
      </c>
      <c r="B303" s="354" t="s">
        <v>230</v>
      </c>
      <c r="C303" s="86">
        <v>1</v>
      </c>
      <c r="D303" s="351" t="s">
        <v>2965</v>
      </c>
      <c r="E303" s="351" t="s">
        <v>2966</v>
      </c>
      <c r="F303" s="354" t="s">
        <v>361</v>
      </c>
      <c r="G303" s="86" t="s">
        <v>327</v>
      </c>
      <c r="H303" s="175" t="s">
        <v>2967</v>
      </c>
      <c r="I303" s="35" t="s">
        <v>2968</v>
      </c>
      <c r="J303" s="172"/>
      <c r="K303" s="25"/>
      <c r="L303" s="57"/>
      <c r="M303" s="121"/>
      <c r="N303" s="122"/>
      <c r="O303" s="28"/>
      <c r="P303" s="25"/>
      <c r="Q303" s="50" t="s">
        <v>140</v>
      </c>
      <c r="R303" s="25" t="s">
        <v>303</v>
      </c>
      <c r="S303" s="50"/>
      <c r="T303" s="65"/>
      <c r="U303" s="65"/>
      <c r="V303" s="65"/>
      <c r="W303" s="65"/>
      <c r="X303" s="65"/>
      <c r="Y303" s="65"/>
      <c r="Z303" s="65"/>
      <c r="AA303" s="65"/>
      <c r="AB303" s="65"/>
      <c r="AC303" s="65"/>
      <c r="AD303" s="65"/>
      <c r="AE303" s="65"/>
      <c r="AF303" s="65"/>
    </row>
    <row r="304" spans="1:32" ht="15.75" customHeight="1">
      <c r="A304" s="352"/>
      <c r="B304" s="352"/>
      <c r="C304" s="86">
        <v>2</v>
      </c>
      <c r="D304" s="352"/>
      <c r="E304" s="353"/>
      <c r="F304" s="353"/>
      <c r="G304" s="86" t="s">
        <v>524</v>
      </c>
      <c r="H304" s="175" t="s">
        <v>2969</v>
      </c>
      <c r="I304" s="35" t="s">
        <v>2970</v>
      </c>
      <c r="J304" s="172"/>
      <c r="K304" s="25"/>
      <c r="L304" s="57"/>
      <c r="M304" s="121"/>
      <c r="N304" s="122"/>
      <c r="O304" s="28"/>
      <c r="P304" s="25"/>
      <c r="Q304" s="50" t="s">
        <v>140</v>
      </c>
      <c r="R304" s="25" t="s">
        <v>303</v>
      </c>
      <c r="S304" s="50"/>
      <c r="T304" s="65"/>
      <c r="U304" s="65"/>
      <c r="V304" s="65"/>
      <c r="W304" s="65"/>
      <c r="X304" s="65"/>
      <c r="Y304" s="65"/>
      <c r="Z304" s="65"/>
      <c r="AA304" s="65"/>
      <c r="AB304" s="65"/>
      <c r="AC304" s="65"/>
      <c r="AD304" s="65"/>
      <c r="AE304" s="65"/>
      <c r="AF304" s="65"/>
    </row>
    <row r="305" spans="1:32" ht="15.75" customHeight="1">
      <c r="A305" s="352"/>
      <c r="B305" s="352"/>
      <c r="C305" s="86">
        <v>3</v>
      </c>
      <c r="D305" s="352"/>
      <c r="E305" s="351" t="s">
        <v>2971</v>
      </c>
      <c r="F305" s="354"/>
      <c r="G305" s="86" t="s">
        <v>327</v>
      </c>
      <c r="H305" s="175" t="s">
        <v>2972</v>
      </c>
      <c r="I305" s="35" t="s">
        <v>2968</v>
      </c>
      <c r="J305" s="172"/>
      <c r="K305" s="25"/>
      <c r="L305" s="57"/>
      <c r="M305" s="121"/>
      <c r="N305" s="122"/>
      <c r="O305" s="28"/>
      <c r="P305" s="25"/>
      <c r="Q305" s="50" t="s">
        <v>140</v>
      </c>
      <c r="R305" s="25" t="s">
        <v>303</v>
      </c>
      <c r="S305" s="50"/>
      <c r="T305" s="65"/>
      <c r="U305" s="65"/>
      <c r="V305" s="65"/>
      <c r="W305" s="65"/>
      <c r="X305" s="65"/>
      <c r="Y305" s="65"/>
      <c r="Z305" s="65"/>
      <c r="AA305" s="65"/>
      <c r="AB305" s="65"/>
      <c r="AC305" s="65"/>
      <c r="AD305" s="65"/>
      <c r="AE305" s="65"/>
      <c r="AF305" s="65"/>
    </row>
    <row r="306" spans="1:32" ht="15.75" customHeight="1">
      <c r="A306" s="352"/>
      <c r="B306" s="352"/>
      <c r="C306" s="86">
        <v>4</v>
      </c>
      <c r="D306" s="352"/>
      <c r="E306" s="353"/>
      <c r="F306" s="353"/>
      <c r="G306" s="86" t="s">
        <v>524</v>
      </c>
      <c r="H306" s="175" t="s">
        <v>2969</v>
      </c>
      <c r="I306" s="35" t="s">
        <v>2970</v>
      </c>
      <c r="J306" s="172"/>
      <c r="K306" s="25"/>
      <c r="L306" s="57"/>
      <c r="M306" s="121"/>
      <c r="N306" s="122"/>
      <c r="O306" s="28"/>
      <c r="P306" s="25"/>
      <c r="Q306" s="50" t="s">
        <v>140</v>
      </c>
      <c r="R306" s="25" t="s">
        <v>303</v>
      </c>
      <c r="S306" s="50"/>
      <c r="T306" s="65"/>
      <c r="U306" s="65"/>
      <c r="V306" s="65"/>
      <c r="W306" s="65"/>
      <c r="X306" s="65"/>
      <c r="Y306" s="65"/>
      <c r="Z306" s="65"/>
      <c r="AA306" s="65"/>
      <c r="AB306" s="65"/>
      <c r="AC306" s="65"/>
      <c r="AD306" s="65"/>
      <c r="AE306" s="65"/>
      <c r="AF306" s="65"/>
    </row>
    <row r="307" spans="1:32" ht="15.75" customHeight="1">
      <c r="A307" s="352"/>
      <c r="B307" s="352"/>
      <c r="C307" s="86">
        <v>5</v>
      </c>
      <c r="D307" s="352"/>
      <c r="E307" s="351" t="s">
        <v>2973</v>
      </c>
      <c r="F307" s="354" t="s">
        <v>361</v>
      </c>
      <c r="G307" s="86" t="s">
        <v>327</v>
      </c>
      <c r="H307" s="52" t="s">
        <v>2974</v>
      </c>
      <c r="I307" s="35" t="s">
        <v>2968</v>
      </c>
      <c r="J307" s="172"/>
      <c r="K307" s="25"/>
      <c r="L307" s="57"/>
      <c r="M307" s="121"/>
      <c r="N307" s="122"/>
      <c r="O307" s="28"/>
      <c r="P307" s="25"/>
      <c r="Q307" s="50" t="s">
        <v>140</v>
      </c>
      <c r="R307" s="25" t="s">
        <v>303</v>
      </c>
      <c r="S307" s="50"/>
      <c r="T307" s="65"/>
      <c r="U307" s="65"/>
      <c r="V307" s="65"/>
      <c r="W307" s="65"/>
      <c r="X307" s="65"/>
      <c r="Y307" s="65"/>
      <c r="Z307" s="65"/>
      <c r="AA307" s="65"/>
      <c r="AB307" s="65"/>
      <c r="AC307" s="65"/>
      <c r="AD307" s="65"/>
      <c r="AE307" s="65"/>
      <c r="AF307" s="65"/>
    </row>
    <row r="308" spans="1:32" ht="15.75" customHeight="1">
      <c r="A308" s="352"/>
      <c r="B308" s="352"/>
      <c r="C308" s="86">
        <v>6</v>
      </c>
      <c r="D308" s="352"/>
      <c r="E308" s="353"/>
      <c r="F308" s="353"/>
      <c r="G308" s="86" t="s">
        <v>524</v>
      </c>
      <c r="H308" s="175" t="s">
        <v>2969</v>
      </c>
      <c r="I308" s="35" t="s">
        <v>2975</v>
      </c>
      <c r="J308" s="172"/>
      <c r="K308" s="25"/>
      <c r="L308" s="57"/>
      <c r="M308" s="121"/>
      <c r="N308" s="122"/>
      <c r="O308" s="28"/>
      <c r="P308" s="25"/>
      <c r="Q308" s="50" t="s">
        <v>140</v>
      </c>
      <c r="R308" s="25" t="s">
        <v>303</v>
      </c>
      <c r="S308" s="50"/>
      <c r="T308" s="65"/>
      <c r="U308" s="65"/>
      <c r="V308" s="65"/>
      <c r="W308" s="65"/>
      <c r="X308" s="65"/>
      <c r="Y308" s="65"/>
      <c r="Z308" s="65"/>
      <c r="AA308" s="65"/>
      <c r="AB308" s="65"/>
      <c r="AC308" s="65"/>
      <c r="AD308" s="65"/>
      <c r="AE308" s="65"/>
      <c r="AF308" s="65"/>
    </row>
    <row r="309" spans="1:32" ht="15.75" customHeight="1">
      <c r="A309" s="352"/>
      <c r="B309" s="352"/>
      <c r="C309" s="86">
        <v>7</v>
      </c>
      <c r="D309" s="352"/>
      <c r="E309" s="351" t="s">
        <v>2976</v>
      </c>
      <c r="F309" s="354" t="s">
        <v>361</v>
      </c>
      <c r="G309" s="86" t="s">
        <v>327</v>
      </c>
      <c r="H309" s="175" t="s">
        <v>2977</v>
      </c>
      <c r="I309" s="35" t="s">
        <v>2968</v>
      </c>
      <c r="J309" s="172"/>
      <c r="K309" s="25"/>
      <c r="L309" s="57"/>
      <c r="M309" s="121"/>
      <c r="N309" s="122"/>
      <c r="O309" s="28"/>
      <c r="P309" s="25"/>
      <c r="Q309" s="50" t="s">
        <v>140</v>
      </c>
      <c r="R309" s="25" t="s">
        <v>303</v>
      </c>
      <c r="S309" s="50"/>
      <c r="T309" s="65"/>
      <c r="U309" s="65"/>
      <c r="V309" s="65"/>
      <c r="W309" s="65"/>
      <c r="X309" s="65"/>
      <c r="Y309" s="65"/>
      <c r="Z309" s="65"/>
      <c r="AA309" s="65"/>
      <c r="AB309" s="65"/>
      <c r="AC309" s="65"/>
      <c r="AD309" s="65"/>
      <c r="AE309" s="65"/>
      <c r="AF309" s="65"/>
    </row>
    <row r="310" spans="1:32" ht="15.75" customHeight="1">
      <c r="A310" s="352"/>
      <c r="B310" s="352"/>
      <c r="C310" s="86">
        <v>8</v>
      </c>
      <c r="D310" s="352"/>
      <c r="E310" s="353"/>
      <c r="F310" s="353"/>
      <c r="G310" s="86" t="s">
        <v>524</v>
      </c>
      <c r="H310" s="175" t="s">
        <v>2969</v>
      </c>
      <c r="I310" s="35" t="s">
        <v>2978</v>
      </c>
      <c r="J310" s="172"/>
      <c r="K310" s="25"/>
      <c r="L310" s="57"/>
      <c r="M310" s="121"/>
      <c r="N310" s="122"/>
      <c r="O310" s="28"/>
      <c r="P310" s="25"/>
      <c r="Q310" s="50" t="s">
        <v>140</v>
      </c>
      <c r="R310" s="25" t="s">
        <v>303</v>
      </c>
      <c r="S310" s="50"/>
      <c r="T310" s="65"/>
      <c r="U310" s="65"/>
      <c r="V310" s="65"/>
      <c r="W310" s="65"/>
      <c r="X310" s="65"/>
      <c r="Y310" s="65"/>
      <c r="Z310" s="65"/>
      <c r="AA310" s="65"/>
      <c r="AB310" s="65"/>
      <c r="AC310" s="65"/>
      <c r="AD310" s="65"/>
      <c r="AE310" s="65"/>
      <c r="AF310" s="65"/>
    </row>
    <row r="311" spans="1:32" ht="15.75" customHeight="1">
      <c r="A311" s="352"/>
      <c r="B311" s="352"/>
      <c r="C311" s="86">
        <v>9</v>
      </c>
      <c r="D311" s="352"/>
      <c r="E311" s="351" t="s">
        <v>2979</v>
      </c>
      <c r="F311" s="354" t="s">
        <v>361</v>
      </c>
      <c r="G311" s="86" t="s">
        <v>327</v>
      </c>
      <c r="H311" s="175" t="s">
        <v>2980</v>
      </c>
      <c r="I311" s="35" t="s">
        <v>2968</v>
      </c>
      <c r="J311" s="172"/>
      <c r="K311" s="25"/>
      <c r="L311" s="57"/>
      <c r="M311" s="121"/>
      <c r="N311" s="122"/>
      <c r="O311" s="28"/>
      <c r="P311" s="25"/>
      <c r="Q311" s="50" t="s">
        <v>140</v>
      </c>
      <c r="R311" s="25" t="s">
        <v>303</v>
      </c>
      <c r="S311" s="50"/>
      <c r="T311" s="65"/>
      <c r="U311" s="65"/>
      <c r="V311" s="65"/>
      <c r="W311" s="65"/>
      <c r="X311" s="65"/>
      <c r="Y311" s="65"/>
      <c r="Z311" s="65"/>
      <c r="AA311" s="65"/>
      <c r="AB311" s="65"/>
      <c r="AC311" s="65"/>
      <c r="AD311" s="65"/>
      <c r="AE311" s="65"/>
      <c r="AF311" s="65"/>
    </row>
    <row r="312" spans="1:32" ht="15.75" customHeight="1">
      <c r="A312" s="352"/>
      <c r="B312" s="352"/>
      <c r="C312" s="86">
        <v>10</v>
      </c>
      <c r="D312" s="352"/>
      <c r="E312" s="353"/>
      <c r="F312" s="353"/>
      <c r="G312" s="86" t="s">
        <v>524</v>
      </c>
      <c r="H312" s="175" t="s">
        <v>2969</v>
      </c>
      <c r="I312" s="35" t="s">
        <v>2981</v>
      </c>
      <c r="J312" s="172"/>
      <c r="K312" s="25"/>
      <c r="L312" s="57"/>
      <c r="M312" s="121"/>
      <c r="N312" s="122"/>
      <c r="O312" s="28"/>
      <c r="P312" s="25"/>
      <c r="Q312" s="50" t="s">
        <v>140</v>
      </c>
      <c r="R312" s="25" t="s">
        <v>303</v>
      </c>
      <c r="S312" s="50"/>
      <c r="T312" s="65"/>
      <c r="U312" s="65"/>
      <c r="V312" s="65"/>
      <c r="W312" s="65"/>
      <c r="X312" s="65"/>
      <c r="Y312" s="65"/>
      <c r="Z312" s="65"/>
      <c r="AA312" s="65"/>
      <c r="AB312" s="65"/>
      <c r="AC312" s="65"/>
      <c r="AD312" s="65"/>
      <c r="AE312" s="65"/>
      <c r="AF312" s="65"/>
    </row>
    <row r="313" spans="1:32" ht="15.75" customHeight="1">
      <c r="A313" s="352"/>
      <c r="B313" s="352"/>
      <c r="C313" s="86">
        <v>11</v>
      </c>
      <c r="D313" s="352"/>
      <c r="E313" s="351" t="s">
        <v>2982</v>
      </c>
      <c r="F313" s="354" t="s">
        <v>361</v>
      </c>
      <c r="G313" s="86" t="s">
        <v>327</v>
      </c>
      <c r="H313" s="175" t="s">
        <v>2983</v>
      </c>
      <c r="I313" s="35" t="s">
        <v>2968</v>
      </c>
      <c r="J313" s="172"/>
      <c r="K313" s="25"/>
      <c r="L313" s="57"/>
      <c r="M313" s="121"/>
      <c r="N313" s="122"/>
      <c r="O313" s="28"/>
      <c r="P313" s="25"/>
      <c r="Q313" s="50" t="s">
        <v>140</v>
      </c>
      <c r="R313" s="25" t="s">
        <v>303</v>
      </c>
      <c r="S313" s="50"/>
      <c r="T313" s="65"/>
      <c r="U313" s="65"/>
      <c r="V313" s="65"/>
      <c r="W313" s="65"/>
      <c r="X313" s="65"/>
      <c r="Y313" s="65"/>
      <c r="Z313" s="65"/>
      <c r="AA313" s="65"/>
      <c r="AB313" s="65"/>
      <c r="AC313" s="65"/>
      <c r="AD313" s="65"/>
      <c r="AE313" s="65"/>
      <c r="AF313" s="65"/>
    </row>
    <row r="314" spans="1:32" ht="15.75" customHeight="1">
      <c r="A314" s="352"/>
      <c r="B314" s="352"/>
      <c r="C314" s="86">
        <v>12</v>
      </c>
      <c r="D314" s="352"/>
      <c r="E314" s="353"/>
      <c r="F314" s="353"/>
      <c r="G314" s="86" t="s">
        <v>524</v>
      </c>
      <c r="H314" s="175" t="s">
        <v>2969</v>
      </c>
      <c r="I314" s="35" t="s">
        <v>2975</v>
      </c>
      <c r="J314" s="172"/>
      <c r="K314" s="25"/>
      <c r="L314" s="57"/>
      <c r="M314" s="121"/>
      <c r="N314" s="122"/>
      <c r="O314" s="28"/>
      <c r="P314" s="25"/>
      <c r="Q314" s="50" t="s">
        <v>140</v>
      </c>
      <c r="R314" s="25" t="s">
        <v>303</v>
      </c>
      <c r="S314" s="50"/>
      <c r="T314" s="65"/>
      <c r="U314" s="65"/>
      <c r="V314" s="65"/>
      <c r="W314" s="65"/>
      <c r="X314" s="65"/>
      <c r="Y314" s="65"/>
      <c r="Z314" s="65"/>
      <c r="AA314" s="65"/>
      <c r="AB314" s="65"/>
      <c r="AC314" s="65"/>
      <c r="AD314" s="65"/>
      <c r="AE314" s="65"/>
      <c r="AF314" s="65"/>
    </row>
    <row r="315" spans="1:32" ht="15.75" customHeight="1">
      <c r="A315" s="352"/>
      <c r="B315" s="352"/>
      <c r="C315" s="86">
        <v>13</v>
      </c>
      <c r="D315" s="352"/>
      <c r="E315" s="351" t="s">
        <v>2984</v>
      </c>
      <c r="F315" s="354" t="s">
        <v>361</v>
      </c>
      <c r="G315" s="86" t="s">
        <v>327</v>
      </c>
      <c r="H315" s="175" t="s">
        <v>2985</v>
      </c>
      <c r="I315" s="35" t="s">
        <v>2968</v>
      </c>
      <c r="J315" s="172"/>
      <c r="K315" s="25"/>
      <c r="L315" s="57"/>
      <c r="M315" s="121"/>
      <c r="N315" s="122"/>
      <c r="O315" s="28"/>
      <c r="P315" s="25"/>
      <c r="Q315" s="50" t="s">
        <v>140</v>
      </c>
      <c r="R315" s="25" t="s">
        <v>303</v>
      </c>
      <c r="S315" s="50"/>
      <c r="T315" s="65"/>
      <c r="U315" s="65"/>
      <c r="V315" s="65"/>
      <c r="W315" s="65"/>
      <c r="X315" s="65"/>
      <c r="Y315" s="65"/>
      <c r="Z315" s="65"/>
      <c r="AA315" s="65"/>
      <c r="AB315" s="65"/>
      <c r="AC315" s="65"/>
      <c r="AD315" s="65"/>
      <c r="AE315" s="65"/>
      <c r="AF315" s="65"/>
    </row>
    <row r="316" spans="1:32" ht="15.75" customHeight="1">
      <c r="A316" s="352"/>
      <c r="B316" s="352"/>
      <c r="C316" s="86">
        <v>14</v>
      </c>
      <c r="D316" s="352"/>
      <c r="E316" s="353"/>
      <c r="F316" s="353"/>
      <c r="G316" s="86" t="s">
        <v>524</v>
      </c>
      <c r="H316" s="175" t="s">
        <v>2969</v>
      </c>
      <c r="I316" s="35" t="s">
        <v>2978</v>
      </c>
      <c r="J316" s="172"/>
      <c r="K316" s="25"/>
      <c r="L316" s="57"/>
      <c r="M316" s="121"/>
      <c r="N316" s="122"/>
      <c r="O316" s="28"/>
      <c r="P316" s="25"/>
      <c r="Q316" s="50" t="s">
        <v>140</v>
      </c>
      <c r="R316" s="25" t="s">
        <v>303</v>
      </c>
      <c r="S316" s="50"/>
      <c r="T316" s="65"/>
      <c r="U316" s="65"/>
      <c r="V316" s="65"/>
      <c r="W316" s="65"/>
      <c r="X316" s="65"/>
      <c r="Y316" s="65"/>
      <c r="Z316" s="65"/>
      <c r="AA316" s="65"/>
      <c r="AB316" s="65"/>
      <c r="AC316" s="65"/>
      <c r="AD316" s="65"/>
      <c r="AE316" s="65"/>
      <c r="AF316" s="65"/>
    </row>
    <row r="317" spans="1:32" ht="15.75" customHeight="1">
      <c r="A317" s="352"/>
      <c r="B317" s="352"/>
      <c r="C317" s="86">
        <v>15</v>
      </c>
      <c r="D317" s="352"/>
      <c r="E317" s="351" t="s">
        <v>2986</v>
      </c>
      <c r="F317" s="354" t="s">
        <v>361</v>
      </c>
      <c r="G317" s="86" t="s">
        <v>327</v>
      </c>
      <c r="H317" s="175" t="s">
        <v>2987</v>
      </c>
      <c r="I317" s="35" t="s">
        <v>2968</v>
      </c>
      <c r="J317" s="172"/>
      <c r="K317" s="25"/>
      <c r="L317" s="57"/>
      <c r="M317" s="121"/>
      <c r="N317" s="122"/>
      <c r="O317" s="28"/>
      <c r="P317" s="25"/>
      <c r="Q317" s="50" t="s">
        <v>140</v>
      </c>
      <c r="R317" s="25" t="s">
        <v>303</v>
      </c>
      <c r="S317" s="50"/>
      <c r="T317" s="65"/>
      <c r="U317" s="65"/>
      <c r="V317" s="65"/>
      <c r="W317" s="65"/>
      <c r="X317" s="65"/>
      <c r="Y317" s="65"/>
      <c r="Z317" s="65"/>
      <c r="AA317" s="65"/>
      <c r="AB317" s="65"/>
      <c r="AC317" s="65"/>
      <c r="AD317" s="65"/>
      <c r="AE317" s="65"/>
      <c r="AF317" s="65"/>
    </row>
    <row r="318" spans="1:32" ht="15.75" customHeight="1">
      <c r="A318" s="352"/>
      <c r="B318" s="352"/>
      <c r="C318" s="86">
        <v>16</v>
      </c>
      <c r="D318" s="352"/>
      <c r="E318" s="353"/>
      <c r="F318" s="353"/>
      <c r="G318" s="86" t="s">
        <v>524</v>
      </c>
      <c r="H318" s="175" t="s">
        <v>2969</v>
      </c>
      <c r="I318" s="35" t="s">
        <v>2975</v>
      </c>
      <c r="J318" s="172"/>
      <c r="K318" s="25"/>
      <c r="L318" s="57"/>
      <c r="M318" s="121"/>
      <c r="N318" s="122"/>
      <c r="O318" s="28"/>
      <c r="P318" s="25"/>
      <c r="Q318" s="50" t="s">
        <v>140</v>
      </c>
      <c r="R318" s="25" t="s">
        <v>303</v>
      </c>
      <c r="S318" s="50"/>
      <c r="T318" s="65"/>
      <c r="U318" s="65"/>
      <c r="V318" s="65"/>
      <c r="W318" s="65"/>
      <c r="X318" s="65"/>
      <c r="Y318" s="65"/>
      <c r="Z318" s="65"/>
      <c r="AA318" s="65"/>
      <c r="AB318" s="65"/>
      <c r="AC318" s="65"/>
      <c r="AD318" s="65"/>
      <c r="AE318" s="65"/>
      <c r="AF318" s="65"/>
    </row>
    <row r="319" spans="1:32" ht="117" customHeight="1">
      <c r="A319" s="352"/>
      <c r="B319" s="352"/>
      <c r="C319" s="86">
        <v>17</v>
      </c>
      <c r="D319" s="352"/>
      <c r="E319" s="351" t="s">
        <v>2988</v>
      </c>
      <c r="F319" s="354" t="s">
        <v>361</v>
      </c>
      <c r="G319" s="86" t="s">
        <v>327</v>
      </c>
      <c r="H319" s="175" t="s">
        <v>2989</v>
      </c>
      <c r="I319" s="35" t="s">
        <v>2968</v>
      </c>
      <c r="J319" s="172"/>
      <c r="K319" s="25"/>
      <c r="L319" s="57"/>
      <c r="M319" s="121"/>
      <c r="N319" s="122"/>
      <c r="O319" s="28"/>
      <c r="P319" s="25"/>
      <c r="Q319" s="50" t="s">
        <v>140</v>
      </c>
      <c r="R319" s="25" t="s">
        <v>303</v>
      </c>
      <c r="S319" s="50"/>
      <c r="T319" s="65"/>
      <c r="U319" s="65"/>
      <c r="V319" s="65"/>
      <c r="W319" s="65"/>
      <c r="X319" s="65"/>
      <c r="Y319" s="65"/>
      <c r="Z319" s="65"/>
      <c r="AA319" s="65"/>
      <c r="AB319" s="65"/>
      <c r="AC319" s="65"/>
      <c r="AD319" s="65"/>
      <c r="AE319" s="65"/>
      <c r="AF319" s="65"/>
    </row>
    <row r="320" spans="1:32" ht="68.25" customHeight="1">
      <c r="A320" s="352"/>
      <c r="B320" s="352"/>
      <c r="C320" s="86">
        <v>18</v>
      </c>
      <c r="D320" s="352"/>
      <c r="E320" s="353"/>
      <c r="F320" s="353"/>
      <c r="G320" s="86" t="s">
        <v>524</v>
      </c>
      <c r="H320" s="175" t="s">
        <v>2969</v>
      </c>
      <c r="I320" s="35" t="s">
        <v>2978</v>
      </c>
      <c r="J320" s="172"/>
      <c r="K320" s="25"/>
      <c r="L320" s="57"/>
      <c r="M320" s="121"/>
      <c r="N320" s="122"/>
      <c r="O320" s="28"/>
      <c r="P320" s="25"/>
      <c r="Q320" s="50" t="s">
        <v>140</v>
      </c>
      <c r="R320" s="25" t="s">
        <v>303</v>
      </c>
      <c r="S320" s="50"/>
      <c r="T320" s="65"/>
      <c r="U320" s="65"/>
      <c r="V320" s="65"/>
      <c r="W320" s="65"/>
      <c r="X320" s="65"/>
      <c r="Y320" s="65"/>
      <c r="Z320" s="65"/>
      <c r="AA320" s="65"/>
      <c r="AB320" s="65"/>
      <c r="AC320" s="65"/>
      <c r="AD320" s="65"/>
      <c r="AE320" s="65"/>
      <c r="AF320" s="65"/>
    </row>
    <row r="321" spans="1:32" ht="105.75" customHeight="1">
      <c r="A321" s="352"/>
      <c r="B321" s="352"/>
      <c r="C321" s="86">
        <v>19</v>
      </c>
      <c r="D321" s="352"/>
      <c r="E321" s="351" t="s">
        <v>2990</v>
      </c>
      <c r="F321" s="354" t="s">
        <v>361</v>
      </c>
      <c r="G321" s="86" t="s">
        <v>327</v>
      </c>
      <c r="H321" s="52" t="s">
        <v>2991</v>
      </c>
      <c r="I321" s="35" t="s">
        <v>2968</v>
      </c>
      <c r="J321" s="172"/>
      <c r="K321" s="25"/>
      <c r="L321" s="57"/>
      <c r="M321" s="121"/>
      <c r="N321" s="122"/>
      <c r="O321" s="28"/>
      <c r="P321" s="25"/>
      <c r="Q321" s="89" t="s">
        <v>393</v>
      </c>
      <c r="R321" s="25" t="s">
        <v>303</v>
      </c>
      <c r="S321" s="50"/>
      <c r="T321" s="65"/>
      <c r="U321" s="65"/>
      <c r="V321" s="65"/>
      <c r="W321" s="65"/>
      <c r="X321" s="65"/>
      <c r="Y321" s="65"/>
      <c r="Z321" s="65"/>
      <c r="AA321" s="65"/>
      <c r="AB321" s="65"/>
      <c r="AC321" s="65"/>
      <c r="AD321" s="65"/>
      <c r="AE321" s="65"/>
      <c r="AF321" s="65"/>
    </row>
    <row r="322" spans="1:32" ht="105.75" customHeight="1">
      <c r="A322" s="352"/>
      <c r="B322" s="352"/>
      <c r="C322" s="86">
        <v>20</v>
      </c>
      <c r="D322" s="352"/>
      <c r="E322" s="353"/>
      <c r="F322" s="353"/>
      <c r="G322" s="86" t="s">
        <v>524</v>
      </c>
      <c r="H322" s="175" t="s">
        <v>2969</v>
      </c>
      <c r="I322" s="35" t="s">
        <v>2992</v>
      </c>
      <c r="J322" s="172"/>
      <c r="K322" s="25"/>
      <c r="L322" s="57"/>
      <c r="M322" s="121"/>
      <c r="N322" s="122"/>
      <c r="O322" s="28"/>
      <c r="P322" s="25"/>
      <c r="Q322" s="89" t="s">
        <v>393</v>
      </c>
      <c r="R322" s="25" t="s">
        <v>303</v>
      </c>
      <c r="S322" s="50"/>
      <c r="T322" s="65"/>
      <c r="U322" s="65"/>
      <c r="V322" s="65"/>
      <c r="W322" s="65"/>
      <c r="X322" s="65"/>
      <c r="Y322" s="65"/>
      <c r="Z322" s="65"/>
      <c r="AA322" s="65"/>
      <c r="AB322" s="65"/>
      <c r="AC322" s="65"/>
      <c r="AD322" s="65"/>
      <c r="AE322" s="65"/>
      <c r="AF322" s="65"/>
    </row>
    <row r="323" spans="1:32" ht="105.75" customHeight="1">
      <c r="A323" s="352"/>
      <c r="B323" s="352"/>
      <c r="C323" s="86">
        <v>21</v>
      </c>
      <c r="D323" s="352"/>
      <c r="E323" s="351" t="s">
        <v>2993</v>
      </c>
      <c r="F323" s="354" t="s">
        <v>361</v>
      </c>
      <c r="G323" s="86" t="s">
        <v>327</v>
      </c>
      <c r="H323" s="52" t="s">
        <v>2994</v>
      </c>
      <c r="I323" s="35" t="s">
        <v>2968</v>
      </c>
      <c r="J323" s="172"/>
      <c r="K323" s="25"/>
      <c r="L323" s="57"/>
      <c r="M323" s="121"/>
      <c r="N323" s="122"/>
      <c r="O323" s="28"/>
      <c r="P323" s="25"/>
      <c r="Q323" s="50" t="s">
        <v>140</v>
      </c>
      <c r="R323" s="25" t="s">
        <v>303</v>
      </c>
      <c r="S323" s="50"/>
      <c r="T323" s="65"/>
      <c r="U323" s="65"/>
      <c r="V323" s="65"/>
      <c r="W323" s="65"/>
      <c r="X323" s="65"/>
      <c r="Y323" s="65"/>
      <c r="Z323" s="65"/>
      <c r="AA323" s="65"/>
      <c r="AB323" s="65"/>
      <c r="AC323" s="65"/>
      <c r="AD323" s="65"/>
      <c r="AE323" s="65"/>
      <c r="AF323" s="65"/>
    </row>
    <row r="324" spans="1:32" ht="75" customHeight="1">
      <c r="A324" s="352"/>
      <c r="B324" s="352"/>
      <c r="C324" s="86">
        <v>22</v>
      </c>
      <c r="D324" s="353"/>
      <c r="E324" s="353"/>
      <c r="F324" s="353"/>
      <c r="G324" s="86" t="s">
        <v>524</v>
      </c>
      <c r="H324" s="175" t="s">
        <v>2969</v>
      </c>
      <c r="I324" s="35" t="s">
        <v>2995</v>
      </c>
      <c r="J324" s="172"/>
      <c r="K324" s="25"/>
      <c r="L324" s="57"/>
      <c r="M324" s="121"/>
      <c r="N324" s="122"/>
      <c r="O324" s="28"/>
      <c r="P324" s="25"/>
      <c r="Q324" s="50" t="s">
        <v>140</v>
      </c>
      <c r="R324" s="25" t="s">
        <v>303</v>
      </c>
      <c r="S324" s="50"/>
      <c r="T324" s="65"/>
      <c r="U324" s="65"/>
      <c r="V324" s="65"/>
      <c r="W324" s="65"/>
      <c r="X324" s="65"/>
      <c r="Y324" s="65"/>
      <c r="Z324" s="65"/>
      <c r="AA324" s="65"/>
      <c r="AB324" s="65"/>
      <c r="AC324" s="65"/>
      <c r="AD324" s="65"/>
      <c r="AE324" s="65"/>
      <c r="AF324" s="65"/>
    </row>
    <row r="325" spans="1:32" ht="75" customHeight="1">
      <c r="A325" s="352"/>
      <c r="B325" s="352"/>
      <c r="C325" s="86">
        <v>1</v>
      </c>
      <c r="D325" s="351" t="s">
        <v>2996</v>
      </c>
      <c r="E325" s="351" t="s">
        <v>2966</v>
      </c>
      <c r="F325" s="354" t="s">
        <v>361</v>
      </c>
      <c r="G325" s="86" t="s">
        <v>327</v>
      </c>
      <c r="H325" s="175" t="s">
        <v>2967</v>
      </c>
      <c r="I325" s="35" t="s">
        <v>2968</v>
      </c>
      <c r="J325" s="172"/>
      <c r="K325" s="25"/>
      <c r="L325" s="57"/>
      <c r="M325" s="151"/>
      <c r="N325" s="122"/>
      <c r="O325" s="28"/>
      <c r="P325" s="25"/>
      <c r="Q325" s="50" t="s">
        <v>140</v>
      </c>
      <c r="R325" s="25" t="s">
        <v>303</v>
      </c>
      <c r="S325" s="50"/>
      <c r="T325" s="65"/>
      <c r="U325" s="65"/>
      <c r="V325" s="65"/>
      <c r="W325" s="65"/>
      <c r="X325" s="65"/>
      <c r="Y325" s="65"/>
      <c r="Z325" s="65"/>
      <c r="AA325" s="65"/>
      <c r="AB325" s="65"/>
      <c r="AC325" s="65"/>
      <c r="AD325" s="65"/>
      <c r="AE325" s="65"/>
      <c r="AF325" s="65"/>
    </row>
    <row r="326" spans="1:32" ht="75" customHeight="1">
      <c r="A326" s="352"/>
      <c r="B326" s="352"/>
      <c r="C326" s="86">
        <v>2</v>
      </c>
      <c r="D326" s="352"/>
      <c r="E326" s="352"/>
      <c r="F326" s="352"/>
      <c r="G326" s="354" t="s">
        <v>524</v>
      </c>
      <c r="H326" s="175" t="s">
        <v>2997</v>
      </c>
      <c r="I326" s="35" t="s">
        <v>2998</v>
      </c>
      <c r="J326" s="172"/>
      <c r="K326" s="25"/>
      <c r="L326" s="57"/>
      <c r="M326" s="151"/>
      <c r="N326" s="122"/>
      <c r="O326" s="28"/>
      <c r="P326" s="25"/>
      <c r="Q326" s="50" t="s">
        <v>140</v>
      </c>
      <c r="R326" s="25" t="s">
        <v>303</v>
      </c>
      <c r="S326" s="50"/>
      <c r="T326" s="65"/>
      <c r="U326" s="65"/>
      <c r="V326" s="65"/>
      <c r="W326" s="65"/>
      <c r="X326" s="65"/>
      <c r="Y326" s="65"/>
      <c r="Z326" s="65"/>
      <c r="AA326" s="65"/>
      <c r="AB326" s="65"/>
      <c r="AC326" s="65"/>
      <c r="AD326" s="65"/>
      <c r="AE326" s="65"/>
      <c r="AF326" s="65"/>
    </row>
    <row r="327" spans="1:32" ht="75" customHeight="1">
      <c r="A327" s="352"/>
      <c r="B327" s="352"/>
      <c r="C327" s="86">
        <v>3</v>
      </c>
      <c r="D327" s="352"/>
      <c r="E327" s="353"/>
      <c r="F327" s="353"/>
      <c r="G327" s="353"/>
      <c r="H327" s="175" t="s">
        <v>2999</v>
      </c>
      <c r="I327" s="35" t="s">
        <v>3000</v>
      </c>
      <c r="J327" s="172"/>
      <c r="K327" s="25"/>
      <c r="L327" s="57"/>
      <c r="M327" s="151"/>
      <c r="N327" s="122"/>
      <c r="O327" s="28"/>
      <c r="P327" s="25"/>
      <c r="Q327" s="50" t="s">
        <v>140</v>
      </c>
      <c r="R327" s="25" t="s">
        <v>303</v>
      </c>
      <c r="S327" s="50"/>
      <c r="T327" s="65"/>
      <c r="U327" s="65"/>
      <c r="V327" s="65"/>
      <c r="W327" s="65"/>
      <c r="X327" s="65"/>
      <c r="Y327" s="65"/>
      <c r="Z327" s="65"/>
      <c r="AA327" s="65"/>
      <c r="AB327" s="65"/>
      <c r="AC327" s="65"/>
      <c r="AD327" s="65"/>
      <c r="AE327" s="65"/>
      <c r="AF327" s="65"/>
    </row>
    <row r="328" spans="1:32" ht="75" customHeight="1">
      <c r="A328" s="352"/>
      <c r="B328" s="352"/>
      <c r="C328" s="86">
        <v>4</v>
      </c>
      <c r="D328" s="352"/>
      <c r="E328" s="351" t="s">
        <v>2971</v>
      </c>
      <c r="F328" s="354" t="s">
        <v>361</v>
      </c>
      <c r="G328" s="86" t="s">
        <v>327</v>
      </c>
      <c r="H328" s="175" t="s">
        <v>2972</v>
      </c>
      <c r="I328" s="35" t="s">
        <v>2968</v>
      </c>
      <c r="J328" s="172"/>
      <c r="K328" s="25"/>
      <c r="L328" s="57"/>
      <c r="M328" s="151"/>
      <c r="N328" s="122"/>
      <c r="O328" s="28"/>
      <c r="P328" s="25"/>
      <c r="Q328" s="50" t="s">
        <v>140</v>
      </c>
      <c r="R328" s="25" t="s">
        <v>303</v>
      </c>
      <c r="S328" s="50"/>
      <c r="T328" s="65"/>
      <c r="U328" s="65"/>
      <c r="V328" s="65"/>
      <c r="W328" s="65"/>
      <c r="X328" s="65"/>
      <c r="Y328" s="65"/>
      <c r="Z328" s="65"/>
      <c r="AA328" s="65"/>
      <c r="AB328" s="65"/>
      <c r="AC328" s="65"/>
      <c r="AD328" s="65"/>
      <c r="AE328" s="65"/>
      <c r="AF328" s="65"/>
    </row>
    <row r="329" spans="1:32" ht="75" customHeight="1">
      <c r="A329" s="352"/>
      <c r="B329" s="352"/>
      <c r="C329" s="86">
        <v>5</v>
      </c>
      <c r="D329" s="352"/>
      <c r="E329" s="352"/>
      <c r="F329" s="352"/>
      <c r="G329" s="354" t="s">
        <v>524</v>
      </c>
      <c r="H329" s="175" t="s">
        <v>2969</v>
      </c>
      <c r="I329" s="35" t="s">
        <v>2998</v>
      </c>
      <c r="J329" s="172"/>
      <c r="K329" s="25"/>
      <c r="L329" s="57"/>
      <c r="M329" s="151"/>
      <c r="N329" s="122"/>
      <c r="O329" s="28"/>
      <c r="P329" s="25"/>
      <c r="Q329" s="50" t="s">
        <v>140</v>
      </c>
      <c r="R329" s="25" t="s">
        <v>303</v>
      </c>
      <c r="S329" s="50"/>
      <c r="T329" s="65"/>
      <c r="U329" s="65"/>
      <c r="V329" s="65"/>
      <c r="W329" s="65"/>
      <c r="X329" s="65"/>
      <c r="Y329" s="65"/>
      <c r="Z329" s="65"/>
      <c r="AA329" s="65"/>
      <c r="AB329" s="65"/>
      <c r="AC329" s="65"/>
      <c r="AD329" s="65"/>
      <c r="AE329" s="65"/>
      <c r="AF329" s="65"/>
    </row>
    <row r="330" spans="1:32" ht="75" customHeight="1">
      <c r="A330" s="352"/>
      <c r="B330" s="352"/>
      <c r="C330" s="86">
        <v>6</v>
      </c>
      <c r="D330" s="352"/>
      <c r="E330" s="353"/>
      <c r="F330" s="353"/>
      <c r="G330" s="353"/>
      <c r="H330" s="175" t="s">
        <v>2999</v>
      </c>
      <c r="I330" s="35" t="s">
        <v>3000</v>
      </c>
      <c r="J330" s="172"/>
      <c r="K330" s="25"/>
      <c r="L330" s="57"/>
      <c r="M330" s="151"/>
      <c r="N330" s="122"/>
      <c r="O330" s="28"/>
      <c r="P330" s="25"/>
      <c r="Q330" s="50" t="s">
        <v>140</v>
      </c>
      <c r="R330" s="25" t="s">
        <v>303</v>
      </c>
      <c r="S330" s="50"/>
      <c r="T330" s="65"/>
      <c r="U330" s="65"/>
      <c r="V330" s="65"/>
      <c r="W330" s="65"/>
      <c r="X330" s="65"/>
      <c r="Y330" s="65"/>
      <c r="Z330" s="65"/>
      <c r="AA330" s="65"/>
      <c r="AB330" s="65"/>
      <c r="AC330" s="65"/>
      <c r="AD330" s="65"/>
      <c r="AE330" s="65"/>
      <c r="AF330" s="65"/>
    </row>
    <row r="331" spans="1:32" ht="75" customHeight="1">
      <c r="A331" s="352"/>
      <c r="B331" s="352"/>
      <c r="C331" s="86">
        <v>7</v>
      </c>
      <c r="D331" s="352"/>
      <c r="E331" s="351" t="s">
        <v>3001</v>
      </c>
      <c r="F331" s="354" t="s">
        <v>361</v>
      </c>
      <c r="G331" s="86" t="s">
        <v>327</v>
      </c>
      <c r="H331" s="175" t="s">
        <v>2974</v>
      </c>
      <c r="I331" s="35" t="s">
        <v>2968</v>
      </c>
      <c r="J331" s="172"/>
      <c r="K331" s="25"/>
      <c r="L331" s="57"/>
      <c r="M331" s="151"/>
      <c r="N331" s="122"/>
      <c r="O331" s="28"/>
      <c r="P331" s="25"/>
      <c r="Q331" s="50" t="s">
        <v>140</v>
      </c>
      <c r="R331" s="25" t="s">
        <v>303</v>
      </c>
      <c r="S331" s="50"/>
      <c r="T331" s="65"/>
      <c r="U331" s="65"/>
      <c r="V331" s="65"/>
      <c r="W331" s="65"/>
      <c r="X331" s="65"/>
      <c r="Y331" s="65"/>
      <c r="Z331" s="65"/>
      <c r="AA331" s="65"/>
      <c r="AB331" s="65"/>
      <c r="AC331" s="65"/>
      <c r="AD331" s="65"/>
      <c r="AE331" s="65"/>
      <c r="AF331" s="65"/>
    </row>
    <row r="332" spans="1:32" ht="75" customHeight="1">
      <c r="A332" s="352"/>
      <c r="B332" s="352"/>
      <c r="C332" s="86">
        <v>8</v>
      </c>
      <c r="D332" s="352"/>
      <c r="E332" s="352"/>
      <c r="F332" s="352"/>
      <c r="G332" s="354" t="s">
        <v>524</v>
      </c>
      <c r="H332" s="175" t="s">
        <v>2997</v>
      </c>
      <c r="I332" s="35" t="s">
        <v>2998</v>
      </c>
      <c r="J332" s="172"/>
      <c r="K332" s="25"/>
      <c r="L332" s="57"/>
      <c r="M332" s="151"/>
      <c r="N332" s="122"/>
      <c r="O332" s="28"/>
      <c r="P332" s="25"/>
      <c r="Q332" s="50" t="s">
        <v>140</v>
      </c>
      <c r="R332" s="25" t="s">
        <v>303</v>
      </c>
      <c r="S332" s="50"/>
      <c r="T332" s="65"/>
      <c r="U332" s="65"/>
      <c r="V332" s="65"/>
      <c r="W332" s="65"/>
      <c r="X332" s="65"/>
      <c r="Y332" s="65"/>
      <c r="Z332" s="65"/>
      <c r="AA332" s="65"/>
      <c r="AB332" s="65"/>
      <c r="AC332" s="65"/>
      <c r="AD332" s="65"/>
      <c r="AE332" s="65"/>
      <c r="AF332" s="65"/>
    </row>
    <row r="333" spans="1:32" ht="75" customHeight="1">
      <c r="A333" s="352"/>
      <c r="B333" s="352"/>
      <c r="C333" s="86">
        <v>9</v>
      </c>
      <c r="D333" s="352"/>
      <c r="E333" s="353"/>
      <c r="F333" s="353"/>
      <c r="G333" s="353"/>
      <c r="H333" s="175" t="s">
        <v>2999</v>
      </c>
      <c r="I333" s="35" t="s">
        <v>3000</v>
      </c>
      <c r="J333" s="172"/>
      <c r="K333" s="25"/>
      <c r="L333" s="57"/>
      <c r="M333" s="151"/>
      <c r="N333" s="122"/>
      <c r="O333" s="28"/>
      <c r="P333" s="25"/>
      <c r="Q333" s="50" t="s">
        <v>140</v>
      </c>
      <c r="R333" s="25" t="s">
        <v>303</v>
      </c>
      <c r="S333" s="50"/>
      <c r="T333" s="65"/>
      <c r="U333" s="65"/>
      <c r="V333" s="65"/>
      <c r="W333" s="65"/>
      <c r="X333" s="65"/>
      <c r="Y333" s="65"/>
      <c r="Z333" s="65"/>
      <c r="AA333" s="65"/>
      <c r="AB333" s="65"/>
      <c r="AC333" s="65"/>
      <c r="AD333" s="65"/>
      <c r="AE333" s="65"/>
      <c r="AF333" s="65"/>
    </row>
    <row r="334" spans="1:32" ht="75" customHeight="1">
      <c r="A334" s="352"/>
      <c r="B334" s="352"/>
      <c r="C334" s="86">
        <v>10</v>
      </c>
      <c r="D334" s="352"/>
      <c r="E334" s="351" t="s">
        <v>3002</v>
      </c>
      <c r="F334" s="354" t="s">
        <v>361</v>
      </c>
      <c r="G334" s="86" t="s">
        <v>327</v>
      </c>
      <c r="H334" s="175" t="s">
        <v>2977</v>
      </c>
      <c r="I334" s="35" t="s">
        <v>2968</v>
      </c>
      <c r="J334" s="172"/>
      <c r="K334" s="25"/>
      <c r="L334" s="57"/>
      <c r="M334" s="151"/>
      <c r="N334" s="122"/>
      <c r="O334" s="28"/>
      <c r="P334" s="25"/>
      <c r="Q334" s="50" t="s">
        <v>140</v>
      </c>
      <c r="R334" s="25" t="s">
        <v>303</v>
      </c>
      <c r="S334" s="50"/>
      <c r="T334" s="65"/>
      <c r="U334" s="65"/>
      <c r="V334" s="65"/>
      <c r="W334" s="65"/>
      <c r="X334" s="65"/>
      <c r="Y334" s="65"/>
      <c r="Z334" s="65"/>
      <c r="AA334" s="65"/>
      <c r="AB334" s="65"/>
      <c r="AC334" s="65"/>
      <c r="AD334" s="65"/>
      <c r="AE334" s="65"/>
      <c r="AF334" s="65"/>
    </row>
    <row r="335" spans="1:32" ht="75" customHeight="1">
      <c r="A335" s="352"/>
      <c r="B335" s="352"/>
      <c r="C335" s="86">
        <v>11</v>
      </c>
      <c r="D335" s="352"/>
      <c r="E335" s="353"/>
      <c r="F335" s="353"/>
      <c r="G335" s="86" t="s">
        <v>524</v>
      </c>
      <c r="H335" s="175" t="s">
        <v>2997</v>
      </c>
      <c r="I335" s="35" t="s">
        <v>3003</v>
      </c>
      <c r="J335" s="172"/>
      <c r="K335" s="25"/>
      <c r="L335" s="57"/>
      <c r="M335" s="151"/>
      <c r="N335" s="122"/>
      <c r="O335" s="28"/>
      <c r="P335" s="25"/>
      <c r="Q335" s="50" t="s">
        <v>140</v>
      </c>
      <c r="R335" s="25" t="s">
        <v>303</v>
      </c>
      <c r="S335" s="50"/>
      <c r="T335" s="65"/>
      <c r="U335" s="65"/>
      <c r="V335" s="65"/>
      <c r="W335" s="65"/>
      <c r="X335" s="65"/>
      <c r="Y335" s="65"/>
      <c r="Z335" s="65"/>
      <c r="AA335" s="65"/>
      <c r="AB335" s="65"/>
      <c r="AC335" s="65"/>
      <c r="AD335" s="65"/>
      <c r="AE335" s="65"/>
      <c r="AF335" s="65"/>
    </row>
    <row r="336" spans="1:32" ht="75" customHeight="1">
      <c r="A336" s="352"/>
      <c r="B336" s="352"/>
      <c r="C336" s="86">
        <v>12</v>
      </c>
      <c r="D336" s="352"/>
      <c r="E336" s="351" t="s">
        <v>2979</v>
      </c>
      <c r="F336" s="354" t="s">
        <v>361</v>
      </c>
      <c r="G336" s="86" t="s">
        <v>327</v>
      </c>
      <c r="H336" s="175" t="s">
        <v>2980</v>
      </c>
      <c r="I336" s="35" t="s">
        <v>2968</v>
      </c>
      <c r="J336" s="172"/>
      <c r="K336" s="25"/>
      <c r="L336" s="57"/>
      <c r="M336" s="151"/>
      <c r="N336" s="122"/>
      <c r="O336" s="28"/>
      <c r="P336" s="25"/>
      <c r="Q336" s="50" t="s">
        <v>140</v>
      </c>
      <c r="R336" s="25" t="s">
        <v>303</v>
      </c>
      <c r="S336" s="50"/>
      <c r="T336" s="65"/>
      <c r="U336" s="65"/>
      <c r="V336" s="65"/>
      <c r="W336" s="65"/>
      <c r="X336" s="65"/>
      <c r="Y336" s="65"/>
      <c r="Z336" s="65"/>
      <c r="AA336" s="65"/>
      <c r="AB336" s="65"/>
      <c r="AC336" s="65"/>
      <c r="AD336" s="65"/>
      <c r="AE336" s="65"/>
      <c r="AF336" s="65"/>
    </row>
    <row r="337" spans="1:32" ht="75" customHeight="1">
      <c r="A337" s="352"/>
      <c r="B337" s="352"/>
      <c r="C337" s="86">
        <v>13</v>
      </c>
      <c r="D337" s="352"/>
      <c r="E337" s="353"/>
      <c r="F337" s="353"/>
      <c r="G337" s="86" t="s">
        <v>524</v>
      </c>
      <c r="H337" s="175" t="s">
        <v>2997</v>
      </c>
      <c r="I337" s="35" t="s">
        <v>3003</v>
      </c>
      <c r="J337" s="172"/>
      <c r="K337" s="25"/>
      <c r="L337" s="57"/>
      <c r="M337" s="151"/>
      <c r="N337" s="122"/>
      <c r="O337" s="28"/>
      <c r="P337" s="25"/>
      <c r="Q337" s="50" t="s">
        <v>140</v>
      </c>
      <c r="R337" s="25" t="s">
        <v>303</v>
      </c>
      <c r="S337" s="50"/>
      <c r="T337" s="65"/>
      <c r="U337" s="65"/>
      <c r="V337" s="65"/>
      <c r="W337" s="65"/>
      <c r="X337" s="65"/>
      <c r="Y337" s="65"/>
      <c r="Z337" s="65"/>
      <c r="AA337" s="65"/>
      <c r="AB337" s="65"/>
      <c r="AC337" s="65"/>
      <c r="AD337" s="65"/>
      <c r="AE337" s="65"/>
      <c r="AF337" s="65"/>
    </row>
    <row r="338" spans="1:32" ht="75" customHeight="1">
      <c r="A338" s="352"/>
      <c r="B338" s="352"/>
      <c r="C338" s="86">
        <v>14</v>
      </c>
      <c r="D338" s="352"/>
      <c r="E338" s="351" t="s">
        <v>2982</v>
      </c>
      <c r="F338" s="354" t="s">
        <v>361</v>
      </c>
      <c r="G338" s="86" t="s">
        <v>327</v>
      </c>
      <c r="H338" s="175" t="s">
        <v>2983</v>
      </c>
      <c r="I338" s="35" t="s">
        <v>2968</v>
      </c>
      <c r="J338" s="172"/>
      <c r="K338" s="25"/>
      <c r="L338" s="57"/>
      <c r="M338" s="151"/>
      <c r="N338" s="122"/>
      <c r="O338" s="28"/>
      <c r="P338" s="25"/>
      <c r="Q338" s="50" t="s">
        <v>140</v>
      </c>
      <c r="R338" s="25" t="s">
        <v>303</v>
      </c>
      <c r="S338" s="50"/>
      <c r="T338" s="65"/>
      <c r="U338" s="65"/>
      <c r="V338" s="65"/>
      <c r="W338" s="65"/>
      <c r="X338" s="65"/>
      <c r="Y338" s="65"/>
      <c r="Z338" s="65"/>
      <c r="AA338" s="65"/>
      <c r="AB338" s="65"/>
      <c r="AC338" s="65"/>
      <c r="AD338" s="65"/>
      <c r="AE338" s="65"/>
      <c r="AF338" s="65"/>
    </row>
    <row r="339" spans="1:32" ht="75" customHeight="1">
      <c r="A339" s="352"/>
      <c r="B339" s="352"/>
      <c r="C339" s="86">
        <v>15</v>
      </c>
      <c r="D339" s="352"/>
      <c r="E339" s="352"/>
      <c r="F339" s="352"/>
      <c r="G339" s="354" t="s">
        <v>524</v>
      </c>
      <c r="H339" s="175" t="s">
        <v>2997</v>
      </c>
      <c r="I339" s="35" t="s">
        <v>2998</v>
      </c>
      <c r="J339" s="172"/>
      <c r="K339" s="25"/>
      <c r="L339" s="57"/>
      <c r="M339" s="151"/>
      <c r="N339" s="122"/>
      <c r="O339" s="28"/>
      <c r="P339" s="25"/>
      <c r="Q339" s="50" t="s">
        <v>140</v>
      </c>
      <c r="R339" s="25" t="s">
        <v>303</v>
      </c>
      <c r="S339" s="50"/>
      <c r="T339" s="65"/>
      <c r="U339" s="65"/>
      <c r="V339" s="65"/>
      <c r="W339" s="65"/>
      <c r="X339" s="65"/>
      <c r="Y339" s="65"/>
      <c r="Z339" s="65"/>
      <c r="AA339" s="65"/>
      <c r="AB339" s="65"/>
      <c r="AC339" s="65"/>
      <c r="AD339" s="65"/>
      <c r="AE339" s="65"/>
      <c r="AF339" s="65"/>
    </row>
    <row r="340" spans="1:32" ht="75" customHeight="1">
      <c r="A340" s="352"/>
      <c r="B340" s="352"/>
      <c r="C340" s="86">
        <v>16</v>
      </c>
      <c r="D340" s="352"/>
      <c r="E340" s="353"/>
      <c r="F340" s="353"/>
      <c r="G340" s="353"/>
      <c r="H340" s="175" t="s">
        <v>2999</v>
      </c>
      <c r="I340" s="35" t="s">
        <v>3000</v>
      </c>
      <c r="J340" s="172"/>
      <c r="K340" s="25"/>
      <c r="L340" s="57"/>
      <c r="M340" s="151"/>
      <c r="N340" s="122"/>
      <c r="O340" s="28"/>
      <c r="P340" s="25"/>
      <c r="Q340" s="50" t="s">
        <v>140</v>
      </c>
      <c r="R340" s="25" t="s">
        <v>303</v>
      </c>
      <c r="S340" s="50"/>
      <c r="T340" s="65"/>
      <c r="U340" s="65"/>
      <c r="V340" s="65"/>
      <c r="W340" s="65"/>
      <c r="X340" s="65"/>
      <c r="Y340" s="65"/>
      <c r="Z340" s="65"/>
      <c r="AA340" s="65"/>
      <c r="AB340" s="65"/>
      <c r="AC340" s="65"/>
      <c r="AD340" s="65"/>
      <c r="AE340" s="65"/>
      <c r="AF340" s="65"/>
    </row>
    <row r="341" spans="1:32" ht="75" customHeight="1">
      <c r="A341" s="352"/>
      <c r="B341" s="352"/>
      <c r="C341" s="86">
        <v>17</v>
      </c>
      <c r="D341" s="352"/>
      <c r="E341" s="351" t="s">
        <v>3004</v>
      </c>
      <c r="F341" s="354" t="s">
        <v>361</v>
      </c>
      <c r="G341" s="86" t="s">
        <v>327</v>
      </c>
      <c r="H341" s="175" t="s">
        <v>2985</v>
      </c>
      <c r="I341" s="35" t="s">
        <v>2968</v>
      </c>
      <c r="J341" s="172"/>
      <c r="K341" s="25"/>
      <c r="L341" s="57"/>
      <c r="M341" s="151"/>
      <c r="N341" s="122"/>
      <c r="O341" s="28"/>
      <c r="P341" s="25"/>
      <c r="Q341" s="50" t="s">
        <v>140</v>
      </c>
      <c r="R341" s="25" t="s">
        <v>303</v>
      </c>
      <c r="S341" s="50"/>
      <c r="T341" s="65"/>
      <c r="U341" s="65"/>
      <c r="V341" s="65"/>
      <c r="W341" s="65"/>
      <c r="X341" s="65"/>
      <c r="Y341" s="65"/>
      <c r="Z341" s="65"/>
      <c r="AA341" s="65"/>
      <c r="AB341" s="65"/>
      <c r="AC341" s="65"/>
      <c r="AD341" s="65"/>
      <c r="AE341" s="65"/>
      <c r="AF341" s="65"/>
    </row>
    <row r="342" spans="1:32" ht="75" customHeight="1">
      <c r="A342" s="352"/>
      <c r="B342" s="352"/>
      <c r="C342" s="86">
        <v>18</v>
      </c>
      <c r="D342" s="352"/>
      <c r="E342" s="353"/>
      <c r="F342" s="353"/>
      <c r="G342" s="86" t="s">
        <v>524</v>
      </c>
      <c r="H342" s="175" t="s">
        <v>2997</v>
      </c>
      <c r="I342" s="35" t="s">
        <v>3003</v>
      </c>
      <c r="J342" s="172"/>
      <c r="K342" s="25"/>
      <c r="L342" s="57"/>
      <c r="M342" s="151"/>
      <c r="N342" s="122"/>
      <c r="O342" s="28"/>
      <c r="P342" s="25"/>
      <c r="Q342" s="50" t="s">
        <v>140</v>
      </c>
      <c r="R342" s="25" t="s">
        <v>303</v>
      </c>
      <c r="S342" s="50"/>
      <c r="T342" s="65"/>
      <c r="U342" s="65"/>
      <c r="V342" s="65"/>
      <c r="W342" s="65"/>
      <c r="X342" s="65"/>
      <c r="Y342" s="65"/>
      <c r="Z342" s="65"/>
      <c r="AA342" s="65"/>
      <c r="AB342" s="65"/>
      <c r="AC342" s="65"/>
      <c r="AD342" s="65"/>
      <c r="AE342" s="65"/>
      <c r="AF342" s="65"/>
    </row>
    <row r="343" spans="1:32" ht="75" customHeight="1">
      <c r="A343" s="352"/>
      <c r="B343" s="352"/>
      <c r="C343" s="86">
        <v>19</v>
      </c>
      <c r="D343" s="352"/>
      <c r="E343" s="351" t="s">
        <v>3005</v>
      </c>
      <c r="F343" s="354" t="s">
        <v>361</v>
      </c>
      <c r="G343" s="86" t="s">
        <v>327</v>
      </c>
      <c r="H343" s="175" t="s">
        <v>2987</v>
      </c>
      <c r="I343" s="35" t="s">
        <v>2968</v>
      </c>
      <c r="J343" s="172"/>
      <c r="K343" s="25"/>
      <c r="L343" s="57"/>
      <c r="M343" s="151"/>
      <c r="N343" s="122"/>
      <c r="O343" s="28"/>
      <c r="P343" s="25"/>
      <c r="Q343" s="50" t="s">
        <v>140</v>
      </c>
      <c r="R343" s="25" t="s">
        <v>303</v>
      </c>
      <c r="S343" s="50"/>
      <c r="T343" s="65"/>
      <c r="U343" s="65"/>
      <c r="V343" s="65"/>
      <c r="W343" s="65"/>
      <c r="X343" s="65"/>
      <c r="Y343" s="65"/>
      <c r="Z343" s="65"/>
      <c r="AA343" s="65"/>
      <c r="AB343" s="65"/>
      <c r="AC343" s="65"/>
      <c r="AD343" s="65"/>
      <c r="AE343" s="65"/>
      <c r="AF343" s="65"/>
    </row>
    <row r="344" spans="1:32" ht="75" customHeight="1">
      <c r="A344" s="352"/>
      <c r="B344" s="352"/>
      <c r="C344" s="86">
        <v>20</v>
      </c>
      <c r="D344" s="352"/>
      <c r="E344" s="352"/>
      <c r="F344" s="352"/>
      <c r="G344" s="354" t="s">
        <v>524</v>
      </c>
      <c r="H344" s="175" t="s">
        <v>2997</v>
      </c>
      <c r="I344" s="35" t="s">
        <v>2998</v>
      </c>
      <c r="J344" s="172"/>
      <c r="K344" s="25"/>
      <c r="L344" s="57"/>
      <c r="M344" s="151"/>
      <c r="N344" s="122"/>
      <c r="O344" s="28"/>
      <c r="P344" s="25"/>
      <c r="Q344" s="50" t="s">
        <v>140</v>
      </c>
      <c r="R344" s="25" t="s">
        <v>303</v>
      </c>
      <c r="S344" s="50"/>
      <c r="T344" s="65"/>
      <c r="U344" s="65"/>
      <c r="V344" s="65"/>
      <c r="W344" s="65"/>
      <c r="X344" s="65"/>
      <c r="Y344" s="65"/>
      <c r="Z344" s="65"/>
      <c r="AA344" s="65"/>
      <c r="AB344" s="65"/>
      <c r="AC344" s="65"/>
      <c r="AD344" s="65"/>
      <c r="AE344" s="65"/>
      <c r="AF344" s="65"/>
    </row>
    <row r="345" spans="1:32" ht="75" customHeight="1">
      <c r="A345" s="352"/>
      <c r="B345" s="352"/>
      <c r="C345" s="86">
        <v>21</v>
      </c>
      <c r="D345" s="352"/>
      <c r="E345" s="353"/>
      <c r="F345" s="353"/>
      <c r="G345" s="353"/>
      <c r="H345" s="175" t="s">
        <v>2999</v>
      </c>
      <c r="I345" s="35" t="s">
        <v>3000</v>
      </c>
      <c r="J345" s="172"/>
      <c r="K345" s="25"/>
      <c r="L345" s="57"/>
      <c r="M345" s="151"/>
      <c r="N345" s="122"/>
      <c r="O345" s="28"/>
      <c r="P345" s="25"/>
      <c r="Q345" s="50" t="s">
        <v>140</v>
      </c>
      <c r="R345" s="25" t="s">
        <v>303</v>
      </c>
      <c r="S345" s="50"/>
      <c r="T345" s="65"/>
      <c r="U345" s="65"/>
      <c r="V345" s="65"/>
      <c r="W345" s="65"/>
      <c r="X345" s="65"/>
      <c r="Y345" s="65"/>
      <c r="Z345" s="65"/>
      <c r="AA345" s="65"/>
      <c r="AB345" s="65"/>
      <c r="AC345" s="65"/>
      <c r="AD345" s="65"/>
      <c r="AE345" s="65"/>
      <c r="AF345" s="65"/>
    </row>
    <row r="346" spans="1:32" ht="75" customHeight="1">
      <c r="A346" s="352"/>
      <c r="B346" s="352"/>
      <c r="C346" s="86">
        <v>22</v>
      </c>
      <c r="D346" s="352"/>
      <c r="E346" s="351" t="s">
        <v>2993</v>
      </c>
      <c r="F346" s="354" t="s">
        <v>361</v>
      </c>
      <c r="G346" s="86" t="s">
        <v>327</v>
      </c>
      <c r="H346" s="175" t="s">
        <v>2994</v>
      </c>
      <c r="I346" s="35" t="s">
        <v>2968</v>
      </c>
      <c r="J346" s="172"/>
      <c r="K346" s="25"/>
      <c r="L346" s="57"/>
      <c r="M346" s="151"/>
      <c r="N346" s="122"/>
      <c r="O346" s="28"/>
      <c r="P346" s="25"/>
      <c r="Q346" s="50" t="s">
        <v>140</v>
      </c>
      <c r="R346" s="25" t="s">
        <v>303</v>
      </c>
      <c r="S346" s="50"/>
      <c r="T346" s="65"/>
      <c r="U346" s="65"/>
      <c r="V346" s="65"/>
      <c r="W346" s="65"/>
      <c r="X346" s="65"/>
      <c r="Y346" s="65"/>
      <c r="Z346" s="65"/>
      <c r="AA346" s="65"/>
      <c r="AB346" s="65"/>
      <c r="AC346" s="65"/>
      <c r="AD346" s="65"/>
      <c r="AE346" s="65"/>
      <c r="AF346" s="65"/>
    </row>
    <row r="347" spans="1:32" ht="75" customHeight="1">
      <c r="A347" s="353"/>
      <c r="B347" s="353"/>
      <c r="C347" s="86">
        <v>23</v>
      </c>
      <c r="D347" s="353"/>
      <c r="E347" s="353"/>
      <c r="F347" s="353"/>
      <c r="G347" s="86" t="s">
        <v>524</v>
      </c>
      <c r="H347" s="175" t="s">
        <v>2969</v>
      </c>
      <c r="I347" s="35" t="s">
        <v>3006</v>
      </c>
      <c r="J347" s="172"/>
      <c r="K347" s="25"/>
      <c r="L347" s="57"/>
      <c r="M347" s="151"/>
      <c r="N347" s="122"/>
      <c r="O347" s="28"/>
      <c r="P347" s="25"/>
      <c r="Q347" s="50" t="s">
        <v>140</v>
      </c>
      <c r="R347" s="25" t="s">
        <v>303</v>
      </c>
      <c r="S347" s="50"/>
      <c r="T347" s="65"/>
      <c r="U347" s="65"/>
      <c r="V347" s="65"/>
      <c r="W347" s="65"/>
      <c r="X347" s="65"/>
      <c r="Y347" s="65"/>
      <c r="Z347" s="65"/>
      <c r="AA347" s="65"/>
      <c r="AB347" s="65"/>
      <c r="AC347" s="65"/>
      <c r="AD347" s="65"/>
      <c r="AE347" s="65"/>
      <c r="AF347" s="65"/>
    </row>
    <row r="348" spans="1:32" ht="15.75" customHeight="1">
      <c r="A348" s="351"/>
      <c r="B348" s="354" t="s">
        <v>3007</v>
      </c>
      <c r="C348" s="86">
        <v>1</v>
      </c>
      <c r="D348" s="351" t="s">
        <v>3008</v>
      </c>
      <c r="E348" s="351" t="s">
        <v>3009</v>
      </c>
      <c r="F348" s="354" t="s">
        <v>361</v>
      </c>
      <c r="G348" s="86" t="s">
        <v>327</v>
      </c>
      <c r="H348" s="175" t="s">
        <v>3010</v>
      </c>
      <c r="I348" s="35" t="s">
        <v>2968</v>
      </c>
      <c r="J348" s="172"/>
      <c r="K348" s="25"/>
      <c r="L348" s="57"/>
      <c r="M348" s="386"/>
      <c r="N348" s="122"/>
      <c r="O348" s="28"/>
      <c r="P348" s="25"/>
      <c r="Q348" s="50" t="s">
        <v>140</v>
      </c>
      <c r="R348" s="25" t="s">
        <v>303</v>
      </c>
      <c r="S348" s="50"/>
      <c r="T348" s="65"/>
      <c r="U348" s="65"/>
      <c r="V348" s="65"/>
      <c r="W348" s="65"/>
      <c r="X348" s="65"/>
      <c r="Y348" s="65"/>
      <c r="Z348" s="65"/>
      <c r="AA348" s="65"/>
      <c r="AB348" s="65"/>
      <c r="AC348" s="65"/>
      <c r="AD348" s="65"/>
      <c r="AE348" s="65"/>
      <c r="AF348" s="65"/>
    </row>
    <row r="349" spans="1:32" ht="15.75" customHeight="1">
      <c r="A349" s="352"/>
      <c r="B349" s="352"/>
      <c r="C349" s="86">
        <v>2</v>
      </c>
      <c r="D349" s="352"/>
      <c r="E349" s="352"/>
      <c r="F349" s="352"/>
      <c r="G349" s="354" t="s">
        <v>524</v>
      </c>
      <c r="H349" s="324" t="s">
        <v>3011</v>
      </c>
      <c r="I349" s="35" t="s">
        <v>3012</v>
      </c>
      <c r="J349" s="172"/>
      <c r="K349" s="25"/>
      <c r="L349" s="57"/>
      <c r="M349" s="344"/>
      <c r="N349" s="122"/>
      <c r="O349" s="28"/>
      <c r="P349" s="25"/>
      <c r="Q349" s="50" t="s">
        <v>140</v>
      </c>
      <c r="R349" s="25" t="s">
        <v>303</v>
      </c>
      <c r="S349" s="50"/>
      <c r="T349" s="65"/>
      <c r="U349" s="65"/>
      <c r="V349" s="65"/>
      <c r="W349" s="65"/>
      <c r="X349" s="65"/>
      <c r="Y349" s="65"/>
      <c r="Z349" s="65"/>
      <c r="AA349" s="65"/>
      <c r="AB349" s="65"/>
      <c r="AC349" s="65"/>
      <c r="AD349" s="65"/>
      <c r="AE349" s="65"/>
      <c r="AF349" s="65"/>
    </row>
    <row r="350" spans="1:32" ht="15.75" customHeight="1">
      <c r="A350" s="352"/>
      <c r="B350" s="352"/>
      <c r="C350" s="86">
        <v>3</v>
      </c>
      <c r="D350" s="352"/>
      <c r="E350" s="352"/>
      <c r="F350" s="352"/>
      <c r="G350" s="352"/>
      <c r="H350" s="175" t="s">
        <v>3013</v>
      </c>
      <c r="I350" s="35" t="s">
        <v>3014</v>
      </c>
      <c r="J350" s="172"/>
      <c r="K350" s="25"/>
      <c r="L350" s="57"/>
      <c r="M350" s="344"/>
      <c r="N350" s="122"/>
      <c r="O350" s="28"/>
      <c r="P350" s="25"/>
      <c r="Q350" s="50" t="s">
        <v>140</v>
      </c>
      <c r="R350" s="25" t="s">
        <v>303</v>
      </c>
      <c r="S350" s="50"/>
      <c r="T350" s="65"/>
      <c r="U350" s="65"/>
      <c r="V350" s="65"/>
      <c r="W350" s="65"/>
      <c r="X350" s="65"/>
      <c r="Y350" s="65"/>
      <c r="Z350" s="65"/>
      <c r="AA350" s="65"/>
      <c r="AB350" s="65"/>
      <c r="AC350" s="65"/>
      <c r="AD350" s="65"/>
      <c r="AE350" s="65"/>
      <c r="AF350" s="65"/>
    </row>
    <row r="351" spans="1:32" ht="15.75" customHeight="1">
      <c r="A351" s="352"/>
      <c r="B351" s="352"/>
      <c r="C351" s="86">
        <v>4</v>
      </c>
      <c r="D351" s="352"/>
      <c r="E351" s="353"/>
      <c r="F351" s="353"/>
      <c r="G351" s="353"/>
      <c r="H351" s="175" t="s">
        <v>3015</v>
      </c>
      <c r="I351" s="35" t="s">
        <v>3014</v>
      </c>
      <c r="J351" s="172"/>
      <c r="K351" s="25"/>
      <c r="L351" s="25"/>
      <c r="M351" s="344"/>
      <c r="N351" s="122"/>
      <c r="O351" s="28"/>
      <c r="P351" s="25"/>
      <c r="Q351" s="50" t="s">
        <v>140</v>
      </c>
      <c r="R351" s="25" t="s">
        <v>303</v>
      </c>
      <c r="S351" s="50"/>
      <c r="T351" s="65"/>
      <c r="U351" s="65"/>
      <c r="V351" s="65"/>
      <c r="W351" s="65"/>
      <c r="X351" s="65"/>
      <c r="Y351" s="65"/>
      <c r="Z351" s="65"/>
      <c r="AA351" s="65"/>
      <c r="AB351" s="65"/>
      <c r="AC351" s="65"/>
      <c r="AD351" s="65"/>
      <c r="AE351" s="65"/>
      <c r="AF351" s="65"/>
    </row>
    <row r="352" spans="1:32" ht="15.75" customHeight="1">
      <c r="A352" s="352"/>
      <c r="B352" s="352"/>
      <c r="C352" s="86">
        <v>5</v>
      </c>
      <c r="D352" s="352"/>
      <c r="E352" s="351" t="s">
        <v>3016</v>
      </c>
      <c r="F352" s="354" t="s">
        <v>361</v>
      </c>
      <c r="G352" s="86" t="s">
        <v>327</v>
      </c>
      <c r="H352" s="175" t="s">
        <v>3010</v>
      </c>
      <c r="I352" s="35" t="s">
        <v>2968</v>
      </c>
      <c r="J352" s="172"/>
      <c r="K352" s="25"/>
      <c r="L352" s="57"/>
      <c r="M352" s="344"/>
      <c r="N352" s="122"/>
      <c r="O352" s="28"/>
      <c r="P352" s="25"/>
      <c r="Q352" s="50" t="s">
        <v>140</v>
      </c>
      <c r="R352" s="25" t="s">
        <v>303</v>
      </c>
      <c r="S352" s="50"/>
      <c r="T352" s="65"/>
      <c r="U352" s="65"/>
      <c r="V352" s="65"/>
      <c r="W352" s="65"/>
      <c r="X352" s="65"/>
      <c r="Y352" s="65"/>
      <c r="Z352" s="65"/>
      <c r="AA352" s="65"/>
      <c r="AB352" s="65"/>
      <c r="AC352" s="65"/>
      <c r="AD352" s="65"/>
      <c r="AE352" s="65"/>
      <c r="AF352" s="65"/>
    </row>
    <row r="353" spans="1:32" ht="15.75" customHeight="1">
      <c r="A353" s="352"/>
      <c r="B353" s="352"/>
      <c r="C353" s="86">
        <v>6</v>
      </c>
      <c r="D353" s="352"/>
      <c r="E353" s="352"/>
      <c r="F353" s="352"/>
      <c r="G353" s="354" t="s">
        <v>524</v>
      </c>
      <c r="H353" s="324" t="s">
        <v>3017</v>
      </c>
      <c r="I353" s="35" t="s">
        <v>3018</v>
      </c>
      <c r="J353" s="172"/>
      <c r="K353" s="25"/>
      <c r="L353" s="57"/>
      <c r="M353" s="344"/>
      <c r="N353" s="122"/>
      <c r="O353" s="28"/>
      <c r="P353" s="25"/>
      <c r="Q353" s="50" t="s">
        <v>140</v>
      </c>
      <c r="R353" s="25" t="s">
        <v>303</v>
      </c>
      <c r="S353" s="50"/>
      <c r="T353" s="65"/>
      <c r="U353" s="65"/>
      <c r="V353" s="65"/>
      <c r="W353" s="65"/>
      <c r="X353" s="65"/>
      <c r="Y353" s="65"/>
      <c r="Z353" s="65"/>
      <c r="AA353" s="65"/>
      <c r="AB353" s="65"/>
      <c r="AC353" s="65"/>
      <c r="AD353" s="65"/>
      <c r="AE353" s="65"/>
      <c r="AF353" s="65"/>
    </row>
    <row r="354" spans="1:32" ht="15.75" customHeight="1">
      <c r="A354" s="352"/>
      <c r="B354" s="352"/>
      <c r="C354" s="86">
        <v>7</v>
      </c>
      <c r="D354" s="352"/>
      <c r="E354" s="352"/>
      <c r="F354" s="352"/>
      <c r="G354" s="352"/>
      <c r="H354" s="175" t="s">
        <v>3019</v>
      </c>
      <c r="I354" s="35" t="s">
        <v>3020</v>
      </c>
      <c r="J354" s="172"/>
      <c r="K354" s="25"/>
      <c r="L354" s="57"/>
      <c r="M354" s="369"/>
      <c r="N354" s="122"/>
      <c r="O354" s="28"/>
      <c r="P354" s="25"/>
      <c r="Q354" s="50" t="s">
        <v>140</v>
      </c>
      <c r="R354" s="25" t="s">
        <v>303</v>
      </c>
      <c r="S354" s="50"/>
      <c r="T354" s="65"/>
      <c r="U354" s="65"/>
      <c r="V354" s="65"/>
      <c r="W354" s="65"/>
      <c r="X354" s="65"/>
      <c r="Y354" s="65"/>
      <c r="Z354" s="65"/>
      <c r="AA354" s="65"/>
      <c r="AB354" s="65"/>
      <c r="AC354" s="65"/>
      <c r="AD354" s="65"/>
      <c r="AE354" s="65"/>
      <c r="AF354" s="65"/>
    </row>
    <row r="355" spans="1:32" ht="15.75" customHeight="1">
      <c r="A355" s="352"/>
      <c r="B355" s="352"/>
      <c r="C355" s="143">
        <v>8</v>
      </c>
      <c r="D355" s="352"/>
      <c r="E355" s="353"/>
      <c r="F355" s="353"/>
      <c r="G355" s="353"/>
      <c r="H355" s="175" t="s">
        <v>3015</v>
      </c>
      <c r="I355" s="35" t="s">
        <v>3020</v>
      </c>
      <c r="J355" s="172"/>
      <c r="K355" s="25"/>
      <c r="L355" s="25"/>
      <c r="M355" s="151"/>
      <c r="N355" s="122"/>
      <c r="O355" s="28"/>
      <c r="P355" s="25"/>
      <c r="Q355" s="50" t="s">
        <v>140</v>
      </c>
      <c r="R355" s="25" t="s">
        <v>303</v>
      </c>
      <c r="S355" s="50"/>
      <c r="T355" s="65"/>
      <c r="U355" s="65"/>
      <c r="V355" s="65"/>
      <c r="W355" s="65"/>
      <c r="X355" s="65"/>
      <c r="Y355" s="65"/>
      <c r="Z355" s="65"/>
      <c r="AA355" s="65"/>
      <c r="AB355" s="65"/>
      <c r="AC355" s="65"/>
      <c r="AD355" s="65"/>
      <c r="AE355" s="65"/>
      <c r="AF355" s="65"/>
    </row>
    <row r="356" spans="1:32" ht="15.75" customHeight="1">
      <c r="A356" s="352"/>
      <c r="B356" s="352"/>
      <c r="C356" s="86">
        <v>9</v>
      </c>
      <c r="D356" s="352"/>
      <c r="E356" s="351" t="s">
        <v>3021</v>
      </c>
      <c r="F356" s="354" t="s">
        <v>361</v>
      </c>
      <c r="G356" s="86" t="s">
        <v>327</v>
      </c>
      <c r="H356" s="175" t="s">
        <v>3010</v>
      </c>
      <c r="I356" s="35" t="s">
        <v>2968</v>
      </c>
      <c r="J356" s="172"/>
      <c r="K356" s="25"/>
      <c r="L356" s="57"/>
      <c r="M356" s="151"/>
      <c r="N356" s="122"/>
      <c r="O356" s="28"/>
      <c r="P356" s="25"/>
      <c r="Q356" s="50" t="s">
        <v>140</v>
      </c>
      <c r="R356" s="25" t="s">
        <v>303</v>
      </c>
      <c r="S356" s="50"/>
      <c r="T356" s="65"/>
      <c r="U356" s="65"/>
      <c r="V356" s="65"/>
      <c r="W356" s="65"/>
      <c r="X356" s="65"/>
      <c r="Y356" s="65"/>
      <c r="Z356" s="65"/>
      <c r="AA356" s="65"/>
      <c r="AB356" s="65"/>
      <c r="AC356" s="65"/>
      <c r="AD356" s="65"/>
      <c r="AE356" s="65"/>
      <c r="AF356" s="65"/>
    </row>
    <row r="357" spans="1:32" ht="15.75" customHeight="1">
      <c r="A357" s="352"/>
      <c r="B357" s="352"/>
      <c r="C357" s="86">
        <v>10</v>
      </c>
      <c r="D357" s="352"/>
      <c r="E357" s="352"/>
      <c r="F357" s="352"/>
      <c r="G357" s="354" t="s">
        <v>524</v>
      </c>
      <c r="H357" s="351" t="s">
        <v>3022</v>
      </c>
      <c r="I357" s="35" t="s">
        <v>3023</v>
      </c>
      <c r="J357" s="172"/>
      <c r="K357" s="25"/>
      <c r="L357" s="57"/>
      <c r="M357" s="151"/>
      <c r="N357" s="122"/>
      <c r="O357" s="28"/>
      <c r="P357" s="25"/>
      <c r="Q357" s="50" t="s">
        <v>140</v>
      </c>
      <c r="R357" s="25" t="s">
        <v>303</v>
      </c>
      <c r="S357" s="50"/>
      <c r="T357" s="65"/>
      <c r="U357" s="65"/>
      <c r="V357" s="65"/>
      <c r="W357" s="65"/>
      <c r="X357" s="65"/>
      <c r="Y357" s="65"/>
      <c r="Z357" s="65"/>
      <c r="AA357" s="65"/>
      <c r="AB357" s="65"/>
      <c r="AC357" s="65"/>
      <c r="AD357" s="65"/>
      <c r="AE357" s="65"/>
      <c r="AF357" s="65"/>
    </row>
    <row r="358" spans="1:32" ht="73.5" customHeight="1">
      <c r="A358" s="352"/>
      <c r="B358" s="352"/>
      <c r="C358" s="86">
        <v>11</v>
      </c>
      <c r="D358" s="352"/>
      <c r="E358" s="352"/>
      <c r="F358" s="352"/>
      <c r="G358" s="352"/>
      <c r="H358" s="353"/>
      <c r="I358" s="35" t="s">
        <v>3024</v>
      </c>
      <c r="J358" s="172"/>
      <c r="K358" s="25"/>
      <c r="L358" s="57"/>
      <c r="M358" s="151"/>
      <c r="N358" s="122"/>
      <c r="O358" s="28"/>
      <c r="P358" s="25"/>
      <c r="Q358" s="50" t="s">
        <v>140</v>
      </c>
      <c r="R358" s="25" t="s">
        <v>303</v>
      </c>
      <c r="S358" s="50"/>
      <c r="T358" s="65"/>
      <c r="U358" s="65"/>
      <c r="V358" s="65"/>
      <c r="W358" s="65"/>
      <c r="X358" s="65"/>
      <c r="Y358" s="65"/>
      <c r="Z358" s="65"/>
      <c r="AA358" s="65"/>
      <c r="AB358" s="65"/>
      <c r="AC358" s="65"/>
      <c r="AD358" s="65"/>
      <c r="AE358" s="65"/>
      <c r="AF358" s="65"/>
    </row>
    <row r="359" spans="1:32" ht="15.75" customHeight="1">
      <c r="A359" s="352"/>
      <c r="B359" s="353"/>
      <c r="C359" s="86">
        <v>12</v>
      </c>
      <c r="D359" s="353"/>
      <c r="E359" s="384"/>
      <c r="F359" s="384"/>
      <c r="G359" s="384"/>
      <c r="H359" s="175" t="s">
        <v>3025</v>
      </c>
      <c r="I359" s="35" t="s">
        <v>2970</v>
      </c>
      <c r="J359" s="172"/>
      <c r="K359" s="25"/>
      <c r="L359" s="152"/>
      <c r="M359" s="151"/>
      <c r="N359" s="122"/>
      <c r="O359" s="28"/>
      <c r="P359" s="25"/>
      <c r="Q359" s="50" t="s">
        <v>140</v>
      </c>
      <c r="R359" s="25" t="s">
        <v>303</v>
      </c>
      <c r="S359" s="50"/>
      <c r="T359" s="65"/>
      <c r="U359" s="65"/>
      <c r="V359" s="65"/>
      <c r="W359" s="65"/>
      <c r="X359" s="65"/>
      <c r="Y359" s="65"/>
      <c r="Z359" s="65"/>
      <c r="AA359" s="65"/>
      <c r="AB359" s="65"/>
      <c r="AC359" s="65"/>
      <c r="AD359" s="65"/>
      <c r="AE359" s="65"/>
      <c r="AF359" s="65"/>
    </row>
    <row r="360" spans="1:32" ht="15.75" customHeight="1">
      <c r="A360" s="352"/>
      <c r="B360" s="354" t="s">
        <v>49</v>
      </c>
      <c r="C360" s="86">
        <v>1</v>
      </c>
      <c r="D360" s="351" t="s">
        <v>3026</v>
      </c>
      <c r="E360" s="357" t="s">
        <v>3027</v>
      </c>
      <c r="F360" s="86"/>
      <c r="G360" s="86"/>
      <c r="H360" s="175" t="s">
        <v>3028</v>
      </c>
      <c r="I360" s="35" t="s">
        <v>3024</v>
      </c>
      <c r="J360" s="172"/>
      <c r="K360" s="25"/>
      <c r="L360" s="25"/>
      <c r="M360" s="151"/>
      <c r="N360" s="122"/>
      <c r="O360" s="28"/>
      <c r="P360" s="25"/>
      <c r="Q360" s="50" t="s">
        <v>140</v>
      </c>
      <c r="R360" s="25" t="s">
        <v>303</v>
      </c>
      <c r="S360" s="50"/>
      <c r="T360" s="65"/>
      <c r="U360" s="65"/>
      <c r="V360" s="65"/>
      <c r="W360" s="65"/>
      <c r="X360" s="65"/>
      <c r="Y360" s="65"/>
      <c r="Z360" s="65"/>
      <c r="AA360" s="65"/>
      <c r="AB360" s="65"/>
      <c r="AC360" s="65"/>
      <c r="AD360" s="65"/>
      <c r="AE360" s="65"/>
      <c r="AF360" s="65"/>
    </row>
    <row r="361" spans="1:32" ht="15.75" customHeight="1">
      <c r="A361" s="352"/>
      <c r="B361" s="352"/>
      <c r="C361" s="86">
        <v>2</v>
      </c>
      <c r="D361" s="352"/>
      <c r="E361" s="353"/>
      <c r="F361" s="86"/>
      <c r="G361" s="86"/>
      <c r="H361" s="175" t="s">
        <v>3015</v>
      </c>
      <c r="I361" s="35" t="s">
        <v>2970</v>
      </c>
      <c r="J361" s="172"/>
      <c r="K361" s="25"/>
      <c r="L361" s="153"/>
      <c r="M361" s="151"/>
      <c r="N361" s="122"/>
      <c r="O361" s="28"/>
      <c r="P361" s="25"/>
      <c r="Q361" s="50" t="s">
        <v>140</v>
      </c>
      <c r="R361" s="25" t="s">
        <v>303</v>
      </c>
      <c r="S361" s="50"/>
      <c r="T361" s="65"/>
      <c r="U361" s="65"/>
      <c r="V361" s="65"/>
      <c r="W361" s="65"/>
      <c r="X361" s="65"/>
      <c r="Y361" s="65"/>
      <c r="Z361" s="65"/>
      <c r="AA361" s="65"/>
      <c r="AB361" s="65"/>
      <c r="AC361" s="65"/>
      <c r="AD361" s="65"/>
      <c r="AE361" s="65"/>
      <c r="AF361" s="65"/>
    </row>
    <row r="362" spans="1:32" ht="15.75" customHeight="1">
      <c r="A362" s="352"/>
      <c r="B362" s="352"/>
      <c r="C362" s="86">
        <v>3</v>
      </c>
      <c r="D362" s="352"/>
      <c r="E362" s="351" t="s">
        <v>3029</v>
      </c>
      <c r="F362" s="86"/>
      <c r="G362" s="86"/>
      <c r="H362" s="175" t="s">
        <v>3030</v>
      </c>
      <c r="I362" s="35" t="s">
        <v>3024</v>
      </c>
      <c r="J362" s="172"/>
      <c r="K362" s="25"/>
      <c r="L362" s="154"/>
      <c r="M362" s="151"/>
      <c r="N362" s="122"/>
      <c r="O362" s="28"/>
      <c r="P362" s="25"/>
      <c r="Q362" s="50" t="s">
        <v>140</v>
      </c>
      <c r="R362" s="25" t="s">
        <v>303</v>
      </c>
      <c r="S362" s="50"/>
      <c r="T362" s="65"/>
      <c r="U362" s="65"/>
      <c r="V362" s="65"/>
      <c r="W362" s="65"/>
      <c r="X362" s="65"/>
      <c r="Y362" s="65"/>
      <c r="Z362" s="65"/>
      <c r="AA362" s="65"/>
      <c r="AB362" s="65"/>
      <c r="AC362" s="65"/>
      <c r="AD362" s="65"/>
      <c r="AE362" s="65"/>
      <c r="AF362" s="65"/>
    </row>
    <row r="363" spans="1:32" ht="15.75" customHeight="1">
      <c r="A363" s="352"/>
      <c r="B363" s="352"/>
      <c r="C363" s="86">
        <v>4</v>
      </c>
      <c r="D363" s="352"/>
      <c r="E363" s="353"/>
      <c r="F363" s="86"/>
      <c r="G363" s="86"/>
      <c r="H363" s="175" t="s">
        <v>3031</v>
      </c>
      <c r="I363" s="35" t="s">
        <v>3032</v>
      </c>
      <c r="J363" s="172"/>
      <c r="K363" s="25"/>
      <c r="L363" s="154"/>
      <c r="M363" s="151"/>
      <c r="N363" s="122"/>
      <c r="O363" s="28"/>
      <c r="P363" s="25"/>
      <c r="Q363" s="50" t="s">
        <v>140</v>
      </c>
      <c r="R363" s="25" t="s">
        <v>303</v>
      </c>
      <c r="S363" s="50"/>
      <c r="T363" s="65"/>
      <c r="U363" s="65"/>
      <c r="V363" s="65"/>
      <c r="W363" s="65"/>
      <c r="X363" s="65"/>
      <c r="Y363" s="65"/>
      <c r="Z363" s="65"/>
      <c r="AA363" s="65"/>
      <c r="AB363" s="65"/>
      <c r="AC363" s="65"/>
      <c r="AD363" s="65"/>
      <c r="AE363" s="65"/>
      <c r="AF363" s="65"/>
    </row>
    <row r="364" spans="1:32" ht="192" customHeight="1">
      <c r="A364" s="352"/>
      <c r="B364" s="352"/>
      <c r="C364" s="86">
        <v>5</v>
      </c>
      <c r="D364" s="352"/>
      <c r="E364" s="351" t="s">
        <v>3033</v>
      </c>
      <c r="F364" s="86"/>
      <c r="G364" s="86"/>
      <c r="H364" s="175" t="s">
        <v>3034</v>
      </c>
      <c r="I364" s="35" t="s">
        <v>3024</v>
      </c>
      <c r="J364" s="172"/>
      <c r="K364" s="25"/>
      <c r="L364" s="154"/>
      <c r="M364" s="151"/>
      <c r="N364" s="122"/>
      <c r="O364" s="28"/>
      <c r="P364" s="25"/>
      <c r="Q364" s="50" t="s">
        <v>140</v>
      </c>
      <c r="R364" s="25" t="s">
        <v>303</v>
      </c>
      <c r="S364" s="50"/>
      <c r="T364" s="65"/>
      <c r="U364" s="65"/>
      <c r="V364" s="65"/>
      <c r="W364" s="65"/>
      <c r="X364" s="65"/>
      <c r="Y364" s="65"/>
      <c r="Z364" s="65"/>
      <c r="AA364" s="65"/>
      <c r="AB364" s="65"/>
      <c r="AC364" s="65"/>
      <c r="AD364" s="65"/>
      <c r="AE364" s="65"/>
      <c r="AF364" s="65"/>
    </row>
    <row r="365" spans="1:32" ht="15.75" customHeight="1">
      <c r="A365" s="352"/>
      <c r="B365" s="352"/>
      <c r="C365" s="86">
        <v>6</v>
      </c>
      <c r="D365" s="352"/>
      <c r="E365" s="352"/>
      <c r="F365" s="86"/>
      <c r="G365" s="86"/>
      <c r="H365" s="175" t="s">
        <v>3031</v>
      </c>
      <c r="I365" s="35" t="s">
        <v>3035</v>
      </c>
      <c r="J365" s="172"/>
      <c r="K365" s="25"/>
      <c r="L365" s="154"/>
      <c r="M365" s="151"/>
      <c r="N365" s="122"/>
      <c r="O365" s="28"/>
      <c r="P365" s="25"/>
      <c r="Q365" s="50" t="s">
        <v>140</v>
      </c>
      <c r="R365" s="25" t="s">
        <v>303</v>
      </c>
      <c r="S365" s="50"/>
      <c r="T365" s="65"/>
      <c r="U365" s="65"/>
      <c r="V365" s="65"/>
      <c r="W365" s="65"/>
      <c r="X365" s="65"/>
      <c r="Y365" s="65"/>
      <c r="Z365" s="65"/>
      <c r="AA365" s="65"/>
      <c r="AB365" s="65"/>
      <c r="AC365" s="65"/>
      <c r="AD365" s="65"/>
      <c r="AE365" s="65"/>
      <c r="AF365" s="65"/>
    </row>
    <row r="366" spans="1:32" ht="231.75" customHeight="1">
      <c r="A366" s="352"/>
      <c r="B366" s="352"/>
      <c r="C366" s="86">
        <v>7</v>
      </c>
      <c r="D366" s="352"/>
      <c r="E366" s="352"/>
      <c r="F366" s="143"/>
      <c r="G366" s="86"/>
      <c r="H366" s="175" t="s">
        <v>3036</v>
      </c>
      <c r="I366" s="35" t="s">
        <v>3037</v>
      </c>
      <c r="J366" s="172"/>
      <c r="K366" s="25"/>
      <c r="L366" s="154"/>
      <c r="M366" s="151"/>
      <c r="N366" s="122"/>
      <c r="O366" s="28"/>
      <c r="P366" s="25"/>
      <c r="Q366" s="50" t="s">
        <v>140</v>
      </c>
      <c r="R366" s="25" t="s">
        <v>303</v>
      </c>
      <c r="S366" s="50"/>
      <c r="T366" s="65"/>
      <c r="U366" s="65"/>
      <c r="V366" s="65"/>
      <c r="W366" s="65"/>
      <c r="X366" s="65"/>
      <c r="Y366" s="65"/>
      <c r="Z366" s="65"/>
      <c r="AA366" s="65"/>
      <c r="AB366" s="65"/>
      <c r="AC366" s="65"/>
      <c r="AD366" s="65"/>
      <c r="AE366" s="65"/>
      <c r="AF366" s="65"/>
    </row>
    <row r="367" spans="1:32" ht="15.75" customHeight="1">
      <c r="A367" s="352"/>
      <c r="B367" s="353"/>
      <c r="C367" s="86">
        <v>8</v>
      </c>
      <c r="D367" s="353"/>
      <c r="E367" s="353"/>
      <c r="F367" s="143"/>
      <c r="G367" s="86"/>
      <c r="H367" s="175" t="s">
        <v>3031</v>
      </c>
      <c r="I367" s="35" t="s">
        <v>3038</v>
      </c>
      <c r="J367" s="172"/>
      <c r="K367" s="25"/>
      <c r="L367" s="154"/>
      <c r="M367" s="151"/>
      <c r="N367" s="122"/>
      <c r="O367" s="28"/>
      <c r="P367" s="25"/>
      <c r="Q367" s="50" t="s">
        <v>140</v>
      </c>
      <c r="R367" s="25" t="s">
        <v>303</v>
      </c>
      <c r="S367" s="50"/>
      <c r="T367" s="65"/>
      <c r="U367" s="65"/>
      <c r="V367" s="65"/>
      <c r="W367" s="65"/>
      <c r="X367" s="65"/>
      <c r="Y367" s="65"/>
      <c r="Z367" s="65"/>
      <c r="AA367" s="65"/>
      <c r="AB367" s="65"/>
      <c r="AC367" s="65"/>
      <c r="AD367" s="65"/>
      <c r="AE367" s="65"/>
      <c r="AF367" s="65"/>
    </row>
    <row r="368" spans="1:32" ht="15.75" customHeight="1">
      <c r="A368" s="352"/>
      <c r="B368" s="354" t="s">
        <v>231</v>
      </c>
      <c r="C368" s="86">
        <v>1</v>
      </c>
      <c r="D368" s="351" t="s">
        <v>3039</v>
      </c>
      <c r="E368" s="351" t="s">
        <v>3040</v>
      </c>
      <c r="F368" s="354" t="s">
        <v>361</v>
      </c>
      <c r="G368" s="86" t="s">
        <v>327</v>
      </c>
      <c r="H368" s="175" t="s">
        <v>3010</v>
      </c>
      <c r="I368" s="35" t="s">
        <v>2968</v>
      </c>
      <c r="J368" s="172"/>
      <c r="K368" s="25"/>
      <c r="L368" s="57"/>
      <c r="M368" s="121"/>
      <c r="N368" s="122"/>
      <c r="O368" s="28"/>
      <c r="P368" s="25"/>
      <c r="Q368" s="50" t="s">
        <v>140</v>
      </c>
      <c r="R368" s="25" t="s">
        <v>303</v>
      </c>
      <c r="S368" s="50"/>
      <c r="T368" s="65"/>
      <c r="U368" s="65"/>
      <c r="V368" s="65"/>
      <c r="W368" s="65"/>
      <c r="X368" s="65"/>
      <c r="Y368" s="65"/>
      <c r="Z368" s="65"/>
      <c r="AA368" s="65"/>
      <c r="AB368" s="65"/>
      <c r="AC368" s="65"/>
      <c r="AD368" s="65"/>
      <c r="AE368" s="65"/>
      <c r="AF368" s="65"/>
    </row>
    <row r="369" spans="1:32" ht="69.75" customHeight="1">
      <c r="A369" s="352"/>
      <c r="B369" s="352"/>
      <c r="C369" s="86">
        <v>2</v>
      </c>
      <c r="D369" s="352"/>
      <c r="E369" s="352"/>
      <c r="F369" s="352"/>
      <c r="G369" s="358" t="s">
        <v>524</v>
      </c>
      <c r="H369" s="175" t="s">
        <v>3041</v>
      </c>
      <c r="I369" s="35" t="s">
        <v>3042</v>
      </c>
      <c r="J369" s="172"/>
      <c r="K369" s="25"/>
      <c r="L369" s="57"/>
      <c r="M369" s="121"/>
      <c r="N369" s="122"/>
      <c r="O369" s="28"/>
      <c r="P369" s="25"/>
      <c r="Q369" s="50" t="s">
        <v>140</v>
      </c>
      <c r="R369" s="25" t="s">
        <v>303</v>
      </c>
      <c r="S369" s="50"/>
      <c r="T369" s="65"/>
      <c r="U369" s="65"/>
      <c r="V369" s="65"/>
      <c r="W369" s="65"/>
      <c r="X369" s="65"/>
      <c r="Y369" s="65"/>
      <c r="Z369" s="65"/>
      <c r="AA369" s="65"/>
      <c r="AB369" s="65"/>
      <c r="AC369" s="65"/>
      <c r="AD369" s="65"/>
      <c r="AE369" s="65"/>
      <c r="AF369" s="65"/>
    </row>
    <row r="370" spans="1:32" ht="15.75" customHeight="1">
      <c r="A370" s="352"/>
      <c r="B370" s="352"/>
      <c r="C370" s="86">
        <v>3</v>
      </c>
      <c r="D370" s="352"/>
      <c r="E370" s="353"/>
      <c r="F370" s="353"/>
      <c r="G370" s="353"/>
      <c r="H370" s="175" t="s">
        <v>3025</v>
      </c>
      <c r="I370" s="35" t="s">
        <v>3043</v>
      </c>
      <c r="J370" s="172"/>
      <c r="K370" s="25"/>
      <c r="L370" s="57"/>
      <c r="M370" s="121"/>
      <c r="N370" s="122"/>
      <c r="O370" s="28"/>
      <c r="P370" s="25"/>
      <c r="Q370" s="50" t="s">
        <v>140</v>
      </c>
      <c r="R370" s="25" t="s">
        <v>303</v>
      </c>
      <c r="S370" s="50"/>
      <c r="T370" s="65"/>
      <c r="U370" s="65"/>
      <c r="V370" s="65"/>
      <c r="W370" s="65"/>
      <c r="X370" s="65"/>
      <c r="Y370" s="65"/>
      <c r="Z370" s="65"/>
      <c r="AA370" s="65"/>
      <c r="AB370" s="65"/>
      <c r="AC370" s="65"/>
      <c r="AD370" s="65"/>
      <c r="AE370" s="65"/>
      <c r="AF370" s="65"/>
    </row>
    <row r="371" spans="1:32" ht="15.75" customHeight="1">
      <c r="A371" s="352"/>
      <c r="B371" s="352"/>
      <c r="C371" s="86">
        <v>4</v>
      </c>
      <c r="D371" s="352"/>
      <c r="E371" s="351" t="s">
        <v>3044</v>
      </c>
      <c r="F371" s="354" t="s">
        <v>361</v>
      </c>
      <c r="G371" s="86" t="s">
        <v>327</v>
      </c>
      <c r="H371" s="175" t="s">
        <v>3010</v>
      </c>
      <c r="I371" s="35" t="s">
        <v>2968</v>
      </c>
      <c r="J371" s="172"/>
      <c r="K371" s="25"/>
      <c r="L371" s="57"/>
      <c r="M371" s="121"/>
      <c r="N371" s="122"/>
      <c r="O371" s="28"/>
      <c r="P371" s="25"/>
      <c r="Q371" s="50" t="s">
        <v>140</v>
      </c>
      <c r="R371" s="25" t="s">
        <v>303</v>
      </c>
      <c r="S371" s="50"/>
      <c r="T371" s="65"/>
      <c r="U371" s="65"/>
      <c r="V371" s="65"/>
      <c r="W371" s="65"/>
      <c r="X371" s="65"/>
      <c r="Y371" s="65"/>
      <c r="Z371" s="65"/>
      <c r="AA371" s="65"/>
      <c r="AB371" s="65"/>
      <c r="AC371" s="65"/>
      <c r="AD371" s="65"/>
      <c r="AE371" s="65"/>
      <c r="AF371" s="65"/>
    </row>
    <row r="372" spans="1:32" ht="69.75" customHeight="1">
      <c r="A372" s="352"/>
      <c r="B372" s="352"/>
      <c r="C372" s="86">
        <v>5</v>
      </c>
      <c r="D372" s="352"/>
      <c r="E372" s="352"/>
      <c r="F372" s="352"/>
      <c r="G372" s="358" t="s">
        <v>524</v>
      </c>
      <c r="H372" s="175" t="s">
        <v>3045</v>
      </c>
      <c r="I372" s="35" t="s">
        <v>3042</v>
      </c>
      <c r="J372" s="172"/>
      <c r="K372" s="25"/>
      <c r="L372" s="57"/>
      <c r="M372" s="121"/>
      <c r="N372" s="122"/>
      <c r="O372" s="28"/>
      <c r="P372" s="25"/>
      <c r="Q372" s="50" t="s">
        <v>140</v>
      </c>
      <c r="R372" s="25" t="s">
        <v>303</v>
      </c>
      <c r="S372" s="50"/>
      <c r="T372" s="65"/>
      <c r="U372" s="65"/>
      <c r="V372" s="65"/>
      <c r="W372" s="65"/>
      <c r="X372" s="65"/>
      <c r="Y372" s="65"/>
      <c r="Z372" s="65"/>
      <c r="AA372" s="65"/>
      <c r="AB372" s="65"/>
      <c r="AC372" s="65"/>
      <c r="AD372" s="65"/>
      <c r="AE372" s="65"/>
      <c r="AF372" s="65"/>
    </row>
    <row r="373" spans="1:32" ht="69.75" customHeight="1">
      <c r="A373" s="352"/>
      <c r="B373" s="352"/>
      <c r="C373" s="86">
        <v>6</v>
      </c>
      <c r="D373" s="352"/>
      <c r="E373" s="352"/>
      <c r="F373" s="353"/>
      <c r="G373" s="353"/>
      <c r="H373" s="175" t="s">
        <v>3025</v>
      </c>
      <c r="I373" s="35" t="s">
        <v>3043</v>
      </c>
      <c r="J373" s="172"/>
      <c r="K373" s="25"/>
      <c r="L373" s="57"/>
      <c r="M373" s="121"/>
      <c r="N373" s="122"/>
      <c r="O373" s="28"/>
      <c r="P373" s="25"/>
      <c r="Q373" s="50" t="s">
        <v>140</v>
      </c>
      <c r="R373" s="25" t="s">
        <v>303</v>
      </c>
      <c r="S373" s="50"/>
      <c r="T373" s="65"/>
      <c r="U373" s="65"/>
      <c r="V373" s="65"/>
      <c r="W373" s="65"/>
      <c r="X373" s="65"/>
      <c r="Y373" s="65"/>
      <c r="Z373" s="65"/>
      <c r="AA373" s="65"/>
      <c r="AB373" s="65"/>
      <c r="AC373" s="65"/>
      <c r="AD373" s="65"/>
      <c r="AE373" s="65"/>
      <c r="AF373" s="65"/>
    </row>
    <row r="374" spans="1:32" ht="15.75" customHeight="1">
      <c r="A374" s="352"/>
      <c r="B374" s="352"/>
      <c r="C374" s="86">
        <v>7</v>
      </c>
      <c r="D374" s="352"/>
      <c r="E374" s="352"/>
      <c r="F374" s="354" t="s">
        <v>361</v>
      </c>
      <c r="G374" s="86" t="s">
        <v>327</v>
      </c>
      <c r="H374" s="175" t="s">
        <v>3010</v>
      </c>
      <c r="I374" s="35" t="s">
        <v>2968</v>
      </c>
      <c r="J374" s="172"/>
      <c r="K374" s="25"/>
      <c r="L374" s="57"/>
      <c r="M374" s="121"/>
      <c r="N374" s="122"/>
      <c r="O374" s="28"/>
      <c r="P374" s="25"/>
      <c r="Q374" s="50" t="s">
        <v>140</v>
      </c>
      <c r="R374" s="25" t="s">
        <v>303</v>
      </c>
      <c r="S374" s="50"/>
      <c r="T374" s="65"/>
      <c r="U374" s="65"/>
      <c r="V374" s="65"/>
      <c r="W374" s="65"/>
      <c r="X374" s="65"/>
      <c r="Y374" s="65"/>
      <c r="Z374" s="65"/>
      <c r="AA374" s="65"/>
      <c r="AB374" s="65"/>
      <c r="AC374" s="65"/>
      <c r="AD374" s="65"/>
      <c r="AE374" s="65"/>
      <c r="AF374" s="65"/>
    </row>
    <row r="375" spans="1:32" ht="69.75" customHeight="1">
      <c r="A375" s="352"/>
      <c r="B375" s="352"/>
      <c r="C375" s="86">
        <v>8</v>
      </c>
      <c r="D375" s="352"/>
      <c r="E375" s="352"/>
      <c r="F375" s="352"/>
      <c r="G375" s="358" t="s">
        <v>524</v>
      </c>
      <c r="H375" s="175" t="s">
        <v>3046</v>
      </c>
      <c r="I375" s="35" t="s">
        <v>3042</v>
      </c>
      <c r="J375" s="172"/>
      <c r="K375" s="25"/>
      <c r="L375" s="57"/>
      <c r="M375" s="121"/>
      <c r="N375" s="122"/>
      <c r="O375" s="28"/>
      <c r="P375" s="25"/>
      <c r="Q375" s="50" t="s">
        <v>140</v>
      </c>
      <c r="R375" s="25" t="s">
        <v>303</v>
      </c>
      <c r="S375" s="50"/>
      <c r="T375" s="65"/>
      <c r="U375" s="65"/>
      <c r="V375" s="65"/>
      <c r="W375" s="65"/>
      <c r="X375" s="65"/>
      <c r="Y375" s="65"/>
      <c r="Z375" s="65"/>
      <c r="AA375" s="65"/>
      <c r="AB375" s="65"/>
      <c r="AC375" s="65"/>
      <c r="AD375" s="65"/>
      <c r="AE375" s="65"/>
      <c r="AF375" s="65"/>
    </row>
    <row r="376" spans="1:32" ht="69.75" customHeight="1">
      <c r="A376" s="352"/>
      <c r="B376" s="352"/>
      <c r="C376" s="86">
        <v>9</v>
      </c>
      <c r="D376" s="352"/>
      <c r="E376" s="353"/>
      <c r="F376" s="353"/>
      <c r="G376" s="353"/>
      <c r="H376" s="175" t="s">
        <v>3025</v>
      </c>
      <c r="I376" s="35" t="s">
        <v>2970</v>
      </c>
      <c r="J376" s="172"/>
      <c r="K376" s="25"/>
      <c r="L376" s="57"/>
      <c r="M376" s="121"/>
      <c r="N376" s="122"/>
      <c r="O376" s="28"/>
      <c r="P376" s="25"/>
      <c r="Q376" s="50" t="s">
        <v>140</v>
      </c>
      <c r="R376" s="25" t="s">
        <v>303</v>
      </c>
      <c r="S376" s="50"/>
      <c r="T376" s="65"/>
      <c r="U376" s="65"/>
      <c r="V376" s="65"/>
      <c r="W376" s="65"/>
      <c r="X376" s="65"/>
      <c r="Y376" s="65"/>
      <c r="Z376" s="65"/>
      <c r="AA376" s="65"/>
      <c r="AB376" s="65"/>
      <c r="AC376" s="65"/>
      <c r="AD376" s="65"/>
      <c r="AE376" s="65"/>
      <c r="AF376" s="65"/>
    </row>
    <row r="377" spans="1:32" ht="15.75" customHeight="1">
      <c r="A377" s="352"/>
      <c r="B377" s="352"/>
      <c r="C377" s="86">
        <v>10</v>
      </c>
      <c r="D377" s="352"/>
      <c r="E377" s="351" t="s">
        <v>3047</v>
      </c>
      <c r="F377" s="354" t="s">
        <v>361</v>
      </c>
      <c r="G377" s="86" t="s">
        <v>327</v>
      </c>
      <c r="H377" s="175" t="s">
        <v>3010</v>
      </c>
      <c r="I377" s="35" t="s">
        <v>2968</v>
      </c>
      <c r="J377" s="172"/>
      <c r="K377" s="25"/>
      <c r="L377" s="57"/>
      <c r="M377" s="121"/>
      <c r="N377" s="122"/>
      <c r="O377" s="28"/>
      <c r="P377" s="25"/>
      <c r="Q377" s="50" t="s">
        <v>140</v>
      </c>
      <c r="R377" s="25" t="s">
        <v>303</v>
      </c>
      <c r="S377" s="50"/>
      <c r="T377" s="65"/>
      <c r="U377" s="65"/>
      <c r="V377" s="65"/>
      <c r="W377" s="65"/>
      <c r="X377" s="65"/>
      <c r="Y377" s="65"/>
      <c r="Z377" s="65"/>
      <c r="AA377" s="65"/>
      <c r="AB377" s="65"/>
      <c r="AC377" s="65"/>
      <c r="AD377" s="65"/>
      <c r="AE377" s="65"/>
      <c r="AF377" s="65"/>
    </row>
    <row r="378" spans="1:32" ht="73.5" customHeight="1">
      <c r="A378" s="352"/>
      <c r="B378" s="352"/>
      <c r="C378" s="86">
        <v>11</v>
      </c>
      <c r="D378" s="352"/>
      <c r="E378" s="352"/>
      <c r="F378" s="352"/>
      <c r="G378" s="358" t="s">
        <v>524</v>
      </c>
      <c r="H378" s="175" t="s">
        <v>3048</v>
      </c>
      <c r="I378" s="35" t="s">
        <v>3042</v>
      </c>
      <c r="J378" s="172"/>
      <c r="K378" s="25"/>
      <c r="L378" s="57"/>
      <c r="M378" s="121"/>
      <c r="N378" s="122"/>
      <c r="O378" s="28"/>
      <c r="P378" s="25"/>
      <c r="Q378" s="50" t="s">
        <v>140</v>
      </c>
      <c r="R378" s="25" t="s">
        <v>303</v>
      </c>
      <c r="S378" s="50"/>
      <c r="T378" s="65"/>
      <c r="U378" s="65"/>
      <c r="V378" s="65"/>
      <c r="W378" s="65"/>
      <c r="X378" s="65"/>
      <c r="Y378" s="65"/>
      <c r="Z378" s="65"/>
      <c r="AA378" s="65"/>
      <c r="AB378" s="65"/>
      <c r="AC378" s="65"/>
      <c r="AD378" s="65"/>
      <c r="AE378" s="65"/>
      <c r="AF378" s="65"/>
    </row>
    <row r="379" spans="1:32" ht="73.5" customHeight="1">
      <c r="A379" s="352"/>
      <c r="B379" s="352"/>
      <c r="C379" s="86">
        <v>12</v>
      </c>
      <c r="D379" s="352"/>
      <c r="E379" s="353"/>
      <c r="F379" s="353"/>
      <c r="G379" s="353"/>
      <c r="H379" s="175" t="s">
        <v>3025</v>
      </c>
      <c r="I379" s="35" t="s">
        <v>3049</v>
      </c>
      <c r="J379" s="172"/>
      <c r="K379" s="25"/>
      <c r="L379" s="57"/>
      <c r="M379" s="121"/>
      <c r="N379" s="122"/>
      <c r="O379" s="28"/>
      <c r="P379" s="25"/>
      <c r="Q379" s="50" t="s">
        <v>140</v>
      </c>
      <c r="R379" s="25" t="s">
        <v>303</v>
      </c>
      <c r="S379" s="50"/>
      <c r="T379" s="65"/>
      <c r="U379" s="65"/>
      <c r="V379" s="65"/>
      <c r="W379" s="65"/>
      <c r="X379" s="65"/>
      <c r="Y379" s="65"/>
      <c r="Z379" s="65"/>
      <c r="AA379" s="65"/>
      <c r="AB379" s="65"/>
      <c r="AC379" s="65"/>
      <c r="AD379" s="65"/>
      <c r="AE379" s="65"/>
      <c r="AF379" s="65"/>
    </row>
    <row r="380" spans="1:32" ht="87" customHeight="1">
      <c r="A380" s="352"/>
      <c r="B380" s="352"/>
      <c r="C380" s="86">
        <v>13</v>
      </c>
      <c r="D380" s="352"/>
      <c r="E380" s="351" t="s">
        <v>3050</v>
      </c>
      <c r="F380" s="354" t="s">
        <v>361</v>
      </c>
      <c r="G380" s="53" t="s">
        <v>327</v>
      </c>
      <c r="H380" s="175" t="s">
        <v>3051</v>
      </c>
      <c r="I380" s="35" t="s">
        <v>2968</v>
      </c>
      <c r="J380" s="172"/>
      <c r="K380" s="25"/>
      <c r="L380" s="57"/>
      <c r="M380" s="121"/>
      <c r="N380" s="122"/>
      <c r="O380" s="28"/>
      <c r="P380" s="25"/>
      <c r="Q380" s="50" t="s">
        <v>140</v>
      </c>
      <c r="R380" s="25" t="s">
        <v>303</v>
      </c>
      <c r="S380" s="50"/>
      <c r="T380" s="65"/>
      <c r="U380" s="65"/>
      <c r="V380" s="65"/>
      <c r="W380" s="65"/>
      <c r="X380" s="65"/>
      <c r="Y380" s="65"/>
      <c r="Z380" s="65"/>
      <c r="AA380" s="65"/>
      <c r="AB380" s="65"/>
      <c r="AC380" s="65"/>
      <c r="AD380" s="65"/>
      <c r="AE380" s="65"/>
      <c r="AF380" s="65"/>
    </row>
    <row r="381" spans="1:32" ht="73.5" customHeight="1">
      <c r="A381" s="352"/>
      <c r="B381" s="352"/>
      <c r="C381" s="86">
        <v>14</v>
      </c>
      <c r="D381" s="352"/>
      <c r="E381" s="352"/>
      <c r="F381" s="352"/>
      <c r="G381" s="53" t="s">
        <v>524</v>
      </c>
      <c r="H381" s="175" t="s">
        <v>3052</v>
      </c>
      <c r="I381" s="35" t="s">
        <v>3042</v>
      </c>
      <c r="J381" s="172"/>
      <c r="K381" s="25"/>
      <c r="L381" s="57"/>
      <c r="M381" s="121"/>
      <c r="N381" s="122"/>
      <c r="O381" s="28"/>
      <c r="P381" s="25"/>
      <c r="Q381" s="50" t="s">
        <v>140</v>
      </c>
      <c r="R381" s="25" t="s">
        <v>303</v>
      </c>
      <c r="S381" s="50"/>
      <c r="T381" s="65"/>
      <c r="U381" s="65"/>
      <c r="V381" s="65"/>
      <c r="W381" s="65"/>
      <c r="X381" s="65"/>
      <c r="Y381" s="65"/>
      <c r="Z381" s="65"/>
      <c r="AA381" s="65"/>
      <c r="AB381" s="65"/>
      <c r="AC381" s="65"/>
      <c r="AD381" s="65"/>
      <c r="AE381" s="65"/>
      <c r="AF381" s="65"/>
    </row>
    <row r="382" spans="1:32" ht="51.75" customHeight="1">
      <c r="A382" s="352"/>
      <c r="B382" s="352"/>
      <c r="C382" s="86">
        <v>15</v>
      </c>
      <c r="D382" s="352"/>
      <c r="E382" s="353"/>
      <c r="F382" s="353"/>
      <c r="G382" s="53" t="s">
        <v>524</v>
      </c>
      <c r="H382" s="175" t="s">
        <v>3053</v>
      </c>
      <c r="I382" s="35" t="s">
        <v>3054</v>
      </c>
      <c r="J382" s="172"/>
      <c r="K382" s="25"/>
      <c r="L382" s="57"/>
      <c r="M382" s="121"/>
      <c r="N382" s="122"/>
      <c r="O382" s="28"/>
      <c r="P382" s="25"/>
      <c r="Q382" s="50" t="s">
        <v>140</v>
      </c>
      <c r="R382" s="25" t="s">
        <v>303</v>
      </c>
      <c r="S382" s="50"/>
      <c r="T382" s="65"/>
      <c r="U382" s="65"/>
      <c r="V382" s="65"/>
      <c r="W382" s="65"/>
      <c r="X382" s="65"/>
      <c r="Y382" s="65"/>
      <c r="Z382" s="65"/>
      <c r="AA382" s="65"/>
      <c r="AB382" s="65"/>
      <c r="AC382" s="65"/>
      <c r="AD382" s="65"/>
      <c r="AE382" s="65"/>
      <c r="AF382" s="65"/>
    </row>
    <row r="383" spans="1:32" ht="15.75" customHeight="1">
      <c r="A383" s="352"/>
      <c r="B383" s="352"/>
      <c r="C383" s="86">
        <v>16</v>
      </c>
      <c r="D383" s="352"/>
      <c r="E383" s="351" t="s">
        <v>3055</v>
      </c>
      <c r="F383" s="354" t="s">
        <v>361</v>
      </c>
      <c r="G383" s="53" t="s">
        <v>327</v>
      </c>
      <c r="H383" s="175" t="s">
        <v>3051</v>
      </c>
      <c r="I383" s="35" t="s">
        <v>2968</v>
      </c>
      <c r="J383" s="172"/>
      <c r="K383" s="25"/>
      <c r="L383" s="57"/>
      <c r="M383" s="121"/>
      <c r="N383" s="122"/>
      <c r="O383" s="28"/>
      <c r="P383" s="25"/>
      <c r="Q383" s="89" t="s">
        <v>393</v>
      </c>
      <c r="R383" s="25" t="s">
        <v>303</v>
      </c>
      <c r="S383" s="50"/>
      <c r="T383" s="65"/>
      <c r="U383" s="65"/>
      <c r="V383" s="65"/>
      <c r="W383" s="65"/>
      <c r="X383" s="65"/>
      <c r="Y383" s="65"/>
      <c r="Z383" s="65"/>
      <c r="AA383" s="65"/>
      <c r="AB383" s="65"/>
      <c r="AC383" s="65"/>
      <c r="AD383" s="65"/>
      <c r="AE383" s="65"/>
      <c r="AF383" s="65"/>
    </row>
    <row r="384" spans="1:32" ht="73.5" customHeight="1">
      <c r="A384" s="352"/>
      <c r="B384" s="352"/>
      <c r="C384" s="86">
        <v>17</v>
      </c>
      <c r="D384" s="352"/>
      <c r="E384" s="352"/>
      <c r="F384" s="352"/>
      <c r="G384" s="53" t="s">
        <v>524</v>
      </c>
      <c r="H384" s="175" t="s">
        <v>3056</v>
      </c>
      <c r="I384" s="35" t="s">
        <v>3057</v>
      </c>
      <c r="J384" s="172"/>
      <c r="K384" s="25"/>
      <c r="L384" s="57"/>
      <c r="M384" s="121"/>
      <c r="N384" s="122"/>
      <c r="O384" s="28"/>
      <c r="P384" s="25"/>
      <c r="Q384" s="89" t="s">
        <v>393</v>
      </c>
      <c r="R384" s="25" t="s">
        <v>303</v>
      </c>
      <c r="S384" s="50"/>
      <c r="T384" s="65"/>
      <c r="U384" s="65"/>
      <c r="V384" s="65"/>
      <c r="W384" s="65"/>
      <c r="X384" s="65"/>
      <c r="Y384" s="65"/>
      <c r="Z384" s="65"/>
      <c r="AA384" s="65"/>
      <c r="AB384" s="65"/>
      <c r="AC384" s="65"/>
      <c r="AD384" s="65"/>
      <c r="AE384" s="65"/>
      <c r="AF384" s="65"/>
    </row>
    <row r="385" spans="1:32" ht="45.75" customHeight="1">
      <c r="A385" s="352"/>
      <c r="B385" s="352"/>
      <c r="C385" s="86">
        <v>18</v>
      </c>
      <c r="D385" s="352"/>
      <c r="E385" s="353"/>
      <c r="F385" s="353"/>
      <c r="G385" s="53" t="s">
        <v>524</v>
      </c>
      <c r="H385" s="175" t="s">
        <v>3058</v>
      </c>
      <c r="I385" s="35" t="s">
        <v>3059</v>
      </c>
      <c r="J385" s="172"/>
      <c r="K385" s="25"/>
      <c r="L385" s="57"/>
      <c r="M385" s="121"/>
      <c r="N385" s="122"/>
      <c r="O385" s="28"/>
      <c r="P385" s="25"/>
      <c r="Q385" s="89" t="s">
        <v>393</v>
      </c>
      <c r="R385" s="25" t="s">
        <v>303</v>
      </c>
      <c r="S385" s="50"/>
      <c r="T385" s="65"/>
      <c r="U385" s="65"/>
      <c r="V385" s="65"/>
      <c r="W385" s="65"/>
      <c r="X385" s="65"/>
      <c r="Y385" s="65"/>
      <c r="Z385" s="65"/>
      <c r="AA385" s="65"/>
      <c r="AB385" s="65"/>
      <c r="AC385" s="65"/>
      <c r="AD385" s="65"/>
      <c r="AE385" s="65"/>
      <c r="AF385" s="65"/>
    </row>
    <row r="386" spans="1:32" ht="15.75" customHeight="1">
      <c r="A386" s="352"/>
      <c r="B386" s="352"/>
      <c r="C386" s="86">
        <v>19</v>
      </c>
      <c r="D386" s="352"/>
      <c r="E386" s="351" t="s">
        <v>3060</v>
      </c>
      <c r="F386" s="354" t="s">
        <v>361</v>
      </c>
      <c r="G386" s="86" t="s">
        <v>327</v>
      </c>
      <c r="H386" s="175" t="s">
        <v>3010</v>
      </c>
      <c r="I386" s="35" t="s">
        <v>2968</v>
      </c>
      <c r="J386" s="172"/>
      <c r="K386" s="25"/>
      <c r="L386" s="57"/>
      <c r="M386" s="121"/>
      <c r="N386" s="122"/>
      <c r="O386" s="28"/>
      <c r="P386" s="25"/>
      <c r="Q386" s="50" t="s">
        <v>140</v>
      </c>
      <c r="R386" s="25" t="s">
        <v>303</v>
      </c>
      <c r="S386" s="50"/>
      <c r="T386" s="65"/>
      <c r="U386" s="65"/>
      <c r="V386" s="65"/>
      <c r="W386" s="65"/>
      <c r="X386" s="65"/>
      <c r="Y386" s="65"/>
      <c r="Z386" s="65"/>
      <c r="AA386" s="65"/>
      <c r="AB386" s="65"/>
      <c r="AC386" s="65"/>
      <c r="AD386" s="65"/>
      <c r="AE386" s="65"/>
      <c r="AF386" s="65"/>
    </row>
    <row r="387" spans="1:32" ht="69.75" customHeight="1">
      <c r="A387" s="352"/>
      <c r="B387" s="352"/>
      <c r="C387" s="86">
        <v>20</v>
      </c>
      <c r="D387" s="352"/>
      <c r="E387" s="352"/>
      <c r="F387" s="352"/>
      <c r="G387" s="358" t="s">
        <v>524</v>
      </c>
      <c r="H387" s="175" t="s">
        <v>3061</v>
      </c>
      <c r="I387" s="35" t="s">
        <v>3042</v>
      </c>
      <c r="J387" s="172"/>
      <c r="K387" s="25"/>
      <c r="L387" s="57"/>
      <c r="M387" s="121"/>
      <c r="N387" s="122"/>
      <c r="O387" s="28"/>
      <c r="P387" s="25"/>
      <c r="Q387" s="50" t="s">
        <v>140</v>
      </c>
      <c r="R387" s="25" t="s">
        <v>303</v>
      </c>
      <c r="S387" s="50"/>
      <c r="T387" s="65"/>
      <c r="U387" s="65"/>
      <c r="V387" s="65"/>
      <c r="W387" s="65"/>
      <c r="X387" s="65"/>
      <c r="Y387" s="65"/>
      <c r="Z387" s="65"/>
      <c r="AA387" s="65"/>
      <c r="AB387" s="65"/>
      <c r="AC387" s="65"/>
      <c r="AD387" s="65"/>
      <c r="AE387" s="65"/>
      <c r="AF387" s="65"/>
    </row>
    <row r="388" spans="1:32" ht="69.75" customHeight="1">
      <c r="A388" s="352"/>
      <c r="B388" s="352"/>
      <c r="C388" s="86">
        <v>21</v>
      </c>
      <c r="D388" s="353"/>
      <c r="E388" s="353"/>
      <c r="F388" s="353"/>
      <c r="G388" s="353"/>
      <c r="H388" s="175" t="s">
        <v>3025</v>
      </c>
      <c r="I388" s="35" t="s">
        <v>3062</v>
      </c>
      <c r="J388" s="172"/>
      <c r="K388" s="25"/>
      <c r="L388" s="57"/>
      <c r="M388" s="121"/>
      <c r="N388" s="122"/>
      <c r="O388" s="28"/>
      <c r="P388" s="25"/>
      <c r="Q388" s="50" t="s">
        <v>140</v>
      </c>
      <c r="R388" s="25" t="s">
        <v>303</v>
      </c>
      <c r="S388" s="50"/>
      <c r="T388" s="65"/>
      <c r="U388" s="65"/>
      <c r="V388" s="65"/>
      <c r="W388" s="65"/>
      <c r="X388" s="65"/>
      <c r="Y388" s="65"/>
      <c r="Z388" s="65"/>
      <c r="AA388" s="65"/>
      <c r="AB388" s="65"/>
      <c r="AC388" s="65"/>
      <c r="AD388" s="65"/>
      <c r="AE388" s="65"/>
      <c r="AF388" s="65"/>
    </row>
    <row r="389" spans="1:32" ht="69.75" customHeight="1">
      <c r="A389" s="352"/>
      <c r="B389" s="352"/>
      <c r="C389" s="86">
        <v>1</v>
      </c>
      <c r="D389" s="351" t="s">
        <v>3063</v>
      </c>
      <c r="E389" s="351" t="s">
        <v>3040</v>
      </c>
      <c r="F389" s="354" t="s">
        <v>361</v>
      </c>
      <c r="G389" s="86" t="s">
        <v>327</v>
      </c>
      <c r="H389" s="175" t="s">
        <v>3010</v>
      </c>
      <c r="I389" s="35" t="s">
        <v>2968</v>
      </c>
      <c r="J389" s="172"/>
      <c r="K389" s="25"/>
      <c r="L389" s="57"/>
      <c r="M389" s="121"/>
      <c r="N389" s="122"/>
      <c r="O389" s="28"/>
      <c r="P389" s="25"/>
      <c r="Q389" s="50" t="s">
        <v>140</v>
      </c>
      <c r="R389" s="25" t="s">
        <v>303</v>
      </c>
      <c r="S389" s="50"/>
      <c r="T389" s="65"/>
      <c r="U389" s="65"/>
      <c r="V389" s="65"/>
      <c r="W389" s="65"/>
      <c r="X389" s="65"/>
      <c r="Y389" s="65"/>
      <c r="Z389" s="65"/>
      <c r="AA389" s="65"/>
      <c r="AB389" s="65"/>
      <c r="AC389" s="65"/>
      <c r="AD389" s="65"/>
      <c r="AE389" s="65"/>
      <c r="AF389" s="65"/>
    </row>
    <row r="390" spans="1:32" ht="69.75" customHeight="1">
      <c r="A390" s="352"/>
      <c r="B390" s="352"/>
      <c r="C390" s="86">
        <v>2</v>
      </c>
      <c r="D390" s="352"/>
      <c r="E390" s="352"/>
      <c r="F390" s="352"/>
      <c r="G390" s="354" t="s">
        <v>524</v>
      </c>
      <c r="H390" s="175" t="s">
        <v>3041</v>
      </c>
      <c r="I390" s="35" t="s">
        <v>3064</v>
      </c>
      <c r="J390" s="172"/>
      <c r="K390" s="25"/>
      <c r="L390" s="57"/>
      <c r="M390" s="121"/>
      <c r="N390" s="122"/>
      <c r="O390" s="28"/>
      <c r="P390" s="25"/>
      <c r="Q390" s="50" t="s">
        <v>140</v>
      </c>
      <c r="R390" s="25" t="s">
        <v>303</v>
      </c>
      <c r="S390" s="50"/>
      <c r="T390" s="65"/>
      <c r="U390" s="65"/>
      <c r="V390" s="65"/>
      <c r="W390" s="65"/>
      <c r="X390" s="65"/>
      <c r="Y390" s="65"/>
      <c r="Z390" s="65"/>
      <c r="AA390" s="65"/>
      <c r="AB390" s="65"/>
      <c r="AC390" s="65"/>
      <c r="AD390" s="65"/>
      <c r="AE390" s="65"/>
      <c r="AF390" s="65"/>
    </row>
    <row r="391" spans="1:32" ht="69.75" customHeight="1">
      <c r="A391" s="352"/>
      <c r="B391" s="352"/>
      <c r="C391" s="86">
        <v>3</v>
      </c>
      <c r="D391" s="352"/>
      <c r="E391" s="352"/>
      <c r="F391" s="352"/>
      <c r="G391" s="352"/>
      <c r="H391" s="175" t="s">
        <v>3025</v>
      </c>
      <c r="I391" s="35" t="s">
        <v>2998</v>
      </c>
      <c r="J391" s="172"/>
      <c r="K391" s="25"/>
      <c r="L391" s="57"/>
      <c r="M391" s="121"/>
      <c r="N391" s="122"/>
      <c r="O391" s="28"/>
      <c r="P391" s="25"/>
      <c r="Q391" s="50" t="s">
        <v>140</v>
      </c>
      <c r="R391" s="25" t="s">
        <v>303</v>
      </c>
      <c r="S391" s="50"/>
      <c r="T391" s="65"/>
      <c r="U391" s="65"/>
      <c r="V391" s="65"/>
      <c r="W391" s="65"/>
      <c r="X391" s="65"/>
      <c r="Y391" s="65"/>
      <c r="Z391" s="65"/>
      <c r="AA391" s="65"/>
      <c r="AB391" s="65"/>
      <c r="AC391" s="65"/>
      <c r="AD391" s="65"/>
      <c r="AE391" s="65"/>
      <c r="AF391" s="65"/>
    </row>
    <row r="392" spans="1:32" ht="69.75" customHeight="1">
      <c r="A392" s="352"/>
      <c r="B392" s="352"/>
      <c r="C392" s="86">
        <v>4</v>
      </c>
      <c r="D392" s="352"/>
      <c r="E392" s="353"/>
      <c r="F392" s="353"/>
      <c r="G392" s="353"/>
      <c r="H392" s="175" t="s">
        <v>2999</v>
      </c>
      <c r="I392" s="35" t="s">
        <v>3000</v>
      </c>
      <c r="J392" s="172"/>
      <c r="K392" s="25"/>
      <c r="L392" s="57"/>
      <c r="M392" s="121"/>
      <c r="N392" s="122"/>
      <c r="O392" s="28"/>
      <c r="P392" s="25"/>
      <c r="Q392" s="50" t="s">
        <v>140</v>
      </c>
      <c r="R392" s="25" t="s">
        <v>303</v>
      </c>
      <c r="S392" s="50"/>
      <c r="T392" s="65"/>
      <c r="U392" s="65"/>
      <c r="V392" s="65"/>
      <c r="W392" s="65"/>
      <c r="X392" s="65"/>
      <c r="Y392" s="65"/>
      <c r="Z392" s="65"/>
      <c r="AA392" s="65"/>
      <c r="AB392" s="65"/>
      <c r="AC392" s="65"/>
      <c r="AD392" s="65"/>
      <c r="AE392" s="65"/>
      <c r="AF392" s="65"/>
    </row>
    <row r="393" spans="1:32" ht="69.75" customHeight="1">
      <c r="A393" s="352"/>
      <c r="B393" s="352"/>
      <c r="C393" s="86">
        <v>5</v>
      </c>
      <c r="D393" s="352"/>
      <c r="E393" s="351" t="s">
        <v>3065</v>
      </c>
      <c r="F393" s="354" t="s">
        <v>361</v>
      </c>
      <c r="G393" s="86" t="s">
        <v>327</v>
      </c>
      <c r="H393" s="175" t="s">
        <v>3010</v>
      </c>
      <c r="I393" s="35" t="s">
        <v>2968</v>
      </c>
      <c r="J393" s="172"/>
      <c r="K393" s="25"/>
      <c r="L393" s="57"/>
      <c r="M393" s="121"/>
      <c r="N393" s="122"/>
      <c r="O393" s="28"/>
      <c r="P393" s="25"/>
      <c r="Q393" s="50" t="s">
        <v>140</v>
      </c>
      <c r="R393" s="25" t="s">
        <v>303</v>
      </c>
      <c r="S393" s="50"/>
      <c r="T393" s="65"/>
      <c r="U393" s="65"/>
      <c r="V393" s="65"/>
      <c r="W393" s="65"/>
      <c r="X393" s="65"/>
      <c r="Y393" s="65"/>
      <c r="Z393" s="65"/>
      <c r="AA393" s="65"/>
      <c r="AB393" s="65"/>
      <c r="AC393" s="65"/>
      <c r="AD393" s="65"/>
      <c r="AE393" s="65"/>
      <c r="AF393" s="65"/>
    </row>
    <row r="394" spans="1:32" ht="69.75" customHeight="1">
      <c r="A394" s="352"/>
      <c r="B394" s="352"/>
      <c r="C394" s="86">
        <v>6</v>
      </c>
      <c r="D394" s="352"/>
      <c r="E394" s="352"/>
      <c r="F394" s="352"/>
      <c r="G394" s="354" t="s">
        <v>524</v>
      </c>
      <c r="H394" s="175" t="s">
        <v>3045</v>
      </c>
      <c r="I394" s="35" t="s">
        <v>3064</v>
      </c>
      <c r="J394" s="172"/>
      <c r="K394" s="25"/>
      <c r="L394" s="57"/>
      <c r="M394" s="121"/>
      <c r="N394" s="122"/>
      <c r="O394" s="28"/>
      <c r="P394" s="25"/>
      <c r="Q394" s="50" t="s">
        <v>140</v>
      </c>
      <c r="R394" s="25" t="s">
        <v>303</v>
      </c>
      <c r="S394" s="50"/>
      <c r="T394" s="65"/>
      <c r="U394" s="65"/>
      <c r="V394" s="65"/>
      <c r="W394" s="65"/>
      <c r="X394" s="65"/>
      <c r="Y394" s="65"/>
      <c r="Z394" s="65"/>
      <c r="AA394" s="65"/>
      <c r="AB394" s="65"/>
      <c r="AC394" s="65"/>
      <c r="AD394" s="65"/>
      <c r="AE394" s="65"/>
      <c r="AF394" s="65"/>
    </row>
    <row r="395" spans="1:32" ht="69.75" customHeight="1">
      <c r="A395" s="352"/>
      <c r="B395" s="352"/>
      <c r="C395" s="86">
        <v>7</v>
      </c>
      <c r="D395" s="352"/>
      <c r="E395" s="352"/>
      <c r="F395" s="352"/>
      <c r="G395" s="352"/>
      <c r="H395" s="175" t="s">
        <v>3025</v>
      </c>
      <c r="I395" s="35" t="s">
        <v>2998</v>
      </c>
      <c r="J395" s="172"/>
      <c r="K395" s="25"/>
      <c r="L395" s="57"/>
      <c r="M395" s="121"/>
      <c r="N395" s="122"/>
      <c r="O395" s="28"/>
      <c r="P395" s="25"/>
      <c r="Q395" s="50" t="s">
        <v>140</v>
      </c>
      <c r="R395" s="25" t="s">
        <v>303</v>
      </c>
      <c r="S395" s="50"/>
      <c r="T395" s="65"/>
      <c r="U395" s="65"/>
      <c r="V395" s="65"/>
      <c r="W395" s="65"/>
      <c r="X395" s="65"/>
      <c r="Y395" s="65"/>
      <c r="Z395" s="65"/>
      <c r="AA395" s="65"/>
      <c r="AB395" s="65"/>
      <c r="AC395" s="65"/>
      <c r="AD395" s="65"/>
      <c r="AE395" s="65"/>
      <c r="AF395" s="65"/>
    </row>
    <row r="396" spans="1:32" ht="69.75" customHeight="1">
      <c r="A396" s="352"/>
      <c r="B396" s="352"/>
      <c r="C396" s="86">
        <v>8</v>
      </c>
      <c r="D396" s="352"/>
      <c r="E396" s="353"/>
      <c r="F396" s="353"/>
      <c r="G396" s="353"/>
      <c r="H396" s="175" t="s">
        <v>2999</v>
      </c>
      <c r="I396" s="35" t="s">
        <v>3000</v>
      </c>
      <c r="J396" s="172"/>
      <c r="K396" s="25"/>
      <c r="L396" s="57"/>
      <c r="M396" s="121"/>
      <c r="N396" s="122"/>
      <c r="O396" s="28"/>
      <c r="P396" s="25"/>
      <c r="Q396" s="50" t="s">
        <v>140</v>
      </c>
      <c r="R396" s="25" t="s">
        <v>303</v>
      </c>
      <c r="S396" s="50"/>
      <c r="T396" s="65"/>
      <c r="U396" s="65"/>
      <c r="V396" s="65"/>
      <c r="W396" s="65"/>
      <c r="X396" s="65"/>
      <c r="Y396" s="65"/>
      <c r="Z396" s="65"/>
      <c r="AA396" s="65"/>
      <c r="AB396" s="65"/>
      <c r="AC396" s="65"/>
      <c r="AD396" s="65"/>
      <c r="AE396" s="65"/>
      <c r="AF396" s="65"/>
    </row>
    <row r="397" spans="1:32" ht="69.75" customHeight="1">
      <c r="A397" s="352"/>
      <c r="B397" s="352"/>
      <c r="C397" s="86">
        <v>9</v>
      </c>
      <c r="D397" s="352"/>
      <c r="E397" s="351" t="s">
        <v>3066</v>
      </c>
      <c r="F397" s="354" t="s">
        <v>361</v>
      </c>
      <c r="G397" s="86" t="s">
        <v>327</v>
      </c>
      <c r="H397" s="175" t="s">
        <v>3010</v>
      </c>
      <c r="I397" s="35" t="s">
        <v>2968</v>
      </c>
      <c r="J397" s="172"/>
      <c r="K397" s="25"/>
      <c r="L397" s="57"/>
      <c r="M397" s="121"/>
      <c r="N397" s="122"/>
      <c r="O397" s="28"/>
      <c r="P397" s="25"/>
      <c r="Q397" s="50" t="s">
        <v>140</v>
      </c>
      <c r="R397" s="25" t="s">
        <v>303</v>
      </c>
      <c r="S397" s="50"/>
      <c r="T397" s="65"/>
      <c r="U397" s="65"/>
      <c r="V397" s="65"/>
      <c r="W397" s="65"/>
      <c r="X397" s="65"/>
      <c r="Y397" s="65"/>
      <c r="Z397" s="65"/>
      <c r="AA397" s="65"/>
      <c r="AB397" s="65"/>
      <c r="AC397" s="65"/>
      <c r="AD397" s="65"/>
      <c r="AE397" s="65"/>
      <c r="AF397" s="65"/>
    </row>
    <row r="398" spans="1:32" ht="69.75" customHeight="1">
      <c r="A398" s="352"/>
      <c r="B398" s="352"/>
      <c r="C398" s="86">
        <v>10</v>
      </c>
      <c r="D398" s="352"/>
      <c r="E398" s="352"/>
      <c r="F398" s="352"/>
      <c r="G398" s="354" t="s">
        <v>524</v>
      </c>
      <c r="H398" s="175" t="s">
        <v>3046</v>
      </c>
      <c r="I398" s="35" t="s">
        <v>3064</v>
      </c>
      <c r="J398" s="172"/>
      <c r="K398" s="25"/>
      <c r="L398" s="57"/>
      <c r="M398" s="121"/>
      <c r="N398" s="122"/>
      <c r="O398" s="28"/>
      <c r="P398" s="25"/>
      <c r="Q398" s="50" t="s">
        <v>140</v>
      </c>
      <c r="R398" s="25" t="s">
        <v>303</v>
      </c>
      <c r="S398" s="50"/>
      <c r="T398" s="65"/>
      <c r="U398" s="65"/>
      <c r="V398" s="65"/>
      <c r="W398" s="65"/>
      <c r="X398" s="65"/>
      <c r="Y398" s="65"/>
      <c r="Z398" s="65"/>
      <c r="AA398" s="65"/>
      <c r="AB398" s="65"/>
      <c r="AC398" s="65"/>
      <c r="AD398" s="65"/>
      <c r="AE398" s="65"/>
      <c r="AF398" s="65"/>
    </row>
    <row r="399" spans="1:32" ht="69.75" customHeight="1">
      <c r="A399" s="352"/>
      <c r="B399" s="352"/>
      <c r="C399" s="86">
        <v>11</v>
      </c>
      <c r="D399" s="352"/>
      <c r="E399" s="352"/>
      <c r="F399" s="352"/>
      <c r="G399" s="352"/>
      <c r="H399" s="175" t="s">
        <v>3025</v>
      </c>
      <c r="I399" s="35" t="s">
        <v>2998</v>
      </c>
      <c r="J399" s="172"/>
      <c r="K399" s="25"/>
      <c r="L399" s="57"/>
      <c r="M399" s="121"/>
      <c r="N399" s="122"/>
      <c r="O399" s="28"/>
      <c r="P399" s="25"/>
      <c r="Q399" s="50" t="s">
        <v>140</v>
      </c>
      <c r="R399" s="25" t="s">
        <v>303</v>
      </c>
      <c r="S399" s="50"/>
      <c r="T399" s="65"/>
      <c r="U399" s="65"/>
      <c r="V399" s="65"/>
      <c r="W399" s="65"/>
      <c r="X399" s="65"/>
      <c r="Y399" s="65"/>
      <c r="Z399" s="65"/>
      <c r="AA399" s="65"/>
      <c r="AB399" s="65"/>
      <c r="AC399" s="65"/>
      <c r="AD399" s="65"/>
      <c r="AE399" s="65"/>
      <c r="AF399" s="65"/>
    </row>
    <row r="400" spans="1:32" ht="69.75" customHeight="1">
      <c r="A400" s="352"/>
      <c r="B400" s="352"/>
      <c r="C400" s="86">
        <v>12</v>
      </c>
      <c r="D400" s="352"/>
      <c r="E400" s="353"/>
      <c r="F400" s="353"/>
      <c r="G400" s="353"/>
      <c r="H400" s="175" t="s">
        <v>2999</v>
      </c>
      <c r="I400" s="35" t="s">
        <v>3000</v>
      </c>
      <c r="J400" s="172"/>
      <c r="K400" s="25"/>
      <c r="L400" s="57"/>
      <c r="M400" s="121"/>
      <c r="N400" s="122"/>
      <c r="O400" s="28"/>
      <c r="P400" s="25"/>
      <c r="Q400" s="50" t="s">
        <v>140</v>
      </c>
      <c r="R400" s="25" t="s">
        <v>303</v>
      </c>
      <c r="S400" s="50"/>
      <c r="T400" s="65"/>
      <c r="U400" s="65"/>
      <c r="V400" s="65"/>
      <c r="W400" s="65"/>
      <c r="X400" s="65"/>
      <c r="Y400" s="65"/>
      <c r="Z400" s="65"/>
      <c r="AA400" s="65"/>
      <c r="AB400" s="65"/>
      <c r="AC400" s="65"/>
      <c r="AD400" s="65"/>
      <c r="AE400" s="65"/>
      <c r="AF400" s="65"/>
    </row>
    <row r="401" spans="1:32" ht="69.75" customHeight="1">
      <c r="A401" s="352"/>
      <c r="B401" s="352"/>
      <c r="C401" s="86">
        <v>13</v>
      </c>
      <c r="D401" s="352"/>
      <c r="E401" s="351" t="s">
        <v>3067</v>
      </c>
      <c r="F401" s="354" t="s">
        <v>361</v>
      </c>
      <c r="G401" s="86" t="s">
        <v>327</v>
      </c>
      <c r="H401" s="175" t="s">
        <v>3010</v>
      </c>
      <c r="I401" s="35" t="s">
        <v>2968</v>
      </c>
      <c r="J401" s="172"/>
      <c r="K401" s="25"/>
      <c r="L401" s="57"/>
      <c r="M401" s="121"/>
      <c r="N401" s="122"/>
      <c r="O401" s="28"/>
      <c r="P401" s="25"/>
      <c r="Q401" s="50" t="s">
        <v>140</v>
      </c>
      <c r="R401" s="25" t="s">
        <v>303</v>
      </c>
      <c r="S401" s="50"/>
      <c r="T401" s="65"/>
      <c r="U401" s="65"/>
      <c r="V401" s="65"/>
      <c r="W401" s="65"/>
      <c r="X401" s="65"/>
      <c r="Y401" s="65"/>
      <c r="Z401" s="65"/>
      <c r="AA401" s="65"/>
      <c r="AB401" s="65"/>
      <c r="AC401" s="65"/>
      <c r="AD401" s="65"/>
      <c r="AE401" s="65"/>
      <c r="AF401" s="65"/>
    </row>
    <row r="402" spans="1:32" ht="69.75" customHeight="1">
      <c r="A402" s="352"/>
      <c r="B402" s="352"/>
      <c r="C402" s="86">
        <v>14</v>
      </c>
      <c r="D402" s="352"/>
      <c r="E402" s="352"/>
      <c r="F402" s="352"/>
      <c r="G402" s="354" t="s">
        <v>524</v>
      </c>
      <c r="H402" s="175" t="s">
        <v>3068</v>
      </c>
      <c r="I402" s="35" t="s">
        <v>3064</v>
      </c>
      <c r="J402" s="172"/>
      <c r="K402" s="25"/>
      <c r="L402" s="57"/>
      <c r="M402" s="121"/>
      <c r="N402" s="122"/>
      <c r="O402" s="28"/>
      <c r="P402" s="25"/>
      <c r="Q402" s="50" t="s">
        <v>140</v>
      </c>
      <c r="R402" s="25" t="s">
        <v>303</v>
      </c>
      <c r="S402" s="50"/>
      <c r="T402" s="65"/>
      <c r="U402" s="65"/>
      <c r="V402" s="65"/>
      <c r="W402" s="65"/>
      <c r="X402" s="65"/>
      <c r="Y402" s="65"/>
      <c r="Z402" s="65"/>
      <c r="AA402" s="65"/>
      <c r="AB402" s="65"/>
      <c r="AC402" s="65"/>
      <c r="AD402" s="65"/>
      <c r="AE402" s="65"/>
      <c r="AF402" s="65"/>
    </row>
    <row r="403" spans="1:32" ht="69.75" customHeight="1">
      <c r="A403" s="352"/>
      <c r="B403" s="352"/>
      <c r="C403" s="86">
        <v>15</v>
      </c>
      <c r="D403" s="352"/>
      <c r="E403" s="352"/>
      <c r="F403" s="352"/>
      <c r="G403" s="352"/>
      <c r="H403" s="175" t="s">
        <v>3025</v>
      </c>
      <c r="I403" s="35" t="s">
        <v>3003</v>
      </c>
      <c r="J403" s="172"/>
      <c r="K403" s="25"/>
      <c r="L403" s="57"/>
      <c r="M403" s="121"/>
      <c r="N403" s="122"/>
      <c r="O403" s="28"/>
      <c r="P403" s="25"/>
      <c r="Q403" s="50" t="s">
        <v>140</v>
      </c>
      <c r="R403" s="25" t="s">
        <v>303</v>
      </c>
      <c r="S403" s="50"/>
      <c r="T403" s="65"/>
      <c r="U403" s="65"/>
      <c r="V403" s="65"/>
      <c r="W403" s="65"/>
      <c r="X403" s="65"/>
      <c r="Y403" s="65"/>
      <c r="Z403" s="65"/>
      <c r="AA403" s="65"/>
      <c r="AB403" s="65"/>
      <c r="AC403" s="65"/>
      <c r="AD403" s="65"/>
      <c r="AE403" s="65"/>
      <c r="AF403" s="65"/>
    </row>
    <row r="404" spans="1:32" ht="69.75" customHeight="1">
      <c r="A404" s="352"/>
      <c r="B404" s="352"/>
      <c r="C404" s="86">
        <v>16</v>
      </c>
      <c r="D404" s="352"/>
      <c r="E404" s="353"/>
      <c r="F404" s="353"/>
      <c r="G404" s="353"/>
      <c r="H404" s="175" t="s">
        <v>3069</v>
      </c>
      <c r="I404" s="35" t="s">
        <v>3070</v>
      </c>
      <c r="J404" s="172"/>
      <c r="K404" s="25"/>
      <c r="L404" s="57"/>
      <c r="M404" s="121"/>
      <c r="N404" s="122"/>
      <c r="O404" s="28"/>
      <c r="P404" s="25"/>
      <c r="Q404" s="50" t="s">
        <v>140</v>
      </c>
      <c r="R404" s="25" t="s">
        <v>303</v>
      </c>
      <c r="S404" s="50"/>
      <c r="T404" s="65"/>
      <c r="U404" s="65"/>
      <c r="V404" s="65"/>
      <c r="W404" s="65"/>
      <c r="X404" s="65"/>
      <c r="Y404" s="65"/>
      <c r="Z404" s="65"/>
      <c r="AA404" s="65"/>
      <c r="AB404" s="65"/>
      <c r="AC404" s="65"/>
      <c r="AD404" s="65"/>
      <c r="AE404" s="65"/>
      <c r="AF404" s="65"/>
    </row>
    <row r="405" spans="1:32" ht="69.75" customHeight="1">
      <c r="A405" s="352"/>
      <c r="B405" s="352"/>
      <c r="C405" s="86">
        <v>17</v>
      </c>
      <c r="D405" s="352"/>
      <c r="E405" s="351" t="s">
        <v>3047</v>
      </c>
      <c r="F405" s="354" t="s">
        <v>361</v>
      </c>
      <c r="G405" s="86" t="s">
        <v>327</v>
      </c>
      <c r="H405" s="175" t="s">
        <v>3010</v>
      </c>
      <c r="I405" s="35" t="s">
        <v>2968</v>
      </c>
      <c r="J405" s="172"/>
      <c r="K405" s="25"/>
      <c r="L405" s="57"/>
      <c r="M405" s="121"/>
      <c r="N405" s="122"/>
      <c r="O405" s="28"/>
      <c r="P405" s="25"/>
      <c r="Q405" s="50" t="s">
        <v>140</v>
      </c>
      <c r="R405" s="25" t="s">
        <v>303</v>
      </c>
      <c r="S405" s="50"/>
      <c r="T405" s="65"/>
      <c r="U405" s="65"/>
      <c r="V405" s="65"/>
      <c r="W405" s="65"/>
      <c r="X405" s="65"/>
      <c r="Y405" s="65"/>
      <c r="Z405" s="65"/>
      <c r="AA405" s="65"/>
      <c r="AB405" s="65"/>
      <c r="AC405" s="65"/>
      <c r="AD405" s="65"/>
      <c r="AE405" s="65"/>
      <c r="AF405" s="65"/>
    </row>
    <row r="406" spans="1:32" ht="69.75" customHeight="1">
      <c r="A406" s="352"/>
      <c r="B406" s="352"/>
      <c r="C406" s="86">
        <v>18</v>
      </c>
      <c r="D406" s="352"/>
      <c r="E406" s="352"/>
      <c r="F406" s="352"/>
      <c r="G406" s="358" t="s">
        <v>524</v>
      </c>
      <c r="H406" s="175" t="s">
        <v>3048</v>
      </c>
      <c r="I406" s="35" t="s">
        <v>3064</v>
      </c>
      <c r="J406" s="172"/>
      <c r="K406" s="25"/>
      <c r="L406" s="57"/>
      <c r="M406" s="121"/>
      <c r="N406" s="122"/>
      <c r="O406" s="28"/>
      <c r="P406" s="25"/>
      <c r="Q406" s="50" t="s">
        <v>140</v>
      </c>
      <c r="R406" s="25" t="s">
        <v>303</v>
      </c>
      <c r="S406" s="50"/>
      <c r="T406" s="65"/>
      <c r="U406" s="65"/>
      <c r="V406" s="65"/>
      <c r="W406" s="65"/>
      <c r="X406" s="65"/>
      <c r="Y406" s="65"/>
      <c r="Z406" s="65"/>
      <c r="AA406" s="65"/>
      <c r="AB406" s="65"/>
      <c r="AC406" s="65"/>
      <c r="AD406" s="65"/>
      <c r="AE406" s="65"/>
      <c r="AF406" s="65"/>
    </row>
    <row r="407" spans="1:32" ht="69.75" customHeight="1">
      <c r="A407" s="352"/>
      <c r="B407" s="352"/>
      <c r="C407" s="86">
        <v>19</v>
      </c>
      <c r="D407" s="352"/>
      <c r="E407" s="353"/>
      <c r="F407" s="353"/>
      <c r="G407" s="353"/>
      <c r="H407" s="175" t="s">
        <v>3025</v>
      </c>
      <c r="I407" s="35" t="s">
        <v>3003</v>
      </c>
      <c r="J407" s="172"/>
      <c r="K407" s="25"/>
      <c r="L407" s="57"/>
      <c r="M407" s="121"/>
      <c r="N407" s="122"/>
      <c r="O407" s="28"/>
      <c r="P407" s="25"/>
      <c r="Q407" s="50" t="s">
        <v>140</v>
      </c>
      <c r="R407" s="25" t="s">
        <v>303</v>
      </c>
      <c r="S407" s="50"/>
      <c r="T407" s="65"/>
      <c r="U407" s="65"/>
      <c r="V407" s="65"/>
      <c r="W407" s="65"/>
      <c r="X407" s="65"/>
      <c r="Y407" s="65"/>
      <c r="Z407" s="65"/>
      <c r="AA407" s="65"/>
      <c r="AB407" s="65"/>
      <c r="AC407" s="65"/>
      <c r="AD407" s="65"/>
      <c r="AE407" s="65"/>
      <c r="AF407" s="65"/>
    </row>
    <row r="408" spans="1:32" ht="69.75" customHeight="1">
      <c r="A408" s="352"/>
      <c r="B408" s="352"/>
      <c r="C408" s="86">
        <v>20</v>
      </c>
      <c r="D408" s="352"/>
      <c r="E408" s="351" t="s">
        <v>3071</v>
      </c>
      <c r="F408" s="354" t="s">
        <v>361</v>
      </c>
      <c r="G408" s="86" t="s">
        <v>327</v>
      </c>
      <c r="H408" s="175" t="s">
        <v>3010</v>
      </c>
      <c r="I408" s="35" t="s">
        <v>2968</v>
      </c>
      <c r="J408" s="172"/>
      <c r="K408" s="25"/>
      <c r="L408" s="57"/>
      <c r="M408" s="121"/>
      <c r="N408" s="122"/>
      <c r="O408" s="28"/>
      <c r="P408" s="25"/>
      <c r="Q408" s="50" t="s">
        <v>140</v>
      </c>
      <c r="R408" s="25" t="s">
        <v>303</v>
      </c>
      <c r="S408" s="50"/>
      <c r="T408" s="65"/>
      <c r="U408" s="65"/>
      <c r="V408" s="65"/>
      <c r="W408" s="65"/>
      <c r="X408" s="65"/>
      <c r="Y408" s="65"/>
      <c r="Z408" s="65"/>
      <c r="AA408" s="65"/>
      <c r="AB408" s="65"/>
      <c r="AC408" s="65"/>
      <c r="AD408" s="65"/>
      <c r="AE408" s="65"/>
      <c r="AF408" s="65"/>
    </row>
    <row r="409" spans="1:32" ht="69.75" customHeight="1">
      <c r="A409" s="352"/>
      <c r="B409" s="352"/>
      <c r="C409" s="86">
        <v>21</v>
      </c>
      <c r="D409" s="352"/>
      <c r="E409" s="352"/>
      <c r="F409" s="352"/>
      <c r="G409" s="358" t="s">
        <v>524</v>
      </c>
      <c r="H409" s="175" t="s">
        <v>3072</v>
      </c>
      <c r="I409" s="35" t="s">
        <v>3073</v>
      </c>
      <c r="J409" s="172"/>
      <c r="K409" s="25"/>
      <c r="L409" s="57"/>
      <c r="M409" s="121"/>
      <c r="N409" s="122"/>
      <c r="O409" s="28"/>
      <c r="P409" s="25"/>
      <c r="Q409" s="50" t="s">
        <v>140</v>
      </c>
      <c r="R409" s="25" t="s">
        <v>303</v>
      </c>
      <c r="S409" s="50"/>
      <c r="T409" s="65"/>
      <c r="U409" s="65"/>
      <c r="V409" s="65"/>
      <c r="W409" s="65"/>
      <c r="X409" s="65"/>
      <c r="Y409" s="65"/>
      <c r="Z409" s="65"/>
      <c r="AA409" s="65"/>
      <c r="AB409" s="65"/>
      <c r="AC409" s="65"/>
      <c r="AD409" s="65"/>
      <c r="AE409" s="65"/>
      <c r="AF409" s="65"/>
    </row>
    <row r="410" spans="1:32" ht="69.75" customHeight="1">
      <c r="A410" s="352"/>
      <c r="B410" s="352"/>
      <c r="C410" s="86">
        <v>22</v>
      </c>
      <c r="D410" s="352"/>
      <c r="E410" s="353"/>
      <c r="F410" s="353"/>
      <c r="G410" s="353"/>
      <c r="H410" s="175" t="s">
        <v>3025</v>
      </c>
      <c r="I410" s="35" t="s">
        <v>3003</v>
      </c>
      <c r="J410" s="172"/>
      <c r="K410" s="25"/>
      <c r="L410" s="57"/>
      <c r="M410" s="121"/>
      <c r="N410" s="122"/>
      <c r="O410" s="28"/>
      <c r="P410" s="25"/>
      <c r="Q410" s="50" t="s">
        <v>140</v>
      </c>
      <c r="R410" s="25" t="s">
        <v>303</v>
      </c>
      <c r="S410" s="50"/>
      <c r="T410" s="65"/>
      <c r="U410" s="65"/>
      <c r="V410" s="65"/>
      <c r="W410" s="65"/>
      <c r="X410" s="65"/>
      <c r="Y410" s="65"/>
      <c r="Z410" s="65"/>
      <c r="AA410" s="65"/>
      <c r="AB410" s="65"/>
      <c r="AC410" s="65"/>
      <c r="AD410" s="65"/>
      <c r="AE410" s="65"/>
      <c r="AF410" s="65"/>
    </row>
    <row r="411" spans="1:32" ht="69.75" customHeight="1">
      <c r="A411" s="352"/>
      <c r="B411" s="352"/>
      <c r="C411" s="86">
        <v>23</v>
      </c>
      <c r="D411" s="352"/>
      <c r="E411" s="351" t="s">
        <v>3074</v>
      </c>
      <c r="F411" s="354" t="s">
        <v>361</v>
      </c>
      <c r="G411" s="86" t="s">
        <v>327</v>
      </c>
      <c r="H411" s="175" t="s">
        <v>3010</v>
      </c>
      <c r="I411" s="35" t="s">
        <v>2968</v>
      </c>
      <c r="J411" s="172"/>
      <c r="K411" s="25"/>
      <c r="L411" s="57"/>
      <c r="M411" s="121"/>
      <c r="N411" s="122"/>
      <c r="O411" s="28"/>
      <c r="P411" s="25"/>
      <c r="Q411" s="50" t="s">
        <v>140</v>
      </c>
      <c r="R411" s="25" t="s">
        <v>303</v>
      </c>
      <c r="S411" s="50"/>
      <c r="T411" s="65"/>
      <c r="U411" s="65"/>
      <c r="V411" s="65"/>
      <c r="W411" s="65"/>
      <c r="X411" s="65"/>
      <c r="Y411" s="65"/>
      <c r="Z411" s="65"/>
      <c r="AA411" s="65"/>
      <c r="AB411" s="65"/>
      <c r="AC411" s="65"/>
      <c r="AD411" s="65"/>
      <c r="AE411" s="65"/>
      <c r="AF411" s="65"/>
    </row>
    <row r="412" spans="1:32" ht="69.75" customHeight="1">
      <c r="A412" s="352"/>
      <c r="B412" s="352"/>
      <c r="C412" s="86">
        <v>24</v>
      </c>
      <c r="D412" s="352"/>
      <c r="E412" s="352"/>
      <c r="F412" s="352"/>
      <c r="G412" s="354" t="s">
        <v>524</v>
      </c>
      <c r="H412" s="175" t="s">
        <v>3075</v>
      </c>
      <c r="I412" s="35" t="s">
        <v>3073</v>
      </c>
      <c r="J412" s="172"/>
      <c r="K412" s="25"/>
      <c r="L412" s="57"/>
      <c r="M412" s="121"/>
      <c r="N412" s="122"/>
      <c r="O412" s="28"/>
      <c r="P412" s="25"/>
      <c r="Q412" s="50" t="s">
        <v>140</v>
      </c>
      <c r="R412" s="25" t="s">
        <v>303</v>
      </c>
      <c r="S412" s="50"/>
      <c r="T412" s="65"/>
      <c r="U412" s="65"/>
      <c r="V412" s="65"/>
      <c r="W412" s="65"/>
      <c r="X412" s="65"/>
      <c r="Y412" s="65"/>
      <c r="Z412" s="65"/>
      <c r="AA412" s="65"/>
      <c r="AB412" s="65"/>
      <c r="AC412" s="65"/>
      <c r="AD412" s="65"/>
      <c r="AE412" s="65"/>
      <c r="AF412" s="65"/>
    </row>
    <row r="413" spans="1:32" ht="69.75" customHeight="1">
      <c r="A413" s="352"/>
      <c r="B413" s="352"/>
      <c r="C413" s="86">
        <v>25</v>
      </c>
      <c r="D413" s="352"/>
      <c r="E413" s="352"/>
      <c r="F413" s="352"/>
      <c r="G413" s="352"/>
      <c r="H413" s="175" t="s">
        <v>3025</v>
      </c>
      <c r="I413" s="35" t="s">
        <v>2998</v>
      </c>
      <c r="J413" s="172"/>
      <c r="K413" s="25"/>
      <c r="L413" s="57"/>
      <c r="M413" s="121"/>
      <c r="N413" s="122"/>
      <c r="O413" s="28"/>
      <c r="P413" s="25"/>
      <c r="Q413" s="50" t="s">
        <v>140</v>
      </c>
      <c r="R413" s="25" t="s">
        <v>303</v>
      </c>
      <c r="S413" s="50"/>
      <c r="T413" s="65"/>
      <c r="U413" s="65"/>
      <c r="V413" s="65"/>
      <c r="W413" s="65"/>
      <c r="X413" s="65"/>
      <c r="Y413" s="65"/>
      <c r="Z413" s="65"/>
      <c r="AA413" s="65"/>
      <c r="AB413" s="65"/>
      <c r="AC413" s="65"/>
      <c r="AD413" s="65"/>
      <c r="AE413" s="65"/>
      <c r="AF413" s="65"/>
    </row>
    <row r="414" spans="1:32" ht="69.75" customHeight="1">
      <c r="A414" s="352"/>
      <c r="B414" s="352"/>
      <c r="C414" s="86">
        <v>26</v>
      </c>
      <c r="D414" s="352"/>
      <c r="E414" s="353"/>
      <c r="F414" s="353"/>
      <c r="G414" s="353"/>
      <c r="H414" s="175" t="s">
        <v>2999</v>
      </c>
      <c r="I414" s="35" t="s">
        <v>3000</v>
      </c>
      <c r="J414" s="172"/>
      <c r="K414" s="25"/>
      <c r="L414" s="57"/>
      <c r="M414" s="121"/>
      <c r="N414" s="122"/>
      <c r="O414" s="28"/>
      <c r="P414" s="25"/>
      <c r="Q414" s="50" t="s">
        <v>140</v>
      </c>
      <c r="R414" s="25" t="s">
        <v>303</v>
      </c>
      <c r="S414" s="50"/>
      <c r="T414" s="65"/>
      <c r="U414" s="65"/>
      <c r="V414" s="65"/>
      <c r="W414" s="65"/>
      <c r="X414" s="65"/>
      <c r="Y414" s="65"/>
      <c r="Z414" s="65"/>
      <c r="AA414" s="65"/>
      <c r="AB414" s="65"/>
      <c r="AC414" s="65"/>
      <c r="AD414" s="65"/>
      <c r="AE414" s="65"/>
      <c r="AF414" s="65"/>
    </row>
    <row r="415" spans="1:32" ht="69.75" customHeight="1">
      <c r="A415" s="352"/>
      <c r="B415" s="352"/>
      <c r="C415" s="86">
        <v>27</v>
      </c>
      <c r="D415" s="352"/>
      <c r="E415" s="351" t="s">
        <v>3050</v>
      </c>
      <c r="F415" s="354" t="s">
        <v>361</v>
      </c>
      <c r="G415" s="53" t="s">
        <v>327</v>
      </c>
      <c r="H415" s="175" t="s">
        <v>3051</v>
      </c>
      <c r="I415" s="35" t="s">
        <v>2968</v>
      </c>
      <c r="J415" s="172"/>
      <c r="K415" s="25"/>
      <c r="L415" s="57"/>
      <c r="M415" s="121"/>
      <c r="N415" s="122"/>
      <c r="O415" s="28"/>
      <c r="P415" s="25"/>
      <c r="Q415" s="50" t="s">
        <v>140</v>
      </c>
      <c r="R415" s="25" t="s">
        <v>303</v>
      </c>
      <c r="S415" s="50"/>
      <c r="T415" s="65"/>
      <c r="U415" s="65"/>
      <c r="V415" s="65"/>
      <c r="W415" s="65"/>
      <c r="X415" s="65"/>
      <c r="Y415" s="65"/>
      <c r="Z415" s="65"/>
      <c r="AA415" s="65"/>
      <c r="AB415" s="65"/>
      <c r="AC415" s="65"/>
      <c r="AD415" s="65"/>
      <c r="AE415" s="65"/>
      <c r="AF415" s="65"/>
    </row>
    <row r="416" spans="1:32" ht="69.75" customHeight="1">
      <c r="A416" s="352"/>
      <c r="B416" s="352"/>
      <c r="C416" s="86">
        <v>28</v>
      </c>
      <c r="D416" s="352"/>
      <c r="E416" s="352"/>
      <c r="F416" s="352"/>
      <c r="G416" s="53" t="s">
        <v>524</v>
      </c>
      <c r="H416" s="175" t="s">
        <v>3052</v>
      </c>
      <c r="I416" s="35" t="s">
        <v>3064</v>
      </c>
      <c r="J416" s="172"/>
      <c r="K416" s="25"/>
      <c r="L416" s="57"/>
      <c r="M416" s="121"/>
      <c r="N416" s="122"/>
      <c r="O416" s="28"/>
      <c r="P416" s="25"/>
      <c r="Q416" s="50" t="s">
        <v>140</v>
      </c>
      <c r="R416" s="25" t="s">
        <v>303</v>
      </c>
      <c r="S416" s="50"/>
      <c r="T416" s="65"/>
      <c r="U416" s="65"/>
      <c r="V416" s="65"/>
      <c r="W416" s="65"/>
      <c r="X416" s="65"/>
      <c r="Y416" s="65"/>
      <c r="Z416" s="65"/>
      <c r="AA416" s="65"/>
      <c r="AB416" s="65"/>
      <c r="AC416" s="65"/>
      <c r="AD416" s="65"/>
      <c r="AE416" s="65"/>
      <c r="AF416" s="65"/>
    </row>
    <row r="417" spans="1:32" ht="69.75" customHeight="1">
      <c r="A417" s="352"/>
      <c r="B417" s="352"/>
      <c r="C417" s="86">
        <v>29</v>
      </c>
      <c r="D417" s="352"/>
      <c r="E417" s="353"/>
      <c r="F417" s="353"/>
      <c r="G417" s="53" t="s">
        <v>524</v>
      </c>
      <c r="H417" s="175" t="s">
        <v>3053</v>
      </c>
      <c r="I417" s="35" t="s">
        <v>3003</v>
      </c>
      <c r="J417" s="172"/>
      <c r="K417" s="25"/>
      <c r="L417" s="57"/>
      <c r="M417" s="121"/>
      <c r="N417" s="122"/>
      <c r="O417" s="28"/>
      <c r="P417" s="25"/>
      <c r="Q417" s="50" t="s">
        <v>140</v>
      </c>
      <c r="R417" s="25" t="s">
        <v>303</v>
      </c>
      <c r="S417" s="50"/>
      <c r="T417" s="65"/>
      <c r="U417" s="65"/>
      <c r="V417" s="65"/>
      <c r="W417" s="65"/>
      <c r="X417" s="65"/>
      <c r="Y417" s="65"/>
      <c r="Z417" s="65"/>
      <c r="AA417" s="65"/>
      <c r="AB417" s="65"/>
      <c r="AC417" s="65"/>
      <c r="AD417" s="65"/>
      <c r="AE417" s="65"/>
      <c r="AF417" s="65"/>
    </row>
    <row r="418" spans="1:32" ht="69.75" customHeight="1">
      <c r="A418" s="352"/>
      <c r="B418" s="352"/>
      <c r="C418" s="86">
        <v>30</v>
      </c>
      <c r="D418" s="352"/>
      <c r="E418" s="351" t="s">
        <v>3055</v>
      </c>
      <c r="F418" s="354" t="s">
        <v>361</v>
      </c>
      <c r="G418" s="53" t="s">
        <v>327</v>
      </c>
      <c r="H418" s="175" t="s">
        <v>3051</v>
      </c>
      <c r="I418" s="35" t="s">
        <v>2968</v>
      </c>
      <c r="J418" s="172"/>
      <c r="K418" s="25"/>
      <c r="L418" s="57"/>
      <c r="M418" s="121"/>
      <c r="N418" s="122"/>
      <c r="O418" s="28"/>
      <c r="P418" s="25"/>
      <c r="Q418" s="89" t="s">
        <v>393</v>
      </c>
      <c r="R418" s="25" t="s">
        <v>303</v>
      </c>
      <c r="S418" s="50"/>
      <c r="T418" s="65"/>
      <c r="U418" s="65"/>
      <c r="V418" s="65"/>
      <c r="W418" s="65"/>
      <c r="X418" s="65"/>
      <c r="Y418" s="65"/>
      <c r="Z418" s="65"/>
      <c r="AA418" s="65"/>
      <c r="AB418" s="65"/>
      <c r="AC418" s="65"/>
      <c r="AD418" s="65"/>
      <c r="AE418" s="65"/>
      <c r="AF418" s="65"/>
    </row>
    <row r="419" spans="1:32" ht="69.75" customHeight="1">
      <c r="A419" s="352"/>
      <c r="B419" s="352"/>
      <c r="C419" s="86">
        <v>31</v>
      </c>
      <c r="D419" s="352"/>
      <c r="E419" s="352"/>
      <c r="F419" s="352"/>
      <c r="G419" s="53" t="s">
        <v>524</v>
      </c>
      <c r="H419" s="175" t="s">
        <v>3056</v>
      </c>
      <c r="I419" s="35" t="s">
        <v>3057</v>
      </c>
      <c r="J419" s="172"/>
      <c r="K419" s="25"/>
      <c r="L419" s="57"/>
      <c r="M419" s="121"/>
      <c r="N419" s="122"/>
      <c r="O419" s="28"/>
      <c r="P419" s="25"/>
      <c r="Q419" s="89" t="s">
        <v>393</v>
      </c>
      <c r="R419" s="25" t="s">
        <v>303</v>
      </c>
      <c r="S419" s="50"/>
      <c r="T419" s="65"/>
      <c r="U419" s="65"/>
      <c r="V419" s="65"/>
      <c r="W419" s="65"/>
      <c r="X419" s="65"/>
      <c r="Y419" s="65"/>
      <c r="Z419" s="65"/>
      <c r="AA419" s="65"/>
      <c r="AB419" s="65"/>
      <c r="AC419" s="65"/>
      <c r="AD419" s="65"/>
      <c r="AE419" s="65"/>
      <c r="AF419" s="65"/>
    </row>
    <row r="420" spans="1:32" ht="69.75" customHeight="1">
      <c r="A420" s="353"/>
      <c r="B420" s="353"/>
      <c r="C420" s="86">
        <v>32</v>
      </c>
      <c r="D420" s="353"/>
      <c r="E420" s="353"/>
      <c r="F420" s="353"/>
      <c r="G420" s="53" t="s">
        <v>524</v>
      </c>
      <c r="H420" s="175" t="s">
        <v>3058</v>
      </c>
      <c r="I420" s="35" t="s">
        <v>3059</v>
      </c>
      <c r="J420" s="172"/>
      <c r="K420" s="25"/>
      <c r="L420" s="57"/>
      <c r="M420" s="121"/>
      <c r="N420" s="122"/>
      <c r="O420" s="28"/>
      <c r="P420" s="25"/>
      <c r="Q420" s="89" t="s">
        <v>393</v>
      </c>
      <c r="R420" s="25" t="s">
        <v>303</v>
      </c>
      <c r="S420" s="50"/>
      <c r="T420" s="65"/>
      <c r="U420" s="65"/>
      <c r="V420" s="65"/>
      <c r="W420" s="65"/>
      <c r="X420" s="65"/>
      <c r="Y420" s="65"/>
      <c r="Z420" s="65"/>
      <c r="AA420" s="65"/>
      <c r="AB420" s="65"/>
      <c r="AC420" s="65"/>
      <c r="AD420" s="65"/>
      <c r="AE420" s="65"/>
      <c r="AF420" s="65"/>
    </row>
    <row r="421" spans="1:32" ht="78.75" customHeight="1">
      <c r="A421" s="351" t="s">
        <v>3076</v>
      </c>
      <c r="B421" s="354" t="s">
        <v>50</v>
      </c>
      <c r="C421" s="86">
        <v>1</v>
      </c>
      <c r="D421" s="351" t="s">
        <v>3077</v>
      </c>
      <c r="E421" s="351" t="s">
        <v>3078</v>
      </c>
      <c r="F421" s="354" t="s">
        <v>361</v>
      </c>
      <c r="G421" s="86" t="s">
        <v>327</v>
      </c>
      <c r="H421" s="175" t="s">
        <v>3079</v>
      </c>
      <c r="I421" s="35" t="s">
        <v>2968</v>
      </c>
      <c r="J421" s="172"/>
      <c r="K421" s="25"/>
      <c r="L421" s="57"/>
      <c r="M421" s="121"/>
      <c r="N421" s="122"/>
      <c r="O421" s="28"/>
      <c r="P421" s="25"/>
      <c r="Q421" s="50" t="s">
        <v>140</v>
      </c>
      <c r="R421" s="25" t="s">
        <v>303</v>
      </c>
      <c r="S421" s="50"/>
      <c r="T421" s="65"/>
      <c r="U421" s="65"/>
      <c r="V421" s="65"/>
      <c r="W421" s="65"/>
      <c r="X421" s="65"/>
      <c r="Y421" s="65"/>
      <c r="Z421" s="65"/>
      <c r="AA421" s="65"/>
      <c r="AB421" s="65"/>
      <c r="AC421" s="65"/>
      <c r="AD421" s="65"/>
      <c r="AE421" s="65"/>
      <c r="AF421" s="65"/>
    </row>
    <row r="422" spans="1:32" ht="78.75" customHeight="1">
      <c r="A422" s="352"/>
      <c r="B422" s="352"/>
      <c r="C422" s="86">
        <v>2</v>
      </c>
      <c r="D422" s="352"/>
      <c r="E422" s="352"/>
      <c r="F422" s="352"/>
      <c r="G422" s="354" t="s">
        <v>524</v>
      </c>
      <c r="H422" s="175" t="s">
        <v>2969</v>
      </c>
      <c r="I422" s="35" t="s">
        <v>2978</v>
      </c>
      <c r="J422" s="172"/>
      <c r="K422" s="25"/>
      <c r="L422" s="57"/>
      <c r="M422" s="121"/>
      <c r="N422" s="122"/>
      <c r="O422" s="28"/>
      <c r="P422" s="25"/>
      <c r="Q422" s="50" t="s">
        <v>140</v>
      </c>
      <c r="R422" s="25" t="s">
        <v>303</v>
      </c>
      <c r="S422" s="50"/>
      <c r="T422" s="65"/>
      <c r="U422" s="65"/>
      <c r="V422" s="65"/>
      <c r="W422" s="65"/>
      <c r="X422" s="65"/>
      <c r="Y422" s="65"/>
      <c r="Z422" s="65"/>
      <c r="AA422" s="65"/>
      <c r="AB422" s="65"/>
      <c r="AC422" s="65"/>
      <c r="AD422" s="65"/>
      <c r="AE422" s="65"/>
      <c r="AF422" s="65"/>
    </row>
    <row r="423" spans="1:32" ht="78.75" customHeight="1">
      <c r="A423" s="352"/>
      <c r="B423" s="352"/>
      <c r="C423" s="86">
        <v>3</v>
      </c>
      <c r="D423" s="352"/>
      <c r="E423" s="352"/>
      <c r="F423" s="352"/>
      <c r="G423" s="352"/>
      <c r="H423" s="175" t="s">
        <v>3080</v>
      </c>
      <c r="I423" s="35" t="s">
        <v>3042</v>
      </c>
      <c r="J423" s="172"/>
      <c r="K423" s="25"/>
      <c r="L423" s="57"/>
      <c r="M423" s="121"/>
      <c r="N423" s="122"/>
      <c r="O423" s="28"/>
      <c r="P423" s="25"/>
      <c r="Q423" s="50" t="s">
        <v>140</v>
      </c>
      <c r="R423" s="25" t="s">
        <v>303</v>
      </c>
      <c r="S423" s="50"/>
      <c r="T423" s="65"/>
      <c r="U423" s="65"/>
      <c r="V423" s="65"/>
      <c r="W423" s="65"/>
      <c r="X423" s="65"/>
      <c r="Y423" s="65"/>
      <c r="Z423" s="65"/>
      <c r="AA423" s="65"/>
      <c r="AB423" s="65"/>
      <c r="AC423" s="65"/>
      <c r="AD423" s="65"/>
      <c r="AE423" s="65"/>
      <c r="AF423" s="65"/>
    </row>
    <row r="424" spans="1:32" ht="78.75" customHeight="1">
      <c r="A424" s="352"/>
      <c r="B424" s="352"/>
      <c r="C424" s="86">
        <v>4</v>
      </c>
      <c r="D424" s="352"/>
      <c r="E424" s="384"/>
      <c r="F424" s="384"/>
      <c r="G424" s="384"/>
      <c r="H424" s="175" t="s">
        <v>3025</v>
      </c>
      <c r="I424" s="35" t="s">
        <v>3081</v>
      </c>
      <c r="J424" s="172"/>
      <c r="K424" s="25"/>
      <c r="L424" s="57"/>
      <c r="M424" s="121"/>
      <c r="N424" s="122"/>
      <c r="O424" s="28"/>
      <c r="P424" s="25"/>
      <c r="Q424" s="50" t="s">
        <v>140</v>
      </c>
      <c r="R424" s="25" t="s">
        <v>303</v>
      </c>
      <c r="S424" s="50"/>
      <c r="T424" s="65"/>
      <c r="U424" s="65"/>
      <c r="V424" s="65"/>
      <c r="W424" s="65"/>
      <c r="X424" s="65"/>
      <c r="Y424" s="65"/>
      <c r="Z424" s="65"/>
      <c r="AA424" s="65"/>
      <c r="AB424" s="65"/>
      <c r="AC424" s="65"/>
      <c r="AD424" s="65"/>
      <c r="AE424" s="65"/>
      <c r="AF424" s="65"/>
    </row>
    <row r="425" spans="1:32" ht="84.75" customHeight="1">
      <c r="A425" s="352"/>
      <c r="B425" s="352"/>
      <c r="C425" s="86">
        <v>5</v>
      </c>
      <c r="D425" s="352"/>
      <c r="E425" s="357" t="s">
        <v>3082</v>
      </c>
      <c r="F425" s="354" t="s">
        <v>361</v>
      </c>
      <c r="G425" s="86" t="s">
        <v>327</v>
      </c>
      <c r="H425" s="175" t="s">
        <v>3083</v>
      </c>
      <c r="I425" s="35" t="s">
        <v>2968</v>
      </c>
      <c r="J425" s="172"/>
      <c r="K425" s="25"/>
      <c r="L425" s="57"/>
      <c r="M425" s="121"/>
      <c r="N425" s="122"/>
      <c r="O425" s="28"/>
      <c r="P425" s="25"/>
      <c r="Q425" s="50" t="s">
        <v>140</v>
      </c>
      <c r="R425" s="25" t="s">
        <v>303</v>
      </c>
      <c r="S425" s="50"/>
      <c r="T425" s="65"/>
      <c r="U425" s="65"/>
      <c r="V425" s="65"/>
      <c r="W425" s="65"/>
      <c r="X425" s="65"/>
      <c r="Y425" s="65"/>
      <c r="Z425" s="65"/>
      <c r="AA425" s="65"/>
      <c r="AB425" s="65"/>
      <c r="AC425" s="65"/>
      <c r="AD425" s="65"/>
      <c r="AE425" s="65"/>
      <c r="AF425" s="65"/>
    </row>
    <row r="426" spans="1:32" ht="78.75" customHeight="1">
      <c r="A426" s="352"/>
      <c r="B426" s="352"/>
      <c r="C426" s="86">
        <v>6</v>
      </c>
      <c r="D426" s="352"/>
      <c r="E426" s="352"/>
      <c r="F426" s="352"/>
      <c r="G426" s="354" t="s">
        <v>524</v>
      </c>
      <c r="H426" s="175" t="s">
        <v>2969</v>
      </c>
      <c r="I426" s="35" t="s">
        <v>2978</v>
      </c>
      <c r="J426" s="172"/>
      <c r="K426" s="25"/>
      <c r="L426" s="57"/>
      <c r="M426" s="121"/>
      <c r="N426" s="122"/>
      <c r="O426" s="28"/>
      <c r="P426" s="25"/>
      <c r="Q426" s="50" t="s">
        <v>140</v>
      </c>
      <c r="R426" s="25" t="s">
        <v>303</v>
      </c>
      <c r="S426" s="50"/>
      <c r="T426" s="65"/>
      <c r="U426" s="65"/>
      <c r="V426" s="65"/>
      <c r="W426" s="65"/>
      <c r="X426" s="65"/>
      <c r="Y426" s="65"/>
      <c r="Z426" s="65"/>
      <c r="AA426" s="65"/>
      <c r="AB426" s="65"/>
      <c r="AC426" s="65"/>
      <c r="AD426" s="65"/>
      <c r="AE426" s="65"/>
      <c r="AF426" s="65"/>
    </row>
    <row r="427" spans="1:32" ht="15.75" customHeight="1">
      <c r="A427" s="352"/>
      <c r="B427" s="352"/>
      <c r="C427" s="86">
        <v>7</v>
      </c>
      <c r="D427" s="352"/>
      <c r="E427" s="352"/>
      <c r="F427" s="352"/>
      <c r="G427" s="352"/>
      <c r="H427" s="324" t="s">
        <v>3048</v>
      </c>
      <c r="I427" s="35" t="s">
        <v>3084</v>
      </c>
      <c r="J427" s="172"/>
      <c r="K427" s="25"/>
      <c r="L427" s="57"/>
      <c r="M427" s="121"/>
      <c r="N427" s="122"/>
      <c r="O427" s="28"/>
      <c r="P427" s="25"/>
      <c r="Q427" s="50" t="s">
        <v>140</v>
      </c>
      <c r="R427" s="25" t="s">
        <v>303</v>
      </c>
      <c r="S427" s="50"/>
      <c r="T427" s="65"/>
      <c r="U427" s="65"/>
      <c r="V427" s="65"/>
      <c r="W427" s="65"/>
      <c r="X427" s="65"/>
      <c r="Y427" s="65"/>
      <c r="Z427" s="65"/>
      <c r="AA427" s="65"/>
      <c r="AB427" s="65"/>
      <c r="AC427" s="65"/>
      <c r="AD427" s="65"/>
      <c r="AE427" s="65"/>
      <c r="AF427" s="65"/>
    </row>
    <row r="428" spans="1:32" ht="58.5" customHeight="1">
      <c r="A428" s="352"/>
      <c r="B428" s="352"/>
      <c r="C428" s="86">
        <v>8</v>
      </c>
      <c r="D428" s="352"/>
      <c r="E428" s="352"/>
      <c r="F428" s="352"/>
      <c r="G428" s="352"/>
      <c r="H428" s="324" t="s">
        <v>3085</v>
      </c>
      <c r="I428" s="35" t="s">
        <v>3086</v>
      </c>
      <c r="J428" s="172"/>
      <c r="K428" s="25"/>
      <c r="L428" s="57"/>
      <c r="M428" s="121"/>
      <c r="N428" s="122"/>
      <c r="O428" s="28"/>
      <c r="P428" s="25"/>
      <c r="Q428" s="50" t="s">
        <v>140</v>
      </c>
      <c r="R428" s="25" t="s">
        <v>303</v>
      </c>
      <c r="S428" s="50"/>
      <c r="T428" s="65"/>
      <c r="U428" s="65"/>
      <c r="V428" s="65"/>
      <c r="W428" s="65"/>
      <c r="X428" s="65"/>
      <c r="Y428" s="65"/>
      <c r="Z428" s="65"/>
      <c r="AA428" s="65"/>
      <c r="AB428" s="65"/>
      <c r="AC428" s="65"/>
      <c r="AD428" s="65"/>
      <c r="AE428" s="65"/>
      <c r="AF428" s="65"/>
    </row>
    <row r="429" spans="1:32" ht="58.5" customHeight="1">
      <c r="A429" s="352"/>
      <c r="B429" s="352"/>
      <c r="C429" s="86">
        <v>9</v>
      </c>
      <c r="D429" s="352"/>
      <c r="E429" s="353"/>
      <c r="F429" s="353"/>
      <c r="G429" s="353"/>
      <c r="H429" s="175" t="s">
        <v>3087</v>
      </c>
      <c r="I429" s="35" t="s">
        <v>3088</v>
      </c>
      <c r="J429" s="172"/>
      <c r="K429" s="25"/>
      <c r="L429" s="57"/>
      <c r="M429" s="121"/>
      <c r="N429" s="122"/>
      <c r="O429" s="28"/>
      <c r="P429" s="25"/>
      <c r="Q429" s="50" t="s">
        <v>140</v>
      </c>
      <c r="R429" s="25" t="s">
        <v>303</v>
      </c>
      <c r="S429" s="50"/>
      <c r="T429" s="65"/>
      <c r="U429" s="65"/>
      <c r="V429" s="65"/>
      <c r="W429" s="65"/>
      <c r="X429" s="65"/>
      <c r="Y429" s="65"/>
      <c r="Z429" s="65"/>
      <c r="AA429" s="65"/>
      <c r="AB429" s="65"/>
      <c r="AC429" s="65"/>
      <c r="AD429" s="65"/>
      <c r="AE429" s="65"/>
      <c r="AF429" s="65"/>
    </row>
    <row r="430" spans="1:32" ht="96" customHeight="1">
      <c r="A430" s="352"/>
      <c r="B430" s="352"/>
      <c r="C430" s="86">
        <v>10</v>
      </c>
      <c r="D430" s="352"/>
      <c r="E430" s="351" t="s">
        <v>3089</v>
      </c>
      <c r="F430" s="354" t="s">
        <v>361</v>
      </c>
      <c r="G430" s="86" t="s">
        <v>327</v>
      </c>
      <c r="H430" s="175" t="s">
        <v>3083</v>
      </c>
      <c r="I430" s="35" t="s">
        <v>2968</v>
      </c>
      <c r="J430" s="172"/>
      <c r="K430" s="25"/>
      <c r="L430" s="57"/>
      <c r="M430" s="121"/>
      <c r="N430" s="122"/>
      <c r="O430" s="28"/>
      <c r="P430" s="25"/>
      <c r="Q430" s="50" t="s">
        <v>140</v>
      </c>
      <c r="R430" s="25" t="s">
        <v>303</v>
      </c>
      <c r="S430" s="50"/>
      <c r="T430" s="65"/>
      <c r="U430" s="65"/>
      <c r="V430" s="65"/>
      <c r="W430" s="65"/>
      <c r="X430" s="65"/>
      <c r="Y430" s="65"/>
      <c r="Z430" s="65"/>
      <c r="AA430" s="65"/>
      <c r="AB430" s="65"/>
      <c r="AC430" s="65"/>
      <c r="AD430" s="65"/>
      <c r="AE430" s="65"/>
      <c r="AF430" s="65"/>
    </row>
    <row r="431" spans="1:32" ht="58.5" customHeight="1">
      <c r="A431" s="352"/>
      <c r="B431" s="352"/>
      <c r="C431" s="86">
        <v>11</v>
      </c>
      <c r="D431" s="352"/>
      <c r="E431" s="352"/>
      <c r="F431" s="352"/>
      <c r="G431" s="354" t="s">
        <v>524</v>
      </c>
      <c r="H431" s="175" t="s">
        <v>3090</v>
      </c>
      <c r="I431" s="35" t="s">
        <v>3091</v>
      </c>
      <c r="J431" s="172"/>
      <c r="K431" s="25"/>
      <c r="L431" s="57"/>
      <c r="M431" s="121"/>
      <c r="N431" s="122"/>
      <c r="O431" s="28"/>
      <c r="P431" s="25"/>
      <c r="Q431" s="50" t="s">
        <v>140</v>
      </c>
      <c r="R431" s="25" t="s">
        <v>303</v>
      </c>
      <c r="S431" s="50"/>
      <c r="T431" s="65"/>
      <c r="U431" s="65"/>
      <c r="V431" s="65"/>
      <c r="W431" s="65"/>
      <c r="X431" s="65"/>
      <c r="Y431" s="65"/>
      <c r="Z431" s="65"/>
      <c r="AA431" s="65"/>
      <c r="AB431" s="65"/>
      <c r="AC431" s="65"/>
      <c r="AD431" s="65"/>
      <c r="AE431" s="65"/>
      <c r="AF431" s="65"/>
    </row>
    <row r="432" spans="1:32" ht="58.5" customHeight="1">
      <c r="A432" s="352"/>
      <c r="B432" s="352"/>
      <c r="C432" s="86">
        <v>12</v>
      </c>
      <c r="D432" s="352"/>
      <c r="E432" s="353"/>
      <c r="F432" s="353"/>
      <c r="G432" s="353"/>
      <c r="H432" s="175" t="s">
        <v>3058</v>
      </c>
      <c r="I432" s="35" t="s">
        <v>3092</v>
      </c>
      <c r="J432" s="172"/>
      <c r="K432" s="25"/>
      <c r="L432" s="57"/>
      <c r="M432" s="121"/>
      <c r="N432" s="122"/>
      <c r="O432" s="28"/>
      <c r="P432" s="25"/>
      <c r="Q432" s="50" t="s">
        <v>140</v>
      </c>
      <c r="R432" s="25" t="s">
        <v>303</v>
      </c>
      <c r="S432" s="50"/>
      <c r="T432" s="65"/>
      <c r="U432" s="65"/>
      <c r="V432" s="65"/>
      <c r="W432" s="65"/>
      <c r="X432" s="65"/>
      <c r="Y432" s="65"/>
      <c r="Z432" s="65"/>
      <c r="AA432" s="65"/>
      <c r="AB432" s="65"/>
      <c r="AC432" s="65"/>
      <c r="AD432" s="65"/>
      <c r="AE432" s="65"/>
      <c r="AF432" s="65"/>
    </row>
    <row r="433" spans="1:32" ht="96" customHeight="1">
      <c r="A433" s="352"/>
      <c r="B433" s="352"/>
      <c r="C433" s="86">
        <v>13</v>
      </c>
      <c r="D433" s="352"/>
      <c r="E433" s="357" t="s">
        <v>3093</v>
      </c>
      <c r="F433" s="53"/>
      <c r="G433" s="53"/>
      <c r="H433" s="175" t="s">
        <v>3094</v>
      </c>
      <c r="I433" s="35" t="s">
        <v>2968</v>
      </c>
      <c r="J433" s="172"/>
      <c r="K433" s="25"/>
      <c r="L433" s="57"/>
      <c r="M433" s="121"/>
      <c r="N433" s="122"/>
      <c r="O433" s="28"/>
      <c r="P433" s="25"/>
      <c r="Q433" s="50" t="s">
        <v>140</v>
      </c>
      <c r="R433" s="25" t="s">
        <v>303</v>
      </c>
      <c r="S433" s="50"/>
      <c r="T433" s="65"/>
      <c r="U433" s="65"/>
      <c r="V433" s="65"/>
      <c r="W433" s="65"/>
      <c r="X433" s="65"/>
      <c r="Y433" s="65"/>
      <c r="Z433" s="65"/>
      <c r="AA433" s="65"/>
      <c r="AB433" s="65"/>
      <c r="AC433" s="65"/>
      <c r="AD433" s="65"/>
      <c r="AE433" s="65"/>
      <c r="AF433" s="65"/>
    </row>
    <row r="434" spans="1:32" ht="58.5" customHeight="1">
      <c r="A434" s="352"/>
      <c r="B434" s="352"/>
      <c r="C434" s="86">
        <v>14</v>
      </c>
      <c r="D434" s="352"/>
      <c r="E434" s="352"/>
      <c r="F434" s="53"/>
      <c r="G434" s="53"/>
      <c r="H434" s="175" t="s">
        <v>3090</v>
      </c>
      <c r="I434" s="35" t="s">
        <v>3091</v>
      </c>
      <c r="J434" s="172"/>
      <c r="K434" s="25"/>
      <c r="L434" s="57"/>
      <c r="M434" s="121"/>
      <c r="N434" s="122"/>
      <c r="O434" s="28"/>
      <c r="P434" s="25"/>
      <c r="Q434" s="50" t="s">
        <v>140</v>
      </c>
      <c r="R434" s="25" t="s">
        <v>303</v>
      </c>
      <c r="S434" s="50"/>
      <c r="T434" s="65"/>
      <c r="U434" s="65"/>
      <c r="V434" s="65"/>
      <c r="W434" s="65"/>
      <c r="X434" s="65"/>
      <c r="Y434" s="65"/>
      <c r="Z434" s="65"/>
      <c r="AA434" s="65"/>
      <c r="AB434" s="65"/>
      <c r="AC434" s="65"/>
      <c r="AD434" s="65"/>
      <c r="AE434" s="65"/>
      <c r="AF434" s="65"/>
    </row>
    <row r="435" spans="1:32" ht="58.5" customHeight="1">
      <c r="A435" s="352"/>
      <c r="B435" s="384"/>
      <c r="C435" s="86">
        <v>15</v>
      </c>
      <c r="D435" s="384"/>
      <c r="E435" s="353"/>
      <c r="F435" s="53"/>
      <c r="G435" s="53"/>
      <c r="H435" s="175" t="s">
        <v>3095</v>
      </c>
      <c r="I435" s="35" t="s">
        <v>3096</v>
      </c>
      <c r="J435" s="172"/>
      <c r="K435" s="25"/>
      <c r="L435" s="57"/>
      <c r="M435" s="121"/>
      <c r="N435" s="122"/>
      <c r="O435" s="28"/>
      <c r="P435" s="25"/>
      <c r="Q435" s="50" t="s">
        <v>140</v>
      </c>
      <c r="R435" s="25" t="s">
        <v>303</v>
      </c>
      <c r="S435" s="50"/>
      <c r="T435" s="65"/>
      <c r="U435" s="65"/>
      <c r="V435" s="65"/>
      <c r="W435" s="65"/>
      <c r="X435" s="65"/>
      <c r="Y435" s="65"/>
      <c r="Z435" s="65"/>
      <c r="AA435" s="65"/>
      <c r="AB435" s="65"/>
      <c r="AC435" s="65"/>
      <c r="AD435" s="65"/>
      <c r="AE435" s="65"/>
      <c r="AF435" s="65"/>
    </row>
    <row r="436" spans="1:32" ht="84.75" customHeight="1">
      <c r="A436" s="357" t="s">
        <v>3097</v>
      </c>
      <c r="B436" s="354" t="s">
        <v>3098</v>
      </c>
      <c r="C436" s="86">
        <v>1</v>
      </c>
      <c r="D436" s="357" t="s">
        <v>3099</v>
      </c>
      <c r="E436" s="351" t="s">
        <v>3100</v>
      </c>
      <c r="F436" s="354" t="s">
        <v>361</v>
      </c>
      <c r="G436" s="86" t="s">
        <v>327</v>
      </c>
      <c r="H436" s="175" t="s">
        <v>3101</v>
      </c>
      <c r="I436" s="35" t="s">
        <v>2968</v>
      </c>
      <c r="J436" s="172"/>
      <c r="K436" s="25"/>
      <c r="L436" s="57"/>
      <c r="M436" s="121"/>
      <c r="N436" s="122"/>
      <c r="O436" s="28"/>
      <c r="P436" s="25"/>
      <c r="Q436" s="50" t="s">
        <v>140</v>
      </c>
      <c r="R436" s="25" t="s">
        <v>303</v>
      </c>
      <c r="S436" s="50"/>
      <c r="T436" s="65"/>
      <c r="U436" s="65"/>
      <c r="V436" s="65"/>
      <c r="W436" s="65"/>
      <c r="X436" s="65"/>
      <c r="Y436" s="65"/>
      <c r="Z436" s="65"/>
      <c r="AA436" s="65"/>
      <c r="AB436" s="65"/>
      <c r="AC436" s="65"/>
      <c r="AD436" s="65"/>
      <c r="AE436" s="65"/>
      <c r="AF436" s="65"/>
    </row>
    <row r="437" spans="1:32" ht="78.75" customHeight="1">
      <c r="A437" s="352"/>
      <c r="B437" s="352"/>
      <c r="C437" s="86">
        <v>2</v>
      </c>
      <c r="D437" s="352"/>
      <c r="E437" s="352"/>
      <c r="F437" s="352"/>
      <c r="G437" s="354" t="s">
        <v>524</v>
      </c>
      <c r="H437" s="175" t="s">
        <v>2969</v>
      </c>
      <c r="I437" s="35" t="s">
        <v>2978</v>
      </c>
      <c r="J437" s="172"/>
      <c r="K437" s="25"/>
      <c r="L437" s="57"/>
      <c r="M437" s="121"/>
      <c r="N437" s="122"/>
      <c r="O437" s="28"/>
      <c r="P437" s="25"/>
      <c r="Q437" s="50" t="s">
        <v>140</v>
      </c>
      <c r="R437" s="25" t="s">
        <v>303</v>
      </c>
      <c r="S437" s="50"/>
      <c r="T437" s="65"/>
      <c r="U437" s="65"/>
      <c r="V437" s="65"/>
      <c r="W437" s="65"/>
      <c r="X437" s="65"/>
      <c r="Y437" s="65"/>
      <c r="Z437" s="65"/>
      <c r="AA437" s="65"/>
      <c r="AB437" s="65"/>
      <c r="AC437" s="65"/>
      <c r="AD437" s="65"/>
      <c r="AE437" s="65"/>
      <c r="AF437" s="65"/>
    </row>
    <row r="438" spans="1:32" ht="78.75" customHeight="1">
      <c r="A438" s="352"/>
      <c r="B438" s="352"/>
      <c r="C438" s="86">
        <v>3</v>
      </c>
      <c r="D438" s="352"/>
      <c r="E438" s="352"/>
      <c r="F438" s="352"/>
      <c r="G438" s="352"/>
      <c r="H438" s="175" t="s">
        <v>3102</v>
      </c>
      <c r="I438" s="35" t="s">
        <v>3103</v>
      </c>
      <c r="J438" s="172"/>
      <c r="K438" s="25"/>
      <c r="L438" s="57"/>
      <c r="M438" s="121"/>
      <c r="N438" s="122"/>
      <c r="O438" s="28"/>
      <c r="P438" s="25"/>
      <c r="Q438" s="50" t="s">
        <v>140</v>
      </c>
      <c r="R438" s="25" t="s">
        <v>303</v>
      </c>
      <c r="S438" s="50"/>
      <c r="T438" s="65"/>
      <c r="U438" s="65"/>
      <c r="V438" s="65"/>
      <c r="W438" s="65"/>
      <c r="X438" s="65"/>
      <c r="Y438" s="65"/>
      <c r="Z438" s="65"/>
      <c r="AA438" s="65"/>
      <c r="AB438" s="65"/>
      <c r="AC438" s="65"/>
      <c r="AD438" s="65"/>
      <c r="AE438" s="65"/>
      <c r="AF438" s="65"/>
    </row>
    <row r="439" spans="1:32" ht="78.75" customHeight="1">
      <c r="A439" s="352"/>
      <c r="B439" s="352"/>
      <c r="C439" s="86">
        <v>4</v>
      </c>
      <c r="D439" s="352"/>
      <c r="E439" s="353"/>
      <c r="F439" s="353"/>
      <c r="G439" s="353"/>
      <c r="H439" s="175" t="s">
        <v>3025</v>
      </c>
      <c r="I439" s="35" t="s">
        <v>2970</v>
      </c>
      <c r="J439" s="172"/>
      <c r="K439" s="25"/>
      <c r="L439" s="57"/>
      <c r="M439" s="121"/>
      <c r="N439" s="122"/>
      <c r="O439" s="28"/>
      <c r="P439" s="25"/>
      <c r="Q439" s="50" t="s">
        <v>140</v>
      </c>
      <c r="R439" s="25" t="s">
        <v>303</v>
      </c>
      <c r="S439" s="50"/>
      <c r="T439" s="65"/>
      <c r="U439" s="65"/>
      <c r="V439" s="65"/>
      <c r="W439" s="65"/>
      <c r="X439" s="65"/>
      <c r="Y439" s="65"/>
      <c r="Z439" s="65"/>
      <c r="AA439" s="65"/>
      <c r="AB439" s="65"/>
      <c r="AC439" s="65"/>
      <c r="AD439" s="65"/>
      <c r="AE439" s="65"/>
      <c r="AF439" s="65"/>
    </row>
    <row r="440" spans="1:32" ht="84.75" customHeight="1">
      <c r="A440" s="352"/>
      <c r="B440" s="352"/>
      <c r="C440" s="86">
        <v>5</v>
      </c>
      <c r="D440" s="352"/>
      <c r="E440" s="351" t="s">
        <v>3104</v>
      </c>
      <c r="F440" s="354" t="s">
        <v>361</v>
      </c>
      <c r="G440" s="86" t="s">
        <v>327</v>
      </c>
      <c r="H440" s="175" t="s">
        <v>3101</v>
      </c>
      <c r="I440" s="35" t="s">
        <v>2968</v>
      </c>
      <c r="J440" s="172"/>
      <c r="K440" s="25"/>
      <c r="L440" s="57"/>
      <c r="M440" s="121"/>
      <c r="N440" s="122"/>
      <c r="O440" s="28"/>
      <c r="P440" s="25"/>
      <c r="Q440" s="50" t="s">
        <v>140</v>
      </c>
      <c r="R440" s="25" t="s">
        <v>303</v>
      </c>
      <c r="S440" s="50"/>
      <c r="T440" s="65"/>
      <c r="U440" s="65"/>
      <c r="V440" s="65"/>
      <c r="W440" s="65"/>
      <c r="X440" s="65"/>
      <c r="Y440" s="65"/>
      <c r="Z440" s="65"/>
      <c r="AA440" s="65"/>
      <c r="AB440" s="65"/>
      <c r="AC440" s="65"/>
      <c r="AD440" s="65"/>
      <c r="AE440" s="65"/>
      <c r="AF440" s="65"/>
    </row>
    <row r="441" spans="1:32" ht="78.75" customHeight="1">
      <c r="A441" s="352"/>
      <c r="B441" s="352"/>
      <c r="C441" s="86">
        <v>6</v>
      </c>
      <c r="D441" s="352"/>
      <c r="E441" s="352"/>
      <c r="F441" s="352"/>
      <c r="G441" s="354" t="s">
        <v>524</v>
      </c>
      <c r="H441" s="175" t="s">
        <v>2969</v>
      </c>
      <c r="I441" s="35" t="s">
        <v>2978</v>
      </c>
      <c r="J441" s="172"/>
      <c r="K441" s="25"/>
      <c r="L441" s="57"/>
      <c r="M441" s="121"/>
      <c r="N441" s="122"/>
      <c r="O441" s="28"/>
      <c r="P441" s="25"/>
      <c r="Q441" s="50" t="s">
        <v>140</v>
      </c>
      <c r="R441" s="25" t="s">
        <v>303</v>
      </c>
      <c r="S441" s="50"/>
      <c r="T441" s="65"/>
      <c r="U441" s="65"/>
      <c r="V441" s="65"/>
      <c r="W441" s="65"/>
      <c r="X441" s="65"/>
      <c r="Y441" s="65"/>
      <c r="Z441" s="65"/>
      <c r="AA441" s="65"/>
      <c r="AB441" s="65"/>
      <c r="AC441" s="65"/>
      <c r="AD441" s="65"/>
      <c r="AE441" s="65"/>
      <c r="AF441" s="65"/>
    </row>
    <row r="442" spans="1:32" ht="78.75" customHeight="1">
      <c r="A442" s="352"/>
      <c r="B442" s="352"/>
      <c r="C442" s="86">
        <v>7</v>
      </c>
      <c r="D442" s="352"/>
      <c r="E442" s="352"/>
      <c r="F442" s="352"/>
      <c r="G442" s="352"/>
      <c r="H442" s="175" t="s">
        <v>3105</v>
      </c>
      <c r="I442" s="35" t="s">
        <v>3106</v>
      </c>
      <c r="J442" s="172"/>
      <c r="K442" s="25"/>
      <c r="L442" s="57"/>
      <c r="M442" s="121"/>
      <c r="N442" s="122"/>
      <c r="O442" s="28"/>
      <c r="P442" s="25"/>
      <c r="Q442" s="50" t="s">
        <v>140</v>
      </c>
      <c r="R442" s="25" t="s">
        <v>303</v>
      </c>
      <c r="S442" s="50"/>
      <c r="T442" s="65"/>
      <c r="U442" s="65"/>
      <c r="V442" s="65"/>
      <c r="W442" s="65"/>
      <c r="X442" s="65"/>
      <c r="Y442" s="65"/>
      <c r="Z442" s="65"/>
      <c r="AA442" s="65"/>
      <c r="AB442" s="65"/>
      <c r="AC442" s="65"/>
      <c r="AD442" s="65"/>
      <c r="AE442" s="65"/>
      <c r="AF442" s="65"/>
    </row>
    <row r="443" spans="1:32" ht="78.75" customHeight="1">
      <c r="A443" s="353"/>
      <c r="B443" s="353"/>
      <c r="C443" s="86">
        <v>8</v>
      </c>
      <c r="D443" s="353"/>
      <c r="E443" s="353"/>
      <c r="F443" s="353"/>
      <c r="G443" s="353"/>
      <c r="H443" s="175" t="s">
        <v>3025</v>
      </c>
      <c r="I443" s="35" t="s">
        <v>3081</v>
      </c>
      <c r="J443" s="172"/>
      <c r="K443" s="25"/>
      <c r="L443" s="57"/>
      <c r="M443" s="121"/>
      <c r="N443" s="122"/>
      <c r="O443" s="28"/>
      <c r="P443" s="25"/>
      <c r="Q443" s="50" t="s">
        <v>140</v>
      </c>
      <c r="R443" s="25" t="s">
        <v>303</v>
      </c>
      <c r="S443" s="50"/>
      <c r="T443" s="65"/>
      <c r="U443" s="65"/>
      <c r="V443" s="65"/>
      <c r="W443" s="65"/>
      <c r="X443" s="65"/>
      <c r="Y443" s="65"/>
      <c r="Z443" s="65"/>
      <c r="AA443" s="65"/>
      <c r="AB443" s="65"/>
      <c r="AC443" s="65"/>
      <c r="AD443" s="65"/>
      <c r="AE443" s="65"/>
      <c r="AF443" s="65"/>
    </row>
    <row r="444" spans="1:32" ht="82.5" customHeight="1">
      <c r="A444" s="351" t="s">
        <v>3107</v>
      </c>
      <c r="B444" s="354" t="s">
        <v>51</v>
      </c>
      <c r="C444" s="86">
        <v>1</v>
      </c>
      <c r="D444" s="351" t="s">
        <v>3108</v>
      </c>
      <c r="E444" s="351" t="s">
        <v>3109</v>
      </c>
      <c r="F444" s="354" t="s">
        <v>361</v>
      </c>
      <c r="G444" s="86" t="s">
        <v>327</v>
      </c>
      <c r="H444" s="175" t="s">
        <v>3110</v>
      </c>
      <c r="I444" s="35" t="s">
        <v>3111</v>
      </c>
      <c r="J444" s="172"/>
      <c r="K444" s="25"/>
      <c r="L444" s="57"/>
      <c r="M444" s="121"/>
      <c r="N444" s="122"/>
      <c r="O444" s="28"/>
      <c r="P444" s="25"/>
      <c r="Q444" s="50" t="s">
        <v>140</v>
      </c>
      <c r="R444" s="25" t="s">
        <v>303</v>
      </c>
      <c r="S444" s="50"/>
      <c r="T444" s="65"/>
      <c r="U444" s="65"/>
      <c r="V444" s="65"/>
      <c r="W444" s="65"/>
      <c r="X444" s="65"/>
      <c r="Y444" s="65"/>
      <c r="Z444" s="65"/>
      <c r="AA444" s="65"/>
      <c r="AB444" s="65"/>
      <c r="AC444" s="65"/>
      <c r="AD444" s="65"/>
      <c r="AE444" s="65"/>
      <c r="AF444" s="65"/>
    </row>
    <row r="445" spans="1:32" ht="15.75" customHeight="1">
      <c r="A445" s="352"/>
      <c r="B445" s="352"/>
      <c r="C445" s="86">
        <v>2</v>
      </c>
      <c r="D445" s="352"/>
      <c r="E445" s="352"/>
      <c r="F445" s="352"/>
      <c r="G445" s="354" t="s">
        <v>524</v>
      </c>
      <c r="H445" s="351" t="s">
        <v>3112</v>
      </c>
      <c r="I445" s="35" t="s">
        <v>3113</v>
      </c>
      <c r="J445" s="172"/>
      <c r="K445" s="25"/>
      <c r="L445" s="57"/>
      <c r="M445" s="121"/>
      <c r="N445" s="122"/>
      <c r="O445" s="28"/>
      <c r="P445" s="25"/>
      <c r="Q445" s="50" t="s">
        <v>140</v>
      </c>
      <c r="R445" s="25" t="s">
        <v>303</v>
      </c>
      <c r="S445" s="50"/>
      <c r="T445" s="65"/>
      <c r="U445" s="65"/>
      <c r="V445" s="65"/>
      <c r="W445" s="65"/>
      <c r="X445" s="65"/>
      <c r="Y445" s="65"/>
      <c r="Z445" s="65"/>
      <c r="AA445" s="65"/>
      <c r="AB445" s="65"/>
      <c r="AC445" s="65"/>
      <c r="AD445" s="65"/>
      <c r="AE445" s="65"/>
      <c r="AF445" s="65"/>
    </row>
    <row r="446" spans="1:32" ht="15.75" customHeight="1">
      <c r="A446" s="352"/>
      <c r="B446" s="352"/>
      <c r="C446" s="86">
        <v>3</v>
      </c>
      <c r="D446" s="352"/>
      <c r="E446" s="352"/>
      <c r="F446" s="352"/>
      <c r="G446" s="353"/>
      <c r="H446" s="353"/>
      <c r="I446" s="35" t="s">
        <v>3025</v>
      </c>
      <c r="J446" s="172"/>
      <c r="K446" s="25"/>
      <c r="L446" s="57"/>
      <c r="M446" s="121"/>
      <c r="N446" s="122"/>
      <c r="O446" s="28"/>
      <c r="P446" s="25"/>
      <c r="Q446" s="50" t="s">
        <v>140</v>
      </c>
      <c r="R446" s="25" t="s">
        <v>303</v>
      </c>
      <c r="S446" s="50"/>
      <c r="T446" s="65"/>
      <c r="U446" s="65"/>
      <c r="V446" s="65"/>
      <c r="W446" s="65"/>
      <c r="X446" s="65"/>
      <c r="Y446" s="65"/>
      <c r="Z446" s="65"/>
      <c r="AA446" s="65"/>
      <c r="AB446" s="65"/>
      <c r="AC446" s="65"/>
      <c r="AD446" s="65"/>
      <c r="AE446" s="65"/>
      <c r="AF446" s="65"/>
    </row>
    <row r="447" spans="1:32" ht="17.25" customHeight="1">
      <c r="A447" s="352"/>
      <c r="B447" s="352"/>
      <c r="C447" s="86">
        <v>4</v>
      </c>
      <c r="D447" s="352"/>
      <c r="E447" s="352"/>
      <c r="F447" s="352"/>
      <c r="G447" s="354" t="s">
        <v>524</v>
      </c>
      <c r="H447" s="351" t="s">
        <v>3114</v>
      </c>
      <c r="I447" s="35" t="s">
        <v>3115</v>
      </c>
      <c r="J447" s="172"/>
      <c r="K447" s="25"/>
      <c r="L447" s="57"/>
      <c r="M447" s="121"/>
      <c r="N447" s="122"/>
      <c r="O447" s="28"/>
      <c r="P447" s="25"/>
      <c r="Q447" s="50" t="s">
        <v>140</v>
      </c>
      <c r="R447" s="25" t="s">
        <v>303</v>
      </c>
      <c r="S447" s="50"/>
      <c r="T447" s="65"/>
      <c r="U447" s="65"/>
      <c r="V447" s="65"/>
      <c r="W447" s="65"/>
      <c r="X447" s="65"/>
      <c r="Y447" s="65"/>
      <c r="Z447" s="65"/>
      <c r="AA447" s="65"/>
      <c r="AB447" s="65"/>
      <c r="AC447" s="65"/>
      <c r="AD447" s="65"/>
      <c r="AE447" s="65"/>
      <c r="AF447" s="65"/>
    </row>
    <row r="448" spans="1:32" ht="15.75" customHeight="1">
      <c r="A448" s="352"/>
      <c r="B448" s="352"/>
      <c r="C448" s="86">
        <v>5</v>
      </c>
      <c r="D448" s="352"/>
      <c r="E448" s="352"/>
      <c r="F448" s="352"/>
      <c r="G448" s="352"/>
      <c r="H448" s="353"/>
      <c r="I448" s="35" t="s">
        <v>3116</v>
      </c>
      <c r="J448" s="172"/>
      <c r="K448" s="25"/>
      <c r="L448" s="57"/>
      <c r="M448" s="121"/>
      <c r="N448" s="122"/>
      <c r="O448" s="28"/>
      <c r="P448" s="25"/>
      <c r="Q448" s="50" t="s">
        <v>140</v>
      </c>
      <c r="R448" s="25" t="s">
        <v>303</v>
      </c>
      <c r="S448" s="50"/>
      <c r="T448" s="65"/>
      <c r="U448" s="65"/>
      <c r="V448" s="65"/>
      <c r="W448" s="65"/>
      <c r="X448" s="65"/>
      <c r="Y448" s="65"/>
      <c r="Z448" s="65"/>
      <c r="AA448" s="65"/>
      <c r="AB448" s="65"/>
      <c r="AC448" s="65"/>
      <c r="AD448" s="65"/>
      <c r="AE448" s="65"/>
      <c r="AF448" s="65"/>
    </row>
    <row r="449" spans="1:32" ht="15.75" customHeight="1">
      <c r="A449" s="352"/>
      <c r="B449" s="352"/>
      <c r="C449" s="86">
        <v>6</v>
      </c>
      <c r="D449" s="352"/>
      <c r="E449" s="352"/>
      <c r="F449" s="352"/>
      <c r="G449" s="352"/>
      <c r="H449" s="351" t="s">
        <v>3117</v>
      </c>
      <c r="I449" s="35" t="s">
        <v>3118</v>
      </c>
      <c r="J449" s="172"/>
      <c r="K449" s="25"/>
      <c r="L449" s="57"/>
      <c r="M449" s="121"/>
      <c r="N449" s="122"/>
      <c r="O449" s="28"/>
      <c r="P449" s="25"/>
      <c r="Q449" s="50" t="s">
        <v>140</v>
      </c>
      <c r="R449" s="25" t="s">
        <v>303</v>
      </c>
      <c r="S449" s="50"/>
      <c r="T449" s="65"/>
      <c r="U449" s="65"/>
      <c r="V449" s="65"/>
      <c r="W449" s="65"/>
      <c r="X449" s="65"/>
      <c r="Y449" s="65"/>
      <c r="Z449" s="65"/>
      <c r="AA449" s="65"/>
      <c r="AB449" s="65"/>
      <c r="AC449" s="65"/>
      <c r="AD449" s="65"/>
      <c r="AE449" s="65"/>
      <c r="AF449" s="65"/>
    </row>
    <row r="450" spans="1:32" ht="15.75" customHeight="1">
      <c r="A450" s="352"/>
      <c r="B450" s="352"/>
      <c r="C450" s="86">
        <v>7</v>
      </c>
      <c r="D450" s="352"/>
      <c r="E450" s="352"/>
      <c r="F450" s="352"/>
      <c r="G450" s="352"/>
      <c r="H450" s="353"/>
      <c r="I450" s="35" t="s">
        <v>3119</v>
      </c>
      <c r="J450" s="172"/>
      <c r="K450" s="25"/>
      <c r="L450" s="57"/>
      <c r="M450" s="121"/>
      <c r="N450" s="122"/>
      <c r="O450" s="28"/>
      <c r="P450" s="25"/>
      <c r="Q450" s="50" t="s">
        <v>140</v>
      </c>
      <c r="R450" s="25" t="s">
        <v>303</v>
      </c>
      <c r="S450" s="50"/>
      <c r="T450" s="65"/>
      <c r="U450" s="65"/>
      <c r="V450" s="65"/>
      <c r="W450" s="65"/>
      <c r="X450" s="65"/>
      <c r="Y450" s="65"/>
      <c r="Z450" s="65"/>
      <c r="AA450" s="65"/>
      <c r="AB450" s="65"/>
      <c r="AC450" s="65"/>
      <c r="AD450" s="65"/>
      <c r="AE450" s="65"/>
      <c r="AF450" s="65"/>
    </row>
    <row r="451" spans="1:32" ht="15.75" customHeight="1">
      <c r="A451" s="352"/>
      <c r="B451" s="352"/>
      <c r="C451" s="86">
        <v>8</v>
      </c>
      <c r="D451" s="352"/>
      <c r="E451" s="352"/>
      <c r="F451" s="352"/>
      <c r="G451" s="353"/>
      <c r="H451" s="175" t="s">
        <v>3120</v>
      </c>
      <c r="I451" s="35" t="s">
        <v>3025</v>
      </c>
      <c r="J451" s="172"/>
      <c r="K451" s="25"/>
      <c r="L451" s="57"/>
      <c r="M451" s="121"/>
      <c r="N451" s="122"/>
      <c r="O451" s="28"/>
      <c r="P451" s="25"/>
      <c r="Q451" s="50" t="s">
        <v>140</v>
      </c>
      <c r="R451" s="25" t="s">
        <v>303</v>
      </c>
      <c r="S451" s="50"/>
      <c r="T451" s="65"/>
      <c r="U451" s="65"/>
      <c r="V451" s="65"/>
      <c r="W451" s="65"/>
      <c r="X451" s="65"/>
      <c r="Y451" s="65"/>
      <c r="Z451" s="65"/>
      <c r="AA451" s="65"/>
      <c r="AB451" s="65"/>
      <c r="AC451" s="65"/>
      <c r="AD451" s="65"/>
      <c r="AE451" s="65"/>
      <c r="AF451" s="65"/>
    </row>
    <row r="452" spans="1:32" ht="15.75" customHeight="1">
      <c r="A452" s="352"/>
      <c r="B452" s="352"/>
      <c r="C452" s="86">
        <v>9</v>
      </c>
      <c r="D452" s="352"/>
      <c r="E452" s="352"/>
      <c r="F452" s="352"/>
      <c r="G452" s="354" t="s">
        <v>524</v>
      </c>
      <c r="H452" s="175" t="s">
        <v>3121</v>
      </c>
      <c r="I452" s="35" t="s">
        <v>3122</v>
      </c>
      <c r="J452" s="172"/>
      <c r="K452" s="25"/>
      <c r="L452" s="57"/>
      <c r="M452" s="121"/>
      <c r="N452" s="122"/>
      <c r="O452" s="28"/>
      <c r="P452" s="25"/>
      <c r="Q452" s="50" t="s">
        <v>140</v>
      </c>
      <c r="R452" s="25" t="s">
        <v>303</v>
      </c>
      <c r="S452" s="50"/>
      <c r="T452" s="65"/>
      <c r="U452" s="65"/>
      <c r="V452" s="65"/>
      <c r="W452" s="65"/>
      <c r="X452" s="65"/>
      <c r="Y452" s="65"/>
      <c r="Z452" s="65"/>
      <c r="AA452" s="65"/>
      <c r="AB452" s="65"/>
      <c r="AC452" s="65"/>
      <c r="AD452" s="65"/>
      <c r="AE452" s="65"/>
      <c r="AF452" s="65"/>
    </row>
    <row r="453" spans="1:32" ht="15.75" customHeight="1">
      <c r="A453" s="352"/>
      <c r="B453" s="352"/>
      <c r="C453" s="86">
        <v>10</v>
      </c>
      <c r="D453" s="352"/>
      <c r="E453" s="352"/>
      <c r="F453" s="352"/>
      <c r="G453" s="352"/>
      <c r="H453" s="175" t="s">
        <v>3123</v>
      </c>
      <c r="I453" s="35" t="s">
        <v>3113</v>
      </c>
      <c r="J453" s="172"/>
      <c r="K453" s="25"/>
      <c r="L453" s="57"/>
      <c r="M453" s="121"/>
      <c r="N453" s="122"/>
      <c r="O453" s="28"/>
      <c r="P453" s="25"/>
      <c r="Q453" s="50" t="s">
        <v>140</v>
      </c>
      <c r="R453" s="25" t="s">
        <v>303</v>
      </c>
      <c r="S453" s="50"/>
      <c r="T453" s="65"/>
      <c r="U453" s="65"/>
      <c r="V453" s="65"/>
      <c r="W453" s="65"/>
      <c r="X453" s="65"/>
      <c r="Y453" s="65"/>
      <c r="Z453" s="65"/>
      <c r="AA453" s="65"/>
      <c r="AB453" s="65"/>
      <c r="AC453" s="65"/>
      <c r="AD453" s="65"/>
      <c r="AE453" s="65"/>
      <c r="AF453" s="65"/>
    </row>
    <row r="454" spans="1:32" ht="33" customHeight="1">
      <c r="A454" s="352"/>
      <c r="B454" s="352"/>
      <c r="C454" s="86">
        <v>11</v>
      </c>
      <c r="D454" s="352"/>
      <c r="E454" s="352"/>
      <c r="F454" s="352"/>
      <c r="G454" s="352"/>
      <c r="H454" s="351" t="s">
        <v>3124</v>
      </c>
      <c r="I454" s="35" t="s">
        <v>3125</v>
      </c>
      <c r="J454" s="172"/>
      <c r="K454" s="25"/>
      <c r="L454" s="57"/>
      <c r="M454" s="121"/>
      <c r="N454" s="122"/>
      <c r="O454" s="28"/>
      <c r="P454" s="25"/>
      <c r="Q454" s="50" t="s">
        <v>140</v>
      </c>
      <c r="R454" s="25" t="s">
        <v>303</v>
      </c>
      <c r="S454" s="50"/>
      <c r="T454" s="65"/>
      <c r="U454" s="65"/>
      <c r="V454" s="65"/>
      <c r="W454" s="65"/>
      <c r="X454" s="65"/>
      <c r="Y454" s="65"/>
      <c r="Z454" s="65"/>
      <c r="AA454" s="65"/>
      <c r="AB454" s="65"/>
      <c r="AC454" s="65"/>
      <c r="AD454" s="65"/>
      <c r="AE454" s="65"/>
      <c r="AF454" s="65"/>
    </row>
    <row r="455" spans="1:32" ht="15.75" customHeight="1">
      <c r="A455" s="352"/>
      <c r="B455" s="352"/>
      <c r="C455" s="86">
        <v>12</v>
      </c>
      <c r="D455" s="352"/>
      <c r="E455" s="352"/>
      <c r="F455" s="352"/>
      <c r="G455" s="352"/>
      <c r="H455" s="352"/>
      <c r="I455" s="35" t="s">
        <v>3126</v>
      </c>
      <c r="J455" s="172"/>
      <c r="K455" s="25"/>
      <c r="L455" s="57"/>
      <c r="M455" s="121"/>
      <c r="N455" s="122"/>
      <c r="O455" s="28"/>
      <c r="P455" s="25"/>
      <c r="Q455" s="50" t="s">
        <v>140</v>
      </c>
      <c r="R455" s="25" t="s">
        <v>303</v>
      </c>
      <c r="S455" s="50"/>
      <c r="T455" s="65"/>
      <c r="U455" s="65"/>
      <c r="V455" s="65"/>
      <c r="W455" s="65"/>
      <c r="X455" s="65"/>
      <c r="Y455" s="65"/>
      <c r="Z455" s="65"/>
      <c r="AA455" s="65"/>
      <c r="AB455" s="65"/>
      <c r="AC455" s="65"/>
      <c r="AD455" s="65"/>
      <c r="AE455" s="65"/>
      <c r="AF455" s="65"/>
    </row>
    <row r="456" spans="1:32" ht="15.75" customHeight="1">
      <c r="A456" s="352"/>
      <c r="B456" s="352"/>
      <c r="C456" s="86">
        <v>13</v>
      </c>
      <c r="D456" s="352"/>
      <c r="E456" s="352"/>
      <c r="F456" s="352"/>
      <c r="G456" s="352"/>
      <c r="H456" s="352"/>
      <c r="I456" s="35" t="s">
        <v>2305</v>
      </c>
      <c r="J456" s="172"/>
      <c r="K456" s="25"/>
      <c r="L456" s="57"/>
      <c r="M456" s="121"/>
      <c r="N456" s="122"/>
      <c r="O456" s="28"/>
      <c r="P456" s="25"/>
      <c r="Q456" s="50" t="s">
        <v>140</v>
      </c>
      <c r="R456" s="25" t="s">
        <v>303</v>
      </c>
      <c r="S456" s="50"/>
      <c r="T456" s="65"/>
      <c r="U456" s="65"/>
      <c r="V456" s="65"/>
      <c r="W456" s="65"/>
      <c r="X456" s="65"/>
      <c r="Y456" s="65"/>
      <c r="Z456" s="65"/>
      <c r="AA456" s="65"/>
      <c r="AB456" s="65"/>
      <c r="AC456" s="65"/>
      <c r="AD456" s="65"/>
      <c r="AE456" s="65"/>
      <c r="AF456" s="65"/>
    </row>
    <row r="457" spans="1:32" ht="15.75" customHeight="1">
      <c r="A457" s="352"/>
      <c r="B457" s="352"/>
      <c r="C457" s="86">
        <v>14</v>
      </c>
      <c r="D457" s="352"/>
      <c r="E457" s="352"/>
      <c r="F457" s="352"/>
      <c r="G457" s="352"/>
      <c r="H457" s="352"/>
      <c r="I457" s="35" t="s">
        <v>3127</v>
      </c>
      <c r="J457" s="172"/>
      <c r="K457" s="25"/>
      <c r="L457" s="57"/>
      <c r="M457" s="121"/>
      <c r="N457" s="122"/>
      <c r="O457" s="28"/>
      <c r="P457" s="25"/>
      <c r="Q457" s="50" t="s">
        <v>140</v>
      </c>
      <c r="R457" s="25" t="s">
        <v>303</v>
      </c>
      <c r="S457" s="50"/>
      <c r="T457" s="65"/>
      <c r="U457" s="65"/>
      <c r="V457" s="65"/>
      <c r="W457" s="65"/>
      <c r="X457" s="65"/>
      <c r="Y457" s="65"/>
      <c r="Z457" s="65"/>
      <c r="AA457" s="65"/>
      <c r="AB457" s="65"/>
      <c r="AC457" s="65"/>
      <c r="AD457" s="65"/>
      <c r="AE457" s="65"/>
      <c r="AF457" s="65"/>
    </row>
    <row r="458" spans="1:32" ht="15.75" customHeight="1">
      <c r="A458" s="353"/>
      <c r="B458" s="353"/>
      <c r="C458" s="86">
        <v>15</v>
      </c>
      <c r="D458" s="353"/>
      <c r="E458" s="353"/>
      <c r="F458" s="353"/>
      <c r="G458" s="353"/>
      <c r="H458" s="353"/>
      <c r="I458" s="35" t="s">
        <v>3128</v>
      </c>
      <c r="J458" s="172"/>
      <c r="K458" s="25"/>
      <c r="L458" s="57"/>
      <c r="M458" s="121"/>
      <c r="N458" s="122"/>
      <c r="O458" s="28"/>
      <c r="P458" s="25"/>
      <c r="Q458" s="50" t="s">
        <v>140</v>
      </c>
      <c r="R458" s="25" t="s">
        <v>303</v>
      </c>
      <c r="S458" s="50"/>
      <c r="T458" s="65"/>
      <c r="U458" s="65"/>
      <c r="V458" s="65"/>
      <c r="W458" s="65"/>
      <c r="X458" s="65"/>
      <c r="Y458" s="65"/>
      <c r="Z458" s="65"/>
      <c r="AA458" s="65"/>
      <c r="AB458" s="65"/>
      <c r="AC458" s="65"/>
      <c r="AD458" s="65"/>
      <c r="AE458" s="65"/>
      <c r="AF458" s="65"/>
    </row>
    <row r="459" spans="1:32" ht="78.75" customHeight="1">
      <c r="A459" s="351" t="s">
        <v>3129</v>
      </c>
      <c r="B459" s="354" t="s">
        <v>74</v>
      </c>
      <c r="C459" s="86">
        <v>1</v>
      </c>
      <c r="D459" s="351" t="s">
        <v>3130</v>
      </c>
      <c r="E459" s="351" t="s">
        <v>3131</v>
      </c>
      <c r="F459" s="354" t="s">
        <v>361</v>
      </c>
      <c r="G459" s="354" t="s">
        <v>327</v>
      </c>
      <c r="H459" s="175" t="s">
        <v>3132</v>
      </c>
      <c r="I459" s="35" t="s">
        <v>3133</v>
      </c>
      <c r="J459" s="172"/>
      <c r="K459" s="25"/>
      <c r="L459" s="57"/>
      <c r="M459" s="121"/>
      <c r="N459" s="122"/>
      <c r="O459" s="28"/>
      <c r="P459" s="25"/>
      <c r="Q459" s="50" t="s">
        <v>140</v>
      </c>
      <c r="R459" s="25" t="s">
        <v>303</v>
      </c>
      <c r="S459" s="50"/>
      <c r="T459" s="65"/>
      <c r="U459" s="65"/>
      <c r="V459" s="65"/>
      <c r="W459" s="65"/>
      <c r="X459" s="65"/>
      <c r="Y459" s="65"/>
      <c r="Z459" s="65"/>
      <c r="AA459" s="65"/>
      <c r="AB459" s="65"/>
      <c r="AC459" s="65"/>
      <c r="AD459" s="65"/>
      <c r="AE459" s="65"/>
      <c r="AF459" s="65"/>
    </row>
    <row r="460" spans="1:32" ht="78.75" customHeight="1">
      <c r="A460" s="353"/>
      <c r="B460" s="353"/>
      <c r="C460" s="86">
        <v>2</v>
      </c>
      <c r="D460" s="353"/>
      <c r="E460" s="353"/>
      <c r="F460" s="353"/>
      <c r="G460" s="353"/>
      <c r="H460" s="175" t="s">
        <v>3134</v>
      </c>
      <c r="I460" s="35" t="s">
        <v>3135</v>
      </c>
      <c r="J460" s="172"/>
      <c r="K460" s="25"/>
      <c r="L460" s="57"/>
      <c r="M460" s="121"/>
      <c r="N460" s="122"/>
      <c r="O460" s="28"/>
      <c r="P460" s="25"/>
      <c r="Q460" s="50" t="s">
        <v>140</v>
      </c>
      <c r="R460" s="25" t="s">
        <v>303</v>
      </c>
      <c r="S460" s="50"/>
      <c r="T460" s="65"/>
      <c r="U460" s="65"/>
      <c r="V460" s="65"/>
      <c r="W460" s="65"/>
      <c r="X460" s="65"/>
      <c r="Y460" s="65"/>
      <c r="Z460" s="65"/>
      <c r="AA460" s="65"/>
      <c r="AB460" s="65"/>
      <c r="AC460" s="65"/>
      <c r="AD460" s="65"/>
      <c r="AE460" s="65"/>
      <c r="AF460" s="65"/>
    </row>
    <row r="461" spans="1:32" ht="15.75" customHeight="1">
      <c r="A461" s="387" t="s">
        <v>3136</v>
      </c>
      <c r="B461" s="388" t="s">
        <v>288</v>
      </c>
      <c r="C461" s="327">
        <v>1</v>
      </c>
      <c r="D461" s="387" t="s">
        <v>3137</v>
      </c>
      <c r="E461" s="328" t="s">
        <v>3138</v>
      </c>
      <c r="F461" s="329" t="s">
        <v>326</v>
      </c>
      <c r="G461" s="329" t="s">
        <v>524</v>
      </c>
      <c r="H461" s="330" t="s">
        <v>3139</v>
      </c>
      <c r="I461" s="44" t="s">
        <v>3140</v>
      </c>
      <c r="J461" s="430"/>
      <c r="K461" s="152"/>
      <c r="L461" s="155"/>
      <c r="M461" s="156"/>
      <c r="N461" s="3"/>
      <c r="O461" s="157"/>
      <c r="P461" s="152"/>
      <c r="Q461" s="25" t="s">
        <v>140</v>
      </c>
      <c r="R461" s="152" t="s">
        <v>304</v>
      </c>
      <c r="S461" s="152"/>
    </row>
    <row r="462" spans="1:32" ht="15.75" customHeight="1">
      <c r="A462" s="352"/>
      <c r="B462" s="352"/>
      <c r="C462" s="327">
        <v>2</v>
      </c>
      <c r="D462" s="352"/>
      <c r="E462" s="328" t="s">
        <v>3141</v>
      </c>
      <c r="F462" s="329" t="s">
        <v>326</v>
      </c>
      <c r="G462" s="329" t="s">
        <v>524</v>
      </c>
      <c r="H462" s="330" t="s">
        <v>3142</v>
      </c>
      <c r="I462" s="44" t="s">
        <v>3143</v>
      </c>
      <c r="J462" s="430"/>
      <c r="K462" s="152"/>
      <c r="L462" s="155"/>
      <c r="M462" s="156" t="s">
        <v>3144</v>
      </c>
      <c r="N462" s="3"/>
      <c r="O462" s="157"/>
      <c r="P462" s="152"/>
      <c r="Q462" s="25" t="s">
        <v>140</v>
      </c>
      <c r="R462" s="152" t="s">
        <v>304</v>
      </c>
      <c r="S462" s="152"/>
    </row>
    <row r="463" spans="1:32" ht="15.75" customHeight="1">
      <c r="A463" s="352"/>
      <c r="B463" s="352"/>
      <c r="C463" s="327">
        <v>3</v>
      </c>
      <c r="D463" s="352"/>
      <c r="E463" s="331" t="s">
        <v>3145</v>
      </c>
      <c r="F463" s="332" t="s">
        <v>361</v>
      </c>
      <c r="G463" s="332" t="s">
        <v>524</v>
      </c>
      <c r="H463" s="333" t="s">
        <v>3146</v>
      </c>
      <c r="I463" s="158" t="s">
        <v>3147</v>
      </c>
      <c r="J463" s="158"/>
      <c r="K463" s="152"/>
      <c r="L463" s="155"/>
      <c r="M463" s="133"/>
      <c r="N463" s="3"/>
      <c r="O463" s="157"/>
      <c r="P463" s="152"/>
      <c r="Q463" s="89" t="s">
        <v>393</v>
      </c>
      <c r="R463" s="152" t="s">
        <v>304</v>
      </c>
      <c r="S463" s="50"/>
    </row>
    <row r="464" spans="1:32" ht="74.25" customHeight="1">
      <c r="A464" s="352"/>
      <c r="B464" s="352"/>
      <c r="C464" s="327">
        <v>4</v>
      </c>
      <c r="D464" s="352"/>
      <c r="E464" s="328" t="s">
        <v>3148</v>
      </c>
      <c r="F464" s="329" t="s">
        <v>361</v>
      </c>
      <c r="G464" s="329" t="s">
        <v>524</v>
      </c>
      <c r="H464" s="334" t="s">
        <v>3149</v>
      </c>
      <c r="I464" s="44" t="s">
        <v>3150</v>
      </c>
      <c r="J464" s="430"/>
      <c r="K464" s="152"/>
      <c r="L464" s="57"/>
      <c r="M464" s="159"/>
      <c r="N464" s="3"/>
      <c r="O464" s="28"/>
      <c r="P464" s="25"/>
      <c r="Q464" s="25" t="s">
        <v>140</v>
      </c>
      <c r="R464" s="152" t="s">
        <v>304</v>
      </c>
      <c r="S464" s="160"/>
    </row>
    <row r="465" spans="1:32" ht="107.25" customHeight="1">
      <c r="A465" s="353"/>
      <c r="B465" s="353"/>
      <c r="C465" s="327">
        <v>5</v>
      </c>
      <c r="D465" s="353"/>
      <c r="E465" s="328" t="s">
        <v>3151</v>
      </c>
      <c r="F465" s="329" t="s">
        <v>361</v>
      </c>
      <c r="G465" s="329" t="s">
        <v>524</v>
      </c>
      <c r="H465" s="335" t="s">
        <v>3152</v>
      </c>
      <c r="I465" s="81" t="s">
        <v>3153</v>
      </c>
      <c r="J465" s="431"/>
      <c r="K465" s="25"/>
      <c r="L465" s="161"/>
      <c r="M465" s="133"/>
      <c r="N465" s="3"/>
      <c r="O465" s="162"/>
      <c r="P465" s="163"/>
      <c r="Q465" s="50" t="s">
        <v>282</v>
      </c>
      <c r="R465" s="152" t="s">
        <v>304</v>
      </c>
      <c r="S465" s="152"/>
    </row>
    <row r="466" spans="1:32" ht="15.75" customHeight="1">
      <c r="A466" s="387" t="s">
        <v>3154</v>
      </c>
      <c r="B466" s="388" t="s">
        <v>259</v>
      </c>
      <c r="C466" s="336">
        <v>1</v>
      </c>
      <c r="D466" s="387" t="s">
        <v>3155</v>
      </c>
      <c r="E466" s="328" t="s">
        <v>3138</v>
      </c>
      <c r="F466" s="329" t="s">
        <v>326</v>
      </c>
      <c r="G466" s="329" t="s">
        <v>524</v>
      </c>
      <c r="H466" s="330" t="s">
        <v>3156</v>
      </c>
      <c r="I466" s="44" t="s">
        <v>3157</v>
      </c>
      <c r="J466" s="430"/>
      <c r="K466" s="25"/>
      <c r="L466" s="57"/>
      <c r="M466" s="133"/>
      <c r="N466" s="3"/>
      <c r="O466" s="157"/>
      <c r="P466" s="152"/>
      <c r="Q466" s="25" t="s">
        <v>140</v>
      </c>
      <c r="R466" s="152" t="s">
        <v>304</v>
      </c>
      <c r="S466" s="25"/>
    </row>
    <row r="467" spans="1:32" ht="15.75" customHeight="1">
      <c r="A467" s="352"/>
      <c r="B467" s="352"/>
      <c r="C467" s="336">
        <v>2</v>
      </c>
      <c r="D467" s="352"/>
      <c r="E467" s="328" t="s">
        <v>3141</v>
      </c>
      <c r="F467" s="329" t="s">
        <v>326</v>
      </c>
      <c r="G467" s="329" t="s">
        <v>524</v>
      </c>
      <c r="H467" s="330" t="s">
        <v>3142</v>
      </c>
      <c r="I467" s="44" t="s">
        <v>3158</v>
      </c>
      <c r="J467" s="430"/>
      <c r="K467" s="25"/>
      <c r="L467" s="57"/>
      <c r="M467" s="133"/>
      <c r="N467" s="3"/>
      <c r="O467" s="157"/>
      <c r="P467" s="152"/>
      <c r="Q467" s="25" t="s">
        <v>140</v>
      </c>
      <c r="R467" s="152" t="s">
        <v>304</v>
      </c>
      <c r="S467" s="50"/>
    </row>
    <row r="468" spans="1:32" ht="15.75" customHeight="1">
      <c r="A468" s="353"/>
      <c r="B468" s="353"/>
      <c r="C468" s="327">
        <v>3</v>
      </c>
      <c r="D468" s="353"/>
      <c r="E468" s="331" t="s">
        <v>3145</v>
      </c>
      <c r="F468" s="332" t="s">
        <v>326</v>
      </c>
      <c r="G468" s="332" t="s">
        <v>524</v>
      </c>
      <c r="H468" s="333" t="s">
        <v>3146</v>
      </c>
      <c r="I468" s="165" t="s">
        <v>3159</v>
      </c>
      <c r="J468" s="158"/>
      <c r="K468" s="25"/>
      <c r="L468" s="57"/>
      <c r="M468" s="133"/>
      <c r="N468" s="3"/>
      <c r="O468" s="28"/>
      <c r="P468" s="25"/>
      <c r="Q468" s="166" t="s">
        <v>393</v>
      </c>
      <c r="R468" s="25" t="s">
        <v>304</v>
      </c>
      <c r="S468" s="152"/>
    </row>
    <row r="469" spans="1:32" ht="71.25" customHeight="1">
      <c r="A469" s="387" t="s">
        <v>3160</v>
      </c>
      <c r="B469" s="388" t="s">
        <v>260</v>
      </c>
      <c r="C469" s="337">
        <v>1</v>
      </c>
      <c r="D469" s="387" t="s">
        <v>3161</v>
      </c>
      <c r="E469" s="338" t="s">
        <v>3162</v>
      </c>
      <c r="F469" s="327" t="s">
        <v>1585</v>
      </c>
      <c r="G469" s="327" t="s">
        <v>524</v>
      </c>
      <c r="H469" s="339" t="s">
        <v>3163</v>
      </c>
      <c r="I469" s="83" t="s">
        <v>2880</v>
      </c>
      <c r="J469" s="271"/>
      <c r="K469" s="25"/>
      <c r="L469" s="57"/>
      <c r="M469" s="159"/>
      <c r="N469" s="3"/>
      <c r="O469" s="28"/>
      <c r="P469" s="25"/>
      <c r="Q469" s="50" t="s">
        <v>282</v>
      </c>
      <c r="R469" s="25" t="s">
        <v>304</v>
      </c>
      <c r="S469" s="160"/>
      <c r="T469" s="14"/>
      <c r="U469" s="14"/>
      <c r="V469" s="14"/>
      <c r="W469" s="14"/>
      <c r="X469" s="14"/>
      <c r="Y469" s="14"/>
      <c r="Z469" s="14"/>
      <c r="AA469" s="14"/>
      <c r="AB469" s="14"/>
      <c r="AC469" s="14"/>
      <c r="AD469" s="14"/>
      <c r="AE469" s="14"/>
      <c r="AF469" s="14"/>
    </row>
    <row r="470" spans="1:32" ht="15.75" customHeight="1">
      <c r="A470" s="352"/>
      <c r="B470" s="352"/>
      <c r="C470" s="336">
        <v>2</v>
      </c>
      <c r="D470" s="352"/>
      <c r="E470" s="340" t="s">
        <v>3164</v>
      </c>
      <c r="F470" s="336" t="s">
        <v>326</v>
      </c>
      <c r="G470" s="336" t="s">
        <v>524</v>
      </c>
      <c r="H470" s="341" t="s">
        <v>3165</v>
      </c>
      <c r="I470" s="67" t="s">
        <v>3166</v>
      </c>
      <c r="J470" s="67"/>
      <c r="K470" s="25"/>
      <c r="L470" s="57"/>
      <c r="M470" s="156"/>
      <c r="N470" s="3"/>
      <c r="O470" s="157"/>
      <c r="P470" s="152"/>
      <c r="Q470" s="25" t="s">
        <v>140</v>
      </c>
      <c r="R470" s="152" t="s">
        <v>304</v>
      </c>
      <c r="S470" s="152"/>
    </row>
    <row r="471" spans="1:32" ht="78.75" customHeight="1">
      <c r="A471" s="352"/>
      <c r="B471" s="352"/>
      <c r="C471" s="342">
        <v>3</v>
      </c>
      <c r="D471" s="352"/>
      <c r="E471" s="338" t="s">
        <v>3167</v>
      </c>
      <c r="F471" s="327" t="s">
        <v>1585</v>
      </c>
      <c r="G471" s="327" t="s">
        <v>524</v>
      </c>
      <c r="H471" s="339" t="s">
        <v>3168</v>
      </c>
      <c r="I471" s="112" t="s">
        <v>2880</v>
      </c>
      <c r="J471" s="432"/>
      <c r="K471" s="152"/>
      <c r="L471" s="161"/>
      <c r="M471" s="133"/>
      <c r="N471" s="3"/>
      <c r="O471" s="162"/>
      <c r="P471" s="163"/>
      <c r="Q471" s="50" t="s">
        <v>282</v>
      </c>
      <c r="R471" s="163" t="s">
        <v>304</v>
      </c>
      <c r="S471" s="149"/>
    </row>
    <row r="472" spans="1:32" ht="15.75" customHeight="1">
      <c r="A472" s="352"/>
      <c r="B472" s="352"/>
      <c r="C472" s="327">
        <v>4</v>
      </c>
      <c r="D472" s="352"/>
      <c r="E472" s="338" t="s">
        <v>3169</v>
      </c>
      <c r="F472" s="327" t="s">
        <v>326</v>
      </c>
      <c r="G472" s="327" t="s">
        <v>524</v>
      </c>
      <c r="H472" s="338" t="s">
        <v>3170</v>
      </c>
      <c r="I472" s="60" t="s">
        <v>3171</v>
      </c>
      <c r="J472" s="433"/>
      <c r="K472" s="152"/>
      <c r="L472" s="155"/>
      <c r="M472" s="133"/>
      <c r="N472" s="3"/>
      <c r="O472" s="157"/>
      <c r="P472" s="152"/>
      <c r="Q472" s="25" t="s">
        <v>140</v>
      </c>
      <c r="R472" s="152" t="s">
        <v>304</v>
      </c>
      <c r="S472" s="149"/>
    </row>
    <row r="473" spans="1:32" ht="71.25" customHeight="1">
      <c r="A473" s="352"/>
      <c r="B473" s="352"/>
      <c r="C473" s="327">
        <v>5</v>
      </c>
      <c r="D473" s="352"/>
      <c r="E473" s="338" t="s">
        <v>3172</v>
      </c>
      <c r="F473" s="327" t="s">
        <v>361</v>
      </c>
      <c r="G473" s="327" t="s">
        <v>524</v>
      </c>
      <c r="H473" s="338" t="s">
        <v>3173</v>
      </c>
      <c r="I473" s="44" t="s">
        <v>3174</v>
      </c>
      <c r="J473" s="430"/>
      <c r="K473" s="152"/>
      <c r="L473" s="57"/>
      <c r="M473" s="133"/>
      <c r="N473" s="3"/>
      <c r="O473" s="28"/>
      <c r="P473" s="25"/>
      <c r="Q473" s="50" t="s">
        <v>282</v>
      </c>
      <c r="R473" s="152" t="s">
        <v>304</v>
      </c>
      <c r="S473" s="149"/>
    </row>
    <row r="474" spans="1:32" ht="71.25" customHeight="1">
      <c r="A474" s="352"/>
      <c r="B474" s="352"/>
      <c r="C474" s="327">
        <v>5</v>
      </c>
      <c r="D474" s="352"/>
      <c r="E474" s="338" t="s">
        <v>3175</v>
      </c>
      <c r="F474" s="327" t="s">
        <v>361</v>
      </c>
      <c r="G474" s="327" t="s">
        <v>524</v>
      </c>
      <c r="H474" s="338" t="s">
        <v>3176</v>
      </c>
      <c r="I474" s="60" t="s">
        <v>3177</v>
      </c>
      <c r="J474" s="433"/>
      <c r="K474" s="152"/>
      <c r="L474" s="57"/>
      <c r="M474" s="133"/>
      <c r="N474" s="3"/>
      <c r="O474" s="28"/>
      <c r="P474" s="25"/>
      <c r="Q474" s="50" t="s">
        <v>140</v>
      </c>
      <c r="R474" s="152" t="s">
        <v>304</v>
      </c>
      <c r="S474" s="149"/>
    </row>
    <row r="475" spans="1:32" ht="71.25" customHeight="1">
      <c r="A475" s="352"/>
      <c r="B475" s="352"/>
      <c r="C475" s="327">
        <v>6</v>
      </c>
      <c r="D475" s="352"/>
      <c r="E475" s="334" t="s">
        <v>3178</v>
      </c>
      <c r="F475" s="329" t="s">
        <v>361</v>
      </c>
      <c r="G475" s="329" t="s">
        <v>524</v>
      </c>
      <c r="H475" s="334" t="s">
        <v>3179</v>
      </c>
      <c r="I475" s="44" t="s">
        <v>3180</v>
      </c>
      <c r="J475" s="430"/>
      <c r="K475" s="152"/>
      <c r="L475" s="57"/>
      <c r="M475" s="133"/>
      <c r="N475" s="3"/>
      <c r="O475" s="28"/>
      <c r="P475" s="25"/>
      <c r="Q475" s="50" t="s">
        <v>140</v>
      </c>
      <c r="R475" s="152" t="s">
        <v>304</v>
      </c>
      <c r="S475" s="149"/>
    </row>
    <row r="476" spans="1:32" ht="71.25" customHeight="1">
      <c r="A476" s="353"/>
      <c r="B476" s="353"/>
      <c r="C476" s="327">
        <v>7</v>
      </c>
      <c r="D476" s="353"/>
      <c r="E476" s="334" t="s">
        <v>3181</v>
      </c>
      <c r="F476" s="329" t="s">
        <v>361</v>
      </c>
      <c r="G476" s="329" t="s">
        <v>524</v>
      </c>
      <c r="H476" s="334" t="s">
        <v>3182</v>
      </c>
      <c r="I476" s="44" t="s">
        <v>3174</v>
      </c>
      <c r="J476" s="430"/>
      <c r="K476" s="152"/>
      <c r="L476" s="57"/>
      <c r="M476" s="133"/>
      <c r="N476" s="3"/>
      <c r="O476" s="28"/>
      <c r="P476" s="25"/>
      <c r="Q476" s="50" t="s">
        <v>140</v>
      </c>
      <c r="R476" s="152" t="s">
        <v>304</v>
      </c>
      <c r="S476" s="152"/>
    </row>
    <row r="477" spans="1:32" ht="15.75" customHeight="1">
      <c r="A477" s="387" t="s">
        <v>3183</v>
      </c>
      <c r="B477" s="388" t="s">
        <v>261</v>
      </c>
      <c r="C477" s="327">
        <v>1</v>
      </c>
      <c r="D477" s="387" t="s">
        <v>3184</v>
      </c>
      <c r="E477" s="338" t="s">
        <v>3185</v>
      </c>
      <c r="F477" s="327" t="s">
        <v>1585</v>
      </c>
      <c r="G477" s="327" t="s">
        <v>524</v>
      </c>
      <c r="H477" s="339" t="s">
        <v>3186</v>
      </c>
      <c r="I477" s="112" t="s">
        <v>3187</v>
      </c>
      <c r="J477" s="432"/>
      <c r="K477" s="152"/>
      <c r="L477" s="57"/>
      <c r="M477" s="133"/>
      <c r="N477" s="3"/>
      <c r="O477" s="28"/>
      <c r="P477" s="25"/>
      <c r="Q477" s="50" t="s">
        <v>282</v>
      </c>
      <c r="R477" s="152" t="s">
        <v>304</v>
      </c>
      <c r="S477" s="160"/>
    </row>
    <row r="478" spans="1:32" ht="15.75" customHeight="1">
      <c r="A478" s="352"/>
      <c r="B478" s="352"/>
      <c r="C478" s="336">
        <v>2</v>
      </c>
      <c r="D478" s="352"/>
      <c r="E478" s="340" t="s">
        <v>3188</v>
      </c>
      <c r="F478" s="336" t="s">
        <v>326</v>
      </c>
      <c r="G478" s="336" t="s">
        <v>524</v>
      </c>
      <c r="H478" s="340" t="s">
        <v>3189</v>
      </c>
      <c r="I478" s="60" t="s">
        <v>3190</v>
      </c>
      <c r="J478" s="433"/>
      <c r="K478" s="25"/>
      <c r="L478" s="57"/>
      <c r="M478" s="133"/>
      <c r="N478" s="3"/>
      <c r="O478" s="157"/>
      <c r="P478" s="152"/>
      <c r="Q478" s="152" t="s">
        <v>140</v>
      </c>
      <c r="R478" s="152" t="s">
        <v>304</v>
      </c>
      <c r="S478" s="25"/>
    </row>
    <row r="479" spans="1:32" ht="15.75" customHeight="1">
      <c r="A479" s="352"/>
      <c r="B479" s="352"/>
      <c r="C479" s="327">
        <v>3</v>
      </c>
      <c r="D479" s="352"/>
      <c r="E479" s="338" t="s">
        <v>3191</v>
      </c>
      <c r="F479" s="327" t="s">
        <v>1585</v>
      </c>
      <c r="G479" s="327" t="s">
        <v>524</v>
      </c>
      <c r="H479" s="339" t="s">
        <v>3192</v>
      </c>
      <c r="I479" s="83" t="s">
        <v>3187</v>
      </c>
      <c r="J479" s="271"/>
      <c r="K479" s="25"/>
      <c r="L479" s="57"/>
      <c r="M479" s="133"/>
      <c r="N479" s="3"/>
      <c r="O479" s="162"/>
      <c r="P479" s="163"/>
      <c r="Q479" s="50" t="s">
        <v>282</v>
      </c>
      <c r="R479" s="163" t="s">
        <v>304</v>
      </c>
      <c r="S479" s="50"/>
    </row>
    <row r="480" spans="1:32" ht="15.75" customHeight="1">
      <c r="A480" s="352"/>
      <c r="B480" s="352"/>
      <c r="C480" s="327">
        <v>4</v>
      </c>
      <c r="D480" s="352"/>
      <c r="E480" s="338" t="s">
        <v>3193</v>
      </c>
      <c r="F480" s="327" t="s">
        <v>326</v>
      </c>
      <c r="G480" s="327" t="s">
        <v>524</v>
      </c>
      <c r="H480" s="338" t="s">
        <v>3194</v>
      </c>
      <c r="I480" s="67" t="s">
        <v>3190</v>
      </c>
      <c r="J480" s="67"/>
      <c r="K480" s="25"/>
      <c r="L480" s="57"/>
      <c r="M480" s="133"/>
      <c r="N480" s="3"/>
      <c r="O480" s="157"/>
      <c r="P480" s="152"/>
      <c r="Q480" s="25" t="s">
        <v>140</v>
      </c>
      <c r="R480" s="25" t="s">
        <v>304</v>
      </c>
      <c r="S480" s="50"/>
    </row>
    <row r="481" spans="1:19" ht="15.75" customHeight="1">
      <c r="A481" s="352"/>
      <c r="B481" s="352"/>
      <c r="C481" s="327">
        <v>5</v>
      </c>
      <c r="D481" s="352"/>
      <c r="E481" s="338" t="s">
        <v>3195</v>
      </c>
      <c r="F481" s="327" t="s">
        <v>361</v>
      </c>
      <c r="G481" s="327" t="s">
        <v>524</v>
      </c>
      <c r="H481" s="338" t="s">
        <v>3196</v>
      </c>
      <c r="I481" s="67" t="s">
        <v>3197</v>
      </c>
      <c r="J481" s="67"/>
      <c r="K481" s="25"/>
      <c r="L481" s="57"/>
      <c r="M481" s="133"/>
      <c r="N481" s="3"/>
      <c r="O481" s="28"/>
      <c r="P481" s="25"/>
      <c r="Q481" s="50" t="s">
        <v>282</v>
      </c>
      <c r="R481" s="25" t="s">
        <v>304</v>
      </c>
      <c r="S481" s="50"/>
    </row>
    <row r="482" spans="1:19" ht="15.75" customHeight="1">
      <c r="A482" s="352"/>
      <c r="B482" s="352"/>
      <c r="C482" s="327">
        <v>5</v>
      </c>
      <c r="D482" s="352"/>
      <c r="E482" s="338" t="s">
        <v>3198</v>
      </c>
      <c r="F482" s="327" t="s">
        <v>361</v>
      </c>
      <c r="G482" s="327" t="s">
        <v>524</v>
      </c>
      <c r="H482" s="338" t="s">
        <v>3199</v>
      </c>
      <c r="I482" s="67" t="s">
        <v>3197</v>
      </c>
      <c r="J482" s="67"/>
      <c r="K482" s="25"/>
      <c r="L482" s="57"/>
      <c r="M482" s="133"/>
      <c r="N482" s="3"/>
      <c r="O482" s="28"/>
      <c r="P482" s="25"/>
      <c r="Q482" s="50" t="s">
        <v>140</v>
      </c>
      <c r="R482" s="25" t="s">
        <v>304</v>
      </c>
      <c r="S482" s="50"/>
    </row>
    <row r="483" spans="1:19" ht="15.75" customHeight="1">
      <c r="A483" s="352"/>
      <c r="B483" s="352"/>
      <c r="C483" s="327">
        <v>6</v>
      </c>
      <c r="D483" s="352"/>
      <c r="E483" s="334" t="s">
        <v>3200</v>
      </c>
      <c r="F483" s="329" t="s">
        <v>361</v>
      </c>
      <c r="G483" s="329" t="s">
        <v>524</v>
      </c>
      <c r="H483" s="334" t="s">
        <v>3201</v>
      </c>
      <c r="I483" s="47" t="s">
        <v>3197</v>
      </c>
      <c r="J483" s="168"/>
      <c r="K483" s="25"/>
      <c r="L483" s="57"/>
      <c r="M483" s="133"/>
      <c r="N483" s="3"/>
      <c r="O483" s="28"/>
      <c r="P483" s="25"/>
      <c r="Q483" s="50" t="s">
        <v>140</v>
      </c>
      <c r="R483" s="25" t="s">
        <v>304</v>
      </c>
      <c r="S483" s="50"/>
    </row>
    <row r="484" spans="1:19" ht="15.75" customHeight="1">
      <c r="A484" s="353"/>
      <c r="B484" s="353"/>
      <c r="C484" s="327">
        <v>7</v>
      </c>
      <c r="D484" s="353"/>
      <c r="E484" s="334" t="s">
        <v>3202</v>
      </c>
      <c r="F484" s="329" t="s">
        <v>361</v>
      </c>
      <c r="G484" s="329" t="s">
        <v>524</v>
      </c>
      <c r="H484" s="343" t="s">
        <v>3203</v>
      </c>
      <c r="I484" s="77" t="s">
        <v>3204</v>
      </c>
      <c r="J484" s="434"/>
      <c r="K484" s="25"/>
      <c r="L484" s="57"/>
      <c r="M484" s="133"/>
      <c r="N484" s="3"/>
      <c r="O484" s="28"/>
      <c r="P484" s="25"/>
      <c r="Q484" s="50" t="s">
        <v>140</v>
      </c>
      <c r="R484" s="25" t="s">
        <v>304</v>
      </c>
      <c r="S484" s="50"/>
    </row>
    <row r="485" spans="1:19" ht="15.75" customHeight="1">
      <c r="A485" s="68"/>
      <c r="B485" s="68"/>
      <c r="D485" s="68"/>
      <c r="E485" s="69"/>
      <c r="K485" s="68"/>
      <c r="M485" s="68"/>
      <c r="O485" s="68"/>
      <c r="P485" s="68"/>
      <c r="Q485" s="68"/>
      <c r="R485" s="68"/>
      <c r="S485" s="68"/>
    </row>
    <row r="486" spans="1:19" ht="15.75" customHeight="1">
      <c r="A486" s="68"/>
      <c r="B486" s="68"/>
      <c r="D486" s="68"/>
      <c r="E486" s="69"/>
      <c r="K486" s="68"/>
      <c r="M486" s="68"/>
      <c r="O486" s="68"/>
      <c r="P486" s="68"/>
      <c r="Q486" s="68"/>
      <c r="R486" s="68"/>
      <c r="S486" s="68"/>
    </row>
    <row r="487" spans="1:19" ht="15.75" customHeight="1">
      <c r="A487" s="68"/>
      <c r="B487" s="68"/>
      <c r="D487" s="68"/>
      <c r="E487" s="69"/>
      <c r="K487" s="68"/>
      <c r="M487" s="68"/>
      <c r="O487" s="68"/>
      <c r="P487" s="68"/>
      <c r="Q487" s="68"/>
      <c r="R487" s="68"/>
      <c r="S487" s="68"/>
    </row>
    <row r="488" spans="1:19" ht="15.75" customHeight="1">
      <c r="A488" s="68"/>
      <c r="B488" s="68"/>
      <c r="D488" s="68"/>
      <c r="E488" s="69"/>
      <c r="K488" s="68"/>
      <c r="M488" s="68"/>
      <c r="O488" s="68"/>
      <c r="P488" s="68"/>
      <c r="Q488" s="68"/>
      <c r="R488" s="68"/>
      <c r="S488" s="68"/>
    </row>
    <row r="489" spans="1:19" ht="15.75" customHeight="1">
      <c r="A489" s="68"/>
      <c r="B489" s="68"/>
      <c r="D489" s="68"/>
      <c r="E489" s="69"/>
      <c r="K489" s="68"/>
      <c r="M489" s="68"/>
      <c r="O489" s="68"/>
      <c r="P489" s="68"/>
      <c r="Q489" s="68"/>
      <c r="R489" s="68"/>
      <c r="S489" s="68"/>
    </row>
    <row r="490" spans="1:19" ht="15.75" customHeight="1">
      <c r="A490" s="68"/>
      <c r="B490" s="68"/>
      <c r="D490" s="68"/>
      <c r="E490" s="69"/>
      <c r="K490" s="68"/>
      <c r="M490" s="68"/>
      <c r="O490" s="68"/>
      <c r="P490" s="68"/>
      <c r="Q490" s="68"/>
      <c r="R490" s="68"/>
      <c r="S490" s="68"/>
    </row>
    <row r="491" spans="1:19" ht="15.75" customHeight="1">
      <c r="A491" s="68"/>
      <c r="B491" s="68"/>
      <c r="D491" s="68"/>
      <c r="E491" s="69"/>
      <c r="K491" s="68"/>
      <c r="M491" s="68"/>
      <c r="O491" s="68"/>
      <c r="P491" s="68"/>
      <c r="Q491" s="68"/>
      <c r="R491" s="68"/>
      <c r="S491" s="68"/>
    </row>
    <row r="492" spans="1:19" ht="15.75" customHeight="1">
      <c r="A492" s="68"/>
      <c r="B492" s="68"/>
      <c r="D492" s="68"/>
      <c r="E492" s="69"/>
      <c r="K492" s="68"/>
      <c r="M492" s="68"/>
      <c r="O492" s="68"/>
      <c r="P492" s="68"/>
      <c r="Q492" s="68"/>
      <c r="R492" s="68"/>
      <c r="S492" s="68"/>
    </row>
    <row r="493" spans="1:19" ht="15.75" customHeight="1">
      <c r="A493" s="68"/>
      <c r="B493" s="68"/>
      <c r="D493" s="68"/>
      <c r="E493" s="69"/>
      <c r="K493" s="68"/>
      <c r="M493" s="68"/>
      <c r="O493" s="68"/>
      <c r="P493" s="68"/>
      <c r="Q493" s="68"/>
      <c r="R493" s="68"/>
      <c r="S493" s="68"/>
    </row>
    <row r="494" spans="1:19" ht="15.75" customHeight="1">
      <c r="A494" s="68"/>
      <c r="B494" s="68"/>
      <c r="D494" s="68"/>
      <c r="E494" s="69"/>
      <c r="K494" s="68"/>
      <c r="M494" s="68"/>
      <c r="O494" s="68"/>
      <c r="P494" s="68"/>
      <c r="Q494" s="68"/>
      <c r="R494" s="68"/>
      <c r="S494" s="68"/>
    </row>
    <row r="495" spans="1:19" ht="15.75" customHeight="1">
      <c r="A495" s="68"/>
      <c r="B495" s="68"/>
      <c r="D495" s="68"/>
      <c r="E495" s="69"/>
      <c r="K495" s="68"/>
      <c r="M495" s="68"/>
      <c r="O495" s="68"/>
      <c r="P495" s="68"/>
      <c r="Q495" s="68"/>
      <c r="R495" s="68"/>
      <c r="S495" s="68"/>
    </row>
    <row r="496" spans="1:19" ht="15.75" customHeight="1">
      <c r="A496" s="68"/>
      <c r="B496" s="68"/>
      <c r="D496" s="68"/>
      <c r="E496" s="69"/>
      <c r="K496" s="68"/>
      <c r="M496" s="68"/>
      <c r="O496" s="68"/>
      <c r="P496" s="68"/>
      <c r="Q496" s="68"/>
      <c r="R496" s="68"/>
      <c r="S496" s="68"/>
    </row>
    <row r="497" spans="1:19" ht="15.75" customHeight="1">
      <c r="A497" s="68"/>
      <c r="B497" s="68"/>
      <c r="D497" s="68"/>
      <c r="E497" s="69"/>
      <c r="K497" s="68"/>
      <c r="M497" s="68"/>
      <c r="O497" s="68"/>
      <c r="P497" s="68"/>
      <c r="Q497" s="68"/>
      <c r="R497" s="68"/>
      <c r="S497" s="68"/>
    </row>
    <row r="498" spans="1:19" ht="15.75" customHeight="1">
      <c r="A498" s="68"/>
      <c r="B498" s="68"/>
      <c r="D498" s="68"/>
      <c r="E498" s="69"/>
      <c r="K498" s="68"/>
      <c r="M498" s="68"/>
      <c r="O498" s="68"/>
      <c r="P498" s="68"/>
      <c r="Q498" s="68"/>
      <c r="R498" s="68"/>
      <c r="S498" s="68"/>
    </row>
    <row r="499" spans="1:19" ht="15.75" customHeight="1">
      <c r="A499" s="68"/>
      <c r="B499" s="68"/>
      <c r="D499" s="68"/>
      <c r="E499" s="69"/>
      <c r="K499" s="68"/>
      <c r="M499" s="68"/>
      <c r="O499" s="68"/>
      <c r="P499" s="68"/>
      <c r="Q499" s="68"/>
      <c r="R499" s="68"/>
      <c r="S499" s="68"/>
    </row>
    <row r="500" spans="1:19" ht="15.75" customHeight="1">
      <c r="A500" s="68"/>
      <c r="B500" s="68"/>
      <c r="D500" s="68"/>
      <c r="E500" s="69"/>
      <c r="K500" s="68"/>
      <c r="M500" s="68"/>
      <c r="O500" s="68"/>
      <c r="P500" s="68"/>
      <c r="Q500" s="68"/>
      <c r="R500" s="68"/>
      <c r="S500" s="68"/>
    </row>
    <row r="501" spans="1:19" ht="15.75" customHeight="1">
      <c r="A501" s="68"/>
      <c r="B501" s="68"/>
      <c r="D501" s="68"/>
      <c r="E501" s="69"/>
      <c r="K501" s="68"/>
      <c r="M501" s="68"/>
      <c r="O501" s="68"/>
      <c r="P501" s="68"/>
      <c r="Q501" s="68"/>
      <c r="R501" s="68"/>
      <c r="S501" s="68"/>
    </row>
    <row r="502" spans="1:19" ht="15.75" customHeight="1">
      <c r="A502" s="68"/>
      <c r="B502" s="68"/>
      <c r="D502" s="68"/>
      <c r="E502" s="69"/>
      <c r="K502" s="68"/>
      <c r="M502" s="68"/>
      <c r="O502" s="68"/>
      <c r="P502" s="68"/>
      <c r="Q502" s="68"/>
      <c r="R502" s="68"/>
      <c r="S502" s="68"/>
    </row>
    <row r="503" spans="1:19" ht="15.75" customHeight="1">
      <c r="A503" s="68"/>
      <c r="B503" s="68"/>
      <c r="D503" s="68"/>
      <c r="E503" s="69"/>
      <c r="K503" s="68"/>
      <c r="M503" s="68"/>
      <c r="O503" s="68"/>
      <c r="P503" s="68"/>
      <c r="Q503" s="68"/>
      <c r="R503" s="68"/>
      <c r="S503" s="68"/>
    </row>
    <row r="504" spans="1:19" ht="15.75" customHeight="1">
      <c r="A504" s="68"/>
      <c r="B504" s="68"/>
      <c r="D504" s="68"/>
      <c r="E504" s="69"/>
      <c r="K504" s="68"/>
      <c r="M504" s="68"/>
      <c r="O504" s="68"/>
      <c r="P504" s="68"/>
      <c r="Q504" s="68"/>
      <c r="R504" s="68"/>
      <c r="S504" s="68"/>
    </row>
    <row r="505" spans="1:19" ht="15.75" customHeight="1">
      <c r="A505" s="68"/>
      <c r="B505" s="68"/>
      <c r="D505" s="68"/>
      <c r="E505" s="69"/>
      <c r="K505" s="68"/>
      <c r="M505" s="68"/>
      <c r="O505" s="68"/>
      <c r="P505" s="68"/>
      <c r="Q505" s="68"/>
      <c r="R505" s="68"/>
      <c r="S505" s="68"/>
    </row>
    <row r="506" spans="1:19" ht="15.75" customHeight="1">
      <c r="A506" s="68"/>
      <c r="B506" s="68"/>
      <c r="D506" s="68"/>
      <c r="E506" s="69"/>
      <c r="K506" s="68"/>
      <c r="M506" s="68"/>
      <c r="O506" s="68"/>
      <c r="P506" s="68"/>
      <c r="Q506" s="68"/>
      <c r="R506" s="68"/>
      <c r="S506" s="68"/>
    </row>
    <row r="507" spans="1:19" ht="15.75" customHeight="1">
      <c r="A507" s="68"/>
      <c r="B507" s="68"/>
      <c r="D507" s="68"/>
      <c r="E507" s="69"/>
      <c r="K507" s="68"/>
      <c r="M507" s="68"/>
      <c r="O507" s="68"/>
      <c r="P507" s="68"/>
      <c r="Q507" s="68"/>
      <c r="R507" s="68"/>
      <c r="S507" s="68"/>
    </row>
    <row r="508" spans="1:19" ht="15.75" customHeight="1">
      <c r="A508" s="68"/>
      <c r="B508" s="68"/>
      <c r="D508" s="68"/>
      <c r="E508" s="69"/>
      <c r="K508" s="68"/>
      <c r="M508" s="68"/>
      <c r="O508" s="68"/>
      <c r="P508" s="68"/>
      <c r="Q508" s="68"/>
      <c r="R508" s="68"/>
      <c r="S508" s="68"/>
    </row>
    <row r="509" spans="1:19" ht="15.75" customHeight="1">
      <c r="A509" s="68"/>
      <c r="B509" s="68"/>
      <c r="D509" s="68"/>
      <c r="E509" s="69"/>
      <c r="K509" s="68"/>
      <c r="M509" s="68"/>
      <c r="O509" s="68"/>
      <c r="P509" s="68"/>
      <c r="Q509" s="68"/>
      <c r="R509" s="68"/>
      <c r="S509" s="68"/>
    </row>
    <row r="510" spans="1:19" ht="15.75" customHeight="1">
      <c r="A510" s="68"/>
      <c r="B510" s="68"/>
      <c r="D510" s="68"/>
      <c r="E510" s="69"/>
      <c r="K510" s="68"/>
      <c r="M510" s="68"/>
      <c r="O510" s="68"/>
      <c r="P510" s="68"/>
      <c r="Q510" s="68"/>
      <c r="R510" s="68"/>
      <c r="S510" s="68"/>
    </row>
    <row r="511" spans="1:19" ht="15.75" customHeight="1">
      <c r="A511" s="68"/>
      <c r="B511" s="68"/>
      <c r="D511" s="68"/>
      <c r="E511" s="69"/>
      <c r="K511" s="68"/>
      <c r="M511" s="68"/>
      <c r="O511" s="68"/>
      <c r="P511" s="68"/>
      <c r="Q511" s="68"/>
      <c r="R511" s="68"/>
      <c r="S511" s="68"/>
    </row>
    <row r="512" spans="1:19" ht="15.75" customHeight="1">
      <c r="A512" s="68"/>
      <c r="B512" s="68"/>
      <c r="D512" s="68"/>
      <c r="E512" s="69"/>
      <c r="K512" s="68"/>
      <c r="M512" s="68"/>
      <c r="O512" s="68"/>
      <c r="P512" s="68"/>
      <c r="Q512" s="68"/>
      <c r="R512" s="68"/>
      <c r="S512" s="68"/>
    </row>
    <row r="513" spans="1:19" ht="15.75" customHeight="1">
      <c r="A513" s="68"/>
      <c r="B513" s="68"/>
      <c r="D513" s="68"/>
      <c r="E513" s="69"/>
      <c r="K513" s="68"/>
      <c r="M513" s="68"/>
      <c r="O513" s="68"/>
      <c r="P513" s="68"/>
      <c r="Q513" s="68"/>
      <c r="R513" s="68"/>
      <c r="S513" s="68"/>
    </row>
    <row r="514" spans="1:19" ht="15.75" customHeight="1">
      <c r="A514" s="68"/>
      <c r="B514" s="68"/>
      <c r="D514" s="68"/>
      <c r="E514" s="69"/>
      <c r="K514" s="68"/>
      <c r="M514" s="68"/>
      <c r="O514" s="68"/>
      <c r="P514" s="68"/>
      <c r="Q514" s="68"/>
      <c r="R514" s="68"/>
      <c r="S514" s="68"/>
    </row>
    <row r="515" spans="1:19" ht="15.75" customHeight="1">
      <c r="A515" s="68"/>
      <c r="B515" s="68"/>
      <c r="D515" s="68"/>
      <c r="E515" s="69"/>
      <c r="K515" s="68"/>
      <c r="M515" s="68"/>
      <c r="O515" s="68"/>
      <c r="P515" s="68"/>
      <c r="Q515" s="68"/>
      <c r="R515" s="68"/>
      <c r="S515" s="68"/>
    </row>
    <row r="516" spans="1:19" ht="15.75" customHeight="1">
      <c r="A516" s="68"/>
      <c r="B516" s="68"/>
      <c r="D516" s="68"/>
      <c r="E516" s="69"/>
      <c r="K516" s="68"/>
      <c r="M516" s="68"/>
      <c r="O516" s="68"/>
      <c r="P516" s="68"/>
      <c r="Q516" s="68"/>
      <c r="R516" s="68"/>
      <c r="S516" s="68"/>
    </row>
    <row r="517" spans="1:19" ht="15.75" customHeight="1">
      <c r="A517" s="68"/>
      <c r="B517" s="68"/>
      <c r="D517" s="68"/>
      <c r="E517" s="69"/>
      <c r="K517" s="68"/>
      <c r="M517" s="68"/>
      <c r="O517" s="68"/>
      <c r="P517" s="68"/>
      <c r="Q517" s="68"/>
      <c r="R517" s="68"/>
      <c r="S517" s="68"/>
    </row>
    <row r="518" spans="1:19" ht="15.75" customHeight="1">
      <c r="A518" s="68"/>
      <c r="B518" s="68"/>
      <c r="D518" s="68"/>
      <c r="E518" s="69"/>
      <c r="K518" s="68"/>
      <c r="M518" s="68"/>
      <c r="O518" s="68"/>
      <c r="P518" s="68"/>
      <c r="Q518" s="68"/>
      <c r="R518" s="68"/>
      <c r="S518" s="68"/>
    </row>
    <row r="519" spans="1:19" ht="15.75" customHeight="1">
      <c r="A519" s="68"/>
      <c r="B519" s="68"/>
      <c r="D519" s="68"/>
      <c r="E519" s="69"/>
      <c r="K519" s="68"/>
      <c r="M519" s="68"/>
      <c r="O519" s="68"/>
      <c r="P519" s="68"/>
      <c r="Q519" s="68"/>
      <c r="R519" s="68"/>
      <c r="S519" s="68"/>
    </row>
    <row r="520" spans="1:19" ht="15.75" customHeight="1">
      <c r="A520" s="68"/>
      <c r="B520" s="68"/>
      <c r="D520" s="68"/>
      <c r="E520" s="69"/>
      <c r="K520" s="68"/>
      <c r="M520" s="68"/>
      <c r="O520" s="68"/>
      <c r="P520" s="68"/>
      <c r="Q520" s="68"/>
      <c r="R520" s="68"/>
      <c r="S520" s="68"/>
    </row>
    <row r="521" spans="1:19" ht="15.75" customHeight="1">
      <c r="A521" s="68"/>
      <c r="B521" s="68"/>
      <c r="D521" s="68"/>
      <c r="E521" s="69"/>
      <c r="K521" s="68"/>
      <c r="M521" s="68"/>
      <c r="O521" s="68"/>
      <c r="P521" s="68"/>
      <c r="Q521" s="68"/>
      <c r="R521" s="68"/>
      <c r="S521" s="68"/>
    </row>
    <row r="522" spans="1:19" ht="15.75" customHeight="1">
      <c r="A522" s="68"/>
      <c r="B522" s="68"/>
      <c r="D522" s="68"/>
      <c r="E522" s="69"/>
      <c r="K522" s="68"/>
      <c r="M522" s="68"/>
      <c r="O522" s="68"/>
      <c r="P522" s="68"/>
      <c r="Q522" s="68"/>
      <c r="R522" s="68"/>
      <c r="S522" s="68"/>
    </row>
    <row r="523" spans="1:19" ht="15.75" customHeight="1">
      <c r="A523" s="68"/>
      <c r="B523" s="68"/>
      <c r="D523" s="68"/>
      <c r="E523" s="69"/>
      <c r="K523" s="68"/>
      <c r="M523" s="68"/>
      <c r="O523" s="68"/>
      <c r="P523" s="68"/>
      <c r="Q523" s="68"/>
      <c r="R523" s="68"/>
      <c r="S523" s="68"/>
    </row>
    <row r="524" spans="1:19" ht="15.75" customHeight="1">
      <c r="A524" s="68"/>
      <c r="B524" s="68"/>
      <c r="D524" s="68"/>
      <c r="E524" s="69"/>
      <c r="K524" s="68"/>
      <c r="M524" s="68"/>
      <c r="O524" s="68"/>
      <c r="P524" s="68"/>
      <c r="Q524" s="68"/>
      <c r="R524" s="68"/>
      <c r="S524" s="68"/>
    </row>
    <row r="525" spans="1:19" ht="15.75" customHeight="1">
      <c r="A525" s="68"/>
      <c r="B525" s="68"/>
      <c r="D525" s="68"/>
      <c r="E525" s="69"/>
      <c r="K525" s="68"/>
      <c r="M525" s="68"/>
      <c r="O525" s="68"/>
      <c r="P525" s="68"/>
      <c r="Q525" s="68"/>
      <c r="R525" s="68"/>
      <c r="S525" s="68"/>
    </row>
    <row r="526" spans="1:19" ht="15.75" customHeight="1">
      <c r="A526" s="68"/>
      <c r="B526" s="68"/>
      <c r="D526" s="68"/>
      <c r="E526" s="69"/>
      <c r="K526" s="68"/>
      <c r="M526" s="68"/>
      <c r="O526" s="68"/>
      <c r="P526" s="68"/>
      <c r="Q526" s="68"/>
      <c r="R526" s="68"/>
      <c r="S526" s="68"/>
    </row>
    <row r="527" spans="1:19" ht="15.75" customHeight="1">
      <c r="A527" s="68"/>
      <c r="B527" s="68"/>
      <c r="D527" s="68"/>
      <c r="E527" s="69"/>
      <c r="K527" s="68"/>
      <c r="M527" s="68"/>
      <c r="O527" s="68"/>
      <c r="P527" s="68"/>
      <c r="Q527" s="68"/>
      <c r="R527" s="68"/>
      <c r="S527" s="68"/>
    </row>
    <row r="528" spans="1:19" ht="15.75" customHeight="1">
      <c r="A528" s="68"/>
      <c r="B528" s="68"/>
      <c r="D528" s="68"/>
      <c r="E528" s="69"/>
      <c r="K528" s="68"/>
      <c r="M528" s="68"/>
      <c r="O528" s="68"/>
      <c r="P528" s="68"/>
      <c r="Q528" s="68"/>
      <c r="R528" s="68"/>
      <c r="S528" s="68"/>
    </row>
    <row r="529" spans="1:19" ht="15.75" customHeight="1">
      <c r="A529" s="68"/>
      <c r="B529" s="68"/>
      <c r="D529" s="68"/>
      <c r="E529" s="69"/>
      <c r="K529" s="68"/>
      <c r="M529" s="68"/>
      <c r="O529" s="68"/>
      <c r="P529" s="68"/>
      <c r="Q529" s="68"/>
      <c r="R529" s="68"/>
      <c r="S529" s="68"/>
    </row>
    <row r="530" spans="1:19" ht="15.75" customHeight="1">
      <c r="A530" s="68"/>
      <c r="B530" s="68"/>
      <c r="D530" s="68"/>
      <c r="E530" s="69"/>
      <c r="K530" s="68"/>
      <c r="M530" s="68"/>
      <c r="O530" s="68"/>
      <c r="P530" s="68"/>
      <c r="Q530" s="68"/>
      <c r="R530" s="68"/>
      <c r="S530" s="68"/>
    </row>
    <row r="531" spans="1:19" ht="15.75" customHeight="1">
      <c r="A531" s="68"/>
      <c r="B531" s="68"/>
      <c r="D531" s="68"/>
      <c r="E531" s="69"/>
      <c r="K531" s="68"/>
      <c r="M531" s="68"/>
      <c r="O531" s="68"/>
      <c r="P531" s="68"/>
      <c r="Q531" s="68"/>
      <c r="R531" s="68"/>
      <c r="S531" s="68"/>
    </row>
    <row r="532" spans="1:19" ht="15.75" customHeight="1">
      <c r="A532" s="68"/>
      <c r="B532" s="68"/>
      <c r="D532" s="68"/>
      <c r="E532" s="69"/>
      <c r="K532" s="68"/>
      <c r="M532" s="68"/>
      <c r="O532" s="68"/>
      <c r="P532" s="68"/>
      <c r="Q532" s="68"/>
      <c r="R532" s="68"/>
      <c r="S532" s="68"/>
    </row>
    <row r="533" spans="1:19" ht="15.75" customHeight="1">
      <c r="A533" s="68"/>
      <c r="B533" s="68"/>
      <c r="D533" s="68"/>
      <c r="E533" s="69"/>
      <c r="K533" s="68"/>
      <c r="M533" s="68"/>
      <c r="O533" s="68"/>
      <c r="P533" s="68"/>
      <c r="Q533" s="68"/>
      <c r="R533" s="68"/>
      <c r="S533" s="68"/>
    </row>
    <row r="534" spans="1:19" ht="15.75" customHeight="1">
      <c r="A534" s="68"/>
      <c r="B534" s="68"/>
      <c r="D534" s="68"/>
      <c r="E534" s="69"/>
      <c r="K534" s="68"/>
      <c r="M534" s="68"/>
      <c r="O534" s="68"/>
      <c r="P534" s="68"/>
      <c r="Q534" s="68"/>
      <c r="R534" s="68"/>
      <c r="S534" s="68"/>
    </row>
    <row r="535" spans="1:19" ht="15.75" customHeight="1">
      <c r="A535" s="68"/>
      <c r="B535" s="68"/>
      <c r="D535" s="68"/>
      <c r="E535" s="69"/>
      <c r="K535" s="68"/>
      <c r="M535" s="68"/>
      <c r="O535" s="68"/>
      <c r="P535" s="68"/>
      <c r="Q535" s="68"/>
      <c r="R535" s="68"/>
      <c r="S535" s="68"/>
    </row>
    <row r="536" spans="1:19" ht="15.75" customHeight="1">
      <c r="A536" s="68"/>
      <c r="B536" s="68"/>
      <c r="D536" s="68"/>
      <c r="E536" s="69"/>
      <c r="K536" s="68"/>
      <c r="M536" s="68"/>
      <c r="O536" s="68"/>
      <c r="P536" s="68"/>
      <c r="Q536" s="68"/>
      <c r="R536" s="68"/>
      <c r="S536" s="68"/>
    </row>
    <row r="537" spans="1:19" ht="15.75" customHeight="1">
      <c r="A537" s="68"/>
      <c r="B537" s="68"/>
      <c r="D537" s="68"/>
      <c r="E537" s="69"/>
      <c r="K537" s="68"/>
      <c r="M537" s="68"/>
      <c r="O537" s="68"/>
      <c r="P537" s="68"/>
      <c r="Q537" s="68"/>
      <c r="R537" s="68"/>
      <c r="S537" s="68"/>
    </row>
    <row r="538" spans="1:19" ht="15.75" customHeight="1">
      <c r="A538" s="68"/>
      <c r="B538" s="68"/>
      <c r="D538" s="68"/>
      <c r="E538" s="69"/>
      <c r="K538" s="68"/>
      <c r="M538" s="68"/>
      <c r="O538" s="68"/>
      <c r="P538" s="68"/>
      <c r="Q538" s="68"/>
      <c r="R538" s="68"/>
      <c r="S538" s="68"/>
    </row>
    <row r="539" spans="1:19" ht="15.75" customHeight="1">
      <c r="A539" s="68"/>
      <c r="B539" s="68"/>
      <c r="D539" s="68"/>
      <c r="E539" s="69"/>
      <c r="K539" s="68"/>
      <c r="M539" s="68"/>
      <c r="O539" s="68"/>
      <c r="P539" s="68"/>
      <c r="Q539" s="68"/>
      <c r="R539" s="68"/>
      <c r="S539" s="68"/>
    </row>
    <row r="540" spans="1:19" ht="15.75" customHeight="1">
      <c r="A540" s="68"/>
      <c r="B540" s="68"/>
      <c r="D540" s="68"/>
      <c r="E540" s="69"/>
      <c r="K540" s="68"/>
      <c r="M540" s="68"/>
      <c r="O540" s="68"/>
      <c r="P540" s="68"/>
      <c r="Q540" s="68"/>
      <c r="R540" s="68"/>
      <c r="S540" s="68"/>
    </row>
    <row r="541" spans="1:19" ht="15.75" customHeight="1">
      <c r="A541" s="68"/>
      <c r="B541" s="68"/>
      <c r="D541" s="68"/>
      <c r="E541" s="69"/>
      <c r="K541" s="68"/>
      <c r="M541" s="68"/>
      <c r="O541" s="68"/>
      <c r="P541" s="68"/>
      <c r="Q541" s="68"/>
      <c r="R541" s="68"/>
      <c r="S541" s="68"/>
    </row>
    <row r="542" spans="1:19" ht="15.75" customHeight="1">
      <c r="A542" s="68"/>
      <c r="B542" s="68"/>
      <c r="D542" s="68"/>
      <c r="E542" s="69"/>
      <c r="K542" s="68"/>
      <c r="M542" s="68"/>
      <c r="O542" s="68"/>
      <c r="P542" s="68"/>
      <c r="Q542" s="68"/>
      <c r="R542" s="68"/>
      <c r="S542" s="68"/>
    </row>
    <row r="543" spans="1:19" ht="15.75" customHeight="1">
      <c r="A543" s="68"/>
      <c r="B543" s="68"/>
      <c r="D543" s="68"/>
      <c r="E543" s="69"/>
      <c r="K543" s="68"/>
      <c r="M543" s="68"/>
      <c r="O543" s="68"/>
      <c r="P543" s="68"/>
      <c r="Q543" s="68"/>
      <c r="R543" s="68"/>
      <c r="S543" s="68"/>
    </row>
    <row r="544" spans="1:19" ht="15.75" customHeight="1">
      <c r="A544" s="68"/>
      <c r="B544" s="68"/>
      <c r="D544" s="68"/>
      <c r="E544" s="69"/>
      <c r="K544" s="68"/>
      <c r="M544" s="68"/>
      <c r="O544" s="68"/>
      <c r="P544" s="68"/>
      <c r="Q544" s="68"/>
      <c r="R544" s="68"/>
      <c r="S544" s="68"/>
    </row>
    <row r="545" spans="1:19" ht="15.75" customHeight="1">
      <c r="A545" s="68"/>
      <c r="B545" s="68"/>
      <c r="D545" s="68"/>
      <c r="E545" s="69"/>
      <c r="K545" s="68"/>
      <c r="M545" s="68"/>
      <c r="O545" s="68"/>
      <c r="P545" s="68"/>
      <c r="Q545" s="68"/>
      <c r="R545" s="68"/>
      <c r="S545" s="68"/>
    </row>
    <row r="546" spans="1:19" ht="15.75" customHeight="1">
      <c r="A546" s="68"/>
      <c r="B546" s="68"/>
      <c r="D546" s="68"/>
      <c r="E546" s="69"/>
      <c r="K546" s="68"/>
      <c r="M546" s="68"/>
      <c r="O546" s="68"/>
      <c r="P546" s="68"/>
      <c r="Q546" s="68"/>
      <c r="R546" s="68"/>
      <c r="S546" s="68"/>
    </row>
    <row r="547" spans="1:19" ht="15.75" customHeight="1">
      <c r="A547" s="68"/>
      <c r="B547" s="68"/>
      <c r="D547" s="68"/>
      <c r="E547" s="69"/>
      <c r="K547" s="68"/>
      <c r="M547" s="68"/>
      <c r="O547" s="68"/>
      <c r="P547" s="68"/>
      <c r="Q547" s="68"/>
      <c r="R547" s="68"/>
      <c r="S547" s="68"/>
    </row>
    <row r="548" spans="1:19" ht="15.75" customHeight="1">
      <c r="A548" s="68"/>
      <c r="B548" s="68"/>
      <c r="D548" s="68"/>
      <c r="E548" s="69"/>
      <c r="K548" s="68"/>
      <c r="M548" s="68"/>
      <c r="O548" s="68"/>
      <c r="P548" s="68"/>
      <c r="Q548" s="68"/>
      <c r="R548" s="68"/>
      <c r="S548" s="68"/>
    </row>
    <row r="549" spans="1:19" ht="15.75" customHeight="1">
      <c r="A549" s="68"/>
      <c r="B549" s="68"/>
      <c r="D549" s="68"/>
      <c r="E549" s="69"/>
      <c r="K549" s="68"/>
      <c r="M549" s="68"/>
      <c r="O549" s="68"/>
      <c r="P549" s="68"/>
      <c r="Q549" s="68"/>
      <c r="R549" s="68"/>
      <c r="S549" s="68"/>
    </row>
    <row r="550" spans="1:19" ht="15.75" customHeight="1">
      <c r="A550" s="68"/>
      <c r="B550" s="68"/>
      <c r="D550" s="68"/>
      <c r="E550" s="69"/>
      <c r="K550" s="68"/>
      <c r="M550" s="68"/>
      <c r="O550" s="68"/>
      <c r="P550" s="68"/>
      <c r="Q550" s="68"/>
      <c r="R550" s="68"/>
      <c r="S550" s="68"/>
    </row>
    <row r="551" spans="1:19" ht="15.75" customHeight="1">
      <c r="A551" s="68"/>
      <c r="B551" s="68"/>
      <c r="D551" s="68"/>
      <c r="E551" s="69"/>
      <c r="K551" s="68"/>
      <c r="M551" s="68"/>
      <c r="O551" s="68"/>
      <c r="P551" s="68"/>
      <c r="Q551" s="68"/>
      <c r="R551" s="68"/>
      <c r="S551" s="68"/>
    </row>
    <row r="552" spans="1:19" ht="15.75" customHeight="1">
      <c r="A552" s="68"/>
      <c r="B552" s="68"/>
      <c r="D552" s="68"/>
      <c r="E552" s="69"/>
      <c r="K552" s="68"/>
      <c r="M552" s="68"/>
      <c r="O552" s="68"/>
      <c r="P552" s="68"/>
      <c r="Q552" s="68"/>
      <c r="R552" s="68"/>
      <c r="S552" s="68"/>
    </row>
    <row r="553" spans="1:19" ht="15.75" customHeight="1">
      <c r="A553" s="68"/>
      <c r="B553" s="68"/>
      <c r="D553" s="68"/>
      <c r="E553" s="69"/>
      <c r="K553" s="68"/>
      <c r="M553" s="68"/>
      <c r="O553" s="68"/>
      <c r="P553" s="68"/>
      <c r="Q553" s="68"/>
      <c r="R553" s="68"/>
      <c r="S553" s="68"/>
    </row>
    <row r="554" spans="1:19" ht="15.75" customHeight="1">
      <c r="A554" s="68"/>
      <c r="B554" s="68"/>
      <c r="D554" s="68"/>
      <c r="E554" s="69"/>
      <c r="K554" s="68"/>
      <c r="M554" s="68"/>
      <c r="O554" s="68"/>
      <c r="P554" s="68"/>
      <c r="Q554" s="68"/>
      <c r="R554" s="68"/>
      <c r="S554" s="68"/>
    </row>
    <row r="555" spans="1:19" ht="15.75" customHeight="1">
      <c r="A555" s="68"/>
      <c r="B555" s="68"/>
      <c r="D555" s="68"/>
      <c r="E555" s="69"/>
      <c r="K555" s="68"/>
      <c r="M555" s="68"/>
      <c r="O555" s="68"/>
      <c r="P555" s="68"/>
      <c r="Q555" s="68"/>
      <c r="R555" s="68"/>
      <c r="S555" s="68"/>
    </row>
    <row r="556" spans="1:19" ht="15.75" customHeight="1">
      <c r="A556" s="68"/>
      <c r="B556" s="68"/>
      <c r="D556" s="68"/>
      <c r="E556" s="69"/>
      <c r="K556" s="68"/>
      <c r="M556" s="68"/>
      <c r="O556" s="68"/>
      <c r="P556" s="68"/>
      <c r="Q556" s="68"/>
      <c r="R556" s="68"/>
      <c r="S556" s="68"/>
    </row>
    <row r="557" spans="1:19" ht="15.75" customHeight="1">
      <c r="A557" s="68"/>
      <c r="B557" s="68"/>
      <c r="D557" s="68"/>
      <c r="E557" s="69"/>
      <c r="K557" s="68"/>
      <c r="M557" s="68"/>
      <c r="O557" s="68"/>
      <c r="P557" s="68"/>
      <c r="Q557" s="68"/>
      <c r="R557" s="68"/>
      <c r="S557" s="68"/>
    </row>
    <row r="558" spans="1:19" ht="15.75" customHeight="1">
      <c r="A558" s="68"/>
      <c r="B558" s="68"/>
      <c r="D558" s="68"/>
      <c r="E558" s="69"/>
      <c r="K558" s="68"/>
      <c r="M558" s="68"/>
      <c r="O558" s="68"/>
      <c r="P558" s="68"/>
      <c r="Q558" s="68"/>
      <c r="R558" s="68"/>
      <c r="S558" s="68"/>
    </row>
    <row r="559" spans="1:19" ht="15.75" customHeight="1">
      <c r="A559" s="68"/>
      <c r="B559" s="68"/>
      <c r="D559" s="68"/>
      <c r="E559" s="69"/>
      <c r="K559" s="68"/>
      <c r="M559" s="68"/>
      <c r="O559" s="68"/>
      <c r="P559" s="68"/>
      <c r="Q559" s="68"/>
      <c r="R559" s="68"/>
      <c r="S559" s="68"/>
    </row>
    <row r="560" spans="1:19" ht="15.75" customHeight="1">
      <c r="A560" s="68"/>
      <c r="B560" s="68"/>
      <c r="D560" s="68"/>
      <c r="E560" s="69"/>
      <c r="K560" s="68"/>
      <c r="M560" s="68"/>
      <c r="O560" s="68"/>
      <c r="P560" s="68"/>
      <c r="Q560" s="68"/>
      <c r="R560" s="68"/>
      <c r="S560" s="68"/>
    </row>
    <row r="561" spans="1:19" ht="15.75" customHeight="1">
      <c r="A561" s="68"/>
      <c r="B561" s="68"/>
      <c r="D561" s="68"/>
      <c r="E561" s="69"/>
      <c r="K561" s="68"/>
      <c r="M561" s="68"/>
      <c r="O561" s="68"/>
      <c r="P561" s="68"/>
      <c r="Q561" s="68"/>
      <c r="R561" s="68"/>
      <c r="S561" s="68"/>
    </row>
    <row r="562" spans="1:19" ht="15.75" customHeight="1">
      <c r="A562" s="68"/>
      <c r="B562" s="68"/>
      <c r="D562" s="68"/>
      <c r="E562" s="69"/>
      <c r="K562" s="68"/>
      <c r="M562" s="68"/>
      <c r="O562" s="68"/>
      <c r="P562" s="68"/>
      <c r="Q562" s="68"/>
      <c r="R562" s="68"/>
      <c r="S562" s="68"/>
    </row>
    <row r="563" spans="1:19" ht="15.75" customHeight="1">
      <c r="A563" s="68"/>
      <c r="B563" s="68"/>
      <c r="D563" s="68"/>
      <c r="E563" s="69"/>
      <c r="K563" s="68"/>
      <c r="M563" s="68"/>
      <c r="O563" s="68"/>
      <c r="P563" s="68"/>
      <c r="Q563" s="68"/>
      <c r="R563" s="68"/>
      <c r="S563" s="68"/>
    </row>
    <row r="564" spans="1:19" ht="15.75" customHeight="1">
      <c r="A564" s="68"/>
      <c r="B564" s="68"/>
      <c r="D564" s="68"/>
      <c r="E564" s="69"/>
      <c r="K564" s="68"/>
      <c r="M564" s="68"/>
      <c r="O564" s="68"/>
      <c r="P564" s="68"/>
      <c r="Q564" s="68"/>
      <c r="R564" s="68"/>
      <c r="S564" s="68"/>
    </row>
    <row r="565" spans="1:19" ht="15.75" customHeight="1">
      <c r="A565" s="68"/>
      <c r="B565" s="68"/>
      <c r="D565" s="68"/>
      <c r="E565" s="69"/>
      <c r="K565" s="68"/>
      <c r="M565" s="68"/>
      <c r="O565" s="68"/>
      <c r="P565" s="68"/>
      <c r="Q565" s="68"/>
      <c r="R565" s="68"/>
      <c r="S565" s="68"/>
    </row>
    <row r="566" spans="1:19" ht="15.75" customHeight="1">
      <c r="A566" s="68"/>
      <c r="B566" s="68"/>
      <c r="D566" s="68"/>
      <c r="E566" s="69"/>
      <c r="K566" s="68"/>
      <c r="M566" s="68"/>
      <c r="O566" s="68"/>
      <c r="P566" s="68"/>
      <c r="Q566" s="68"/>
      <c r="R566" s="68"/>
      <c r="S566" s="68"/>
    </row>
    <row r="567" spans="1:19" ht="15.75" customHeight="1">
      <c r="A567" s="68"/>
      <c r="B567" s="68"/>
      <c r="D567" s="68"/>
      <c r="E567" s="69"/>
      <c r="K567" s="68"/>
      <c r="M567" s="68"/>
      <c r="O567" s="68"/>
      <c r="P567" s="68"/>
      <c r="Q567" s="68"/>
      <c r="R567" s="68"/>
      <c r="S567" s="68"/>
    </row>
    <row r="568" spans="1:19" ht="15.75" customHeight="1">
      <c r="A568" s="68"/>
      <c r="B568" s="68"/>
      <c r="D568" s="68"/>
      <c r="E568" s="69"/>
      <c r="K568" s="68"/>
      <c r="M568" s="68"/>
      <c r="O568" s="68"/>
      <c r="P568" s="68"/>
      <c r="Q568" s="68"/>
      <c r="R568" s="68"/>
      <c r="S568" s="68"/>
    </row>
    <row r="569" spans="1:19" ht="15.75" customHeight="1">
      <c r="A569" s="68"/>
      <c r="B569" s="68"/>
      <c r="D569" s="68"/>
      <c r="E569" s="69"/>
      <c r="K569" s="68"/>
      <c r="M569" s="68"/>
      <c r="O569" s="68"/>
      <c r="P569" s="68"/>
      <c r="Q569" s="68"/>
      <c r="R569" s="68"/>
      <c r="S569" s="68"/>
    </row>
    <row r="570" spans="1:19" ht="15.75" customHeight="1">
      <c r="A570" s="68"/>
      <c r="B570" s="68"/>
      <c r="D570" s="68"/>
      <c r="E570" s="69"/>
      <c r="K570" s="68"/>
      <c r="M570" s="68"/>
      <c r="O570" s="68"/>
      <c r="P570" s="68"/>
      <c r="Q570" s="68"/>
      <c r="R570" s="68"/>
      <c r="S570" s="68"/>
    </row>
    <row r="571" spans="1:19" ht="15.75" customHeight="1">
      <c r="A571" s="68"/>
      <c r="B571" s="68"/>
      <c r="D571" s="68"/>
      <c r="E571" s="69"/>
      <c r="K571" s="68"/>
      <c r="M571" s="68"/>
      <c r="O571" s="68"/>
      <c r="P571" s="68"/>
      <c r="Q571" s="68"/>
      <c r="R571" s="68"/>
      <c r="S571" s="68"/>
    </row>
    <row r="572" spans="1:19" ht="15.75" customHeight="1">
      <c r="A572" s="68"/>
      <c r="B572" s="68"/>
      <c r="D572" s="68"/>
      <c r="E572" s="69"/>
      <c r="K572" s="68"/>
      <c r="M572" s="68"/>
      <c r="O572" s="68"/>
      <c r="P572" s="68"/>
      <c r="Q572" s="68"/>
      <c r="R572" s="68"/>
      <c r="S572" s="68"/>
    </row>
    <row r="573" spans="1:19" ht="15.75" customHeight="1">
      <c r="A573" s="68"/>
      <c r="B573" s="68"/>
      <c r="D573" s="68"/>
      <c r="E573" s="69"/>
      <c r="K573" s="68"/>
      <c r="M573" s="68"/>
      <c r="O573" s="68"/>
      <c r="P573" s="68"/>
      <c r="Q573" s="68"/>
      <c r="R573" s="68"/>
      <c r="S573" s="68"/>
    </row>
    <row r="574" spans="1:19" ht="15.75" customHeight="1">
      <c r="A574" s="68"/>
      <c r="B574" s="68"/>
      <c r="D574" s="68"/>
      <c r="E574" s="69"/>
      <c r="K574" s="68"/>
      <c r="M574" s="68"/>
      <c r="O574" s="68"/>
      <c r="P574" s="68"/>
      <c r="Q574" s="68"/>
      <c r="R574" s="68"/>
      <c r="S574" s="68"/>
    </row>
    <row r="575" spans="1:19" ht="15.75" customHeight="1">
      <c r="A575" s="68"/>
      <c r="B575" s="68"/>
      <c r="D575" s="68"/>
      <c r="E575" s="69"/>
      <c r="K575" s="68"/>
      <c r="M575" s="68"/>
      <c r="O575" s="68"/>
      <c r="P575" s="68"/>
      <c r="Q575" s="68"/>
      <c r="R575" s="68"/>
      <c r="S575" s="68"/>
    </row>
    <row r="576" spans="1:19" ht="15.75" customHeight="1">
      <c r="A576" s="68"/>
      <c r="B576" s="68"/>
      <c r="D576" s="68"/>
      <c r="E576" s="69"/>
      <c r="K576" s="68"/>
      <c r="M576" s="68"/>
      <c r="O576" s="68"/>
      <c r="P576" s="68"/>
      <c r="Q576" s="68"/>
      <c r="R576" s="68"/>
      <c r="S576" s="68"/>
    </row>
    <row r="577" spans="1:19" ht="15.75" customHeight="1">
      <c r="A577" s="68"/>
      <c r="B577" s="68"/>
      <c r="D577" s="68"/>
      <c r="E577" s="69"/>
      <c r="K577" s="68"/>
      <c r="M577" s="68"/>
      <c r="O577" s="68"/>
      <c r="P577" s="68"/>
      <c r="Q577" s="68"/>
      <c r="R577" s="68"/>
      <c r="S577" s="68"/>
    </row>
    <row r="578" spans="1:19" ht="15.75" customHeight="1">
      <c r="A578" s="68"/>
      <c r="B578" s="68"/>
      <c r="D578" s="68"/>
      <c r="E578" s="69"/>
      <c r="K578" s="68"/>
      <c r="M578" s="68"/>
      <c r="O578" s="68"/>
      <c r="P578" s="68"/>
      <c r="Q578" s="68"/>
      <c r="R578" s="68"/>
      <c r="S578" s="68"/>
    </row>
    <row r="579" spans="1:19" ht="15.75" customHeight="1">
      <c r="A579" s="68"/>
      <c r="B579" s="68"/>
      <c r="D579" s="68"/>
      <c r="E579" s="69"/>
      <c r="K579" s="68"/>
      <c r="M579" s="68"/>
      <c r="O579" s="68"/>
      <c r="P579" s="68"/>
      <c r="Q579" s="68"/>
      <c r="R579" s="68"/>
      <c r="S579" s="68"/>
    </row>
    <row r="580" spans="1:19" ht="15.75" customHeight="1">
      <c r="A580" s="68"/>
      <c r="B580" s="68"/>
      <c r="D580" s="68"/>
      <c r="E580" s="69"/>
      <c r="K580" s="68"/>
      <c r="M580" s="68"/>
      <c r="O580" s="68"/>
      <c r="P580" s="68"/>
      <c r="Q580" s="68"/>
      <c r="R580" s="68"/>
      <c r="S580" s="68"/>
    </row>
    <row r="581" spans="1:19" ht="15.75" customHeight="1">
      <c r="A581" s="68"/>
      <c r="B581" s="68"/>
      <c r="D581" s="68"/>
      <c r="E581" s="69"/>
      <c r="K581" s="68"/>
      <c r="M581" s="68"/>
      <c r="O581" s="68"/>
      <c r="P581" s="68"/>
      <c r="Q581" s="68"/>
      <c r="R581" s="68"/>
      <c r="S581" s="68"/>
    </row>
    <row r="582" spans="1:19" ht="15.75" customHeight="1">
      <c r="A582" s="68"/>
      <c r="B582" s="68"/>
      <c r="D582" s="68"/>
      <c r="E582" s="69"/>
      <c r="K582" s="68"/>
      <c r="M582" s="68"/>
      <c r="O582" s="68"/>
      <c r="P582" s="68"/>
      <c r="Q582" s="68"/>
      <c r="R582" s="68"/>
      <c r="S582" s="68"/>
    </row>
    <row r="583" spans="1:19" ht="15.75" customHeight="1">
      <c r="A583" s="68"/>
      <c r="B583" s="68"/>
      <c r="D583" s="68"/>
      <c r="E583" s="69"/>
      <c r="K583" s="68"/>
      <c r="M583" s="68"/>
      <c r="O583" s="68"/>
      <c r="P583" s="68"/>
      <c r="Q583" s="68"/>
      <c r="R583" s="68"/>
      <c r="S583" s="68"/>
    </row>
    <row r="584" spans="1:19" ht="15.75" customHeight="1">
      <c r="A584" s="68"/>
      <c r="B584" s="68"/>
      <c r="D584" s="68"/>
      <c r="E584" s="69"/>
      <c r="K584" s="68"/>
      <c r="M584" s="68"/>
      <c r="O584" s="68"/>
      <c r="P584" s="68"/>
      <c r="Q584" s="68"/>
      <c r="R584" s="68"/>
      <c r="S584" s="68"/>
    </row>
    <row r="585" spans="1:19" ht="15.75" customHeight="1">
      <c r="A585" s="68"/>
      <c r="B585" s="68"/>
      <c r="D585" s="68"/>
      <c r="E585" s="69"/>
      <c r="K585" s="68"/>
      <c r="M585" s="68"/>
      <c r="O585" s="68"/>
      <c r="P585" s="68"/>
      <c r="Q585" s="68"/>
      <c r="R585" s="68"/>
      <c r="S585" s="68"/>
    </row>
    <row r="586" spans="1:19" ht="15.75" customHeight="1">
      <c r="A586" s="68"/>
      <c r="B586" s="68"/>
      <c r="D586" s="68"/>
      <c r="E586" s="69"/>
      <c r="K586" s="68"/>
      <c r="M586" s="68"/>
      <c r="O586" s="68"/>
      <c r="P586" s="68"/>
      <c r="Q586" s="68"/>
      <c r="R586" s="68"/>
      <c r="S586" s="68"/>
    </row>
    <row r="587" spans="1:19" ht="15.75" customHeight="1">
      <c r="A587" s="68"/>
      <c r="B587" s="68"/>
      <c r="D587" s="68"/>
      <c r="E587" s="69"/>
      <c r="K587" s="68"/>
      <c r="M587" s="68"/>
      <c r="O587" s="68"/>
      <c r="P587" s="68"/>
      <c r="Q587" s="68"/>
      <c r="R587" s="68"/>
      <c r="S587" s="68"/>
    </row>
    <row r="588" spans="1:19" ht="15.75" customHeight="1">
      <c r="A588" s="68"/>
      <c r="B588" s="68"/>
      <c r="D588" s="68"/>
      <c r="E588" s="69"/>
      <c r="K588" s="68"/>
      <c r="M588" s="68"/>
      <c r="O588" s="68"/>
      <c r="P588" s="68"/>
      <c r="Q588" s="68"/>
      <c r="R588" s="68"/>
      <c r="S588" s="68"/>
    </row>
    <row r="589" spans="1:19" ht="15.75" customHeight="1">
      <c r="A589" s="68"/>
      <c r="B589" s="68"/>
      <c r="D589" s="68"/>
      <c r="E589" s="69"/>
      <c r="K589" s="68"/>
      <c r="M589" s="68"/>
      <c r="O589" s="68"/>
      <c r="P589" s="68"/>
      <c r="Q589" s="68"/>
      <c r="R589" s="68"/>
      <c r="S589" s="68"/>
    </row>
    <row r="590" spans="1:19" ht="15.75" customHeight="1">
      <c r="A590" s="68"/>
      <c r="B590" s="68"/>
      <c r="D590" s="68"/>
      <c r="E590" s="69"/>
      <c r="K590" s="68"/>
      <c r="M590" s="68"/>
      <c r="O590" s="68"/>
      <c r="P590" s="68"/>
      <c r="Q590" s="68"/>
      <c r="R590" s="68"/>
      <c r="S590" s="68"/>
    </row>
    <row r="591" spans="1:19" ht="15.75" customHeight="1">
      <c r="A591" s="68"/>
      <c r="B591" s="68"/>
      <c r="D591" s="68"/>
      <c r="E591" s="69"/>
      <c r="K591" s="68"/>
      <c r="M591" s="68"/>
      <c r="O591" s="68"/>
      <c r="P591" s="68"/>
      <c r="Q591" s="68"/>
      <c r="R591" s="68"/>
      <c r="S591" s="68"/>
    </row>
    <row r="592" spans="1:19" ht="15.75" customHeight="1">
      <c r="A592" s="68"/>
      <c r="B592" s="68"/>
      <c r="D592" s="68"/>
      <c r="E592" s="69"/>
      <c r="K592" s="68"/>
      <c r="M592" s="68"/>
      <c r="O592" s="68"/>
      <c r="P592" s="68"/>
      <c r="Q592" s="68"/>
      <c r="R592" s="68"/>
      <c r="S592" s="68"/>
    </row>
    <row r="593" spans="1:19" ht="15.75" customHeight="1">
      <c r="A593" s="68"/>
      <c r="B593" s="68"/>
      <c r="D593" s="68"/>
      <c r="E593" s="69"/>
      <c r="K593" s="68"/>
      <c r="M593" s="68"/>
      <c r="O593" s="68"/>
      <c r="P593" s="68"/>
      <c r="Q593" s="68"/>
      <c r="R593" s="68"/>
      <c r="S593" s="68"/>
    </row>
    <row r="594" spans="1:19" ht="15.75" customHeight="1">
      <c r="A594" s="68"/>
      <c r="B594" s="68"/>
      <c r="D594" s="68"/>
      <c r="E594" s="69"/>
      <c r="K594" s="68"/>
      <c r="M594" s="68"/>
      <c r="O594" s="68"/>
      <c r="P594" s="68"/>
      <c r="Q594" s="68"/>
      <c r="R594" s="68"/>
      <c r="S594" s="68"/>
    </row>
    <row r="595" spans="1:19" ht="15.75" customHeight="1">
      <c r="A595" s="68"/>
      <c r="B595" s="68"/>
      <c r="D595" s="68"/>
      <c r="E595" s="69"/>
      <c r="K595" s="68"/>
      <c r="M595" s="68"/>
      <c r="O595" s="68"/>
      <c r="P595" s="68"/>
      <c r="Q595" s="68"/>
      <c r="R595" s="68"/>
      <c r="S595" s="68"/>
    </row>
    <row r="596" spans="1:19" ht="15.75" customHeight="1">
      <c r="A596" s="68"/>
      <c r="B596" s="68"/>
      <c r="D596" s="68"/>
      <c r="E596" s="69"/>
      <c r="K596" s="68"/>
      <c r="M596" s="68"/>
      <c r="O596" s="68"/>
      <c r="P596" s="68"/>
      <c r="Q596" s="68"/>
      <c r="R596" s="68"/>
      <c r="S596" s="68"/>
    </row>
    <row r="597" spans="1:19" ht="15.75" customHeight="1">
      <c r="A597" s="68"/>
      <c r="B597" s="68"/>
      <c r="D597" s="68"/>
      <c r="E597" s="69"/>
      <c r="K597" s="68"/>
      <c r="M597" s="68"/>
      <c r="O597" s="68"/>
      <c r="P597" s="68"/>
      <c r="Q597" s="68"/>
      <c r="R597" s="68"/>
      <c r="S597" s="68"/>
    </row>
    <row r="598" spans="1:19" ht="15.75" customHeight="1">
      <c r="A598" s="68"/>
      <c r="B598" s="68"/>
      <c r="D598" s="68"/>
      <c r="E598" s="69"/>
      <c r="K598" s="68"/>
      <c r="M598" s="68"/>
      <c r="O598" s="68"/>
      <c r="P598" s="68"/>
      <c r="Q598" s="68"/>
      <c r="R598" s="68"/>
      <c r="S598" s="68"/>
    </row>
    <row r="599" spans="1:19" ht="15.75" customHeight="1">
      <c r="A599" s="68"/>
      <c r="B599" s="68"/>
      <c r="D599" s="68"/>
      <c r="E599" s="69"/>
      <c r="K599" s="68"/>
      <c r="M599" s="68"/>
      <c r="O599" s="68"/>
      <c r="P599" s="68"/>
      <c r="Q599" s="68"/>
      <c r="R599" s="68"/>
      <c r="S599" s="68"/>
    </row>
    <row r="600" spans="1:19" ht="15.75" customHeight="1">
      <c r="A600" s="68"/>
      <c r="B600" s="68"/>
      <c r="D600" s="68"/>
      <c r="E600" s="69"/>
      <c r="K600" s="68"/>
      <c r="M600" s="68"/>
      <c r="O600" s="68"/>
      <c r="P600" s="68"/>
      <c r="Q600" s="68"/>
      <c r="R600" s="68"/>
      <c r="S600" s="68"/>
    </row>
    <row r="601" spans="1:19" ht="15.75" customHeight="1">
      <c r="A601" s="68"/>
      <c r="B601" s="68"/>
      <c r="D601" s="68"/>
      <c r="E601" s="69"/>
      <c r="K601" s="68"/>
      <c r="M601" s="68"/>
      <c r="O601" s="68"/>
      <c r="P601" s="68"/>
      <c r="Q601" s="68"/>
      <c r="R601" s="68"/>
      <c r="S601" s="68"/>
    </row>
    <row r="602" spans="1:19" ht="15.75" customHeight="1">
      <c r="A602" s="68"/>
      <c r="B602" s="68"/>
      <c r="D602" s="68"/>
      <c r="E602" s="69"/>
      <c r="K602" s="68"/>
      <c r="M602" s="68"/>
      <c r="O602" s="68"/>
      <c r="P602" s="68"/>
      <c r="Q602" s="68"/>
      <c r="R602" s="68"/>
      <c r="S602" s="68"/>
    </row>
    <row r="603" spans="1:19" ht="15.75" customHeight="1">
      <c r="A603" s="68"/>
      <c r="B603" s="68"/>
      <c r="D603" s="68"/>
      <c r="E603" s="69"/>
      <c r="K603" s="68"/>
      <c r="M603" s="68"/>
      <c r="O603" s="68"/>
      <c r="P603" s="68"/>
      <c r="Q603" s="68"/>
      <c r="R603" s="68"/>
      <c r="S603" s="68"/>
    </row>
    <row r="604" spans="1:19" ht="15.75" customHeight="1">
      <c r="A604" s="68"/>
      <c r="B604" s="68"/>
      <c r="D604" s="68"/>
      <c r="E604" s="69"/>
      <c r="K604" s="68"/>
      <c r="M604" s="68"/>
      <c r="O604" s="68"/>
      <c r="P604" s="68"/>
      <c r="Q604" s="68"/>
      <c r="R604" s="68"/>
      <c r="S604" s="68"/>
    </row>
    <row r="605" spans="1:19" ht="15.75" customHeight="1">
      <c r="A605" s="68"/>
      <c r="B605" s="68"/>
      <c r="D605" s="68"/>
      <c r="E605" s="69"/>
      <c r="K605" s="68"/>
      <c r="M605" s="68"/>
      <c r="O605" s="68"/>
      <c r="P605" s="68"/>
      <c r="Q605" s="68"/>
      <c r="R605" s="68"/>
      <c r="S605" s="68"/>
    </row>
    <row r="606" spans="1:19" ht="15.75" customHeight="1">
      <c r="A606" s="68"/>
      <c r="B606" s="68"/>
      <c r="D606" s="68"/>
      <c r="E606" s="69"/>
      <c r="K606" s="68"/>
      <c r="M606" s="68"/>
      <c r="O606" s="68"/>
      <c r="P606" s="68"/>
      <c r="Q606" s="68"/>
      <c r="R606" s="68"/>
      <c r="S606" s="68"/>
    </row>
    <row r="607" spans="1:19" ht="15.75" customHeight="1">
      <c r="A607" s="68"/>
      <c r="B607" s="68"/>
      <c r="D607" s="68"/>
      <c r="E607" s="69"/>
      <c r="K607" s="68"/>
      <c r="M607" s="68"/>
      <c r="O607" s="68"/>
      <c r="P607" s="68"/>
      <c r="Q607" s="68"/>
      <c r="R607" s="68"/>
      <c r="S607" s="68"/>
    </row>
    <row r="608" spans="1:19" ht="15.75" customHeight="1">
      <c r="A608" s="68"/>
      <c r="B608" s="68"/>
      <c r="D608" s="68"/>
      <c r="E608" s="69"/>
      <c r="K608" s="68"/>
      <c r="M608" s="68"/>
      <c r="O608" s="68"/>
      <c r="P608" s="68"/>
      <c r="Q608" s="68"/>
      <c r="R608" s="68"/>
      <c r="S608" s="68"/>
    </row>
    <row r="609" spans="1:19" ht="15.75" customHeight="1">
      <c r="A609" s="68"/>
      <c r="B609" s="68"/>
      <c r="D609" s="68"/>
      <c r="E609" s="69"/>
      <c r="K609" s="68"/>
      <c r="M609" s="68"/>
      <c r="O609" s="68"/>
      <c r="P609" s="68"/>
      <c r="Q609" s="68"/>
      <c r="R609" s="68"/>
      <c r="S609" s="68"/>
    </row>
    <row r="610" spans="1:19" ht="15.75" customHeight="1">
      <c r="A610" s="68"/>
      <c r="B610" s="68"/>
      <c r="D610" s="68"/>
      <c r="E610" s="69"/>
      <c r="K610" s="68"/>
      <c r="M610" s="68"/>
      <c r="O610" s="68"/>
      <c r="P610" s="68"/>
      <c r="Q610" s="68"/>
      <c r="R610" s="68"/>
      <c r="S610" s="68"/>
    </row>
    <row r="611" spans="1:19" ht="15.75" customHeight="1">
      <c r="A611" s="68"/>
      <c r="B611" s="68"/>
      <c r="D611" s="68"/>
      <c r="E611" s="69"/>
      <c r="K611" s="68"/>
      <c r="M611" s="68"/>
      <c r="O611" s="68"/>
      <c r="P611" s="68"/>
      <c r="Q611" s="68"/>
      <c r="R611" s="68"/>
      <c r="S611" s="68"/>
    </row>
    <row r="612" spans="1:19" ht="15.75" customHeight="1">
      <c r="A612" s="68"/>
      <c r="B612" s="68"/>
      <c r="D612" s="68"/>
      <c r="E612" s="69"/>
      <c r="K612" s="68"/>
      <c r="M612" s="68"/>
      <c r="O612" s="68"/>
      <c r="P612" s="68"/>
      <c r="Q612" s="68"/>
      <c r="R612" s="68"/>
      <c r="S612" s="68"/>
    </row>
    <row r="613" spans="1:19" ht="15.75" customHeight="1">
      <c r="A613" s="68"/>
      <c r="B613" s="68"/>
      <c r="D613" s="68"/>
      <c r="E613" s="69"/>
      <c r="K613" s="68"/>
      <c r="M613" s="68"/>
      <c r="O613" s="68"/>
      <c r="P613" s="68"/>
      <c r="Q613" s="68"/>
      <c r="R613" s="68"/>
      <c r="S613" s="68"/>
    </row>
    <row r="614" spans="1:19" ht="15.75" customHeight="1">
      <c r="A614" s="68"/>
      <c r="B614" s="68"/>
      <c r="D614" s="68"/>
      <c r="E614" s="69"/>
      <c r="K614" s="68"/>
      <c r="M614" s="68"/>
      <c r="O614" s="68"/>
      <c r="P614" s="68"/>
      <c r="Q614" s="68"/>
      <c r="R614" s="68"/>
      <c r="S614" s="68"/>
    </row>
    <row r="615" spans="1:19" ht="15.75" customHeight="1">
      <c r="A615" s="68"/>
      <c r="B615" s="68"/>
      <c r="D615" s="68"/>
      <c r="E615" s="69"/>
      <c r="K615" s="68"/>
      <c r="M615" s="68"/>
      <c r="O615" s="68"/>
      <c r="P615" s="68"/>
      <c r="Q615" s="68"/>
      <c r="R615" s="68"/>
      <c r="S615" s="68"/>
    </row>
    <row r="616" spans="1:19" ht="15.75" customHeight="1">
      <c r="A616" s="68"/>
      <c r="B616" s="68"/>
      <c r="D616" s="68"/>
      <c r="E616" s="69"/>
      <c r="K616" s="68"/>
      <c r="M616" s="68"/>
      <c r="O616" s="68"/>
      <c r="P616" s="68"/>
      <c r="Q616" s="68"/>
      <c r="R616" s="68"/>
      <c r="S616" s="68"/>
    </row>
    <row r="617" spans="1:19" ht="15.75" customHeight="1">
      <c r="A617" s="68"/>
      <c r="B617" s="68"/>
      <c r="D617" s="68"/>
      <c r="E617" s="69"/>
      <c r="K617" s="68"/>
      <c r="M617" s="68"/>
      <c r="O617" s="68"/>
      <c r="P617" s="68"/>
      <c r="Q617" s="68"/>
      <c r="R617" s="68"/>
      <c r="S617" s="68"/>
    </row>
    <row r="618" spans="1:19" ht="15.75" customHeight="1">
      <c r="A618" s="68"/>
      <c r="B618" s="68"/>
      <c r="D618" s="68"/>
      <c r="E618" s="69"/>
      <c r="K618" s="68"/>
      <c r="M618" s="68"/>
      <c r="O618" s="68"/>
      <c r="P618" s="68"/>
      <c r="Q618" s="68"/>
      <c r="R618" s="68"/>
      <c r="S618" s="68"/>
    </row>
    <row r="619" spans="1:19" ht="15.75" customHeight="1">
      <c r="A619" s="68"/>
      <c r="B619" s="68"/>
      <c r="D619" s="68"/>
      <c r="E619" s="69"/>
      <c r="K619" s="68"/>
      <c r="M619" s="68"/>
      <c r="O619" s="68"/>
      <c r="P619" s="68"/>
      <c r="Q619" s="68"/>
      <c r="R619" s="68"/>
      <c r="S619" s="68"/>
    </row>
    <row r="620" spans="1:19" ht="15.75" customHeight="1">
      <c r="A620" s="68"/>
      <c r="B620" s="68"/>
      <c r="D620" s="68"/>
      <c r="E620" s="69"/>
      <c r="K620" s="68"/>
      <c r="M620" s="68"/>
      <c r="O620" s="68"/>
      <c r="P620" s="68"/>
      <c r="Q620" s="68"/>
      <c r="R620" s="68"/>
      <c r="S620" s="68"/>
    </row>
    <row r="621" spans="1:19" ht="15.75" customHeight="1">
      <c r="A621" s="68"/>
      <c r="B621" s="68"/>
      <c r="D621" s="68"/>
      <c r="E621" s="69"/>
      <c r="K621" s="68"/>
      <c r="M621" s="68"/>
      <c r="O621" s="68"/>
      <c r="P621" s="68"/>
      <c r="Q621" s="68"/>
      <c r="R621" s="68"/>
      <c r="S621" s="68"/>
    </row>
    <row r="622" spans="1:19" ht="15.75" customHeight="1">
      <c r="A622" s="68"/>
      <c r="B622" s="68"/>
      <c r="D622" s="68"/>
      <c r="E622" s="69"/>
      <c r="K622" s="68"/>
      <c r="M622" s="68"/>
      <c r="O622" s="68"/>
      <c r="P622" s="68"/>
      <c r="Q622" s="68"/>
      <c r="R622" s="68"/>
      <c r="S622" s="68"/>
    </row>
    <row r="623" spans="1:19" ht="15.75" customHeight="1">
      <c r="A623" s="68"/>
      <c r="B623" s="68"/>
      <c r="D623" s="68"/>
      <c r="E623" s="69"/>
      <c r="K623" s="68"/>
      <c r="M623" s="68"/>
      <c r="O623" s="68"/>
      <c r="P623" s="68"/>
      <c r="Q623" s="68"/>
      <c r="R623" s="68"/>
      <c r="S623" s="68"/>
    </row>
    <row r="624" spans="1:19" ht="15.75" customHeight="1">
      <c r="A624" s="68"/>
      <c r="B624" s="68"/>
      <c r="D624" s="68"/>
      <c r="E624" s="69"/>
      <c r="K624" s="68"/>
      <c r="M624" s="68"/>
      <c r="O624" s="68"/>
      <c r="P624" s="68"/>
      <c r="Q624" s="68"/>
      <c r="R624" s="68"/>
      <c r="S624" s="68"/>
    </row>
    <row r="625" spans="1:19" ht="15.75" customHeight="1">
      <c r="A625" s="68"/>
      <c r="B625" s="68"/>
      <c r="D625" s="68"/>
      <c r="E625" s="69"/>
      <c r="K625" s="68"/>
      <c r="M625" s="68"/>
      <c r="O625" s="68"/>
      <c r="P625" s="68"/>
      <c r="Q625" s="68"/>
      <c r="R625" s="68"/>
      <c r="S625" s="68"/>
    </row>
    <row r="626" spans="1:19" ht="15.75" customHeight="1">
      <c r="A626" s="68"/>
      <c r="B626" s="68"/>
      <c r="D626" s="68"/>
      <c r="E626" s="69"/>
      <c r="K626" s="68"/>
      <c r="M626" s="68"/>
      <c r="O626" s="68"/>
      <c r="P626" s="68"/>
      <c r="Q626" s="68"/>
      <c r="R626" s="68"/>
      <c r="S626" s="68"/>
    </row>
    <row r="627" spans="1:19" ht="15.75" customHeight="1">
      <c r="A627" s="68"/>
      <c r="B627" s="68"/>
      <c r="D627" s="68"/>
      <c r="E627" s="69"/>
      <c r="K627" s="68"/>
      <c r="M627" s="68"/>
      <c r="O627" s="68"/>
      <c r="P627" s="68"/>
      <c r="Q627" s="68"/>
      <c r="R627" s="68"/>
      <c r="S627" s="68"/>
    </row>
    <row r="628" spans="1:19" ht="15.75" customHeight="1">
      <c r="A628" s="68"/>
      <c r="B628" s="68"/>
      <c r="D628" s="68"/>
      <c r="E628" s="69"/>
      <c r="K628" s="68"/>
      <c r="M628" s="68"/>
      <c r="O628" s="68"/>
      <c r="P628" s="68"/>
      <c r="Q628" s="68"/>
      <c r="R628" s="68"/>
      <c r="S628" s="68"/>
    </row>
    <row r="629" spans="1:19" ht="15.75" customHeight="1">
      <c r="A629" s="68"/>
      <c r="B629" s="68"/>
      <c r="D629" s="68"/>
      <c r="E629" s="69"/>
      <c r="K629" s="68"/>
      <c r="M629" s="68"/>
      <c r="O629" s="68"/>
      <c r="P629" s="68"/>
      <c r="Q629" s="68"/>
      <c r="R629" s="68"/>
      <c r="S629" s="68"/>
    </row>
    <row r="630" spans="1:19" ht="15.75" customHeight="1">
      <c r="A630" s="68"/>
      <c r="B630" s="68"/>
      <c r="D630" s="68"/>
      <c r="E630" s="69"/>
      <c r="K630" s="68"/>
      <c r="M630" s="68"/>
      <c r="O630" s="68"/>
      <c r="P630" s="68"/>
      <c r="Q630" s="68"/>
      <c r="R630" s="68"/>
      <c r="S630" s="68"/>
    </row>
    <row r="631" spans="1:19" ht="15.75" customHeight="1">
      <c r="A631" s="68"/>
      <c r="B631" s="68"/>
      <c r="D631" s="68"/>
      <c r="E631" s="69"/>
      <c r="K631" s="68"/>
      <c r="M631" s="68"/>
      <c r="O631" s="68"/>
      <c r="P631" s="68"/>
      <c r="Q631" s="68"/>
      <c r="R631" s="68"/>
      <c r="S631" s="68"/>
    </row>
    <row r="632" spans="1:19" ht="15.75" customHeight="1">
      <c r="A632" s="68"/>
      <c r="B632" s="68"/>
      <c r="D632" s="68"/>
      <c r="E632" s="69"/>
      <c r="K632" s="68"/>
      <c r="M632" s="68"/>
      <c r="O632" s="68"/>
      <c r="P632" s="68"/>
      <c r="Q632" s="68"/>
      <c r="R632" s="68"/>
      <c r="S632" s="68"/>
    </row>
    <row r="633" spans="1:19" ht="15.75" customHeight="1">
      <c r="A633" s="68"/>
      <c r="B633" s="68"/>
      <c r="D633" s="68"/>
      <c r="E633" s="69"/>
      <c r="K633" s="68"/>
      <c r="M633" s="68"/>
      <c r="O633" s="68"/>
      <c r="P633" s="68"/>
      <c r="Q633" s="68"/>
      <c r="R633" s="68"/>
      <c r="S633" s="68"/>
    </row>
    <row r="634" spans="1:19" ht="15.75" customHeight="1">
      <c r="A634" s="68"/>
      <c r="B634" s="68"/>
      <c r="D634" s="68"/>
      <c r="E634" s="69"/>
      <c r="K634" s="68"/>
      <c r="M634" s="68"/>
      <c r="O634" s="68"/>
      <c r="P634" s="68"/>
      <c r="Q634" s="68"/>
      <c r="R634" s="68"/>
      <c r="S634" s="68"/>
    </row>
    <row r="635" spans="1:19" ht="15.75" customHeight="1">
      <c r="A635" s="68"/>
      <c r="B635" s="68"/>
      <c r="D635" s="68"/>
      <c r="E635" s="69"/>
      <c r="K635" s="68"/>
      <c r="M635" s="68"/>
      <c r="O635" s="68"/>
      <c r="P635" s="68"/>
      <c r="Q635" s="68"/>
      <c r="R635" s="68"/>
      <c r="S635" s="68"/>
    </row>
    <row r="636" spans="1:19" ht="15.75" customHeight="1">
      <c r="A636" s="68"/>
      <c r="B636" s="68"/>
      <c r="D636" s="68"/>
      <c r="E636" s="69"/>
      <c r="K636" s="68"/>
      <c r="M636" s="68"/>
      <c r="O636" s="68"/>
      <c r="P636" s="68"/>
      <c r="Q636" s="68"/>
      <c r="R636" s="68"/>
      <c r="S636" s="68"/>
    </row>
    <row r="637" spans="1:19" ht="15.75" customHeight="1">
      <c r="A637" s="68"/>
      <c r="B637" s="68"/>
      <c r="D637" s="68"/>
      <c r="E637" s="69"/>
      <c r="K637" s="68"/>
      <c r="M637" s="68"/>
      <c r="O637" s="68"/>
      <c r="P637" s="68"/>
      <c r="Q637" s="68"/>
      <c r="R637" s="68"/>
      <c r="S637" s="68"/>
    </row>
    <row r="638" spans="1:19" ht="15.75" customHeight="1">
      <c r="A638" s="68"/>
      <c r="B638" s="68"/>
      <c r="D638" s="68"/>
      <c r="E638" s="69"/>
      <c r="K638" s="68"/>
      <c r="M638" s="68"/>
      <c r="O638" s="68"/>
      <c r="P638" s="68"/>
      <c r="Q638" s="68"/>
      <c r="R638" s="68"/>
      <c r="S638" s="68"/>
    </row>
    <row r="639" spans="1:19" ht="15.75" customHeight="1">
      <c r="A639" s="68"/>
      <c r="B639" s="68"/>
      <c r="D639" s="68"/>
      <c r="E639" s="69"/>
      <c r="K639" s="68"/>
      <c r="M639" s="68"/>
      <c r="O639" s="68"/>
      <c r="P639" s="68"/>
      <c r="Q639" s="68"/>
      <c r="R639" s="68"/>
      <c r="S639" s="68"/>
    </row>
    <row r="640" spans="1:19" ht="15.75" customHeight="1">
      <c r="A640" s="68"/>
      <c r="B640" s="68"/>
      <c r="D640" s="68"/>
      <c r="E640" s="69"/>
      <c r="K640" s="68"/>
      <c r="M640" s="68"/>
      <c r="O640" s="68"/>
      <c r="P640" s="68"/>
      <c r="Q640" s="68"/>
      <c r="R640" s="68"/>
      <c r="S640" s="68"/>
    </row>
    <row r="641" spans="1:19" ht="15.75" customHeight="1">
      <c r="A641" s="68"/>
      <c r="B641" s="68"/>
      <c r="D641" s="68"/>
      <c r="E641" s="69"/>
      <c r="K641" s="68"/>
      <c r="M641" s="68"/>
      <c r="O641" s="68"/>
      <c r="P641" s="68"/>
      <c r="Q641" s="68"/>
      <c r="R641" s="68"/>
      <c r="S641" s="68"/>
    </row>
    <row r="642" spans="1:19" ht="15.75" customHeight="1">
      <c r="A642" s="68"/>
      <c r="B642" s="68"/>
      <c r="D642" s="68"/>
      <c r="E642" s="69"/>
      <c r="K642" s="68"/>
      <c r="M642" s="68"/>
      <c r="O642" s="68"/>
      <c r="P642" s="68"/>
      <c r="Q642" s="68"/>
      <c r="R642" s="68"/>
      <c r="S642" s="68"/>
    </row>
    <row r="643" spans="1:19" ht="15.75" customHeight="1">
      <c r="A643" s="68"/>
      <c r="B643" s="68"/>
      <c r="D643" s="68"/>
      <c r="E643" s="69"/>
      <c r="K643" s="68"/>
      <c r="M643" s="68"/>
      <c r="O643" s="68"/>
      <c r="P643" s="68"/>
      <c r="Q643" s="68"/>
      <c r="R643" s="68"/>
      <c r="S643" s="68"/>
    </row>
    <row r="644" spans="1:19" ht="15.75" customHeight="1">
      <c r="A644" s="68"/>
      <c r="B644" s="68"/>
      <c r="D644" s="68"/>
      <c r="E644" s="69"/>
      <c r="K644" s="68"/>
      <c r="M644" s="68"/>
      <c r="O644" s="68"/>
      <c r="P644" s="68"/>
      <c r="Q644" s="68"/>
      <c r="R644" s="68"/>
      <c r="S644" s="68"/>
    </row>
    <row r="645" spans="1:19" ht="15.75" customHeight="1">
      <c r="A645" s="68"/>
      <c r="B645" s="68"/>
      <c r="D645" s="68"/>
      <c r="E645" s="69"/>
      <c r="K645" s="68"/>
      <c r="M645" s="68"/>
      <c r="O645" s="68"/>
      <c r="P645" s="68"/>
      <c r="Q645" s="68"/>
      <c r="R645" s="68"/>
      <c r="S645" s="68"/>
    </row>
    <row r="646" spans="1:19" ht="15.75" customHeight="1">
      <c r="A646" s="68"/>
      <c r="B646" s="68"/>
      <c r="D646" s="68"/>
      <c r="E646" s="69"/>
      <c r="K646" s="68"/>
      <c r="M646" s="68"/>
      <c r="O646" s="68"/>
      <c r="P646" s="68"/>
      <c r="Q646" s="68"/>
      <c r="R646" s="68"/>
      <c r="S646" s="68"/>
    </row>
    <row r="647" spans="1:19" ht="15.75" customHeight="1">
      <c r="A647" s="68"/>
      <c r="B647" s="68"/>
      <c r="D647" s="68"/>
      <c r="E647" s="69"/>
      <c r="K647" s="68"/>
      <c r="M647" s="68"/>
      <c r="O647" s="68"/>
      <c r="P647" s="68"/>
      <c r="Q647" s="68"/>
      <c r="R647" s="68"/>
      <c r="S647" s="68"/>
    </row>
    <row r="648" spans="1:19" ht="15.75" customHeight="1">
      <c r="A648" s="68"/>
      <c r="B648" s="68"/>
      <c r="D648" s="68"/>
      <c r="E648" s="69"/>
      <c r="K648" s="68"/>
      <c r="M648" s="68"/>
      <c r="O648" s="68"/>
      <c r="P648" s="68"/>
      <c r="Q648" s="68"/>
      <c r="R648" s="68"/>
      <c r="S648" s="68"/>
    </row>
    <row r="649" spans="1:19" ht="15.75" customHeight="1">
      <c r="A649" s="68"/>
      <c r="B649" s="68"/>
      <c r="D649" s="68"/>
      <c r="E649" s="69"/>
      <c r="K649" s="68"/>
      <c r="M649" s="68"/>
      <c r="O649" s="68"/>
      <c r="P649" s="68"/>
      <c r="Q649" s="68"/>
      <c r="R649" s="68"/>
      <c r="S649" s="68"/>
    </row>
    <row r="650" spans="1:19" ht="15.75" customHeight="1">
      <c r="A650" s="68"/>
      <c r="B650" s="68"/>
      <c r="D650" s="68"/>
      <c r="E650" s="69"/>
      <c r="K650" s="68"/>
      <c r="M650" s="68"/>
      <c r="O650" s="68"/>
      <c r="P650" s="68"/>
      <c r="Q650" s="68"/>
      <c r="R650" s="68"/>
      <c r="S650" s="68"/>
    </row>
    <row r="651" spans="1:19" ht="15.75" customHeight="1">
      <c r="A651" s="68"/>
      <c r="B651" s="68"/>
      <c r="D651" s="68"/>
      <c r="E651" s="69"/>
      <c r="K651" s="68"/>
      <c r="M651" s="68"/>
      <c r="O651" s="68"/>
      <c r="P651" s="68"/>
      <c r="Q651" s="68"/>
      <c r="R651" s="68"/>
      <c r="S651" s="68"/>
    </row>
    <row r="652" spans="1:19" ht="15.75" customHeight="1">
      <c r="A652" s="68"/>
      <c r="B652" s="68"/>
      <c r="D652" s="68"/>
      <c r="E652" s="69"/>
      <c r="K652" s="68"/>
      <c r="M652" s="68"/>
      <c r="O652" s="68"/>
      <c r="P652" s="68"/>
      <c r="Q652" s="68"/>
      <c r="R652" s="68"/>
      <c r="S652" s="68"/>
    </row>
    <row r="653" spans="1:19" ht="15.75" customHeight="1">
      <c r="A653" s="68"/>
      <c r="B653" s="68"/>
      <c r="D653" s="68"/>
      <c r="E653" s="69"/>
      <c r="K653" s="68"/>
      <c r="M653" s="68"/>
      <c r="O653" s="68"/>
      <c r="P653" s="68"/>
      <c r="Q653" s="68"/>
      <c r="R653" s="68"/>
      <c r="S653" s="68"/>
    </row>
    <row r="654" spans="1:19" ht="15.75" customHeight="1">
      <c r="A654" s="68"/>
      <c r="B654" s="68"/>
      <c r="D654" s="68"/>
      <c r="E654" s="69"/>
      <c r="K654" s="68"/>
      <c r="M654" s="68"/>
      <c r="O654" s="68"/>
      <c r="P654" s="68"/>
      <c r="Q654" s="68"/>
      <c r="R654" s="68"/>
      <c r="S654" s="68"/>
    </row>
    <row r="655" spans="1:19" ht="15.75" customHeight="1">
      <c r="A655" s="68"/>
      <c r="B655" s="68"/>
      <c r="D655" s="68"/>
      <c r="E655" s="69"/>
      <c r="K655" s="68"/>
      <c r="M655" s="68"/>
      <c r="O655" s="68"/>
      <c r="P655" s="68"/>
      <c r="Q655" s="68"/>
      <c r="R655" s="68"/>
      <c r="S655" s="68"/>
    </row>
    <row r="656" spans="1:19" ht="15.75" customHeight="1">
      <c r="A656" s="68"/>
      <c r="B656" s="68"/>
      <c r="D656" s="68"/>
      <c r="E656" s="69"/>
      <c r="K656" s="68"/>
      <c r="M656" s="68"/>
      <c r="O656" s="68"/>
      <c r="P656" s="68"/>
      <c r="Q656" s="68"/>
      <c r="R656" s="68"/>
      <c r="S656" s="68"/>
    </row>
    <row r="657" spans="1:19" ht="15.75" customHeight="1">
      <c r="A657" s="68"/>
      <c r="B657" s="68"/>
      <c r="D657" s="68"/>
      <c r="E657" s="69"/>
      <c r="K657" s="68"/>
      <c r="M657" s="68"/>
      <c r="O657" s="68"/>
      <c r="P657" s="68"/>
      <c r="Q657" s="68"/>
      <c r="R657" s="68"/>
      <c r="S657" s="68"/>
    </row>
    <row r="658" spans="1:19" ht="15.75" customHeight="1">
      <c r="A658" s="68"/>
      <c r="B658" s="68"/>
      <c r="D658" s="68"/>
      <c r="E658" s="69"/>
      <c r="K658" s="68"/>
      <c r="M658" s="68"/>
      <c r="O658" s="68"/>
      <c r="P658" s="68"/>
      <c r="Q658" s="68"/>
      <c r="R658" s="68"/>
      <c r="S658" s="68"/>
    </row>
    <row r="659" spans="1:19" ht="15.75" customHeight="1">
      <c r="A659" s="68"/>
      <c r="B659" s="68"/>
      <c r="D659" s="68"/>
      <c r="E659" s="69"/>
      <c r="K659" s="68"/>
      <c r="M659" s="68"/>
      <c r="O659" s="68"/>
      <c r="P659" s="68"/>
      <c r="Q659" s="68"/>
      <c r="R659" s="68"/>
      <c r="S659" s="68"/>
    </row>
    <row r="660" spans="1:19" ht="15.75" customHeight="1">
      <c r="A660" s="68"/>
      <c r="B660" s="68"/>
      <c r="D660" s="68"/>
      <c r="E660" s="69"/>
      <c r="K660" s="68"/>
      <c r="M660" s="68"/>
      <c r="O660" s="68"/>
      <c r="P660" s="68"/>
      <c r="Q660" s="68"/>
      <c r="R660" s="68"/>
      <c r="S660" s="68"/>
    </row>
    <row r="661" spans="1:19" ht="15.75" customHeight="1">
      <c r="A661" s="68"/>
      <c r="B661" s="68"/>
      <c r="D661" s="68"/>
      <c r="E661" s="69"/>
      <c r="K661" s="68"/>
      <c r="M661" s="68"/>
      <c r="O661" s="68"/>
      <c r="P661" s="68"/>
      <c r="Q661" s="68"/>
      <c r="R661" s="68"/>
      <c r="S661" s="68"/>
    </row>
    <row r="662" spans="1:19" ht="15.75" customHeight="1">
      <c r="A662" s="68"/>
      <c r="B662" s="68"/>
      <c r="D662" s="68"/>
      <c r="E662" s="69"/>
      <c r="K662" s="68"/>
      <c r="M662" s="68"/>
      <c r="O662" s="68"/>
      <c r="P662" s="68"/>
      <c r="Q662" s="68"/>
      <c r="R662" s="68"/>
      <c r="S662" s="68"/>
    </row>
    <row r="663" spans="1:19" ht="15.75" customHeight="1">
      <c r="A663" s="68"/>
      <c r="B663" s="68"/>
      <c r="D663" s="68"/>
      <c r="E663" s="69"/>
      <c r="K663" s="68"/>
      <c r="M663" s="68"/>
      <c r="O663" s="68"/>
      <c r="P663" s="68"/>
      <c r="Q663" s="68"/>
      <c r="R663" s="68"/>
      <c r="S663" s="68"/>
    </row>
    <row r="664" spans="1:19" ht="15.75" customHeight="1">
      <c r="A664" s="68"/>
      <c r="B664" s="68"/>
      <c r="D664" s="68"/>
      <c r="E664" s="69"/>
      <c r="K664" s="68"/>
      <c r="M664" s="68"/>
      <c r="O664" s="68"/>
      <c r="P664" s="68"/>
      <c r="Q664" s="68"/>
      <c r="R664" s="68"/>
      <c r="S664" s="68"/>
    </row>
    <row r="665" spans="1:19" ht="15.75" customHeight="1">
      <c r="A665" s="68"/>
      <c r="B665" s="68"/>
      <c r="D665" s="68"/>
      <c r="E665" s="69"/>
      <c r="K665" s="68"/>
      <c r="M665" s="68"/>
      <c r="O665" s="68"/>
      <c r="P665" s="68"/>
      <c r="Q665" s="68"/>
      <c r="R665" s="68"/>
      <c r="S665" s="68"/>
    </row>
    <row r="666" spans="1:19" ht="15.75" customHeight="1">
      <c r="A666" s="68"/>
      <c r="B666" s="68"/>
      <c r="D666" s="68"/>
      <c r="E666" s="69"/>
      <c r="K666" s="68"/>
      <c r="M666" s="68"/>
      <c r="O666" s="68"/>
      <c r="P666" s="68"/>
      <c r="Q666" s="68"/>
      <c r="R666" s="68"/>
      <c r="S666" s="68"/>
    </row>
    <row r="667" spans="1:19" ht="15.75" customHeight="1">
      <c r="A667" s="68"/>
      <c r="B667" s="68"/>
      <c r="D667" s="68"/>
      <c r="E667" s="69"/>
      <c r="K667" s="68"/>
      <c r="M667" s="68"/>
      <c r="O667" s="68"/>
      <c r="P667" s="68"/>
      <c r="Q667" s="68"/>
      <c r="R667" s="68"/>
      <c r="S667" s="68"/>
    </row>
    <row r="668" spans="1:19" ht="15.75" customHeight="1">
      <c r="A668" s="68"/>
      <c r="B668" s="68"/>
      <c r="D668" s="68"/>
      <c r="E668" s="69"/>
      <c r="K668" s="68"/>
      <c r="M668" s="68"/>
      <c r="O668" s="68"/>
      <c r="P668" s="68"/>
      <c r="Q668" s="68"/>
      <c r="R668" s="68"/>
      <c r="S668" s="68"/>
    </row>
    <row r="669" spans="1:19" ht="15.75" customHeight="1">
      <c r="A669" s="68"/>
      <c r="B669" s="68"/>
      <c r="D669" s="68"/>
      <c r="E669" s="69"/>
      <c r="K669" s="68"/>
      <c r="M669" s="68"/>
      <c r="O669" s="68"/>
      <c r="P669" s="68"/>
      <c r="Q669" s="68"/>
      <c r="R669" s="68"/>
      <c r="S669" s="68"/>
    </row>
    <row r="670" spans="1:19" ht="15.75" customHeight="1">
      <c r="A670" s="68"/>
      <c r="B670" s="68"/>
      <c r="D670" s="68"/>
      <c r="E670" s="69"/>
      <c r="K670" s="68"/>
      <c r="M670" s="68"/>
      <c r="O670" s="68"/>
      <c r="P670" s="68"/>
      <c r="Q670" s="68"/>
      <c r="R670" s="68"/>
      <c r="S670" s="68"/>
    </row>
    <row r="671" spans="1:19" ht="15.75" customHeight="1">
      <c r="A671" s="68"/>
      <c r="B671" s="68"/>
      <c r="D671" s="68"/>
      <c r="E671" s="69"/>
      <c r="K671" s="68"/>
      <c r="M671" s="68"/>
      <c r="O671" s="68"/>
      <c r="P671" s="68"/>
      <c r="Q671" s="68"/>
      <c r="R671" s="68"/>
      <c r="S671" s="68"/>
    </row>
    <row r="672" spans="1:19" ht="15.75" customHeight="1">
      <c r="A672" s="68"/>
      <c r="B672" s="68"/>
      <c r="D672" s="68"/>
      <c r="E672" s="69"/>
      <c r="K672" s="68"/>
      <c r="M672" s="68"/>
      <c r="O672" s="68"/>
      <c r="P672" s="68"/>
      <c r="Q672" s="68"/>
      <c r="R672" s="68"/>
      <c r="S672" s="68"/>
    </row>
    <row r="673" spans="1:19" ht="15.75" customHeight="1">
      <c r="A673" s="68"/>
      <c r="B673" s="68"/>
      <c r="D673" s="68"/>
      <c r="E673" s="69"/>
      <c r="K673" s="68"/>
      <c r="M673" s="68"/>
      <c r="O673" s="68"/>
      <c r="P673" s="68"/>
      <c r="Q673" s="68"/>
      <c r="R673" s="68"/>
      <c r="S673" s="68"/>
    </row>
    <row r="674" spans="1:19" ht="15.75" customHeight="1">
      <c r="A674" s="68"/>
      <c r="B674" s="68"/>
      <c r="D674" s="68"/>
      <c r="E674" s="69"/>
      <c r="K674" s="68"/>
      <c r="M674" s="68"/>
      <c r="O674" s="68"/>
      <c r="P674" s="68"/>
      <c r="Q674" s="68"/>
      <c r="R674" s="68"/>
      <c r="S674" s="68"/>
    </row>
    <row r="675" spans="1:19" ht="15.75" customHeight="1">
      <c r="A675" s="68"/>
      <c r="B675" s="68"/>
      <c r="D675" s="68"/>
      <c r="E675" s="69"/>
      <c r="K675" s="68"/>
      <c r="M675" s="68"/>
      <c r="O675" s="68"/>
      <c r="P675" s="68"/>
      <c r="Q675" s="68"/>
      <c r="R675" s="68"/>
      <c r="S675" s="68"/>
    </row>
    <row r="676" spans="1:19" ht="15.75" customHeight="1">
      <c r="A676" s="68"/>
      <c r="B676" s="68"/>
      <c r="D676" s="68"/>
      <c r="E676" s="69"/>
      <c r="K676" s="68"/>
      <c r="M676" s="68"/>
      <c r="O676" s="68"/>
      <c r="P676" s="68"/>
      <c r="Q676" s="68"/>
      <c r="R676" s="68"/>
      <c r="S676" s="68"/>
    </row>
    <row r="677" spans="1:19" ht="15.75" customHeight="1">
      <c r="A677" s="68"/>
      <c r="B677" s="68"/>
      <c r="D677" s="68"/>
      <c r="E677" s="69"/>
      <c r="K677" s="68"/>
      <c r="M677" s="68"/>
      <c r="O677" s="68"/>
      <c r="P677" s="68"/>
      <c r="Q677" s="68"/>
      <c r="R677" s="68"/>
      <c r="S677" s="68"/>
    </row>
    <row r="678" spans="1:19" ht="15.75" customHeight="1">
      <c r="A678" s="68"/>
      <c r="B678" s="68"/>
      <c r="D678" s="68"/>
      <c r="E678" s="69"/>
      <c r="K678" s="68"/>
      <c r="M678" s="68"/>
      <c r="O678" s="68"/>
      <c r="P678" s="68"/>
      <c r="Q678" s="68"/>
      <c r="R678" s="68"/>
      <c r="S678" s="68"/>
    </row>
    <row r="679" spans="1:19" ht="15.75" customHeight="1">
      <c r="A679" s="68"/>
      <c r="B679" s="68"/>
      <c r="D679" s="68"/>
      <c r="E679" s="69"/>
      <c r="K679" s="68"/>
      <c r="M679" s="68"/>
      <c r="O679" s="68"/>
      <c r="P679" s="68"/>
      <c r="Q679" s="68"/>
      <c r="R679" s="68"/>
      <c r="S679" s="68"/>
    </row>
    <row r="680" spans="1:19" ht="15.75" customHeight="1">
      <c r="A680" s="68"/>
      <c r="B680" s="68"/>
      <c r="D680" s="68"/>
      <c r="E680" s="69"/>
      <c r="K680" s="68"/>
      <c r="M680" s="68"/>
      <c r="O680" s="68"/>
      <c r="P680" s="68"/>
      <c r="Q680" s="68"/>
      <c r="R680" s="68"/>
      <c r="S680" s="68"/>
    </row>
    <row r="681" spans="1:19" ht="15.75" customHeight="1">
      <c r="A681" s="68"/>
      <c r="B681" s="68"/>
      <c r="D681" s="68"/>
      <c r="E681" s="69"/>
      <c r="K681" s="68"/>
      <c r="M681" s="68"/>
      <c r="O681" s="68"/>
      <c r="P681" s="68"/>
      <c r="Q681" s="68"/>
      <c r="R681" s="68"/>
      <c r="S681" s="68"/>
    </row>
    <row r="682" spans="1:19" ht="15.75" customHeight="1">
      <c r="A682" s="68"/>
      <c r="B682" s="68"/>
      <c r="D682" s="68"/>
      <c r="E682" s="69"/>
      <c r="K682" s="68"/>
      <c r="M682" s="68"/>
      <c r="O682" s="68"/>
      <c r="P682" s="68"/>
      <c r="Q682" s="68"/>
      <c r="R682" s="68"/>
      <c r="S682" s="68"/>
    </row>
    <row r="683" spans="1:19" ht="15.75" customHeight="1">
      <c r="A683" s="68"/>
      <c r="B683" s="68"/>
      <c r="D683" s="68"/>
      <c r="E683" s="69"/>
      <c r="K683" s="68"/>
      <c r="M683" s="68"/>
      <c r="O683" s="68"/>
      <c r="P683" s="68"/>
      <c r="Q683" s="68"/>
      <c r="R683" s="68"/>
      <c r="S683" s="68"/>
    </row>
    <row r="684" spans="1:19" ht="15.75" customHeight="1">
      <c r="A684" s="68"/>
      <c r="B684" s="68"/>
      <c r="D684" s="68"/>
      <c r="E684" s="69"/>
      <c r="K684" s="68"/>
      <c r="M684" s="68"/>
      <c r="O684" s="68"/>
      <c r="P684" s="68"/>
      <c r="Q684" s="68"/>
      <c r="R684" s="68"/>
      <c r="S684" s="68"/>
    </row>
    <row r="685" spans="1:19" ht="15.75" customHeight="1">
      <c r="A685" s="68"/>
      <c r="B685" s="68"/>
      <c r="D685" s="68"/>
      <c r="E685" s="69"/>
      <c r="K685" s="68"/>
      <c r="M685" s="68"/>
      <c r="O685" s="68"/>
      <c r="P685" s="68"/>
      <c r="Q685" s="68"/>
      <c r="R685" s="68"/>
      <c r="S685" s="68"/>
    </row>
    <row r="686" spans="1:19" ht="15.75" customHeight="1">
      <c r="A686" s="68"/>
      <c r="B686" s="68"/>
      <c r="D686" s="68"/>
      <c r="E686" s="69"/>
      <c r="K686" s="68"/>
      <c r="M686" s="68"/>
      <c r="O686" s="68"/>
      <c r="P686" s="68"/>
      <c r="Q686" s="68"/>
      <c r="R686" s="68"/>
      <c r="S686" s="68"/>
    </row>
    <row r="687" spans="1:19" ht="15.75" customHeight="1">
      <c r="A687" s="68"/>
      <c r="B687" s="68"/>
      <c r="D687" s="68"/>
      <c r="E687" s="69"/>
      <c r="K687" s="68"/>
      <c r="M687" s="68"/>
      <c r="O687" s="68"/>
      <c r="P687" s="68"/>
      <c r="Q687" s="68"/>
      <c r="R687" s="68"/>
      <c r="S687" s="68"/>
    </row>
    <row r="688" spans="1:19" ht="15.75" customHeight="1">
      <c r="A688" s="68"/>
      <c r="B688" s="68"/>
      <c r="D688" s="68"/>
      <c r="E688" s="69"/>
      <c r="K688" s="68"/>
      <c r="M688" s="68"/>
      <c r="O688" s="68"/>
      <c r="P688" s="68"/>
      <c r="Q688" s="68"/>
      <c r="R688" s="68"/>
      <c r="S688" s="68"/>
    </row>
    <row r="689" spans="1:19" ht="15.75" customHeight="1">
      <c r="A689" s="68"/>
      <c r="B689" s="68"/>
      <c r="D689" s="68"/>
      <c r="E689" s="69"/>
      <c r="K689" s="68"/>
      <c r="M689" s="68"/>
      <c r="O689" s="68"/>
      <c r="P689" s="68"/>
      <c r="Q689" s="68"/>
      <c r="R689" s="68"/>
      <c r="S689" s="68"/>
    </row>
    <row r="690" spans="1:19" ht="15.75" customHeight="1">
      <c r="A690" s="68"/>
      <c r="B690" s="68"/>
      <c r="D690" s="68"/>
      <c r="E690" s="69"/>
      <c r="K690" s="68"/>
      <c r="M690" s="68"/>
      <c r="O690" s="68"/>
      <c r="P690" s="68"/>
      <c r="Q690" s="68"/>
      <c r="R690" s="68"/>
      <c r="S690" s="68"/>
    </row>
    <row r="691" spans="1:19" ht="15.75" customHeight="1">
      <c r="A691" s="68"/>
      <c r="B691" s="68"/>
      <c r="D691" s="68"/>
      <c r="E691" s="69"/>
      <c r="K691" s="68"/>
      <c r="M691" s="68"/>
      <c r="O691" s="68"/>
      <c r="P691" s="68"/>
      <c r="Q691" s="68"/>
      <c r="R691" s="68"/>
      <c r="S691" s="68"/>
    </row>
    <row r="692" spans="1:19" ht="15.75" customHeight="1">
      <c r="A692" s="68"/>
      <c r="B692" s="68"/>
      <c r="D692" s="68"/>
      <c r="E692" s="69"/>
      <c r="K692" s="68"/>
      <c r="M692" s="68"/>
      <c r="O692" s="68"/>
      <c r="P692" s="68"/>
      <c r="Q692" s="68"/>
      <c r="R692" s="68"/>
      <c r="S692" s="68"/>
    </row>
    <row r="693" spans="1:19" ht="15.75" customHeight="1">
      <c r="A693" s="68"/>
      <c r="B693" s="68"/>
      <c r="D693" s="68"/>
      <c r="E693" s="69"/>
      <c r="K693" s="68"/>
      <c r="M693" s="68"/>
      <c r="O693" s="68"/>
      <c r="P693" s="68"/>
      <c r="Q693" s="68"/>
      <c r="R693" s="68"/>
      <c r="S693" s="68"/>
    </row>
    <row r="694" spans="1:19" ht="15.75" customHeight="1">
      <c r="A694" s="68"/>
      <c r="B694" s="68"/>
      <c r="D694" s="68"/>
      <c r="E694" s="69"/>
      <c r="K694" s="68"/>
      <c r="M694" s="68"/>
      <c r="O694" s="68"/>
      <c r="P694" s="68"/>
      <c r="Q694" s="68"/>
      <c r="R694" s="68"/>
      <c r="S694" s="68"/>
    </row>
    <row r="695" spans="1:19" ht="15.75" customHeight="1">
      <c r="A695" s="68"/>
      <c r="B695" s="68"/>
      <c r="D695" s="68"/>
      <c r="E695" s="69"/>
      <c r="K695" s="68"/>
      <c r="M695" s="68"/>
      <c r="O695" s="68"/>
      <c r="P695" s="68"/>
      <c r="Q695" s="68"/>
      <c r="R695" s="68"/>
      <c r="S695" s="68"/>
    </row>
    <row r="696" spans="1:19" ht="15.75" customHeight="1">
      <c r="A696" s="68"/>
      <c r="B696" s="68"/>
      <c r="D696" s="68"/>
      <c r="E696" s="69"/>
      <c r="K696" s="68"/>
      <c r="M696" s="68"/>
      <c r="O696" s="68"/>
      <c r="P696" s="68"/>
      <c r="Q696" s="68"/>
      <c r="R696" s="68"/>
      <c r="S696" s="68"/>
    </row>
    <row r="697" spans="1:19" ht="15.75" customHeight="1">
      <c r="A697" s="68"/>
      <c r="B697" s="68"/>
      <c r="D697" s="68"/>
      <c r="E697" s="69"/>
      <c r="K697" s="68"/>
      <c r="M697" s="68"/>
      <c r="O697" s="68"/>
      <c r="P697" s="68"/>
      <c r="Q697" s="68"/>
      <c r="R697" s="68"/>
      <c r="S697" s="68"/>
    </row>
    <row r="698" spans="1:19" ht="15.75" customHeight="1">
      <c r="A698" s="68"/>
      <c r="B698" s="68"/>
      <c r="D698" s="68"/>
      <c r="E698" s="69"/>
      <c r="K698" s="68"/>
      <c r="M698" s="68"/>
      <c r="O698" s="68"/>
      <c r="P698" s="68"/>
      <c r="Q698" s="68"/>
      <c r="R698" s="68"/>
      <c r="S698" s="68"/>
    </row>
    <row r="699" spans="1:19" ht="15.75" customHeight="1">
      <c r="A699" s="68"/>
      <c r="B699" s="68"/>
      <c r="D699" s="68"/>
      <c r="E699" s="69"/>
      <c r="K699" s="68"/>
      <c r="M699" s="68"/>
      <c r="O699" s="68"/>
      <c r="P699" s="68"/>
      <c r="Q699" s="68"/>
      <c r="R699" s="68"/>
      <c r="S699" s="68"/>
    </row>
    <row r="700" spans="1:19" ht="15.75" customHeight="1">
      <c r="A700" s="68"/>
      <c r="B700" s="68"/>
      <c r="D700" s="68"/>
      <c r="E700" s="69"/>
      <c r="K700" s="68"/>
      <c r="M700" s="68"/>
      <c r="O700" s="68"/>
      <c r="P700" s="68"/>
      <c r="Q700" s="68"/>
      <c r="R700" s="68"/>
      <c r="S700" s="68"/>
    </row>
    <row r="701" spans="1:19" ht="15.75" customHeight="1">
      <c r="A701" s="68"/>
      <c r="B701" s="68"/>
      <c r="D701" s="68"/>
      <c r="E701" s="69"/>
      <c r="K701" s="68"/>
      <c r="M701" s="68"/>
      <c r="O701" s="68"/>
      <c r="P701" s="68"/>
      <c r="Q701" s="68"/>
      <c r="R701" s="68"/>
      <c r="S701" s="68"/>
    </row>
    <row r="702" spans="1:19" ht="15.75" customHeight="1">
      <c r="A702" s="68"/>
      <c r="B702" s="68"/>
      <c r="D702" s="68"/>
      <c r="E702" s="69"/>
      <c r="K702" s="68"/>
      <c r="M702" s="68"/>
      <c r="O702" s="68"/>
      <c r="P702" s="68"/>
      <c r="Q702" s="68"/>
      <c r="R702" s="68"/>
      <c r="S702" s="68"/>
    </row>
    <row r="703" spans="1:19" ht="15.75" customHeight="1">
      <c r="A703" s="68"/>
      <c r="B703" s="68"/>
      <c r="D703" s="68"/>
      <c r="E703" s="69"/>
      <c r="K703" s="68"/>
      <c r="M703" s="68"/>
      <c r="O703" s="68"/>
      <c r="P703" s="68"/>
      <c r="Q703" s="68"/>
      <c r="R703" s="68"/>
      <c r="S703" s="68"/>
    </row>
    <row r="704" spans="1:19" ht="15.75" customHeight="1">
      <c r="A704" s="68"/>
      <c r="B704" s="68"/>
      <c r="D704" s="68"/>
      <c r="E704" s="69"/>
      <c r="K704" s="68"/>
      <c r="M704" s="68"/>
      <c r="O704" s="68"/>
      <c r="P704" s="68"/>
      <c r="Q704" s="68"/>
      <c r="R704" s="68"/>
      <c r="S704" s="68"/>
    </row>
    <row r="705" spans="1:19" ht="15.75" customHeight="1">
      <c r="A705" s="68"/>
      <c r="B705" s="68"/>
      <c r="D705" s="68"/>
      <c r="E705" s="69"/>
      <c r="K705" s="68"/>
      <c r="M705" s="68"/>
      <c r="O705" s="68"/>
      <c r="P705" s="68"/>
      <c r="Q705" s="68"/>
      <c r="R705" s="68"/>
      <c r="S705" s="68"/>
    </row>
    <row r="706" spans="1:19" ht="15.75" customHeight="1">
      <c r="A706" s="68"/>
      <c r="B706" s="68"/>
      <c r="D706" s="68"/>
      <c r="E706" s="69"/>
      <c r="K706" s="68"/>
      <c r="M706" s="68"/>
      <c r="O706" s="68"/>
      <c r="P706" s="68"/>
      <c r="Q706" s="68"/>
      <c r="R706" s="68"/>
      <c r="S706" s="68"/>
    </row>
    <row r="707" spans="1:19" ht="15.75" customHeight="1">
      <c r="A707" s="68"/>
      <c r="B707" s="68"/>
      <c r="D707" s="68"/>
      <c r="E707" s="69"/>
      <c r="K707" s="68"/>
      <c r="M707" s="68"/>
      <c r="O707" s="68"/>
      <c r="P707" s="68"/>
      <c r="Q707" s="68"/>
      <c r="R707" s="68"/>
      <c r="S707" s="68"/>
    </row>
    <row r="708" spans="1:19" ht="15.75" customHeight="1">
      <c r="A708" s="68"/>
      <c r="B708" s="68"/>
      <c r="D708" s="68"/>
      <c r="E708" s="69"/>
      <c r="K708" s="68"/>
      <c r="M708" s="68"/>
      <c r="O708" s="68"/>
      <c r="P708" s="68"/>
      <c r="Q708" s="68"/>
      <c r="R708" s="68"/>
      <c r="S708" s="68"/>
    </row>
    <row r="709" spans="1:19" ht="15.75" customHeight="1">
      <c r="A709" s="68"/>
      <c r="B709" s="68"/>
      <c r="D709" s="68"/>
      <c r="E709" s="69"/>
      <c r="K709" s="68"/>
      <c r="M709" s="68"/>
      <c r="O709" s="68"/>
      <c r="P709" s="68"/>
      <c r="Q709" s="68"/>
      <c r="R709" s="68"/>
      <c r="S709" s="68"/>
    </row>
    <row r="710" spans="1:19" ht="15.75" customHeight="1">
      <c r="A710" s="68"/>
      <c r="B710" s="68"/>
      <c r="D710" s="68"/>
      <c r="E710" s="69"/>
      <c r="K710" s="68"/>
      <c r="M710" s="68"/>
      <c r="O710" s="68"/>
      <c r="P710" s="68"/>
      <c r="Q710" s="68"/>
      <c r="R710" s="68"/>
      <c r="S710" s="68"/>
    </row>
    <row r="711" spans="1:19" ht="15.75" customHeight="1">
      <c r="A711" s="68"/>
      <c r="B711" s="68"/>
      <c r="D711" s="68"/>
      <c r="E711" s="69"/>
      <c r="K711" s="68"/>
      <c r="M711" s="68"/>
      <c r="O711" s="68"/>
      <c r="P711" s="68"/>
      <c r="Q711" s="68"/>
      <c r="R711" s="68"/>
      <c r="S711" s="68"/>
    </row>
    <row r="712" spans="1:19" ht="15.75" customHeight="1">
      <c r="A712" s="68"/>
      <c r="B712" s="68"/>
      <c r="D712" s="68"/>
      <c r="E712" s="69"/>
      <c r="K712" s="68"/>
      <c r="M712" s="68"/>
      <c r="O712" s="68"/>
      <c r="P712" s="68"/>
      <c r="Q712" s="68"/>
      <c r="R712" s="68"/>
      <c r="S712" s="68"/>
    </row>
    <row r="713" spans="1:19" ht="15.75" customHeight="1">
      <c r="A713" s="68"/>
      <c r="B713" s="68"/>
      <c r="D713" s="68"/>
      <c r="E713" s="69"/>
      <c r="K713" s="68"/>
      <c r="M713" s="68"/>
      <c r="O713" s="68"/>
      <c r="P713" s="68"/>
      <c r="Q713" s="68"/>
      <c r="R713" s="68"/>
      <c r="S713" s="68"/>
    </row>
    <row r="714" spans="1:19" ht="15.75" customHeight="1">
      <c r="A714" s="68"/>
      <c r="B714" s="68"/>
      <c r="D714" s="68"/>
      <c r="E714" s="69"/>
      <c r="K714" s="68"/>
      <c r="M714" s="68"/>
      <c r="O714" s="68"/>
      <c r="P714" s="68"/>
      <c r="Q714" s="68"/>
      <c r="R714" s="68"/>
      <c r="S714" s="68"/>
    </row>
    <row r="715" spans="1:19" ht="15.75" customHeight="1">
      <c r="A715" s="68"/>
      <c r="B715" s="68"/>
      <c r="D715" s="68"/>
      <c r="E715" s="69"/>
      <c r="K715" s="68"/>
      <c r="M715" s="68"/>
      <c r="O715" s="68"/>
      <c r="P715" s="68"/>
      <c r="Q715" s="68"/>
      <c r="R715" s="68"/>
      <c r="S715" s="68"/>
    </row>
    <row r="716" spans="1:19" ht="15.75" customHeight="1">
      <c r="A716" s="68"/>
      <c r="B716" s="68"/>
      <c r="D716" s="68"/>
      <c r="E716" s="69"/>
      <c r="K716" s="68"/>
      <c r="M716" s="68"/>
      <c r="O716" s="68"/>
      <c r="P716" s="68"/>
      <c r="Q716" s="68"/>
      <c r="R716" s="68"/>
      <c r="S716" s="68"/>
    </row>
    <row r="717" spans="1:19" ht="15.75" customHeight="1">
      <c r="A717" s="68"/>
      <c r="B717" s="68"/>
      <c r="D717" s="68"/>
      <c r="E717" s="69"/>
      <c r="K717" s="68"/>
      <c r="M717" s="68"/>
      <c r="O717" s="68"/>
      <c r="P717" s="68"/>
      <c r="Q717" s="68"/>
      <c r="R717" s="68"/>
      <c r="S717" s="68"/>
    </row>
    <row r="718" spans="1:19" ht="15.75" customHeight="1">
      <c r="A718" s="68"/>
      <c r="B718" s="68"/>
      <c r="D718" s="68"/>
      <c r="E718" s="69"/>
      <c r="K718" s="68"/>
      <c r="M718" s="68"/>
      <c r="O718" s="68"/>
      <c r="P718" s="68"/>
      <c r="Q718" s="68"/>
      <c r="R718" s="68"/>
      <c r="S718" s="68"/>
    </row>
    <row r="719" spans="1:19" ht="15.75" customHeight="1">
      <c r="A719" s="68"/>
      <c r="B719" s="68"/>
      <c r="D719" s="68"/>
      <c r="E719" s="69"/>
      <c r="K719" s="68"/>
      <c r="M719" s="68"/>
      <c r="O719" s="68"/>
      <c r="P719" s="68"/>
      <c r="Q719" s="68"/>
      <c r="R719" s="68"/>
      <c r="S719" s="68"/>
    </row>
    <row r="720" spans="1:19" ht="15.75" customHeight="1">
      <c r="A720" s="68"/>
      <c r="B720" s="68"/>
      <c r="D720" s="68"/>
      <c r="E720" s="69"/>
      <c r="K720" s="68"/>
      <c r="M720" s="68"/>
      <c r="O720" s="68"/>
      <c r="P720" s="68"/>
      <c r="Q720" s="68"/>
      <c r="R720" s="68"/>
      <c r="S720" s="68"/>
    </row>
    <row r="721" spans="1:19" ht="15.75" customHeight="1">
      <c r="A721" s="68"/>
      <c r="B721" s="68"/>
      <c r="D721" s="68"/>
      <c r="E721" s="69"/>
      <c r="K721" s="68"/>
      <c r="M721" s="68"/>
      <c r="O721" s="68"/>
      <c r="P721" s="68"/>
      <c r="Q721" s="68"/>
      <c r="R721" s="68"/>
      <c r="S721" s="68"/>
    </row>
    <row r="722" spans="1:19" ht="15.75" customHeight="1">
      <c r="A722" s="68"/>
      <c r="B722" s="68"/>
      <c r="D722" s="68"/>
      <c r="E722" s="69"/>
      <c r="K722" s="68"/>
      <c r="M722" s="68"/>
      <c r="O722" s="68"/>
      <c r="P722" s="68"/>
      <c r="Q722" s="68"/>
      <c r="R722" s="68"/>
      <c r="S722" s="68"/>
    </row>
    <row r="723" spans="1:19" ht="15.75" customHeight="1">
      <c r="A723" s="68"/>
      <c r="B723" s="68"/>
      <c r="D723" s="68"/>
      <c r="E723" s="69"/>
      <c r="K723" s="68"/>
      <c r="M723" s="68"/>
      <c r="O723" s="68"/>
      <c r="P723" s="68"/>
      <c r="Q723" s="68"/>
      <c r="R723" s="68"/>
      <c r="S723" s="68"/>
    </row>
    <row r="724" spans="1:19" ht="15.75" customHeight="1">
      <c r="A724" s="68"/>
      <c r="B724" s="68"/>
      <c r="D724" s="68"/>
      <c r="E724" s="69"/>
      <c r="K724" s="68"/>
      <c r="M724" s="68"/>
      <c r="O724" s="68"/>
      <c r="P724" s="68"/>
      <c r="Q724" s="68"/>
      <c r="R724" s="68"/>
      <c r="S724" s="68"/>
    </row>
    <row r="725" spans="1:19" ht="15.75" customHeight="1">
      <c r="A725" s="68"/>
      <c r="B725" s="68"/>
      <c r="D725" s="68"/>
      <c r="E725" s="69"/>
      <c r="K725" s="68"/>
      <c r="M725" s="68"/>
      <c r="O725" s="68"/>
      <c r="P725" s="68"/>
      <c r="Q725" s="68"/>
      <c r="R725" s="68"/>
      <c r="S725" s="68"/>
    </row>
    <row r="726" spans="1:19" ht="15.75" customHeight="1">
      <c r="A726" s="68"/>
      <c r="B726" s="68"/>
      <c r="D726" s="68"/>
      <c r="E726" s="69"/>
      <c r="K726" s="68"/>
      <c r="M726" s="68"/>
      <c r="O726" s="68"/>
      <c r="P726" s="68"/>
      <c r="Q726" s="68"/>
      <c r="R726" s="68"/>
      <c r="S726" s="68"/>
    </row>
    <row r="727" spans="1:19" ht="15.75" customHeight="1">
      <c r="A727" s="68"/>
      <c r="B727" s="68"/>
      <c r="D727" s="68"/>
      <c r="E727" s="69"/>
      <c r="K727" s="68"/>
      <c r="M727" s="68"/>
      <c r="O727" s="68"/>
      <c r="P727" s="68"/>
      <c r="Q727" s="68"/>
      <c r="R727" s="68"/>
      <c r="S727" s="68"/>
    </row>
    <row r="728" spans="1:19" ht="15.75" customHeight="1">
      <c r="A728" s="68"/>
      <c r="B728" s="68"/>
      <c r="D728" s="68"/>
      <c r="E728" s="69"/>
      <c r="K728" s="68"/>
      <c r="M728" s="68"/>
      <c r="O728" s="68"/>
      <c r="P728" s="68"/>
      <c r="Q728" s="68"/>
      <c r="R728" s="68"/>
      <c r="S728" s="68"/>
    </row>
    <row r="729" spans="1:19" ht="15.75" customHeight="1">
      <c r="A729" s="68"/>
      <c r="B729" s="68"/>
      <c r="D729" s="68"/>
      <c r="E729" s="69"/>
      <c r="K729" s="68"/>
      <c r="M729" s="68"/>
      <c r="O729" s="68"/>
      <c r="P729" s="68"/>
      <c r="Q729" s="68"/>
      <c r="R729" s="68"/>
      <c r="S729" s="68"/>
    </row>
    <row r="730" spans="1:19" ht="15.75" customHeight="1">
      <c r="A730" s="68"/>
      <c r="B730" s="68"/>
      <c r="D730" s="68"/>
      <c r="E730" s="69"/>
      <c r="K730" s="68"/>
      <c r="M730" s="68"/>
      <c r="O730" s="68"/>
      <c r="P730" s="68"/>
      <c r="Q730" s="68"/>
      <c r="R730" s="68"/>
      <c r="S730" s="68"/>
    </row>
    <row r="731" spans="1:19" ht="15.75" customHeight="1">
      <c r="A731" s="68"/>
      <c r="B731" s="68"/>
      <c r="D731" s="68"/>
      <c r="E731" s="69"/>
      <c r="K731" s="68"/>
      <c r="M731" s="68"/>
      <c r="O731" s="68"/>
      <c r="P731" s="68"/>
      <c r="Q731" s="68"/>
      <c r="R731" s="68"/>
      <c r="S731" s="68"/>
    </row>
    <row r="732" spans="1:19" ht="15.75" customHeight="1">
      <c r="A732" s="68"/>
      <c r="B732" s="68"/>
      <c r="D732" s="68"/>
      <c r="E732" s="69"/>
      <c r="K732" s="68"/>
      <c r="M732" s="68"/>
      <c r="O732" s="68"/>
      <c r="P732" s="68"/>
      <c r="Q732" s="68"/>
      <c r="R732" s="68"/>
      <c r="S732" s="68"/>
    </row>
    <row r="733" spans="1:19" ht="15.75" customHeight="1">
      <c r="A733" s="68"/>
      <c r="B733" s="68"/>
      <c r="D733" s="68"/>
      <c r="E733" s="69"/>
      <c r="K733" s="68"/>
      <c r="M733" s="68"/>
      <c r="O733" s="68"/>
      <c r="P733" s="68"/>
      <c r="Q733" s="68"/>
      <c r="R733" s="68"/>
      <c r="S733" s="68"/>
    </row>
    <row r="734" spans="1:19" ht="15.75" customHeight="1">
      <c r="A734" s="68"/>
      <c r="B734" s="68"/>
      <c r="D734" s="68"/>
      <c r="E734" s="69"/>
      <c r="K734" s="68"/>
      <c r="M734" s="68"/>
      <c r="O734" s="68"/>
      <c r="P734" s="68"/>
      <c r="Q734" s="68"/>
      <c r="R734" s="68"/>
      <c r="S734" s="68"/>
    </row>
    <row r="735" spans="1:19" ht="15.75" customHeight="1">
      <c r="A735" s="68"/>
      <c r="B735" s="68"/>
      <c r="D735" s="68"/>
      <c r="E735" s="69"/>
      <c r="K735" s="68"/>
      <c r="M735" s="68"/>
      <c r="O735" s="68"/>
      <c r="P735" s="68"/>
      <c r="Q735" s="68"/>
      <c r="R735" s="68"/>
      <c r="S735" s="68"/>
    </row>
    <row r="736" spans="1:19" ht="15.75" customHeight="1">
      <c r="A736" s="68"/>
      <c r="B736" s="68"/>
      <c r="D736" s="68"/>
      <c r="E736" s="69"/>
      <c r="K736" s="68"/>
      <c r="M736" s="68"/>
      <c r="O736" s="68"/>
      <c r="P736" s="68"/>
      <c r="Q736" s="68"/>
      <c r="R736" s="68"/>
      <c r="S736" s="68"/>
    </row>
    <row r="737" spans="1:19" ht="15.75" customHeight="1">
      <c r="A737" s="68"/>
      <c r="B737" s="68"/>
      <c r="D737" s="68"/>
      <c r="E737" s="69"/>
      <c r="K737" s="68"/>
      <c r="M737" s="68"/>
      <c r="O737" s="68"/>
      <c r="P737" s="68"/>
      <c r="Q737" s="68"/>
      <c r="R737" s="68"/>
      <c r="S737" s="68"/>
    </row>
    <row r="738" spans="1:19" ht="15.75" customHeight="1">
      <c r="A738" s="68"/>
      <c r="B738" s="68"/>
      <c r="D738" s="68"/>
      <c r="E738" s="69"/>
      <c r="K738" s="68"/>
      <c r="M738" s="68"/>
      <c r="O738" s="68"/>
      <c r="P738" s="68"/>
      <c r="Q738" s="68"/>
      <c r="R738" s="68"/>
      <c r="S738" s="68"/>
    </row>
    <row r="739" spans="1:19" ht="15.75" customHeight="1">
      <c r="A739" s="68"/>
      <c r="B739" s="68"/>
      <c r="D739" s="68"/>
      <c r="E739" s="69"/>
      <c r="K739" s="68"/>
      <c r="M739" s="68"/>
      <c r="O739" s="68"/>
      <c r="P739" s="68"/>
      <c r="Q739" s="68"/>
      <c r="R739" s="68"/>
      <c r="S739" s="68"/>
    </row>
    <row r="740" spans="1:19" ht="15.75" customHeight="1">
      <c r="A740" s="68"/>
      <c r="B740" s="68"/>
      <c r="D740" s="68"/>
      <c r="E740" s="69"/>
      <c r="K740" s="68"/>
      <c r="M740" s="68"/>
      <c r="O740" s="68"/>
      <c r="P740" s="68"/>
      <c r="Q740" s="68"/>
      <c r="R740" s="68"/>
      <c r="S740" s="68"/>
    </row>
    <row r="741" spans="1:19" ht="15.75" customHeight="1">
      <c r="A741" s="68"/>
      <c r="B741" s="68"/>
      <c r="D741" s="68"/>
      <c r="E741" s="69"/>
      <c r="K741" s="68"/>
      <c r="M741" s="68"/>
      <c r="O741" s="68"/>
      <c r="P741" s="68"/>
      <c r="Q741" s="68"/>
      <c r="R741" s="68"/>
      <c r="S741" s="68"/>
    </row>
    <row r="742" spans="1:19" ht="15.75" customHeight="1">
      <c r="A742" s="68"/>
      <c r="B742" s="68"/>
      <c r="D742" s="68"/>
      <c r="E742" s="69"/>
      <c r="K742" s="68"/>
      <c r="M742" s="68"/>
      <c r="O742" s="68"/>
      <c r="P742" s="68"/>
      <c r="Q742" s="68"/>
      <c r="R742" s="68"/>
      <c r="S742" s="68"/>
    </row>
    <row r="743" spans="1:19" ht="15.75" customHeight="1">
      <c r="A743" s="68"/>
      <c r="B743" s="68"/>
      <c r="D743" s="68"/>
      <c r="E743" s="69"/>
      <c r="K743" s="68"/>
      <c r="M743" s="68"/>
      <c r="O743" s="68"/>
      <c r="P743" s="68"/>
      <c r="Q743" s="68"/>
      <c r="R743" s="68"/>
      <c r="S743" s="68"/>
    </row>
    <row r="744" spans="1:19" ht="15.75" customHeight="1">
      <c r="A744" s="68"/>
      <c r="B744" s="68"/>
      <c r="D744" s="68"/>
      <c r="E744" s="69"/>
      <c r="K744" s="68"/>
      <c r="M744" s="68"/>
      <c r="O744" s="68"/>
      <c r="P744" s="68"/>
      <c r="Q744" s="68"/>
      <c r="R744" s="68"/>
      <c r="S744" s="68"/>
    </row>
    <row r="745" spans="1:19" ht="15.75" customHeight="1">
      <c r="A745" s="68"/>
      <c r="B745" s="68"/>
      <c r="D745" s="68"/>
      <c r="E745" s="69"/>
      <c r="K745" s="68"/>
      <c r="M745" s="68"/>
      <c r="O745" s="68"/>
      <c r="P745" s="68"/>
      <c r="Q745" s="68"/>
      <c r="R745" s="68"/>
      <c r="S745" s="68"/>
    </row>
    <row r="746" spans="1:19" ht="15.75" customHeight="1">
      <c r="A746" s="68"/>
      <c r="B746" s="68"/>
      <c r="D746" s="68"/>
      <c r="E746" s="69"/>
      <c r="K746" s="68"/>
      <c r="M746" s="68"/>
      <c r="O746" s="68"/>
      <c r="P746" s="68"/>
      <c r="Q746" s="68"/>
      <c r="R746" s="68"/>
      <c r="S746" s="68"/>
    </row>
    <row r="747" spans="1:19" ht="15.75" customHeight="1">
      <c r="A747" s="68"/>
      <c r="B747" s="68"/>
      <c r="D747" s="68"/>
      <c r="E747" s="69"/>
      <c r="K747" s="68"/>
      <c r="M747" s="68"/>
      <c r="O747" s="68"/>
      <c r="P747" s="68"/>
      <c r="Q747" s="68"/>
      <c r="R747" s="68"/>
      <c r="S747" s="68"/>
    </row>
    <row r="748" spans="1:19" ht="15.75" customHeight="1">
      <c r="A748" s="68"/>
      <c r="B748" s="68"/>
      <c r="D748" s="68"/>
      <c r="E748" s="69"/>
      <c r="K748" s="68"/>
      <c r="M748" s="68"/>
      <c r="O748" s="68"/>
      <c r="P748" s="68"/>
      <c r="Q748" s="68"/>
      <c r="R748" s="68"/>
      <c r="S748" s="68"/>
    </row>
    <row r="749" spans="1:19" ht="15.75" customHeight="1">
      <c r="A749" s="68"/>
      <c r="B749" s="68"/>
      <c r="D749" s="68"/>
      <c r="E749" s="69"/>
      <c r="K749" s="68"/>
      <c r="M749" s="68"/>
      <c r="O749" s="68"/>
      <c r="P749" s="68"/>
      <c r="Q749" s="68"/>
      <c r="R749" s="68"/>
      <c r="S749" s="68"/>
    </row>
    <row r="750" spans="1:19" ht="15.75" customHeight="1">
      <c r="A750" s="68"/>
      <c r="B750" s="68"/>
      <c r="D750" s="68"/>
      <c r="E750" s="69"/>
      <c r="K750" s="68"/>
      <c r="M750" s="68"/>
      <c r="O750" s="68"/>
      <c r="P750" s="68"/>
      <c r="Q750" s="68"/>
      <c r="R750" s="68"/>
      <c r="S750" s="68"/>
    </row>
    <row r="751" spans="1:19" ht="15.75" customHeight="1">
      <c r="A751" s="68"/>
      <c r="B751" s="68"/>
      <c r="D751" s="68"/>
      <c r="E751" s="69"/>
      <c r="K751" s="68"/>
      <c r="M751" s="68"/>
      <c r="O751" s="68"/>
      <c r="P751" s="68"/>
      <c r="Q751" s="68"/>
      <c r="R751" s="68"/>
      <c r="S751" s="68"/>
    </row>
    <row r="752" spans="1:19" ht="15.75" customHeight="1">
      <c r="A752" s="68"/>
      <c r="B752" s="68"/>
      <c r="D752" s="68"/>
      <c r="E752" s="69"/>
      <c r="K752" s="68"/>
      <c r="M752" s="68"/>
      <c r="O752" s="68"/>
      <c r="P752" s="68"/>
      <c r="Q752" s="68"/>
      <c r="R752" s="68"/>
      <c r="S752" s="68"/>
    </row>
    <row r="753" spans="1:19" ht="15.75" customHeight="1">
      <c r="A753" s="68"/>
      <c r="B753" s="68"/>
      <c r="D753" s="68"/>
      <c r="E753" s="69"/>
      <c r="K753" s="68"/>
      <c r="M753" s="68"/>
      <c r="O753" s="68"/>
      <c r="P753" s="68"/>
      <c r="Q753" s="68"/>
      <c r="R753" s="68"/>
      <c r="S753" s="68"/>
    </row>
    <row r="754" spans="1:19" ht="15.75" customHeight="1">
      <c r="A754" s="68"/>
      <c r="B754" s="68"/>
      <c r="D754" s="68"/>
      <c r="E754" s="69"/>
      <c r="K754" s="68"/>
      <c r="M754" s="68"/>
      <c r="O754" s="68"/>
      <c r="P754" s="68"/>
      <c r="Q754" s="68"/>
      <c r="R754" s="68"/>
      <c r="S754" s="68"/>
    </row>
    <row r="755" spans="1:19" ht="15.75" customHeight="1">
      <c r="A755" s="68"/>
      <c r="B755" s="68"/>
      <c r="D755" s="68"/>
      <c r="E755" s="69"/>
      <c r="K755" s="68"/>
      <c r="M755" s="68"/>
      <c r="O755" s="68"/>
      <c r="P755" s="68"/>
      <c r="Q755" s="68"/>
      <c r="R755" s="68"/>
      <c r="S755" s="68"/>
    </row>
    <row r="756" spans="1:19" ht="15.75" customHeight="1">
      <c r="A756" s="68"/>
      <c r="B756" s="68"/>
      <c r="D756" s="68"/>
      <c r="E756" s="69"/>
      <c r="K756" s="68"/>
      <c r="M756" s="68"/>
      <c r="O756" s="68"/>
      <c r="P756" s="68"/>
      <c r="Q756" s="68"/>
      <c r="R756" s="68"/>
      <c r="S756" s="68"/>
    </row>
    <row r="757" spans="1:19" ht="15.75" customHeight="1">
      <c r="A757" s="68"/>
      <c r="B757" s="68"/>
      <c r="D757" s="68"/>
      <c r="E757" s="69"/>
      <c r="K757" s="68"/>
      <c r="M757" s="68"/>
      <c r="O757" s="68"/>
      <c r="P757" s="68"/>
      <c r="Q757" s="68"/>
      <c r="R757" s="68"/>
      <c r="S757" s="68"/>
    </row>
    <row r="758" spans="1:19" ht="15.75" customHeight="1">
      <c r="A758" s="68"/>
      <c r="B758" s="68"/>
      <c r="D758" s="68"/>
      <c r="E758" s="69"/>
      <c r="K758" s="68"/>
      <c r="M758" s="68"/>
      <c r="O758" s="68"/>
      <c r="P758" s="68"/>
      <c r="Q758" s="68"/>
      <c r="R758" s="68"/>
      <c r="S758" s="68"/>
    </row>
    <row r="759" spans="1:19" ht="15.75" customHeight="1">
      <c r="A759" s="68"/>
      <c r="B759" s="68"/>
      <c r="D759" s="68"/>
      <c r="E759" s="69"/>
      <c r="K759" s="68"/>
      <c r="M759" s="68"/>
      <c r="O759" s="68"/>
      <c r="P759" s="68"/>
      <c r="Q759" s="68"/>
      <c r="R759" s="68"/>
      <c r="S759" s="68"/>
    </row>
    <row r="760" spans="1:19" ht="15.75" customHeight="1">
      <c r="A760" s="68"/>
      <c r="B760" s="68"/>
      <c r="D760" s="68"/>
      <c r="E760" s="69"/>
      <c r="K760" s="68"/>
      <c r="M760" s="68"/>
      <c r="O760" s="68"/>
      <c r="P760" s="68"/>
      <c r="Q760" s="68"/>
      <c r="R760" s="68"/>
      <c r="S760" s="68"/>
    </row>
    <row r="761" spans="1:19" ht="15.75" customHeight="1">
      <c r="A761" s="68"/>
      <c r="B761" s="68"/>
      <c r="D761" s="68"/>
      <c r="E761" s="69"/>
      <c r="K761" s="68"/>
      <c r="M761" s="68"/>
      <c r="O761" s="68"/>
      <c r="P761" s="68"/>
      <c r="Q761" s="68"/>
      <c r="R761" s="68"/>
      <c r="S761" s="68"/>
    </row>
    <row r="762" spans="1:19" ht="15.75" customHeight="1">
      <c r="A762" s="68"/>
      <c r="B762" s="68"/>
      <c r="D762" s="68"/>
      <c r="E762" s="69"/>
      <c r="K762" s="68"/>
      <c r="M762" s="68"/>
      <c r="O762" s="68"/>
      <c r="P762" s="68"/>
      <c r="Q762" s="68"/>
      <c r="R762" s="68"/>
      <c r="S762" s="68"/>
    </row>
    <row r="763" spans="1:19" ht="15.75" customHeight="1">
      <c r="A763" s="68"/>
      <c r="B763" s="68"/>
      <c r="D763" s="68"/>
      <c r="E763" s="69"/>
      <c r="K763" s="68"/>
      <c r="M763" s="68"/>
      <c r="O763" s="68"/>
      <c r="P763" s="68"/>
      <c r="Q763" s="68"/>
      <c r="R763" s="68"/>
      <c r="S763" s="68"/>
    </row>
    <row r="764" spans="1:19" ht="15.75" customHeight="1">
      <c r="A764" s="68"/>
      <c r="B764" s="68"/>
      <c r="D764" s="68"/>
      <c r="E764" s="69"/>
      <c r="K764" s="68"/>
      <c r="M764" s="68"/>
      <c r="O764" s="68"/>
      <c r="P764" s="68"/>
      <c r="Q764" s="68"/>
      <c r="R764" s="68"/>
      <c r="S764" s="68"/>
    </row>
    <row r="765" spans="1:19" ht="15.75" customHeight="1">
      <c r="A765" s="68"/>
      <c r="B765" s="68"/>
      <c r="D765" s="68"/>
      <c r="E765" s="69"/>
      <c r="K765" s="68"/>
      <c r="M765" s="68"/>
      <c r="O765" s="68"/>
      <c r="P765" s="68"/>
      <c r="Q765" s="68"/>
      <c r="R765" s="68"/>
      <c r="S765" s="68"/>
    </row>
    <row r="766" spans="1:19" ht="15.75" customHeight="1">
      <c r="A766" s="68"/>
      <c r="B766" s="68"/>
      <c r="D766" s="68"/>
      <c r="E766" s="69"/>
      <c r="K766" s="68"/>
      <c r="M766" s="68"/>
      <c r="O766" s="68"/>
      <c r="P766" s="68"/>
      <c r="Q766" s="68"/>
      <c r="R766" s="68"/>
      <c r="S766" s="68"/>
    </row>
    <row r="767" spans="1:19" ht="15.75" customHeight="1">
      <c r="A767" s="68"/>
      <c r="B767" s="68"/>
      <c r="D767" s="68"/>
      <c r="E767" s="69"/>
      <c r="K767" s="68"/>
      <c r="M767" s="68"/>
      <c r="O767" s="68"/>
      <c r="P767" s="68"/>
      <c r="Q767" s="68"/>
      <c r="R767" s="68"/>
      <c r="S767" s="68"/>
    </row>
    <row r="768" spans="1:19" ht="15.75" customHeight="1">
      <c r="A768" s="68"/>
      <c r="B768" s="68"/>
      <c r="D768" s="68"/>
      <c r="E768" s="69"/>
      <c r="K768" s="68"/>
      <c r="M768" s="68"/>
      <c r="O768" s="68"/>
      <c r="P768" s="68"/>
      <c r="Q768" s="68"/>
      <c r="R768" s="68"/>
      <c r="S768" s="68"/>
    </row>
    <row r="769" spans="1:19" ht="15.75" customHeight="1">
      <c r="A769" s="68"/>
      <c r="B769" s="68"/>
      <c r="D769" s="68"/>
      <c r="E769" s="69"/>
      <c r="K769" s="68"/>
      <c r="M769" s="68"/>
      <c r="O769" s="68"/>
      <c r="P769" s="68"/>
      <c r="Q769" s="68"/>
      <c r="R769" s="68"/>
      <c r="S769" s="68"/>
    </row>
    <row r="770" spans="1:19" ht="15.75" customHeight="1">
      <c r="A770" s="68"/>
      <c r="B770" s="68"/>
      <c r="D770" s="68"/>
      <c r="E770" s="69"/>
      <c r="K770" s="68"/>
      <c r="M770" s="68"/>
      <c r="O770" s="68"/>
      <c r="P770" s="68"/>
      <c r="Q770" s="68"/>
      <c r="R770" s="68"/>
      <c r="S770" s="68"/>
    </row>
    <row r="771" spans="1:19" ht="15.75" customHeight="1">
      <c r="A771" s="68"/>
      <c r="B771" s="68"/>
      <c r="D771" s="68"/>
      <c r="E771" s="69"/>
      <c r="K771" s="68"/>
      <c r="M771" s="68"/>
      <c r="O771" s="68"/>
      <c r="P771" s="68"/>
      <c r="Q771" s="68"/>
      <c r="R771" s="68"/>
      <c r="S771" s="68"/>
    </row>
    <row r="772" spans="1:19" ht="15.75" customHeight="1">
      <c r="A772" s="68"/>
      <c r="B772" s="68"/>
      <c r="D772" s="68"/>
      <c r="E772" s="69"/>
      <c r="K772" s="68"/>
      <c r="M772" s="68"/>
      <c r="O772" s="68"/>
      <c r="P772" s="68"/>
      <c r="Q772" s="68"/>
      <c r="R772" s="68"/>
      <c r="S772" s="68"/>
    </row>
    <row r="773" spans="1:19" ht="15.75" customHeight="1">
      <c r="A773" s="68"/>
      <c r="B773" s="68"/>
      <c r="D773" s="68"/>
      <c r="E773" s="69"/>
      <c r="K773" s="68"/>
      <c r="M773" s="68"/>
      <c r="O773" s="68"/>
      <c r="P773" s="68"/>
      <c r="Q773" s="68"/>
      <c r="R773" s="68"/>
      <c r="S773" s="68"/>
    </row>
    <row r="774" spans="1:19" ht="15.75" customHeight="1">
      <c r="A774" s="68"/>
      <c r="B774" s="68"/>
      <c r="D774" s="68"/>
      <c r="E774" s="69"/>
      <c r="K774" s="68"/>
      <c r="M774" s="68"/>
      <c r="O774" s="68"/>
      <c r="P774" s="68"/>
      <c r="Q774" s="68"/>
      <c r="R774" s="68"/>
      <c r="S774" s="68"/>
    </row>
    <row r="775" spans="1:19" ht="15.75" customHeight="1">
      <c r="A775" s="68"/>
      <c r="B775" s="68"/>
      <c r="D775" s="68"/>
      <c r="E775" s="69"/>
      <c r="K775" s="68"/>
      <c r="M775" s="68"/>
      <c r="O775" s="68"/>
      <c r="P775" s="68"/>
      <c r="Q775" s="68"/>
      <c r="R775" s="68"/>
      <c r="S775" s="68"/>
    </row>
    <row r="776" spans="1:19" ht="15.75" customHeight="1">
      <c r="A776" s="68"/>
      <c r="B776" s="68"/>
      <c r="D776" s="68"/>
      <c r="E776" s="69"/>
      <c r="K776" s="68"/>
      <c r="M776" s="68"/>
      <c r="O776" s="68"/>
      <c r="P776" s="68"/>
      <c r="Q776" s="68"/>
      <c r="R776" s="68"/>
      <c r="S776" s="68"/>
    </row>
    <row r="777" spans="1:19" ht="15.75" customHeight="1">
      <c r="A777" s="68"/>
      <c r="B777" s="68"/>
      <c r="D777" s="68"/>
      <c r="E777" s="69"/>
      <c r="K777" s="68"/>
      <c r="M777" s="68"/>
      <c r="O777" s="68"/>
      <c r="P777" s="68"/>
      <c r="Q777" s="68"/>
      <c r="R777" s="68"/>
      <c r="S777" s="68"/>
    </row>
    <row r="778" spans="1:19" ht="15.75" customHeight="1">
      <c r="A778" s="68"/>
      <c r="B778" s="68"/>
      <c r="D778" s="68"/>
      <c r="E778" s="69"/>
      <c r="K778" s="68"/>
      <c r="M778" s="68"/>
      <c r="O778" s="68"/>
      <c r="P778" s="68"/>
      <c r="Q778" s="68"/>
      <c r="R778" s="68"/>
      <c r="S778" s="68"/>
    </row>
    <row r="779" spans="1:19" ht="15.75" customHeight="1">
      <c r="A779" s="68"/>
      <c r="B779" s="68"/>
      <c r="D779" s="68"/>
      <c r="E779" s="69"/>
      <c r="K779" s="68"/>
      <c r="M779" s="68"/>
      <c r="O779" s="68"/>
      <c r="P779" s="68"/>
      <c r="Q779" s="68"/>
      <c r="R779" s="68"/>
      <c r="S779" s="68"/>
    </row>
    <row r="780" spans="1:19" ht="15.75" customHeight="1">
      <c r="A780" s="68"/>
      <c r="B780" s="68"/>
      <c r="D780" s="68"/>
      <c r="E780" s="69"/>
      <c r="K780" s="68"/>
      <c r="M780" s="68"/>
      <c r="O780" s="68"/>
      <c r="P780" s="68"/>
      <c r="Q780" s="68"/>
      <c r="R780" s="68"/>
      <c r="S780" s="68"/>
    </row>
    <row r="781" spans="1:19" ht="15.75" customHeight="1">
      <c r="A781" s="68"/>
      <c r="B781" s="68"/>
      <c r="D781" s="68"/>
      <c r="E781" s="69"/>
      <c r="K781" s="68"/>
      <c r="M781" s="68"/>
      <c r="O781" s="68"/>
      <c r="P781" s="68"/>
      <c r="Q781" s="68"/>
      <c r="R781" s="68"/>
      <c r="S781" s="68"/>
    </row>
    <row r="782" spans="1:19" ht="15.75" customHeight="1">
      <c r="A782" s="68"/>
      <c r="B782" s="68"/>
      <c r="D782" s="68"/>
      <c r="E782" s="69"/>
      <c r="K782" s="68"/>
      <c r="M782" s="68"/>
      <c r="O782" s="68"/>
      <c r="P782" s="68"/>
      <c r="Q782" s="68"/>
      <c r="R782" s="68"/>
      <c r="S782" s="68"/>
    </row>
    <row r="783" spans="1:19" ht="15.75" customHeight="1">
      <c r="A783" s="68"/>
      <c r="B783" s="68"/>
      <c r="D783" s="68"/>
      <c r="E783" s="69"/>
      <c r="K783" s="68"/>
      <c r="M783" s="68"/>
      <c r="O783" s="68"/>
      <c r="P783" s="68"/>
      <c r="Q783" s="68"/>
      <c r="R783" s="68"/>
      <c r="S783" s="68"/>
    </row>
    <row r="784" spans="1:19" ht="15.75" customHeight="1">
      <c r="A784" s="68"/>
      <c r="B784" s="68"/>
      <c r="D784" s="68"/>
      <c r="E784" s="69"/>
      <c r="K784" s="68"/>
      <c r="M784" s="68"/>
      <c r="O784" s="68"/>
      <c r="P784" s="68"/>
      <c r="Q784" s="68"/>
      <c r="R784" s="68"/>
      <c r="S784" s="68"/>
    </row>
    <row r="785" spans="1:19" ht="15.75" customHeight="1">
      <c r="A785" s="68"/>
      <c r="B785" s="68"/>
      <c r="D785" s="68"/>
      <c r="E785" s="69"/>
      <c r="K785" s="68"/>
      <c r="M785" s="68"/>
      <c r="O785" s="68"/>
      <c r="P785" s="68"/>
      <c r="Q785" s="68"/>
      <c r="R785" s="68"/>
      <c r="S785" s="68"/>
    </row>
    <row r="786" spans="1:19" ht="15.75" customHeight="1">
      <c r="A786" s="68"/>
      <c r="B786" s="68"/>
      <c r="D786" s="68"/>
      <c r="E786" s="69"/>
      <c r="K786" s="68"/>
      <c r="M786" s="68"/>
      <c r="O786" s="68"/>
      <c r="P786" s="68"/>
      <c r="Q786" s="68"/>
      <c r="R786" s="68"/>
      <c r="S786" s="68"/>
    </row>
    <row r="787" spans="1:19" ht="15.75" customHeight="1">
      <c r="A787" s="68"/>
      <c r="B787" s="68"/>
      <c r="D787" s="68"/>
      <c r="E787" s="69"/>
      <c r="K787" s="68"/>
      <c r="M787" s="68"/>
      <c r="O787" s="68"/>
      <c r="P787" s="68"/>
      <c r="Q787" s="68"/>
      <c r="R787" s="68"/>
      <c r="S787" s="68"/>
    </row>
    <row r="788" spans="1:19" ht="15.75" customHeight="1">
      <c r="A788" s="68"/>
      <c r="B788" s="68"/>
      <c r="D788" s="68"/>
      <c r="E788" s="69"/>
      <c r="K788" s="68"/>
      <c r="M788" s="68"/>
      <c r="O788" s="68"/>
      <c r="P788" s="68"/>
      <c r="Q788" s="68"/>
      <c r="R788" s="68"/>
      <c r="S788" s="68"/>
    </row>
    <row r="789" spans="1:19" ht="15.75" customHeight="1">
      <c r="A789" s="68"/>
      <c r="B789" s="68"/>
      <c r="D789" s="68"/>
      <c r="E789" s="69"/>
      <c r="K789" s="68"/>
      <c r="M789" s="68"/>
      <c r="O789" s="68"/>
      <c r="P789" s="68"/>
      <c r="Q789" s="68"/>
      <c r="R789" s="68"/>
      <c r="S789" s="68"/>
    </row>
    <row r="790" spans="1:19" ht="15.75" customHeight="1">
      <c r="A790" s="68"/>
      <c r="B790" s="68"/>
      <c r="D790" s="68"/>
      <c r="E790" s="69"/>
      <c r="K790" s="68"/>
      <c r="M790" s="68"/>
      <c r="O790" s="68"/>
      <c r="P790" s="68"/>
      <c r="Q790" s="68"/>
      <c r="R790" s="68"/>
      <c r="S790" s="68"/>
    </row>
    <row r="791" spans="1:19" ht="15.75" customHeight="1">
      <c r="A791" s="68"/>
      <c r="B791" s="68"/>
      <c r="D791" s="68"/>
      <c r="E791" s="69"/>
      <c r="K791" s="68"/>
      <c r="M791" s="68"/>
      <c r="O791" s="68"/>
      <c r="P791" s="68"/>
      <c r="Q791" s="68"/>
      <c r="R791" s="68"/>
      <c r="S791" s="68"/>
    </row>
    <row r="792" spans="1:19" ht="15.75" customHeight="1">
      <c r="A792" s="68"/>
      <c r="B792" s="68"/>
      <c r="D792" s="68"/>
      <c r="E792" s="69"/>
      <c r="K792" s="68"/>
      <c r="M792" s="68"/>
      <c r="O792" s="68"/>
      <c r="P792" s="68"/>
      <c r="Q792" s="68"/>
      <c r="R792" s="68"/>
      <c r="S792" s="68"/>
    </row>
    <row r="793" spans="1:19" ht="15.75" customHeight="1">
      <c r="A793" s="68"/>
      <c r="B793" s="68"/>
      <c r="D793" s="68"/>
      <c r="E793" s="69"/>
      <c r="K793" s="68"/>
      <c r="M793" s="68"/>
      <c r="O793" s="68"/>
      <c r="P793" s="68"/>
      <c r="Q793" s="68"/>
      <c r="R793" s="68"/>
      <c r="S793" s="68"/>
    </row>
    <row r="794" spans="1:19" ht="15.75" customHeight="1">
      <c r="A794" s="68"/>
      <c r="B794" s="68"/>
      <c r="D794" s="68"/>
      <c r="E794" s="69"/>
      <c r="K794" s="68"/>
      <c r="M794" s="68"/>
      <c r="O794" s="68"/>
      <c r="P794" s="68"/>
      <c r="Q794" s="68"/>
      <c r="R794" s="68"/>
      <c r="S794" s="68"/>
    </row>
    <row r="795" spans="1:19" ht="15.75" customHeight="1">
      <c r="A795" s="68"/>
      <c r="B795" s="68"/>
      <c r="D795" s="68"/>
      <c r="E795" s="69"/>
      <c r="K795" s="68"/>
      <c r="M795" s="68"/>
      <c r="O795" s="68"/>
      <c r="P795" s="68"/>
      <c r="Q795" s="68"/>
      <c r="R795" s="68"/>
      <c r="S795" s="68"/>
    </row>
    <row r="796" spans="1:19" ht="15.75" customHeight="1">
      <c r="A796" s="68"/>
      <c r="B796" s="68"/>
      <c r="D796" s="68"/>
      <c r="E796" s="69"/>
      <c r="K796" s="68"/>
      <c r="M796" s="68"/>
      <c r="O796" s="68"/>
      <c r="P796" s="68"/>
      <c r="Q796" s="68"/>
      <c r="R796" s="68"/>
      <c r="S796" s="68"/>
    </row>
    <row r="797" spans="1:19" ht="15.75" customHeight="1">
      <c r="A797" s="68"/>
      <c r="B797" s="68"/>
      <c r="D797" s="68"/>
      <c r="E797" s="69"/>
      <c r="K797" s="68"/>
      <c r="M797" s="68"/>
      <c r="O797" s="68"/>
      <c r="P797" s="68"/>
      <c r="Q797" s="68"/>
      <c r="R797" s="68"/>
      <c r="S797" s="68"/>
    </row>
    <row r="798" spans="1:19" ht="15.75" customHeight="1">
      <c r="A798" s="68"/>
      <c r="B798" s="68"/>
      <c r="D798" s="68"/>
      <c r="E798" s="69"/>
      <c r="K798" s="68"/>
      <c r="M798" s="68"/>
      <c r="O798" s="68"/>
      <c r="P798" s="68"/>
      <c r="Q798" s="68"/>
      <c r="R798" s="68"/>
      <c r="S798" s="68"/>
    </row>
    <row r="799" spans="1:19" ht="15.75" customHeight="1">
      <c r="A799" s="68"/>
      <c r="B799" s="68"/>
      <c r="D799" s="68"/>
      <c r="E799" s="69"/>
      <c r="K799" s="68"/>
      <c r="M799" s="68"/>
      <c r="O799" s="68"/>
      <c r="P799" s="68"/>
      <c r="Q799" s="68"/>
      <c r="R799" s="68"/>
      <c r="S799" s="68"/>
    </row>
    <row r="800" spans="1:19" ht="15.75" customHeight="1">
      <c r="A800" s="68"/>
      <c r="B800" s="68"/>
      <c r="D800" s="68"/>
      <c r="E800" s="69"/>
      <c r="K800" s="68"/>
      <c r="M800" s="68"/>
      <c r="O800" s="68"/>
      <c r="P800" s="68"/>
      <c r="Q800" s="68"/>
      <c r="R800" s="68"/>
      <c r="S800" s="68"/>
    </row>
    <row r="801" spans="1:19" ht="15.75" customHeight="1">
      <c r="A801" s="68"/>
      <c r="B801" s="68"/>
      <c r="D801" s="68"/>
      <c r="E801" s="69"/>
      <c r="K801" s="68"/>
      <c r="M801" s="68"/>
      <c r="O801" s="68"/>
      <c r="P801" s="68"/>
      <c r="Q801" s="68"/>
      <c r="R801" s="68"/>
      <c r="S801" s="68"/>
    </row>
    <row r="802" spans="1:19" ht="15.75" customHeight="1">
      <c r="A802" s="68"/>
      <c r="B802" s="68"/>
      <c r="D802" s="68"/>
      <c r="E802" s="69"/>
      <c r="K802" s="68"/>
      <c r="M802" s="68"/>
      <c r="O802" s="68"/>
      <c r="P802" s="68"/>
      <c r="Q802" s="68"/>
      <c r="R802" s="68"/>
      <c r="S802" s="68"/>
    </row>
    <row r="803" spans="1:19" ht="15.75" customHeight="1">
      <c r="A803" s="68"/>
      <c r="B803" s="68"/>
      <c r="D803" s="68"/>
      <c r="E803" s="69"/>
      <c r="K803" s="68"/>
      <c r="M803" s="68"/>
      <c r="O803" s="68"/>
      <c r="P803" s="68"/>
      <c r="Q803" s="68"/>
      <c r="R803" s="68"/>
      <c r="S803" s="68"/>
    </row>
    <row r="804" spans="1:19" ht="15.75" customHeight="1">
      <c r="A804" s="68"/>
      <c r="B804" s="68"/>
      <c r="D804" s="68"/>
      <c r="E804" s="69"/>
      <c r="K804" s="68"/>
      <c r="M804" s="68"/>
      <c r="O804" s="68"/>
      <c r="P804" s="68"/>
      <c r="Q804" s="68"/>
      <c r="R804" s="68"/>
      <c r="S804" s="68"/>
    </row>
    <row r="805" spans="1:19" ht="15.75" customHeight="1">
      <c r="A805" s="68"/>
      <c r="B805" s="68"/>
      <c r="D805" s="68"/>
      <c r="E805" s="69"/>
      <c r="K805" s="68"/>
      <c r="M805" s="68"/>
      <c r="O805" s="68"/>
      <c r="P805" s="68"/>
      <c r="Q805" s="68"/>
      <c r="R805" s="68"/>
      <c r="S805" s="68"/>
    </row>
    <row r="806" spans="1:19" ht="15.75" customHeight="1">
      <c r="A806" s="68"/>
      <c r="B806" s="68"/>
      <c r="D806" s="68"/>
      <c r="E806" s="69"/>
      <c r="K806" s="68"/>
      <c r="M806" s="68"/>
      <c r="O806" s="68"/>
      <c r="P806" s="68"/>
      <c r="Q806" s="68"/>
      <c r="R806" s="68"/>
      <c r="S806" s="68"/>
    </row>
    <row r="807" spans="1:19" ht="15.75" customHeight="1">
      <c r="A807" s="68"/>
      <c r="B807" s="68"/>
      <c r="D807" s="68"/>
      <c r="E807" s="69"/>
      <c r="K807" s="68"/>
      <c r="M807" s="68"/>
      <c r="O807" s="68"/>
      <c r="P807" s="68"/>
      <c r="Q807" s="68"/>
      <c r="R807" s="68"/>
      <c r="S807" s="68"/>
    </row>
    <row r="808" spans="1:19" ht="15.75" customHeight="1">
      <c r="A808" s="68"/>
      <c r="B808" s="68"/>
      <c r="D808" s="68"/>
      <c r="E808" s="69"/>
      <c r="K808" s="68"/>
      <c r="M808" s="68"/>
      <c r="O808" s="68"/>
      <c r="P808" s="68"/>
      <c r="Q808" s="68"/>
      <c r="R808" s="68"/>
      <c r="S808" s="68"/>
    </row>
    <row r="809" spans="1:19" ht="15.75" customHeight="1">
      <c r="A809" s="68"/>
      <c r="B809" s="68"/>
      <c r="D809" s="68"/>
      <c r="E809" s="69"/>
      <c r="K809" s="68"/>
      <c r="M809" s="68"/>
      <c r="O809" s="68"/>
      <c r="P809" s="68"/>
      <c r="Q809" s="68"/>
      <c r="R809" s="68"/>
      <c r="S809" s="68"/>
    </row>
    <row r="810" spans="1:19" ht="15.75" customHeight="1">
      <c r="A810" s="68"/>
      <c r="B810" s="68"/>
      <c r="D810" s="68"/>
      <c r="E810" s="69"/>
      <c r="K810" s="68"/>
      <c r="M810" s="68"/>
      <c r="O810" s="68"/>
      <c r="P810" s="68"/>
      <c r="Q810" s="68"/>
      <c r="R810" s="68"/>
      <c r="S810" s="68"/>
    </row>
    <row r="811" spans="1:19" ht="15.75" customHeight="1">
      <c r="A811" s="68"/>
      <c r="B811" s="68"/>
      <c r="D811" s="68"/>
      <c r="E811" s="69"/>
      <c r="K811" s="68"/>
      <c r="M811" s="68"/>
      <c r="O811" s="68"/>
      <c r="P811" s="68"/>
      <c r="Q811" s="68"/>
      <c r="R811" s="68"/>
      <c r="S811" s="68"/>
    </row>
    <row r="812" spans="1:19" ht="15.75" customHeight="1">
      <c r="A812" s="68"/>
      <c r="B812" s="68"/>
      <c r="D812" s="68"/>
      <c r="E812" s="69"/>
      <c r="K812" s="68"/>
      <c r="M812" s="68"/>
      <c r="O812" s="68"/>
      <c r="P812" s="68"/>
      <c r="Q812" s="68"/>
      <c r="R812" s="68"/>
      <c r="S812" s="68"/>
    </row>
    <row r="813" spans="1:19" ht="15.75" customHeight="1">
      <c r="A813" s="68"/>
      <c r="B813" s="68"/>
      <c r="D813" s="68"/>
      <c r="E813" s="69"/>
      <c r="K813" s="68"/>
      <c r="M813" s="68"/>
      <c r="O813" s="68"/>
      <c r="P813" s="68"/>
      <c r="Q813" s="68"/>
      <c r="R813" s="68"/>
      <c r="S813" s="68"/>
    </row>
    <row r="814" spans="1:19" ht="15.75" customHeight="1">
      <c r="A814" s="68"/>
      <c r="B814" s="68"/>
      <c r="D814" s="68"/>
      <c r="E814" s="69"/>
      <c r="K814" s="68"/>
      <c r="M814" s="68"/>
      <c r="O814" s="68"/>
      <c r="P814" s="68"/>
      <c r="Q814" s="68"/>
      <c r="R814" s="68"/>
      <c r="S814" s="68"/>
    </row>
    <row r="815" spans="1:19" ht="15.75" customHeight="1">
      <c r="A815" s="68"/>
      <c r="B815" s="68"/>
      <c r="D815" s="68"/>
      <c r="E815" s="69"/>
      <c r="K815" s="68"/>
      <c r="M815" s="68"/>
      <c r="O815" s="68"/>
      <c r="P815" s="68"/>
      <c r="Q815" s="68"/>
      <c r="R815" s="68"/>
      <c r="S815" s="68"/>
    </row>
    <row r="816" spans="1:19" ht="15.75" customHeight="1">
      <c r="A816" s="68"/>
      <c r="B816" s="68"/>
      <c r="D816" s="68"/>
      <c r="E816" s="69"/>
      <c r="K816" s="68"/>
      <c r="M816" s="68"/>
      <c r="O816" s="68"/>
      <c r="P816" s="68"/>
      <c r="Q816" s="68"/>
      <c r="R816" s="68"/>
      <c r="S816" s="68"/>
    </row>
    <row r="817" spans="1:19" ht="15.75" customHeight="1">
      <c r="A817" s="68"/>
      <c r="B817" s="68"/>
      <c r="D817" s="68"/>
      <c r="E817" s="69"/>
      <c r="K817" s="68"/>
      <c r="M817" s="68"/>
      <c r="O817" s="68"/>
      <c r="P817" s="68"/>
      <c r="Q817" s="68"/>
      <c r="R817" s="68"/>
      <c r="S817" s="68"/>
    </row>
    <row r="818" spans="1:19" ht="15.75" customHeight="1">
      <c r="A818" s="68"/>
      <c r="B818" s="68"/>
      <c r="D818" s="68"/>
      <c r="E818" s="69"/>
      <c r="K818" s="68"/>
      <c r="M818" s="68"/>
      <c r="O818" s="68"/>
      <c r="P818" s="68"/>
      <c r="Q818" s="68"/>
      <c r="R818" s="68"/>
      <c r="S818" s="68"/>
    </row>
    <row r="819" spans="1:19" ht="15.75" customHeight="1">
      <c r="A819" s="68"/>
      <c r="B819" s="68"/>
      <c r="D819" s="68"/>
      <c r="E819" s="69"/>
      <c r="K819" s="68"/>
      <c r="M819" s="68"/>
      <c r="O819" s="68"/>
      <c r="P819" s="68"/>
      <c r="Q819" s="68"/>
      <c r="R819" s="68"/>
      <c r="S819" s="68"/>
    </row>
    <row r="820" spans="1:19" ht="15.75" customHeight="1">
      <c r="A820" s="68"/>
      <c r="B820" s="68"/>
      <c r="D820" s="68"/>
      <c r="E820" s="69"/>
      <c r="K820" s="68"/>
      <c r="M820" s="68"/>
      <c r="O820" s="68"/>
      <c r="P820" s="68"/>
      <c r="Q820" s="68"/>
      <c r="R820" s="68"/>
      <c r="S820" s="68"/>
    </row>
    <row r="821" spans="1:19" ht="15.75" customHeight="1">
      <c r="A821" s="68"/>
      <c r="B821" s="68"/>
      <c r="D821" s="68"/>
      <c r="E821" s="69"/>
      <c r="K821" s="68"/>
      <c r="M821" s="68"/>
      <c r="O821" s="68"/>
      <c r="P821" s="68"/>
      <c r="Q821" s="68"/>
      <c r="R821" s="68"/>
      <c r="S821" s="68"/>
    </row>
    <row r="822" spans="1:19" ht="15.75" customHeight="1">
      <c r="A822" s="68"/>
      <c r="B822" s="68"/>
      <c r="D822" s="68"/>
      <c r="E822" s="69"/>
      <c r="K822" s="68"/>
      <c r="M822" s="68"/>
      <c r="O822" s="68"/>
      <c r="P822" s="68"/>
      <c r="Q822" s="68"/>
      <c r="R822" s="68"/>
      <c r="S822" s="68"/>
    </row>
    <row r="823" spans="1:19" ht="15.75" customHeight="1">
      <c r="A823" s="68"/>
      <c r="B823" s="68"/>
      <c r="D823" s="68"/>
      <c r="E823" s="69"/>
      <c r="K823" s="68"/>
      <c r="M823" s="68"/>
      <c r="O823" s="68"/>
      <c r="P823" s="68"/>
      <c r="Q823" s="68"/>
      <c r="R823" s="68"/>
      <c r="S823" s="68"/>
    </row>
    <row r="824" spans="1:19" ht="15.75" customHeight="1">
      <c r="A824" s="68"/>
      <c r="B824" s="68"/>
      <c r="D824" s="68"/>
      <c r="E824" s="69"/>
      <c r="K824" s="68"/>
      <c r="M824" s="68"/>
      <c r="O824" s="68"/>
      <c r="P824" s="68"/>
      <c r="Q824" s="68"/>
      <c r="R824" s="68"/>
      <c r="S824" s="68"/>
    </row>
    <row r="825" spans="1:19" ht="15.75" customHeight="1">
      <c r="A825" s="68"/>
      <c r="B825" s="68"/>
      <c r="D825" s="68"/>
      <c r="E825" s="69"/>
      <c r="K825" s="68"/>
      <c r="M825" s="68"/>
      <c r="O825" s="68"/>
      <c r="P825" s="68"/>
      <c r="Q825" s="68"/>
      <c r="R825" s="68"/>
      <c r="S825" s="68"/>
    </row>
    <row r="826" spans="1:19" ht="15.75" customHeight="1">
      <c r="A826" s="68"/>
      <c r="B826" s="68"/>
      <c r="D826" s="68"/>
      <c r="E826" s="69"/>
      <c r="K826" s="68"/>
      <c r="M826" s="68"/>
      <c r="O826" s="68"/>
      <c r="P826" s="68"/>
      <c r="Q826" s="68"/>
      <c r="R826" s="68"/>
      <c r="S826" s="68"/>
    </row>
    <row r="827" spans="1:19" ht="15.75" customHeight="1">
      <c r="A827" s="68"/>
      <c r="B827" s="68"/>
      <c r="D827" s="68"/>
      <c r="E827" s="69"/>
      <c r="K827" s="68"/>
      <c r="M827" s="68"/>
      <c r="O827" s="68"/>
      <c r="P827" s="68"/>
      <c r="Q827" s="68"/>
      <c r="R827" s="68"/>
      <c r="S827" s="68"/>
    </row>
    <row r="828" spans="1:19" ht="15.75" customHeight="1">
      <c r="A828" s="68"/>
      <c r="B828" s="68"/>
      <c r="D828" s="68"/>
      <c r="E828" s="69"/>
      <c r="K828" s="68"/>
      <c r="M828" s="68"/>
      <c r="O828" s="68"/>
      <c r="P828" s="68"/>
      <c r="Q828" s="68"/>
      <c r="R828" s="68"/>
      <c r="S828" s="68"/>
    </row>
    <row r="829" spans="1:19" ht="15.75" customHeight="1">
      <c r="A829" s="68"/>
      <c r="B829" s="68"/>
      <c r="D829" s="68"/>
      <c r="E829" s="69"/>
      <c r="K829" s="68"/>
      <c r="M829" s="68"/>
      <c r="O829" s="68"/>
      <c r="P829" s="68"/>
      <c r="Q829" s="68"/>
      <c r="R829" s="68"/>
      <c r="S829" s="68"/>
    </row>
    <row r="830" spans="1:19" ht="15.75" customHeight="1">
      <c r="A830" s="68"/>
      <c r="B830" s="68"/>
      <c r="D830" s="68"/>
      <c r="E830" s="69"/>
      <c r="K830" s="68"/>
      <c r="M830" s="68"/>
      <c r="O830" s="68"/>
      <c r="P830" s="68"/>
      <c r="Q830" s="68"/>
      <c r="R830" s="68"/>
      <c r="S830" s="68"/>
    </row>
    <row r="831" spans="1:19" ht="15.75" customHeight="1">
      <c r="A831" s="68"/>
      <c r="B831" s="68"/>
      <c r="D831" s="68"/>
      <c r="E831" s="69"/>
      <c r="K831" s="68"/>
      <c r="M831" s="68"/>
      <c r="O831" s="68"/>
      <c r="P831" s="68"/>
      <c r="Q831" s="68"/>
      <c r="R831" s="68"/>
      <c r="S831" s="68"/>
    </row>
    <row r="832" spans="1:19" ht="15.75" customHeight="1">
      <c r="A832" s="68"/>
      <c r="B832" s="68"/>
      <c r="D832" s="68"/>
      <c r="E832" s="69"/>
      <c r="K832" s="68"/>
      <c r="M832" s="68"/>
      <c r="O832" s="68"/>
      <c r="P832" s="68"/>
      <c r="Q832" s="68"/>
      <c r="R832" s="68"/>
      <c r="S832" s="68"/>
    </row>
    <row r="833" spans="1:19" ht="15.75" customHeight="1">
      <c r="A833" s="68"/>
      <c r="B833" s="68"/>
      <c r="D833" s="68"/>
      <c r="E833" s="69"/>
      <c r="K833" s="68"/>
      <c r="M833" s="68"/>
      <c r="O833" s="68"/>
      <c r="P833" s="68"/>
      <c r="Q833" s="68"/>
      <c r="R833" s="68"/>
      <c r="S833" s="68"/>
    </row>
    <row r="834" spans="1:19" ht="15.75" customHeight="1">
      <c r="A834" s="68"/>
      <c r="B834" s="68"/>
      <c r="D834" s="68"/>
      <c r="E834" s="69"/>
      <c r="K834" s="68"/>
      <c r="M834" s="68"/>
      <c r="O834" s="68"/>
      <c r="P834" s="68"/>
      <c r="Q834" s="68"/>
      <c r="R834" s="68"/>
      <c r="S834" s="68"/>
    </row>
    <row r="835" spans="1:19" ht="15.75" customHeight="1">
      <c r="A835" s="68"/>
      <c r="B835" s="68"/>
      <c r="D835" s="68"/>
      <c r="E835" s="69"/>
      <c r="K835" s="68"/>
      <c r="M835" s="68"/>
      <c r="O835" s="68"/>
      <c r="P835" s="68"/>
      <c r="Q835" s="68"/>
      <c r="R835" s="68"/>
      <c r="S835" s="68"/>
    </row>
    <row r="836" spans="1:19" ht="15.75" customHeight="1">
      <c r="A836" s="68"/>
      <c r="B836" s="68"/>
      <c r="D836" s="68"/>
      <c r="E836" s="69"/>
      <c r="K836" s="68"/>
      <c r="M836" s="68"/>
      <c r="O836" s="68"/>
      <c r="P836" s="68"/>
      <c r="Q836" s="68"/>
      <c r="R836" s="68"/>
      <c r="S836" s="68"/>
    </row>
    <row r="837" spans="1:19" ht="15.75" customHeight="1">
      <c r="A837" s="68"/>
      <c r="B837" s="68"/>
      <c r="D837" s="68"/>
      <c r="E837" s="69"/>
      <c r="K837" s="68"/>
      <c r="M837" s="68"/>
      <c r="O837" s="68"/>
      <c r="P837" s="68"/>
      <c r="Q837" s="68"/>
      <c r="R837" s="68"/>
      <c r="S837" s="68"/>
    </row>
    <row r="838" spans="1:19" ht="15.75" customHeight="1">
      <c r="A838" s="68"/>
      <c r="B838" s="68"/>
      <c r="D838" s="68"/>
      <c r="E838" s="69"/>
      <c r="K838" s="68"/>
      <c r="M838" s="68"/>
      <c r="O838" s="68"/>
      <c r="P838" s="68"/>
      <c r="Q838" s="68"/>
      <c r="R838" s="68"/>
      <c r="S838" s="68"/>
    </row>
    <row r="839" spans="1:19" ht="15.75" customHeight="1">
      <c r="A839" s="68"/>
      <c r="B839" s="68"/>
      <c r="D839" s="68"/>
      <c r="E839" s="69"/>
      <c r="K839" s="68"/>
      <c r="M839" s="68"/>
      <c r="O839" s="68"/>
      <c r="P839" s="68"/>
      <c r="Q839" s="68"/>
      <c r="R839" s="68"/>
      <c r="S839" s="68"/>
    </row>
    <row r="840" spans="1:19" ht="15.75" customHeight="1">
      <c r="A840" s="68"/>
      <c r="B840" s="68"/>
      <c r="D840" s="68"/>
      <c r="E840" s="69"/>
      <c r="K840" s="68"/>
      <c r="M840" s="68"/>
      <c r="O840" s="68"/>
      <c r="P840" s="68"/>
      <c r="Q840" s="68"/>
      <c r="R840" s="68"/>
      <c r="S840" s="68"/>
    </row>
    <row r="841" spans="1:19" ht="15.75" customHeight="1">
      <c r="A841" s="68"/>
      <c r="B841" s="68"/>
      <c r="D841" s="68"/>
      <c r="E841" s="69"/>
      <c r="K841" s="68"/>
      <c r="M841" s="68"/>
      <c r="O841" s="68"/>
      <c r="P841" s="68"/>
      <c r="Q841" s="68"/>
      <c r="R841" s="68"/>
      <c r="S841" s="68"/>
    </row>
    <row r="842" spans="1:19" ht="15.75" customHeight="1">
      <c r="A842" s="68"/>
      <c r="B842" s="68"/>
      <c r="D842" s="68"/>
      <c r="E842" s="69"/>
      <c r="K842" s="68"/>
      <c r="M842" s="68"/>
      <c r="O842" s="68"/>
      <c r="P842" s="68"/>
      <c r="Q842" s="68"/>
      <c r="R842" s="68"/>
      <c r="S842" s="68"/>
    </row>
    <row r="843" spans="1:19" ht="15.75" customHeight="1">
      <c r="A843" s="68"/>
      <c r="B843" s="68"/>
      <c r="D843" s="68"/>
      <c r="E843" s="69"/>
      <c r="K843" s="68"/>
      <c r="M843" s="68"/>
      <c r="O843" s="68"/>
      <c r="P843" s="68"/>
      <c r="Q843" s="68"/>
      <c r="R843" s="68"/>
      <c r="S843" s="68"/>
    </row>
    <row r="844" spans="1:19" ht="15.75" customHeight="1">
      <c r="A844" s="68"/>
      <c r="B844" s="68"/>
      <c r="D844" s="68"/>
      <c r="E844" s="69"/>
      <c r="K844" s="68"/>
      <c r="M844" s="68"/>
      <c r="O844" s="68"/>
      <c r="P844" s="68"/>
      <c r="Q844" s="68"/>
      <c r="R844" s="68"/>
      <c r="S844" s="68"/>
    </row>
    <row r="845" spans="1:19" ht="15.75" customHeight="1">
      <c r="A845" s="68"/>
      <c r="B845" s="68"/>
      <c r="D845" s="68"/>
      <c r="E845" s="69"/>
      <c r="K845" s="68"/>
      <c r="M845" s="68"/>
      <c r="O845" s="68"/>
      <c r="P845" s="68"/>
      <c r="Q845" s="68"/>
      <c r="R845" s="68"/>
      <c r="S845" s="68"/>
    </row>
    <row r="846" spans="1:19" ht="15.75" customHeight="1">
      <c r="A846" s="68"/>
      <c r="B846" s="68"/>
      <c r="D846" s="68"/>
      <c r="E846" s="69"/>
      <c r="K846" s="68"/>
      <c r="M846" s="68"/>
      <c r="O846" s="68"/>
      <c r="P846" s="68"/>
      <c r="Q846" s="68"/>
      <c r="R846" s="68"/>
      <c r="S846" s="68"/>
    </row>
    <row r="847" spans="1:19" ht="15.75" customHeight="1">
      <c r="A847" s="68"/>
      <c r="B847" s="68"/>
      <c r="D847" s="68"/>
      <c r="E847" s="69"/>
      <c r="K847" s="68"/>
      <c r="M847" s="68"/>
      <c r="O847" s="68"/>
      <c r="P847" s="68"/>
      <c r="Q847" s="68"/>
      <c r="R847" s="68"/>
      <c r="S847" s="68"/>
    </row>
    <row r="848" spans="1:19" ht="15.75" customHeight="1">
      <c r="A848" s="68"/>
      <c r="B848" s="68"/>
      <c r="D848" s="68"/>
      <c r="E848" s="69"/>
      <c r="K848" s="68"/>
      <c r="M848" s="68"/>
      <c r="O848" s="68"/>
      <c r="P848" s="68"/>
      <c r="Q848" s="68"/>
      <c r="R848" s="68"/>
      <c r="S848" s="68"/>
    </row>
    <row r="849" spans="1:19" ht="15.75" customHeight="1">
      <c r="A849" s="68"/>
      <c r="B849" s="68"/>
      <c r="D849" s="68"/>
      <c r="E849" s="69"/>
      <c r="K849" s="68"/>
      <c r="M849" s="68"/>
      <c r="O849" s="68"/>
      <c r="P849" s="68"/>
      <c r="Q849" s="68"/>
      <c r="R849" s="68"/>
      <c r="S849" s="68"/>
    </row>
    <row r="850" spans="1:19" ht="15.75" customHeight="1">
      <c r="A850" s="68"/>
      <c r="B850" s="68"/>
      <c r="D850" s="68"/>
      <c r="E850" s="69"/>
      <c r="K850" s="68"/>
      <c r="M850" s="68"/>
      <c r="O850" s="68"/>
      <c r="P850" s="68"/>
      <c r="Q850" s="68"/>
      <c r="R850" s="68"/>
      <c r="S850" s="68"/>
    </row>
    <row r="851" spans="1:19" ht="15.75" customHeight="1">
      <c r="A851" s="68"/>
      <c r="B851" s="68"/>
      <c r="D851" s="68"/>
      <c r="E851" s="69"/>
      <c r="K851" s="68"/>
      <c r="M851" s="68"/>
      <c r="O851" s="68"/>
      <c r="P851" s="68"/>
      <c r="Q851" s="68"/>
      <c r="R851" s="68"/>
      <c r="S851" s="68"/>
    </row>
    <row r="852" spans="1:19" ht="15.75" customHeight="1">
      <c r="A852" s="68"/>
      <c r="B852" s="68"/>
      <c r="D852" s="68"/>
      <c r="E852" s="69"/>
      <c r="K852" s="68"/>
      <c r="M852" s="68"/>
      <c r="O852" s="68"/>
      <c r="P852" s="68"/>
      <c r="Q852" s="68"/>
      <c r="R852" s="68"/>
      <c r="S852" s="68"/>
    </row>
    <row r="853" spans="1:19" ht="15.75" customHeight="1">
      <c r="A853" s="68"/>
      <c r="B853" s="68"/>
      <c r="D853" s="68"/>
      <c r="E853" s="69"/>
      <c r="K853" s="68"/>
      <c r="M853" s="68"/>
      <c r="O853" s="68"/>
      <c r="P853" s="68"/>
      <c r="Q853" s="68"/>
      <c r="R853" s="68"/>
      <c r="S853" s="68"/>
    </row>
    <row r="854" spans="1:19" ht="15.75" customHeight="1">
      <c r="A854" s="68"/>
      <c r="B854" s="68"/>
      <c r="D854" s="68"/>
      <c r="E854" s="69"/>
      <c r="K854" s="68"/>
      <c r="M854" s="68"/>
      <c r="O854" s="68"/>
      <c r="P854" s="68"/>
      <c r="Q854" s="68"/>
      <c r="R854" s="68"/>
      <c r="S854" s="68"/>
    </row>
    <row r="855" spans="1:19" ht="15.75" customHeight="1">
      <c r="A855" s="68"/>
      <c r="B855" s="68"/>
      <c r="D855" s="68"/>
      <c r="E855" s="69"/>
      <c r="K855" s="68"/>
      <c r="M855" s="68"/>
      <c r="O855" s="68"/>
      <c r="P855" s="68"/>
      <c r="Q855" s="68"/>
      <c r="R855" s="68"/>
      <c r="S855" s="68"/>
    </row>
    <row r="856" spans="1:19" ht="15.75" customHeight="1">
      <c r="A856" s="68"/>
      <c r="B856" s="68"/>
      <c r="D856" s="68"/>
      <c r="E856" s="69"/>
      <c r="K856" s="68"/>
      <c r="M856" s="68"/>
      <c r="O856" s="68"/>
      <c r="P856" s="68"/>
      <c r="Q856" s="68"/>
      <c r="R856" s="68"/>
      <c r="S856" s="68"/>
    </row>
    <row r="857" spans="1:19" ht="15.75" customHeight="1">
      <c r="A857" s="68"/>
      <c r="B857" s="68"/>
      <c r="D857" s="68"/>
      <c r="E857" s="69"/>
      <c r="K857" s="68"/>
      <c r="M857" s="68"/>
      <c r="O857" s="68"/>
      <c r="P857" s="68"/>
      <c r="Q857" s="68"/>
      <c r="R857" s="68"/>
      <c r="S857" s="68"/>
    </row>
    <row r="858" spans="1:19" ht="15.75" customHeight="1">
      <c r="A858" s="68"/>
      <c r="B858" s="68"/>
      <c r="D858" s="68"/>
      <c r="E858" s="69"/>
      <c r="K858" s="68"/>
      <c r="M858" s="68"/>
      <c r="O858" s="68"/>
      <c r="P858" s="68"/>
      <c r="Q858" s="68"/>
      <c r="R858" s="68"/>
      <c r="S858" s="68"/>
    </row>
    <row r="859" spans="1:19" ht="15.75" customHeight="1">
      <c r="A859" s="68"/>
      <c r="B859" s="68"/>
      <c r="D859" s="68"/>
      <c r="E859" s="69"/>
      <c r="K859" s="68"/>
      <c r="M859" s="68"/>
      <c r="O859" s="68"/>
      <c r="P859" s="68"/>
      <c r="Q859" s="68"/>
      <c r="R859" s="68"/>
      <c r="S859" s="68"/>
    </row>
    <row r="860" spans="1:19" ht="15.75" customHeight="1">
      <c r="A860" s="68"/>
      <c r="B860" s="68"/>
      <c r="D860" s="68"/>
      <c r="E860" s="69"/>
      <c r="K860" s="68"/>
      <c r="M860" s="68"/>
      <c r="O860" s="68"/>
      <c r="P860" s="68"/>
      <c r="Q860" s="68"/>
      <c r="R860" s="68"/>
      <c r="S860" s="68"/>
    </row>
    <row r="861" spans="1:19" ht="15.75" customHeight="1">
      <c r="A861" s="68"/>
      <c r="B861" s="68"/>
      <c r="D861" s="68"/>
      <c r="E861" s="69"/>
      <c r="K861" s="68"/>
      <c r="M861" s="68"/>
      <c r="O861" s="68"/>
      <c r="P861" s="68"/>
      <c r="Q861" s="68"/>
      <c r="R861" s="68"/>
      <c r="S861" s="68"/>
    </row>
    <row r="862" spans="1:19" ht="15.75" customHeight="1">
      <c r="A862" s="68"/>
      <c r="B862" s="68"/>
      <c r="D862" s="68"/>
      <c r="E862" s="69"/>
      <c r="K862" s="68"/>
      <c r="M862" s="68"/>
      <c r="O862" s="68"/>
      <c r="P862" s="68"/>
      <c r="Q862" s="68"/>
      <c r="R862" s="68"/>
      <c r="S862" s="68"/>
    </row>
    <row r="863" spans="1:19" ht="15.75" customHeight="1">
      <c r="A863" s="68"/>
      <c r="B863" s="68"/>
      <c r="D863" s="68"/>
      <c r="E863" s="69"/>
      <c r="K863" s="68"/>
      <c r="M863" s="68"/>
      <c r="O863" s="68"/>
      <c r="P863" s="68"/>
      <c r="Q863" s="68"/>
      <c r="R863" s="68"/>
      <c r="S863" s="68"/>
    </row>
    <row r="864" spans="1:19" ht="15.75" customHeight="1">
      <c r="A864" s="68"/>
      <c r="B864" s="68"/>
      <c r="D864" s="68"/>
      <c r="E864" s="69"/>
      <c r="K864" s="68"/>
      <c r="M864" s="68"/>
      <c r="O864" s="68"/>
      <c r="P864" s="68"/>
      <c r="Q864" s="68"/>
      <c r="R864" s="68"/>
      <c r="S864" s="68"/>
    </row>
    <row r="865" spans="1:19" ht="15.75" customHeight="1">
      <c r="A865" s="68"/>
      <c r="B865" s="68"/>
      <c r="D865" s="68"/>
      <c r="E865" s="69"/>
      <c r="K865" s="68"/>
      <c r="M865" s="68"/>
      <c r="O865" s="68"/>
      <c r="P865" s="68"/>
      <c r="Q865" s="68"/>
      <c r="R865" s="68"/>
      <c r="S865" s="68"/>
    </row>
    <row r="866" spans="1:19" ht="15.75" customHeight="1">
      <c r="A866" s="68"/>
      <c r="B866" s="68"/>
      <c r="D866" s="68"/>
      <c r="E866" s="69"/>
      <c r="K866" s="68"/>
      <c r="M866" s="68"/>
      <c r="O866" s="68"/>
      <c r="P866" s="68"/>
      <c r="Q866" s="68"/>
      <c r="R866" s="68"/>
      <c r="S866" s="68"/>
    </row>
    <row r="867" spans="1:19" ht="15.75" customHeight="1">
      <c r="A867" s="68"/>
      <c r="B867" s="68"/>
      <c r="D867" s="68"/>
      <c r="E867" s="69"/>
      <c r="K867" s="68"/>
      <c r="M867" s="68"/>
      <c r="O867" s="68"/>
      <c r="P867" s="68"/>
      <c r="Q867" s="68"/>
      <c r="R867" s="68"/>
      <c r="S867" s="68"/>
    </row>
    <row r="868" spans="1:19" ht="15.75" customHeight="1">
      <c r="A868" s="68"/>
      <c r="B868" s="68"/>
      <c r="D868" s="68"/>
      <c r="E868" s="69"/>
      <c r="K868" s="68"/>
      <c r="M868" s="68"/>
      <c r="O868" s="68"/>
      <c r="P868" s="68"/>
      <c r="Q868" s="68"/>
      <c r="R868" s="68"/>
      <c r="S868" s="68"/>
    </row>
    <row r="869" spans="1:19" ht="15.75" customHeight="1">
      <c r="A869" s="68"/>
      <c r="B869" s="68"/>
      <c r="D869" s="68"/>
      <c r="E869" s="69"/>
      <c r="K869" s="68"/>
      <c r="M869" s="68"/>
      <c r="O869" s="68"/>
      <c r="P869" s="68"/>
      <c r="Q869" s="68"/>
      <c r="R869" s="68"/>
      <c r="S869" s="68"/>
    </row>
    <row r="870" spans="1:19" ht="15.75" customHeight="1">
      <c r="A870" s="68"/>
      <c r="B870" s="68"/>
      <c r="D870" s="68"/>
      <c r="E870" s="69"/>
      <c r="K870" s="68"/>
      <c r="M870" s="68"/>
      <c r="O870" s="68"/>
      <c r="P870" s="68"/>
      <c r="Q870" s="68"/>
      <c r="R870" s="68"/>
      <c r="S870" s="68"/>
    </row>
    <row r="871" spans="1:19" ht="15.75" customHeight="1">
      <c r="A871" s="68"/>
      <c r="B871" s="68"/>
      <c r="D871" s="68"/>
      <c r="E871" s="69"/>
      <c r="K871" s="68"/>
      <c r="M871" s="68"/>
      <c r="O871" s="68"/>
      <c r="P871" s="68"/>
      <c r="Q871" s="68"/>
      <c r="R871" s="68"/>
      <c r="S871" s="68"/>
    </row>
    <row r="872" spans="1:19" ht="15.75" customHeight="1">
      <c r="A872" s="68"/>
      <c r="B872" s="68"/>
      <c r="D872" s="68"/>
      <c r="E872" s="69"/>
      <c r="K872" s="68"/>
      <c r="M872" s="68"/>
      <c r="O872" s="68"/>
      <c r="P872" s="68"/>
      <c r="Q872" s="68"/>
      <c r="R872" s="68"/>
      <c r="S872" s="68"/>
    </row>
    <row r="873" spans="1:19" ht="15.75" customHeight="1">
      <c r="A873" s="68"/>
      <c r="B873" s="68"/>
      <c r="D873" s="68"/>
      <c r="E873" s="69"/>
      <c r="K873" s="68"/>
      <c r="M873" s="68"/>
      <c r="O873" s="68"/>
      <c r="P873" s="68"/>
      <c r="Q873" s="68"/>
      <c r="R873" s="68"/>
      <c r="S873" s="68"/>
    </row>
    <row r="874" spans="1:19" ht="15.75" customHeight="1">
      <c r="A874" s="68"/>
      <c r="B874" s="68"/>
      <c r="D874" s="68"/>
      <c r="E874" s="69"/>
      <c r="K874" s="68"/>
      <c r="M874" s="68"/>
      <c r="O874" s="68"/>
      <c r="P874" s="68"/>
      <c r="Q874" s="68"/>
      <c r="R874" s="68"/>
      <c r="S874" s="68"/>
    </row>
    <row r="875" spans="1:19" ht="15.75" customHeight="1">
      <c r="A875" s="68"/>
      <c r="B875" s="68"/>
      <c r="D875" s="68"/>
      <c r="E875" s="69"/>
      <c r="K875" s="68"/>
      <c r="M875" s="68"/>
      <c r="O875" s="68"/>
      <c r="P875" s="68"/>
      <c r="Q875" s="68"/>
      <c r="R875" s="68"/>
      <c r="S875" s="68"/>
    </row>
    <row r="876" spans="1:19" ht="15.75" customHeight="1">
      <c r="A876" s="68"/>
      <c r="B876" s="68"/>
      <c r="D876" s="68"/>
      <c r="E876" s="69"/>
      <c r="K876" s="68"/>
      <c r="M876" s="68"/>
      <c r="O876" s="68"/>
      <c r="P876" s="68"/>
      <c r="Q876" s="68"/>
      <c r="R876" s="68"/>
      <c r="S876" s="68"/>
    </row>
    <row r="877" spans="1:19" ht="15.75" customHeight="1">
      <c r="A877" s="68"/>
      <c r="B877" s="68"/>
      <c r="D877" s="68"/>
      <c r="E877" s="69"/>
      <c r="K877" s="68"/>
      <c r="M877" s="68"/>
      <c r="O877" s="68"/>
      <c r="P877" s="68"/>
      <c r="Q877" s="68"/>
      <c r="R877" s="68"/>
      <c r="S877" s="68"/>
    </row>
    <row r="878" spans="1:19" ht="15.75" customHeight="1">
      <c r="A878" s="68"/>
      <c r="B878" s="68"/>
      <c r="D878" s="68"/>
      <c r="E878" s="69"/>
      <c r="K878" s="68"/>
      <c r="M878" s="68"/>
      <c r="O878" s="68"/>
      <c r="P878" s="68"/>
      <c r="Q878" s="68"/>
      <c r="R878" s="68"/>
      <c r="S878" s="68"/>
    </row>
    <row r="879" spans="1:19" ht="15.75" customHeight="1">
      <c r="A879" s="68"/>
      <c r="B879" s="68"/>
      <c r="D879" s="68"/>
      <c r="E879" s="69"/>
      <c r="K879" s="68"/>
      <c r="M879" s="68"/>
      <c r="O879" s="68"/>
      <c r="P879" s="68"/>
      <c r="Q879" s="68"/>
      <c r="R879" s="68"/>
      <c r="S879" s="68"/>
    </row>
    <row r="880" spans="1:19" ht="15.75" customHeight="1">
      <c r="A880" s="68"/>
      <c r="B880" s="68"/>
      <c r="D880" s="68"/>
      <c r="E880" s="69"/>
      <c r="K880" s="68"/>
      <c r="M880" s="68"/>
      <c r="O880" s="68"/>
      <c r="P880" s="68"/>
      <c r="Q880" s="68"/>
      <c r="R880" s="68"/>
      <c r="S880" s="68"/>
    </row>
    <row r="881" spans="1:19" ht="15.75" customHeight="1">
      <c r="A881" s="68"/>
      <c r="B881" s="68"/>
      <c r="D881" s="68"/>
      <c r="E881" s="69"/>
      <c r="K881" s="68"/>
      <c r="M881" s="68"/>
      <c r="O881" s="68"/>
      <c r="P881" s="68"/>
      <c r="Q881" s="68"/>
      <c r="R881" s="68"/>
      <c r="S881" s="68"/>
    </row>
    <row r="882" spans="1:19" ht="15.75" customHeight="1">
      <c r="A882" s="68"/>
      <c r="B882" s="68"/>
      <c r="D882" s="68"/>
      <c r="E882" s="69"/>
      <c r="K882" s="68"/>
      <c r="M882" s="68"/>
      <c r="O882" s="68"/>
      <c r="P882" s="68"/>
      <c r="Q882" s="68"/>
      <c r="R882" s="68"/>
      <c r="S882" s="68"/>
    </row>
    <row r="883" spans="1:19" ht="15.75" customHeight="1">
      <c r="A883" s="68"/>
      <c r="B883" s="68"/>
      <c r="D883" s="68"/>
      <c r="E883" s="69"/>
      <c r="K883" s="68"/>
      <c r="M883" s="68"/>
      <c r="O883" s="68"/>
      <c r="P883" s="68"/>
      <c r="Q883" s="68"/>
      <c r="R883" s="68"/>
      <c r="S883" s="68"/>
    </row>
    <row r="884" spans="1:19" ht="15.75" customHeight="1">
      <c r="A884" s="68"/>
      <c r="B884" s="68"/>
      <c r="D884" s="68"/>
      <c r="E884" s="69"/>
      <c r="K884" s="68"/>
      <c r="M884" s="68"/>
      <c r="O884" s="68"/>
      <c r="P884" s="68"/>
      <c r="Q884" s="68"/>
      <c r="R884" s="68"/>
      <c r="S884" s="68"/>
    </row>
    <row r="885" spans="1:19" ht="15.75" customHeight="1">
      <c r="A885" s="68"/>
      <c r="B885" s="68"/>
      <c r="D885" s="68"/>
      <c r="E885" s="69"/>
      <c r="K885" s="68"/>
      <c r="M885" s="68"/>
      <c r="O885" s="68"/>
      <c r="P885" s="68"/>
      <c r="Q885" s="68"/>
      <c r="R885" s="68"/>
      <c r="S885" s="68"/>
    </row>
    <row r="886" spans="1:19" ht="15.75" customHeight="1">
      <c r="A886" s="68"/>
      <c r="B886" s="68"/>
      <c r="D886" s="68"/>
      <c r="E886" s="69"/>
      <c r="K886" s="68"/>
      <c r="M886" s="68"/>
      <c r="O886" s="68"/>
      <c r="P886" s="68"/>
      <c r="Q886" s="68"/>
      <c r="R886" s="68"/>
      <c r="S886" s="68"/>
    </row>
    <row r="887" spans="1:19" ht="15.75" customHeight="1">
      <c r="A887" s="68"/>
      <c r="B887" s="68"/>
      <c r="D887" s="68"/>
      <c r="E887" s="69"/>
      <c r="K887" s="68"/>
      <c r="M887" s="68"/>
      <c r="O887" s="68"/>
      <c r="P887" s="68"/>
      <c r="Q887" s="68"/>
      <c r="R887" s="68"/>
      <c r="S887" s="68"/>
    </row>
    <row r="888" spans="1:19" ht="15.75" customHeight="1">
      <c r="A888" s="68"/>
      <c r="B888" s="68"/>
      <c r="D888" s="68"/>
      <c r="E888" s="69"/>
      <c r="K888" s="68"/>
      <c r="M888" s="68"/>
      <c r="O888" s="68"/>
      <c r="P888" s="68"/>
      <c r="Q888" s="68"/>
      <c r="R888" s="68"/>
      <c r="S888" s="68"/>
    </row>
    <row r="889" spans="1:19" ht="15.75" customHeight="1">
      <c r="A889" s="68"/>
      <c r="B889" s="68"/>
      <c r="D889" s="68"/>
      <c r="E889" s="69"/>
      <c r="K889" s="68"/>
      <c r="M889" s="68"/>
      <c r="O889" s="68"/>
      <c r="P889" s="68"/>
      <c r="Q889" s="68"/>
      <c r="R889" s="68"/>
      <c r="S889" s="68"/>
    </row>
    <row r="890" spans="1:19" ht="15.75" customHeight="1">
      <c r="A890" s="68"/>
      <c r="B890" s="68"/>
      <c r="D890" s="68"/>
      <c r="E890" s="69"/>
      <c r="K890" s="68"/>
      <c r="M890" s="68"/>
      <c r="O890" s="68"/>
      <c r="P890" s="68"/>
      <c r="Q890" s="68"/>
      <c r="R890" s="68"/>
      <c r="S890" s="68"/>
    </row>
    <row r="891" spans="1:19" ht="15.75" customHeight="1">
      <c r="A891" s="68"/>
      <c r="B891" s="68"/>
      <c r="D891" s="68"/>
      <c r="E891" s="69"/>
      <c r="K891" s="68"/>
      <c r="M891" s="68"/>
      <c r="O891" s="68"/>
      <c r="P891" s="68"/>
      <c r="Q891" s="68"/>
      <c r="R891" s="68"/>
      <c r="S891" s="68"/>
    </row>
    <row r="892" spans="1:19" ht="15.75" customHeight="1">
      <c r="A892" s="68"/>
      <c r="B892" s="68"/>
      <c r="D892" s="68"/>
      <c r="E892" s="69"/>
      <c r="K892" s="68"/>
      <c r="M892" s="68"/>
      <c r="O892" s="68"/>
      <c r="P892" s="68"/>
      <c r="Q892" s="68"/>
      <c r="R892" s="68"/>
      <c r="S892" s="68"/>
    </row>
    <row r="893" spans="1:19" ht="15.75" customHeight="1">
      <c r="A893" s="68"/>
      <c r="B893" s="68"/>
      <c r="D893" s="68"/>
      <c r="E893" s="69"/>
      <c r="K893" s="68"/>
      <c r="M893" s="68"/>
      <c r="O893" s="68"/>
      <c r="P893" s="68"/>
      <c r="Q893" s="68"/>
      <c r="R893" s="68"/>
      <c r="S893" s="68"/>
    </row>
    <row r="894" spans="1:19" ht="15.75" customHeight="1">
      <c r="A894" s="68"/>
      <c r="B894" s="68"/>
      <c r="D894" s="68"/>
      <c r="E894" s="69"/>
      <c r="K894" s="68"/>
      <c r="M894" s="68"/>
      <c r="O894" s="68"/>
      <c r="P894" s="68"/>
      <c r="Q894" s="68"/>
      <c r="R894" s="68"/>
      <c r="S894" s="68"/>
    </row>
    <row r="895" spans="1:19" ht="15.75" customHeight="1">
      <c r="A895" s="68"/>
      <c r="B895" s="68"/>
      <c r="D895" s="68"/>
      <c r="E895" s="69"/>
      <c r="K895" s="68"/>
      <c r="M895" s="68"/>
      <c r="O895" s="68"/>
      <c r="P895" s="68"/>
      <c r="Q895" s="68"/>
      <c r="R895" s="68"/>
      <c r="S895" s="68"/>
    </row>
    <row r="896" spans="1:19" ht="15.75" customHeight="1">
      <c r="A896" s="68"/>
      <c r="B896" s="68"/>
      <c r="D896" s="68"/>
      <c r="E896" s="69"/>
      <c r="K896" s="68"/>
      <c r="M896" s="68"/>
      <c r="O896" s="68"/>
      <c r="P896" s="68"/>
      <c r="Q896" s="68"/>
      <c r="R896" s="68"/>
      <c r="S896" s="68"/>
    </row>
    <row r="897" spans="1:19" ht="15.75" customHeight="1">
      <c r="A897" s="68"/>
      <c r="B897" s="68"/>
      <c r="D897" s="68"/>
      <c r="E897" s="69"/>
      <c r="K897" s="68"/>
      <c r="M897" s="68"/>
      <c r="O897" s="68"/>
      <c r="P897" s="68"/>
      <c r="Q897" s="68"/>
      <c r="R897" s="68"/>
      <c r="S897" s="68"/>
    </row>
    <row r="898" spans="1:19" ht="15.75" customHeight="1">
      <c r="A898" s="68"/>
      <c r="B898" s="68"/>
      <c r="D898" s="68"/>
      <c r="E898" s="69"/>
      <c r="K898" s="68"/>
      <c r="M898" s="68"/>
      <c r="O898" s="68"/>
      <c r="P898" s="68"/>
      <c r="Q898" s="68"/>
      <c r="R898" s="68"/>
      <c r="S898" s="68"/>
    </row>
    <row r="899" spans="1:19" ht="15.75" customHeight="1">
      <c r="A899" s="68"/>
      <c r="B899" s="68"/>
      <c r="D899" s="68"/>
      <c r="E899" s="69"/>
      <c r="K899" s="68"/>
      <c r="M899" s="68"/>
      <c r="O899" s="68"/>
      <c r="P899" s="68"/>
      <c r="Q899" s="68"/>
      <c r="R899" s="68"/>
      <c r="S899" s="68"/>
    </row>
    <row r="900" spans="1:19" ht="15.75" customHeight="1">
      <c r="A900" s="68"/>
      <c r="B900" s="68"/>
      <c r="D900" s="68"/>
      <c r="E900" s="69"/>
      <c r="K900" s="68"/>
      <c r="M900" s="68"/>
      <c r="O900" s="68"/>
      <c r="P900" s="68"/>
      <c r="Q900" s="68"/>
      <c r="R900" s="68"/>
      <c r="S900" s="68"/>
    </row>
    <row r="901" spans="1:19" ht="15.75" customHeight="1">
      <c r="A901" s="68"/>
      <c r="B901" s="68"/>
      <c r="D901" s="68"/>
      <c r="E901" s="69"/>
      <c r="K901" s="68"/>
      <c r="M901" s="68"/>
      <c r="O901" s="68"/>
      <c r="P901" s="68"/>
      <c r="Q901" s="68"/>
      <c r="R901" s="68"/>
      <c r="S901" s="68"/>
    </row>
    <row r="902" spans="1:19" ht="15.75" customHeight="1">
      <c r="A902" s="68"/>
      <c r="B902" s="68"/>
      <c r="D902" s="68"/>
      <c r="E902" s="69"/>
      <c r="K902" s="68"/>
      <c r="M902" s="68"/>
      <c r="O902" s="68"/>
      <c r="P902" s="68"/>
      <c r="Q902" s="68"/>
      <c r="R902" s="68"/>
      <c r="S902" s="68"/>
    </row>
    <row r="903" spans="1:19" ht="15.75" customHeight="1">
      <c r="A903" s="68"/>
      <c r="B903" s="68"/>
      <c r="D903" s="68"/>
      <c r="E903" s="69"/>
      <c r="K903" s="68"/>
      <c r="M903" s="68"/>
      <c r="O903" s="68"/>
      <c r="P903" s="68"/>
      <c r="Q903" s="68"/>
      <c r="R903" s="68"/>
      <c r="S903" s="68"/>
    </row>
    <row r="904" spans="1:19" ht="15.75" customHeight="1">
      <c r="A904" s="68"/>
      <c r="B904" s="68"/>
      <c r="D904" s="68"/>
      <c r="E904" s="69"/>
      <c r="K904" s="68"/>
      <c r="M904" s="68"/>
      <c r="O904" s="68"/>
      <c r="P904" s="68"/>
      <c r="Q904" s="68"/>
      <c r="R904" s="68"/>
      <c r="S904" s="68"/>
    </row>
    <row r="905" spans="1:19" ht="15.75" customHeight="1">
      <c r="A905" s="68"/>
      <c r="B905" s="68"/>
      <c r="D905" s="68"/>
      <c r="E905" s="69"/>
      <c r="K905" s="68"/>
      <c r="M905" s="68"/>
      <c r="O905" s="68"/>
      <c r="P905" s="68"/>
      <c r="Q905" s="68"/>
      <c r="R905" s="68"/>
      <c r="S905" s="68"/>
    </row>
    <row r="906" spans="1:19" ht="15.75" customHeight="1">
      <c r="A906" s="68"/>
      <c r="B906" s="68"/>
      <c r="D906" s="68"/>
      <c r="E906" s="69"/>
      <c r="K906" s="68"/>
      <c r="M906" s="68"/>
      <c r="O906" s="68"/>
      <c r="P906" s="68"/>
      <c r="Q906" s="68"/>
      <c r="R906" s="68"/>
      <c r="S906" s="68"/>
    </row>
    <row r="907" spans="1:19" ht="15.75" customHeight="1">
      <c r="A907" s="68"/>
      <c r="B907" s="68"/>
      <c r="D907" s="68"/>
      <c r="E907" s="69"/>
      <c r="K907" s="68"/>
      <c r="M907" s="68"/>
      <c r="O907" s="68"/>
      <c r="P907" s="68"/>
      <c r="Q907" s="68"/>
      <c r="R907" s="68"/>
      <c r="S907" s="68"/>
    </row>
    <row r="908" spans="1:19" ht="15.75" customHeight="1">
      <c r="A908" s="68"/>
      <c r="B908" s="68"/>
      <c r="D908" s="68"/>
      <c r="E908" s="69"/>
      <c r="K908" s="68"/>
      <c r="M908" s="68"/>
      <c r="O908" s="68"/>
      <c r="P908" s="68"/>
      <c r="Q908" s="68"/>
      <c r="R908" s="68"/>
      <c r="S908" s="68"/>
    </row>
    <row r="909" spans="1:19" ht="15.75" customHeight="1">
      <c r="A909" s="68"/>
      <c r="B909" s="68"/>
      <c r="D909" s="68"/>
      <c r="E909" s="69"/>
      <c r="K909" s="68"/>
      <c r="M909" s="68"/>
      <c r="O909" s="68"/>
      <c r="P909" s="68"/>
      <c r="Q909" s="68"/>
      <c r="R909" s="68"/>
      <c r="S909" s="68"/>
    </row>
    <row r="910" spans="1:19" ht="15.75" customHeight="1">
      <c r="A910" s="68"/>
      <c r="B910" s="68"/>
      <c r="D910" s="68"/>
      <c r="E910" s="69"/>
      <c r="K910" s="68"/>
      <c r="M910" s="68"/>
      <c r="O910" s="68"/>
      <c r="P910" s="68"/>
      <c r="Q910" s="68"/>
      <c r="R910" s="68"/>
      <c r="S910" s="68"/>
    </row>
    <row r="911" spans="1:19" ht="15.75" customHeight="1">
      <c r="A911" s="68"/>
      <c r="B911" s="68"/>
      <c r="D911" s="68"/>
      <c r="E911" s="69"/>
      <c r="K911" s="68"/>
      <c r="M911" s="68"/>
      <c r="O911" s="68"/>
      <c r="P911" s="68"/>
      <c r="Q911" s="68"/>
      <c r="R911" s="68"/>
      <c r="S911" s="68"/>
    </row>
    <row r="912" spans="1:19" ht="15.75" customHeight="1">
      <c r="A912" s="68"/>
      <c r="B912" s="68"/>
      <c r="D912" s="68"/>
      <c r="E912" s="69"/>
      <c r="K912" s="68"/>
      <c r="M912" s="68"/>
      <c r="O912" s="68"/>
      <c r="P912" s="68"/>
      <c r="Q912" s="68"/>
      <c r="R912" s="68"/>
      <c r="S912" s="68"/>
    </row>
    <row r="913" spans="1:19" ht="15.75" customHeight="1">
      <c r="A913" s="68"/>
      <c r="B913" s="68"/>
      <c r="D913" s="68"/>
      <c r="E913" s="69"/>
      <c r="K913" s="68"/>
      <c r="M913" s="68"/>
      <c r="O913" s="68"/>
      <c r="P913" s="68"/>
      <c r="Q913" s="68"/>
      <c r="R913" s="68"/>
      <c r="S913" s="68"/>
    </row>
    <row r="914" spans="1:19" ht="15.75" customHeight="1">
      <c r="A914" s="68"/>
      <c r="B914" s="68"/>
      <c r="D914" s="68"/>
      <c r="E914" s="69"/>
      <c r="K914" s="68"/>
      <c r="M914" s="68"/>
      <c r="O914" s="68"/>
      <c r="P914" s="68"/>
      <c r="Q914" s="68"/>
      <c r="R914" s="68"/>
      <c r="S914" s="68"/>
    </row>
    <row r="915" spans="1:19" ht="15.75" customHeight="1">
      <c r="A915" s="68"/>
      <c r="B915" s="68"/>
      <c r="D915" s="68"/>
      <c r="E915" s="69"/>
      <c r="K915" s="68"/>
      <c r="M915" s="68"/>
      <c r="O915" s="68"/>
      <c r="P915" s="68"/>
      <c r="Q915" s="68"/>
      <c r="R915" s="68"/>
      <c r="S915" s="68"/>
    </row>
    <row r="916" spans="1:19" ht="15.75" customHeight="1">
      <c r="A916" s="68"/>
      <c r="B916" s="68"/>
      <c r="D916" s="68"/>
      <c r="E916" s="69"/>
      <c r="K916" s="68"/>
      <c r="M916" s="68"/>
      <c r="O916" s="68"/>
      <c r="P916" s="68"/>
      <c r="Q916" s="68"/>
      <c r="R916" s="68"/>
      <c r="S916" s="68"/>
    </row>
    <row r="917" spans="1:19" ht="15.75" customHeight="1">
      <c r="A917" s="68"/>
      <c r="B917" s="68"/>
      <c r="D917" s="68"/>
      <c r="E917" s="69"/>
      <c r="K917" s="68"/>
      <c r="M917" s="68"/>
      <c r="O917" s="68"/>
      <c r="P917" s="68"/>
      <c r="Q917" s="68"/>
      <c r="R917" s="68"/>
      <c r="S917" s="68"/>
    </row>
    <row r="918" spans="1:19" ht="15.75" customHeight="1">
      <c r="A918" s="68"/>
      <c r="B918" s="68"/>
      <c r="D918" s="68"/>
      <c r="E918" s="69"/>
      <c r="K918" s="68"/>
      <c r="M918" s="68"/>
      <c r="O918" s="68"/>
      <c r="P918" s="68"/>
      <c r="Q918" s="68"/>
      <c r="R918" s="68"/>
      <c r="S918" s="68"/>
    </row>
    <row r="919" spans="1:19" ht="15.75" customHeight="1">
      <c r="A919" s="68"/>
      <c r="B919" s="68"/>
      <c r="D919" s="68"/>
      <c r="E919" s="69"/>
      <c r="K919" s="68"/>
      <c r="M919" s="68"/>
      <c r="O919" s="68"/>
      <c r="P919" s="68"/>
      <c r="Q919" s="68"/>
      <c r="R919" s="68"/>
      <c r="S919" s="68"/>
    </row>
    <row r="920" spans="1:19" ht="15.75" customHeight="1">
      <c r="A920" s="68"/>
      <c r="B920" s="68"/>
      <c r="D920" s="68"/>
      <c r="E920" s="69"/>
      <c r="K920" s="68"/>
      <c r="M920" s="68"/>
      <c r="O920" s="68"/>
      <c r="P920" s="68"/>
      <c r="Q920" s="68"/>
      <c r="R920" s="68"/>
      <c r="S920" s="68"/>
    </row>
    <row r="921" spans="1:19" ht="15.75" customHeight="1">
      <c r="A921" s="68"/>
      <c r="B921" s="68"/>
      <c r="D921" s="68"/>
      <c r="E921" s="69"/>
      <c r="K921" s="68"/>
      <c r="M921" s="68"/>
      <c r="O921" s="68"/>
      <c r="P921" s="68"/>
      <c r="Q921" s="68"/>
      <c r="R921" s="68"/>
      <c r="S921" s="68"/>
    </row>
    <row r="922" spans="1:19" ht="15.75" customHeight="1">
      <c r="A922" s="68"/>
      <c r="B922" s="68"/>
      <c r="D922" s="68"/>
      <c r="E922" s="69"/>
      <c r="K922" s="68"/>
      <c r="M922" s="68"/>
      <c r="O922" s="68"/>
      <c r="P922" s="68"/>
      <c r="Q922" s="68"/>
      <c r="R922" s="68"/>
      <c r="S922" s="68"/>
    </row>
    <row r="923" spans="1:19" ht="15.75" customHeight="1">
      <c r="A923" s="68"/>
      <c r="B923" s="68"/>
      <c r="D923" s="68"/>
      <c r="E923" s="69"/>
      <c r="K923" s="68"/>
      <c r="M923" s="68"/>
      <c r="O923" s="68"/>
      <c r="P923" s="68"/>
      <c r="Q923" s="68"/>
      <c r="R923" s="68"/>
      <c r="S923" s="68"/>
    </row>
    <row r="924" spans="1:19" ht="15.75" customHeight="1">
      <c r="A924" s="68"/>
      <c r="B924" s="68"/>
      <c r="D924" s="68"/>
      <c r="E924" s="69"/>
      <c r="K924" s="68"/>
      <c r="M924" s="68"/>
      <c r="O924" s="68"/>
      <c r="P924" s="68"/>
      <c r="Q924" s="68"/>
      <c r="R924" s="68"/>
      <c r="S924" s="68"/>
    </row>
    <row r="925" spans="1:19" ht="15.75" customHeight="1">
      <c r="A925" s="68"/>
      <c r="B925" s="68"/>
      <c r="D925" s="68"/>
      <c r="E925" s="69"/>
      <c r="K925" s="68"/>
      <c r="M925" s="68"/>
      <c r="O925" s="68"/>
      <c r="P925" s="68"/>
      <c r="Q925" s="68"/>
      <c r="R925" s="68"/>
      <c r="S925" s="68"/>
    </row>
    <row r="926" spans="1:19" ht="15.75" customHeight="1">
      <c r="A926" s="68"/>
      <c r="B926" s="68"/>
      <c r="D926" s="68"/>
      <c r="E926" s="69"/>
      <c r="K926" s="68"/>
      <c r="M926" s="68"/>
      <c r="O926" s="68"/>
      <c r="P926" s="68"/>
      <c r="Q926" s="68"/>
      <c r="R926" s="68"/>
      <c r="S926" s="68"/>
    </row>
    <row r="927" spans="1:19" ht="15.75" customHeight="1">
      <c r="A927" s="68"/>
      <c r="B927" s="68"/>
      <c r="D927" s="68"/>
      <c r="E927" s="69"/>
      <c r="K927" s="68"/>
      <c r="M927" s="68"/>
      <c r="O927" s="68"/>
      <c r="P927" s="68"/>
      <c r="Q927" s="68"/>
      <c r="R927" s="68"/>
      <c r="S927" s="68"/>
    </row>
    <row r="928" spans="1:19" ht="15.75" customHeight="1">
      <c r="A928" s="68"/>
      <c r="B928" s="68"/>
      <c r="D928" s="68"/>
      <c r="E928" s="69"/>
      <c r="K928" s="68"/>
      <c r="M928" s="68"/>
      <c r="O928" s="68"/>
      <c r="P928" s="68"/>
      <c r="Q928" s="68"/>
      <c r="R928" s="68"/>
      <c r="S928" s="68"/>
    </row>
    <row r="929" spans="1:19" ht="15.75" customHeight="1">
      <c r="A929" s="68"/>
      <c r="B929" s="68"/>
      <c r="D929" s="68"/>
      <c r="E929" s="69"/>
      <c r="K929" s="68"/>
      <c r="M929" s="68"/>
      <c r="O929" s="68"/>
      <c r="P929" s="68"/>
      <c r="Q929" s="68"/>
      <c r="R929" s="68"/>
      <c r="S929" s="68"/>
    </row>
    <row r="930" spans="1:19" ht="15.75" customHeight="1">
      <c r="A930" s="68"/>
      <c r="B930" s="68"/>
      <c r="D930" s="68"/>
      <c r="E930" s="69"/>
      <c r="K930" s="68"/>
      <c r="M930" s="68"/>
      <c r="O930" s="68"/>
      <c r="P930" s="68"/>
      <c r="Q930" s="68"/>
      <c r="R930" s="68"/>
      <c r="S930" s="68"/>
    </row>
    <row r="931" spans="1:19" ht="15.75" customHeight="1">
      <c r="A931" s="68"/>
      <c r="B931" s="68"/>
      <c r="D931" s="68"/>
      <c r="E931" s="69"/>
      <c r="K931" s="68"/>
      <c r="M931" s="68"/>
      <c r="O931" s="68"/>
      <c r="P931" s="68"/>
      <c r="Q931" s="68"/>
      <c r="R931" s="68"/>
      <c r="S931" s="68"/>
    </row>
    <row r="932" spans="1:19" ht="15.75" customHeight="1">
      <c r="A932" s="68"/>
      <c r="B932" s="68"/>
      <c r="D932" s="68"/>
      <c r="E932" s="69"/>
      <c r="K932" s="68"/>
      <c r="M932" s="68"/>
      <c r="O932" s="68"/>
      <c r="P932" s="68"/>
      <c r="Q932" s="68"/>
      <c r="R932" s="68"/>
      <c r="S932" s="68"/>
    </row>
    <row r="933" spans="1:19" ht="15.75" customHeight="1">
      <c r="A933" s="68"/>
      <c r="B933" s="68"/>
      <c r="D933" s="68"/>
      <c r="E933" s="69"/>
      <c r="K933" s="68"/>
      <c r="M933" s="68"/>
      <c r="O933" s="68"/>
      <c r="P933" s="68"/>
      <c r="Q933" s="68"/>
      <c r="R933" s="68"/>
      <c r="S933" s="68"/>
    </row>
    <row r="934" spans="1:19" ht="15.75" customHeight="1">
      <c r="A934" s="68"/>
      <c r="B934" s="68"/>
      <c r="D934" s="68"/>
      <c r="E934" s="69"/>
      <c r="K934" s="68"/>
      <c r="M934" s="68"/>
      <c r="O934" s="68"/>
      <c r="P934" s="68"/>
      <c r="Q934" s="68"/>
      <c r="R934" s="68"/>
      <c r="S934" s="68"/>
    </row>
    <row r="935" spans="1:19" ht="15.75" customHeight="1">
      <c r="A935" s="68"/>
      <c r="B935" s="68"/>
      <c r="D935" s="68"/>
      <c r="E935" s="69"/>
      <c r="K935" s="68"/>
      <c r="M935" s="68"/>
      <c r="O935" s="68"/>
      <c r="P935" s="68"/>
      <c r="Q935" s="68"/>
      <c r="R935" s="68"/>
      <c r="S935" s="68"/>
    </row>
    <row r="936" spans="1:19" ht="15.75" customHeight="1">
      <c r="A936" s="68"/>
      <c r="B936" s="68"/>
      <c r="D936" s="68"/>
      <c r="E936" s="69"/>
      <c r="K936" s="68"/>
      <c r="M936" s="68"/>
      <c r="O936" s="68"/>
      <c r="P936" s="68"/>
      <c r="Q936" s="68"/>
      <c r="R936" s="68"/>
      <c r="S936" s="68"/>
    </row>
    <row r="937" spans="1:19" ht="15.75" customHeight="1">
      <c r="A937" s="68"/>
      <c r="B937" s="68"/>
      <c r="D937" s="68"/>
      <c r="E937" s="69"/>
      <c r="K937" s="68"/>
      <c r="M937" s="68"/>
      <c r="O937" s="68"/>
      <c r="P937" s="68"/>
      <c r="Q937" s="68"/>
      <c r="R937" s="68"/>
      <c r="S937" s="68"/>
    </row>
    <row r="938" spans="1:19" ht="15.75" customHeight="1">
      <c r="A938" s="68"/>
      <c r="B938" s="68"/>
      <c r="D938" s="68"/>
      <c r="E938" s="69"/>
      <c r="K938" s="68"/>
      <c r="M938" s="68"/>
      <c r="O938" s="68"/>
      <c r="P938" s="68"/>
      <c r="Q938" s="68"/>
      <c r="R938" s="68"/>
      <c r="S938" s="68"/>
    </row>
    <row r="939" spans="1:19" ht="15.75" customHeight="1">
      <c r="A939" s="68"/>
      <c r="B939" s="68"/>
      <c r="D939" s="68"/>
      <c r="E939" s="69"/>
      <c r="K939" s="68"/>
      <c r="M939" s="68"/>
      <c r="O939" s="68"/>
      <c r="P939" s="68"/>
      <c r="Q939" s="68"/>
      <c r="R939" s="68"/>
      <c r="S939" s="68"/>
    </row>
    <row r="940" spans="1:19" ht="15.75" customHeight="1">
      <c r="A940" s="68"/>
      <c r="B940" s="68"/>
      <c r="D940" s="68"/>
      <c r="E940" s="69"/>
      <c r="K940" s="68"/>
      <c r="M940" s="68"/>
      <c r="O940" s="68"/>
      <c r="P940" s="68"/>
      <c r="Q940" s="68"/>
      <c r="R940" s="68"/>
      <c r="S940" s="68"/>
    </row>
    <row r="941" spans="1:19" ht="15.75" customHeight="1">
      <c r="A941" s="68"/>
      <c r="B941" s="68"/>
      <c r="D941" s="68"/>
      <c r="E941" s="69"/>
      <c r="K941" s="68"/>
      <c r="M941" s="68"/>
      <c r="O941" s="68"/>
      <c r="P941" s="68"/>
      <c r="Q941" s="68"/>
      <c r="R941" s="68"/>
      <c r="S941" s="68"/>
    </row>
    <row r="942" spans="1:19" ht="15.75" customHeight="1">
      <c r="A942" s="68"/>
      <c r="B942" s="68"/>
      <c r="D942" s="68"/>
      <c r="E942" s="69"/>
      <c r="K942" s="68"/>
      <c r="M942" s="68"/>
      <c r="O942" s="68"/>
      <c r="P942" s="68"/>
      <c r="Q942" s="68"/>
      <c r="R942" s="68"/>
      <c r="S942" s="68"/>
    </row>
    <row r="943" spans="1:19" ht="15.75" customHeight="1">
      <c r="A943" s="68"/>
      <c r="B943" s="68"/>
      <c r="D943" s="68"/>
      <c r="E943" s="69"/>
      <c r="K943" s="68"/>
      <c r="M943" s="68"/>
      <c r="O943" s="68"/>
      <c r="P943" s="68"/>
      <c r="Q943" s="68"/>
      <c r="R943" s="68"/>
      <c r="S943" s="68"/>
    </row>
    <row r="944" spans="1:19" ht="15.75" customHeight="1">
      <c r="A944" s="68"/>
      <c r="B944" s="68"/>
      <c r="D944" s="68"/>
      <c r="E944" s="69"/>
      <c r="K944" s="68"/>
      <c r="M944" s="68"/>
      <c r="O944" s="68"/>
      <c r="P944" s="68"/>
      <c r="Q944" s="68"/>
      <c r="R944" s="68"/>
      <c r="S944" s="68"/>
    </row>
    <row r="945" spans="1:19" ht="15.75" customHeight="1">
      <c r="A945" s="68"/>
      <c r="B945" s="68"/>
      <c r="D945" s="68"/>
      <c r="E945" s="69"/>
      <c r="K945" s="68"/>
      <c r="M945" s="68"/>
      <c r="O945" s="68"/>
      <c r="P945" s="68"/>
      <c r="Q945" s="68"/>
      <c r="R945" s="68"/>
      <c r="S945" s="68"/>
    </row>
    <row r="946" spans="1:19" ht="15.75" customHeight="1">
      <c r="A946" s="68"/>
      <c r="B946" s="68"/>
      <c r="D946" s="68"/>
      <c r="E946" s="69"/>
      <c r="K946" s="68"/>
      <c r="M946" s="68"/>
      <c r="O946" s="68"/>
      <c r="P946" s="68"/>
      <c r="Q946" s="68"/>
      <c r="R946" s="68"/>
      <c r="S946" s="68"/>
    </row>
    <row r="947" spans="1:19" ht="15.75" customHeight="1">
      <c r="A947" s="68"/>
      <c r="B947" s="68"/>
      <c r="D947" s="68"/>
      <c r="E947" s="69"/>
      <c r="K947" s="68"/>
      <c r="M947" s="68"/>
      <c r="O947" s="68"/>
      <c r="P947" s="68"/>
      <c r="Q947" s="68"/>
      <c r="R947" s="68"/>
      <c r="S947" s="68"/>
    </row>
    <row r="948" spans="1:19" ht="15.75" customHeight="1">
      <c r="A948" s="68"/>
      <c r="B948" s="68"/>
      <c r="D948" s="68"/>
      <c r="E948" s="69"/>
      <c r="K948" s="68"/>
      <c r="M948" s="68"/>
      <c r="O948" s="68"/>
      <c r="P948" s="68"/>
      <c r="Q948" s="68"/>
      <c r="R948" s="68"/>
      <c r="S948" s="68"/>
    </row>
    <row r="949" spans="1:19" ht="15.75" customHeight="1">
      <c r="A949" s="68"/>
      <c r="B949" s="68"/>
      <c r="D949" s="68"/>
      <c r="E949" s="69"/>
      <c r="K949" s="68"/>
      <c r="M949" s="68"/>
      <c r="O949" s="68"/>
      <c r="P949" s="68"/>
      <c r="Q949" s="68"/>
      <c r="R949" s="68"/>
      <c r="S949" s="68"/>
    </row>
    <row r="950" spans="1:19" ht="15.75" customHeight="1">
      <c r="A950" s="68"/>
      <c r="B950" s="68"/>
      <c r="D950" s="68"/>
      <c r="E950" s="69"/>
      <c r="K950" s="68"/>
      <c r="M950" s="68"/>
      <c r="O950" s="68"/>
      <c r="P950" s="68"/>
      <c r="Q950" s="68"/>
      <c r="R950" s="68"/>
      <c r="S950" s="68"/>
    </row>
    <row r="951" spans="1:19" ht="15.75" customHeight="1">
      <c r="A951" s="68"/>
      <c r="B951" s="68"/>
      <c r="D951" s="68"/>
      <c r="E951" s="69"/>
      <c r="K951" s="68"/>
      <c r="M951" s="68"/>
      <c r="O951" s="68"/>
      <c r="P951" s="68"/>
      <c r="Q951" s="68"/>
      <c r="R951" s="68"/>
      <c r="S951" s="68"/>
    </row>
    <row r="952" spans="1:19" ht="15.75" customHeight="1">
      <c r="A952" s="68"/>
      <c r="B952" s="68"/>
      <c r="D952" s="68"/>
      <c r="E952" s="69"/>
      <c r="K952" s="68"/>
      <c r="M952" s="68"/>
      <c r="O952" s="68"/>
      <c r="P952" s="68"/>
      <c r="Q952" s="68"/>
      <c r="R952" s="68"/>
      <c r="S952" s="68"/>
    </row>
    <row r="953" spans="1:19" ht="15.75" customHeight="1">
      <c r="A953" s="68"/>
      <c r="B953" s="68"/>
      <c r="D953" s="68"/>
      <c r="E953" s="69"/>
      <c r="K953" s="68"/>
      <c r="M953" s="68"/>
      <c r="O953" s="68"/>
      <c r="P953" s="68"/>
      <c r="Q953" s="68"/>
      <c r="R953" s="68"/>
      <c r="S953" s="68"/>
    </row>
    <row r="954" spans="1:19" ht="15.75" customHeight="1">
      <c r="A954" s="68"/>
      <c r="B954" s="68"/>
      <c r="D954" s="68"/>
      <c r="E954" s="69"/>
      <c r="K954" s="68"/>
      <c r="M954" s="68"/>
      <c r="O954" s="68"/>
      <c r="P954" s="68"/>
      <c r="Q954" s="68"/>
      <c r="R954" s="68"/>
      <c r="S954" s="68"/>
    </row>
    <row r="955" spans="1:19" ht="15.75" customHeight="1">
      <c r="A955" s="68"/>
      <c r="B955" s="68"/>
      <c r="D955" s="68"/>
      <c r="E955" s="69"/>
      <c r="K955" s="68"/>
      <c r="M955" s="68"/>
      <c r="O955" s="68"/>
      <c r="P955" s="68"/>
      <c r="Q955" s="68"/>
      <c r="R955" s="68"/>
      <c r="S955" s="68"/>
    </row>
    <row r="956" spans="1:19" ht="15.75" customHeight="1">
      <c r="A956" s="68"/>
      <c r="B956" s="68"/>
      <c r="D956" s="68"/>
      <c r="E956" s="69"/>
      <c r="K956" s="68"/>
      <c r="M956" s="68"/>
      <c r="O956" s="68"/>
      <c r="P956" s="68"/>
      <c r="Q956" s="68"/>
      <c r="R956" s="68"/>
      <c r="S956" s="68"/>
    </row>
    <row r="957" spans="1:19" ht="15.75" customHeight="1">
      <c r="A957" s="68"/>
      <c r="B957" s="68"/>
      <c r="D957" s="68"/>
      <c r="E957" s="69"/>
      <c r="K957" s="68"/>
      <c r="M957" s="68"/>
      <c r="O957" s="68"/>
      <c r="P957" s="68"/>
      <c r="Q957" s="68"/>
      <c r="R957" s="68"/>
      <c r="S957" s="68"/>
    </row>
    <row r="958" spans="1:19" ht="15.75" customHeight="1">
      <c r="A958" s="68"/>
      <c r="B958" s="68"/>
      <c r="D958" s="68"/>
      <c r="E958" s="69"/>
      <c r="K958" s="68"/>
      <c r="M958" s="68"/>
      <c r="O958" s="68"/>
      <c r="P958" s="68"/>
      <c r="Q958" s="68"/>
      <c r="R958" s="68"/>
      <c r="S958" s="68"/>
    </row>
    <row r="959" spans="1:19" ht="15.75" customHeight="1">
      <c r="A959" s="68"/>
      <c r="B959" s="68"/>
      <c r="D959" s="68"/>
      <c r="E959" s="69"/>
      <c r="K959" s="68"/>
      <c r="M959" s="68"/>
      <c r="O959" s="68"/>
      <c r="P959" s="68"/>
      <c r="Q959" s="68"/>
      <c r="R959" s="68"/>
      <c r="S959" s="68"/>
    </row>
    <row r="960" spans="1:19" ht="15.75" customHeight="1">
      <c r="A960" s="68"/>
      <c r="B960" s="68"/>
      <c r="D960" s="68"/>
      <c r="E960" s="69"/>
      <c r="K960" s="68"/>
      <c r="M960" s="68"/>
      <c r="O960" s="68"/>
      <c r="P960" s="68"/>
      <c r="Q960" s="68"/>
      <c r="R960" s="68"/>
      <c r="S960" s="68"/>
    </row>
    <row r="961" spans="1:19" ht="15.75" customHeight="1">
      <c r="A961" s="68"/>
      <c r="B961" s="68"/>
      <c r="D961" s="68"/>
      <c r="E961" s="69"/>
      <c r="K961" s="68"/>
      <c r="M961" s="68"/>
      <c r="O961" s="68"/>
      <c r="P961" s="68"/>
      <c r="Q961" s="68"/>
      <c r="R961" s="68"/>
      <c r="S961" s="68"/>
    </row>
    <row r="962" spans="1:19" ht="15.75" customHeight="1">
      <c r="A962" s="68"/>
      <c r="B962" s="68"/>
      <c r="D962" s="68"/>
      <c r="E962" s="69"/>
      <c r="K962" s="68"/>
      <c r="M962" s="68"/>
      <c r="O962" s="68"/>
      <c r="P962" s="68"/>
      <c r="Q962" s="68"/>
      <c r="R962" s="68"/>
      <c r="S962" s="68"/>
    </row>
    <row r="963" spans="1:19" ht="15.75" customHeight="1">
      <c r="A963" s="68"/>
      <c r="B963" s="68"/>
      <c r="D963" s="68"/>
      <c r="E963" s="69"/>
      <c r="K963" s="68"/>
      <c r="M963" s="68"/>
      <c r="O963" s="68"/>
      <c r="P963" s="68"/>
      <c r="Q963" s="68"/>
      <c r="R963" s="68"/>
      <c r="S963" s="68"/>
    </row>
    <row r="964" spans="1:19" ht="15.75" customHeight="1">
      <c r="A964" s="68"/>
      <c r="B964" s="68"/>
      <c r="D964" s="68"/>
      <c r="E964" s="69"/>
      <c r="K964" s="68"/>
      <c r="M964" s="68"/>
      <c r="O964" s="68"/>
      <c r="P964" s="68"/>
      <c r="Q964" s="68"/>
      <c r="R964" s="68"/>
      <c r="S964" s="68"/>
    </row>
    <row r="965" spans="1:19" ht="15.75" customHeight="1">
      <c r="A965" s="68"/>
      <c r="B965" s="68"/>
      <c r="D965" s="68"/>
      <c r="E965" s="69"/>
      <c r="K965" s="68"/>
      <c r="M965" s="68"/>
      <c r="O965" s="68"/>
      <c r="P965" s="68"/>
      <c r="Q965" s="68"/>
      <c r="R965" s="68"/>
      <c r="S965" s="68"/>
    </row>
    <row r="966" spans="1:19" ht="15.75" customHeight="1">
      <c r="A966" s="68"/>
      <c r="B966" s="68"/>
      <c r="D966" s="68"/>
      <c r="E966" s="69"/>
      <c r="K966" s="68"/>
      <c r="M966" s="68"/>
      <c r="O966" s="68"/>
      <c r="P966" s="68"/>
      <c r="Q966" s="68"/>
      <c r="R966" s="68"/>
      <c r="S966" s="68"/>
    </row>
    <row r="967" spans="1:19" ht="15.75" customHeight="1">
      <c r="A967" s="68"/>
      <c r="B967" s="68"/>
      <c r="D967" s="68"/>
      <c r="E967" s="69"/>
      <c r="K967" s="68"/>
      <c r="M967" s="68"/>
      <c r="O967" s="68"/>
      <c r="P967" s="68"/>
      <c r="Q967" s="68"/>
      <c r="R967" s="68"/>
      <c r="S967" s="68"/>
    </row>
    <row r="968" spans="1:19" ht="15.75" customHeight="1">
      <c r="A968" s="68"/>
      <c r="B968" s="68"/>
      <c r="D968" s="68"/>
      <c r="E968" s="69"/>
      <c r="K968" s="68"/>
      <c r="M968" s="68"/>
      <c r="O968" s="68"/>
      <c r="P968" s="68"/>
      <c r="Q968" s="68"/>
      <c r="R968" s="68"/>
      <c r="S968" s="68"/>
    </row>
    <row r="969" spans="1:19" ht="15.75" customHeight="1">
      <c r="A969" s="68"/>
      <c r="B969" s="68"/>
      <c r="D969" s="68"/>
      <c r="E969" s="69"/>
      <c r="K969" s="68"/>
      <c r="M969" s="68"/>
      <c r="O969" s="68"/>
      <c r="P969" s="68"/>
      <c r="Q969" s="68"/>
      <c r="R969" s="68"/>
      <c r="S969" s="68"/>
    </row>
    <row r="970" spans="1:19" ht="15.75" customHeight="1">
      <c r="A970" s="68"/>
      <c r="B970" s="68"/>
      <c r="D970" s="68"/>
      <c r="E970" s="69"/>
      <c r="K970" s="68"/>
      <c r="M970" s="68"/>
      <c r="O970" s="68"/>
      <c r="P970" s="68"/>
      <c r="Q970" s="68"/>
      <c r="R970" s="68"/>
      <c r="S970" s="68"/>
    </row>
    <row r="971" spans="1:19" ht="15.75" customHeight="1">
      <c r="A971" s="68"/>
      <c r="B971" s="68"/>
      <c r="D971" s="68"/>
      <c r="E971" s="69"/>
      <c r="K971" s="68"/>
      <c r="M971" s="68"/>
      <c r="O971" s="68"/>
      <c r="P971" s="68"/>
      <c r="Q971" s="68"/>
      <c r="R971" s="68"/>
      <c r="S971" s="68"/>
    </row>
    <row r="972" spans="1:19" ht="15.75" customHeight="1">
      <c r="A972" s="68"/>
      <c r="B972" s="68"/>
      <c r="D972" s="68"/>
      <c r="E972" s="69"/>
      <c r="K972" s="68"/>
      <c r="M972" s="68"/>
      <c r="O972" s="68"/>
      <c r="P972" s="68"/>
      <c r="Q972" s="68"/>
      <c r="R972" s="68"/>
      <c r="S972" s="68"/>
    </row>
    <row r="973" spans="1:19" ht="15.75" customHeight="1">
      <c r="A973" s="68"/>
      <c r="B973" s="68"/>
      <c r="D973" s="68"/>
      <c r="E973" s="69"/>
      <c r="K973" s="68"/>
      <c r="M973" s="68"/>
      <c r="O973" s="68"/>
      <c r="P973" s="68"/>
      <c r="Q973" s="68"/>
      <c r="R973" s="68"/>
      <c r="S973" s="68"/>
    </row>
    <row r="974" spans="1:19" ht="15.75" customHeight="1">
      <c r="A974" s="68"/>
      <c r="B974" s="68"/>
      <c r="D974" s="68"/>
      <c r="E974" s="69"/>
      <c r="K974" s="68"/>
      <c r="M974" s="68"/>
      <c r="O974" s="68"/>
      <c r="P974" s="68"/>
      <c r="Q974" s="68"/>
      <c r="R974" s="68"/>
      <c r="S974" s="68"/>
    </row>
    <row r="975" spans="1:19" ht="15.75" customHeight="1">
      <c r="A975" s="68"/>
      <c r="B975" s="68"/>
      <c r="D975" s="68"/>
      <c r="E975" s="69"/>
      <c r="K975" s="68"/>
      <c r="M975" s="68"/>
      <c r="O975" s="68"/>
      <c r="P975" s="68"/>
      <c r="Q975" s="68"/>
      <c r="R975" s="68"/>
      <c r="S975" s="68"/>
    </row>
    <row r="976" spans="1:19" ht="15.75" customHeight="1">
      <c r="A976" s="68"/>
      <c r="B976" s="68"/>
      <c r="D976" s="68"/>
      <c r="E976" s="69"/>
      <c r="K976" s="68"/>
      <c r="M976" s="68"/>
      <c r="O976" s="68"/>
      <c r="P976" s="68"/>
      <c r="Q976" s="68"/>
      <c r="R976" s="68"/>
      <c r="S976" s="68"/>
    </row>
    <row r="977" spans="1:19" ht="15.75" customHeight="1">
      <c r="A977" s="68"/>
      <c r="B977" s="68"/>
      <c r="D977" s="68"/>
      <c r="E977" s="69"/>
      <c r="K977" s="68"/>
      <c r="M977" s="68"/>
      <c r="O977" s="68"/>
      <c r="P977" s="68"/>
      <c r="Q977" s="68"/>
      <c r="R977" s="68"/>
      <c r="S977" s="68"/>
    </row>
    <row r="978" spans="1:19" ht="15.75" customHeight="1">
      <c r="A978" s="68"/>
      <c r="B978" s="68"/>
      <c r="D978" s="68"/>
      <c r="E978" s="69"/>
      <c r="K978" s="68"/>
      <c r="M978" s="68"/>
      <c r="O978" s="68"/>
      <c r="P978" s="68"/>
      <c r="Q978" s="68"/>
      <c r="R978" s="68"/>
      <c r="S978" s="68"/>
    </row>
    <row r="979" spans="1:19" ht="15.75" customHeight="1">
      <c r="A979" s="68"/>
      <c r="B979" s="68"/>
      <c r="D979" s="68"/>
      <c r="E979" s="69"/>
      <c r="K979" s="68"/>
      <c r="M979" s="68"/>
      <c r="O979" s="68"/>
      <c r="P979" s="68"/>
      <c r="Q979" s="68"/>
      <c r="R979" s="68"/>
      <c r="S979" s="68"/>
    </row>
    <row r="980" spans="1:19" ht="15.75" customHeight="1">
      <c r="A980" s="68"/>
      <c r="B980" s="68"/>
      <c r="D980" s="68"/>
      <c r="E980" s="69"/>
      <c r="K980" s="68"/>
      <c r="M980" s="68"/>
      <c r="O980" s="68"/>
      <c r="P980" s="68"/>
      <c r="Q980" s="68"/>
      <c r="R980" s="68"/>
      <c r="S980" s="68"/>
    </row>
    <row r="981" spans="1:19" ht="15.75" customHeight="1">
      <c r="A981" s="68"/>
      <c r="B981" s="68"/>
      <c r="D981" s="68"/>
      <c r="E981" s="69"/>
      <c r="K981" s="68"/>
      <c r="M981" s="68"/>
      <c r="O981" s="68"/>
      <c r="P981" s="68"/>
      <c r="Q981" s="68"/>
      <c r="R981" s="68"/>
      <c r="S981" s="68"/>
    </row>
    <row r="982" spans="1:19" ht="15.75" customHeight="1">
      <c r="A982" s="68"/>
      <c r="B982" s="68"/>
      <c r="D982" s="68"/>
      <c r="E982" s="69"/>
      <c r="K982" s="68"/>
      <c r="M982" s="68"/>
      <c r="O982" s="68"/>
      <c r="P982" s="68"/>
      <c r="Q982" s="68"/>
      <c r="R982" s="68"/>
      <c r="S982" s="68"/>
    </row>
    <row r="983" spans="1:19" ht="15.75" customHeight="1">
      <c r="A983" s="68"/>
      <c r="B983" s="68"/>
      <c r="D983" s="68"/>
      <c r="E983" s="69"/>
      <c r="K983" s="68"/>
      <c r="M983" s="68"/>
      <c r="O983" s="68"/>
      <c r="P983" s="68"/>
      <c r="Q983" s="68"/>
      <c r="R983" s="68"/>
      <c r="S983" s="68"/>
    </row>
    <row r="984" spans="1:19" ht="15.75" customHeight="1">
      <c r="A984" s="68"/>
      <c r="B984" s="68"/>
      <c r="D984" s="68"/>
      <c r="E984" s="69"/>
      <c r="K984" s="68"/>
      <c r="M984" s="68"/>
      <c r="O984" s="68"/>
      <c r="P984" s="68"/>
      <c r="Q984" s="68"/>
      <c r="R984" s="68"/>
      <c r="S984" s="68"/>
    </row>
    <row r="985" spans="1:19" ht="15.75" customHeight="1">
      <c r="A985" s="68"/>
      <c r="B985" s="68"/>
      <c r="D985" s="68"/>
      <c r="E985" s="69"/>
      <c r="K985" s="68"/>
      <c r="M985" s="68"/>
      <c r="O985" s="68"/>
      <c r="P985" s="68"/>
      <c r="Q985" s="68"/>
      <c r="R985" s="68"/>
      <c r="S985" s="68"/>
    </row>
    <row r="986" spans="1:19" ht="15.75" customHeight="1">
      <c r="A986" s="68"/>
      <c r="B986" s="68"/>
      <c r="D986" s="68"/>
      <c r="E986" s="69"/>
      <c r="K986" s="68"/>
      <c r="M986" s="68"/>
      <c r="O986" s="68"/>
      <c r="P986" s="68"/>
      <c r="Q986" s="68"/>
      <c r="R986" s="68"/>
      <c r="S986" s="68"/>
    </row>
    <row r="987" spans="1:19" ht="15.75" customHeight="1">
      <c r="A987" s="68"/>
      <c r="B987" s="68"/>
      <c r="D987" s="68"/>
      <c r="E987" s="69"/>
      <c r="K987" s="68"/>
      <c r="M987" s="68"/>
      <c r="O987" s="68"/>
      <c r="P987" s="68"/>
      <c r="Q987" s="68"/>
      <c r="R987" s="68"/>
      <c r="S987" s="68"/>
    </row>
    <row r="988" spans="1:19" ht="15.75" customHeight="1">
      <c r="A988" s="68"/>
      <c r="B988" s="68"/>
      <c r="D988" s="68"/>
      <c r="E988" s="69"/>
      <c r="K988" s="68"/>
      <c r="M988" s="68"/>
      <c r="O988" s="68"/>
      <c r="P988" s="68"/>
      <c r="Q988" s="68"/>
      <c r="R988" s="68"/>
      <c r="S988" s="68"/>
    </row>
    <row r="989" spans="1:19" ht="15.75" customHeight="1">
      <c r="A989" s="68"/>
      <c r="B989" s="68"/>
      <c r="D989" s="68"/>
      <c r="E989" s="69"/>
      <c r="K989" s="68"/>
      <c r="M989" s="68"/>
      <c r="O989" s="68"/>
      <c r="P989" s="68"/>
      <c r="Q989" s="68"/>
      <c r="R989" s="68"/>
      <c r="S989" s="68"/>
    </row>
    <row r="990" spans="1:19" ht="15.75" customHeight="1">
      <c r="A990" s="68"/>
      <c r="B990" s="68"/>
      <c r="D990" s="68"/>
      <c r="E990" s="69"/>
      <c r="K990" s="68"/>
      <c r="M990" s="68"/>
      <c r="O990" s="68"/>
      <c r="P990" s="68"/>
      <c r="Q990" s="68"/>
      <c r="R990" s="68"/>
      <c r="S990" s="68"/>
    </row>
    <row r="991" spans="1:19" ht="15.75" customHeight="1">
      <c r="A991" s="68"/>
      <c r="B991" s="68"/>
      <c r="D991" s="68"/>
      <c r="E991" s="69"/>
      <c r="K991" s="68"/>
      <c r="M991" s="68"/>
      <c r="O991" s="68"/>
      <c r="P991" s="68"/>
      <c r="Q991" s="68"/>
      <c r="R991" s="68"/>
      <c r="S991" s="68"/>
    </row>
    <row r="992" spans="1:19" ht="15.75" customHeight="1">
      <c r="A992" s="68"/>
      <c r="B992" s="68"/>
      <c r="D992" s="68"/>
      <c r="E992" s="69"/>
      <c r="K992" s="68"/>
      <c r="M992" s="68"/>
      <c r="O992" s="68"/>
      <c r="P992" s="68"/>
      <c r="Q992" s="68"/>
      <c r="R992" s="68"/>
      <c r="S992" s="68"/>
    </row>
    <row r="993" spans="1:19" ht="15.75" customHeight="1">
      <c r="A993" s="68"/>
      <c r="B993" s="68"/>
      <c r="D993" s="68"/>
      <c r="E993" s="69"/>
      <c r="K993" s="68"/>
      <c r="M993" s="68"/>
      <c r="O993" s="68"/>
      <c r="P993" s="68"/>
      <c r="Q993" s="68"/>
      <c r="R993" s="68"/>
      <c r="S993" s="68"/>
    </row>
    <row r="994" spans="1:19" ht="15.75" customHeight="1">
      <c r="A994" s="68"/>
      <c r="B994" s="68"/>
      <c r="D994" s="68"/>
      <c r="E994" s="69"/>
      <c r="K994" s="68"/>
      <c r="M994" s="68"/>
      <c r="O994" s="68"/>
      <c r="P994" s="68"/>
      <c r="Q994" s="68"/>
      <c r="R994" s="68"/>
      <c r="S994" s="68"/>
    </row>
    <row r="995" spans="1:19" ht="15.75" customHeight="1">
      <c r="A995" s="68"/>
      <c r="B995" s="68"/>
      <c r="D995" s="68"/>
      <c r="E995" s="69"/>
      <c r="K995" s="68"/>
      <c r="M995" s="68"/>
      <c r="O995" s="68"/>
      <c r="P995" s="68"/>
      <c r="Q995" s="68"/>
      <c r="R995" s="68"/>
      <c r="S995" s="68"/>
    </row>
    <row r="996" spans="1:19" ht="15.75" customHeight="1">
      <c r="A996" s="68"/>
      <c r="B996" s="68"/>
      <c r="D996" s="68"/>
      <c r="E996" s="69"/>
      <c r="K996" s="68"/>
      <c r="M996" s="68"/>
      <c r="O996" s="68"/>
      <c r="P996" s="68"/>
      <c r="Q996" s="68"/>
      <c r="R996" s="68"/>
      <c r="S996" s="68"/>
    </row>
    <row r="997" spans="1:19" ht="15.75" customHeight="1">
      <c r="A997" s="68"/>
      <c r="B997" s="68"/>
      <c r="D997" s="68"/>
      <c r="E997" s="69"/>
      <c r="K997" s="68"/>
      <c r="M997" s="68"/>
      <c r="O997" s="68"/>
      <c r="P997" s="68"/>
      <c r="Q997" s="68"/>
      <c r="R997" s="68"/>
      <c r="S997" s="68"/>
    </row>
    <row r="998" spans="1:19" ht="15.75" customHeight="1">
      <c r="A998" s="68"/>
      <c r="B998" s="68"/>
      <c r="D998" s="68"/>
      <c r="E998" s="69"/>
      <c r="K998" s="68"/>
      <c r="M998" s="68"/>
      <c r="O998" s="68"/>
      <c r="P998" s="68"/>
      <c r="Q998" s="68"/>
      <c r="R998" s="68"/>
      <c r="S998" s="68"/>
    </row>
    <row r="999" spans="1:19" ht="15.75" customHeight="1">
      <c r="A999" s="68"/>
      <c r="B999" s="68"/>
      <c r="D999" s="68"/>
      <c r="E999" s="69"/>
      <c r="K999" s="68"/>
      <c r="M999" s="68"/>
      <c r="O999" s="68"/>
      <c r="P999" s="68"/>
      <c r="Q999" s="68"/>
      <c r="R999" s="68"/>
      <c r="S999" s="68"/>
    </row>
    <row r="1000" spans="1:19" ht="15.75" customHeight="1">
      <c r="A1000" s="68"/>
      <c r="B1000" s="68"/>
      <c r="D1000" s="68"/>
      <c r="E1000" s="69"/>
      <c r="K1000" s="68"/>
      <c r="M1000" s="68"/>
      <c r="O1000" s="68"/>
      <c r="P1000" s="68"/>
      <c r="Q1000" s="68"/>
      <c r="R1000" s="68"/>
      <c r="S1000" s="68"/>
    </row>
  </sheetData>
  <mergeCells count="338">
    <mergeCell ref="G422:G424"/>
    <mergeCell ref="E415:E417"/>
    <mergeCell ref="F415:F417"/>
    <mergeCell ref="E418:E420"/>
    <mergeCell ref="F418:F420"/>
    <mergeCell ref="E459:E460"/>
    <mergeCell ref="F459:F460"/>
    <mergeCell ref="E444:E458"/>
    <mergeCell ref="F444:F458"/>
    <mergeCell ref="G445:G446"/>
    <mergeCell ref="G447:G451"/>
    <mergeCell ref="G452:G458"/>
    <mergeCell ref="G459:G460"/>
    <mergeCell ref="E430:E432"/>
    <mergeCell ref="F430:F432"/>
    <mergeCell ref="G431:G432"/>
    <mergeCell ref="E425:E429"/>
    <mergeCell ref="F425:F429"/>
    <mergeCell ref="G426:G429"/>
    <mergeCell ref="E283:E284"/>
    <mergeCell ref="E285:E286"/>
    <mergeCell ref="A299:A302"/>
    <mergeCell ref="B299:B302"/>
    <mergeCell ref="D299:D302"/>
    <mergeCell ref="E303:E304"/>
    <mergeCell ref="F303:F304"/>
    <mergeCell ref="D293:D298"/>
    <mergeCell ref="E421:E424"/>
    <mergeCell ref="F421:F424"/>
    <mergeCell ref="D325:D347"/>
    <mergeCell ref="D348:D359"/>
    <mergeCell ref="D360:D367"/>
    <mergeCell ref="E377:E379"/>
    <mergeCell ref="F377:F379"/>
    <mergeCell ref="E371:E376"/>
    <mergeCell ref="F371:F373"/>
    <mergeCell ref="E321:E322"/>
    <mergeCell ref="F321:F322"/>
    <mergeCell ref="E317:E318"/>
    <mergeCell ref="F317:F318"/>
    <mergeCell ref="E319:E320"/>
    <mergeCell ref="F319:F320"/>
    <mergeCell ref="E334:E335"/>
    <mergeCell ref="A477:A484"/>
    <mergeCell ref="B477:B484"/>
    <mergeCell ref="A241:A244"/>
    <mergeCell ref="B241:B251"/>
    <mergeCell ref="D241:D251"/>
    <mergeCell ref="A245:A246"/>
    <mergeCell ref="A247:A251"/>
    <mergeCell ref="A252:A257"/>
    <mergeCell ref="B252:B257"/>
    <mergeCell ref="D252:D257"/>
    <mergeCell ref="A258:A264"/>
    <mergeCell ref="B258:B264"/>
    <mergeCell ref="D258:D264"/>
    <mergeCell ref="A265:A269"/>
    <mergeCell ref="B265:B269"/>
    <mergeCell ref="D265:D269"/>
    <mergeCell ref="D279:D286"/>
    <mergeCell ref="B368:B420"/>
    <mergeCell ref="A459:A460"/>
    <mergeCell ref="A461:A465"/>
    <mergeCell ref="B461:B465"/>
    <mergeCell ref="A466:A468"/>
    <mergeCell ref="B466:B468"/>
    <mergeCell ref="A469:A476"/>
    <mergeCell ref="B469:B476"/>
    <mergeCell ref="A421:A435"/>
    <mergeCell ref="B421:B435"/>
    <mergeCell ref="A436:A443"/>
    <mergeCell ref="B436:B443"/>
    <mergeCell ref="A444:A458"/>
    <mergeCell ref="B444:B458"/>
    <mergeCell ref="B459:B460"/>
    <mergeCell ref="D459:D460"/>
    <mergeCell ref="D461:D465"/>
    <mergeCell ref="D466:D468"/>
    <mergeCell ref="D469:D476"/>
    <mergeCell ref="D436:D443"/>
    <mergeCell ref="D444:D458"/>
    <mergeCell ref="D477:D484"/>
    <mergeCell ref="D368:D388"/>
    <mergeCell ref="D389:D420"/>
    <mergeCell ref="D421:D435"/>
    <mergeCell ref="A270:A272"/>
    <mergeCell ref="B270:B272"/>
    <mergeCell ref="A273:A276"/>
    <mergeCell ref="B273:B278"/>
    <mergeCell ref="B279:B286"/>
    <mergeCell ref="A280:A282"/>
    <mergeCell ref="A283:A286"/>
    <mergeCell ref="A287:A292"/>
    <mergeCell ref="B287:B292"/>
    <mergeCell ref="A293:A298"/>
    <mergeCell ref="B293:B298"/>
    <mergeCell ref="A303:A347"/>
    <mergeCell ref="B303:B347"/>
    <mergeCell ref="A348:A420"/>
    <mergeCell ref="B348:B359"/>
    <mergeCell ref="B360:B367"/>
    <mergeCell ref="D270:D272"/>
    <mergeCell ref="D273:D278"/>
    <mergeCell ref="D287:D292"/>
    <mergeCell ref="D303:D324"/>
    <mergeCell ref="A229:A230"/>
    <mergeCell ref="B229:B230"/>
    <mergeCell ref="D229:D230"/>
    <mergeCell ref="A231:A240"/>
    <mergeCell ref="B231:B240"/>
    <mergeCell ref="D231:D240"/>
    <mergeCell ref="E232:E234"/>
    <mergeCell ref="F232:F234"/>
    <mergeCell ref="G232:G234"/>
    <mergeCell ref="F219:F221"/>
    <mergeCell ref="G219:G221"/>
    <mergeCell ref="F222:F224"/>
    <mergeCell ref="G222:G224"/>
    <mergeCell ref="E225:E226"/>
    <mergeCell ref="F225:F226"/>
    <mergeCell ref="G225:G226"/>
    <mergeCell ref="F227:F228"/>
    <mergeCell ref="G227:G228"/>
    <mergeCell ref="A124:A130"/>
    <mergeCell ref="B124:B130"/>
    <mergeCell ref="A131:A134"/>
    <mergeCell ref="B131:B134"/>
    <mergeCell ref="A135:A139"/>
    <mergeCell ref="B135:B139"/>
    <mergeCell ref="A140:A142"/>
    <mergeCell ref="B140:B142"/>
    <mergeCell ref="F215:F216"/>
    <mergeCell ref="A156:A182"/>
    <mergeCell ref="B156:B182"/>
    <mergeCell ref="D156:D182"/>
    <mergeCell ref="A183:A208"/>
    <mergeCell ref="B183:B208"/>
    <mergeCell ref="D183:D208"/>
    <mergeCell ref="A209:A218"/>
    <mergeCell ref="B209:B218"/>
    <mergeCell ref="F212:F214"/>
    <mergeCell ref="A219:A228"/>
    <mergeCell ref="B219:B228"/>
    <mergeCell ref="G402:G404"/>
    <mergeCell ref="E405:E407"/>
    <mergeCell ref="F405:F407"/>
    <mergeCell ref="G406:G407"/>
    <mergeCell ref="F411:F414"/>
    <mergeCell ref="G412:G414"/>
    <mergeCell ref="E408:E410"/>
    <mergeCell ref="F408:F410"/>
    <mergeCell ref="G409:G410"/>
    <mergeCell ref="E411:E414"/>
    <mergeCell ref="E368:E370"/>
    <mergeCell ref="F368:F370"/>
    <mergeCell ref="G369:G370"/>
    <mergeCell ref="E380:E382"/>
    <mergeCell ref="F380:F382"/>
    <mergeCell ref="E383:E385"/>
    <mergeCell ref="F383:F385"/>
    <mergeCell ref="E386:E388"/>
    <mergeCell ref="F386:F388"/>
    <mergeCell ref="G387:G388"/>
    <mergeCell ref="E389:E392"/>
    <mergeCell ref="F389:F392"/>
    <mergeCell ref="H445:H446"/>
    <mergeCell ref="H447:H448"/>
    <mergeCell ref="H449:H450"/>
    <mergeCell ref="H454:H458"/>
    <mergeCell ref="E433:E435"/>
    <mergeCell ref="E436:E439"/>
    <mergeCell ref="F436:F439"/>
    <mergeCell ref="G437:G439"/>
    <mergeCell ref="E440:E443"/>
    <mergeCell ref="F440:F443"/>
    <mergeCell ref="G441:G443"/>
    <mergeCell ref="G390:G392"/>
    <mergeCell ref="F397:F400"/>
    <mergeCell ref="G398:G400"/>
    <mergeCell ref="E393:E396"/>
    <mergeCell ref="F393:F396"/>
    <mergeCell ref="G394:G396"/>
    <mergeCell ref="E397:E400"/>
    <mergeCell ref="E401:E404"/>
    <mergeCell ref="F401:F404"/>
    <mergeCell ref="E323:E324"/>
    <mergeCell ref="F323:F324"/>
    <mergeCell ref="E325:E327"/>
    <mergeCell ref="F325:F327"/>
    <mergeCell ref="G372:G373"/>
    <mergeCell ref="F374:F376"/>
    <mergeCell ref="G375:G376"/>
    <mergeCell ref="G378:G379"/>
    <mergeCell ref="E343:E345"/>
    <mergeCell ref="F343:F345"/>
    <mergeCell ref="G344:G345"/>
    <mergeCell ref="E352:E355"/>
    <mergeCell ref="F352:F355"/>
    <mergeCell ref="G353:G355"/>
    <mergeCell ref="E346:E347"/>
    <mergeCell ref="F346:F347"/>
    <mergeCell ref="E348:E351"/>
    <mergeCell ref="F348:F351"/>
    <mergeCell ref="E356:E359"/>
    <mergeCell ref="F356:F359"/>
    <mergeCell ref="G357:G359"/>
    <mergeCell ref="E360:E361"/>
    <mergeCell ref="E362:E363"/>
    <mergeCell ref="E364:E367"/>
    <mergeCell ref="E309:E310"/>
    <mergeCell ref="F309:F310"/>
    <mergeCell ref="E305:E306"/>
    <mergeCell ref="F305:F306"/>
    <mergeCell ref="E307:E308"/>
    <mergeCell ref="F307:F308"/>
    <mergeCell ref="E315:E316"/>
    <mergeCell ref="F315:F316"/>
    <mergeCell ref="E311:E312"/>
    <mergeCell ref="F311:F312"/>
    <mergeCell ref="E313:E314"/>
    <mergeCell ref="F313:F314"/>
    <mergeCell ref="G326:G327"/>
    <mergeCell ref="G339:G340"/>
    <mergeCell ref="M348:M354"/>
    <mergeCell ref="G349:G351"/>
    <mergeCell ref="H357:H358"/>
    <mergeCell ref="E328:E330"/>
    <mergeCell ref="F328:F330"/>
    <mergeCell ref="G329:G330"/>
    <mergeCell ref="E331:E333"/>
    <mergeCell ref="F331:F333"/>
    <mergeCell ref="G332:G333"/>
    <mergeCell ref="E338:E340"/>
    <mergeCell ref="F338:F340"/>
    <mergeCell ref="E341:E342"/>
    <mergeCell ref="F341:F342"/>
    <mergeCell ref="F334:F335"/>
    <mergeCell ref="E336:E337"/>
    <mergeCell ref="F336:F337"/>
    <mergeCell ref="D219:D228"/>
    <mergeCell ref="E219:E221"/>
    <mergeCell ref="E222:E224"/>
    <mergeCell ref="E227:E228"/>
    <mergeCell ref="A85:A88"/>
    <mergeCell ref="B85:B88"/>
    <mergeCell ref="D85:D88"/>
    <mergeCell ref="E85:E86"/>
    <mergeCell ref="E87:E88"/>
    <mergeCell ref="A89:A91"/>
    <mergeCell ref="B89:B91"/>
    <mergeCell ref="D89:D91"/>
    <mergeCell ref="A98:A103"/>
    <mergeCell ref="B98:B103"/>
    <mergeCell ref="D98:D103"/>
    <mergeCell ref="A104:A109"/>
    <mergeCell ref="B104:B121"/>
    <mergeCell ref="D104:D121"/>
    <mergeCell ref="A110:A121"/>
    <mergeCell ref="A154:A155"/>
    <mergeCell ref="B154:B155"/>
    <mergeCell ref="A143:A149"/>
    <mergeCell ref="B143:B149"/>
    <mergeCell ref="A150:A151"/>
    <mergeCell ref="G212:G214"/>
    <mergeCell ref="F217:F218"/>
    <mergeCell ref="G217:G218"/>
    <mergeCell ref="D209:D218"/>
    <mergeCell ref="E209:E211"/>
    <mergeCell ref="F209:F211"/>
    <mergeCell ref="G209:G211"/>
    <mergeCell ref="E212:E214"/>
    <mergeCell ref="E217:E218"/>
    <mergeCell ref="E215:E216"/>
    <mergeCell ref="G215:G216"/>
    <mergeCell ref="A55:A56"/>
    <mergeCell ref="B55:B56"/>
    <mergeCell ref="D55:D56"/>
    <mergeCell ref="A57:A78"/>
    <mergeCell ref="B57:B78"/>
    <mergeCell ref="A92:A96"/>
    <mergeCell ref="B92:B96"/>
    <mergeCell ref="D57:D78"/>
    <mergeCell ref="M123:M155"/>
    <mergeCell ref="D124:D130"/>
    <mergeCell ref="D131:D134"/>
    <mergeCell ref="D143:D149"/>
    <mergeCell ref="D154:D155"/>
    <mergeCell ref="A79:A81"/>
    <mergeCell ref="B79:B81"/>
    <mergeCell ref="D79:D81"/>
    <mergeCell ref="A82:A84"/>
    <mergeCell ref="B82:B84"/>
    <mergeCell ref="D82:D84"/>
    <mergeCell ref="B150:B151"/>
    <mergeCell ref="D92:D96"/>
    <mergeCell ref="D135:D139"/>
    <mergeCell ref="D140:D142"/>
    <mergeCell ref="D150:D151"/>
    <mergeCell ref="A27:A37"/>
    <mergeCell ref="B27:B40"/>
    <mergeCell ref="D27:D40"/>
    <mergeCell ref="A39:A40"/>
    <mergeCell ref="E52:E54"/>
    <mergeCell ref="F52:F53"/>
    <mergeCell ref="G52:G53"/>
    <mergeCell ref="H52:H53"/>
    <mergeCell ref="D41:D42"/>
    <mergeCell ref="E43:E46"/>
    <mergeCell ref="E48:E49"/>
    <mergeCell ref="E50:E51"/>
    <mergeCell ref="A41:A42"/>
    <mergeCell ref="B41:B42"/>
    <mergeCell ref="A43:A54"/>
    <mergeCell ref="B43:B54"/>
    <mergeCell ref="D43:D54"/>
    <mergeCell ref="A17:A18"/>
    <mergeCell ref="B17:B18"/>
    <mergeCell ref="D17:D18"/>
    <mergeCell ref="E21:E22"/>
    <mergeCell ref="F21:F22"/>
    <mergeCell ref="G21:G22"/>
    <mergeCell ref="D19:D20"/>
    <mergeCell ref="D21:D26"/>
    <mergeCell ref="A19:A20"/>
    <mergeCell ref="B19:B20"/>
    <mergeCell ref="A21:A26"/>
    <mergeCell ref="B21:B26"/>
    <mergeCell ref="A4:A8"/>
    <mergeCell ref="B4:B8"/>
    <mergeCell ref="D4:D8"/>
    <mergeCell ref="E4:E7"/>
    <mergeCell ref="A9:A11"/>
    <mergeCell ref="B9:B11"/>
    <mergeCell ref="D9:D11"/>
    <mergeCell ref="E9:E11"/>
    <mergeCell ref="A12:A16"/>
    <mergeCell ref="B12:B16"/>
    <mergeCell ref="D12:D16"/>
  </mergeCells>
  <conditionalFormatting sqref="I3:J3 L32:L34">
    <cfRule type="cellIs" dxfId="1104" priority="1" stopIfTrue="1" operator="equal">
      <formula>"OK"</formula>
    </cfRule>
  </conditionalFormatting>
  <conditionalFormatting sqref="I3:J3 L32:L34">
    <cfRule type="cellIs" dxfId="1103" priority="2" stopIfTrue="1" operator="equal">
      <formula>"Fail"</formula>
    </cfRule>
  </conditionalFormatting>
  <conditionalFormatting sqref="I3:J3">
    <cfRule type="cellIs" dxfId="1102" priority="3" stopIfTrue="1" operator="equal">
      <formula>"OK"</formula>
    </cfRule>
  </conditionalFormatting>
  <conditionalFormatting sqref="I3:J3">
    <cfRule type="cellIs" dxfId="1101" priority="4" stopIfTrue="1" operator="equal">
      <formula>"Fail"</formula>
    </cfRule>
  </conditionalFormatting>
  <conditionalFormatting sqref="K3:K390 L3 L57:L80 L82:L91 L123:L182 L209:L211 L215:L216 L303:L304 L309:L324 L348:L350 L377:L378 K421:K460 L421:L435 L441:L460">
    <cfRule type="containsText" dxfId="1100" priority="5" operator="containsText" text="NG">
      <formula>NOT(ISERROR(SEARCH(("NG"),(K3))))</formula>
    </cfRule>
  </conditionalFormatting>
  <conditionalFormatting sqref="K3:K390 L3 L57:L80 L82:L91 L123:L182 L209:L211 L215:L216 L303:L304 L309:L324 L348:L350 L377:L378 K421:K460 L421:L435 L441:L460">
    <cfRule type="containsText" dxfId="1099" priority="6" operator="containsText" text="OK">
      <formula>NOT(ISERROR(SEARCH(("OK"),(K3))))</formula>
    </cfRule>
  </conditionalFormatting>
  <conditionalFormatting sqref="K19:K20">
    <cfRule type="cellIs" dxfId="1098" priority="7" stopIfTrue="1" operator="equal">
      <formula>"OK"</formula>
    </cfRule>
  </conditionalFormatting>
  <conditionalFormatting sqref="K19:K20">
    <cfRule type="cellIs" dxfId="1097" priority="8" stopIfTrue="1" operator="equal">
      <formula>"Fail"</formula>
    </cfRule>
  </conditionalFormatting>
  <conditionalFormatting sqref="L4:L8">
    <cfRule type="containsText" dxfId="1096" priority="9" operator="containsText" text="NG">
      <formula>NOT(ISERROR(SEARCH(("NG"),(L4))))</formula>
    </cfRule>
  </conditionalFormatting>
  <conditionalFormatting sqref="L4:L8">
    <cfRule type="containsText" dxfId="1095" priority="10" operator="containsText" text="OK">
      <formula>NOT(ISERROR(SEARCH(("OK"),(L4))))</formula>
    </cfRule>
  </conditionalFormatting>
  <conditionalFormatting sqref="L9:L11">
    <cfRule type="containsText" dxfId="1094" priority="11" operator="containsText" text="NG">
      <formula>NOT(ISERROR(SEARCH(("NG"),(L9))))</formula>
    </cfRule>
  </conditionalFormatting>
  <conditionalFormatting sqref="L9:L11">
    <cfRule type="containsText" dxfId="1093" priority="12" operator="containsText" text="OK">
      <formula>NOT(ISERROR(SEARCH(("OK"),(L9))))</formula>
    </cfRule>
  </conditionalFormatting>
  <conditionalFormatting sqref="L12:L16">
    <cfRule type="containsText" dxfId="1092" priority="13" operator="containsText" text="NG">
      <formula>NOT(ISERROR(SEARCH(("NG"),(L12))))</formula>
    </cfRule>
  </conditionalFormatting>
  <conditionalFormatting sqref="L12:L16">
    <cfRule type="containsText" dxfId="1091" priority="14" operator="containsText" text="OK">
      <formula>NOT(ISERROR(SEARCH(("OK"),(L12))))</formula>
    </cfRule>
  </conditionalFormatting>
  <conditionalFormatting sqref="L17:L18">
    <cfRule type="containsText" dxfId="1090" priority="15" operator="containsText" text="NG">
      <formula>NOT(ISERROR(SEARCH(("NG"),(L17))))</formula>
    </cfRule>
  </conditionalFormatting>
  <conditionalFormatting sqref="L17:L18">
    <cfRule type="containsText" dxfId="1089" priority="16" operator="containsText" text="OK">
      <formula>NOT(ISERROR(SEARCH(("OK"),(L17))))</formula>
    </cfRule>
  </conditionalFormatting>
  <conditionalFormatting sqref="L19:L20">
    <cfRule type="containsText" dxfId="1088" priority="17" operator="containsText" text="NG">
      <formula>NOT(ISERROR(SEARCH(("NG"),(L19))))</formula>
    </cfRule>
  </conditionalFormatting>
  <conditionalFormatting sqref="L19:L20">
    <cfRule type="containsText" dxfId="1087" priority="18" operator="containsText" text="OK">
      <formula>NOT(ISERROR(SEARCH(("OK"),(L19))))</formula>
    </cfRule>
  </conditionalFormatting>
  <conditionalFormatting sqref="L21:L26">
    <cfRule type="containsText" dxfId="1086" priority="19" operator="containsText" text="NG">
      <formula>NOT(ISERROR(SEARCH(("NG"),(L21))))</formula>
    </cfRule>
  </conditionalFormatting>
  <conditionalFormatting sqref="L21:L26">
    <cfRule type="containsText" dxfId="1085" priority="20" operator="containsText" text="OK">
      <formula>NOT(ISERROR(SEARCH(("OK"),(L21))))</formula>
    </cfRule>
  </conditionalFormatting>
  <conditionalFormatting sqref="L27 L35:L40">
    <cfRule type="containsText" dxfId="1084" priority="21" operator="containsText" text="NG">
      <formula>NOT(ISERROR(SEARCH(("NG"),(L27))))</formula>
    </cfRule>
  </conditionalFormatting>
  <conditionalFormatting sqref="L27 L35:L40">
    <cfRule type="containsText" dxfId="1083" priority="22" operator="containsText" text="OK">
      <formula>NOT(ISERROR(SEARCH(("OK"),(L27))))</formula>
    </cfRule>
  </conditionalFormatting>
  <conditionalFormatting sqref="L41:L42">
    <cfRule type="containsText" dxfId="1082" priority="23" operator="containsText" text="NG">
      <formula>NOT(ISERROR(SEARCH(("NG"),(L41))))</formula>
    </cfRule>
  </conditionalFormatting>
  <conditionalFormatting sqref="L41:L42">
    <cfRule type="containsText" dxfId="1081" priority="24" operator="containsText" text="OK">
      <formula>NOT(ISERROR(SEARCH(("OK"),(L41))))</formula>
    </cfRule>
  </conditionalFormatting>
  <conditionalFormatting sqref="L43:L54">
    <cfRule type="containsText" dxfId="1080" priority="25" operator="containsText" text="NG">
      <formula>NOT(ISERROR(SEARCH(("NG"),(L43))))</formula>
    </cfRule>
  </conditionalFormatting>
  <conditionalFormatting sqref="L43:L54">
    <cfRule type="containsText" dxfId="1079" priority="26" operator="containsText" text="OK">
      <formula>NOT(ISERROR(SEARCH(("OK"),(L43))))</formula>
    </cfRule>
  </conditionalFormatting>
  <conditionalFormatting sqref="L55:L56">
    <cfRule type="containsText" dxfId="1078" priority="27" operator="containsText" text="NG">
      <formula>NOT(ISERROR(SEARCH(("NG"),(L55))))</formula>
    </cfRule>
  </conditionalFormatting>
  <conditionalFormatting sqref="L55:L56">
    <cfRule type="containsText" dxfId="1077" priority="28" operator="containsText" text="OK">
      <formula>NOT(ISERROR(SEARCH(("OK"),(L55))))</formula>
    </cfRule>
  </conditionalFormatting>
  <conditionalFormatting sqref="L97">
    <cfRule type="containsText" dxfId="1076" priority="29" operator="containsText" text="NG">
      <formula>NOT(ISERROR(SEARCH(("NG"),(L97))))</formula>
    </cfRule>
  </conditionalFormatting>
  <conditionalFormatting sqref="L97">
    <cfRule type="containsText" dxfId="1075" priority="30" operator="containsText" text="OK">
      <formula>NOT(ISERROR(SEARCH(("OK"),(L97))))</formula>
    </cfRule>
  </conditionalFormatting>
  <conditionalFormatting sqref="L98:L103">
    <cfRule type="containsText" dxfId="1074" priority="31" operator="containsText" text="NG">
      <formula>NOT(ISERROR(SEARCH(("NG"),(L98))))</formula>
    </cfRule>
  </conditionalFormatting>
  <conditionalFormatting sqref="L98:L103">
    <cfRule type="containsText" dxfId="1073" priority="32" operator="containsText" text="OK">
      <formula>NOT(ISERROR(SEARCH(("OK"),(L98))))</formula>
    </cfRule>
  </conditionalFormatting>
  <conditionalFormatting sqref="L104:L121">
    <cfRule type="containsText" dxfId="1072" priority="33" operator="containsText" text="NG">
      <formula>NOT(ISERROR(SEARCH(("NG"),(L104))))</formula>
    </cfRule>
  </conditionalFormatting>
  <conditionalFormatting sqref="L104:L121">
    <cfRule type="containsText" dxfId="1071" priority="34" operator="containsText" text="OK">
      <formula>NOT(ISERROR(SEARCH(("OK"),(L104))))</formula>
    </cfRule>
  </conditionalFormatting>
  <conditionalFormatting sqref="L122">
    <cfRule type="containsText" dxfId="1070" priority="35" operator="containsText" text="NG">
      <formula>NOT(ISERROR(SEARCH(("NG"),(L122))))</formula>
    </cfRule>
  </conditionalFormatting>
  <conditionalFormatting sqref="L122">
    <cfRule type="containsText" dxfId="1069" priority="36" operator="containsText" text="OK">
      <formula>NOT(ISERROR(SEARCH(("OK"),(L122))))</formula>
    </cfRule>
  </conditionalFormatting>
  <conditionalFormatting sqref="L229:L302">
    <cfRule type="containsText" dxfId="1068" priority="37" operator="containsText" text="NG">
      <formula>NOT(ISERROR(SEARCH(("NG"),(L229))))</formula>
    </cfRule>
  </conditionalFormatting>
  <conditionalFormatting sqref="L229:L302">
    <cfRule type="containsText" dxfId="1067" priority="38" operator="containsText" text="OK">
      <formula>NOT(ISERROR(SEARCH(("OK"),(L229))))</formula>
    </cfRule>
  </conditionalFormatting>
  <conditionalFormatting sqref="L89:L96">
    <cfRule type="containsText" dxfId="1066" priority="39" operator="containsText" text="NG">
      <formula>NOT(ISERROR(SEARCH(("NG"),(L89))))</formula>
    </cfRule>
  </conditionalFormatting>
  <conditionalFormatting sqref="L89:L96">
    <cfRule type="containsText" dxfId="1065" priority="40" operator="containsText" text="OK">
      <formula>NOT(ISERROR(SEARCH(("OK"),(L89))))</formula>
    </cfRule>
  </conditionalFormatting>
  <conditionalFormatting sqref="L92:L96">
    <cfRule type="containsText" dxfId="1064" priority="41" operator="containsText" text="NG">
      <formula>NOT(ISERROR(SEARCH(("NG"),(L92))))</formula>
    </cfRule>
  </conditionalFormatting>
  <conditionalFormatting sqref="L92:L96">
    <cfRule type="containsText" dxfId="1063" priority="42" operator="containsText" text="OK">
      <formula>NOT(ISERROR(SEARCH(("OK"),(L92))))</formula>
    </cfRule>
  </conditionalFormatting>
  <conditionalFormatting sqref="I29:J31">
    <cfRule type="cellIs" dxfId="1062" priority="43" stopIfTrue="1" operator="equal">
      <formula>"OK"</formula>
    </cfRule>
  </conditionalFormatting>
  <conditionalFormatting sqref="I29:J31">
    <cfRule type="cellIs" dxfId="1061" priority="44" stopIfTrue="1" operator="equal">
      <formula>"Fail"</formula>
    </cfRule>
  </conditionalFormatting>
  <conditionalFormatting sqref="I29:J31">
    <cfRule type="cellIs" dxfId="1060" priority="45" stopIfTrue="1" operator="equal">
      <formula>"OK"</formula>
    </cfRule>
  </conditionalFormatting>
  <conditionalFormatting sqref="I29:J31">
    <cfRule type="cellIs" dxfId="1059" priority="46" stopIfTrue="1" operator="equal">
      <formula>"Fail"</formula>
    </cfRule>
  </conditionalFormatting>
  <conditionalFormatting sqref="I33:J34">
    <cfRule type="cellIs" dxfId="1058" priority="47" stopIfTrue="1" operator="equal">
      <formula>"OK"</formula>
    </cfRule>
  </conditionalFormatting>
  <conditionalFormatting sqref="I33:J34">
    <cfRule type="cellIs" dxfId="1057" priority="48" stopIfTrue="1" operator="equal">
      <formula>"Fail"</formula>
    </cfRule>
  </conditionalFormatting>
  <conditionalFormatting sqref="I33:J34">
    <cfRule type="cellIs" dxfId="1056" priority="49" stopIfTrue="1" operator="equal">
      <formula>"OK"</formula>
    </cfRule>
  </conditionalFormatting>
  <conditionalFormatting sqref="I33:J34">
    <cfRule type="cellIs" dxfId="1055" priority="50" stopIfTrue="1" operator="equal">
      <formula>"Fail"</formula>
    </cfRule>
  </conditionalFormatting>
  <conditionalFormatting sqref="L28:L29">
    <cfRule type="cellIs" dxfId="1054" priority="51" stopIfTrue="1" operator="equal">
      <formula>"OK"</formula>
    </cfRule>
  </conditionalFormatting>
  <conditionalFormatting sqref="L28:L29">
    <cfRule type="cellIs" dxfId="1053" priority="52" stopIfTrue="1" operator="equal">
      <formula>"Fail"</formula>
    </cfRule>
  </conditionalFormatting>
  <conditionalFormatting sqref="L31">
    <cfRule type="cellIs" dxfId="1052" priority="53" stopIfTrue="1" operator="equal">
      <formula>"OK"</formula>
    </cfRule>
  </conditionalFormatting>
  <conditionalFormatting sqref="L31">
    <cfRule type="cellIs" dxfId="1051" priority="54" stopIfTrue="1" operator="equal">
      <formula>"Fail"</formula>
    </cfRule>
  </conditionalFormatting>
  <conditionalFormatting sqref="L30">
    <cfRule type="cellIs" dxfId="1050" priority="55" stopIfTrue="1" operator="equal">
      <formula>"OK"</formula>
    </cfRule>
  </conditionalFormatting>
  <conditionalFormatting sqref="L30">
    <cfRule type="cellIs" dxfId="1049" priority="56" stopIfTrue="1" operator="equal">
      <formula>"Fail"</formula>
    </cfRule>
  </conditionalFormatting>
  <conditionalFormatting sqref="I32:J32">
    <cfRule type="cellIs" dxfId="1048" priority="57" stopIfTrue="1" operator="equal">
      <formula>"OK"</formula>
    </cfRule>
  </conditionalFormatting>
  <conditionalFormatting sqref="I32:J32">
    <cfRule type="cellIs" dxfId="1047" priority="58" stopIfTrue="1" operator="equal">
      <formula>"Fail"</formula>
    </cfRule>
  </conditionalFormatting>
  <conditionalFormatting sqref="I32:J32">
    <cfRule type="cellIs" dxfId="1046" priority="59" stopIfTrue="1" operator="equal">
      <formula>"OK"</formula>
    </cfRule>
  </conditionalFormatting>
  <conditionalFormatting sqref="I32:J32">
    <cfRule type="cellIs" dxfId="1045" priority="60" stopIfTrue="1" operator="equal">
      <formula>"Fail"</formula>
    </cfRule>
  </conditionalFormatting>
  <conditionalFormatting sqref="I28:J28">
    <cfRule type="cellIs" dxfId="1044" priority="61" stopIfTrue="1" operator="equal">
      <formula>"OK"</formula>
    </cfRule>
  </conditionalFormatting>
  <conditionalFormatting sqref="I28:J28">
    <cfRule type="cellIs" dxfId="1043" priority="62" stopIfTrue="1" operator="equal">
      <formula>"Fail"</formula>
    </cfRule>
  </conditionalFormatting>
  <conditionalFormatting sqref="I28:J28">
    <cfRule type="cellIs" dxfId="1042" priority="63" stopIfTrue="1" operator="equal">
      <formula>"OK"</formula>
    </cfRule>
  </conditionalFormatting>
  <conditionalFormatting sqref="I28:J28">
    <cfRule type="cellIs" dxfId="1041" priority="64" stopIfTrue="1" operator="equal">
      <formula>"Fail"</formula>
    </cfRule>
  </conditionalFormatting>
  <conditionalFormatting sqref="I79:J80 I82:J86">
    <cfRule type="cellIs" dxfId="1040" priority="65" stopIfTrue="1" operator="equal">
      <formula>"OK"</formula>
    </cfRule>
  </conditionalFormatting>
  <conditionalFormatting sqref="I79:J80 I82:J86">
    <cfRule type="cellIs" dxfId="1039" priority="66" stopIfTrue="1" operator="equal">
      <formula>"Fail"</formula>
    </cfRule>
  </conditionalFormatting>
  <conditionalFormatting sqref="I79:J80 I82:J86">
    <cfRule type="cellIs" dxfId="1038" priority="67" stopIfTrue="1" operator="equal">
      <formula>"OK"</formula>
    </cfRule>
  </conditionalFormatting>
  <conditionalFormatting sqref="I79:J80 I82:J86">
    <cfRule type="cellIs" dxfId="1037" priority="68" stopIfTrue="1" operator="equal">
      <formula>"Fail"</formula>
    </cfRule>
  </conditionalFormatting>
  <conditionalFormatting sqref="L82:L84">
    <cfRule type="containsText" dxfId="1036" priority="69" operator="containsText" text="NG">
      <formula>NOT(ISERROR(SEARCH(("NG"),(L82))))</formula>
    </cfRule>
  </conditionalFormatting>
  <conditionalFormatting sqref="L82:L84">
    <cfRule type="containsText" dxfId="1035" priority="70" operator="containsText" text="OK">
      <formula>NOT(ISERROR(SEARCH(("OK"),(L82))))</formula>
    </cfRule>
  </conditionalFormatting>
  <conditionalFormatting sqref="L85:L88">
    <cfRule type="containsText" dxfId="1034" priority="71" operator="containsText" text="NG">
      <formula>NOT(ISERROR(SEARCH(("NG"),(L85))))</formula>
    </cfRule>
  </conditionalFormatting>
  <conditionalFormatting sqref="L85:L88">
    <cfRule type="containsText" dxfId="1033" priority="72" operator="containsText" text="OK">
      <formula>NOT(ISERROR(SEARCH(("OK"),(L85))))</formula>
    </cfRule>
  </conditionalFormatting>
  <conditionalFormatting sqref="L79:L80">
    <cfRule type="containsText" dxfId="1032" priority="73" operator="containsText" text="NG">
      <formula>NOT(ISERROR(SEARCH(("NG"),(L79))))</formula>
    </cfRule>
  </conditionalFormatting>
  <conditionalFormatting sqref="L79:L80">
    <cfRule type="containsText" dxfId="1031" priority="74" operator="containsText" text="OK">
      <formula>NOT(ISERROR(SEARCH(("OK"),(L79))))</formula>
    </cfRule>
  </conditionalFormatting>
  <conditionalFormatting sqref="L81">
    <cfRule type="containsText" dxfId="1030" priority="75" operator="containsText" text="NG">
      <formula>NOT(ISERROR(SEARCH(("NG"),(L81))))</formula>
    </cfRule>
  </conditionalFormatting>
  <conditionalFormatting sqref="L81">
    <cfRule type="containsText" dxfId="1029" priority="76" operator="containsText" text="OK">
      <formula>NOT(ISERROR(SEARCH(("OK"),(L81))))</formula>
    </cfRule>
  </conditionalFormatting>
  <conditionalFormatting sqref="L183:L203">
    <cfRule type="containsText" dxfId="1028" priority="77" operator="containsText" text="NG">
      <formula>NOT(ISERROR(SEARCH(("NG"),(L183))))</formula>
    </cfRule>
  </conditionalFormatting>
  <conditionalFormatting sqref="L183:L203">
    <cfRule type="containsText" dxfId="1027" priority="78" operator="containsText" text="OK">
      <formula>NOT(ISERROR(SEARCH(("OK"),(L183))))</formula>
    </cfRule>
  </conditionalFormatting>
  <conditionalFormatting sqref="L183:L203">
    <cfRule type="containsText" dxfId="1026" priority="79" operator="containsText" text="NG">
      <formula>NOT(ISERROR(SEARCH(("NG"),(L183))))</formula>
    </cfRule>
  </conditionalFormatting>
  <conditionalFormatting sqref="L183:L203">
    <cfRule type="containsText" dxfId="1025" priority="80" operator="containsText" text="OK">
      <formula>NOT(ISERROR(SEARCH(("OK"),(L183))))</formula>
    </cfRule>
  </conditionalFormatting>
  <conditionalFormatting sqref="L212:L214">
    <cfRule type="containsText" dxfId="1024" priority="81" operator="containsText" text="NG">
      <formula>NOT(ISERROR(SEARCH(("NG"),(L212))))</formula>
    </cfRule>
  </conditionalFormatting>
  <conditionalFormatting sqref="L212:L214">
    <cfRule type="containsText" dxfId="1023" priority="82" operator="containsText" text="OK">
      <formula>NOT(ISERROR(SEARCH(("OK"),(L212))))</formula>
    </cfRule>
  </conditionalFormatting>
  <conditionalFormatting sqref="L217:L228">
    <cfRule type="containsText" dxfId="1022" priority="83" operator="containsText" text="NG">
      <formula>NOT(ISERROR(SEARCH(("NG"),(L217))))</formula>
    </cfRule>
  </conditionalFormatting>
  <conditionalFormatting sqref="L217:L228">
    <cfRule type="containsText" dxfId="1021" priority="84" operator="containsText" text="OK">
      <formula>NOT(ISERROR(SEARCH(("OK"),(L217))))</formula>
    </cfRule>
  </conditionalFormatting>
  <conditionalFormatting sqref="L204:L208">
    <cfRule type="containsText" dxfId="1020" priority="85" operator="containsText" text="NG">
      <formula>NOT(ISERROR(SEARCH(("NG"),(L204))))</formula>
    </cfRule>
  </conditionalFormatting>
  <conditionalFormatting sqref="L204:L208">
    <cfRule type="containsText" dxfId="1019" priority="86" operator="containsText" text="OK">
      <formula>NOT(ISERROR(SEARCH(("OK"),(L204))))</formula>
    </cfRule>
  </conditionalFormatting>
  <conditionalFormatting sqref="L204:L208">
    <cfRule type="containsText" dxfId="1018" priority="87" operator="containsText" text="NG">
      <formula>NOT(ISERROR(SEARCH(("NG"),(L204))))</formula>
    </cfRule>
  </conditionalFormatting>
  <conditionalFormatting sqref="L204:L208">
    <cfRule type="containsText" dxfId="1017" priority="88" operator="containsText" text="OK">
      <formula>NOT(ISERROR(SEARCH(("OK"),(L204))))</formula>
    </cfRule>
  </conditionalFormatting>
  <conditionalFormatting sqref="L354:L355">
    <cfRule type="containsText" dxfId="1016" priority="89" operator="containsText" text="NG">
      <formula>NOT(ISERROR(SEARCH(("NG"),(L354))))</formula>
    </cfRule>
  </conditionalFormatting>
  <conditionalFormatting sqref="L354:L355">
    <cfRule type="containsText" dxfId="1015" priority="90" operator="containsText" text="OK">
      <formula>NOT(ISERROR(SEARCH(("OK"),(L354))))</formula>
    </cfRule>
  </conditionalFormatting>
  <conditionalFormatting sqref="L352:L353">
    <cfRule type="containsText" dxfId="1014" priority="91" operator="containsText" text="NG">
      <formula>NOT(ISERROR(SEARCH(("NG"),(L352))))</formula>
    </cfRule>
  </conditionalFormatting>
  <conditionalFormatting sqref="L352:L353">
    <cfRule type="containsText" dxfId="1013" priority="92" operator="containsText" text="OK">
      <formula>NOT(ISERROR(SEARCH(("OK"),(L352))))</formula>
    </cfRule>
  </conditionalFormatting>
  <conditionalFormatting sqref="L436">
    <cfRule type="containsText" dxfId="1012" priority="93" operator="containsText" text="NG">
      <formula>NOT(ISERROR(SEARCH(("NG"),(L436))))</formula>
    </cfRule>
  </conditionalFormatting>
  <conditionalFormatting sqref="L436">
    <cfRule type="containsText" dxfId="1011" priority="94" operator="containsText" text="OK">
      <formula>NOT(ISERROR(SEARCH(("OK"),(L436))))</formula>
    </cfRule>
  </conditionalFormatting>
  <conditionalFormatting sqref="L437:L439">
    <cfRule type="containsText" dxfId="1010" priority="95" operator="containsText" text="NG">
      <formula>NOT(ISERROR(SEARCH(("NG"),(L437))))</formula>
    </cfRule>
  </conditionalFormatting>
  <conditionalFormatting sqref="L437:L439">
    <cfRule type="containsText" dxfId="1009" priority="96" operator="containsText" text="OK">
      <formula>NOT(ISERROR(SEARCH(("OK"),(L437))))</formula>
    </cfRule>
  </conditionalFormatting>
  <conditionalFormatting sqref="L440">
    <cfRule type="containsText" dxfId="1008" priority="97" operator="containsText" text="NG">
      <formula>NOT(ISERROR(SEARCH(("NG"),(L440))))</formula>
    </cfRule>
  </conditionalFormatting>
  <conditionalFormatting sqref="L440">
    <cfRule type="containsText" dxfId="1007" priority="98" operator="containsText" text="OK">
      <formula>NOT(ISERROR(SEARCH(("OK"),(L440))))</formula>
    </cfRule>
  </conditionalFormatting>
  <conditionalFormatting sqref="L379:L385">
    <cfRule type="containsText" dxfId="1006" priority="99" operator="containsText" text="NG">
      <formula>NOT(ISERROR(SEARCH(("NG"),(L379))))</formula>
    </cfRule>
  </conditionalFormatting>
  <conditionalFormatting sqref="L379:L385">
    <cfRule type="containsText" dxfId="1005" priority="100" operator="containsText" text="OK">
      <formula>NOT(ISERROR(SEARCH(("OK"),(L379))))</formula>
    </cfRule>
  </conditionalFormatting>
  <conditionalFormatting sqref="L356:L358">
    <cfRule type="containsText" dxfId="1004" priority="101" operator="containsText" text="NG">
      <formula>NOT(ISERROR(SEARCH(("NG"),(L356))))</formula>
    </cfRule>
  </conditionalFormatting>
  <conditionalFormatting sqref="L356:L358">
    <cfRule type="containsText" dxfId="1003" priority="102" operator="containsText" text="OK">
      <formula>NOT(ISERROR(SEARCH(("OK"),(L356))))</formula>
    </cfRule>
  </conditionalFormatting>
  <conditionalFormatting sqref="L359">
    <cfRule type="containsText" dxfId="1002" priority="103" operator="containsText" text="NG">
      <formula>NOT(ISERROR(SEARCH(("NG"),(L359))))</formula>
    </cfRule>
  </conditionalFormatting>
  <conditionalFormatting sqref="L359">
    <cfRule type="containsText" dxfId="1001" priority="104" operator="containsText" text="OK">
      <formula>NOT(ISERROR(SEARCH(("OK"),(L359))))</formula>
    </cfRule>
  </conditionalFormatting>
  <conditionalFormatting sqref="L386:L388">
    <cfRule type="containsText" dxfId="1000" priority="105" operator="containsText" text="NG">
      <formula>NOT(ISERROR(SEARCH(("NG"),(L386))))</formula>
    </cfRule>
  </conditionalFormatting>
  <conditionalFormatting sqref="L386:L388">
    <cfRule type="containsText" dxfId="999" priority="106" operator="containsText" text="OK">
      <formula>NOT(ISERROR(SEARCH(("OK"),(L386))))</formula>
    </cfRule>
  </conditionalFormatting>
  <conditionalFormatting sqref="L368:L370">
    <cfRule type="containsText" dxfId="998" priority="107" operator="containsText" text="NG">
      <formula>NOT(ISERROR(SEARCH(("NG"),(L368))))</formula>
    </cfRule>
  </conditionalFormatting>
  <conditionalFormatting sqref="L368:L370">
    <cfRule type="containsText" dxfId="997" priority="108" operator="containsText" text="OK">
      <formula>NOT(ISERROR(SEARCH(("OK"),(L368))))</formula>
    </cfRule>
  </conditionalFormatting>
  <conditionalFormatting sqref="L371:L373">
    <cfRule type="containsText" dxfId="996" priority="109" operator="containsText" text="NG">
      <formula>NOT(ISERROR(SEARCH(("NG"),(L371))))</formula>
    </cfRule>
  </conditionalFormatting>
  <conditionalFormatting sqref="L371:L373">
    <cfRule type="containsText" dxfId="995" priority="110" operator="containsText" text="OK">
      <formula>NOT(ISERROR(SEARCH(("OK"),(L371))))</formula>
    </cfRule>
  </conditionalFormatting>
  <conditionalFormatting sqref="L351">
    <cfRule type="containsText" dxfId="994" priority="111" operator="containsText" text="NG">
      <formula>NOT(ISERROR(SEARCH(("NG"),(L351))))</formula>
    </cfRule>
  </conditionalFormatting>
  <conditionalFormatting sqref="L351">
    <cfRule type="containsText" dxfId="993" priority="112" operator="containsText" text="OK">
      <formula>NOT(ISERROR(SEARCH(("OK"),(L351))))</formula>
    </cfRule>
  </conditionalFormatting>
  <conditionalFormatting sqref="I87:J88">
    <cfRule type="cellIs" dxfId="992" priority="113" stopIfTrue="1" operator="equal">
      <formula>"OK"</formula>
    </cfRule>
  </conditionalFormatting>
  <conditionalFormatting sqref="I87:J88">
    <cfRule type="cellIs" dxfId="991" priority="114" stopIfTrue="1" operator="equal">
      <formula>"Fail"</formula>
    </cfRule>
  </conditionalFormatting>
  <conditionalFormatting sqref="I87:J88">
    <cfRule type="cellIs" dxfId="990" priority="115" stopIfTrue="1" operator="equal">
      <formula>"OK"</formula>
    </cfRule>
  </conditionalFormatting>
  <conditionalFormatting sqref="I87:J88">
    <cfRule type="cellIs" dxfId="989" priority="116" stopIfTrue="1" operator="equal">
      <formula>"Fail"</formula>
    </cfRule>
  </conditionalFormatting>
  <conditionalFormatting sqref="L305:L306">
    <cfRule type="containsText" dxfId="988" priority="117" operator="containsText" text="NG">
      <formula>NOT(ISERROR(SEARCH(("NG"),(L305))))</formula>
    </cfRule>
  </conditionalFormatting>
  <conditionalFormatting sqref="L305:L306">
    <cfRule type="containsText" dxfId="987" priority="118" operator="containsText" text="OK">
      <formula>NOT(ISERROR(SEARCH(("OK"),(L305))))</formula>
    </cfRule>
  </conditionalFormatting>
  <conditionalFormatting sqref="L307:L308">
    <cfRule type="containsText" dxfId="986" priority="119" operator="containsText" text="NG">
      <formula>NOT(ISERROR(SEARCH(("NG"),(L307))))</formula>
    </cfRule>
  </conditionalFormatting>
  <conditionalFormatting sqref="L307:L308">
    <cfRule type="containsText" dxfId="985" priority="120" operator="containsText" text="OK">
      <formula>NOT(ISERROR(SEARCH(("OK"),(L307))))</formula>
    </cfRule>
  </conditionalFormatting>
  <conditionalFormatting sqref="L374:L376">
    <cfRule type="containsText" dxfId="984" priority="121" operator="containsText" text="NG">
      <formula>NOT(ISERROR(SEARCH(("NG"),(L374))))</formula>
    </cfRule>
  </conditionalFormatting>
  <conditionalFormatting sqref="L374:L376">
    <cfRule type="containsText" dxfId="983" priority="122" operator="containsText" text="OK">
      <formula>NOT(ISERROR(SEARCH(("OK"),(L374))))</formula>
    </cfRule>
  </conditionalFormatting>
  <conditionalFormatting sqref="K391:K420">
    <cfRule type="containsText" dxfId="982" priority="123" operator="containsText" text="NG">
      <formula>NOT(ISERROR(SEARCH(("NG"),(K391))))</formula>
    </cfRule>
  </conditionalFormatting>
  <conditionalFormatting sqref="K391:K420">
    <cfRule type="containsText" dxfId="981" priority="124" operator="containsText" text="OK">
      <formula>NOT(ISERROR(SEARCH(("OK"),(K391))))</formula>
    </cfRule>
  </conditionalFormatting>
  <conditionalFormatting sqref="L389:L420">
    <cfRule type="containsText" dxfId="980" priority="125" operator="containsText" text="NG">
      <formula>NOT(ISERROR(SEARCH(("NG"),(L389))))</formula>
    </cfRule>
  </conditionalFormatting>
  <conditionalFormatting sqref="L389:L420">
    <cfRule type="containsText" dxfId="979" priority="126" operator="containsText" text="OK">
      <formula>NOT(ISERROR(SEARCH(("OK"),(L389))))</formula>
    </cfRule>
  </conditionalFormatting>
  <conditionalFormatting sqref="L325:L347">
    <cfRule type="containsText" dxfId="978" priority="127" operator="containsText" text="NG">
      <formula>NOT(ISERROR(SEARCH(("NG"),(L325))))</formula>
    </cfRule>
  </conditionalFormatting>
  <conditionalFormatting sqref="L325:L347">
    <cfRule type="containsText" dxfId="977" priority="128" operator="containsText" text="OK">
      <formula>NOT(ISERROR(SEARCH(("OK"),(L325))))</formula>
    </cfRule>
  </conditionalFormatting>
  <conditionalFormatting sqref="K461:K464 L461:L463 K472">
    <cfRule type="containsText" dxfId="976" priority="129" operator="containsText" text="NG">
      <formula>NOT(ISERROR(SEARCH(("NG"),(K461))))</formula>
    </cfRule>
  </conditionalFormatting>
  <conditionalFormatting sqref="K461:K464 L461:L463 K472">
    <cfRule type="containsText" dxfId="975" priority="130" operator="containsText" text="OK">
      <formula>NOT(ISERROR(SEARCH(("OK"),(K461))))</formula>
    </cfRule>
  </conditionalFormatting>
  <conditionalFormatting sqref="L472">
    <cfRule type="containsText" dxfId="974" priority="131" operator="containsText" text="NG">
      <formula>NOT(ISERROR(SEARCH(("NG"),(L472))))</formula>
    </cfRule>
  </conditionalFormatting>
  <conditionalFormatting sqref="L472">
    <cfRule type="containsText" dxfId="973" priority="132" operator="containsText" text="OK">
      <formula>NOT(ISERROR(SEARCH(("OK"),(L472))))</formula>
    </cfRule>
  </conditionalFormatting>
  <conditionalFormatting sqref="K466:L468">
    <cfRule type="containsText" dxfId="972" priority="133" operator="containsText" text="NG">
      <formula>NOT(ISERROR(SEARCH(("NG"),(K466))))</formula>
    </cfRule>
  </conditionalFormatting>
  <conditionalFormatting sqref="K466:L468">
    <cfRule type="containsText" dxfId="971" priority="134" operator="containsText" text="OK">
      <formula>NOT(ISERROR(SEARCH(("OK"),(K466))))</formula>
    </cfRule>
  </conditionalFormatting>
  <conditionalFormatting sqref="K480">
    <cfRule type="containsText" dxfId="970" priority="135" operator="containsText" text="NG">
      <formula>NOT(ISERROR(SEARCH(("NG"),(K480))))</formula>
    </cfRule>
  </conditionalFormatting>
  <conditionalFormatting sqref="K480">
    <cfRule type="containsText" dxfId="969" priority="136" operator="containsText" text="OK">
      <formula>NOT(ISERROR(SEARCH(("OK"),(K480))))</formula>
    </cfRule>
  </conditionalFormatting>
  <conditionalFormatting sqref="L480">
    <cfRule type="containsText" dxfId="968" priority="137" operator="containsText" text="NG">
      <formula>NOT(ISERROR(SEARCH(("NG"),(L480))))</formula>
    </cfRule>
  </conditionalFormatting>
  <conditionalFormatting sqref="L480">
    <cfRule type="containsText" dxfId="967" priority="138" operator="containsText" text="OK">
      <formula>NOT(ISERROR(SEARCH(("OK"),(L480))))</formula>
    </cfRule>
  </conditionalFormatting>
  <conditionalFormatting sqref="K469:K470">
    <cfRule type="containsText" dxfId="966" priority="139" operator="containsText" text="NG">
      <formula>NOT(ISERROR(SEARCH(("NG"),(K469))))</formula>
    </cfRule>
  </conditionalFormatting>
  <conditionalFormatting sqref="K469:K470">
    <cfRule type="containsText" dxfId="965" priority="140" operator="containsText" text="OK">
      <formula>NOT(ISERROR(SEARCH(("OK"),(K469))))</formula>
    </cfRule>
  </conditionalFormatting>
  <conditionalFormatting sqref="K473">
    <cfRule type="containsText" dxfId="964" priority="141" operator="containsText" text="NG">
      <formula>NOT(ISERROR(SEARCH(("NG"),(K473))))</formula>
    </cfRule>
  </conditionalFormatting>
  <conditionalFormatting sqref="K473">
    <cfRule type="containsText" dxfId="963" priority="142" operator="containsText" text="OK">
      <formula>NOT(ISERROR(SEARCH(("OK"),(K473))))</formula>
    </cfRule>
  </conditionalFormatting>
  <conditionalFormatting sqref="K477">
    <cfRule type="containsText" dxfId="962" priority="143" operator="containsText" text="NG">
      <formula>NOT(ISERROR(SEARCH(("NG"),(K477))))</formula>
    </cfRule>
  </conditionalFormatting>
  <conditionalFormatting sqref="K477">
    <cfRule type="containsText" dxfId="961" priority="144" operator="containsText" text="OK">
      <formula>NOT(ISERROR(SEARCH(("OK"),(K477))))</formula>
    </cfRule>
  </conditionalFormatting>
  <conditionalFormatting sqref="K478:K479">
    <cfRule type="containsText" dxfId="960" priority="145" operator="containsText" text="NG">
      <formula>NOT(ISERROR(SEARCH(("NG"),(K478))))</formula>
    </cfRule>
  </conditionalFormatting>
  <conditionalFormatting sqref="K478:K479">
    <cfRule type="containsText" dxfId="959" priority="146" operator="containsText" text="OK">
      <formula>NOT(ISERROR(SEARCH(("OK"),(K478))))</formula>
    </cfRule>
  </conditionalFormatting>
  <conditionalFormatting sqref="K481 K483">
    <cfRule type="containsText" dxfId="958" priority="147" operator="containsText" text="NG">
      <formula>NOT(ISERROR(SEARCH(("NG"),(K481))))</formula>
    </cfRule>
  </conditionalFormatting>
  <conditionalFormatting sqref="K481 K483">
    <cfRule type="containsText" dxfId="957" priority="148" operator="containsText" text="OK">
      <formula>NOT(ISERROR(SEARCH(("OK"),(K481))))</formula>
    </cfRule>
  </conditionalFormatting>
  <conditionalFormatting sqref="K471">
    <cfRule type="containsText" dxfId="956" priority="149" operator="containsText" text="NG">
      <formula>NOT(ISERROR(SEARCH(("NG"),(K471))))</formula>
    </cfRule>
  </conditionalFormatting>
  <conditionalFormatting sqref="K471">
    <cfRule type="containsText" dxfId="955" priority="150" operator="containsText" text="OK">
      <formula>NOT(ISERROR(SEARCH(("OK"),(K471))))</formula>
    </cfRule>
  </conditionalFormatting>
  <conditionalFormatting sqref="K475">
    <cfRule type="containsText" dxfId="954" priority="151" operator="containsText" text="NG">
      <formula>NOT(ISERROR(SEARCH(("NG"),(K475))))</formula>
    </cfRule>
  </conditionalFormatting>
  <conditionalFormatting sqref="K475">
    <cfRule type="containsText" dxfId="953" priority="152" operator="containsText" text="OK">
      <formula>NOT(ISERROR(SEARCH(("OK"),(K475))))</formula>
    </cfRule>
  </conditionalFormatting>
  <conditionalFormatting sqref="K465">
    <cfRule type="containsText" dxfId="952" priority="153" operator="containsText" text="NG">
      <formula>NOT(ISERROR(SEARCH(("NG"),(K465))))</formula>
    </cfRule>
  </conditionalFormatting>
  <conditionalFormatting sqref="K465">
    <cfRule type="containsText" dxfId="951" priority="154" operator="containsText" text="OK">
      <formula>NOT(ISERROR(SEARCH(("OK"),(K465))))</formula>
    </cfRule>
  </conditionalFormatting>
  <conditionalFormatting sqref="K474">
    <cfRule type="containsText" dxfId="950" priority="155" operator="containsText" text="NG">
      <formula>NOT(ISERROR(SEARCH(("NG"),(K474))))</formula>
    </cfRule>
  </conditionalFormatting>
  <conditionalFormatting sqref="K474">
    <cfRule type="containsText" dxfId="949" priority="156" operator="containsText" text="OK">
      <formula>NOT(ISERROR(SEARCH(("OK"),(K474))))</formula>
    </cfRule>
  </conditionalFormatting>
  <conditionalFormatting sqref="K482">
    <cfRule type="containsText" dxfId="948" priority="157" operator="containsText" text="NG">
      <formula>NOT(ISERROR(SEARCH(("NG"),(K482))))</formula>
    </cfRule>
  </conditionalFormatting>
  <conditionalFormatting sqref="K482">
    <cfRule type="containsText" dxfId="947" priority="158" operator="containsText" text="OK">
      <formula>NOT(ISERROR(SEARCH(("OK"),(K482))))</formula>
    </cfRule>
  </conditionalFormatting>
  <conditionalFormatting sqref="K476">
    <cfRule type="containsText" dxfId="946" priority="159" operator="containsText" text="NG">
      <formula>NOT(ISERROR(SEARCH(("NG"),(K476))))</formula>
    </cfRule>
  </conditionalFormatting>
  <conditionalFormatting sqref="K476">
    <cfRule type="containsText" dxfId="945" priority="160" operator="containsText" text="OK">
      <formula>NOT(ISERROR(SEARCH(("OK"),(K476))))</formula>
    </cfRule>
  </conditionalFormatting>
  <conditionalFormatting sqref="K484">
    <cfRule type="containsText" dxfId="944" priority="161" operator="containsText" text="NG">
      <formula>NOT(ISERROR(SEARCH(("NG"),(K484))))</formula>
    </cfRule>
  </conditionalFormatting>
  <conditionalFormatting sqref="K484">
    <cfRule type="containsText" dxfId="943" priority="162" operator="containsText" text="OK">
      <formula>NOT(ISERROR(SEARCH(("OK"),(K484))))</formula>
    </cfRule>
  </conditionalFormatting>
  <dataValidations count="6">
    <dataValidation type="list" allowBlank="1" showErrorMessage="1" sqref="O4:P26 O27:O28 O35:O40 O41:P42 O43:O46 O47:P79 O89:O96 O97:P367 O377:P385">
      <formula1>"필수,중요,선택"</formula1>
    </dataValidation>
    <dataValidation type="list" allowBlank="1" showInputMessage="1" showErrorMessage="1" prompt="[사양 무관: 빈칸]_x000a_[해당 사양에서만 사용되는 T/C 일 경우에만 선택]_x000a_" sqref="R89:R91 R95">
      <formula1>$BI$2</formula1>
    </dataValidation>
    <dataValidation type="list" allowBlank="1" showErrorMessage="1" sqref="K4:L484">
      <formula1>"Pass,Fail,NA"</formula1>
    </dataValidation>
    <dataValidation type="list" allowBlank="1" showErrorMessage="1" sqref="O29:O34 O80:P81 O82:O84 O85:P88">
      <formula1>"Proto,M/CAR,Pilot,M,SOP"</formula1>
    </dataValidation>
    <dataValidation type="list" allowBlank="1" showInputMessage="1" showErrorMessage="1" prompt="[사양 무관: 빈칸]_x000a_[해당 사양에서만 사용되는 T/C 일 경우에만 선택]_x000a_" sqref="R156:R182">
      <formula1>$BH$2</formula1>
    </dataValidation>
    <dataValidation type="list" allowBlank="1" showInputMessage="1" showErrorMessage="1" prompt="[사양 무관: 빈칸]_x000a_[해당 사양에서만 사용되는 T/C 일 경우에만 선택]_x000a_" sqref="R229:R302">
      <formula1>$BG$2</formula1>
    </dataValidation>
  </dataValidations>
  <pageMargins left="0.7" right="0.7" top="0.75" bottom="0.75" header="0" footer="0"/>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B050"/>
  </sheetPr>
  <dimension ref="A1:AA1000"/>
  <sheetViews>
    <sheetView topLeftCell="E1" workbookViewId="0">
      <pane ySplit="2" topLeftCell="A3" activePane="bottomLeft" state="frozen"/>
      <selection pane="bottomLeft" activeCell="H11" sqref="H11"/>
    </sheetView>
  </sheetViews>
  <sheetFormatPr defaultColWidth="14.42578125" defaultRowHeight="15" customHeight="1"/>
  <cols>
    <col min="1" max="1" width="34.42578125" customWidth="1"/>
    <col min="2" max="3" width="9" customWidth="1"/>
    <col min="4" max="4" width="43.28515625" customWidth="1"/>
    <col min="5" max="5" width="72.5703125" customWidth="1"/>
    <col min="6" max="7" width="5.42578125" customWidth="1"/>
    <col min="8" max="8" width="78.85546875" customWidth="1"/>
    <col min="9" max="9" width="66.28515625" customWidth="1"/>
    <col min="10" max="10" width="66.28515625" style="326" customWidth="1"/>
    <col min="11" max="11" width="9" customWidth="1"/>
    <col min="12" max="12" width="15.28515625" customWidth="1"/>
    <col min="13" max="13" width="30.42578125" customWidth="1"/>
    <col min="14" max="15" width="9" customWidth="1"/>
    <col min="16" max="17" width="7.42578125" customWidth="1"/>
    <col min="18" max="18" width="13.85546875" customWidth="1"/>
    <col min="19" max="19" width="7.42578125" customWidth="1"/>
    <col min="20" max="27" width="9" customWidth="1"/>
  </cols>
  <sheetData>
    <row r="1" spans="1:27" ht="39.75" customHeight="1">
      <c r="A1" s="8"/>
      <c r="B1" s="11" t="str">
        <f t="array" ref="B1">"IND_"&amp;TEXT(MAX(IFERROR(--MID($B$2:$B$5000,5,3),0)),"000")</f>
        <v>IND_015</v>
      </c>
      <c r="C1" s="4"/>
      <c r="D1" s="8"/>
      <c r="E1" s="9"/>
      <c r="F1" s="3"/>
      <c r="G1" s="3"/>
      <c r="H1" s="7"/>
      <c r="I1" s="7"/>
      <c r="J1" s="10"/>
      <c r="K1" s="11"/>
      <c r="L1" s="3"/>
      <c r="M1" s="11"/>
      <c r="N1" s="3"/>
      <c r="O1" s="11"/>
      <c r="P1" s="11"/>
      <c r="Q1" s="11"/>
      <c r="R1" s="11"/>
      <c r="S1" s="11"/>
    </row>
    <row r="2" spans="1:27" ht="39" customHeight="1">
      <c r="A2" s="12" t="s">
        <v>309</v>
      </c>
      <c r="B2" s="70" t="s">
        <v>310</v>
      </c>
      <c r="C2" s="70" t="s">
        <v>311</v>
      </c>
      <c r="D2" s="12" t="s">
        <v>312</v>
      </c>
      <c r="E2" s="12" t="s">
        <v>313</v>
      </c>
      <c r="F2" s="70" t="s">
        <v>314</v>
      </c>
      <c r="G2" s="70" t="s">
        <v>315</v>
      </c>
      <c r="H2" s="12" t="s">
        <v>316</v>
      </c>
      <c r="I2" s="12" t="s">
        <v>317</v>
      </c>
      <c r="J2" s="70" t="s">
        <v>7999</v>
      </c>
      <c r="K2" s="70" t="s">
        <v>291</v>
      </c>
      <c r="L2" s="70" t="s">
        <v>318</v>
      </c>
      <c r="M2" s="70" t="s">
        <v>293</v>
      </c>
      <c r="N2" s="13"/>
      <c r="O2" s="70" t="s">
        <v>319</v>
      </c>
      <c r="P2" s="70" t="s">
        <v>320</v>
      </c>
      <c r="Q2" s="70" t="s">
        <v>321</v>
      </c>
      <c r="R2" s="70" t="s">
        <v>1</v>
      </c>
      <c r="S2" s="70" t="s">
        <v>322</v>
      </c>
      <c r="T2" s="14"/>
      <c r="U2" s="14"/>
      <c r="V2" s="14"/>
      <c r="W2" s="14"/>
      <c r="X2" s="14"/>
      <c r="Y2" s="14"/>
      <c r="Z2" s="14"/>
      <c r="AA2" s="14"/>
    </row>
    <row r="3" spans="1:27" ht="37.5">
      <c r="A3" s="15" t="s">
        <v>3211</v>
      </c>
      <c r="B3" s="16"/>
      <c r="C3" s="16"/>
      <c r="D3" s="17"/>
      <c r="E3" s="18"/>
      <c r="F3" s="19"/>
      <c r="G3" s="19"/>
      <c r="H3" s="17"/>
      <c r="I3" s="20"/>
      <c r="J3" s="20"/>
      <c r="K3" s="16"/>
      <c r="L3" s="16"/>
      <c r="M3" s="71"/>
      <c r="N3" s="3"/>
      <c r="O3" s="16"/>
      <c r="P3" s="16"/>
      <c r="Q3" s="16"/>
      <c r="R3" s="16"/>
      <c r="S3" s="16"/>
    </row>
    <row r="4" spans="1:27" ht="33" customHeight="1">
      <c r="A4" s="350" t="s">
        <v>3212</v>
      </c>
      <c r="B4" s="350" t="s">
        <v>3213</v>
      </c>
      <c r="C4" s="41">
        <v>1</v>
      </c>
      <c r="D4" s="367" t="s">
        <v>3214</v>
      </c>
      <c r="E4" s="23" t="s">
        <v>3215</v>
      </c>
      <c r="F4" s="31"/>
      <c r="G4" s="31"/>
      <c r="H4" s="23" t="s">
        <v>3216</v>
      </c>
      <c r="I4" s="23" t="s">
        <v>3217</v>
      </c>
      <c r="J4" s="170"/>
      <c r="K4" s="25" t="s">
        <v>294</v>
      </c>
      <c r="L4" s="25"/>
      <c r="M4" s="26"/>
      <c r="N4" s="55"/>
      <c r="O4" s="28"/>
      <c r="P4" s="25"/>
      <c r="Q4" s="29" t="s">
        <v>140</v>
      </c>
      <c r="R4" s="25"/>
      <c r="S4" s="29"/>
      <c r="T4" s="30"/>
      <c r="U4" s="30"/>
      <c r="V4" s="30"/>
      <c r="W4" s="30"/>
      <c r="X4" s="30"/>
      <c r="Y4" s="30"/>
      <c r="Z4" s="30"/>
      <c r="AA4" s="30"/>
    </row>
    <row r="5" spans="1:27" ht="30">
      <c r="A5" s="344"/>
      <c r="B5" s="344"/>
      <c r="C5" s="41">
        <v>2</v>
      </c>
      <c r="D5" s="344"/>
      <c r="E5" s="23" t="s">
        <v>3218</v>
      </c>
      <c r="F5" s="31"/>
      <c r="G5" s="31"/>
      <c r="H5" s="23" t="s">
        <v>3219</v>
      </c>
      <c r="I5" s="23" t="s">
        <v>3220</v>
      </c>
      <c r="J5" s="170"/>
      <c r="K5" s="25"/>
      <c r="L5" s="25"/>
      <c r="M5" s="26"/>
      <c r="N5" s="55"/>
      <c r="O5" s="28"/>
      <c r="P5" s="25"/>
      <c r="Q5" s="29" t="s">
        <v>282</v>
      </c>
      <c r="R5" s="25"/>
      <c r="S5" s="29"/>
      <c r="T5" s="65"/>
      <c r="U5" s="65"/>
      <c r="V5" s="65"/>
      <c r="W5" s="65"/>
      <c r="X5" s="65"/>
      <c r="Y5" s="65"/>
      <c r="Z5" s="65"/>
      <c r="AA5" s="65"/>
    </row>
    <row r="6" spans="1:27" ht="30">
      <c r="A6" s="344"/>
      <c r="B6" s="344"/>
      <c r="C6" s="41">
        <v>3</v>
      </c>
      <c r="D6" s="344"/>
      <c r="E6" s="23" t="s">
        <v>3221</v>
      </c>
      <c r="F6" s="31"/>
      <c r="G6" s="31"/>
      <c r="H6" s="23" t="s">
        <v>3222</v>
      </c>
      <c r="I6" s="23" t="s">
        <v>3223</v>
      </c>
      <c r="J6" s="170"/>
      <c r="K6" s="25"/>
      <c r="L6" s="25"/>
      <c r="M6" s="26"/>
      <c r="N6" s="55"/>
      <c r="O6" s="28"/>
      <c r="P6" s="25"/>
      <c r="Q6" s="29" t="s">
        <v>282</v>
      </c>
      <c r="R6" s="25"/>
      <c r="S6" s="29"/>
      <c r="T6" s="65"/>
      <c r="U6" s="65"/>
      <c r="V6" s="65"/>
      <c r="W6" s="65"/>
      <c r="X6" s="65"/>
      <c r="Y6" s="65"/>
      <c r="Z6" s="65"/>
      <c r="AA6" s="65"/>
    </row>
    <row r="7" spans="1:27" ht="30">
      <c r="A7" s="344"/>
      <c r="B7" s="344"/>
      <c r="C7" s="41">
        <v>4</v>
      </c>
      <c r="D7" s="344"/>
      <c r="E7" s="23" t="s">
        <v>3224</v>
      </c>
      <c r="F7" s="31"/>
      <c r="G7" s="31"/>
      <c r="H7" s="23" t="s">
        <v>3225</v>
      </c>
      <c r="I7" s="23" t="s">
        <v>3226</v>
      </c>
      <c r="J7" s="170"/>
      <c r="K7" s="25"/>
      <c r="L7" s="25"/>
      <c r="M7" s="26"/>
      <c r="N7" s="55"/>
      <c r="O7" s="28" t="s">
        <v>140</v>
      </c>
      <c r="P7" s="25"/>
      <c r="Q7" s="29" t="s">
        <v>282</v>
      </c>
      <c r="R7" s="25"/>
      <c r="S7" s="29"/>
      <c r="T7" s="65"/>
      <c r="U7" s="65"/>
      <c r="V7" s="65"/>
      <c r="W7" s="65"/>
      <c r="X7" s="65"/>
      <c r="Y7" s="65"/>
      <c r="Z7" s="65"/>
      <c r="AA7" s="65"/>
    </row>
    <row r="8" spans="1:27" ht="45">
      <c r="A8" s="344"/>
      <c r="B8" s="344"/>
      <c r="C8" s="41">
        <v>5</v>
      </c>
      <c r="D8" s="344"/>
      <c r="E8" s="23" t="s">
        <v>3227</v>
      </c>
      <c r="F8" s="31"/>
      <c r="G8" s="31"/>
      <c r="H8" s="23" t="s">
        <v>3228</v>
      </c>
      <c r="I8" s="23" t="s">
        <v>3229</v>
      </c>
      <c r="J8" s="170"/>
      <c r="K8" s="25"/>
      <c r="L8" s="25"/>
      <c r="M8" s="26"/>
      <c r="N8" s="55"/>
      <c r="O8" s="28"/>
      <c r="P8" s="25"/>
      <c r="Q8" s="29" t="s">
        <v>282</v>
      </c>
      <c r="R8" s="25"/>
      <c r="S8" s="29"/>
      <c r="T8" s="65"/>
      <c r="U8" s="65"/>
      <c r="V8" s="65"/>
      <c r="W8" s="65"/>
      <c r="X8" s="65"/>
      <c r="Y8" s="65"/>
      <c r="Z8" s="65"/>
      <c r="AA8" s="65"/>
    </row>
    <row r="9" spans="1:27" ht="30">
      <c r="A9" s="344"/>
      <c r="B9" s="344"/>
      <c r="C9" s="41">
        <v>6</v>
      </c>
      <c r="D9" s="344"/>
      <c r="E9" s="23" t="s">
        <v>3230</v>
      </c>
      <c r="F9" s="31"/>
      <c r="G9" s="31"/>
      <c r="H9" s="23" t="s">
        <v>3228</v>
      </c>
      <c r="I9" s="23" t="s">
        <v>3231</v>
      </c>
      <c r="J9" s="170"/>
      <c r="K9" s="25"/>
      <c r="L9" s="25"/>
      <c r="M9" s="26"/>
      <c r="N9" s="55"/>
      <c r="O9" s="28"/>
      <c r="P9" s="25"/>
      <c r="Q9" s="29" t="s">
        <v>282</v>
      </c>
      <c r="R9" s="25"/>
      <c r="S9" s="29"/>
      <c r="T9" s="65"/>
      <c r="U9" s="65"/>
      <c r="V9" s="65"/>
      <c r="W9" s="65"/>
      <c r="X9" s="65"/>
      <c r="Y9" s="65"/>
      <c r="Z9" s="65"/>
      <c r="AA9" s="65"/>
    </row>
    <row r="10" spans="1:27" ht="45">
      <c r="A10" s="345"/>
      <c r="B10" s="345"/>
      <c r="C10" s="41">
        <v>7</v>
      </c>
      <c r="D10" s="345"/>
      <c r="E10" s="63" t="s">
        <v>3232</v>
      </c>
      <c r="F10" s="61"/>
      <c r="G10" s="61"/>
      <c r="H10" s="63" t="s">
        <v>3228</v>
      </c>
      <c r="I10" s="63" t="s">
        <v>3233</v>
      </c>
      <c r="J10" s="171"/>
      <c r="K10" s="25"/>
      <c r="L10" s="25"/>
      <c r="M10" s="26"/>
      <c r="N10" s="55"/>
      <c r="O10" s="28"/>
      <c r="P10" s="25"/>
      <c r="Q10" s="29" t="s">
        <v>282</v>
      </c>
      <c r="R10" s="25"/>
      <c r="S10" s="29"/>
      <c r="T10" s="65"/>
      <c r="U10" s="65"/>
      <c r="V10" s="65"/>
      <c r="W10" s="65"/>
      <c r="X10" s="65"/>
      <c r="Y10" s="65"/>
      <c r="Z10" s="65"/>
      <c r="AA10" s="65"/>
    </row>
    <row r="11" spans="1:27" ht="56.25">
      <c r="A11" s="15" t="s">
        <v>3234</v>
      </c>
      <c r="B11" s="16"/>
      <c r="C11" s="16"/>
      <c r="D11" s="17"/>
      <c r="E11" s="18"/>
      <c r="F11" s="19"/>
      <c r="G11" s="19"/>
      <c r="H11" s="17"/>
      <c r="I11" s="20"/>
      <c r="J11" s="20"/>
      <c r="K11" s="16"/>
      <c r="L11" s="16"/>
      <c r="M11" s="71"/>
      <c r="N11" s="3"/>
      <c r="O11" s="16"/>
      <c r="P11" s="16"/>
      <c r="Q11" s="16"/>
      <c r="R11" s="16"/>
      <c r="S11" s="16"/>
    </row>
    <row r="12" spans="1:27" ht="30">
      <c r="A12" s="368" t="s">
        <v>3235</v>
      </c>
      <c r="B12" s="350" t="s">
        <v>137</v>
      </c>
      <c r="C12" s="41">
        <v>1</v>
      </c>
      <c r="D12" s="368" t="s">
        <v>3236</v>
      </c>
      <c r="E12" s="39" t="s">
        <v>3237</v>
      </c>
      <c r="F12" s="31" t="s">
        <v>326</v>
      </c>
      <c r="G12" s="31" t="s">
        <v>327</v>
      </c>
      <c r="H12" s="39" t="s">
        <v>664</v>
      </c>
      <c r="I12" s="23" t="s">
        <v>3238</v>
      </c>
      <c r="J12" s="170"/>
      <c r="K12" s="25" t="s">
        <v>294</v>
      </c>
      <c r="L12" s="25"/>
      <c r="M12" s="43"/>
      <c r="N12" s="55"/>
      <c r="O12" s="28" t="s">
        <v>140</v>
      </c>
      <c r="P12" s="29" t="s">
        <v>140</v>
      </c>
      <c r="Q12" s="29" t="s">
        <v>140</v>
      </c>
      <c r="R12" s="25"/>
      <c r="S12" s="29"/>
      <c r="T12" s="65"/>
      <c r="U12" s="65"/>
      <c r="V12" s="65"/>
      <c r="W12" s="65"/>
      <c r="X12" s="65"/>
      <c r="Y12" s="65"/>
      <c r="Z12" s="65"/>
      <c r="AA12" s="65"/>
    </row>
    <row r="13" spans="1:27" ht="30">
      <c r="A13" s="344"/>
      <c r="B13" s="344"/>
      <c r="C13" s="41">
        <v>2</v>
      </c>
      <c r="D13" s="344"/>
      <c r="E13" s="39" t="s">
        <v>3239</v>
      </c>
      <c r="F13" s="31" t="s">
        <v>326</v>
      </c>
      <c r="G13" s="31" t="s">
        <v>327</v>
      </c>
      <c r="H13" s="23" t="s">
        <v>3240</v>
      </c>
      <c r="I13" s="23" t="s">
        <v>3241</v>
      </c>
      <c r="J13" s="170"/>
      <c r="K13" s="25" t="s">
        <v>294</v>
      </c>
      <c r="L13" s="25"/>
      <c r="M13" s="43"/>
      <c r="N13" s="55"/>
      <c r="O13" s="28" t="s">
        <v>140</v>
      </c>
      <c r="P13" s="29" t="s">
        <v>140</v>
      </c>
      <c r="Q13" s="29" t="s">
        <v>140</v>
      </c>
      <c r="R13" s="25"/>
      <c r="S13" s="29"/>
      <c r="T13" s="65"/>
      <c r="U13" s="65"/>
      <c r="V13" s="65"/>
      <c r="W13" s="65"/>
      <c r="X13" s="65"/>
      <c r="Y13" s="65"/>
      <c r="Z13" s="65"/>
      <c r="AA13" s="65"/>
    </row>
    <row r="14" spans="1:27" ht="30">
      <c r="A14" s="344"/>
      <c r="B14" s="344"/>
      <c r="C14" s="41">
        <v>3</v>
      </c>
      <c r="D14" s="344"/>
      <c r="E14" s="39" t="s">
        <v>3242</v>
      </c>
      <c r="F14" s="31" t="s">
        <v>326</v>
      </c>
      <c r="G14" s="31" t="s">
        <v>327</v>
      </c>
      <c r="H14" s="23" t="s">
        <v>3243</v>
      </c>
      <c r="I14" s="23" t="s">
        <v>3244</v>
      </c>
      <c r="J14" s="170"/>
      <c r="K14" s="25" t="s">
        <v>294</v>
      </c>
      <c r="L14" s="25"/>
      <c r="M14" s="43"/>
      <c r="N14" s="55"/>
      <c r="O14" s="28" t="s">
        <v>140</v>
      </c>
      <c r="P14" s="29" t="s">
        <v>140</v>
      </c>
      <c r="Q14" s="29" t="s">
        <v>140</v>
      </c>
      <c r="R14" s="25"/>
      <c r="S14" s="29"/>
      <c r="T14" s="65"/>
      <c r="U14" s="65"/>
      <c r="V14" s="65"/>
      <c r="W14" s="65"/>
      <c r="X14" s="65"/>
      <c r="Y14" s="65"/>
      <c r="Z14" s="65"/>
      <c r="AA14" s="65"/>
    </row>
    <row r="15" spans="1:27" ht="37.5" customHeight="1">
      <c r="A15" s="344"/>
      <c r="B15" s="344"/>
      <c r="C15" s="41">
        <v>4</v>
      </c>
      <c r="D15" s="344"/>
      <c r="E15" s="39" t="s">
        <v>3245</v>
      </c>
      <c r="F15" s="31" t="s">
        <v>326</v>
      </c>
      <c r="G15" s="31" t="s">
        <v>327</v>
      </c>
      <c r="H15" s="23" t="s">
        <v>3246</v>
      </c>
      <c r="I15" s="23" t="s">
        <v>3247</v>
      </c>
      <c r="J15" s="170"/>
      <c r="K15" s="25"/>
      <c r="L15" s="25"/>
      <c r="M15" s="377" t="s">
        <v>3248</v>
      </c>
      <c r="N15" s="55"/>
      <c r="O15" s="28" t="s">
        <v>140</v>
      </c>
      <c r="P15" s="29" t="s">
        <v>282</v>
      </c>
      <c r="Q15" s="29" t="s">
        <v>282</v>
      </c>
      <c r="R15" s="25"/>
      <c r="S15" s="29" t="s">
        <v>140</v>
      </c>
      <c r="T15" s="65"/>
      <c r="U15" s="65"/>
      <c r="V15" s="65"/>
      <c r="W15" s="65"/>
      <c r="X15" s="65"/>
      <c r="Y15" s="65"/>
      <c r="Z15" s="65"/>
      <c r="AA15" s="65"/>
    </row>
    <row r="16" spans="1:27" ht="15.75">
      <c r="A16" s="344"/>
      <c r="B16" s="344"/>
      <c r="C16" s="41">
        <v>5</v>
      </c>
      <c r="D16" s="344"/>
      <c r="E16" s="39" t="s">
        <v>3249</v>
      </c>
      <c r="F16" s="31" t="s">
        <v>326</v>
      </c>
      <c r="G16" s="31" t="s">
        <v>327</v>
      </c>
      <c r="H16" s="23" t="s">
        <v>3250</v>
      </c>
      <c r="I16" s="23" t="s">
        <v>3251</v>
      </c>
      <c r="J16" s="170"/>
      <c r="K16" s="25"/>
      <c r="L16" s="25"/>
      <c r="M16" s="344"/>
      <c r="N16" s="55"/>
      <c r="O16" s="28" t="s">
        <v>140</v>
      </c>
      <c r="P16" s="29" t="s">
        <v>282</v>
      </c>
      <c r="Q16" s="29" t="s">
        <v>282</v>
      </c>
      <c r="R16" s="25"/>
      <c r="S16" s="29" t="s">
        <v>140</v>
      </c>
      <c r="T16" s="65"/>
      <c r="U16" s="65"/>
      <c r="V16" s="65"/>
      <c r="W16" s="65"/>
      <c r="X16" s="65"/>
      <c r="Y16" s="65"/>
      <c r="Z16" s="65"/>
      <c r="AA16" s="65"/>
    </row>
    <row r="17" spans="1:27" ht="65.25" customHeight="1">
      <c r="A17" s="344"/>
      <c r="B17" s="344"/>
      <c r="C17" s="41">
        <v>6</v>
      </c>
      <c r="D17" s="344"/>
      <c r="E17" s="39" t="s">
        <v>3252</v>
      </c>
      <c r="F17" s="31" t="s">
        <v>326</v>
      </c>
      <c r="G17" s="31" t="s">
        <v>327</v>
      </c>
      <c r="H17" s="23" t="s">
        <v>3253</v>
      </c>
      <c r="I17" s="23" t="s">
        <v>3254</v>
      </c>
      <c r="J17" s="170"/>
      <c r="K17" s="25"/>
      <c r="L17" s="182"/>
      <c r="M17" s="345"/>
      <c r="N17" s="183"/>
      <c r="O17" s="28"/>
      <c r="P17" s="29" t="s">
        <v>282</v>
      </c>
      <c r="Q17" s="29" t="s">
        <v>282</v>
      </c>
      <c r="R17" s="184"/>
      <c r="S17" s="29" t="s">
        <v>140</v>
      </c>
      <c r="T17" s="185"/>
      <c r="U17" s="185"/>
      <c r="V17" s="185"/>
      <c r="W17" s="185"/>
      <c r="X17" s="185"/>
      <c r="Y17" s="185"/>
      <c r="Z17" s="185"/>
      <c r="AA17" s="185"/>
    </row>
    <row r="18" spans="1:27" ht="15.75">
      <c r="A18" s="344"/>
      <c r="B18" s="344"/>
      <c r="C18" s="41">
        <v>7</v>
      </c>
      <c r="D18" s="344"/>
      <c r="E18" s="39" t="s">
        <v>3255</v>
      </c>
      <c r="F18" s="31" t="s">
        <v>326</v>
      </c>
      <c r="G18" s="31" t="s">
        <v>327</v>
      </c>
      <c r="H18" s="23" t="s">
        <v>3256</v>
      </c>
      <c r="I18" s="23" t="s">
        <v>3257</v>
      </c>
      <c r="J18" s="170"/>
      <c r="K18" s="25" t="s">
        <v>294</v>
      </c>
      <c r="L18" s="25"/>
      <c r="M18" s="43"/>
      <c r="N18" s="55"/>
      <c r="O18" s="28" t="s">
        <v>140</v>
      </c>
      <c r="P18" s="29" t="s">
        <v>140</v>
      </c>
      <c r="Q18" s="29" t="s">
        <v>140</v>
      </c>
      <c r="R18" s="25"/>
      <c r="S18" s="29"/>
      <c r="T18" s="65"/>
      <c r="U18" s="65"/>
      <c r="V18" s="65"/>
      <c r="W18" s="65"/>
      <c r="X18" s="65"/>
      <c r="Y18" s="65"/>
      <c r="Z18" s="65"/>
      <c r="AA18" s="65"/>
    </row>
    <row r="19" spans="1:27" ht="30">
      <c r="A19" s="344"/>
      <c r="B19" s="344"/>
      <c r="C19" s="41">
        <v>8</v>
      </c>
      <c r="D19" s="344"/>
      <c r="E19" s="73" t="s">
        <v>3258</v>
      </c>
      <c r="F19" s="46" t="s">
        <v>326</v>
      </c>
      <c r="G19" s="46" t="s">
        <v>327</v>
      </c>
      <c r="H19" s="35" t="s">
        <v>3259</v>
      </c>
      <c r="I19" s="35" t="s">
        <v>3260</v>
      </c>
      <c r="J19" s="172"/>
      <c r="K19" s="25"/>
      <c r="L19" s="182"/>
      <c r="M19" s="182"/>
      <c r="N19" s="183"/>
      <c r="O19" s="28"/>
      <c r="P19" s="29" t="s">
        <v>282</v>
      </c>
      <c r="Q19" s="29" t="s">
        <v>282</v>
      </c>
      <c r="R19" s="184"/>
      <c r="S19" s="29"/>
      <c r="T19" s="185"/>
      <c r="U19" s="185"/>
      <c r="V19" s="185"/>
      <c r="W19" s="185"/>
      <c r="X19" s="185"/>
      <c r="Y19" s="185"/>
      <c r="Z19" s="185"/>
      <c r="AA19" s="185"/>
    </row>
    <row r="20" spans="1:27" ht="15.75">
      <c r="A20" s="344"/>
      <c r="B20" s="344"/>
      <c r="C20" s="41">
        <v>9</v>
      </c>
      <c r="D20" s="344"/>
      <c r="E20" s="39" t="s">
        <v>3261</v>
      </c>
      <c r="F20" s="31" t="s">
        <v>326</v>
      </c>
      <c r="G20" s="31" t="s">
        <v>327</v>
      </c>
      <c r="H20" s="23" t="s">
        <v>3262</v>
      </c>
      <c r="I20" s="23" t="s">
        <v>3263</v>
      </c>
      <c r="J20" s="170"/>
      <c r="K20" s="25"/>
      <c r="L20" s="25"/>
      <c r="M20" s="43"/>
      <c r="N20" s="55"/>
      <c r="O20" s="28" t="s">
        <v>140</v>
      </c>
      <c r="P20" s="29" t="s">
        <v>282</v>
      </c>
      <c r="Q20" s="29" t="s">
        <v>282</v>
      </c>
      <c r="R20" s="25"/>
      <c r="S20" s="29"/>
      <c r="T20" s="65"/>
      <c r="U20" s="65"/>
      <c r="V20" s="65"/>
      <c r="W20" s="65"/>
      <c r="X20" s="65"/>
      <c r="Y20" s="65"/>
      <c r="Z20" s="65"/>
      <c r="AA20" s="65"/>
    </row>
    <row r="21" spans="1:27" ht="15.75" customHeight="1">
      <c r="A21" s="344"/>
      <c r="B21" s="344"/>
      <c r="C21" s="41">
        <v>10</v>
      </c>
      <c r="D21" s="344"/>
      <c r="E21" s="109" t="s">
        <v>3264</v>
      </c>
      <c r="F21" s="61" t="s">
        <v>326</v>
      </c>
      <c r="G21" s="61" t="s">
        <v>327</v>
      </c>
      <c r="H21" s="63" t="s">
        <v>3265</v>
      </c>
      <c r="I21" s="63" t="s">
        <v>3263</v>
      </c>
      <c r="J21" s="171"/>
      <c r="K21" s="25"/>
      <c r="L21" s="25"/>
      <c r="M21" s="43"/>
      <c r="N21" s="186"/>
      <c r="O21" s="28"/>
      <c r="P21" s="29" t="s">
        <v>282</v>
      </c>
      <c r="Q21" s="29" t="s">
        <v>282</v>
      </c>
      <c r="R21" s="25"/>
      <c r="S21" s="29"/>
      <c r="T21" s="187"/>
      <c r="U21" s="187"/>
      <c r="V21" s="187"/>
      <c r="W21" s="187"/>
      <c r="X21" s="187"/>
      <c r="Y21" s="187"/>
      <c r="Z21" s="187"/>
      <c r="AA21" s="187"/>
    </row>
    <row r="22" spans="1:27" ht="15.75" customHeight="1">
      <c r="A22" s="352"/>
      <c r="B22" s="352"/>
      <c r="C22" s="86">
        <v>11</v>
      </c>
      <c r="D22" s="352"/>
      <c r="E22" s="181" t="s">
        <v>3266</v>
      </c>
      <c r="F22" s="86" t="s">
        <v>326</v>
      </c>
      <c r="G22" s="86" t="s">
        <v>327</v>
      </c>
      <c r="H22" s="175" t="s">
        <v>3267</v>
      </c>
      <c r="I22" s="23" t="s">
        <v>3263</v>
      </c>
      <c r="J22" s="170"/>
      <c r="K22" s="25"/>
      <c r="L22" s="25"/>
      <c r="M22" s="43"/>
      <c r="N22" s="55"/>
      <c r="O22" s="28"/>
      <c r="P22" s="29" t="s">
        <v>282</v>
      </c>
      <c r="Q22" s="29" t="s">
        <v>282</v>
      </c>
      <c r="R22" s="25" t="s">
        <v>305</v>
      </c>
      <c r="S22" s="29"/>
      <c r="T22" s="65"/>
      <c r="U22" s="65"/>
      <c r="V22" s="65"/>
      <c r="W22" s="65"/>
      <c r="X22" s="65"/>
      <c r="Y22" s="65"/>
      <c r="Z22" s="65"/>
      <c r="AA22" s="65"/>
    </row>
    <row r="23" spans="1:27" ht="15.75" customHeight="1">
      <c r="A23" s="345"/>
      <c r="B23" s="345"/>
      <c r="C23" s="41">
        <v>12</v>
      </c>
      <c r="D23" s="345"/>
      <c r="E23" s="39" t="s">
        <v>3268</v>
      </c>
      <c r="F23" s="31" t="s">
        <v>326</v>
      </c>
      <c r="G23" s="31" t="s">
        <v>327</v>
      </c>
      <c r="H23" s="39" t="s">
        <v>3269</v>
      </c>
      <c r="I23" s="23" t="s">
        <v>3270</v>
      </c>
      <c r="J23" s="170"/>
      <c r="K23" s="25"/>
      <c r="L23" s="25"/>
      <c r="M23" s="43"/>
      <c r="N23" s="55"/>
      <c r="O23" s="28" t="s">
        <v>140</v>
      </c>
      <c r="P23" s="29" t="s">
        <v>282</v>
      </c>
      <c r="Q23" s="29" t="s">
        <v>282</v>
      </c>
      <c r="R23" s="25"/>
      <c r="S23" s="29"/>
      <c r="T23" s="65"/>
      <c r="U23" s="65"/>
      <c r="V23" s="65"/>
      <c r="W23" s="65"/>
      <c r="X23" s="65"/>
      <c r="Y23" s="65"/>
      <c r="Z23" s="65"/>
      <c r="AA23" s="65"/>
    </row>
    <row r="24" spans="1:27" ht="15.75" customHeight="1">
      <c r="A24" s="364" t="s">
        <v>3271</v>
      </c>
      <c r="B24" s="363" t="s">
        <v>3272</v>
      </c>
      <c r="C24" s="74">
        <v>1</v>
      </c>
      <c r="D24" s="364" t="s">
        <v>3273</v>
      </c>
      <c r="E24" s="35" t="s">
        <v>3274</v>
      </c>
      <c r="F24" s="31"/>
      <c r="G24" s="31"/>
      <c r="H24" s="23" t="s">
        <v>3275</v>
      </c>
      <c r="I24" s="23" t="s">
        <v>3276</v>
      </c>
      <c r="J24" s="170"/>
      <c r="K24" s="25" t="s">
        <v>294</v>
      </c>
      <c r="L24" s="57"/>
      <c r="M24" s="26"/>
      <c r="N24" s="27"/>
      <c r="O24" s="28" t="s">
        <v>140</v>
      </c>
      <c r="P24" s="25"/>
      <c r="Q24" s="29" t="s">
        <v>140</v>
      </c>
      <c r="R24" s="25"/>
      <c r="S24" s="29"/>
      <c r="T24" s="65"/>
      <c r="U24" s="65"/>
      <c r="V24" s="65"/>
      <c r="W24" s="65"/>
      <c r="X24" s="65"/>
      <c r="Y24" s="65"/>
      <c r="Z24" s="65"/>
      <c r="AA24" s="65"/>
    </row>
    <row r="25" spans="1:27" ht="15.75" customHeight="1">
      <c r="A25" s="344"/>
      <c r="B25" s="344"/>
      <c r="C25" s="74">
        <v>2</v>
      </c>
      <c r="D25" s="344"/>
      <c r="E25" s="35" t="s">
        <v>3277</v>
      </c>
      <c r="F25" s="31"/>
      <c r="G25" s="31"/>
      <c r="H25" s="23" t="s">
        <v>3278</v>
      </c>
      <c r="I25" s="23" t="s">
        <v>3279</v>
      </c>
      <c r="J25" s="170"/>
      <c r="K25" s="25"/>
      <c r="L25" s="57"/>
      <c r="M25" s="26"/>
      <c r="N25" s="27"/>
      <c r="O25" s="28"/>
      <c r="P25" s="25"/>
      <c r="Q25" s="29" t="s">
        <v>282</v>
      </c>
      <c r="R25" s="25"/>
      <c r="S25" s="29"/>
      <c r="T25" s="65"/>
      <c r="U25" s="65"/>
      <c r="V25" s="65"/>
      <c r="W25" s="65"/>
      <c r="X25" s="65"/>
      <c r="Y25" s="65"/>
      <c r="Z25" s="65"/>
      <c r="AA25" s="65"/>
    </row>
    <row r="26" spans="1:27" ht="15.75" customHeight="1">
      <c r="A26" s="344"/>
      <c r="B26" s="344"/>
      <c r="C26" s="74">
        <v>3</v>
      </c>
      <c r="D26" s="344"/>
      <c r="E26" s="35" t="s">
        <v>3280</v>
      </c>
      <c r="F26" s="31"/>
      <c r="G26" s="31"/>
      <c r="H26" s="23" t="s">
        <v>3281</v>
      </c>
      <c r="I26" s="23" t="s">
        <v>3282</v>
      </c>
      <c r="J26" s="170"/>
      <c r="K26" s="25"/>
      <c r="L26" s="57"/>
      <c r="M26" s="26"/>
      <c r="N26" s="27"/>
      <c r="O26" s="28"/>
      <c r="P26" s="25"/>
      <c r="Q26" s="29" t="s">
        <v>282</v>
      </c>
      <c r="R26" s="25"/>
      <c r="S26" s="29"/>
      <c r="T26" s="65"/>
      <c r="U26" s="65"/>
      <c r="V26" s="65"/>
      <c r="W26" s="65"/>
      <c r="X26" s="65"/>
      <c r="Y26" s="65"/>
      <c r="Z26" s="65"/>
      <c r="AA26" s="65"/>
    </row>
    <row r="27" spans="1:27" ht="15.75" customHeight="1">
      <c r="A27" s="344"/>
      <c r="B27" s="344"/>
      <c r="C27" s="74">
        <v>4</v>
      </c>
      <c r="D27" s="344"/>
      <c r="E27" s="35" t="s">
        <v>3283</v>
      </c>
      <c r="F27" s="31"/>
      <c r="G27" s="31"/>
      <c r="H27" s="23" t="s">
        <v>3284</v>
      </c>
      <c r="I27" s="23" t="s">
        <v>3285</v>
      </c>
      <c r="J27" s="170"/>
      <c r="K27" s="25"/>
      <c r="L27" s="57"/>
      <c r="M27" s="26"/>
      <c r="N27" s="27"/>
      <c r="O27" s="28"/>
      <c r="P27" s="25"/>
      <c r="Q27" s="29" t="s">
        <v>282</v>
      </c>
      <c r="R27" s="25"/>
      <c r="S27" s="29"/>
      <c r="T27" s="65"/>
      <c r="U27" s="65"/>
      <c r="V27" s="65"/>
      <c r="W27" s="65"/>
      <c r="X27" s="65"/>
      <c r="Y27" s="65"/>
      <c r="Z27" s="65"/>
      <c r="AA27" s="65"/>
    </row>
    <row r="28" spans="1:27" ht="15.75" customHeight="1">
      <c r="A28" s="344"/>
      <c r="B28" s="344"/>
      <c r="C28" s="74">
        <v>5</v>
      </c>
      <c r="D28" s="344"/>
      <c r="E28" s="35" t="s">
        <v>3286</v>
      </c>
      <c r="F28" s="31"/>
      <c r="G28" s="31"/>
      <c r="H28" s="23" t="s">
        <v>3287</v>
      </c>
      <c r="I28" s="23" t="s">
        <v>3288</v>
      </c>
      <c r="J28" s="170"/>
      <c r="K28" s="25"/>
      <c r="L28" s="57"/>
      <c r="M28" s="26"/>
      <c r="N28" s="27"/>
      <c r="O28" s="28"/>
      <c r="P28" s="25"/>
      <c r="Q28" s="29" t="s">
        <v>282</v>
      </c>
      <c r="R28" s="25"/>
      <c r="S28" s="29"/>
      <c r="T28" s="65"/>
      <c r="U28" s="65"/>
      <c r="V28" s="65"/>
      <c r="W28" s="65"/>
      <c r="X28" s="65"/>
      <c r="Y28" s="65"/>
      <c r="Z28" s="65"/>
      <c r="AA28" s="65"/>
    </row>
    <row r="29" spans="1:27" ht="15.75" customHeight="1">
      <c r="A29" s="344"/>
      <c r="B29" s="344"/>
      <c r="C29" s="74">
        <v>6</v>
      </c>
      <c r="D29" s="344"/>
      <c r="E29" s="35" t="s">
        <v>3289</v>
      </c>
      <c r="F29" s="31"/>
      <c r="G29" s="31"/>
      <c r="H29" s="23" t="s">
        <v>3290</v>
      </c>
      <c r="I29" s="23" t="s">
        <v>3291</v>
      </c>
      <c r="J29" s="170"/>
      <c r="K29" s="25"/>
      <c r="L29" s="57"/>
      <c r="M29" s="26"/>
      <c r="N29" s="27"/>
      <c r="O29" s="28"/>
      <c r="P29" s="25"/>
      <c r="Q29" s="29" t="s">
        <v>282</v>
      </c>
      <c r="R29" s="25"/>
      <c r="S29" s="29"/>
      <c r="T29" s="65"/>
      <c r="U29" s="65"/>
      <c r="V29" s="65"/>
      <c r="W29" s="65"/>
      <c r="X29" s="65"/>
      <c r="Y29" s="65"/>
      <c r="Z29" s="65"/>
      <c r="AA29" s="65"/>
    </row>
    <row r="30" spans="1:27" ht="15.75" customHeight="1">
      <c r="A30" s="344"/>
      <c r="B30" s="344"/>
      <c r="C30" s="74">
        <v>7</v>
      </c>
      <c r="D30" s="344"/>
      <c r="E30" s="35" t="s">
        <v>3292</v>
      </c>
      <c r="F30" s="31"/>
      <c r="G30" s="31"/>
      <c r="H30" s="23" t="s">
        <v>3293</v>
      </c>
      <c r="I30" s="23" t="s">
        <v>3294</v>
      </c>
      <c r="J30" s="170"/>
      <c r="K30" s="25"/>
      <c r="L30" s="57"/>
      <c r="M30" s="26"/>
      <c r="N30" s="27"/>
      <c r="O30" s="28"/>
      <c r="P30" s="25"/>
      <c r="Q30" s="29" t="s">
        <v>282</v>
      </c>
      <c r="R30" s="25"/>
      <c r="S30" s="29"/>
      <c r="T30" s="65"/>
      <c r="U30" s="65"/>
      <c r="V30" s="65"/>
      <c r="W30" s="65"/>
      <c r="X30" s="65"/>
      <c r="Y30" s="65"/>
      <c r="Z30" s="65"/>
      <c r="AA30" s="65"/>
    </row>
    <row r="31" spans="1:27" ht="15.75" customHeight="1">
      <c r="A31" s="344"/>
      <c r="B31" s="344"/>
      <c r="C31" s="74">
        <v>8</v>
      </c>
      <c r="D31" s="344"/>
      <c r="E31" s="35" t="s">
        <v>3295</v>
      </c>
      <c r="F31" s="31"/>
      <c r="G31" s="31"/>
      <c r="H31" s="23" t="s">
        <v>3296</v>
      </c>
      <c r="I31" s="23" t="s">
        <v>3297</v>
      </c>
      <c r="J31" s="170"/>
      <c r="K31" s="25"/>
      <c r="L31" s="57"/>
      <c r="M31" s="26"/>
      <c r="N31" s="27"/>
      <c r="O31" s="28"/>
      <c r="P31" s="25"/>
      <c r="Q31" s="29" t="s">
        <v>282</v>
      </c>
      <c r="R31" s="25"/>
      <c r="S31" s="29"/>
      <c r="T31" s="65"/>
      <c r="U31" s="65"/>
      <c r="V31" s="65"/>
      <c r="W31" s="65"/>
      <c r="X31" s="65"/>
      <c r="Y31" s="65"/>
      <c r="Z31" s="65"/>
      <c r="AA31" s="65"/>
    </row>
    <row r="32" spans="1:27" ht="15.75" customHeight="1">
      <c r="A32" s="344"/>
      <c r="B32" s="344"/>
      <c r="C32" s="74">
        <v>9</v>
      </c>
      <c r="D32" s="344"/>
      <c r="E32" s="35" t="s">
        <v>3298</v>
      </c>
      <c r="F32" s="31"/>
      <c r="G32" s="31"/>
      <c r="H32" s="23" t="s">
        <v>3299</v>
      </c>
      <c r="I32" s="23" t="s">
        <v>3300</v>
      </c>
      <c r="J32" s="170"/>
      <c r="K32" s="25" t="s">
        <v>294</v>
      </c>
      <c r="L32" s="57"/>
      <c r="M32" s="26"/>
      <c r="N32" s="27"/>
      <c r="O32" s="28" t="s">
        <v>140</v>
      </c>
      <c r="P32" s="25"/>
      <c r="Q32" s="29" t="s">
        <v>140</v>
      </c>
      <c r="R32" s="25"/>
      <c r="S32" s="29"/>
      <c r="T32" s="65"/>
      <c r="U32" s="65"/>
      <c r="V32" s="65"/>
      <c r="W32" s="65"/>
      <c r="X32" s="65"/>
      <c r="Y32" s="65"/>
      <c r="Z32" s="65"/>
      <c r="AA32" s="65"/>
    </row>
    <row r="33" spans="1:27" ht="15.75" customHeight="1">
      <c r="A33" s="345"/>
      <c r="B33" s="345"/>
      <c r="C33" s="74">
        <v>10</v>
      </c>
      <c r="D33" s="345"/>
      <c r="E33" s="35" t="s">
        <v>3283</v>
      </c>
      <c r="F33" s="31"/>
      <c r="G33" s="31"/>
      <c r="H33" s="23" t="s">
        <v>3301</v>
      </c>
      <c r="I33" s="23" t="s">
        <v>3302</v>
      </c>
      <c r="J33" s="170"/>
      <c r="K33" s="25"/>
      <c r="L33" s="57"/>
      <c r="M33" s="26"/>
      <c r="N33" s="27"/>
      <c r="O33" s="28" t="s">
        <v>140</v>
      </c>
      <c r="P33" s="25"/>
      <c r="Q33" s="29" t="s">
        <v>282</v>
      </c>
      <c r="R33" s="25"/>
      <c r="S33" s="29"/>
      <c r="T33" s="65"/>
      <c r="U33" s="65"/>
      <c r="V33" s="65"/>
      <c r="W33" s="65"/>
      <c r="X33" s="65"/>
      <c r="Y33" s="65"/>
      <c r="Z33" s="65"/>
      <c r="AA33" s="65"/>
    </row>
    <row r="34" spans="1:27" ht="15.75" customHeight="1">
      <c r="A34" s="15" t="s">
        <v>3303</v>
      </c>
      <c r="B34" s="16"/>
      <c r="C34" s="16"/>
      <c r="D34" s="17"/>
      <c r="E34" s="18"/>
      <c r="F34" s="19"/>
      <c r="G34" s="19"/>
      <c r="H34" s="17"/>
      <c r="I34" s="20"/>
      <c r="J34" s="20"/>
      <c r="K34" s="16"/>
      <c r="L34" s="16"/>
      <c r="M34" s="71"/>
      <c r="N34" s="3"/>
      <c r="O34" s="16"/>
      <c r="P34" s="16"/>
      <c r="Q34" s="16"/>
      <c r="R34" s="16"/>
      <c r="S34" s="16"/>
    </row>
    <row r="35" spans="1:27" ht="17.25" customHeight="1">
      <c r="A35" s="355" t="s">
        <v>3304</v>
      </c>
      <c r="B35" s="350" t="s">
        <v>108</v>
      </c>
      <c r="C35" s="74">
        <v>1</v>
      </c>
      <c r="D35" s="364" t="s">
        <v>3305</v>
      </c>
      <c r="E35" s="73" t="s">
        <v>3306</v>
      </c>
      <c r="F35" s="46" t="s">
        <v>326</v>
      </c>
      <c r="G35" s="46" t="s">
        <v>327</v>
      </c>
      <c r="H35" s="73" t="s">
        <v>3228</v>
      </c>
      <c r="I35" s="35" t="s">
        <v>3307</v>
      </c>
      <c r="J35" s="172"/>
      <c r="K35" s="25" t="s">
        <v>294</v>
      </c>
      <c r="L35" s="25"/>
      <c r="M35" s="43"/>
      <c r="N35" s="55"/>
      <c r="O35" s="28"/>
      <c r="P35" s="29" t="s">
        <v>140</v>
      </c>
      <c r="Q35" s="29" t="s">
        <v>140</v>
      </c>
      <c r="R35" s="25"/>
      <c r="S35" s="29"/>
      <c r="T35" s="65"/>
      <c r="U35" s="65"/>
      <c r="V35" s="65"/>
      <c r="W35" s="65"/>
      <c r="X35" s="65"/>
      <c r="Y35" s="65"/>
      <c r="Z35" s="65"/>
      <c r="AA35" s="65"/>
    </row>
    <row r="36" spans="1:27" ht="15.75" customHeight="1">
      <c r="A36" s="344"/>
      <c r="B36" s="344"/>
      <c r="C36" s="74">
        <v>2</v>
      </c>
      <c r="D36" s="344"/>
      <c r="E36" s="365" t="s">
        <v>3308</v>
      </c>
      <c r="F36" s="371" t="s">
        <v>326</v>
      </c>
      <c r="G36" s="371" t="s">
        <v>327</v>
      </c>
      <c r="H36" s="73" t="s">
        <v>3309</v>
      </c>
      <c r="I36" s="35" t="s">
        <v>3310</v>
      </c>
      <c r="J36" s="172"/>
      <c r="K36" s="25"/>
      <c r="L36" s="25"/>
      <c r="M36" s="43"/>
      <c r="N36" s="55"/>
      <c r="O36" s="28"/>
      <c r="P36" s="29" t="s">
        <v>282</v>
      </c>
      <c r="Q36" s="29" t="s">
        <v>282</v>
      </c>
      <c r="R36" s="25"/>
      <c r="S36" s="29"/>
      <c r="T36" s="65"/>
      <c r="U36" s="65"/>
      <c r="V36" s="65"/>
      <c r="W36" s="65"/>
      <c r="X36" s="65"/>
      <c r="Y36" s="65"/>
      <c r="Z36" s="65"/>
      <c r="AA36" s="65"/>
    </row>
    <row r="37" spans="1:27" ht="15.75" customHeight="1">
      <c r="A37" s="344"/>
      <c r="B37" s="344"/>
      <c r="C37" s="74">
        <v>3</v>
      </c>
      <c r="D37" s="344"/>
      <c r="E37" s="344"/>
      <c r="F37" s="344"/>
      <c r="G37" s="344"/>
      <c r="H37" s="73" t="s">
        <v>3311</v>
      </c>
      <c r="I37" s="35" t="s">
        <v>3310</v>
      </c>
      <c r="J37" s="172"/>
      <c r="K37" s="25"/>
      <c r="L37" s="25"/>
      <c r="M37" s="43"/>
      <c r="N37" s="55"/>
      <c r="O37" s="28"/>
      <c r="P37" s="29" t="s">
        <v>282</v>
      </c>
      <c r="Q37" s="29" t="s">
        <v>282</v>
      </c>
      <c r="R37" s="25"/>
      <c r="S37" s="29"/>
      <c r="T37" s="65"/>
      <c r="U37" s="65"/>
      <c r="V37" s="65"/>
      <c r="W37" s="65"/>
      <c r="X37" s="65"/>
      <c r="Y37" s="65"/>
      <c r="Z37" s="65"/>
      <c r="AA37" s="65"/>
    </row>
    <row r="38" spans="1:27" ht="15.75" customHeight="1">
      <c r="A38" s="344"/>
      <c r="B38" s="344"/>
      <c r="C38" s="74">
        <v>4</v>
      </c>
      <c r="D38" s="344"/>
      <c r="E38" s="344"/>
      <c r="F38" s="344"/>
      <c r="G38" s="344"/>
      <c r="H38" s="73" t="s">
        <v>3312</v>
      </c>
      <c r="I38" s="35" t="s">
        <v>3310</v>
      </c>
      <c r="J38" s="172"/>
      <c r="K38" s="25"/>
      <c r="L38" s="25"/>
      <c r="M38" s="43"/>
      <c r="N38" s="55"/>
      <c r="O38" s="28"/>
      <c r="P38" s="29" t="s">
        <v>282</v>
      </c>
      <c r="Q38" s="29" t="s">
        <v>282</v>
      </c>
      <c r="R38" s="25"/>
      <c r="S38" s="29"/>
      <c r="T38" s="65"/>
      <c r="U38" s="65"/>
      <c r="V38" s="65"/>
      <c r="W38" s="65"/>
      <c r="X38" s="65"/>
      <c r="Y38" s="65"/>
      <c r="Z38" s="65"/>
      <c r="AA38" s="65"/>
    </row>
    <row r="39" spans="1:27" ht="15.75" customHeight="1">
      <c r="A39" s="344"/>
      <c r="B39" s="344"/>
      <c r="C39" s="74">
        <v>5</v>
      </c>
      <c r="D39" s="344"/>
      <c r="E39" s="344"/>
      <c r="F39" s="344"/>
      <c r="G39" s="344"/>
      <c r="H39" s="73" t="s">
        <v>3313</v>
      </c>
      <c r="I39" s="35" t="s">
        <v>3310</v>
      </c>
      <c r="J39" s="172"/>
      <c r="K39" s="25"/>
      <c r="L39" s="25"/>
      <c r="M39" s="43"/>
      <c r="N39" s="55"/>
      <c r="O39" s="28"/>
      <c r="P39" s="29" t="s">
        <v>282</v>
      </c>
      <c r="Q39" s="29" t="s">
        <v>282</v>
      </c>
      <c r="R39" s="25"/>
      <c r="S39" s="29"/>
      <c r="T39" s="65"/>
      <c r="U39" s="65"/>
      <c r="V39" s="65"/>
      <c r="W39" s="65"/>
      <c r="X39" s="65"/>
      <c r="Y39" s="65"/>
      <c r="Z39" s="65"/>
      <c r="AA39" s="65"/>
    </row>
    <row r="40" spans="1:27" ht="15.75" customHeight="1">
      <c r="A40" s="344"/>
      <c r="B40" s="344"/>
      <c r="C40" s="74">
        <v>6</v>
      </c>
      <c r="D40" s="344"/>
      <c r="E40" s="344"/>
      <c r="F40" s="344"/>
      <c r="G40" s="344"/>
      <c r="H40" s="73" t="s">
        <v>3314</v>
      </c>
      <c r="I40" s="35" t="s">
        <v>3310</v>
      </c>
      <c r="J40" s="172"/>
      <c r="K40" s="25"/>
      <c r="L40" s="25"/>
      <c r="M40" s="43"/>
      <c r="N40" s="55"/>
      <c r="O40" s="28"/>
      <c r="P40" s="29" t="s">
        <v>282</v>
      </c>
      <c r="Q40" s="29" t="s">
        <v>282</v>
      </c>
      <c r="R40" s="25"/>
      <c r="S40" s="29"/>
      <c r="T40" s="65"/>
      <c r="U40" s="65"/>
      <c r="V40" s="65"/>
      <c r="W40" s="65"/>
      <c r="X40" s="65"/>
      <c r="Y40" s="65"/>
      <c r="Z40" s="65"/>
      <c r="AA40" s="65"/>
    </row>
    <row r="41" spans="1:27" ht="15.75" customHeight="1">
      <c r="A41" s="344"/>
      <c r="B41" s="344"/>
      <c r="C41" s="74">
        <v>7</v>
      </c>
      <c r="D41" s="344"/>
      <c r="E41" s="344"/>
      <c r="F41" s="344"/>
      <c r="G41" s="344"/>
      <c r="H41" s="73" t="s">
        <v>3315</v>
      </c>
      <c r="I41" s="35" t="s">
        <v>3310</v>
      </c>
      <c r="J41" s="172"/>
      <c r="K41" s="25" t="s">
        <v>294</v>
      </c>
      <c r="L41" s="25"/>
      <c r="M41" s="43"/>
      <c r="N41" s="55"/>
      <c r="O41" s="28"/>
      <c r="P41" s="29" t="s">
        <v>140</v>
      </c>
      <c r="Q41" s="29" t="s">
        <v>140</v>
      </c>
      <c r="R41" s="25"/>
      <c r="S41" s="29"/>
      <c r="T41" s="65"/>
      <c r="U41" s="65"/>
      <c r="V41" s="65"/>
      <c r="W41" s="65"/>
      <c r="X41" s="65"/>
      <c r="Y41" s="65"/>
      <c r="Z41" s="65"/>
      <c r="AA41" s="65"/>
    </row>
    <row r="42" spans="1:27" ht="15.75" customHeight="1">
      <c r="A42" s="344"/>
      <c r="B42" s="344"/>
      <c r="C42" s="74">
        <v>8</v>
      </c>
      <c r="D42" s="344"/>
      <c r="E42" s="344"/>
      <c r="F42" s="344"/>
      <c r="G42" s="344"/>
      <c r="H42" s="73" t="s">
        <v>3316</v>
      </c>
      <c r="I42" s="35" t="s">
        <v>3310</v>
      </c>
      <c r="J42" s="172"/>
      <c r="K42" s="25"/>
      <c r="L42" s="25"/>
      <c r="M42" s="43"/>
      <c r="N42" s="55"/>
      <c r="O42" s="28"/>
      <c r="P42" s="29" t="s">
        <v>282</v>
      </c>
      <c r="Q42" s="29" t="s">
        <v>282</v>
      </c>
      <c r="R42" s="25"/>
      <c r="S42" s="29"/>
      <c r="T42" s="65"/>
      <c r="U42" s="65"/>
      <c r="V42" s="65"/>
      <c r="W42" s="65"/>
      <c r="X42" s="65"/>
      <c r="Y42" s="65"/>
      <c r="Z42" s="65"/>
      <c r="AA42" s="65"/>
    </row>
    <row r="43" spans="1:27" ht="15.75" customHeight="1">
      <c r="A43" s="344"/>
      <c r="B43" s="344"/>
      <c r="C43" s="74">
        <v>9</v>
      </c>
      <c r="D43" s="344"/>
      <c r="E43" s="345"/>
      <c r="F43" s="345"/>
      <c r="G43" s="345"/>
      <c r="H43" s="73" t="s">
        <v>3317</v>
      </c>
      <c r="I43" s="35" t="s">
        <v>3310</v>
      </c>
      <c r="J43" s="172"/>
      <c r="K43" s="25"/>
      <c r="L43" s="25"/>
      <c r="M43" s="43"/>
      <c r="N43" s="55"/>
      <c r="O43" s="28"/>
      <c r="P43" s="29" t="s">
        <v>282</v>
      </c>
      <c r="Q43" s="29" t="s">
        <v>282</v>
      </c>
      <c r="R43" s="25"/>
      <c r="S43" s="29"/>
      <c r="T43" s="65"/>
      <c r="U43" s="65"/>
      <c r="V43" s="65"/>
      <c r="W43" s="65"/>
      <c r="X43" s="65"/>
      <c r="Y43" s="65"/>
      <c r="Z43" s="65"/>
      <c r="AA43" s="65"/>
    </row>
    <row r="44" spans="1:27" ht="15.75" customHeight="1">
      <c r="A44" s="344"/>
      <c r="B44" s="344"/>
      <c r="C44" s="74">
        <v>10</v>
      </c>
      <c r="D44" s="344"/>
      <c r="E44" s="73" t="s">
        <v>3318</v>
      </c>
      <c r="F44" s="46" t="s">
        <v>326</v>
      </c>
      <c r="G44" s="46" t="s">
        <v>327</v>
      </c>
      <c r="H44" s="73" t="s">
        <v>3319</v>
      </c>
      <c r="I44" s="35" t="s">
        <v>3320</v>
      </c>
      <c r="J44" s="172"/>
      <c r="K44" s="25" t="s">
        <v>294</v>
      </c>
      <c r="L44" s="25"/>
      <c r="M44" s="43"/>
      <c r="N44" s="55"/>
      <c r="O44" s="28" t="s">
        <v>140</v>
      </c>
      <c r="P44" s="29" t="s">
        <v>140</v>
      </c>
      <c r="Q44" s="29" t="s">
        <v>140</v>
      </c>
      <c r="R44" s="25"/>
      <c r="S44" s="29"/>
      <c r="T44" s="65"/>
      <c r="U44" s="65"/>
      <c r="V44" s="65"/>
      <c r="W44" s="65"/>
      <c r="X44" s="65"/>
      <c r="Y44" s="65"/>
      <c r="Z44" s="65"/>
      <c r="AA44" s="65"/>
    </row>
    <row r="45" spans="1:27" ht="15.75" customHeight="1">
      <c r="A45" s="344"/>
      <c r="B45" s="344"/>
      <c r="C45" s="74">
        <v>11</v>
      </c>
      <c r="D45" s="344"/>
      <c r="E45" s="73" t="s">
        <v>546</v>
      </c>
      <c r="F45" s="46" t="s">
        <v>326</v>
      </c>
      <c r="G45" s="46" t="s">
        <v>327</v>
      </c>
      <c r="H45" s="73" t="s">
        <v>3321</v>
      </c>
      <c r="I45" s="35" t="s">
        <v>3322</v>
      </c>
      <c r="J45" s="172"/>
      <c r="K45" s="25" t="s">
        <v>294</v>
      </c>
      <c r="L45" s="25"/>
      <c r="M45" s="43"/>
      <c r="N45" s="55"/>
      <c r="O45" s="28" t="s">
        <v>140</v>
      </c>
      <c r="P45" s="29" t="s">
        <v>140</v>
      </c>
      <c r="Q45" s="29" t="s">
        <v>140</v>
      </c>
      <c r="R45" s="25"/>
      <c r="S45" s="29"/>
      <c r="T45" s="65"/>
      <c r="U45" s="65"/>
      <c r="V45" s="65"/>
      <c r="W45" s="65"/>
      <c r="X45" s="65"/>
      <c r="Y45" s="65"/>
      <c r="Z45" s="65"/>
      <c r="AA45" s="65"/>
    </row>
    <row r="46" spans="1:27" ht="15.75" customHeight="1">
      <c r="A46" s="344"/>
      <c r="B46" s="344"/>
      <c r="C46" s="74">
        <v>12</v>
      </c>
      <c r="D46" s="344"/>
      <c r="E46" s="73" t="s">
        <v>3323</v>
      </c>
      <c r="F46" s="46" t="s">
        <v>326</v>
      </c>
      <c r="G46" s="46" t="s">
        <v>327</v>
      </c>
      <c r="H46" s="73" t="s">
        <v>3250</v>
      </c>
      <c r="I46" s="35" t="s">
        <v>3324</v>
      </c>
      <c r="J46" s="172"/>
      <c r="K46" s="25"/>
      <c r="L46" s="25"/>
      <c r="M46" s="43"/>
      <c r="N46" s="55"/>
      <c r="O46" s="28" t="s">
        <v>140</v>
      </c>
      <c r="P46" s="29" t="s">
        <v>282</v>
      </c>
      <c r="Q46" s="29" t="s">
        <v>282</v>
      </c>
      <c r="R46" s="25"/>
      <c r="S46" s="29"/>
      <c r="T46" s="65"/>
      <c r="U46" s="65"/>
      <c r="V46" s="65"/>
      <c r="W46" s="65"/>
      <c r="X46" s="65"/>
      <c r="Y46" s="65"/>
      <c r="Z46" s="65"/>
      <c r="AA46" s="65"/>
    </row>
    <row r="47" spans="1:27" ht="15.75" customHeight="1">
      <c r="A47" s="344"/>
      <c r="B47" s="344"/>
      <c r="C47" s="74">
        <v>13</v>
      </c>
      <c r="D47" s="344"/>
      <c r="E47" s="73" t="s">
        <v>3325</v>
      </c>
      <c r="F47" s="46" t="s">
        <v>326</v>
      </c>
      <c r="G47" s="46" t="s">
        <v>327</v>
      </c>
      <c r="H47" s="73" t="s">
        <v>3326</v>
      </c>
      <c r="I47" s="35" t="s">
        <v>3327</v>
      </c>
      <c r="J47" s="172"/>
      <c r="K47" s="25" t="s">
        <v>294</v>
      </c>
      <c r="L47" s="25"/>
      <c r="M47" s="43"/>
      <c r="N47" s="55"/>
      <c r="O47" s="28"/>
      <c r="P47" s="29" t="s">
        <v>140</v>
      </c>
      <c r="Q47" s="29" t="s">
        <v>140</v>
      </c>
      <c r="R47" s="25"/>
      <c r="S47" s="29"/>
      <c r="T47" s="65"/>
      <c r="U47" s="65"/>
      <c r="V47" s="65"/>
      <c r="W47" s="65"/>
      <c r="X47" s="65"/>
      <c r="Y47" s="65"/>
      <c r="Z47" s="65"/>
      <c r="AA47" s="65"/>
    </row>
    <row r="48" spans="1:27" ht="15.75" customHeight="1">
      <c r="A48" s="344"/>
      <c r="B48" s="344"/>
      <c r="C48" s="74">
        <v>14</v>
      </c>
      <c r="D48" s="344"/>
      <c r="E48" s="73" t="s">
        <v>3328</v>
      </c>
      <c r="F48" s="46" t="s">
        <v>326</v>
      </c>
      <c r="G48" s="46" t="s">
        <v>327</v>
      </c>
      <c r="H48" s="73" t="s">
        <v>3329</v>
      </c>
      <c r="I48" s="35" t="s">
        <v>3330</v>
      </c>
      <c r="J48" s="172"/>
      <c r="K48" s="25" t="s">
        <v>294</v>
      </c>
      <c r="L48" s="25"/>
      <c r="M48" s="43"/>
      <c r="N48" s="55"/>
      <c r="O48" s="28"/>
      <c r="P48" s="29" t="s">
        <v>140</v>
      </c>
      <c r="Q48" s="29" t="s">
        <v>140</v>
      </c>
      <c r="R48" s="25"/>
      <c r="S48" s="29"/>
      <c r="T48" s="65"/>
      <c r="U48" s="65"/>
      <c r="V48" s="65"/>
      <c r="W48" s="65"/>
      <c r="X48" s="65"/>
      <c r="Y48" s="65"/>
      <c r="Z48" s="65"/>
      <c r="AA48" s="65"/>
    </row>
    <row r="49" spans="1:27" ht="15.75" customHeight="1">
      <c r="A49" s="344"/>
      <c r="B49" s="344"/>
      <c r="C49" s="74">
        <v>15</v>
      </c>
      <c r="D49" s="344"/>
      <c r="E49" s="73" t="s">
        <v>3331</v>
      </c>
      <c r="F49" s="46"/>
      <c r="G49" s="46"/>
      <c r="H49" s="73" t="s">
        <v>3332</v>
      </c>
      <c r="I49" s="35" t="s">
        <v>3333</v>
      </c>
      <c r="J49" s="172"/>
      <c r="K49" s="25"/>
      <c r="L49" s="25"/>
      <c r="M49" s="43"/>
      <c r="N49" s="55"/>
      <c r="O49" s="28"/>
      <c r="P49" s="29" t="s">
        <v>282</v>
      </c>
      <c r="Q49" s="29" t="s">
        <v>282</v>
      </c>
      <c r="R49" s="25"/>
      <c r="S49" s="29"/>
      <c r="T49" s="65"/>
      <c r="U49" s="65"/>
      <c r="V49" s="65"/>
      <c r="W49" s="65"/>
      <c r="X49" s="65"/>
      <c r="Y49" s="65"/>
      <c r="Z49" s="65"/>
      <c r="AA49" s="65"/>
    </row>
    <row r="50" spans="1:27" ht="15.75" customHeight="1">
      <c r="A50" s="344"/>
      <c r="B50" s="344"/>
      <c r="C50" s="34">
        <v>16</v>
      </c>
      <c r="D50" s="344"/>
      <c r="E50" s="54" t="s">
        <v>1034</v>
      </c>
      <c r="F50" s="34" t="s">
        <v>326</v>
      </c>
      <c r="G50" s="34" t="s">
        <v>327</v>
      </c>
      <c r="H50" s="54" t="s">
        <v>3334</v>
      </c>
      <c r="I50" s="35" t="s">
        <v>3307</v>
      </c>
      <c r="J50" s="172"/>
      <c r="K50" s="25" t="s">
        <v>294</v>
      </c>
      <c r="L50" s="25"/>
      <c r="M50" s="43"/>
      <c r="N50" s="55"/>
      <c r="O50" s="28"/>
      <c r="P50" s="29" t="s">
        <v>140</v>
      </c>
      <c r="Q50" s="29" t="s">
        <v>140</v>
      </c>
      <c r="R50" s="25" t="s">
        <v>298</v>
      </c>
      <c r="S50" s="29"/>
      <c r="T50" s="65"/>
      <c r="U50" s="65"/>
      <c r="V50" s="65"/>
      <c r="W50" s="65"/>
      <c r="X50" s="65"/>
      <c r="Y50" s="65"/>
      <c r="Z50" s="65"/>
      <c r="AA50" s="65"/>
    </row>
    <row r="51" spans="1:27" ht="15.75" customHeight="1">
      <c r="A51" s="344"/>
      <c r="B51" s="344"/>
      <c r="C51" s="74">
        <v>17</v>
      </c>
      <c r="D51" s="344"/>
      <c r="E51" s="73" t="s">
        <v>3335</v>
      </c>
      <c r="F51" s="46" t="s">
        <v>326</v>
      </c>
      <c r="G51" s="46" t="s">
        <v>327</v>
      </c>
      <c r="H51" s="73" t="s">
        <v>3228</v>
      </c>
      <c r="I51" s="35" t="s">
        <v>3336</v>
      </c>
      <c r="J51" s="172"/>
      <c r="K51" s="25"/>
      <c r="L51" s="25"/>
      <c r="M51" s="43"/>
      <c r="N51" s="55"/>
      <c r="O51" s="28"/>
      <c r="P51" s="29" t="s">
        <v>282</v>
      </c>
      <c r="Q51" s="29" t="s">
        <v>282</v>
      </c>
      <c r="R51" s="25"/>
      <c r="S51" s="29"/>
      <c r="T51" s="65"/>
      <c r="U51" s="65"/>
      <c r="V51" s="65"/>
      <c r="W51" s="65"/>
      <c r="X51" s="65"/>
      <c r="Y51" s="65"/>
      <c r="Z51" s="65"/>
      <c r="AA51" s="65"/>
    </row>
    <row r="52" spans="1:27" ht="15.75" customHeight="1">
      <c r="A52" s="344"/>
      <c r="B52" s="344"/>
      <c r="C52" s="74">
        <v>18</v>
      </c>
      <c r="D52" s="344"/>
      <c r="E52" s="73" t="s">
        <v>3337</v>
      </c>
      <c r="F52" s="46" t="s">
        <v>326</v>
      </c>
      <c r="G52" s="46" t="s">
        <v>327</v>
      </c>
      <c r="H52" s="73" t="s">
        <v>3228</v>
      </c>
      <c r="I52" s="35" t="s">
        <v>3338</v>
      </c>
      <c r="J52" s="172"/>
      <c r="K52" s="25"/>
      <c r="L52" s="25"/>
      <c r="M52" s="43"/>
      <c r="N52" s="55"/>
      <c r="O52" s="28"/>
      <c r="P52" s="29" t="s">
        <v>282</v>
      </c>
      <c r="Q52" s="29" t="s">
        <v>282</v>
      </c>
      <c r="R52" s="25"/>
      <c r="S52" s="29"/>
      <c r="T52" s="65"/>
      <c r="U52" s="65"/>
      <c r="V52" s="65"/>
      <c r="W52" s="65"/>
      <c r="X52" s="65"/>
      <c r="Y52" s="65"/>
      <c r="Z52" s="65"/>
      <c r="AA52" s="65"/>
    </row>
    <row r="53" spans="1:27" ht="15.75" customHeight="1">
      <c r="A53" s="353"/>
      <c r="B53" s="353"/>
      <c r="C53" s="86">
        <v>19</v>
      </c>
      <c r="D53" s="353"/>
      <c r="E53" s="181" t="s">
        <v>3339</v>
      </c>
      <c r="F53" s="86" t="s">
        <v>326</v>
      </c>
      <c r="G53" s="86" t="s">
        <v>327</v>
      </c>
      <c r="H53" s="181" t="s">
        <v>3340</v>
      </c>
      <c r="I53" s="35" t="s">
        <v>3341</v>
      </c>
      <c r="J53" s="172"/>
      <c r="K53" s="25"/>
      <c r="L53" s="25"/>
      <c r="M53" s="43"/>
      <c r="N53" s="55"/>
      <c r="O53" s="28"/>
      <c r="P53" s="29" t="s">
        <v>282</v>
      </c>
      <c r="Q53" s="29" t="s">
        <v>282</v>
      </c>
      <c r="R53" s="25" t="s">
        <v>305</v>
      </c>
      <c r="S53" s="29"/>
      <c r="T53" s="65"/>
      <c r="U53" s="65"/>
      <c r="V53" s="65"/>
      <c r="W53" s="65"/>
      <c r="X53" s="65"/>
      <c r="Y53" s="65"/>
      <c r="Z53" s="65"/>
      <c r="AA53" s="65"/>
    </row>
    <row r="54" spans="1:27" ht="15.75" customHeight="1">
      <c r="A54" s="15" t="s">
        <v>3342</v>
      </c>
      <c r="B54" s="16"/>
      <c r="C54" s="16"/>
      <c r="D54" s="17"/>
      <c r="E54" s="18"/>
      <c r="F54" s="19"/>
      <c r="G54" s="19"/>
      <c r="H54" s="17"/>
      <c r="I54" s="20"/>
      <c r="J54" s="20"/>
      <c r="K54" s="16"/>
      <c r="L54" s="16"/>
      <c r="M54" s="71"/>
      <c r="N54" s="3"/>
      <c r="O54" s="16"/>
      <c r="P54" s="16"/>
      <c r="Q54" s="16"/>
      <c r="R54" s="16"/>
      <c r="S54" s="16"/>
    </row>
    <row r="55" spans="1:27" ht="15.75" customHeight="1">
      <c r="A55" s="365" t="s">
        <v>3343</v>
      </c>
      <c r="B55" s="371" t="s">
        <v>34</v>
      </c>
      <c r="C55" s="74">
        <v>1</v>
      </c>
      <c r="D55" s="365" t="s">
        <v>3344</v>
      </c>
      <c r="E55" s="35" t="s">
        <v>3345</v>
      </c>
      <c r="F55" s="46" t="s">
        <v>326</v>
      </c>
      <c r="G55" s="46" t="s">
        <v>524</v>
      </c>
      <c r="H55" s="35" t="s">
        <v>3346</v>
      </c>
      <c r="I55" s="35" t="s">
        <v>3347</v>
      </c>
      <c r="J55" s="172"/>
      <c r="K55" s="25" t="s">
        <v>294</v>
      </c>
      <c r="L55" s="57"/>
      <c r="M55" s="26"/>
      <c r="N55" s="55"/>
      <c r="O55" s="28" t="s">
        <v>140</v>
      </c>
      <c r="P55" s="29" t="s">
        <v>140</v>
      </c>
      <c r="Q55" s="29" t="s">
        <v>140</v>
      </c>
      <c r="R55" s="25"/>
      <c r="S55" s="29"/>
      <c r="T55" s="30"/>
      <c r="U55" s="30"/>
      <c r="V55" s="30"/>
      <c r="W55" s="30"/>
      <c r="X55" s="30"/>
      <c r="Y55" s="30"/>
      <c r="Z55" s="30"/>
      <c r="AA55" s="30"/>
    </row>
    <row r="56" spans="1:27" ht="15.75" customHeight="1">
      <c r="A56" s="344"/>
      <c r="B56" s="344"/>
      <c r="C56" s="74">
        <v>2</v>
      </c>
      <c r="D56" s="344"/>
      <c r="E56" s="73" t="s">
        <v>3348</v>
      </c>
      <c r="F56" s="46" t="s">
        <v>326</v>
      </c>
      <c r="G56" s="46" t="s">
        <v>327</v>
      </c>
      <c r="H56" s="35" t="s">
        <v>3349</v>
      </c>
      <c r="I56" s="35" t="s">
        <v>3350</v>
      </c>
      <c r="J56" s="172"/>
      <c r="K56" s="25" t="s">
        <v>294</v>
      </c>
      <c r="L56" s="57"/>
      <c r="M56" s="26"/>
      <c r="N56" s="55"/>
      <c r="O56" s="28" t="s">
        <v>140</v>
      </c>
      <c r="P56" s="29" t="s">
        <v>140</v>
      </c>
      <c r="Q56" s="29" t="s">
        <v>140</v>
      </c>
      <c r="R56" s="25"/>
      <c r="S56" s="29"/>
      <c r="T56" s="30"/>
      <c r="U56" s="30"/>
      <c r="V56" s="30"/>
      <c r="W56" s="30"/>
      <c r="X56" s="30"/>
      <c r="Y56" s="30"/>
      <c r="Z56" s="30"/>
      <c r="AA56" s="30"/>
    </row>
    <row r="57" spans="1:27" ht="82.5" customHeight="1">
      <c r="A57" s="344"/>
      <c r="B57" s="344"/>
      <c r="C57" s="74">
        <v>3</v>
      </c>
      <c r="D57" s="344"/>
      <c r="E57" s="392" t="s">
        <v>3351</v>
      </c>
      <c r="F57" s="46" t="s">
        <v>326</v>
      </c>
      <c r="G57" s="46" t="s">
        <v>327</v>
      </c>
      <c r="H57" s="35" t="s">
        <v>3352</v>
      </c>
      <c r="I57" s="35" t="s">
        <v>3353</v>
      </c>
      <c r="J57" s="172"/>
      <c r="K57" s="25" t="s">
        <v>294</v>
      </c>
      <c r="L57" s="57"/>
      <c r="M57" s="26"/>
      <c r="N57" s="55"/>
      <c r="O57" s="28"/>
      <c r="P57" s="29" t="s">
        <v>140</v>
      </c>
      <c r="Q57" s="29" t="s">
        <v>140</v>
      </c>
      <c r="R57" s="25" t="s">
        <v>7</v>
      </c>
      <c r="S57" s="29"/>
      <c r="T57" s="30"/>
      <c r="U57" s="30"/>
      <c r="V57" s="30"/>
      <c r="W57" s="30"/>
      <c r="X57" s="30"/>
      <c r="Y57" s="30"/>
      <c r="Z57" s="30"/>
      <c r="AA57" s="30"/>
    </row>
    <row r="58" spans="1:27" ht="15.75" customHeight="1">
      <c r="A58" s="344"/>
      <c r="B58" s="344"/>
      <c r="C58" s="74">
        <v>4</v>
      </c>
      <c r="D58" s="344"/>
      <c r="E58" s="345"/>
      <c r="F58" s="46" t="s">
        <v>326</v>
      </c>
      <c r="G58" s="46" t="s">
        <v>524</v>
      </c>
      <c r="H58" s="35" t="s">
        <v>3354</v>
      </c>
      <c r="I58" s="35" t="s">
        <v>3355</v>
      </c>
      <c r="J58" s="172"/>
      <c r="K58" s="25" t="s">
        <v>294</v>
      </c>
      <c r="L58" s="57"/>
      <c r="M58" s="26"/>
      <c r="N58" s="55"/>
      <c r="O58" s="28"/>
      <c r="P58" s="29" t="s">
        <v>140</v>
      </c>
      <c r="Q58" s="29" t="s">
        <v>140</v>
      </c>
      <c r="R58" s="25" t="s">
        <v>7</v>
      </c>
      <c r="S58" s="29"/>
      <c r="T58" s="30"/>
      <c r="U58" s="30"/>
      <c r="V58" s="30"/>
      <c r="W58" s="30"/>
      <c r="X58" s="30"/>
      <c r="Y58" s="30"/>
      <c r="Z58" s="30"/>
      <c r="AA58" s="30"/>
    </row>
    <row r="59" spans="1:27" ht="15.75" customHeight="1">
      <c r="A59" s="344"/>
      <c r="B59" s="344"/>
      <c r="C59" s="74">
        <v>5</v>
      </c>
      <c r="D59" s="344"/>
      <c r="E59" s="73" t="s">
        <v>3356</v>
      </c>
      <c r="F59" s="46" t="s">
        <v>326</v>
      </c>
      <c r="G59" s="46" t="s">
        <v>327</v>
      </c>
      <c r="H59" s="35" t="s">
        <v>3357</v>
      </c>
      <c r="I59" s="35" t="s">
        <v>3358</v>
      </c>
      <c r="J59" s="172"/>
      <c r="K59" s="25" t="s">
        <v>294</v>
      </c>
      <c r="L59" s="57"/>
      <c r="M59" s="26"/>
      <c r="N59" s="55"/>
      <c r="O59" s="28"/>
      <c r="P59" s="29" t="s">
        <v>282</v>
      </c>
      <c r="Q59" s="29" t="s">
        <v>140</v>
      </c>
      <c r="R59" s="25" t="s">
        <v>7</v>
      </c>
      <c r="S59" s="29"/>
      <c r="T59" s="30"/>
      <c r="U59" s="30"/>
      <c r="V59" s="30"/>
      <c r="W59" s="30"/>
      <c r="X59" s="30"/>
      <c r="Y59" s="30"/>
      <c r="Z59" s="30"/>
      <c r="AA59" s="30"/>
    </row>
    <row r="60" spans="1:27" ht="15.75" customHeight="1">
      <c r="A60" s="352"/>
      <c r="B60" s="352"/>
      <c r="C60" s="86">
        <v>6</v>
      </c>
      <c r="D60" s="352"/>
      <c r="E60" s="181" t="s">
        <v>3359</v>
      </c>
      <c r="F60" s="86" t="s">
        <v>326</v>
      </c>
      <c r="G60" s="86" t="s">
        <v>327</v>
      </c>
      <c r="H60" s="175" t="s">
        <v>3360</v>
      </c>
      <c r="I60" s="35" t="s">
        <v>3358</v>
      </c>
      <c r="J60" s="172"/>
      <c r="K60" s="25"/>
      <c r="L60" s="57"/>
      <c r="M60" s="26"/>
      <c r="N60" s="55"/>
      <c r="O60" s="28"/>
      <c r="P60" s="29" t="s">
        <v>140</v>
      </c>
      <c r="Q60" s="29" t="s">
        <v>140</v>
      </c>
      <c r="R60" s="25" t="s">
        <v>306</v>
      </c>
      <c r="S60" s="29"/>
      <c r="T60" s="30"/>
      <c r="U60" s="30"/>
      <c r="V60" s="30"/>
      <c r="W60" s="30"/>
      <c r="X60" s="30"/>
      <c r="Y60" s="30"/>
      <c r="Z60" s="30"/>
      <c r="AA60" s="30"/>
    </row>
    <row r="61" spans="1:27" ht="15.75" customHeight="1">
      <c r="A61" s="344"/>
      <c r="B61" s="344"/>
      <c r="C61" s="74">
        <v>7</v>
      </c>
      <c r="D61" s="344"/>
      <c r="E61" s="392" t="s">
        <v>3361</v>
      </c>
      <c r="F61" s="371" t="s">
        <v>326</v>
      </c>
      <c r="G61" s="46" t="s">
        <v>524</v>
      </c>
      <c r="H61" s="35" t="s">
        <v>3362</v>
      </c>
      <c r="I61" s="35" t="s">
        <v>3363</v>
      </c>
      <c r="J61" s="172"/>
      <c r="K61" s="25" t="s">
        <v>294</v>
      </c>
      <c r="L61" s="57"/>
      <c r="M61" s="26"/>
      <c r="N61" s="55"/>
      <c r="O61" s="28"/>
      <c r="P61" s="29" t="s">
        <v>282</v>
      </c>
      <c r="Q61" s="29" t="s">
        <v>140</v>
      </c>
      <c r="R61" s="25" t="s">
        <v>7</v>
      </c>
      <c r="S61" s="29"/>
      <c r="T61" s="30"/>
      <c r="U61" s="30"/>
      <c r="V61" s="30"/>
      <c r="W61" s="30"/>
      <c r="X61" s="30"/>
      <c r="Y61" s="30"/>
      <c r="Z61" s="30"/>
      <c r="AA61" s="30"/>
    </row>
    <row r="62" spans="1:27" ht="15.75" customHeight="1">
      <c r="A62" s="344"/>
      <c r="B62" s="344"/>
      <c r="C62" s="74">
        <v>8</v>
      </c>
      <c r="D62" s="344"/>
      <c r="E62" s="345"/>
      <c r="F62" s="345"/>
      <c r="G62" s="46" t="s">
        <v>327</v>
      </c>
      <c r="H62" s="35" t="s">
        <v>3364</v>
      </c>
      <c r="I62" s="35" t="s">
        <v>3363</v>
      </c>
      <c r="J62" s="172"/>
      <c r="K62" s="25" t="s">
        <v>294</v>
      </c>
      <c r="L62" s="57"/>
      <c r="M62" s="26"/>
      <c r="N62" s="55"/>
      <c r="O62" s="28"/>
      <c r="P62" s="29" t="s">
        <v>282</v>
      </c>
      <c r="Q62" s="29" t="s">
        <v>140</v>
      </c>
      <c r="R62" s="25" t="s">
        <v>7</v>
      </c>
      <c r="S62" s="29"/>
      <c r="T62" s="30"/>
      <c r="U62" s="30"/>
      <c r="V62" s="30"/>
      <c r="W62" s="30"/>
      <c r="X62" s="30"/>
      <c r="Y62" s="30"/>
      <c r="Z62" s="30"/>
      <c r="AA62" s="30"/>
    </row>
    <row r="63" spans="1:27" ht="15.75" customHeight="1">
      <c r="A63" s="15" t="s">
        <v>3365</v>
      </c>
      <c r="B63" s="16"/>
      <c r="C63" s="16"/>
      <c r="D63" s="17"/>
      <c r="E63" s="18"/>
      <c r="F63" s="19"/>
      <c r="G63" s="19"/>
      <c r="H63" s="17"/>
      <c r="I63" s="20"/>
      <c r="J63" s="20"/>
      <c r="K63" s="16"/>
      <c r="L63" s="16"/>
      <c r="M63" s="71"/>
      <c r="N63" s="3"/>
      <c r="O63" s="71"/>
      <c r="P63" s="16"/>
      <c r="Q63" s="16"/>
      <c r="R63" s="16"/>
      <c r="S63" s="16"/>
    </row>
    <row r="64" spans="1:27" ht="15.75" customHeight="1">
      <c r="A64" s="356" t="s">
        <v>6</v>
      </c>
      <c r="B64" s="360" t="s">
        <v>156</v>
      </c>
      <c r="C64" s="41">
        <v>1</v>
      </c>
      <c r="D64" s="356" t="s">
        <v>6</v>
      </c>
      <c r="E64" s="39" t="s">
        <v>3366</v>
      </c>
      <c r="F64" s="31" t="s">
        <v>326</v>
      </c>
      <c r="G64" s="31" t="s">
        <v>327</v>
      </c>
      <c r="H64" s="23" t="s">
        <v>3367</v>
      </c>
      <c r="I64" s="39" t="s">
        <v>3368</v>
      </c>
      <c r="J64" s="289"/>
      <c r="K64" s="25" t="s">
        <v>294</v>
      </c>
      <c r="L64" s="57"/>
      <c r="M64" s="26"/>
      <c r="N64" s="55"/>
      <c r="O64" s="28"/>
      <c r="P64" s="29" t="s">
        <v>140</v>
      </c>
      <c r="Q64" s="29" t="s">
        <v>140</v>
      </c>
      <c r="R64" s="25"/>
      <c r="S64" s="29"/>
      <c r="T64" s="65"/>
      <c r="U64" s="65"/>
      <c r="V64" s="65"/>
      <c r="W64" s="65"/>
      <c r="X64" s="65"/>
      <c r="Y64" s="65"/>
      <c r="Z64" s="65"/>
      <c r="AA64" s="65"/>
    </row>
    <row r="65" spans="1:27" ht="15.75" customHeight="1">
      <c r="A65" s="344"/>
      <c r="B65" s="344"/>
      <c r="C65" s="41">
        <v>2</v>
      </c>
      <c r="D65" s="344"/>
      <c r="E65" s="39" t="s">
        <v>3369</v>
      </c>
      <c r="F65" s="31" t="s">
        <v>326</v>
      </c>
      <c r="G65" s="31" t="s">
        <v>524</v>
      </c>
      <c r="H65" s="23" t="s">
        <v>3370</v>
      </c>
      <c r="I65" s="39" t="s">
        <v>3371</v>
      </c>
      <c r="J65" s="289"/>
      <c r="K65" s="25" t="s">
        <v>294</v>
      </c>
      <c r="L65" s="57"/>
      <c r="M65" s="26"/>
      <c r="N65" s="55"/>
      <c r="O65" s="28"/>
      <c r="P65" s="29" t="s">
        <v>140</v>
      </c>
      <c r="Q65" s="29" t="s">
        <v>140</v>
      </c>
      <c r="R65" s="25"/>
      <c r="S65" s="29"/>
      <c r="T65" s="65"/>
      <c r="U65" s="65"/>
      <c r="V65" s="65"/>
      <c r="W65" s="65"/>
      <c r="X65" s="65"/>
      <c r="Y65" s="65"/>
      <c r="Z65" s="65"/>
      <c r="AA65" s="65"/>
    </row>
    <row r="66" spans="1:27" ht="15.75" customHeight="1">
      <c r="A66" s="344"/>
      <c r="B66" s="344"/>
      <c r="C66" s="41">
        <v>3</v>
      </c>
      <c r="D66" s="344"/>
      <c r="E66" s="39" t="s">
        <v>3372</v>
      </c>
      <c r="F66" s="31" t="s">
        <v>326</v>
      </c>
      <c r="G66" s="31" t="s">
        <v>524</v>
      </c>
      <c r="H66" s="23" t="s">
        <v>3373</v>
      </c>
      <c r="I66" s="39" t="s">
        <v>3374</v>
      </c>
      <c r="J66" s="289"/>
      <c r="K66" s="25" t="s">
        <v>294</v>
      </c>
      <c r="L66" s="57"/>
      <c r="M66" s="26"/>
      <c r="N66" s="55"/>
      <c r="O66" s="28"/>
      <c r="P66" s="154"/>
      <c r="Q66" s="29" t="s">
        <v>140</v>
      </c>
      <c r="R66" s="25"/>
      <c r="S66" s="29"/>
      <c r="T66" s="65"/>
      <c r="U66" s="65"/>
      <c r="V66" s="65"/>
      <c r="W66" s="65"/>
      <c r="X66" s="65"/>
      <c r="Y66" s="65"/>
      <c r="Z66" s="65"/>
      <c r="AA66" s="65"/>
    </row>
    <row r="67" spans="1:27" ht="15.75" customHeight="1">
      <c r="A67" s="345"/>
      <c r="B67" s="345"/>
      <c r="C67" s="41">
        <v>4</v>
      </c>
      <c r="D67" s="345"/>
      <c r="E67" s="39" t="s">
        <v>3375</v>
      </c>
      <c r="F67" s="31" t="s">
        <v>326</v>
      </c>
      <c r="G67" s="31" t="s">
        <v>524</v>
      </c>
      <c r="H67" s="23" t="s">
        <v>3376</v>
      </c>
      <c r="I67" s="39" t="s">
        <v>3377</v>
      </c>
      <c r="J67" s="289"/>
      <c r="K67" s="25" t="s">
        <v>294</v>
      </c>
      <c r="L67" s="57"/>
      <c r="M67" s="26"/>
      <c r="N67" s="55"/>
      <c r="O67" s="28"/>
      <c r="P67" s="154"/>
      <c r="Q67" s="29" t="s">
        <v>140</v>
      </c>
      <c r="R67" s="25"/>
      <c r="S67" s="29"/>
      <c r="T67" s="65"/>
      <c r="U67" s="65"/>
      <c r="V67" s="65"/>
      <c r="W67" s="65"/>
      <c r="X67" s="65"/>
      <c r="Y67" s="65"/>
      <c r="Z67" s="65"/>
      <c r="AA67" s="65"/>
    </row>
    <row r="68" spans="1:27" ht="15.75" customHeight="1">
      <c r="A68" s="15" t="s">
        <v>3378</v>
      </c>
      <c r="B68" s="16"/>
      <c r="C68" s="16"/>
      <c r="D68" s="17"/>
      <c r="E68" s="18"/>
      <c r="F68" s="19"/>
      <c r="G68" s="19"/>
      <c r="H68" s="17"/>
      <c r="I68" s="20"/>
      <c r="J68" s="20"/>
      <c r="K68" s="16"/>
      <c r="L68" s="16"/>
      <c r="M68" s="71"/>
      <c r="N68" s="3"/>
      <c r="O68" s="71"/>
      <c r="P68" s="16"/>
      <c r="Q68" s="16"/>
      <c r="R68" s="16"/>
      <c r="S68" s="16"/>
    </row>
    <row r="69" spans="1:27" ht="16.5" customHeight="1">
      <c r="A69" s="355" t="s">
        <v>3379</v>
      </c>
      <c r="B69" s="350" t="s">
        <v>202</v>
      </c>
      <c r="C69" s="111">
        <v>1</v>
      </c>
      <c r="D69" s="366" t="s">
        <v>3380</v>
      </c>
      <c r="E69" s="366" t="s">
        <v>3381</v>
      </c>
      <c r="F69" s="367" t="s">
        <v>326</v>
      </c>
      <c r="G69" s="367" t="s">
        <v>327</v>
      </c>
      <c r="H69" s="63" t="s">
        <v>3382</v>
      </c>
      <c r="I69" s="63" t="s">
        <v>335</v>
      </c>
      <c r="J69" s="171"/>
      <c r="K69" s="25" t="s">
        <v>294</v>
      </c>
      <c r="L69" s="26"/>
      <c r="M69" s="26"/>
      <c r="N69" s="27"/>
      <c r="O69" s="28" t="s">
        <v>140</v>
      </c>
      <c r="P69" s="25"/>
      <c r="Q69" s="29" t="s">
        <v>140</v>
      </c>
      <c r="R69" s="25"/>
      <c r="S69" s="29"/>
      <c r="T69" s="30"/>
      <c r="U69" s="30"/>
      <c r="V69" s="30"/>
      <c r="W69" s="30"/>
      <c r="X69" s="30"/>
      <c r="Y69" s="30"/>
      <c r="Z69" s="30"/>
      <c r="AA69" s="30"/>
    </row>
    <row r="70" spans="1:27" ht="16.5" customHeight="1">
      <c r="A70" s="344"/>
      <c r="B70" s="344"/>
      <c r="C70" s="111">
        <v>2</v>
      </c>
      <c r="D70" s="344"/>
      <c r="E70" s="345"/>
      <c r="F70" s="345"/>
      <c r="G70" s="345"/>
      <c r="H70" s="63" t="s">
        <v>3383</v>
      </c>
      <c r="I70" s="63" t="s">
        <v>460</v>
      </c>
      <c r="J70" s="171"/>
      <c r="K70" s="25" t="s">
        <v>294</v>
      </c>
      <c r="L70" s="26"/>
      <c r="M70" s="26"/>
      <c r="N70" s="27"/>
      <c r="O70" s="28" t="s">
        <v>140</v>
      </c>
      <c r="P70" s="25"/>
      <c r="Q70" s="29" t="s">
        <v>140</v>
      </c>
      <c r="R70" s="25"/>
      <c r="S70" s="29"/>
      <c r="T70" s="30"/>
      <c r="U70" s="30"/>
      <c r="V70" s="30"/>
      <c r="W70" s="30"/>
      <c r="X70" s="30"/>
      <c r="Y70" s="30"/>
      <c r="Z70" s="30"/>
      <c r="AA70" s="30"/>
    </row>
    <row r="71" spans="1:27" ht="16.5" customHeight="1">
      <c r="A71" s="344"/>
      <c r="B71" s="344"/>
      <c r="C71" s="111">
        <v>3</v>
      </c>
      <c r="D71" s="344"/>
      <c r="E71" s="366" t="s">
        <v>3384</v>
      </c>
      <c r="F71" s="367" t="s">
        <v>326</v>
      </c>
      <c r="G71" s="367" t="s">
        <v>327</v>
      </c>
      <c r="H71" s="63" t="s">
        <v>3385</v>
      </c>
      <c r="I71" s="63" t="s">
        <v>564</v>
      </c>
      <c r="J71" s="171"/>
      <c r="K71" s="25" t="s">
        <v>294</v>
      </c>
      <c r="L71" s="26"/>
      <c r="M71" s="26"/>
      <c r="N71" s="27"/>
      <c r="O71" s="28" t="s">
        <v>140</v>
      </c>
      <c r="P71" s="25"/>
      <c r="Q71" s="29" t="s">
        <v>140</v>
      </c>
      <c r="R71" s="25"/>
      <c r="S71" s="29"/>
      <c r="T71" s="30"/>
      <c r="U71" s="30"/>
      <c r="V71" s="30"/>
      <c r="W71" s="30"/>
      <c r="X71" s="30"/>
      <c r="Y71" s="30"/>
      <c r="Z71" s="30"/>
      <c r="AA71" s="30"/>
    </row>
    <row r="72" spans="1:27" ht="16.5" customHeight="1">
      <c r="A72" s="344"/>
      <c r="B72" s="344"/>
      <c r="C72" s="111">
        <v>4</v>
      </c>
      <c r="D72" s="344"/>
      <c r="E72" s="345"/>
      <c r="F72" s="345"/>
      <c r="G72" s="345"/>
      <c r="H72" s="63" t="s">
        <v>3386</v>
      </c>
      <c r="I72" s="63" t="s">
        <v>444</v>
      </c>
      <c r="J72" s="171"/>
      <c r="K72" s="25" t="s">
        <v>294</v>
      </c>
      <c r="L72" s="26"/>
      <c r="M72" s="26"/>
      <c r="N72" s="27"/>
      <c r="O72" s="28" t="s">
        <v>140</v>
      </c>
      <c r="P72" s="25"/>
      <c r="Q72" s="29" t="s">
        <v>140</v>
      </c>
      <c r="R72" s="25"/>
      <c r="S72" s="29"/>
      <c r="T72" s="30"/>
      <c r="U72" s="30"/>
      <c r="V72" s="30"/>
      <c r="W72" s="30"/>
      <c r="X72" s="30"/>
      <c r="Y72" s="30"/>
      <c r="Z72" s="30"/>
      <c r="AA72" s="30"/>
    </row>
    <row r="73" spans="1:27" ht="16.5" customHeight="1">
      <c r="A73" s="344"/>
      <c r="B73" s="344"/>
      <c r="C73" s="111">
        <v>5</v>
      </c>
      <c r="D73" s="344"/>
      <c r="E73" s="366" t="s">
        <v>3387</v>
      </c>
      <c r="F73" s="367" t="s">
        <v>326</v>
      </c>
      <c r="G73" s="367" t="s">
        <v>327</v>
      </c>
      <c r="H73" s="63" t="s">
        <v>3388</v>
      </c>
      <c r="I73" s="63" t="s">
        <v>742</v>
      </c>
      <c r="J73" s="171"/>
      <c r="K73" s="25" t="s">
        <v>294</v>
      </c>
      <c r="L73" s="26"/>
      <c r="M73" s="26"/>
      <c r="N73" s="27"/>
      <c r="O73" s="28" t="s">
        <v>140</v>
      </c>
      <c r="P73" s="25"/>
      <c r="Q73" s="29" t="s">
        <v>140</v>
      </c>
      <c r="R73" s="25"/>
      <c r="S73" s="29"/>
      <c r="T73" s="30"/>
      <c r="U73" s="30"/>
      <c r="V73" s="30"/>
      <c r="W73" s="30"/>
      <c r="X73" s="30"/>
      <c r="Y73" s="30"/>
      <c r="Z73" s="30"/>
      <c r="AA73" s="30"/>
    </row>
    <row r="74" spans="1:27" ht="16.5" customHeight="1">
      <c r="A74" s="344"/>
      <c r="B74" s="344"/>
      <c r="C74" s="111">
        <v>6</v>
      </c>
      <c r="D74" s="344"/>
      <c r="E74" s="345"/>
      <c r="F74" s="345"/>
      <c r="G74" s="345"/>
      <c r="H74" s="63" t="s">
        <v>3389</v>
      </c>
      <c r="I74" s="63" t="s">
        <v>798</v>
      </c>
      <c r="J74" s="171"/>
      <c r="K74" s="25" t="s">
        <v>294</v>
      </c>
      <c r="L74" s="26"/>
      <c r="M74" s="26"/>
      <c r="N74" s="27"/>
      <c r="O74" s="28" t="s">
        <v>140</v>
      </c>
      <c r="P74" s="25"/>
      <c r="Q74" s="29" t="s">
        <v>140</v>
      </c>
      <c r="R74" s="25"/>
      <c r="S74" s="29"/>
      <c r="T74" s="30"/>
      <c r="U74" s="30"/>
      <c r="V74" s="30"/>
      <c r="W74" s="30"/>
      <c r="X74" s="30"/>
      <c r="Y74" s="30"/>
      <c r="Z74" s="30"/>
      <c r="AA74" s="30"/>
    </row>
    <row r="75" spans="1:27" ht="16.5" customHeight="1">
      <c r="A75" s="344"/>
      <c r="B75" s="344"/>
      <c r="C75" s="111">
        <v>7</v>
      </c>
      <c r="D75" s="344"/>
      <c r="E75" s="366" t="s">
        <v>3390</v>
      </c>
      <c r="F75" s="367" t="s">
        <v>326</v>
      </c>
      <c r="G75" s="367" t="s">
        <v>327</v>
      </c>
      <c r="H75" s="63" t="s">
        <v>3382</v>
      </c>
      <c r="I75" s="63" t="s">
        <v>919</v>
      </c>
      <c r="J75" s="171"/>
      <c r="K75" s="25" t="s">
        <v>294</v>
      </c>
      <c r="L75" s="26"/>
      <c r="M75" s="26"/>
      <c r="N75" s="27"/>
      <c r="O75" s="28" t="s">
        <v>140</v>
      </c>
      <c r="P75" s="25"/>
      <c r="Q75" s="29" t="s">
        <v>140</v>
      </c>
      <c r="R75" s="25" t="s">
        <v>7</v>
      </c>
      <c r="S75" s="29"/>
      <c r="T75" s="30"/>
      <c r="U75" s="30"/>
      <c r="V75" s="30"/>
      <c r="W75" s="30"/>
      <c r="X75" s="30"/>
      <c r="Y75" s="30"/>
      <c r="Z75" s="30"/>
      <c r="AA75" s="30"/>
    </row>
    <row r="76" spans="1:27" ht="16.5" customHeight="1">
      <c r="A76" s="344"/>
      <c r="B76" s="344"/>
      <c r="C76" s="111">
        <v>8</v>
      </c>
      <c r="D76" s="344"/>
      <c r="E76" s="345"/>
      <c r="F76" s="345"/>
      <c r="G76" s="345"/>
      <c r="H76" s="63" t="s">
        <v>3391</v>
      </c>
      <c r="I76" s="63" t="s">
        <v>3392</v>
      </c>
      <c r="J76" s="171"/>
      <c r="K76" s="25" t="s">
        <v>294</v>
      </c>
      <c r="L76" s="26"/>
      <c r="M76" s="26"/>
      <c r="N76" s="27"/>
      <c r="O76" s="28" t="s">
        <v>140</v>
      </c>
      <c r="P76" s="25"/>
      <c r="Q76" s="29" t="s">
        <v>140</v>
      </c>
      <c r="R76" s="25" t="s">
        <v>7</v>
      </c>
      <c r="S76" s="29"/>
      <c r="T76" s="30"/>
      <c r="U76" s="30"/>
      <c r="V76" s="30"/>
      <c r="W76" s="30"/>
      <c r="X76" s="30"/>
      <c r="Y76" s="30"/>
      <c r="Z76" s="30"/>
      <c r="AA76" s="30"/>
    </row>
    <row r="77" spans="1:27" ht="16.5" customHeight="1">
      <c r="A77" s="344"/>
      <c r="B77" s="344"/>
      <c r="C77" s="111">
        <v>9</v>
      </c>
      <c r="D77" s="344"/>
      <c r="E77" s="366" t="s">
        <v>3393</v>
      </c>
      <c r="F77" s="367" t="s">
        <v>326</v>
      </c>
      <c r="G77" s="367" t="s">
        <v>327</v>
      </c>
      <c r="H77" s="63" t="s">
        <v>3385</v>
      </c>
      <c r="I77" s="63" t="s">
        <v>1172</v>
      </c>
      <c r="J77" s="171"/>
      <c r="K77" s="25" t="s">
        <v>294</v>
      </c>
      <c r="L77" s="26"/>
      <c r="M77" s="26"/>
      <c r="N77" s="27"/>
      <c r="O77" s="28" t="s">
        <v>140</v>
      </c>
      <c r="P77" s="25"/>
      <c r="Q77" s="29" t="s">
        <v>140</v>
      </c>
      <c r="R77" s="25" t="s">
        <v>7</v>
      </c>
      <c r="S77" s="29"/>
      <c r="T77" s="30"/>
      <c r="U77" s="30"/>
      <c r="V77" s="30"/>
      <c r="W77" s="30"/>
      <c r="X77" s="30"/>
      <c r="Y77" s="30"/>
      <c r="Z77" s="30"/>
      <c r="AA77" s="30"/>
    </row>
    <row r="78" spans="1:27" ht="16.5" customHeight="1">
      <c r="A78" s="344"/>
      <c r="B78" s="344"/>
      <c r="C78" s="111">
        <v>10</v>
      </c>
      <c r="D78" s="344"/>
      <c r="E78" s="345"/>
      <c r="F78" s="345"/>
      <c r="G78" s="345"/>
      <c r="H78" s="63" t="s">
        <v>3386</v>
      </c>
      <c r="I78" s="63" t="s">
        <v>3394</v>
      </c>
      <c r="J78" s="171"/>
      <c r="K78" s="25" t="s">
        <v>294</v>
      </c>
      <c r="L78" s="26"/>
      <c r="M78" s="26"/>
      <c r="N78" s="27"/>
      <c r="O78" s="28" t="s">
        <v>140</v>
      </c>
      <c r="P78" s="25"/>
      <c r="Q78" s="29" t="s">
        <v>140</v>
      </c>
      <c r="R78" s="25" t="s">
        <v>7</v>
      </c>
      <c r="S78" s="29"/>
      <c r="T78" s="30"/>
      <c r="U78" s="30"/>
      <c r="V78" s="30"/>
      <c r="W78" s="30"/>
      <c r="X78" s="30"/>
      <c r="Y78" s="30"/>
      <c r="Z78" s="30"/>
      <c r="AA78" s="30"/>
    </row>
    <row r="79" spans="1:27" ht="16.5" customHeight="1">
      <c r="A79" s="344"/>
      <c r="B79" s="344"/>
      <c r="C79" s="111">
        <v>11</v>
      </c>
      <c r="D79" s="344"/>
      <c r="E79" s="366" t="s">
        <v>3395</v>
      </c>
      <c r="F79" s="367" t="s">
        <v>326</v>
      </c>
      <c r="G79" s="367" t="s">
        <v>327</v>
      </c>
      <c r="H79" s="63" t="s">
        <v>3396</v>
      </c>
      <c r="I79" s="63" t="s">
        <v>665</v>
      </c>
      <c r="J79" s="171"/>
      <c r="K79" s="25" t="s">
        <v>294</v>
      </c>
      <c r="L79" s="26"/>
      <c r="M79" s="26"/>
      <c r="N79" s="27"/>
      <c r="O79" s="28" t="s">
        <v>140</v>
      </c>
      <c r="P79" s="25"/>
      <c r="Q79" s="29" t="s">
        <v>140</v>
      </c>
      <c r="R79" s="25"/>
      <c r="S79" s="29"/>
      <c r="T79" s="30"/>
      <c r="U79" s="30"/>
      <c r="V79" s="30"/>
      <c r="W79" s="30"/>
      <c r="X79" s="30"/>
      <c r="Y79" s="30"/>
      <c r="Z79" s="30"/>
      <c r="AA79" s="30"/>
    </row>
    <row r="80" spans="1:27" ht="16.5" customHeight="1">
      <c r="A80" s="344"/>
      <c r="B80" s="344"/>
      <c r="C80" s="111">
        <v>12</v>
      </c>
      <c r="D80" s="344"/>
      <c r="E80" s="345"/>
      <c r="F80" s="345"/>
      <c r="G80" s="345"/>
      <c r="H80" s="63" t="s">
        <v>3397</v>
      </c>
      <c r="I80" s="63" t="s">
        <v>442</v>
      </c>
      <c r="J80" s="171"/>
      <c r="K80" s="25" t="s">
        <v>294</v>
      </c>
      <c r="L80" s="26"/>
      <c r="M80" s="26"/>
      <c r="N80" s="27"/>
      <c r="O80" s="28" t="s">
        <v>140</v>
      </c>
      <c r="P80" s="25"/>
      <c r="Q80" s="29" t="s">
        <v>140</v>
      </c>
      <c r="R80" s="25"/>
      <c r="S80" s="29"/>
      <c r="T80" s="30"/>
      <c r="U80" s="30"/>
      <c r="V80" s="30"/>
      <c r="W80" s="30"/>
      <c r="X80" s="30"/>
      <c r="Y80" s="30"/>
      <c r="Z80" s="30"/>
      <c r="AA80" s="30"/>
    </row>
    <row r="81" spans="1:27" ht="16.5" customHeight="1">
      <c r="A81" s="344"/>
      <c r="B81" s="344"/>
      <c r="C81" s="111">
        <v>13</v>
      </c>
      <c r="D81" s="344"/>
      <c r="E81" s="366" t="s">
        <v>3398</v>
      </c>
      <c r="F81" s="367" t="s">
        <v>326</v>
      </c>
      <c r="G81" s="367" t="s">
        <v>327</v>
      </c>
      <c r="H81" s="63" t="s">
        <v>3399</v>
      </c>
      <c r="I81" s="63" t="s">
        <v>665</v>
      </c>
      <c r="J81" s="171"/>
      <c r="K81" s="25" t="s">
        <v>294</v>
      </c>
      <c r="L81" s="26"/>
      <c r="M81" s="26"/>
      <c r="N81" s="27"/>
      <c r="O81" s="28" t="s">
        <v>140</v>
      </c>
      <c r="P81" s="25"/>
      <c r="Q81" s="29" t="s">
        <v>140</v>
      </c>
      <c r="R81" s="25"/>
      <c r="S81" s="29"/>
      <c r="T81" s="30"/>
      <c r="U81" s="30"/>
      <c r="V81" s="30"/>
      <c r="W81" s="30"/>
      <c r="X81" s="30"/>
      <c r="Y81" s="30"/>
      <c r="Z81" s="30"/>
      <c r="AA81" s="30"/>
    </row>
    <row r="82" spans="1:27" ht="16.5" customHeight="1">
      <c r="A82" s="344"/>
      <c r="B82" s="344"/>
      <c r="C82" s="111">
        <v>14</v>
      </c>
      <c r="D82" s="344"/>
      <c r="E82" s="345"/>
      <c r="F82" s="345"/>
      <c r="G82" s="345"/>
      <c r="H82" s="63" t="s">
        <v>3400</v>
      </c>
      <c r="I82" s="63" t="s">
        <v>442</v>
      </c>
      <c r="J82" s="171"/>
      <c r="K82" s="25" t="s">
        <v>294</v>
      </c>
      <c r="L82" s="26"/>
      <c r="M82" s="26"/>
      <c r="N82" s="27"/>
      <c r="O82" s="28" t="s">
        <v>140</v>
      </c>
      <c r="P82" s="25"/>
      <c r="Q82" s="29" t="s">
        <v>140</v>
      </c>
      <c r="R82" s="25"/>
      <c r="S82" s="29"/>
      <c r="T82" s="30"/>
      <c r="U82" s="30"/>
      <c r="V82" s="30"/>
      <c r="W82" s="30"/>
      <c r="X82" s="30"/>
      <c r="Y82" s="30"/>
      <c r="Z82" s="30"/>
      <c r="AA82" s="30"/>
    </row>
    <row r="83" spans="1:27" ht="16.5" customHeight="1">
      <c r="A83" s="352"/>
      <c r="B83" s="352"/>
      <c r="C83" s="86">
        <v>15</v>
      </c>
      <c r="D83" s="352"/>
      <c r="E83" s="351" t="s">
        <v>3401</v>
      </c>
      <c r="F83" s="354" t="s">
        <v>326</v>
      </c>
      <c r="G83" s="354" t="s">
        <v>327</v>
      </c>
      <c r="H83" s="175" t="s">
        <v>3402</v>
      </c>
      <c r="I83" s="63" t="s">
        <v>475</v>
      </c>
      <c r="J83" s="171"/>
      <c r="K83" s="25"/>
      <c r="L83" s="26"/>
      <c r="M83" s="26"/>
      <c r="N83" s="27"/>
      <c r="O83" s="28"/>
      <c r="P83" s="25"/>
      <c r="Q83" s="29" t="s">
        <v>282</v>
      </c>
      <c r="R83" s="25" t="s">
        <v>305</v>
      </c>
      <c r="S83" s="29"/>
      <c r="T83" s="30"/>
      <c r="U83" s="30"/>
      <c r="V83" s="30"/>
      <c r="W83" s="30"/>
      <c r="X83" s="30"/>
      <c r="Y83" s="30"/>
      <c r="Z83" s="30"/>
      <c r="AA83" s="30"/>
    </row>
    <row r="84" spans="1:27" ht="16.5" customHeight="1">
      <c r="A84" s="352"/>
      <c r="B84" s="352"/>
      <c r="C84" s="86">
        <v>16</v>
      </c>
      <c r="D84" s="352"/>
      <c r="E84" s="353"/>
      <c r="F84" s="353"/>
      <c r="G84" s="353"/>
      <c r="H84" s="175" t="s">
        <v>3403</v>
      </c>
      <c r="I84" s="63" t="s">
        <v>3404</v>
      </c>
      <c r="J84" s="171"/>
      <c r="K84" s="25"/>
      <c r="L84" s="26"/>
      <c r="M84" s="26"/>
      <c r="N84" s="27"/>
      <c r="O84" s="28"/>
      <c r="P84" s="25"/>
      <c r="Q84" s="29" t="s">
        <v>282</v>
      </c>
      <c r="R84" s="25" t="s">
        <v>305</v>
      </c>
      <c r="S84" s="29"/>
      <c r="T84" s="30"/>
      <c r="U84" s="30"/>
      <c r="V84" s="30"/>
      <c r="W84" s="30"/>
      <c r="X84" s="30"/>
      <c r="Y84" s="30"/>
      <c r="Z84" s="30"/>
      <c r="AA84" s="30"/>
    </row>
    <row r="85" spans="1:27" ht="16.5" customHeight="1">
      <c r="A85" s="352"/>
      <c r="B85" s="352"/>
      <c r="C85" s="86">
        <v>17</v>
      </c>
      <c r="D85" s="352"/>
      <c r="E85" s="351" t="s">
        <v>3405</v>
      </c>
      <c r="F85" s="354" t="s">
        <v>326</v>
      </c>
      <c r="G85" s="354" t="s">
        <v>327</v>
      </c>
      <c r="H85" s="175" t="s">
        <v>3406</v>
      </c>
      <c r="I85" s="63" t="s">
        <v>3407</v>
      </c>
      <c r="J85" s="171"/>
      <c r="K85" s="25"/>
      <c r="L85" s="26"/>
      <c r="M85" s="393" t="s">
        <v>3408</v>
      </c>
      <c r="N85" s="27"/>
      <c r="O85" s="28"/>
      <c r="P85" s="25"/>
      <c r="Q85" s="29" t="s">
        <v>282</v>
      </c>
      <c r="R85" s="25" t="s">
        <v>308</v>
      </c>
      <c r="S85" s="29"/>
      <c r="T85" s="30"/>
      <c r="U85" s="30"/>
      <c r="V85" s="30"/>
      <c r="W85" s="30"/>
      <c r="X85" s="30"/>
      <c r="Y85" s="30"/>
      <c r="Z85" s="30"/>
      <c r="AA85" s="30"/>
    </row>
    <row r="86" spans="1:27" ht="16.5" customHeight="1">
      <c r="A86" s="353"/>
      <c r="B86" s="353"/>
      <c r="C86" s="86">
        <v>18</v>
      </c>
      <c r="D86" s="353"/>
      <c r="E86" s="353"/>
      <c r="F86" s="353"/>
      <c r="G86" s="353"/>
      <c r="H86" s="175" t="s">
        <v>3409</v>
      </c>
      <c r="I86" s="63" t="s">
        <v>3410</v>
      </c>
      <c r="J86" s="171"/>
      <c r="K86" s="25"/>
      <c r="L86" s="26"/>
      <c r="M86" s="345"/>
      <c r="N86" s="27"/>
      <c r="O86" s="28"/>
      <c r="P86" s="25"/>
      <c r="Q86" s="29" t="s">
        <v>282</v>
      </c>
      <c r="R86" s="25" t="s">
        <v>308</v>
      </c>
      <c r="S86" s="29"/>
      <c r="T86" s="30"/>
      <c r="U86" s="30"/>
      <c r="V86" s="30"/>
      <c r="W86" s="30"/>
      <c r="X86" s="30"/>
      <c r="Y86" s="30"/>
      <c r="Z86" s="30"/>
      <c r="AA86" s="30"/>
    </row>
    <row r="87" spans="1:27" ht="15.75" customHeight="1">
      <c r="A87" s="15" t="s">
        <v>3411</v>
      </c>
      <c r="B87" s="16"/>
      <c r="C87" s="16"/>
      <c r="D87" s="17"/>
      <c r="E87" s="18"/>
      <c r="F87" s="19"/>
      <c r="G87" s="19"/>
      <c r="H87" s="17"/>
      <c r="I87" s="20"/>
      <c r="J87" s="20"/>
      <c r="K87" s="16"/>
      <c r="L87" s="16"/>
      <c r="M87" s="71"/>
      <c r="N87" s="3"/>
      <c r="O87" s="71"/>
      <c r="P87" s="16"/>
      <c r="Q87" s="16"/>
      <c r="R87" s="16"/>
      <c r="S87" s="16"/>
    </row>
    <row r="88" spans="1:27" ht="15.75" customHeight="1">
      <c r="A88" s="368" t="s">
        <v>3412</v>
      </c>
      <c r="B88" s="350" t="s">
        <v>3413</v>
      </c>
      <c r="C88" s="41">
        <v>1</v>
      </c>
      <c r="D88" s="368" t="s">
        <v>3412</v>
      </c>
      <c r="E88" s="39" t="s">
        <v>3414</v>
      </c>
      <c r="F88" s="31" t="s">
        <v>361</v>
      </c>
      <c r="G88" s="31" t="s">
        <v>327</v>
      </c>
      <c r="H88" s="23" t="s">
        <v>3415</v>
      </c>
      <c r="I88" s="39" t="s">
        <v>3416</v>
      </c>
      <c r="J88" s="289"/>
      <c r="K88" s="25" t="s">
        <v>294</v>
      </c>
      <c r="L88" s="25"/>
      <c r="M88" s="43"/>
      <c r="N88" s="55"/>
      <c r="O88" s="28" t="s">
        <v>140</v>
      </c>
      <c r="P88" s="29" t="s">
        <v>140</v>
      </c>
      <c r="Q88" s="29" t="s">
        <v>140</v>
      </c>
      <c r="R88" s="25"/>
      <c r="S88" s="29"/>
      <c r="T88" s="65"/>
      <c r="U88" s="65"/>
      <c r="V88" s="65"/>
      <c r="W88" s="65"/>
      <c r="X88" s="65"/>
      <c r="Y88" s="65"/>
      <c r="Z88" s="65"/>
      <c r="AA88" s="65"/>
    </row>
    <row r="89" spans="1:27" ht="15.75" customHeight="1">
      <c r="A89" s="344"/>
      <c r="B89" s="344"/>
      <c r="C89" s="41">
        <v>2</v>
      </c>
      <c r="D89" s="344"/>
      <c r="E89" s="39" t="s">
        <v>3417</v>
      </c>
      <c r="F89" s="31" t="s">
        <v>361</v>
      </c>
      <c r="G89" s="31" t="s">
        <v>327</v>
      </c>
      <c r="H89" s="23" t="s">
        <v>3418</v>
      </c>
      <c r="I89" s="23" t="s">
        <v>3419</v>
      </c>
      <c r="J89" s="170"/>
      <c r="K89" s="25" t="s">
        <v>294</v>
      </c>
      <c r="L89" s="25"/>
      <c r="M89" s="43"/>
      <c r="N89" s="55"/>
      <c r="O89" s="28" t="s">
        <v>140</v>
      </c>
      <c r="P89" s="29" t="s">
        <v>140</v>
      </c>
      <c r="Q89" s="29" t="s">
        <v>140</v>
      </c>
      <c r="R89" s="25"/>
      <c r="S89" s="29"/>
      <c r="T89" s="30"/>
      <c r="U89" s="30"/>
      <c r="V89" s="30"/>
      <c r="W89" s="30"/>
      <c r="X89" s="30"/>
      <c r="Y89" s="30"/>
      <c r="Z89" s="30"/>
      <c r="AA89" s="30"/>
    </row>
    <row r="90" spans="1:27" ht="15.75" customHeight="1">
      <c r="A90" s="345"/>
      <c r="B90" s="345"/>
      <c r="C90" s="41">
        <v>3</v>
      </c>
      <c r="D90" s="345"/>
      <c r="E90" s="39" t="s">
        <v>3420</v>
      </c>
      <c r="F90" s="31" t="s">
        <v>361</v>
      </c>
      <c r="G90" s="31" t="s">
        <v>327</v>
      </c>
      <c r="H90" s="23" t="s">
        <v>3421</v>
      </c>
      <c r="I90" s="23" t="s">
        <v>3419</v>
      </c>
      <c r="J90" s="170"/>
      <c r="K90" s="25" t="s">
        <v>294</v>
      </c>
      <c r="L90" s="25"/>
      <c r="M90" s="43"/>
      <c r="N90" s="55"/>
      <c r="O90" s="28" t="s">
        <v>140</v>
      </c>
      <c r="P90" s="29" t="s">
        <v>140</v>
      </c>
      <c r="Q90" s="29" t="s">
        <v>140</v>
      </c>
      <c r="R90" s="25"/>
      <c r="S90" s="29"/>
      <c r="T90" s="30"/>
      <c r="U90" s="30"/>
      <c r="V90" s="30"/>
      <c r="W90" s="30"/>
      <c r="X90" s="30"/>
      <c r="Y90" s="30"/>
      <c r="Z90" s="30"/>
      <c r="AA90" s="30"/>
    </row>
    <row r="91" spans="1:27" ht="15.75" customHeight="1">
      <c r="A91" s="368" t="s">
        <v>3422</v>
      </c>
      <c r="B91" s="350" t="s">
        <v>3423</v>
      </c>
      <c r="C91" s="41">
        <v>1</v>
      </c>
      <c r="D91" s="368" t="s">
        <v>3422</v>
      </c>
      <c r="E91" s="39" t="s">
        <v>3424</v>
      </c>
      <c r="F91" s="31" t="s">
        <v>361</v>
      </c>
      <c r="G91" s="31" t="s">
        <v>327</v>
      </c>
      <c r="H91" s="23" t="s">
        <v>3425</v>
      </c>
      <c r="I91" s="39" t="s">
        <v>3416</v>
      </c>
      <c r="J91" s="289"/>
      <c r="K91" s="25" t="s">
        <v>294</v>
      </c>
      <c r="L91" s="25"/>
      <c r="M91" s="43"/>
      <c r="N91" s="55"/>
      <c r="O91" s="28"/>
      <c r="P91" s="29" t="s">
        <v>140</v>
      </c>
      <c r="Q91" s="29" t="s">
        <v>140</v>
      </c>
      <c r="R91" s="25"/>
      <c r="S91" s="29"/>
      <c r="T91" s="30"/>
      <c r="U91" s="30"/>
      <c r="V91" s="30"/>
      <c r="W91" s="30"/>
      <c r="X91" s="30"/>
      <c r="Y91" s="30"/>
      <c r="Z91" s="30"/>
      <c r="AA91" s="30"/>
    </row>
    <row r="92" spans="1:27" ht="15.75" customHeight="1">
      <c r="A92" s="344"/>
      <c r="B92" s="344"/>
      <c r="C92" s="41">
        <v>2</v>
      </c>
      <c r="D92" s="344"/>
      <c r="E92" s="39" t="s">
        <v>3426</v>
      </c>
      <c r="F92" s="31" t="s">
        <v>361</v>
      </c>
      <c r="G92" s="31" t="s">
        <v>327</v>
      </c>
      <c r="H92" s="23" t="s">
        <v>3427</v>
      </c>
      <c r="I92" s="23" t="s">
        <v>3419</v>
      </c>
      <c r="J92" s="170"/>
      <c r="K92" s="25" t="s">
        <v>294</v>
      </c>
      <c r="L92" s="25"/>
      <c r="M92" s="43"/>
      <c r="N92" s="55"/>
      <c r="O92" s="28"/>
      <c r="P92" s="29" t="s">
        <v>140</v>
      </c>
      <c r="Q92" s="29" t="s">
        <v>140</v>
      </c>
      <c r="R92" s="25"/>
      <c r="S92" s="29"/>
      <c r="T92" s="30"/>
      <c r="U92" s="30"/>
      <c r="V92" s="30"/>
      <c r="W92" s="30"/>
      <c r="X92" s="30"/>
      <c r="Y92" s="30"/>
      <c r="Z92" s="30"/>
      <c r="AA92" s="30"/>
    </row>
    <row r="93" spans="1:27" ht="15.75" customHeight="1">
      <c r="A93" s="345"/>
      <c r="B93" s="345"/>
      <c r="C93" s="41">
        <v>3</v>
      </c>
      <c r="D93" s="345"/>
      <c r="E93" s="39" t="s">
        <v>3428</v>
      </c>
      <c r="F93" s="31" t="s">
        <v>361</v>
      </c>
      <c r="G93" s="31" t="s">
        <v>327</v>
      </c>
      <c r="H93" s="23" t="s">
        <v>3429</v>
      </c>
      <c r="I93" s="23" t="s">
        <v>3419</v>
      </c>
      <c r="J93" s="170"/>
      <c r="K93" s="25" t="s">
        <v>294</v>
      </c>
      <c r="L93" s="25"/>
      <c r="M93" s="43"/>
      <c r="N93" s="55"/>
      <c r="O93" s="28"/>
      <c r="P93" s="29" t="s">
        <v>140</v>
      </c>
      <c r="Q93" s="29" t="s">
        <v>140</v>
      </c>
      <c r="R93" s="25"/>
      <c r="S93" s="29"/>
      <c r="T93" s="30"/>
      <c r="U93" s="30"/>
      <c r="V93" s="30"/>
      <c r="W93" s="30"/>
      <c r="X93" s="30"/>
      <c r="Y93" s="30"/>
      <c r="Z93" s="30"/>
      <c r="AA93" s="30"/>
    </row>
    <row r="94" spans="1:27" ht="15.75" customHeight="1">
      <c r="A94" s="355" t="s">
        <v>3430</v>
      </c>
      <c r="B94" s="350" t="s">
        <v>203</v>
      </c>
      <c r="C94" s="41">
        <v>1</v>
      </c>
      <c r="D94" s="355" t="s">
        <v>3431</v>
      </c>
      <c r="E94" s="355" t="s">
        <v>3432</v>
      </c>
      <c r="F94" s="31" t="s">
        <v>361</v>
      </c>
      <c r="G94" s="31" t="s">
        <v>327</v>
      </c>
      <c r="H94" s="23" t="s">
        <v>3433</v>
      </c>
      <c r="I94" s="23" t="s">
        <v>3434</v>
      </c>
      <c r="J94" s="170"/>
      <c r="K94" s="25"/>
      <c r="L94" s="25"/>
      <c r="M94" s="43"/>
      <c r="N94" s="55"/>
      <c r="O94" s="28"/>
      <c r="P94" s="25"/>
      <c r="Q94" s="29" t="s">
        <v>282</v>
      </c>
      <c r="R94" s="25"/>
      <c r="S94" s="29"/>
      <c r="T94" s="30"/>
      <c r="U94" s="30"/>
      <c r="V94" s="30"/>
      <c r="W94" s="30"/>
      <c r="X94" s="30"/>
      <c r="Y94" s="30"/>
      <c r="Z94" s="30"/>
      <c r="AA94" s="30"/>
    </row>
    <row r="95" spans="1:27" ht="15.75" customHeight="1">
      <c r="A95" s="344"/>
      <c r="B95" s="344"/>
      <c r="C95" s="41">
        <v>2</v>
      </c>
      <c r="D95" s="344"/>
      <c r="E95" s="344"/>
      <c r="F95" s="31" t="s">
        <v>361</v>
      </c>
      <c r="G95" s="31" t="s">
        <v>327</v>
      </c>
      <c r="H95" s="23" t="s">
        <v>3435</v>
      </c>
      <c r="I95" s="23" t="s">
        <v>3434</v>
      </c>
      <c r="J95" s="170"/>
      <c r="K95" s="25"/>
      <c r="L95" s="25"/>
      <c r="M95" s="43"/>
      <c r="N95" s="55"/>
      <c r="O95" s="28"/>
      <c r="P95" s="25"/>
      <c r="Q95" s="29" t="s">
        <v>282</v>
      </c>
      <c r="R95" s="25"/>
      <c r="S95" s="29"/>
      <c r="T95" s="30"/>
      <c r="U95" s="30"/>
      <c r="V95" s="30"/>
      <c r="W95" s="30"/>
      <c r="X95" s="30"/>
      <c r="Y95" s="30"/>
      <c r="Z95" s="30"/>
      <c r="AA95" s="30"/>
    </row>
    <row r="96" spans="1:27" ht="15.75" customHeight="1">
      <c r="A96" s="344"/>
      <c r="B96" s="344"/>
      <c r="C96" s="41">
        <v>3</v>
      </c>
      <c r="D96" s="344"/>
      <c r="E96" s="344"/>
      <c r="F96" s="31" t="s">
        <v>361</v>
      </c>
      <c r="G96" s="31" t="s">
        <v>327</v>
      </c>
      <c r="H96" s="23" t="s">
        <v>3436</v>
      </c>
      <c r="I96" s="23" t="s">
        <v>3434</v>
      </c>
      <c r="J96" s="170"/>
      <c r="K96" s="25"/>
      <c r="L96" s="25"/>
      <c r="M96" s="43"/>
      <c r="N96" s="55"/>
      <c r="O96" s="28"/>
      <c r="P96" s="25"/>
      <c r="Q96" s="29" t="s">
        <v>282</v>
      </c>
      <c r="R96" s="25"/>
      <c r="S96" s="29"/>
      <c r="T96" s="30"/>
      <c r="U96" s="30"/>
      <c r="V96" s="30"/>
      <c r="W96" s="30"/>
      <c r="X96" s="30"/>
      <c r="Y96" s="30"/>
      <c r="Z96" s="30"/>
      <c r="AA96" s="30"/>
    </row>
    <row r="97" spans="1:27" ht="15.75" customHeight="1">
      <c r="A97" s="344"/>
      <c r="B97" s="344"/>
      <c r="C97" s="41">
        <v>4</v>
      </c>
      <c r="D97" s="344"/>
      <c r="E97" s="344"/>
      <c r="F97" s="31" t="s">
        <v>361</v>
      </c>
      <c r="G97" s="31" t="s">
        <v>327</v>
      </c>
      <c r="H97" s="23" t="s">
        <v>3437</v>
      </c>
      <c r="I97" s="23" t="s">
        <v>3434</v>
      </c>
      <c r="J97" s="170"/>
      <c r="K97" s="25"/>
      <c r="L97" s="25"/>
      <c r="M97" s="43"/>
      <c r="N97" s="55"/>
      <c r="O97" s="28"/>
      <c r="P97" s="25"/>
      <c r="Q97" s="29" t="s">
        <v>282</v>
      </c>
      <c r="R97" s="25"/>
      <c r="S97" s="29"/>
      <c r="T97" s="30"/>
      <c r="U97" s="30"/>
      <c r="V97" s="30"/>
      <c r="W97" s="30"/>
      <c r="X97" s="30"/>
      <c r="Y97" s="30"/>
      <c r="Z97" s="30"/>
      <c r="AA97" s="30"/>
    </row>
    <row r="98" spans="1:27" ht="15.75" customHeight="1">
      <c r="A98" s="344"/>
      <c r="B98" s="344"/>
      <c r="C98" s="41">
        <v>5</v>
      </c>
      <c r="D98" s="344"/>
      <c r="E98" s="344"/>
      <c r="F98" s="31" t="s">
        <v>361</v>
      </c>
      <c r="G98" s="31" t="s">
        <v>327</v>
      </c>
      <c r="H98" s="23" t="s">
        <v>3438</v>
      </c>
      <c r="I98" s="23" t="s">
        <v>3434</v>
      </c>
      <c r="J98" s="170"/>
      <c r="K98" s="25"/>
      <c r="L98" s="25"/>
      <c r="M98" s="43"/>
      <c r="N98" s="55"/>
      <c r="O98" s="28"/>
      <c r="P98" s="25"/>
      <c r="Q98" s="29" t="s">
        <v>282</v>
      </c>
      <c r="R98" s="25"/>
      <c r="S98" s="29"/>
      <c r="T98" s="30"/>
      <c r="U98" s="30"/>
      <c r="V98" s="30"/>
      <c r="W98" s="30"/>
      <c r="X98" s="30"/>
      <c r="Y98" s="30"/>
      <c r="Z98" s="30"/>
      <c r="AA98" s="30"/>
    </row>
    <row r="99" spans="1:27" ht="15.75" customHeight="1">
      <c r="A99" s="344"/>
      <c r="B99" s="344"/>
      <c r="C99" s="41">
        <v>6</v>
      </c>
      <c r="D99" s="344"/>
      <c r="E99" s="344"/>
      <c r="F99" s="31" t="s">
        <v>361</v>
      </c>
      <c r="G99" s="31" t="s">
        <v>327</v>
      </c>
      <c r="H99" s="23" t="s">
        <v>3439</v>
      </c>
      <c r="I99" s="23" t="s">
        <v>3434</v>
      </c>
      <c r="J99" s="170"/>
      <c r="K99" s="25"/>
      <c r="L99" s="25"/>
      <c r="M99" s="43"/>
      <c r="N99" s="55"/>
      <c r="O99" s="28"/>
      <c r="P99" s="25"/>
      <c r="Q99" s="29" t="s">
        <v>282</v>
      </c>
      <c r="R99" s="25"/>
      <c r="S99" s="29"/>
      <c r="T99" s="30"/>
      <c r="U99" s="30"/>
      <c r="V99" s="30"/>
      <c r="W99" s="30"/>
      <c r="X99" s="30"/>
      <c r="Y99" s="30"/>
      <c r="Z99" s="30"/>
      <c r="AA99" s="30"/>
    </row>
    <row r="100" spans="1:27" ht="15.75" customHeight="1">
      <c r="A100" s="344"/>
      <c r="B100" s="344"/>
      <c r="C100" s="41">
        <v>7</v>
      </c>
      <c r="D100" s="344"/>
      <c r="E100" s="344"/>
      <c r="F100" s="31" t="s">
        <v>361</v>
      </c>
      <c r="G100" s="31" t="s">
        <v>327</v>
      </c>
      <c r="H100" s="23" t="s">
        <v>3440</v>
      </c>
      <c r="I100" s="23" t="s">
        <v>3434</v>
      </c>
      <c r="J100" s="170"/>
      <c r="K100" s="25"/>
      <c r="L100" s="25"/>
      <c r="M100" s="43"/>
      <c r="N100" s="55"/>
      <c r="O100" s="28"/>
      <c r="P100" s="25"/>
      <c r="Q100" s="29" t="s">
        <v>282</v>
      </c>
      <c r="R100" s="25"/>
      <c r="S100" s="29"/>
      <c r="T100" s="30"/>
      <c r="U100" s="30"/>
      <c r="V100" s="30"/>
      <c r="W100" s="30"/>
      <c r="X100" s="30"/>
      <c r="Y100" s="30"/>
      <c r="Z100" s="30"/>
      <c r="AA100" s="30"/>
    </row>
    <row r="101" spans="1:27" ht="15.75" customHeight="1">
      <c r="A101" s="353"/>
      <c r="B101" s="353"/>
      <c r="C101" s="86">
        <v>8</v>
      </c>
      <c r="D101" s="353"/>
      <c r="E101" s="353"/>
      <c r="F101" s="86" t="s">
        <v>361</v>
      </c>
      <c r="G101" s="86" t="s">
        <v>327</v>
      </c>
      <c r="H101" s="175" t="s">
        <v>3441</v>
      </c>
      <c r="I101" s="63" t="s">
        <v>3434</v>
      </c>
      <c r="J101" s="171"/>
      <c r="K101" s="25"/>
      <c r="L101" s="25"/>
      <c r="M101" s="43"/>
      <c r="N101" s="55"/>
      <c r="O101" s="28"/>
      <c r="P101" s="25"/>
      <c r="Q101" s="29" t="s">
        <v>282</v>
      </c>
      <c r="R101" s="25" t="s">
        <v>305</v>
      </c>
      <c r="S101" s="29"/>
      <c r="T101" s="30"/>
      <c r="U101" s="30"/>
      <c r="V101" s="30"/>
      <c r="W101" s="30"/>
      <c r="X101" s="30"/>
      <c r="Y101" s="30"/>
      <c r="Z101" s="30"/>
      <c r="AA101" s="30"/>
    </row>
    <row r="102" spans="1:27" ht="15.75" customHeight="1">
      <c r="A102" s="364" t="s">
        <v>3442</v>
      </c>
      <c r="B102" s="363" t="s">
        <v>3443</v>
      </c>
      <c r="C102" s="74">
        <v>1</v>
      </c>
      <c r="D102" s="364" t="s">
        <v>3444</v>
      </c>
      <c r="E102" s="364" t="s">
        <v>3445</v>
      </c>
      <c r="F102" s="46" t="s">
        <v>361</v>
      </c>
      <c r="G102" s="46" t="s">
        <v>327</v>
      </c>
      <c r="H102" s="35" t="s">
        <v>3446</v>
      </c>
      <c r="I102" s="73" t="s">
        <v>3416</v>
      </c>
      <c r="J102" s="79"/>
      <c r="K102" s="25" t="s">
        <v>294</v>
      </c>
      <c r="L102" s="25"/>
      <c r="M102" s="188" t="s">
        <v>3447</v>
      </c>
      <c r="N102" s="55"/>
      <c r="O102" s="28"/>
      <c r="P102" s="25"/>
      <c r="Q102" s="29" t="s">
        <v>140</v>
      </c>
      <c r="R102" s="25"/>
      <c r="S102" s="29"/>
      <c r="T102" s="30"/>
      <c r="U102" s="30"/>
      <c r="V102" s="30"/>
      <c r="W102" s="30"/>
      <c r="X102" s="30"/>
      <c r="Y102" s="30"/>
      <c r="Z102" s="30"/>
      <c r="AA102" s="30"/>
    </row>
    <row r="103" spans="1:27" ht="15.75" customHeight="1">
      <c r="A103" s="344"/>
      <c r="B103" s="344"/>
      <c r="C103" s="74">
        <v>2</v>
      </c>
      <c r="D103" s="344"/>
      <c r="E103" s="344"/>
      <c r="F103" s="46" t="s">
        <v>361</v>
      </c>
      <c r="G103" s="46" t="s">
        <v>327</v>
      </c>
      <c r="H103" s="35" t="s">
        <v>3448</v>
      </c>
      <c r="I103" s="35" t="s">
        <v>3419</v>
      </c>
      <c r="J103" s="172"/>
      <c r="K103" s="25" t="s">
        <v>294</v>
      </c>
      <c r="L103" s="25"/>
      <c r="M103" s="43"/>
      <c r="N103" s="55"/>
      <c r="O103" s="28"/>
      <c r="P103" s="25"/>
      <c r="Q103" s="29" t="s">
        <v>140</v>
      </c>
      <c r="R103" s="25"/>
      <c r="S103" s="29"/>
      <c r="T103" s="30"/>
      <c r="U103" s="30"/>
      <c r="V103" s="30"/>
      <c r="W103" s="30"/>
      <c r="X103" s="30"/>
      <c r="Y103" s="30"/>
      <c r="Z103" s="30"/>
      <c r="AA103" s="30"/>
    </row>
    <row r="104" spans="1:27" ht="108" customHeight="1">
      <c r="A104" s="344"/>
      <c r="B104" s="344"/>
      <c r="C104" s="74">
        <v>3</v>
      </c>
      <c r="D104" s="344"/>
      <c r="E104" s="344"/>
      <c r="F104" s="46" t="s">
        <v>361</v>
      </c>
      <c r="G104" s="46" t="s">
        <v>327</v>
      </c>
      <c r="H104" s="35" t="s">
        <v>3449</v>
      </c>
      <c r="I104" s="35" t="s">
        <v>3419</v>
      </c>
      <c r="J104" s="172"/>
      <c r="K104" s="25" t="s">
        <v>294</v>
      </c>
      <c r="L104" s="25"/>
      <c r="M104" s="43"/>
      <c r="N104" s="55"/>
      <c r="O104" s="28"/>
      <c r="P104" s="25"/>
      <c r="Q104" s="29" t="s">
        <v>140</v>
      </c>
      <c r="R104" s="25"/>
      <c r="S104" s="29"/>
      <c r="T104" s="30"/>
      <c r="U104" s="30"/>
      <c r="V104" s="30"/>
      <c r="W104" s="30"/>
      <c r="X104" s="30"/>
      <c r="Y104" s="30"/>
      <c r="Z104" s="30"/>
      <c r="AA104" s="30"/>
    </row>
    <row r="105" spans="1:27" ht="15.75" customHeight="1">
      <c r="A105" s="15" t="s">
        <v>3450</v>
      </c>
      <c r="B105" s="16"/>
      <c r="C105" s="16"/>
      <c r="D105" s="17"/>
      <c r="E105" s="18"/>
      <c r="F105" s="19"/>
      <c r="G105" s="19"/>
      <c r="H105" s="17"/>
      <c r="I105" s="20"/>
      <c r="J105" s="20"/>
      <c r="K105" s="16"/>
      <c r="L105" s="16"/>
      <c r="M105" s="71"/>
      <c r="N105" s="3"/>
      <c r="O105" s="71"/>
      <c r="P105" s="16"/>
      <c r="Q105" s="16"/>
      <c r="R105" s="16"/>
      <c r="S105" s="16"/>
    </row>
    <row r="106" spans="1:27" ht="15.75" customHeight="1">
      <c r="A106" s="364" t="s">
        <v>3451</v>
      </c>
      <c r="B106" s="360" t="s">
        <v>172</v>
      </c>
      <c r="C106" s="41">
        <v>1</v>
      </c>
      <c r="D106" s="355" t="s">
        <v>3452</v>
      </c>
      <c r="E106" s="39" t="s">
        <v>3453</v>
      </c>
      <c r="F106" s="31" t="s">
        <v>326</v>
      </c>
      <c r="G106" s="31" t="s">
        <v>327</v>
      </c>
      <c r="H106" s="23" t="s">
        <v>3454</v>
      </c>
      <c r="I106" s="23" t="s">
        <v>3455</v>
      </c>
      <c r="J106" s="170"/>
      <c r="K106" s="25"/>
      <c r="L106" s="26"/>
      <c r="M106" s="28"/>
      <c r="N106" s="27"/>
      <c r="O106" s="28" t="s">
        <v>140</v>
      </c>
      <c r="P106" s="25"/>
      <c r="Q106" s="89" t="s">
        <v>393</v>
      </c>
      <c r="R106" s="25"/>
      <c r="S106" s="29"/>
      <c r="T106" s="65"/>
      <c r="U106" s="65"/>
      <c r="V106" s="65"/>
      <c r="W106" s="65"/>
      <c r="X106" s="65"/>
      <c r="Y106" s="65"/>
      <c r="Z106" s="65"/>
      <c r="AA106" s="65"/>
    </row>
    <row r="107" spans="1:27" ht="15.75" customHeight="1">
      <c r="A107" s="344"/>
      <c r="B107" s="344"/>
      <c r="C107" s="41">
        <v>2</v>
      </c>
      <c r="D107" s="344"/>
      <c r="E107" s="39" t="s">
        <v>3456</v>
      </c>
      <c r="F107" s="31" t="s">
        <v>326</v>
      </c>
      <c r="G107" s="31" t="s">
        <v>327</v>
      </c>
      <c r="H107" s="23" t="s">
        <v>3457</v>
      </c>
      <c r="I107" s="23" t="s">
        <v>3458</v>
      </c>
      <c r="J107" s="170"/>
      <c r="K107" s="25"/>
      <c r="L107" s="26"/>
      <c r="M107" s="28"/>
      <c r="N107" s="27"/>
      <c r="O107" s="28" t="s">
        <v>140</v>
      </c>
      <c r="P107" s="25"/>
      <c r="Q107" s="89" t="s">
        <v>393</v>
      </c>
      <c r="R107" s="25"/>
      <c r="S107" s="29"/>
      <c r="T107" s="65"/>
      <c r="U107" s="65"/>
      <c r="V107" s="65"/>
      <c r="W107" s="65"/>
      <c r="X107" s="65"/>
      <c r="Y107" s="65"/>
      <c r="Z107" s="65"/>
      <c r="AA107" s="65"/>
    </row>
    <row r="108" spans="1:27" ht="15.75" customHeight="1">
      <c r="A108" s="344"/>
      <c r="B108" s="344"/>
      <c r="C108" s="41">
        <v>3</v>
      </c>
      <c r="D108" s="344"/>
      <c r="E108" s="39" t="s">
        <v>3459</v>
      </c>
      <c r="F108" s="31" t="s">
        <v>326</v>
      </c>
      <c r="G108" s="31" t="s">
        <v>327</v>
      </c>
      <c r="H108" s="23" t="s">
        <v>3457</v>
      </c>
      <c r="I108" s="67" t="s">
        <v>3460</v>
      </c>
      <c r="J108" s="67"/>
      <c r="K108" s="25"/>
      <c r="L108" s="26"/>
      <c r="M108" s="28"/>
      <c r="N108" s="27"/>
      <c r="O108" s="28" t="s">
        <v>140</v>
      </c>
      <c r="P108" s="25"/>
      <c r="Q108" s="89" t="s">
        <v>393</v>
      </c>
      <c r="R108" s="25"/>
      <c r="S108" s="29"/>
      <c r="T108" s="65"/>
      <c r="U108" s="65"/>
      <c r="V108" s="65"/>
      <c r="W108" s="65"/>
      <c r="X108" s="65"/>
      <c r="Y108" s="65"/>
      <c r="Z108" s="65"/>
      <c r="AA108" s="65"/>
    </row>
    <row r="109" spans="1:27" ht="15.75" customHeight="1">
      <c r="A109" s="344"/>
      <c r="B109" s="344"/>
      <c r="C109" s="41">
        <v>4</v>
      </c>
      <c r="D109" s="344"/>
      <c r="E109" s="39" t="s">
        <v>3461</v>
      </c>
      <c r="F109" s="31" t="s">
        <v>326</v>
      </c>
      <c r="G109" s="31" t="s">
        <v>327</v>
      </c>
      <c r="H109" s="23" t="s">
        <v>3457</v>
      </c>
      <c r="I109" s="23" t="s">
        <v>3462</v>
      </c>
      <c r="J109" s="170"/>
      <c r="K109" s="25"/>
      <c r="L109" s="26"/>
      <c r="M109" s="28"/>
      <c r="N109" s="27"/>
      <c r="O109" s="28" t="s">
        <v>140</v>
      </c>
      <c r="P109" s="25"/>
      <c r="Q109" s="89" t="s">
        <v>393</v>
      </c>
      <c r="R109" s="25"/>
      <c r="S109" s="29"/>
      <c r="T109" s="65"/>
      <c r="U109" s="65"/>
      <c r="V109" s="65"/>
      <c r="W109" s="65"/>
      <c r="X109" s="65"/>
      <c r="Y109" s="65"/>
      <c r="Z109" s="65"/>
      <c r="AA109" s="65"/>
    </row>
    <row r="110" spans="1:27" ht="15.75" customHeight="1">
      <c r="A110" s="344"/>
      <c r="B110" s="344"/>
      <c r="C110" s="41">
        <v>5</v>
      </c>
      <c r="D110" s="344"/>
      <c r="E110" s="39" t="s">
        <v>3463</v>
      </c>
      <c r="F110" s="31" t="s">
        <v>326</v>
      </c>
      <c r="G110" s="31" t="s">
        <v>327</v>
      </c>
      <c r="H110" s="23" t="s">
        <v>3457</v>
      </c>
      <c r="I110" s="23" t="s">
        <v>3464</v>
      </c>
      <c r="J110" s="170"/>
      <c r="K110" s="25"/>
      <c r="L110" s="26"/>
      <c r="M110" s="28"/>
      <c r="N110" s="27"/>
      <c r="O110" s="28"/>
      <c r="P110" s="25"/>
      <c r="Q110" s="29" t="s">
        <v>282</v>
      </c>
      <c r="R110" s="25"/>
      <c r="S110" s="29"/>
      <c r="T110" s="65"/>
      <c r="U110" s="65"/>
      <c r="V110" s="65"/>
      <c r="W110" s="65"/>
      <c r="X110" s="65"/>
      <c r="Y110" s="65"/>
      <c r="Z110" s="65"/>
      <c r="AA110" s="65"/>
    </row>
    <row r="111" spans="1:27" ht="15.75" customHeight="1">
      <c r="A111" s="345"/>
      <c r="B111" s="345"/>
      <c r="C111" s="41">
        <v>6</v>
      </c>
      <c r="D111" s="345"/>
      <c r="E111" s="39" t="s">
        <v>3465</v>
      </c>
      <c r="F111" s="31" t="s">
        <v>326</v>
      </c>
      <c r="G111" s="31" t="s">
        <v>327</v>
      </c>
      <c r="H111" s="23" t="s">
        <v>3457</v>
      </c>
      <c r="I111" s="23" t="s">
        <v>3464</v>
      </c>
      <c r="J111" s="170"/>
      <c r="K111" s="25"/>
      <c r="L111" s="26"/>
      <c r="M111" s="28"/>
      <c r="N111" s="27"/>
      <c r="O111" s="28"/>
      <c r="P111" s="25"/>
      <c r="Q111" s="29" t="s">
        <v>282</v>
      </c>
      <c r="R111" s="25"/>
      <c r="S111" s="29"/>
      <c r="T111" s="65"/>
      <c r="U111" s="65"/>
      <c r="V111" s="65"/>
      <c r="W111" s="65"/>
      <c r="X111" s="65"/>
      <c r="Y111" s="65"/>
      <c r="Z111" s="65"/>
      <c r="AA111" s="65"/>
    </row>
    <row r="112" spans="1:27" ht="15.75" customHeight="1">
      <c r="A112" s="15" t="s">
        <v>3466</v>
      </c>
      <c r="B112" s="16"/>
      <c r="C112" s="16"/>
      <c r="D112" s="17"/>
      <c r="E112" s="18"/>
      <c r="F112" s="19"/>
      <c r="G112" s="19"/>
      <c r="H112" s="17"/>
      <c r="I112" s="20"/>
      <c r="J112" s="20"/>
      <c r="K112" s="16"/>
      <c r="L112" s="16"/>
      <c r="M112" s="71"/>
      <c r="N112" s="3"/>
      <c r="O112" s="71"/>
      <c r="P112" s="16"/>
      <c r="Q112" s="16"/>
      <c r="R112" s="16"/>
      <c r="S112" s="16"/>
    </row>
    <row r="113" spans="1:19" ht="15.75" customHeight="1">
      <c r="A113" s="175" t="s">
        <v>3467</v>
      </c>
      <c r="B113" s="86" t="s">
        <v>239</v>
      </c>
      <c r="C113" s="86">
        <v>1</v>
      </c>
      <c r="D113" s="175" t="s">
        <v>3468</v>
      </c>
      <c r="E113" s="181" t="s">
        <v>3469</v>
      </c>
      <c r="F113" s="86" t="s">
        <v>361</v>
      </c>
      <c r="G113" s="86" t="s">
        <v>327</v>
      </c>
      <c r="H113" s="175" t="s">
        <v>3470</v>
      </c>
      <c r="I113" s="35" t="s">
        <v>3471</v>
      </c>
      <c r="J113" s="172"/>
      <c r="K113" s="25"/>
      <c r="L113" s="25"/>
      <c r="M113" s="25" t="s">
        <v>1389</v>
      </c>
      <c r="N113" s="55"/>
      <c r="O113" s="28"/>
      <c r="P113" s="25"/>
      <c r="Q113" s="29" t="s">
        <v>282</v>
      </c>
      <c r="R113" s="25" t="s">
        <v>308</v>
      </c>
      <c r="S113" s="29"/>
    </row>
    <row r="114" spans="1:19" ht="15.75" customHeight="1">
      <c r="A114" s="351" t="s">
        <v>3472</v>
      </c>
      <c r="B114" s="354" t="s">
        <v>240</v>
      </c>
      <c r="C114" s="86">
        <v>1</v>
      </c>
      <c r="D114" s="351" t="s">
        <v>3214</v>
      </c>
      <c r="E114" s="175" t="s">
        <v>3473</v>
      </c>
      <c r="F114" s="86"/>
      <c r="G114" s="86"/>
      <c r="H114" s="175" t="s">
        <v>3474</v>
      </c>
      <c r="I114" s="35" t="s">
        <v>3475</v>
      </c>
      <c r="J114" s="172"/>
      <c r="K114" s="25"/>
      <c r="L114" s="25"/>
      <c r="M114" s="25" t="s">
        <v>1389</v>
      </c>
      <c r="N114" s="55"/>
      <c r="O114" s="28"/>
      <c r="P114" s="25"/>
      <c r="Q114" s="29" t="s">
        <v>282</v>
      </c>
      <c r="R114" s="25" t="s">
        <v>308</v>
      </c>
      <c r="S114" s="29"/>
    </row>
    <row r="115" spans="1:19" ht="15.75" customHeight="1">
      <c r="A115" s="352"/>
      <c r="B115" s="352"/>
      <c r="C115" s="86">
        <v>2</v>
      </c>
      <c r="D115" s="352"/>
      <c r="E115" s="175" t="s">
        <v>3476</v>
      </c>
      <c r="F115" s="86"/>
      <c r="G115" s="86"/>
      <c r="H115" s="175" t="s">
        <v>3477</v>
      </c>
      <c r="I115" s="35" t="s">
        <v>3475</v>
      </c>
      <c r="J115" s="172"/>
      <c r="K115" s="25"/>
      <c r="L115" s="25"/>
      <c r="M115" s="25" t="s">
        <v>1389</v>
      </c>
      <c r="N115" s="55"/>
      <c r="O115" s="28"/>
      <c r="P115" s="25"/>
      <c r="Q115" s="29" t="s">
        <v>282</v>
      </c>
      <c r="R115" s="25" t="s">
        <v>308</v>
      </c>
      <c r="S115" s="29"/>
    </row>
    <row r="116" spans="1:19" ht="15.75" customHeight="1">
      <c r="A116" s="353"/>
      <c r="B116" s="353"/>
      <c r="C116" s="86">
        <v>3</v>
      </c>
      <c r="D116" s="353"/>
      <c r="E116" s="175" t="s">
        <v>3478</v>
      </c>
      <c r="F116" s="86"/>
      <c r="G116" s="86"/>
      <c r="H116" s="175" t="s">
        <v>3479</v>
      </c>
      <c r="I116" s="35" t="s">
        <v>3475</v>
      </c>
      <c r="J116" s="172"/>
      <c r="K116" s="25"/>
      <c r="L116" s="25"/>
      <c r="M116" s="25" t="s">
        <v>1389</v>
      </c>
      <c r="N116" s="55"/>
      <c r="O116" s="28"/>
      <c r="P116" s="25"/>
      <c r="Q116" s="29" t="s">
        <v>282</v>
      </c>
      <c r="R116" s="25" t="s">
        <v>308</v>
      </c>
      <c r="S116" s="29"/>
    </row>
    <row r="117" spans="1:19" ht="15.75" customHeight="1">
      <c r="A117" s="351" t="s">
        <v>3480</v>
      </c>
      <c r="B117" s="354" t="s">
        <v>241</v>
      </c>
      <c r="C117" s="86">
        <v>1</v>
      </c>
      <c r="D117" s="351" t="s">
        <v>3481</v>
      </c>
      <c r="E117" s="175" t="s">
        <v>3482</v>
      </c>
      <c r="F117" s="86"/>
      <c r="G117" s="86"/>
      <c r="H117" s="175" t="s">
        <v>3474</v>
      </c>
      <c r="I117" s="35" t="s">
        <v>3483</v>
      </c>
      <c r="J117" s="172"/>
      <c r="K117" s="25"/>
      <c r="L117" s="25"/>
      <c r="M117" s="25" t="s">
        <v>1389</v>
      </c>
      <c r="N117" s="55"/>
      <c r="O117" s="28"/>
      <c r="P117" s="25"/>
      <c r="Q117" s="29" t="s">
        <v>282</v>
      </c>
      <c r="R117" s="25" t="s">
        <v>308</v>
      </c>
      <c r="S117" s="29"/>
    </row>
    <row r="118" spans="1:19" ht="15.75" customHeight="1">
      <c r="A118" s="352"/>
      <c r="B118" s="352"/>
      <c r="C118" s="86">
        <v>2</v>
      </c>
      <c r="D118" s="352"/>
      <c r="E118" s="175" t="s">
        <v>3484</v>
      </c>
      <c r="F118" s="86"/>
      <c r="G118" s="86"/>
      <c r="H118" s="175" t="s">
        <v>3477</v>
      </c>
      <c r="I118" s="35" t="s">
        <v>3485</v>
      </c>
      <c r="J118" s="172"/>
      <c r="K118" s="25"/>
      <c r="L118" s="25"/>
      <c r="M118" s="25" t="s">
        <v>1389</v>
      </c>
      <c r="N118" s="55"/>
      <c r="O118" s="28"/>
      <c r="P118" s="25"/>
      <c r="Q118" s="29" t="s">
        <v>282</v>
      </c>
      <c r="R118" s="25" t="s">
        <v>308</v>
      </c>
      <c r="S118" s="29"/>
    </row>
    <row r="119" spans="1:19" ht="15.75" customHeight="1">
      <c r="A119" s="352"/>
      <c r="B119" s="352"/>
      <c r="C119" s="86">
        <v>3</v>
      </c>
      <c r="D119" s="352"/>
      <c r="E119" s="175" t="s">
        <v>3486</v>
      </c>
      <c r="F119" s="86"/>
      <c r="G119" s="86"/>
      <c r="H119" s="175" t="s">
        <v>3479</v>
      </c>
      <c r="I119" s="35" t="s">
        <v>3487</v>
      </c>
      <c r="J119" s="172"/>
      <c r="K119" s="25"/>
      <c r="L119" s="25"/>
      <c r="M119" s="25" t="s">
        <v>1389</v>
      </c>
      <c r="N119" s="55"/>
      <c r="O119" s="28"/>
      <c r="P119" s="25"/>
      <c r="Q119" s="29" t="s">
        <v>282</v>
      </c>
      <c r="R119" s="25" t="s">
        <v>308</v>
      </c>
      <c r="S119" s="29"/>
    </row>
    <row r="120" spans="1:19" ht="15.75" customHeight="1">
      <c r="A120" s="353"/>
      <c r="B120" s="353"/>
      <c r="C120" s="86">
        <v>4</v>
      </c>
      <c r="D120" s="353"/>
      <c r="E120" s="175" t="s">
        <v>3488</v>
      </c>
      <c r="F120" s="86"/>
      <c r="G120" s="86"/>
      <c r="H120" s="175" t="s">
        <v>3479</v>
      </c>
      <c r="I120" s="35" t="s">
        <v>3489</v>
      </c>
      <c r="J120" s="172"/>
      <c r="K120" s="25"/>
      <c r="L120" s="25"/>
      <c r="M120" s="25" t="s">
        <v>1389</v>
      </c>
      <c r="N120" s="55"/>
      <c r="O120" s="28"/>
      <c r="P120" s="25"/>
      <c r="Q120" s="29" t="s">
        <v>282</v>
      </c>
      <c r="R120" s="25" t="s">
        <v>308</v>
      </c>
      <c r="S120" s="29"/>
    </row>
    <row r="121" spans="1:19" ht="15.75" customHeight="1">
      <c r="A121" s="68"/>
      <c r="B121" s="68"/>
      <c r="C121" s="5"/>
      <c r="D121" s="68"/>
      <c r="E121" s="69"/>
      <c r="K121" s="68"/>
      <c r="M121" s="68"/>
      <c r="O121" s="68"/>
      <c r="P121" s="68"/>
      <c r="Q121" s="68"/>
      <c r="R121" s="68"/>
      <c r="S121" s="68"/>
    </row>
    <row r="122" spans="1:19" ht="15.75" customHeight="1">
      <c r="A122" s="68"/>
      <c r="B122" s="68"/>
      <c r="C122" s="5"/>
      <c r="D122" s="68"/>
      <c r="E122" s="69"/>
      <c r="K122" s="68"/>
      <c r="M122" s="68"/>
      <c r="O122" s="68"/>
      <c r="P122" s="68"/>
      <c r="Q122" s="68"/>
      <c r="R122" s="68"/>
      <c r="S122" s="68"/>
    </row>
    <row r="123" spans="1:19" ht="15.75" customHeight="1">
      <c r="A123" s="68"/>
      <c r="B123" s="68"/>
      <c r="C123" s="5"/>
      <c r="D123" s="68"/>
      <c r="E123" s="69"/>
      <c r="K123" s="68"/>
      <c r="M123" s="68"/>
      <c r="O123" s="68"/>
      <c r="P123" s="68"/>
      <c r="Q123" s="68"/>
      <c r="R123" s="68"/>
      <c r="S123" s="68"/>
    </row>
    <row r="124" spans="1:19" ht="15.75" customHeight="1">
      <c r="A124" s="68"/>
      <c r="B124" s="68"/>
      <c r="C124" s="5"/>
      <c r="D124" s="68"/>
      <c r="E124" s="69"/>
      <c r="K124" s="68"/>
      <c r="M124" s="68"/>
      <c r="O124" s="68"/>
      <c r="P124" s="68"/>
      <c r="Q124" s="68"/>
      <c r="R124" s="68"/>
      <c r="S124" s="68"/>
    </row>
    <row r="125" spans="1:19" ht="15.75" customHeight="1">
      <c r="A125" s="68"/>
      <c r="B125" s="68"/>
      <c r="C125" s="5"/>
      <c r="D125" s="68"/>
      <c r="E125" s="69"/>
      <c r="K125" s="68"/>
      <c r="M125" s="68"/>
      <c r="O125" s="68"/>
      <c r="P125" s="68"/>
      <c r="Q125" s="68"/>
      <c r="R125" s="68"/>
      <c r="S125" s="68"/>
    </row>
    <row r="126" spans="1:19" ht="15.75" customHeight="1">
      <c r="A126" s="68"/>
      <c r="B126" s="68"/>
      <c r="C126" s="5"/>
      <c r="D126" s="68"/>
      <c r="E126" s="69"/>
      <c r="K126" s="68"/>
      <c r="M126" s="68"/>
      <c r="O126" s="68"/>
      <c r="P126" s="68"/>
      <c r="Q126" s="68"/>
      <c r="R126" s="68"/>
      <c r="S126" s="68"/>
    </row>
    <row r="127" spans="1:19" ht="15.75" customHeight="1">
      <c r="A127" s="68"/>
      <c r="B127" s="68"/>
      <c r="C127" s="5"/>
      <c r="D127" s="68"/>
      <c r="E127" s="69"/>
      <c r="K127" s="68"/>
      <c r="M127" s="68"/>
      <c r="O127" s="68"/>
      <c r="P127" s="68"/>
      <c r="Q127" s="68"/>
      <c r="R127" s="68"/>
      <c r="S127" s="68"/>
    </row>
    <row r="128" spans="1:19" ht="15.75" customHeight="1">
      <c r="A128" s="68"/>
      <c r="B128" s="68"/>
      <c r="C128" s="5"/>
      <c r="D128" s="68"/>
      <c r="E128" s="69"/>
      <c r="K128" s="68"/>
      <c r="M128" s="68"/>
      <c r="O128" s="68"/>
      <c r="P128" s="68"/>
      <c r="Q128" s="68"/>
      <c r="R128" s="68"/>
      <c r="S128" s="68"/>
    </row>
    <row r="129" spans="1:19" ht="15.75" customHeight="1">
      <c r="A129" s="68"/>
      <c r="B129" s="68"/>
      <c r="C129" s="5"/>
      <c r="D129" s="68"/>
      <c r="E129" s="69"/>
      <c r="K129" s="68"/>
      <c r="M129" s="68"/>
      <c r="O129" s="68"/>
      <c r="P129" s="68"/>
      <c r="Q129" s="68"/>
      <c r="R129" s="68"/>
      <c r="S129" s="68"/>
    </row>
    <row r="130" spans="1:19" ht="15.75" customHeight="1">
      <c r="A130" s="68"/>
      <c r="B130" s="68"/>
      <c r="C130" s="5"/>
      <c r="D130" s="68"/>
      <c r="E130" s="69"/>
      <c r="K130" s="68"/>
      <c r="M130" s="68"/>
      <c r="O130" s="68"/>
      <c r="P130" s="68"/>
      <c r="Q130" s="68"/>
      <c r="R130" s="68"/>
      <c r="S130" s="68"/>
    </row>
    <row r="131" spans="1:19" ht="15.75" customHeight="1">
      <c r="A131" s="68"/>
      <c r="B131" s="68"/>
      <c r="C131" s="5"/>
      <c r="D131" s="68"/>
      <c r="E131" s="69"/>
      <c r="K131" s="68"/>
      <c r="M131" s="68"/>
      <c r="O131" s="68"/>
      <c r="P131" s="68"/>
      <c r="Q131" s="68"/>
      <c r="R131" s="68"/>
      <c r="S131" s="68"/>
    </row>
    <row r="132" spans="1:19" ht="15.75" customHeight="1">
      <c r="A132" s="68"/>
      <c r="B132" s="68"/>
      <c r="C132" s="5"/>
      <c r="D132" s="68"/>
      <c r="E132" s="69"/>
      <c r="K132" s="68"/>
      <c r="M132" s="68"/>
      <c r="O132" s="68"/>
      <c r="P132" s="68"/>
      <c r="Q132" s="68"/>
      <c r="R132" s="68"/>
      <c r="S132" s="68"/>
    </row>
    <row r="133" spans="1:19" ht="15.75" customHeight="1">
      <c r="A133" s="68"/>
      <c r="B133" s="68"/>
      <c r="C133" s="5"/>
      <c r="D133" s="68"/>
      <c r="E133" s="69"/>
      <c r="K133" s="68"/>
      <c r="M133" s="68"/>
      <c r="O133" s="68"/>
      <c r="P133" s="68"/>
      <c r="Q133" s="68"/>
      <c r="R133" s="68"/>
      <c r="S133" s="68"/>
    </row>
    <row r="134" spans="1:19" ht="15.75" customHeight="1">
      <c r="A134" s="68"/>
      <c r="B134" s="68"/>
      <c r="C134" s="5"/>
      <c r="D134" s="68"/>
      <c r="E134" s="69"/>
      <c r="K134" s="68"/>
      <c r="M134" s="68"/>
      <c r="O134" s="68"/>
      <c r="P134" s="68"/>
      <c r="Q134" s="68"/>
      <c r="R134" s="68"/>
      <c r="S134" s="68"/>
    </row>
    <row r="135" spans="1:19" ht="15.75" customHeight="1">
      <c r="A135" s="68"/>
      <c r="B135" s="68"/>
      <c r="C135" s="5"/>
      <c r="D135" s="68"/>
      <c r="E135" s="69"/>
      <c r="K135" s="68"/>
      <c r="M135" s="68"/>
      <c r="O135" s="68"/>
      <c r="P135" s="68"/>
      <c r="Q135" s="68"/>
      <c r="R135" s="68"/>
      <c r="S135" s="68"/>
    </row>
    <row r="136" spans="1:19" ht="15.75" customHeight="1">
      <c r="A136" s="68"/>
      <c r="B136" s="68"/>
      <c r="C136" s="5"/>
      <c r="D136" s="68"/>
      <c r="E136" s="69"/>
      <c r="K136" s="68"/>
      <c r="M136" s="68"/>
      <c r="O136" s="68"/>
      <c r="P136" s="68"/>
      <c r="Q136" s="68"/>
      <c r="R136" s="68"/>
      <c r="S136" s="68"/>
    </row>
    <row r="137" spans="1:19" ht="15.75" customHeight="1">
      <c r="A137" s="68"/>
      <c r="B137" s="68"/>
      <c r="C137" s="5"/>
      <c r="D137" s="68"/>
      <c r="E137" s="69"/>
      <c r="K137" s="68"/>
      <c r="M137" s="68"/>
      <c r="O137" s="68"/>
      <c r="P137" s="68"/>
      <c r="Q137" s="68"/>
      <c r="R137" s="68"/>
      <c r="S137" s="68"/>
    </row>
    <row r="138" spans="1:19" ht="15.75" customHeight="1">
      <c r="A138" s="68"/>
      <c r="B138" s="68"/>
      <c r="C138" s="5"/>
      <c r="D138" s="68"/>
      <c r="E138" s="69"/>
      <c r="K138" s="68"/>
      <c r="M138" s="68"/>
      <c r="O138" s="68"/>
      <c r="P138" s="68"/>
      <c r="Q138" s="68"/>
      <c r="R138" s="68"/>
      <c r="S138" s="68"/>
    </row>
    <row r="139" spans="1:19" ht="15.75" customHeight="1">
      <c r="A139" s="68"/>
      <c r="B139" s="68"/>
      <c r="C139" s="5"/>
      <c r="D139" s="68"/>
      <c r="E139" s="69"/>
      <c r="K139" s="68"/>
      <c r="M139" s="68"/>
      <c r="O139" s="68"/>
      <c r="P139" s="68"/>
      <c r="Q139" s="68"/>
      <c r="R139" s="68"/>
      <c r="S139" s="68"/>
    </row>
    <row r="140" spans="1:19" ht="15.75" customHeight="1">
      <c r="A140" s="68"/>
      <c r="B140" s="68"/>
      <c r="C140" s="5"/>
      <c r="D140" s="68"/>
      <c r="E140" s="69"/>
      <c r="K140" s="68"/>
      <c r="M140" s="68"/>
      <c r="O140" s="68"/>
      <c r="P140" s="68"/>
      <c r="Q140" s="68"/>
      <c r="R140" s="68"/>
      <c r="S140" s="68"/>
    </row>
    <row r="141" spans="1:19" ht="15.75" customHeight="1">
      <c r="A141" s="68"/>
      <c r="B141" s="68"/>
      <c r="C141" s="5"/>
      <c r="D141" s="68"/>
      <c r="E141" s="69"/>
      <c r="K141" s="68"/>
      <c r="M141" s="68"/>
      <c r="O141" s="68"/>
      <c r="P141" s="68"/>
      <c r="Q141" s="68"/>
      <c r="R141" s="68"/>
      <c r="S141" s="68"/>
    </row>
    <row r="142" spans="1:19" ht="15.75" customHeight="1">
      <c r="A142" s="68"/>
      <c r="B142" s="68"/>
      <c r="C142" s="5"/>
      <c r="D142" s="68"/>
      <c r="E142" s="69"/>
      <c r="K142" s="68"/>
      <c r="M142" s="68"/>
      <c r="O142" s="68"/>
      <c r="P142" s="68"/>
      <c r="Q142" s="68"/>
      <c r="R142" s="68"/>
      <c r="S142" s="68"/>
    </row>
    <row r="143" spans="1:19" ht="15.75" customHeight="1">
      <c r="A143" s="68"/>
      <c r="B143" s="68"/>
      <c r="C143" s="5"/>
      <c r="D143" s="68"/>
      <c r="E143" s="69"/>
      <c r="K143" s="68"/>
      <c r="M143" s="68"/>
      <c r="O143" s="68"/>
      <c r="P143" s="68"/>
      <c r="Q143" s="68"/>
      <c r="R143" s="68"/>
      <c r="S143" s="68"/>
    </row>
    <row r="144" spans="1:19" ht="15.75" customHeight="1">
      <c r="A144" s="68"/>
      <c r="B144" s="68"/>
      <c r="C144" s="5"/>
      <c r="D144" s="68"/>
      <c r="E144" s="69"/>
      <c r="K144" s="68"/>
      <c r="M144" s="68"/>
      <c r="O144" s="68"/>
      <c r="P144" s="68"/>
      <c r="Q144" s="68"/>
      <c r="R144" s="68"/>
      <c r="S144" s="68"/>
    </row>
    <row r="145" spans="1:19" ht="15.75" customHeight="1">
      <c r="A145" s="68"/>
      <c r="B145" s="68"/>
      <c r="C145" s="5"/>
      <c r="D145" s="68"/>
      <c r="E145" s="69"/>
      <c r="K145" s="68"/>
      <c r="M145" s="68"/>
      <c r="O145" s="68"/>
      <c r="P145" s="68"/>
      <c r="Q145" s="68"/>
      <c r="R145" s="68"/>
      <c r="S145" s="68"/>
    </row>
    <row r="146" spans="1:19" ht="15.75" customHeight="1">
      <c r="A146" s="68"/>
      <c r="B146" s="68"/>
      <c r="C146" s="5"/>
      <c r="D146" s="68"/>
      <c r="E146" s="69"/>
      <c r="K146" s="68"/>
      <c r="M146" s="68"/>
      <c r="O146" s="68"/>
      <c r="P146" s="68"/>
      <c r="Q146" s="68"/>
      <c r="R146" s="68"/>
      <c r="S146" s="68"/>
    </row>
    <row r="147" spans="1:19" ht="15.75" customHeight="1">
      <c r="A147" s="68"/>
      <c r="B147" s="68"/>
      <c r="C147" s="5"/>
      <c r="D147" s="68"/>
      <c r="E147" s="69"/>
      <c r="K147" s="68"/>
      <c r="M147" s="68"/>
      <c r="O147" s="68"/>
      <c r="P147" s="68"/>
      <c r="Q147" s="68"/>
      <c r="R147" s="68"/>
      <c r="S147" s="68"/>
    </row>
    <row r="148" spans="1:19" ht="15.75" customHeight="1">
      <c r="A148" s="68"/>
      <c r="B148" s="68"/>
      <c r="C148" s="5"/>
      <c r="D148" s="68"/>
      <c r="E148" s="69"/>
      <c r="K148" s="68"/>
      <c r="M148" s="68"/>
      <c r="O148" s="68"/>
      <c r="P148" s="68"/>
      <c r="Q148" s="68"/>
      <c r="R148" s="68"/>
      <c r="S148" s="68"/>
    </row>
    <row r="149" spans="1:19" ht="15.75" customHeight="1">
      <c r="A149" s="68"/>
      <c r="B149" s="68"/>
      <c r="C149" s="5"/>
      <c r="D149" s="68"/>
      <c r="E149" s="69"/>
      <c r="K149" s="68"/>
      <c r="M149" s="68"/>
      <c r="O149" s="68"/>
      <c r="P149" s="68"/>
      <c r="Q149" s="68"/>
      <c r="R149" s="68"/>
      <c r="S149" s="68"/>
    </row>
    <row r="150" spans="1:19" ht="15.75" customHeight="1">
      <c r="A150" s="68"/>
      <c r="B150" s="68"/>
      <c r="C150" s="5"/>
      <c r="D150" s="68"/>
      <c r="E150" s="69"/>
      <c r="K150" s="68"/>
      <c r="M150" s="68"/>
      <c r="O150" s="68"/>
      <c r="P150" s="68"/>
      <c r="Q150" s="68"/>
      <c r="R150" s="68"/>
      <c r="S150" s="68"/>
    </row>
    <row r="151" spans="1:19" ht="15.75" customHeight="1">
      <c r="A151" s="68"/>
      <c r="B151" s="68"/>
      <c r="C151" s="5"/>
      <c r="D151" s="68"/>
      <c r="E151" s="69"/>
      <c r="K151" s="68"/>
      <c r="M151" s="68"/>
      <c r="O151" s="68"/>
      <c r="P151" s="68"/>
      <c r="Q151" s="68"/>
      <c r="R151" s="68"/>
      <c r="S151" s="68"/>
    </row>
    <row r="152" spans="1:19" ht="15.75" customHeight="1">
      <c r="A152" s="68"/>
      <c r="B152" s="68"/>
      <c r="C152" s="5"/>
      <c r="D152" s="68"/>
      <c r="E152" s="69"/>
      <c r="K152" s="68"/>
      <c r="M152" s="68"/>
      <c r="O152" s="68"/>
      <c r="P152" s="68"/>
      <c r="Q152" s="68"/>
      <c r="R152" s="68"/>
      <c r="S152" s="68"/>
    </row>
    <row r="153" spans="1:19" ht="15.75" customHeight="1">
      <c r="A153" s="68"/>
      <c r="B153" s="68"/>
      <c r="C153" s="5"/>
      <c r="D153" s="68"/>
      <c r="E153" s="69"/>
      <c r="K153" s="68"/>
      <c r="M153" s="68"/>
      <c r="O153" s="68"/>
      <c r="P153" s="68"/>
      <c r="Q153" s="68"/>
      <c r="R153" s="68"/>
      <c r="S153" s="68"/>
    </row>
    <row r="154" spans="1:19" ht="15.75" customHeight="1">
      <c r="A154" s="68"/>
      <c r="B154" s="68"/>
      <c r="C154" s="5"/>
      <c r="D154" s="68"/>
      <c r="E154" s="69"/>
      <c r="K154" s="68"/>
      <c r="M154" s="68"/>
      <c r="O154" s="68"/>
      <c r="P154" s="68"/>
      <c r="Q154" s="68"/>
      <c r="R154" s="68"/>
      <c r="S154" s="68"/>
    </row>
    <row r="155" spans="1:19" ht="15.75" customHeight="1">
      <c r="A155" s="68"/>
      <c r="B155" s="68"/>
      <c r="C155" s="5"/>
      <c r="D155" s="68"/>
      <c r="E155" s="69"/>
      <c r="K155" s="68"/>
      <c r="M155" s="68"/>
      <c r="O155" s="68"/>
      <c r="P155" s="68"/>
      <c r="Q155" s="68"/>
      <c r="R155" s="68"/>
      <c r="S155" s="68"/>
    </row>
    <row r="156" spans="1:19" ht="15.75" customHeight="1">
      <c r="A156" s="68"/>
      <c r="B156" s="68"/>
      <c r="C156" s="5"/>
      <c r="D156" s="68"/>
      <c r="E156" s="69"/>
      <c r="K156" s="68"/>
      <c r="M156" s="68"/>
      <c r="O156" s="68"/>
      <c r="P156" s="68"/>
      <c r="Q156" s="68"/>
      <c r="R156" s="68"/>
      <c r="S156" s="68"/>
    </row>
    <row r="157" spans="1:19" ht="15.75" customHeight="1">
      <c r="A157" s="68"/>
      <c r="B157" s="68"/>
      <c r="C157" s="5"/>
      <c r="D157" s="68"/>
      <c r="E157" s="69"/>
      <c r="K157" s="68"/>
      <c r="M157" s="68"/>
      <c r="O157" s="68"/>
      <c r="P157" s="68"/>
      <c r="Q157" s="68"/>
      <c r="R157" s="68"/>
      <c r="S157" s="68"/>
    </row>
    <row r="158" spans="1:19" ht="15.75" customHeight="1">
      <c r="A158" s="68"/>
      <c r="B158" s="68"/>
      <c r="C158" s="5"/>
      <c r="D158" s="68"/>
      <c r="E158" s="69"/>
      <c r="K158" s="68"/>
      <c r="M158" s="68"/>
      <c r="O158" s="68"/>
      <c r="P158" s="68"/>
      <c r="Q158" s="68"/>
      <c r="R158" s="68"/>
      <c r="S158" s="68"/>
    </row>
    <row r="159" spans="1:19" ht="15.75" customHeight="1">
      <c r="A159" s="68"/>
      <c r="B159" s="68"/>
      <c r="C159" s="5"/>
      <c r="D159" s="68"/>
      <c r="E159" s="69"/>
      <c r="K159" s="68"/>
      <c r="M159" s="68"/>
      <c r="O159" s="68"/>
      <c r="P159" s="68"/>
      <c r="Q159" s="68"/>
      <c r="R159" s="68"/>
      <c r="S159" s="68"/>
    </row>
    <row r="160" spans="1:19" ht="15.75" customHeight="1">
      <c r="A160" s="68"/>
      <c r="B160" s="68"/>
      <c r="C160" s="5"/>
      <c r="D160" s="68"/>
      <c r="E160" s="69"/>
      <c r="K160" s="68"/>
      <c r="M160" s="68"/>
      <c r="O160" s="68"/>
      <c r="P160" s="68"/>
      <c r="Q160" s="68"/>
      <c r="R160" s="68"/>
      <c r="S160" s="68"/>
    </row>
    <row r="161" spans="1:19" ht="15.75" customHeight="1">
      <c r="A161" s="68"/>
      <c r="B161" s="68"/>
      <c r="C161" s="5"/>
      <c r="D161" s="68"/>
      <c r="E161" s="69"/>
      <c r="K161" s="68"/>
      <c r="M161" s="68"/>
      <c r="O161" s="68"/>
      <c r="P161" s="68"/>
      <c r="Q161" s="68"/>
      <c r="R161" s="68"/>
      <c r="S161" s="68"/>
    </row>
    <row r="162" spans="1:19" ht="15.75" customHeight="1">
      <c r="A162" s="68"/>
      <c r="B162" s="68"/>
      <c r="C162" s="5"/>
      <c r="D162" s="68"/>
      <c r="E162" s="69"/>
      <c r="K162" s="68"/>
      <c r="M162" s="68"/>
      <c r="O162" s="68"/>
      <c r="P162" s="68"/>
      <c r="Q162" s="68"/>
      <c r="R162" s="68"/>
      <c r="S162" s="68"/>
    </row>
    <row r="163" spans="1:19" ht="15.75" customHeight="1">
      <c r="A163" s="68"/>
      <c r="B163" s="68"/>
      <c r="C163" s="5"/>
      <c r="D163" s="68"/>
      <c r="E163" s="69"/>
      <c r="K163" s="68"/>
      <c r="M163" s="68"/>
      <c r="O163" s="68"/>
      <c r="P163" s="68"/>
      <c r="Q163" s="68"/>
      <c r="R163" s="68"/>
      <c r="S163" s="68"/>
    </row>
    <row r="164" spans="1:19" ht="15.75" customHeight="1">
      <c r="A164" s="68"/>
      <c r="B164" s="68"/>
      <c r="C164" s="5"/>
      <c r="D164" s="68"/>
      <c r="E164" s="69"/>
      <c r="K164" s="68"/>
      <c r="M164" s="68"/>
      <c r="O164" s="68"/>
      <c r="P164" s="68"/>
      <c r="Q164" s="68"/>
      <c r="R164" s="68"/>
      <c r="S164" s="68"/>
    </row>
    <row r="165" spans="1:19" ht="15.75" customHeight="1">
      <c r="A165" s="68"/>
      <c r="B165" s="68"/>
      <c r="C165" s="5"/>
      <c r="D165" s="68"/>
      <c r="E165" s="69"/>
      <c r="K165" s="68"/>
      <c r="M165" s="68"/>
      <c r="O165" s="68"/>
      <c r="P165" s="68"/>
      <c r="Q165" s="68"/>
      <c r="R165" s="68"/>
      <c r="S165" s="68"/>
    </row>
    <row r="166" spans="1:19" ht="15.75" customHeight="1">
      <c r="A166" s="68"/>
      <c r="B166" s="68"/>
      <c r="C166" s="5"/>
      <c r="D166" s="68"/>
      <c r="E166" s="69"/>
      <c r="K166" s="68"/>
      <c r="M166" s="68"/>
      <c r="O166" s="68"/>
      <c r="P166" s="68"/>
      <c r="Q166" s="68"/>
      <c r="R166" s="68"/>
      <c r="S166" s="68"/>
    </row>
    <row r="167" spans="1:19" ht="15.75" customHeight="1">
      <c r="A167" s="68"/>
      <c r="B167" s="68"/>
      <c r="C167" s="5"/>
      <c r="D167" s="68"/>
      <c r="E167" s="69"/>
      <c r="K167" s="68"/>
      <c r="M167" s="68"/>
      <c r="O167" s="68"/>
      <c r="P167" s="68"/>
      <c r="Q167" s="68"/>
      <c r="R167" s="68"/>
      <c r="S167" s="68"/>
    </row>
    <row r="168" spans="1:19" ht="15.75" customHeight="1">
      <c r="A168" s="68"/>
      <c r="B168" s="68"/>
      <c r="C168" s="5"/>
      <c r="D168" s="68"/>
      <c r="E168" s="69"/>
      <c r="K168" s="68"/>
      <c r="M168" s="68"/>
      <c r="O168" s="68"/>
      <c r="P168" s="68"/>
      <c r="Q168" s="68"/>
      <c r="R168" s="68"/>
      <c r="S168" s="68"/>
    </row>
    <row r="169" spans="1:19" ht="15.75" customHeight="1">
      <c r="A169" s="68"/>
      <c r="B169" s="68"/>
      <c r="C169" s="5"/>
      <c r="D169" s="68"/>
      <c r="E169" s="69"/>
      <c r="K169" s="68"/>
      <c r="M169" s="68"/>
      <c r="O169" s="68"/>
      <c r="P169" s="68"/>
      <c r="Q169" s="68"/>
      <c r="R169" s="68"/>
      <c r="S169" s="68"/>
    </row>
    <row r="170" spans="1:19" ht="15.75" customHeight="1">
      <c r="A170" s="68"/>
      <c r="B170" s="68"/>
      <c r="C170" s="5"/>
      <c r="D170" s="68"/>
      <c r="E170" s="69"/>
      <c r="K170" s="68"/>
      <c r="M170" s="68"/>
      <c r="O170" s="68"/>
      <c r="P170" s="68"/>
      <c r="Q170" s="68"/>
      <c r="R170" s="68"/>
      <c r="S170" s="68"/>
    </row>
    <row r="171" spans="1:19" ht="15.75" customHeight="1">
      <c r="A171" s="68"/>
      <c r="B171" s="68"/>
      <c r="C171" s="5"/>
      <c r="D171" s="68"/>
      <c r="E171" s="69"/>
      <c r="K171" s="68"/>
      <c r="M171" s="68"/>
      <c r="O171" s="68"/>
      <c r="P171" s="68"/>
      <c r="Q171" s="68"/>
      <c r="R171" s="68"/>
      <c r="S171" s="68"/>
    </row>
    <row r="172" spans="1:19" ht="15.75" customHeight="1">
      <c r="A172" s="68"/>
      <c r="B172" s="68"/>
      <c r="C172" s="5"/>
      <c r="D172" s="68"/>
      <c r="E172" s="69"/>
      <c r="K172" s="68"/>
      <c r="M172" s="68"/>
      <c r="O172" s="68"/>
      <c r="P172" s="68"/>
      <c r="Q172" s="68"/>
      <c r="R172" s="68"/>
      <c r="S172" s="68"/>
    </row>
    <row r="173" spans="1:19" ht="15.75" customHeight="1">
      <c r="A173" s="68"/>
      <c r="B173" s="68"/>
      <c r="C173" s="5"/>
      <c r="D173" s="68"/>
      <c r="E173" s="69"/>
      <c r="K173" s="68"/>
      <c r="M173" s="68"/>
      <c r="O173" s="68"/>
      <c r="P173" s="68"/>
      <c r="Q173" s="68"/>
      <c r="R173" s="68"/>
      <c r="S173" s="68"/>
    </row>
    <row r="174" spans="1:19" ht="15.75" customHeight="1">
      <c r="A174" s="68"/>
      <c r="B174" s="68"/>
      <c r="C174" s="5"/>
      <c r="D174" s="68"/>
      <c r="E174" s="69"/>
      <c r="K174" s="68"/>
      <c r="M174" s="68"/>
      <c r="O174" s="68"/>
      <c r="P174" s="68"/>
      <c r="Q174" s="68"/>
      <c r="R174" s="68"/>
      <c r="S174" s="68"/>
    </row>
    <row r="175" spans="1:19" ht="15.75" customHeight="1">
      <c r="A175" s="68"/>
      <c r="B175" s="68"/>
      <c r="C175" s="5"/>
      <c r="D175" s="68"/>
      <c r="E175" s="69"/>
      <c r="K175" s="68"/>
      <c r="M175" s="68"/>
      <c r="O175" s="68"/>
      <c r="P175" s="68"/>
      <c r="Q175" s="68"/>
      <c r="R175" s="68"/>
      <c r="S175" s="68"/>
    </row>
    <row r="176" spans="1:19" ht="15.75" customHeight="1">
      <c r="A176" s="68"/>
      <c r="B176" s="68"/>
      <c r="C176" s="5"/>
      <c r="D176" s="68"/>
      <c r="E176" s="69"/>
      <c r="K176" s="68"/>
      <c r="M176" s="68"/>
      <c r="O176" s="68"/>
      <c r="P176" s="68"/>
      <c r="Q176" s="68"/>
      <c r="R176" s="68"/>
      <c r="S176" s="68"/>
    </row>
    <row r="177" spans="1:19" ht="15.75" customHeight="1">
      <c r="A177" s="68"/>
      <c r="B177" s="68"/>
      <c r="C177" s="5"/>
      <c r="D177" s="68"/>
      <c r="E177" s="69"/>
      <c r="K177" s="68"/>
      <c r="M177" s="68"/>
      <c r="O177" s="68"/>
      <c r="P177" s="68"/>
      <c r="Q177" s="68"/>
      <c r="R177" s="68"/>
      <c r="S177" s="68"/>
    </row>
    <row r="178" spans="1:19" ht="15.75" customHeight="1">
      <c r="A178" s="68"/>
      <c r="B178" s="68"/>
      <c r="C178" s="5"/>
      <c r="D178" s="68"/>
      <c r="E178" s="69"/>
      <c r="K178" s="68"/>
      <c r="M178" s="68"/>
      <c r="O178" s="68"/>
      <c r="P178" s="68"/>
      <c r="Q178" s="68"/>
      <c r="R178" s="68"/>
      <c r="S178" s="68"/>
    </row>
    <row r="179" spans="1:19" ht="15.75" customHeight="1">
      <c r="A179" s="68"/>
      <c r="B179" s="68"/>
      <c r="C179" s="5"/>
      <c r="D179" s="68"/>
      <c r="E179" s="69"/>
      <c r="K179" s="68"/>
      <c r="M179" s="68"/>
      <c r="O179" s="68"/>
      <c r="P179" s="68"/>
      <c r="Q179" s="68"/>
      <c r="R179" s="68"/>
      <c r="S179" s="68"/>
    </row>
    <row r="180" spans="1:19" ht="15.75" customHeight="1">
      <c r="A180" s="68"/>
      <c r="B180" s="68"/>
      <c r="C180" s="5"/>
      <c r="D180" s="68"/>
      <c r="E180" s="69"/>
      <c r="K180" s="68"/>
      <c r="M180" s="68"/>
      <c r="O180" s="68"/>
      <c r="P180" s="68"/>
      <c r="Q180" s="68"/>
      <c r="R180" s="68"/>
      <c r="S180" s="68"/>
    </row>
    <row r="181" spans="1:19" ht="15.75" customHeight="1">
      <c r="A181" s="68"/>
      <c r="B181" s="68"/>
      <c r="C181" s="5"/>
      <c r="D181" s="68"/>
      <c r="E181" s="69"/>
      <c r="K181" s="68"/>
      <c r="M181" s="68"/>
      <c r="O181" s="68"/>
      <c r="P181" s="68"/>
      <c r="Q181" s="68"/>
      <c r="R181" s="68"/>
      <c r="S181" s="68"/>
    </row>
    <row r="182" spans="1:19" ht="15.75" customHeight="1">
      <c r="A182" s="68"/>
      <c r="B182" s="68"/>
      <c r="C182" s="5"/>
      <c r="D182" s="68"/>
      <c r="E182" s="69"/>
      <c r="K182" s="68"/>
      <c r="M182" s="68"/>
      <c r="O182" s="68"/>
      <c r="P182" s="68"/>
      <c r="Q182" s="68"/>
      <c r="R182" s="68"/>
      <c r="S182" s="68"/>
    </row>
    <row r="183" spans="1:19" ht="15.75" customHeight="1">
      <c r="A183" s="68"/>
      <c r="B183" s="68"/>
      <c r="C183" s="5"/>
      <c r="D183" s="68"/>
      <c r="E183" s="69"/>
      <c r="K183" s="68"/>
      <c r="M183" s="68"/>
      <c r="O183" s="68"/>
      <c r="P183" s="68"/>
      <c r="Q183" s="68"/>
      <c r="R183" s="68"/>
      <c r="S183" s="68"/>
    </row>
    <row r="184" spans="1:19" ht="15.75" customHeight="1">
      <c r="A184" s="68"/>
      <c r="B184" s="68"/>
      <c r="C184" s="5"/>
      <c r="D184" s="68"/>
      <c r="E184" s="69"/>
      <c r="K184" s="68"/>
      <c r="M184" s="68"/>
      <c r="O184" s="68"/>
      <c r="P184" s="68"/>
      <c r="Q184" s="68"/>
      <c r="R184" s="68"/>
      <c r="S184" s="68"/>
    </row>
    <row r="185" spans="1:19" ht="15.75" customHeight="1">
      <c r="A185" s="68"/>
      <c r="B185" s="68"/>
      <c r="C185" s="5"/>
      <c r="D185" s="68"/>
      <c r="E185" s="69"/>
      <c r="K185" s="68"/>
      <c r="M185" s="68"/>
      <c r="O185" s="68"/>
      <c r="P185" s="68"/>
      <c r="Q185" s="68"/>
      <c r="R185" s="68"/>
      <c r="S185" s="68"/>
    </row>
    <row r="186" spans="1:19" ht="15.75" customHeight="1">
      <c r="A186" s="68"/>
      <c r="B186" s="68"/>
      <c r="C186" s="5"/>
      <c r="D186" s="68"/>
      <c r="E186" s="69"/>
      <c r="K186" s="68"/>
      <c r="M186" s="68"/>
      <c r="O186" s="68"/>
      <c r="P186" s="68"/>
      <c r="Q186" s="68"/>
      <c r="R186" s="68"/>
      <c r="S186" s="68"/>
    </row>
    <row r="187" spans="1:19" ht="15.75" customHeight="1">
      <c r="A187" s="68"/>
      <c r="B187" s="68"/>
      <c r="C187" s="5"/>
      <c r="D187" s="68"/>
      <c r="E187" s="69"/>
      <c r="K187" s="68"/>
      <c r="M187" s="68"/>
      <c r="O187" s="68"/>
      <c r="P187" s="68"/>
      <c r="Q187" s="68"/>
      <c r="R187" s="68"/>
      <c r="S187" s="68"/>
    </row>
    <row r="188" spans="1:19" ht="15.75" customHeight="1">
      <c r="A188" s="68"/>
      <c r="B188" s="68"/>
      <c r="C188" s="5"/>
      <c r="D188" s="68"/>
      <c r="E188" s="69"/>
      <c r="K188" s="68"/>
      <c r="M188" s="68"/>
      <c r="O188" s="68"/>
      <c r="P188" s="68"/>
      <c r="Q188" s="68"/>
      <c r="R188" s="68"/>
      <c r="S188" s="68"/>
    </row>
    <row r="189" spans="1:19" ht="15.75" customHeight="1">
      <c r="A189" s="68"/>
      <c r="B189" s="68"/>
      <c r="C189" s="5"/>
      <c r="D189" s="68"/>
      <c r="E189" s="69"/>
      <c r="K189" s="68"/>
      <c r="M189" s="68"/>
      <c r="O189" s="68"/>
      <c r="P189" s="68"/>
      <c r="Q189" s="68"/>
      <c r="R189" s="68"/>
      <c r="S189" s="68"/>
    </row>
    <row r="190" spans="1:19" ht="15.75" customHeight="1">
      <c r="A190" s="68"/>
      <c r="B190" s="68"/>
      <c r="C190" s="5"/>
      <c r="D190" s="68"/>
      <c r="E190" s="69"/>
      <c r="K190" s="68"/>
      <c r="M190" s="68"/>
      <c r="O190" s="68"/>
      <c r="P190" s="68"/>
      <c r="Q190" s="68"/>
      <c r="R190" s="68"/>
      <c r="S190" s="68"/>
    </row>
    <row r="191" spans="1:19" ht="15.75" customHeight="1">
      <c r="A191" s="68"/>
      <c r="B191" s="68"/>
      <c r="C191" s="5"/>
      <c r="D191" s="68"/>
      <c r="E191" s="69"/>
      <c r="K191" s="68"/>
      <c r="M191" s="68"/>
      <c r="O191" s="68"/>
      <c r="P191" s="68"/>
      <c r="Q191" s="68"/>
      <c r="R191" s="68"/>
      <c r="S191" s="68"/>
    </row>
    <row r="192" spans="1:19" ht="15.75" customHeight="1">
      <c r="A192" s="68"/>
      <c r="B192" s="68"/>
      <c r="C192" s="5"/>
      <c r="D192" s="68"/>
      <c r="E192" s="69"/>
      <c r="K192" s="68"/>
      <c r="M192" s="68"/>
      <c r="O192" s="68"/>
      <c r="P192" s="68"/>
      <c r="Q192" s="68"/>
      <c r="R192" s="68"/>
      <c r="S192" s="68"/>
    </row>
    <row r="193" spans="1:19" ht="15.75" customHeight="1">
      <c r="A193" s="68"/>
      <c r="B193" s="68"/>
      <c r="C193" s="5"/>
      <c r="D193" s="68"/>
      <c r="E193" s="69"/>
      <c r="K193" s="68"/>
      <c r="M193" s="68"/>
      <c r="O193" s="68"/>
      <c r="P193" s="68"/>
      <c r="Q193" s="68"/>
      <c r="R193" s="68"/>
      <c r="S193" s="68"/>
    </row>
    <row r="194" spans="1:19" ht="15.75" customHeight="1">
      <c r="A194" s="68"/>
      <c r="B194" s="68"/>
      <c r="C194" s="5"/>
      <c r="D194" s="68"/>
      <c r="E194" s="69"/>
      <c r="K194" s="68"/>
      <c r="M194" s="68"/>
      <c r="O194" s="68"/>
      <c r="P194" s="68"/>
      <c r="Q194" s="68"/>
      <c r="R194" s="68"/>
      <c r="S194" s="68"/>
    </row>
    <row r="195" spans="1:19" ht="15.75" customHeight="1">
      <c r="A195" s="68"/>
      <c r="B195" s="68"/>
      <c r="C195" s="5"/>
      <c r="D195" s="68"/>
      <c r="E195" s="69"/>
      <c r="K195" s="68"/>
      <c r="M195" s="68"/>
      <c r="O195" s="68"/>
      <c r="P195" s="68"/>
      <c r="Q195" s="68"/>
      <c r="R195" s="68"/>
      <c r="S195" s="68"/>
    </row>
    <row r="196" spans="1:19" ht="15.75" customHeight="1">
      <c r="A196" s="68"/>
      <c r="B196" s="68"/>
      <c r="C196" s="5"/>
      <c r="D196" s="68"/>
      <c r="E196" s="69"/>
      <c r="K196" s="68"/>
      <c r="M196" s="68"/>
      <c r="O196" s="68"/>
      <c r="P196" s="68"/>
      <c r="Q196" s="68"/>
      <c r="R196" s="68"/>
      <c r="S196" s="68"/>
    </row>
    <row r="197" spans="1:19" ht="15.75" customHeight="1">
      <c r="A197" s="68"/>
      <c r="B197" s="68"/>
      <c r="C197" s="5"/>
      <c r="D197" s="68"/>
      <c r="E197" s="69"/>
      <c r="K197" s="68"/>
      <c r="M197" s="68"/>
      <c r="O197" s="68"/>
      <c r="P197" s="68"/>
      <c r="Q197" s="68"/>
      <c r="R197" s="68"/>
      <c r="S197" s="68"/>
    </row>
    <row r="198" spans="1:19" ht="15.75" customHeight="1">
      <c r="A198" s="68"/>
      <c r="B198" s="68"/>
      <c r="C198" s="5"/>
      <c r="D198" s="68"/>
      <c r="E198" s="69"/>
      <c r="K198" s="68"/>
      <c r="M198" s="68"/>
      <c r="O198" s="68"/>
      <c r="P198" s="68"/>
      <c r="Q198" s="68"/>
      <c r="R198" s="68"/>
      <c r="S198" s="68"/>
    </row>
    <row r="199" spans="1:19" ht="15.75" customHeight="1">
      <c r="A199" s="68"/>
      <c r="B199" s="68"/>
      <c r="C199" s="5"/>
      <c r="D199" s="68"/>
      <c r="E199" s="69"/>
      <c r="K199" s="68"/>
      <c r="M199" s="68"/>
      <c r="O199" s="68"/>
      <c r="P199" s="68"/>
      <c r="Q199" s="68"/>
      <c r="R199" s="68"/>
      <c r="S199" s="68"/>
    </row>
    <row r="200" spans="1:19" ht="15.75" customHeight="1">
      <c r="A200" s="68"/>
      <c r="B200" s="68"/>
      <c r="C200" s="5"/>
      <c r="D200" s="68"/>
      <c r="E200" s="69"/>
      <c r="K200" s="68"/>
      <c r="M200" s="68"/>
      <c r="O200" s="68"/>
      <c r="P200" s="68"/>
      <c r="Q200" s="68"/>
      <c r="R200" s="68"/>
      <c r="S200" s="68"/>
    </row>
    <row r="201" spans="1:19" ht="15.75" customHeight="1">
      <c r="A201" s="68"/>
      <c r="B201" s="68"/>
      <c r="C201" s="5"/>
      <c r="D201" s="68"/>
      <c r="E201" s="69"/>
      <c r="K201" s="68"/>
      <c r="M201" s="68"/>
      <c r="O201" s="68"/>
      <c r="P201" s="68"/>
      <c r="Q201" s="68"/>
      <c r="R201" s="68"/>
      <c r="S201" s="68"/>
    </row>
    <row r="202" spans="1:19" ht="15.75" customHeight="1">
      <c r="A202" s="68"/>
      <c r="B202" s="68"/>
      <c r="C202" s="5"/>
      <c r="D202" s="68"/>
      <c r="E202" s="69"/>
      <c r="K202" s="68"/>
      <c r="M202" s="68"/>
      <c r="O202" s="68"/>
      <c r="P202" s="68"/>
      <c r="Q202" s="68"/>
      <c r="R202" s="68"/>
      <c r="S202" s="68"/>
    </row>
    <row r="203" spans="1:19" ht="15.75" customHeight="1">
      <c r="A203" s="68"/>
      <c r="B203" s="68"/>
      <c r="C203" s="5"/>
      <c r="D203" s="68"/>
      <c r="E203" s="69"/>
      <c r="K203" s="68"/>
      <c r="M203" s="68"/>
      <c r="O203" s="68"/>
      <c r="P203" s="68"/>
      <c r="Q203" s="68"/>
      <c r="R203" s="68"/>
      <c r="S203" s="68"/>
    </row>
    <row r="204" spans="1:19" ht="15.75" customHeight="1">
      <c r="A204" s="68"/>
      <c r="B204" s="68"/>
      <c r="C204" s="5"/>
      <c r="D204" s="68"/>
      <c r="E204" s="69"/>
      <c r="K204" s="68"/>
      <c r="M204" s="68"/>
      <c r="O204" s="68"/>
      <c r="P204" s="68"/>
      <c r="Q204" s="68"/>
      <c r="R204" s="68"/>
      <c r="S204" s="68"/>
    </row>
    <row r="205" spans="1:19" ht="15.75" customHeight="1">
      <c r="A205" s="68"/>
      <c r="B205" s="68"/>
      <c r="C205" s="5"/>
      <c r="D205" s="68"/>
      <c r="E205" s="69"/>
      <c r="K205" s="68"/>
      <c r="M205" s="68"/>
      <c r="O205" s="68"/>
      <c r="P205" s="68"/>
      <c r="Q205" s="68"/>
      <c r="R205" s="68"/>
      <c r="S205" s="68"/>
    </row>
    <row r="206" spans="1:19" ht="15.75" customHeight="1">
      <c r="A206" s="68"/>
      <c r="B206" s="68"/>
      <c r="C206" s="5"/>
      <c r="D206" s="68"/>
      <c r="E206" s="69"/>
      <c r="K206" s="68"/>
      <c r="M206" s="68"/>
      <c r="O206" s="68"/>
      <c r="P206" s="68"/>
      <c r="Q206" s="68"/>
      <c r="R206" s="68"/>
      <c r="S206" s="68"/>
    </row>
    <row r="207" spans="1:19" ht="15.75" customHeight="1">
      <c r="A207" s="68"/>
      <c r="B207" s="68"/>
      <c r="C207" s="5"/>
      <c r="D207" s="68"/>
      <c r="E207" s="69"/>
      <c r="K207" s="68"/>
      <c r="M207" s="68"/>
      <c r="O207" s="68"/>
      <c r="P207" s="68"/>
      <c r="Q207" s="68"/>
      <c r="R207" s="68"/>
      <c r="S207" s="68"/>
    </row>
    <row r="208" spans="1:19" ht="15.75" customHeight="1">
      <c r="A208" s="68"/>
      <c r="B208" s="68"/>
      <c r="C208" s="5"/>
      <c r="D208" s="68"/>
      <c r="E208" s="69"/>
      <c r="K208" s="68"/>
      <c r="M208" s="68"/>
      <c r="O208" s="68"/>
      <c r="P208" s="68"/>
      <c r="Q208" s="68"/>
      <c r="R208" s="68"/>
      <c r="S208" s="68"/>
    </row>
    <row r="209" spans="1:19" ht="15.75" customHeight="1">
      <c r="A209" s="68"/>
      <c r="B209" s="68"/>
      <c r="C209" s="5"/>
      <c r="D209" s="68"/>
      <c r="E209" s="69"/>
      <c r="K209" s="68"/>
      <c r="M209" s="68"/>
      <c r="O209" s="68"/>
      <c r="P209" s="68"/>
      <c r="Q209" s="68"/>
      <c r="R209" s="68"/>
      <c r="S209" s="68"/>
    </row>
    <row r="210" spans="1:19" ht="15.75" customHeight="1">
      <c r="A210" s="68"/>
      <c r="B210" s="68"/>
      <c r="C210" s="5"/>
      <c r="D210" s="68"/>
      <c r="E210" s="69"/>
      <c r="K210" s="68"/>
      <c r="M210" s="68"/>
      <c r="O210" s="68"/>
      <c r="P210" s="68"/>
      <c r="Q210" s="68"/>
      <c r="R210" s="68"/>
      <c r="S210" s="68"/>
    </row>
    <row r="211" spans="1:19" ht="15.75" customHeight="1">
      <c r="A211" s="68"/>
      <c r="B211" s="68"/>
      <c r="C211" s="5"/>
      <c r="D211" s="68"/>
      <c r="E211" s="69"/>
      <c r="K211" s="68"/>
      <c r="M211" s="68"/>
      <c r="O211" s="68"/>
      <c r="P211" s="68"/>
      <c r="Q211" s="68"/>
      <c r="R211" s="68"/>
      <c r="S211" s="68"/>
    </row>
    <row r="212" spans="1:19" ht="15.75" customHeight="1">
      <c r="A212" s="68"/>
      <c r="B212" s="68"/>
      <c r="C212" s="5"/>
      <c r="D212" s="68"/>
      <c r="E212" s="69"/>
      <c r="K212" s="68"/>
      <c r="M212" s="68"/>
      <c r="O212" s="68"/>
      <c r="P212" s="68"/>
      <c r="Q212" s="68"/>
      <c r="R212" s="68"/>
      <c r="S212" s="68"/>
    </row>
    <row r="213" spans="1:19" ht="15.75" customHeight="1">
      <c r="A213" s="68"/>
      <c r="B213" s="68"/>
      <c r="C213" s="5"/>
      <c r="D213" s="68"/>
      <c r="E213" s="69"/>
      <c r="K213" s="68"/>
      <c r="M213" s="68"/>
      <c r="O213" s="68"/>
      <c r="P213" s="68"/>
      <c r="Q213" s="68"/>
      <c r="R213" s="68"/>
      <c r="S213" s="68"/>
    </row>
    <row r="214" spans="1:19" ht="15.75" customHeight="1">
      <c r="A214" s="68"/>
      <c r="B214" s="68"/>
      <c r="C214" s="5"/>
      <c r="D214" s="68"/>
      <c r="E214" s="69"/>
      <c r="K214" s="68"/>
      <c r="M214" s="68"/>
      <c r="O214" s="68"/>
      <c r="P214" s="68"/>
      <c r="Q214" s="68"/>
      <c r="R214" s="68"/>
      <c r="S214" s="68"/>
    </row>
    <row r="215" spans="1:19" ht="15.75" customHeight="1">
      <c r="A215" s="68"/>
      <c r="B215" s="68"/>
      <c r="C215" s="5"/>
      <c r="D215" s="68"/>
      <c r="E215" s="69"/>
      <c r="K215" s="68"/>
      <c r="M215" s="68"/>
      <c r="O215" s="68"/>
      <c r="P215" s="68"/>
      <c r="Q215" s="68"/>
      <c r="R215" s="68"/>
      <c r="S215" s="68"/>
    </row>
    <row r="216" spans="1:19" ht="15.75" customHeight="1">
      <c r="A216" s="68"/>
      <c r="B216" s="68"/>
      <c r="C216" s="5"/>
      <c r="D216" s="68"/>
      <c r="E216" s="69"/>
      <c r="K216" s="68"/>
      <c r="M216" s="68"/>
      <c r="O216" s="68"/>
      <c r="P216" s="68"/>
      <c r="Q216" s="68"/>
      <c r="R216" s="68"/>
      <c r="S216" s="68"/>
    </row>
    <row r="217" spans="1:19" ht="15.75" customHeight="1">
      <c r="A217" s="68"/>
      <c r="B217" s="68"/>
      <c r="C217" s="5"/>
      <c r="D217" s="68"/>
      <c r="E217" s="69"/>
      <c r="K217" s="68"/>
      <c r="M217" s="68"/>
      <c r="O217" s="68"/>
      <c r="P217" s="68"/>
      <c r="Q217" s="68"/>
      <c r="R217" s="68"/>
      <c r="S217" s="68"/>
    </row>
    <row r="218" spans="1:19" ht="15.75" customHeight="1">
      <c r="A218" s="68"/>
      <c r="B218" s="68"/>
      <c r="C218" s="5"/>
      <c r="D218" s="68"/>
      <c r="E218" s="69"/>
      <c r="K218" s="68"/>
      <c r="M218" s="68"/>
      <c r="O218" s="68"/>
      <c r="P218" s="68"/>
      <c r="Q218" s="68"/>
      <c r="R218" s="68"/>
      <c r="S218" s="68"/>
    </row>
    <row r="219" spans="1:19" ht="15.75" customHeight="1">
      <c r="A219" s="68"/>
      <c r="B219" s="68"/>
      <c r="C219" s="5"/>
      <c r="D219" s="68"/>
      <c r="E219" s="69"/>
      <c r="K219" s="68"/>
      <c r="M219" s="68"/>
      <c r="O219" s="68"/>
      <c r="P219" s="68"/>
      <c r="Q219" s="68"/>
      <c r="R219" s="68"/>
      <c r="S219" s="68"/>
    </row>
    <row r="220" spans="1:19" ht="15.75" customHeight="1">
      <c r="A220" s="68"/>
      <c r="B220" s="68"/>
      <c r="C220" s="5"/>
      <c r="D220" s="68"/>
      <c r="E220" s="69"/>
      <c r="K220" s="68"/>
      <c r="M220" s="68"/>
      <c r="O220" s="68"/>
      <c r="P220" s="68"/>
      <c r="Q220" s="68"/>
      <c r="R220" s="68"/>
      <c r="S220" s="68"/>
    </row>
    <row r="221" spans="1:19" ht="15.75" customHeight="1">
      <c r="A221" s="68"/>
      <c r="B221" s="68"/>
      <c r="C221" s="5"/>
      <c r="D221" s="68"/>
      <c r="E221" s="69"/>
      <c r="K221" s="68"/>
      <c r="M221" s="68"/>
      <c r="O221" s="68"/>
      <c r="P221" s="68"/>
      <c r="Q221" s="68"/>
      <c r="R221" s="68"/>
      <c r="S221" s="68"/>
    </row>
    <row r="222" spans="1:19" ht="15.75" customHeight="1">
      <c r="A222" s="68"/>
      <c r="B222" s="68"/>
      <c r="C222" s="5"/>
      <c r="D222" s="68"/>
      <c r="E222" s="69"/>
      <c r="K222" s="68"/>
      <c r="M222" s="68"/>
      <c r="O222" s="68"/>
      <c r="P222" s="68"/>
      <c r="Q222" s="68"/>
      <c r="R222" s="68"/>
      <c r="S222" s="68"/>
    </row>
    <row r="223" spans="1:19" ht="15.75" customHeight="1">
      <c r="A223" s="68"/>
      <c r="B223" s="68"/>
      <c r="C223" s="5"/>
      <c r="D223" s="68"/>
      <c r="E223" s="69"/>
      <c r="K223" s="68"/>
      <c r="M223" s="68"/>
      <c r="O223" s="68"/>
      <c r="P223" s="68"/>
      <c r="Q223" s="68"/>
      <c r="R223" s="68"/>
      <c r="S223" s="68"/>
    </row>
    <row r="224" spans="1:19" ht="15.75" customHeight="1">
      <c r="A224" s="68"/>
      <c r="B224" s="68"/>
      <c r="C224" s="5"/>
      <c r="D224" s="68"/>
      <c r="E224" s="69"/>
      <c r="K224" s="68"/>
      <c r="M224" s="68"/>
      <c r="O224" s="68"/>
      <c r="P224" s="68"/>
      <c r="Q224" s="68"/>
      <c r="R224" s="68"/>
      <c r="S224" s="68"/>
    </row>
    <row r="225" spans="1:19" ht="15.75" customHeight="1">
      <c r="A225" s="68"/>
      <c r="B225" s="68"/>
      <c r="C225" s="5"/>
      <c r="D225" s="68"/>
      <c r="E225" s="69"/>
      <c r="K225" s="68"/>
      <c r="M225" s="68"/>
      <c r="O225" s="68"/>
      <c r="P225" s="68"/>
      <c r="Q225" s="68"/>
      <c r="R225" s="68"/>
      <c r="S225" s="68"/>
    </row>
    <row r="226" spans="1:19" ht="15.75" customHeight="1">
      <c r="A226" s="68"/>
      <c r="B226" s="68"/>
      <c r="C226" s="5"/>
      <c r="D226" s="68"/>
      <c r="E226" s="69"/>
      <c r="K226" s="68"/>
      <c r="M226" s="68"/>
      <c r="O226" s="68"/>
      <c r="P226" s="68"/>
      <c r="Q226" s="68"/>
      <c r="R226" s="68"/>
      <c r="S226" s="68"/>
    </row>
    <row r="227" spans="1:19" ht="15.75" customHeight="1">
      <c r="A227" s="68"/>
      <c r="B227" s="68"/>
      <c r="C227" s="5"/>
      <c r="D227" s="68"/>
      <c r="E227" s="69"/>
      <c r="K227" s="68"/>
      <c r="M227" s="68"/>
      <c r="O227" s="68"/>
      <c r="P227" s="68"/>
      <c r="Q227" s="68"/>
      <c r="R227" s="68"/>
      <c r="S227" s="68"/>
    </row>
    <row r="228" spans="1:19" ht="15.75" customHeight="1">
      <c r="A228" s="68"/>
      <c r="B228" s="68"/>
      <c r="C228" s="5"/>
      <c r="D228" s="68"/>
      <c r="E228" s="69"/>
      <c r="K228" s="68"/>
      <c r="M228" s="68"/>
      <c r="O228" s="68"/>
      <c r="P228" s="68"/>
      <c r="Q228" s="68"/>
      <c r="R228" s="68"/>
      <c r="S228" s="68"/>
    </row>
    <row r="229" spans="1:19" ht="15.75" customHeight="1">
      <c r="A229" s="68"/>
      <c r="B229" s="68"/>
      <c r="C229" s="5"/>
      <c r="D229" s="68"/>
      <c r="E229" s="69"/>
      <c r="K229" s="68"/>
      <c r="M229" s="68"/>
      <c r="O229" s="68"/>
      <c r="P229" s="68"/>
      <c r="Q229" s="68"/>
      <c r="R229" s="68"/>
      <c r="S229" s="68"/>
    </row>
    <row r="230" spans="1:19" ht="15.75" customHeight="1">
      <c r="A230" s="68"/>
      <c r="B230" s="68"/>
      <c r="C230" s="5"/>
      <c r="D230" s="68"/>
      <c r="E230" s="69"/>
      <c r="K230" s="68"/>
      <c r="M230" s="68"/>
      <c r="O230" s="68"/>
      <c r="P230" s="68"/>
      <c r="Q230" s="68"/>
      <c r="R230" s="68"/>
      <c r="S230" s="68"/>
    </row>
    <row r="231" spans="1:19" ht="15.75" customHeight="1">
      <c r="A231" s="68"/>
      <c r="B231" s="68"/>
      <c r="C231" s="5"/>
      <c r="D231" s="68"/>
      <c r="E231" s="69"/>
      <c r="K231" s="68"/>
      <c r="M231" s="68"/>
      <c r="O231" s="68"/>
      <c r="P231" s="68"/>
      <c r="Q231" s="68"/>
      <c r="R231" s="68"/>
      <c r="S231" s="68"/>
    </row>
    <row r="232" spans="1:19" ht="15.75" customHeight="1">
      <c r="A232" s="68"/>
      <c r="B232" s="68"/>
      <c r="C232" s="5"/>
      <c r="D232" s="68"/>
      <c r="E232" s="69"/>
      <c r="K232" s="68"/>
      <c r="M232" s="68"/>
      <c r="O232" s="68"/>
      <c r="P232" s="68"/>
      <c r="Q232" s="68"/>
      <c r="R232" s="68"/>
      <c r="S232" s="68"/>
    </row>
    <row r="233" spans="1:19" ht="15.75" customHeight="1">
      <c r="A233" s="68"/>
      <c r="B233" s="68"/>
      <c r="C233" s="5"/>
      <c r="D233" s="68"/>
      <c r="E233" s="69"/>
      <c r="K233" s="68"/>
      <c r="M233" s="68"/>
      <c r="O233" s="68"/>
      <c r="P233" s="68"/>
      <c r="Q233" s="68"/>
      <c r="R233" s="68"/>
      <c r="S233" s="68"/>
    </row>
    <row r="234" spans="1:19" ht="15.75" customHeight="1">
      <c r="A234" s="68"/>
      <c r="B234" s="68"/>
      <c r="C234" s="5"/>
      <c r="D234" s="68"/>
      <c r="E234" s="69"/>
      <c r="K234" s="68"/>
      <c r="M234" s="68"/>
      <c r="O234" s="68"/>
      <c r="P234" s="68"/>
      <c r="Q234" s="68"/>
      <c r="R234" s="68"/>
      <c r="S234" s="68"/>
    </row>
    <row r="235" spans="1:19" ht="15.75" customHeight="1">
      <c r="A235" s="68"/>
      <c r="B235" s="68"/>
      <c r="C235" s="5"/>
      <c r="D235" s="68"/>
      <c r="E235" s="69"/>
      <c r="K235" s="68"/>
      <c r="M235" s="68"/>
      <c r="O235" s="68"/>
      <c r="P235" s="68"/>
      <c r="Q235" s="68"/>
      <c r="R235" s="68"/>
      <c r="S235" s="68"/>
    </row>
    <row r="236" spans="1:19" ht="15.75" customHeight="1">
      <c r="A236" s="68"/>
      <c r="B236" s="68"/>
      <c r="C236" s="5"/>
      <c r="D236" s="68"/>
      <c r="E236" s="69"/>
      <c r="K236" s="68"/>
      <c r="M236" s="68"/>
      <c r="O236" s="68"/>
      <c r="P236" s="68"/>
      <c r="Q236" s="68"/>
      <c r="R236" s="68"/>
      <c r="S236" s="68"/>
    </row>
    <row r="237" spans="1:19" ht="15.75" customHeight="1">
      <c r="A237" s="68"/>
      <c r="B237" s="68"/>
      <c r="C237" s="5"/>
      <c r="D237" s="68"/>
      <c r="E237" s="69"/>
      <c r="K237" s="68"/>
      <c r="M237" s="68"/>
      <c r="O237" s="68"/>
      <c r="P237" s="68"/>
      <c r="Q237" s="68"/>
      <c r="R237" s="68"/>
      <c r="S237" s="68"/>
    </row>
    <row r="238" spans="1:19" ht="15.75" customHeight="1">
      <c r="A238" s="68"/>
      <c r="B238" s="68"/>
      <c r="C238" s="5"/>
      <c r="D238" s="68"/>
      <c r="E238" s="69"/>
      <c r="K238" s="68"/>
      <c r="M238" s="68"/>
      <c r="O238" s="68"/>
      <c r="P238" s="68"/>
      <c r="Q238" s="68"/>
      <c r="R238" s="68"/>
      <c r="S238" s="68"/>
    </row>
    <row r="239" spans="1:19" ht="15.75" customHeight="1">
      <c r="A239" s="68"/>
      <c r="B239" s="68"/>
      <c r="C239" s="5"/>
      <c r="D239" s="68"/>
      <c r="E239" s="69"/>
      <c r="K239" s="68"/>
      <c r="M239" s="68"/>
      <c r="O239" s="68"/>
      <c r="P239" s="68"/>
      <c r="Q239" s="68"/>
      <c r="R239" s="68"/>
      <c r="S239" s="68"/>
    </row>
    <row r="240" spans="1:19" ht="15.75" customHeight="1">
      <c r="A240" s="68"/>
      <c r="B240" s="68"/>
      <c r="C240" s="5"/>
      <c r="D240" s="68"/>
      <c r="E240" s="69"/>
      <c r="K240" s="68"/>
      <c r="M240" s="68"/>
      <c r="O240" s="68"/>
      <c r="P240" s="68"/>
      <c r="Q240" s="68"/>
      <c r="R240" s="68"/>
      <c r="S240" s="68"/>
    </row>
    <row r="241" spans="1:19" ht="15.75" customHeight="1">
      <c r="A241" s="68"/>
      <c r="B241" s="68"/>
      <c r="C241" s="5"/>
      <c r="D241" s="68"/>
      <c r="E241" s="69"/>
      <c r="K241" s="68"/>
      <c r="M241" s="68"/>
      <c r="O241" s="68"/>
      <c r="P241" s="68"/>
      <c r="Q241" s="68"/>
      <c r="R241" s="68"/>
      <c r="S241" s="68"/>
    </row>
    <row r="242" spans="1:19" ht="15.75" customHeight="1">
      <c r="A242" s="68"/>
      <c r="B242" s="68"/>
      <c r="C242" s="5"/>
      <c r="D242" s="68"/>
      <c r="E242" s="69"/>
      <c r="K242" s="68"/>
      <c r="M242" s="68"/>
      <c r="O242" s="68"/>
      <c r="P242" s="68"/>
      <c r="Q242" s="68"/>
      <c r="R242" s="68"/>
      <c r="S242" s="68"/>
    </row>
    <row r="243" spans="1:19" ht="15.75" customHeight="1">
      <c r="A243" s="68"/>
      <c r="B243" s="68"/>
      <c r="C243" s="5"/>
      <c r="D243" s="68"/>
      <c r="E243" s="69"/>
      <c r="K243" s="68"/>
      <c r="M243" s="68"/>
      <c r="O243" s="68"/>
      <c r="P243" s="68"/>
      <c r="Q243" s="68"/>
      <c r="R243" s="68"/>
      <c r="S243" s="68"/>
    </row>
    <row r="244" spans="1:19" ht="15.75" customHeight="1">
      <c r="A244" s="68"/>
      <c r="B244" s="68"/>
      <c r="C244" s="5"/>
      <c r="D244" s="68"/>
      <c r="E244" s="69"/>
      <c r="K244" s="68"/>
      <c r="M244" s="68"/>
      <c r="O244" s="68"/>
      <c r="P244" s="68"/>
      <c r="Q244" s="68"/>
      <c r="R244" s="68"/>
      <c r="S244" s="68"/>
    </row>
    <row r="245" spans="1:19" ht="15.75" customHeight="1">
      <c r="A245" s="68"/>
      <c r="B245" s="68"/>
      <c r="C245" s="5"/>
      <c r="D245" s="68"/>
      <c r="E245" s="69"/>
      <c r="K245" s="68"/>
      <c r="M245" s="68"/>
      <c r="O245" s="68"/>
      <c r="P245" s="68"/>
      <c r="Q245" s="68"/>
      <c r="R245" s="68"/>
      <c r="S245" s="68"/>
    </row>
    <row r="246" spans="1:19" ht="15.75" customHeight="1">
      <c r="A246" s="68"/>
      <c r="B246" s="68"/>
      <c r="C246" s="5"/>
      <c r="D246" s="68"/>
      <c r="E246" s="69"/>
      <c r="K246" s="68"/>
      <c r="M246" s="68"/>
      <c r="O246" s="68"/>
      <c r="P246" s="68"/>
      <c r="Q246" s="68"/>
      <c r="R246" s="68"/>
      <c r="S246" s="68"/>
    </row>
    <row r="247" spans="1:19" ht="15.75" customHeight="1">
      <c r="A247" s="68"/>
      <c r="B247" s="68"/>
      <c r="C247" s="5"/>
      <c r="D247" s="68"/>
      <c r="E247" s="69"/>
      <c r="K247" s="68"/>
      <c r="M247" s="68"/>
      <c r="O247" s="68"/>
      <c r="P247" s="68"/>
      <c r="Q247" s="68"/>
      <c r="R247" s="68"/>
      <c r="S247" s="68"/>
    </row>
    <row r="248" spans="1:19" ht="15.75" customHeight="1">
      <c r="A248" s="68"/>
      <c r="B248" s="68"/>
      <c r="C248" s="5"/>
      <c r="D248" s="68"/>
      <c r="E248" s="69"/>
      <c r="K248" s="68"/>
      <c r="M248" s="68"/>
      <c r="O248" s="68"/>
      <c r="P248" s="68"/>
      <c r="Q248" s="68"/>
      <c r="R248" s="68"/>
      <c r="S248" s="68"/>
    </row>
    <row r="249" spans="1:19" ht="15.75" customHeight="1">
      <c r="A249" s="68"/>
      <c r="B249" s="68"/>
      <c r="C249" s="5"/>
      <c r="D249" s="68"/>
      <c r="E249" s="69"/>
      <c r="K249" s="68"/>
      <c r="M249" s="68"/>
      <c r="O249" s="68"/>
      <c r="P249" s="68"/>
      <c r="Q249" s="68"/>
      <c r="R249" s="68"/>
      <c r="S249" s="68"/>
    </row>
    <row r="250" spans="1:19" ht="15.75" customHeight="1">
      <c r="A250" s="68"/>
      <c r="B250" s="68"/>
      <c r="C250" s="5"/>
      <c r="D250" s="68"/>
      <c r="E250" s="69"/>
      <c r="K250" s="68"/>
      <c r="M250" s="68"/>
      <c r="O250" s="68"/>
      <c r="P250" s="68"/>
      <c r="Q250" s="68"/>
      <c r="R250" s="68"/>
      <c r="S250" s="68"/>
    </row>
    <row r="251" spans="1:19" ht="15.75" customHeight="1">
      <c r="A251" s="68"/>
      <c r="B251" s="68"/>
      <c r="C251" s="5"/>
      <c r="D251" s="68"/>
      <c r="E251" s="69"/>
      <c r="K251" s="68"/>
      <c r="M251" s="68"/>
      <c r="O251" s="68"/>
      <c r="P251" s="68"/>
      <c r="Q251" s="68"/>
      <c r="R251" s="68"/>
      <c r="S251" s="68"/>
    </row>
    <row r="252" spans="1:19" ht="15.75" customHeight="1">
      <c r="A252" s="68"/>
      <c r="B252" s="68"/>
      <c r="C252" s="5"/>
      <c r="D252" s="68"/>
      <c r="E252" s="69"/>
      <c r="K252" s="68"/>
      <c r="M252" s="68"/>
      <c r="O252" s="68"/>
      <c r="P252" s="68"/>
      <c r="Q252" s="68"/>
      <c r="R252" s="68"/>
      <c r="S252" s="68"/>
    </row>
    <row r="253" spans="1:19" ht="15.75" customHeight="1">
      <c r="A253" s="68"/>
      <c r="B253" s="68"/>
      <c r="C253" s="5"/>
      <c r="D253" s="68"/>
      <c r="E253" s="69"/>
      <c r="K253" s="68"/>
      <c r="M253" s="68"/>
      <c r="O253" s="68"/>
      <c r="P253" s="68"/>
      <c r="Q253" s="68"/>
      <c r="R253" s="68"/>
      <c r="S253" s="68"/>
    </row>
    <row r="254" spans="1:19" ht="15.75" customHeight="1">
      <c r="A254" s="68"/>
      <c r="B254" s="68"/>
      <c r="C254" s="5"/>
      <c r="D254" s="68"/>
      <c r="E254" s="69"/>
      <c r="K254" s="68"/>
      <c r="M254" s="68"/>
      <c r="O254" s="68"/>
      <c r="P254" s="68"/>
      <c r="Q254" s="68"/>
      <c r="R254" s="68"/>
      <c r="S254" s="68"/>
    </row>
    <row r="255" spans="1:19" ht="15.75" customHeight="1">
      <c r="A255" s="68"/>
      <c r="B255" s="68"/>
      <c r="C255" s="5"/>
      <c r="D255" s="68"/>
      <c r="E255" s="69"/>
      <c r="K255" s="68"/>
      <c r="M255" s="68"/>
      <c r="O255" s="68"/>
      <c r="P255" s="68"/>
      <c r="Q255" s="68"/>
      <c r="R255" s="68"/>
      <c r="S255" s="68"/>
    </row>
    <row r="256" spans="1:19" ht="15.75" customHeight="1">
      <c r="A256" s="68"/>
      <c r="B256" s="68"/>
      <c r="C256" s="5"/>
      <c r="D256" s="68"/>
      <c r="E256" s="69"/>
      <c r="K256" s="68"/>
      <c r="M256" s="68"/>
      <c r="O256" s="68"/>
      <c r="P256" s="68"/>
      <c r="Q256" s="68"/>
      <c r="R256" s="68"/>
      <c r="S256" s="68"/>
    </row>
    <row r="257" spans="1:19" ht="15.75" customHeight="1">
      <c r="A257" s="68"/>
      <c r="B257" s="68"/>
      <c r="C257" s="5"/>
      <c r="D257" s="68"/>
      <c r="E257" s="69"/>
      <c r="K257" s="68"/>
      <c r="M257" s="68"/>
      <c r="O257" s="68"/>
      <c r="P257" s="68"/>
      <c r="Q257" s="68"/>
      <c r="R257" s="68"/>
      <c r="S257" s="68"/>
    </row>
    <row r="258" spans="1:19" ht="15.75" customHeight="1">
      <c r="A258" s="68"/>
      <c r="B258" s="68"/>
      <c r="C258" s="5"/>
      <c r="D258" s="68"/>
      <c r="E258" s="69"/>
      <c r="K258" s="68"/>
      <c r="M258" s="68"/>
      <c r="O258" s="68"/>
      <c r="P258" s="68"/>
      <c r="Q258" s="68"/>
      <c r="R258" s="68"/>
      <c r="S258" s="68"/>
    </row>
    <row r="259" spans="1:19" ht="15.75" customHeight="1">
      <c r="A259" s="68"/>
      <c r="B259" s="68"/>
      <c r="C259" s="5"/>
      <c r="D259" s="68"/>
      <c r="E259" s="69"/>
      <c r="K259" s="68"/>
      <c r="M259" s="68"/>
      <c r="O259" s="68"/>
      <c r="P259" s="68"/>
      <c r="Q259" s="68"/>
      <c r="R259" s="68"/>
      <c r="S259" s="68"/>
    </row>
    <row r="260" spans="1:19" ht="15.75" customHeight="1">
      <c r="A260" s="68"/>
      <c r="B260" s="68"/>
      <c r="C260" s="5"/>
      <c r="D260" s="68"/>
      <c r="E260" s="69"/>
      <c r="K260" s="68"/>
      <c r="M260" s="68"/>
      <c r="O260" s="68"/>
      <c r="P260" s="68"/>
      <c r="Q260" s="68"/>
      <c r="R260" s="68"/>
      <c r="S260" s="68"/>
    </row>
    <row r="261" spans="1:19" ht="15.75" customHeight="1">
      <c r="A261" s="68"/>
      <c r="B261" s="68"/>
      <c r="C261" s="5"/>
      <c r="D261" s="68"/>
      <c r="E261" s="69"/>
      <c r="K261" s="68"/>
      <c r="M261" s="68"/>
      <c r="O261" s="68"/>
      <c r="P261" s="68"/>
      <c r="Q261" s="68"/>
      <c r="R261" s="68"/>
      <c r="S261" s="68"/>
    </row>
    <row r="262" spans="1:19" ht="15.75" customHeight="1">
      <c r="A262" s="68"/>
      <c r="B262" s="68"/>
      <c r="C262" s="5"/>
      <c r="D262" s="68"/>
      <c r="E262" s="69"/>
      <c r="K262" s="68"/>
      <c r="M262" s="68"/>
      <c r="O262" s="68"/>
      <c r="P262" s="68"/>
      <c r="Q262" s="68"/>
      <c r="R262" s="68"/>
      <c r="S262" s="68"/>
    </row>
    <row r="263" spans="1:19" ht="15.75" customHeight="1">
      <c r="A263" s="68"/>
      <c r="B263" s="68"/>
      <c r="C263" s="5"/>
      <c r="D263" s="68"/>
      <c r="E263" s="69"/>
      <c r="K263" s="68"/>
      <c r="M263" s="68"/>
      <c r="O263" s="68"/>
      <c r="P263" s="68"/>
      <c r="Q263" s="68"/>
      <c r="R263" s="68"/>
      <c r="S263" s="68"/>
    </row>
    <row r="264" spans="1:19" ht="15.75" customHeight="1">
      <c r="A264" s="68"/>
      <c r="B264" s="68"/>
      <c r="C264" s="5"/>
      <c r="D264" s="68"/>
      <c r="E264" s="69"/>
      <c r="K264" s="68"/>
      <c r="M264" s="68"/>
      <c r="O264" s="68"/>
      <c r="P264" s="68"/>
      <c r="Q264" s="68"/>
      <c r="R264" s="68"/>
      <c r="S264" s="68"/>
    </row>
    <row r="265" spans="1:19" ht="15.75" customHeight="1">
      <c r="A265" s="68"/>
      <c r="B265" s="68"/>
      <c r="C265" s="5"/>
      <c r="D265" s="68"/>
      <c r="E265" s="69"/>
      <c r="K265" s="68"/>
      <c r="M265" s="68"/>
      <c r="O265" s="68"/>
      <c r="P265" s="68"/>
      <c r="Q265" s="68"/>
      <c r="R265" s="68"/>
      <c r="S265" s="68"/>
    </row>
    <row r="266" spans="1:19" ht="15.75" customHeight="1">
      <c r="A266" s="68"/>
      <c r="B266" s="68"/>
      <c r="C266" s="5"/>
      <c r="D266" s="68"/>
      <c r="E266" s="69"/>
      <c r="K266" s="68"/>
      <c r="M266" s="68"/>
      <c r="O266" s="68"/>
      <c r="P266" s="68"/>
      <c r="Q266" s="68"/>
      <c r="R266" s="68"/>
      <c r="S266" s="68"/>
    </row>
    <row r="267" spans="1:19" ht="15.75" customHeight="1">
      <c r="A267" s="68"/>
      <c r="B267" s="68"/>
      <c r="C267" s="5"/>
      <c r="D267" s="68"/>
      <c r="E267" s="69"/>
      <c r="K267" s="68"/>
      <c r="M267" s="68"/>
      <c r="O267" s="68"/>
      <c r="P267" s="68"/>
      <c r="Q267" s="68"/>
      <c r="R267" s="68"/>
      <c r="S267" s="68"/>
    </row>
    <row r="268" spans="1:19" ht="15.75" customHeight="1">
      <c r="A268" s="68"/>
      <c r="B268" s="68"/>
      <c r="C268" s="5"/>
      <c r="D268" s="68"/>
      <c r="E268" s="69"/>
      <c r="K268" s="68"/>
      <c r="M268" s="68"/>
      <c r="O268" s="68"/>
      <c r="P268" s="68"/>
      <c r="Q268" s="68"/>
      <c r="R268" s="68"/>
      <c r="S268" s="68"/>
    </row>
    <row r="269" spans="1:19" ht="15.75" customHeight="1">
      <c r="A269" s="68"/>
      <c r="B269" s="68"/>
      <c r="C269" s="5"/>
      <c r="D269" s="68"/>
      <c r="E269" s="69"/>
      <c r="K269" s="68"/>
      <c r="M269" s="68"/>
      <c r="O269" s="68"/>
      <c r="P269" s="68"/>
      <c r="Q269" s="68"/>
      <c r="R269" s="68"/>
      <c r="S269" s="68"/>
    </row>
    <row r="270" spans="1:19" ht="15.75" customHeight="1">
      <c r="A270" s="68"/>
      <c r="B270" s="68"/>
      <c r="C270" s="5"/>
      <c r="D270" s="68"/>
      <c r="E270" s="69"/>
      <c r="K270" s="68"/>
      <c r="M270" s="68"/>
      <c r="O270" s="68"/>
      <c r="P270" s="68"/>
      <c r="Q270" s="68"/>
      <c r="R270" s="68"/>
      <c r="S270" s="68"/>
    </row>
    <row r="271" spans="1:19" ht="15.75" customHeight="1">
      <c r="A271" s="68"/>
      <c r="B271" s="68"/>
      <c r="C271" s="5"/>
      <c r="D271" s="68"/>
      <c r="E271" s="69"/>
      <c r="K271" s="68"/>
      <c r="M271" s="68"/>
      <c r="O271" s="68"/>
      <c r="P271" s="68"/>
      <c r="Q271" s="68"/>
      <c r="R271" s="68"/>
      <c r="S271" s="68"/>
    </row>
    <row r="272" spans="1:19" ht="15.75" customHeight="1">
      <c r="A272" s="68"/>
      <c r="B272" s="68"/>
      <c r="C272" s="5"/>
      <c r="D272" s="68"/>
      <c r="E272" s="69"/>
      <c r="K272" s="68"/>
      <c r="M272" s="68"/>
      <c r="O272" s="68"/>
      <c r="P272" s="68"/>
      <c r="Q272" s="68"/>
      <c r="R272" s="68"/>
      <c r="S272" s="68"/>
    </row>
    <row r="273" spans="1:19" ht="15.75" customHeight="1">
      <c r="A273" s="68"/>
      <c r="B273" s="68"/>
      <c r="C273" s="5"/>
      <c r="D273" s="68"/>
      <c r="E273" s="69"/>
      <c r="K273" s="68"/>
      <c r="M273" s="68"/>
      <c r="O273" s="68"/>
      <c r="P273" s="68"/>
      <c r="Q273" s="68"/>
      <c r="R273" s="68"/>
      <c r="S273" s="68"/>
    </row>
    <row r="274" spans="1:19" ht="15.75" customHeight="1">
      <c r="A274" s="68"/>
      <c r="B274" s="68"/>
      <c r="C274" s="5"/>
      <c r="D274" s="68"/>
      <c r="E274" s="69"/>
      <c r="K274" s="68"/>
      <c r="M274" s="68"/>
      <c r="O274" s="68"/>
      <c r="P274" s="68"/>
      <c r="Q274" s="68"/>
      <c r="R274" s="68"/>
      <c r="S274" s="68"/>
    </row>
    <row r="275" spans="1:19" ht="15.75" customHeight="1">
      <c r="A275" s="68"/>
      <c r="B275" s="68"/>
      <c r="C275" s="5"/>
      <c r="D275" s="68"/>
      <c r="E275" s="69"/>
      <c r="K275" s="68"/>
      <c r="M275" s="68"/>
      <c r="O275" s="68"/>
      <c r="P275" s="68"/>
      <c r="Q275" s="68"/>
      <c r="R275" s="68"/>
      <c r="S275" s="68"/>
    </row>
    <row r="276" spans="1:19" ht="15.75" customHeight="1">
      <c r="A276" s="68"/>
      <c r="B276" s="68"/>
      <c r="C276" s="5"/>
      <c r="D276" s="68"/>
      <c r="E276" s="69"/>
      <c r="K276" s="68"/>
      <c r="M276" s="68"/>
      <c r="O276" s="68"/>
      <c r="P276" s="68"/>
      <c r="Q276" s="68"/>
      <c r="R276" s="68"/>
      <c r="S276" s="68"/>
    </row>
    <row r="277" spans="1:19" ht="15.75" customHeight="1">
      <c r="A277" s="68"/>
      <c r="B277" s="68"/>
      <c r="C277" s="5"/>
      <c r="D277" s="68"/>
      <c r="E277" s="69"/>
      <c r="K277" s="68"/>
      <c r="M277" s="68"/>
      <c r="O277" s="68"/>
      <c r="P277" s="68"/>
      <c r="Q277" s="68"/>
      <c r="R277" s="68"/>
      <c r="S277" s="68"/>
    </row>
    <row r="278" spans="1:19" ht="15.75" customHeight="1">
      <c r="A278" s="68"/>
      <c r="B278" s="68"/>
      <c r="C278" s="5"/>
      <c r="D278" s="68"/>
      <c r="E278" s="69"/>
      <c r="K278" s="68"/>
      <c r="M278" s="68"/>
      <c r="O278" s="68"/>
      <c r="P278" s="68"/>
      <c r="Q278" s="68"/>
      <c r="R278" s="68"/>
      <c r="S278" s="68"/>
    </row>
    <row r="279" spans="1:19" ht="15.75" customHeight="1">
      <c r="A279" s="68"/>
      <c r="B279" s="68"/>
      <c r="C279" s="5"/>
      <c r="D279" s="68"/>
      <c r="E279" s="69"/>
      <c r="K279" s="68"/>
      <c r="M279" s="68"/>
      <c r="O279" s="68"/>
      <c r="P279" s="68"/>
      <c r="Q279" s="68"/>
      <c r="R279" s="68"/>
      <c r="S279" s="68"/>
    </row>
    <row r="280" spans="1:19" ht="15.75" customHeight="1">
      <c r="A280" s="68"/>
      <c r="B280" s="68"/>
      <c r="C280" s="5"/>
      <c r="D280" s="68"/>
      <c r="E280" s="69"/>
      <c r="K280" s="68"/>
      <c r="M280" s="68"/>
      <c r="O280" s="68"/>
      <c r="P280" s="68"/>
      <c r="Q280" s="68"/>
      <c r="R280" s="68"/>
      <c r="S280" s="68"/>
    </row>
    <row r="281" spans="1:19" ht="15.75" customHeight="1">
      <c r="A281" s="68"/>
      <c r="B281" s="68"/>
      <c r="C281" s="5"/>
      <c r="D281" s="68"/>
      <c r="E281" s="69"/>
      <c r="K281" s="68"/>
      <c r="M281" s="68"/>
      <c r="O281" s="68"/>
      <c r="P281" s="68"/>
      <c r="Q281" s="68"/>
      <c r="R281" s="68"/>
      <c r="S281" s="68"/>
    </row>
    <row r="282" spans="1:19" ht="15.75" customHeight="1">
      <c r="A282" s="68"/>
      <c r="B282" s="68"/>
      <c r="C282" s="5"/>
      <c r="D282" s="68"/>
      <c r="E282" s="69"/>
      <c r="K282" s="68"/>
      <c r="M282" s="68"/>
      <c r="O282" s="68"/>
      <c r="P282" s="68"/>
      <c r="Q282" s="68"/>
      <c r="R282" s="68"/>
      <c r="S282" s="68"/>
    </row>
    <row r="283" spans="1:19" ht="15.75" customHeight="1">
      <c r="A283" s="68"/>
      <c r="B283" s="68"/>
      <c r="C283" s="5"/>
      <c r="D283" s="68"/>
      <c r="E283" s="69"/>
      <c r="K283" s="68"/>
      <c r="M283" s="68"/>
      <c r="O283" s="68"/>
      <c r="P283" s="68"/>
      <c r="Q283" s="68"/>
      <c r="R283" s="68"/>
      <c r="S283" s="68"/>
    </row>
    <row r="284" spans="1:19" ht="15.75" customHeight="1">
      <c r="A284" s="68"/>
      <c r="B284" s="68"/>
      <c r="C284" s="5"/>
      <c r="D284" s="68"/>
      <c r="E284" s="69"/>
      <c r="K284" s="68"/>
      <c r="M284" s="68"/>
      <c r="O284" s="68"/>
      <c r="P284" s="68"/>
      <c r="Q284" s="68"/>
      <c r="R284" s="68"/>
      <c r="S284" s="68"/>
    </row>
    <row r="285" spans="1:19" ht="15.75" customHeight="1">
      <c r="A285" s="68"/>
      <c r="B285" s="68"/>
      <c r="C285" s="5"/>
      <c r="D285" s="68"/>
      <c r="E285" s="69"/>
      <c r="K285" s="68"/>
      <c r="M285" s="68"/>
      <c r="O285" s="68"/>
      <c r="P285" s="68"/>
      <c r="Q285" s="68"/>
      <c r="R285" s="68"/>
      <c r="S285" s="68"/>
    </row>
    <row r="286" spans="1:19" ht="15.75" customHeight="1">
      <c r="A286" s="68"/>
      <c r="B286" s="68"/>
      <c r="C286" s="5"/>
      <c r="D286" s="68"/>
      <c r="E286" s="69"/>
      <c r="K286" s="68"/>
      <c r="M286" s="68"/>
      <c r="O286" s="68"/>
      <c r="P286" s="68"/>
      <c r="Q286" s="68"/>
      <c r="R286" s="68"/>
      <c r="S286" s="68"/>
    </row>
    <row r="287" spans="1:19" ht="15.75" customHeight="1">
      <c r="A287" s="68"/>
      <c r="B287" s="68"/>
      <c r="C287" s="5"/>
      <c r="D287" s="68"/>
      <c r="E287" s="69"/>
      <c r="K287" s="68"/>
      <c r="M287" s="68"/>
      <c r="O287" s="68"/>
      <c r="P287" s="68"/>
      <c r="Q287" s="68"/>
      <c r="R287" s="68"/>
      <c r="S287" s="68"/>
    </row>
    <row r="288" spans="1:19" ht="15.75" customHeight="1">
      <c r="A288" s="68"/>
      <c r="B288" s="68"/>
      <c r="C288" s="5"/>
      <c r="D288" s="68"/>
      <c r="E288" s="69"/>
      <c r="K288" s="68"/>
      <c r="M288" s="68"/>
      <c r="O288" s="68"/>
      <c r="P288" s="68"/>
      <c r="Q288" s="68"/>
      <c r="R288" s="68"/>
      <c r="S288" s="68"/>
    </row>
    <row r="289" spans="1:19" ht="15.75" customHeight="1">
      <c r="A289" s="68"/>
      <c r="B289" s="68"/>
      <c r="C289" s="5"/>
      <c r="D289" s="68"/>
      <c r="E289" s="69"/>
      <c r="K289" s="68"/>
      <c r="M289" s="68"/>
      <c r="O289" s="68"/>
      <c r="P289" s="68"/>
      <c r="Q289" s="68"/>
      <c r="R289" s="68"/>
      <c r="S289" s="68"/>
    </row>
    <row r="290" spans="1:19" ht="15.75" customHeight="1">
      <c r="A290" s="68"/>
      <c r="B290" s="68"/>
      <c r="C290" s="5"/>
      <c r="D290" s="68"/>
      <c r="E290" s="69"/>
      <c r="K290" s="68"/>
      <c r="M290" s="68"/>
      <c r="O290" s="68"/>
      <c r="P290" s="68"/>
      <c r="Q290" s="68"/>
      <c r="R290" s="68"/>
      <c r="S290" s="68"/>
    </row>
    <row r="291" spans="1:19" ht="15.75" customHeight="1">
      <c r="A291" s="68"/>
      <c r="B291" s="68"/>
      <c r="C291" s="5"/>
      <c r="D291" s="68"/>
      <c r="E291" s="69"/>
      <c r="K291" s="68"/>
      <c r="M291" s="68"/>
      <c r="O291" s="68"/>
      <c r="P291" s="68"/>
      <c r="Q291" s="68"/>
      <c r="R291" s="68"/>
      <c r="S291" s="68"/>
    </row>
    <row r="292" spans="1:19" ht="15.75" customHeight="1">
      <c r="A292" s="68"/>
      <c r="B292" s="68"/>
      <c r="C292" s="5"/>
      <c r="D292" s="68"/>
      <c r="E292" s="69"/>
      <c r="K292" s="68"/>
      <c r="M292" s="68"/>
      <c r="O292" s="68"/>
      <c r="P292" s="68"/>
      <c r="Q292" s="68"/>
      <c r="R292" s="68"/>
      <c r="S292" s="68"/>
    </row>
    <row r="293" spans="1:19" ht="15.75" customHeight="1">
      <c r="A293" s="68"/>
      <c r="B293" s="68"/>
      <c r="C293" s="5"/>
      <c r="D293" s="68"/>
      <c r="E293" s="69"/>
      <c r="K293" s="68"/>
      <c r="M293" s="68"/>
      <c r="O293" s="68"/>
      <c r="P293" s="68"/>
      <c r="Q293" s="68"/>
      <c r="R293" s="68"/>
      <c r="S293" s="68"/>
    </row>
    <row r="294" spans="1:19" ht="15.75" customHeight="1">
      <c r="A294" s="68"/>
      <c r="B294" s="68"/>
      <c r="C294" s="5"/>
      <c r="D294" s="68"/>
      <c r="E294" s="69"/>
      <c r="K294" s="68"/>
      <c r="M294" s="68"/>
      <c r="O294" s="68"/>
      <c r="P294" s="68"/>
      <c r="Q294" s="68"/>
      <c r="R294" s="68"/>
      <c r="S294" s="68"/>
    </row>
    <row r="295" spans="1:19" ht="15.75" customHeight="1">
      <c r="A295" s="68"/>
      <c r="B295" s="68"/>
      <c r="C295" s="5"/>
      <c r="D295" s="68"/>
      <c r="E295" s="69"/>
      <c r="K295" s="68"/>
      <c r="M295" s="68"/>
      <c r="O295" s="68"/>
      <c r="P295" s="68"/>
      <c r="Q295" s="68"/>
      <c r="R295" s="68"/>
      <c r="S295" s="68"/>
    </row>
    <row r="296" spans="1:19" ht="15.75" customHeight="1">
      <c r="A296" s="68"/>
      <c r="B296" s="68"/>
      <c r="C296" s="5"/>
      <c r="D296" s="68"/>
      <c r="E296" s="69"/>
      <c r="K296" s="68"/>
      <c r="M296" s="68"/>
      <c r="O296" s="68"/>
      <c r="P296" s="68"/>
      <c r="Q296" s="68"/>
      <c r="R296" s="68"/>
      <c r="S296" s="68"/>
    </row>
    <row r="297" spans="1:19" ht="15.75" customHeight="1">
      <c r="A297" s="68"/>
      <c r="B297" s="68"/>
      <c r="C297" s="5"/>
      <c r="D297" s="68"/>
      <c r="E297" s="69"/>
      <c r="K297" s="68"/>
      <c r="M297" s="68"/>
      <c r="O297" s="68"/>
      <c r="P297" s="68"/>
      <c r="Q297" s="68"/>
      <c r="R297" s="68"/>
      <c r="S297" s="68"/>
    </row>
    <row r="298" spans="1:19" ht="15.75" customHeight="1">
      <c r="A298" s="68"/>
      <c r="B298" s="68"/>
      <c r="C298" s="5"/>
      <c r="D298" s="68"/>
      <c r="E298" s="69"/>
      <c r="K298" s="68"/>
      <c r="M298" s="68"/>
      <c r="O298" s="68"/>
      <c r="P298" s="68"/>
      <c r="Q298" s="68"/>
      <c r="R298" s="68"/>
      <c r="S298" s="68"/>
    </row>
    <row r="299" spans="1:19" ht="15.75" customHeight="1">
      <c r="A299" s="68"/>
      <c r="B299" s="68"/>
      <c r="C299" s="5"/>
      <c r="D299" s="68"/>
      <c r="E299" s="69"/>
      <c r="K299" s="68"/>
      <c r="M299" s="68"/>
      <c r="O299" s="68"/>
      <c r="P299" s="68"/>
      <c r="Q299" s="68"/>
      <c r="R299" s="68"/>
      <c r="S299" s="68"/>
    </row>
    <row r="300" spans="1:19" ht="15.75" customHeight="1">
      <c r="A300" s="68"/>
      <c r="B300" s="68"/>
      <c r="C300" s="5"/>
      <c r="D300" s="68"/>
      <c r="E300" s="69"/>
      <c r="K300" s="68"/>
      <c r="M300" s="68"/>
      <c r="O300" s="68"/>
      <c r="P300" s="68"/>
      <c r="Q300" s="68"/>
      <c r="R300" s="68"/>
      <c r="S300" s="68"/>
    </row>
    <row r="301" spans="1:19" ht="15.75" customHeight="1">
      <c r="A301" s="68"/>
      <c r="B301" s="68"/>
      <c r="C301" s="5"/>
      <c r="D301" s="68"/>
      <c r="E301" s="69"/>
      <c r="K301" s="68"/>
      <c r="M301" s="68"/>
      <c r="O301" s="68"/>
      <c r="P301" s="68"/>
      <c r="Q301" s="68"/>
      <c r="R301" s="68"/>
      <c r="S301" s="68"/>
    </row>
    <row r="302" spans="1:19" ht="15.75" customHeight="1">
      <c r="A302" s="68"/>
      <c r="B302" s="68"/>
      <c r="C302" s="5"/>
      <c r="D302" s="68"/>
      <c r="E302" s="69"/>
      <c r="K302" s="68"/>
      <c r="M302" s="68"/>
      <c r="O302" s="68"/>
      <c r="P302" s="68"/>
      <c r="Q302" s="68"/>
      <c r="R302" s="68"/>
      <c r="S302" s="68"/>
    </row>
    <row r="303" spans="1:19" ht="15.75" customHeight="1">
      <c r="A303" s="68"/>
      <c r="B303" s="68"/>
      <c r="C303" s="5"/>
      <c r="D303" s="68"/>
      <c r="E303" s="69"/>
      <c r="K303" s="68"/>
      <c r="M303" s="68"/>
      <c r="O303" s="68"/>
      <c r="P303" s="68"/>
      <c r="Q303" s="68"/>
      <c r="R303" s="68"/>
      <c r="S303" s="68"/>
    </row>
    <row r="304" spans="1:19" ht="15.75" customHeight="1">
      <c r="A304" s="68"/>
      <c r="B304" s="68"/>
      <c r="C304" s="5"/>
      <c r="D304" s="68"/>
      <c r="E304" s="69"/>
      <c r="K304" s="68"/>
      <c r="M304" s="68"/>
      <c r="O304" s="68"/>
      <c r="P304" s="68"/>
      <c r="Q304" s="68"/>
      <c r="R304" s="68"/>
      <c r="S304" s="68"/>
    </row>
    <row r="305" spans="1:19" ht="15.75" customHeight="1">
      <c r="A305" s="68"/>
      <c r="B305" s="68"/>
      <c r="C305" s="5"/>
      <c r="D305" s="68"/>
      <c r="E305" s="69"/>
      <c r="K305" s="68"/>
      <c r="M305" s="68"/>
      <c r="O305" s="68"/>
      <c r="P305" s="68"/>
      <c r="Q305" s="68"/>
      <c r="R305" s="68"/>
      <c r="S305" s="68"/>
    </row>
    <row r="306" spans="1:19" ht="15.75" customHeight="1">
      <c r="A306" s="68"/>
      <c r="B306" s="68"/>
      <c r="C306" s="5"/>
      <c r="D306" s="68"/>
      <c r="E306" s="69"/>
      <c r="K306" s="68"/>
      <c r="M306" s="68"/>
      <c r="O306" s="68"/>
      <c r="P306" s="68"/>
      <c r="Q306" s="68"/>
      <c r="R306" s="68"/>
      <c r="S306" s="68"/>
    </row>
    <row r="307" spans="1:19" ht="15.75" customHeight="1">
      <c r="A307" s="68"/>
      <c r="B307" s="68"/>
      <c r="C307" s="5"/>
      <c r="D307" s="68"/>
      <c r="E307" s="69"/>
      <c r="K307" s="68"/>
      <c r="M307" s="68"/>
      <c r="O307" s="68"/>
      <c r="P307" s="68"/>
      <c r="Q307" s="68"/>
      <c r="R307" s="68"/>
      <c r="S307" s="68"/>
    </row>
    <row r="308" spans="1:19" ht="15.75" customHeight="1">
      <c r="A308" s="68"/>
      <c r="B308" s="68"/>
      <c r="C308" s="5"/>
      <c r="D308" s="68"/>
      <c r="E308" s="69"/>
      <c r="K308" s="68"/>
      <c r="M308" s="68"/>
      <c r="O308" s="68"/>
      <c r="P308" s="68"/>
      <c r="Q308" s="68"/>
      <c r="R308" s="68"/>
      <c r="S308" s="68"/>
    </row>
    <row r="309" spans="1:19" ht="15.75" customHeight="1">
      <c r="A309" s="68"/>
      <c r="B309" s="68"/>
      <c r="C309" s="5"/>
      <c r="D309" s="68"/>
      <c r="E309" s="69"/>
      <c r="K309" s="68"/>
      <c r="M309" s="68"/>
      <c r="O309" s="68"/>
      <c r="P309" s="68"/>
      <c r="Q309" s="68"/>
      <c r="R309" s="68"/>
      <c r="S309" s="68"/>
    </row>
    <row r="310" spans="1:19" ht="15.75" customHeight="1">
      <c r="A310" s="68"/>
      <c r="B310" s="68"/>
      <c r="C310" s="5"/>
      <c r="D310" s="68"/>
      <c r="E310" s="69"/>
      <c r="K310" s="68"/>
      <c r="M310" s="68"/>
      <c r="O310" s="68"/>
      <c r="P310" s="68"/>
      <c r="Q310" s="68"/>
      <c r="R310" s="68"/>
      <c r="S310" s="68"/>
    </row>
    <row r="311" spans="1:19" ht="15.75" customHeight="1">
      <c r="A311" s="68"/>
      <c r="B311" s="68"/>
      <c r="C311" s="5"/>
      <c r="D311" s="68"/>
      <c r="E311" s="69"/>
      <c r="K311" s="68"/>
      <c r="M311" s="68"/>
      <c r="O311" s="68"/>
      <c r="P311" s="68"/>
      <c r="Q311" s="68"/>
      <c r="R311" s="68"/>
      <c r="S311" s="68"/>
    </row>
    <row r="312" spans="1:19" ht="15.75" customHeight="1">
      <c r="A312" s="68"/>
      <c r="B312" s="68"/>
      <c r="C312" s="5"/>
      <c r="D312" s="68"/>
      <c r="E312" s="69"/>
      <c r="K312" s="68"/>
      <c r="M312" s="68"/>
      <c r="O312" s="68"/>
      <c r="P312" s="68"/>
      <c r="Q312" s="68"/>
      <c r="R312" s="68"/>
      <c r="S312" s="68"/>
    </row>
    <row r="313" spans="1:19" ht="15.75" customHeight="1">
      <c r="A313" s="68"/>
      <c r="B313" s="68"/>
      <c r="C313" s="5"/>
      <c r="D313" s="68"/>
      <c r="E313" s="69"/>
      <c r="K313" s="68"/>
      <c r="M313" s="68"/>
      <c r="O313" s="68"/>
      <c r="P313" s="68"/>
      <c r="Q313" s="68"/>
      <c r="R313" s="68"/>
      <c r="S313" s="68"/>
    </row>
    <row r="314" spans="1:19" ht="15.75" customHeight="1">
      <c r="A314" s="68"/>
      <c r="B314" s="68"/>
      <c r="C314" s="5"/>
      <c r="D314" s="68"/>
      <c r="E314" s="69"/>
      <c r="K314" s="68"/>
      <c r="M314" s="68"/>
      <c r="O314" s="68"/>
      <c r="P314" s="68"/>
      <c r="Q314" s="68"/>
      <c r="R314" s="68"/>
      <c r="S314" s="68"/>
    </row>
    <row r="315" spans="1:19" ht="15.75" customHeight="1">
      <c r="A315" s="68"/>
      <c r="B315" s="68"/>
      <c r="C315" s="5"/>
      <c r="D315" s="68"/>
      <c r="E315" s="69"/>
      <c r="K315" s="68"/>
      <c r="M315" s="68"/>
      <c r="O315" s="68"/>
      <c r="P315" s="68"/>
      <c r="Q315" s="68"/>
      <c r="R315" s="68"/>
      <c r="S315" s="68"/>
    </row>
    <row r="316" spans="1:19" ht="15.75" customHeight="1">
      <c r="A316" s="68"/>
      <c r="B316" s="68"/>
      <c r="C316" s="5"/>
      <c r="D316" s="68"/>
      <c r="E316" s="69"/>
      <c r="K316" s="68"/>
      <c r="M316" s="68"/>
      <c r="O316" s="68"/>
      <c r="P316" s="68"/>
      <c r="Q316" s="68"/>
      <c r="R316" s="68"/>
      <c r="S316" s="68"/>
    </row>
    <row r="317" spans="1:19" ht="15.75" customHeight="1">
      <c r="A317" s="68"/>
      <c r="B317" s="68"/>
      <c r="C317" s="5"/>
      <c r="D317" s="68"/>
      <c r="E317" s="69"/>
      <c r="K317" s="68"/>
      <c r="M317" s="68"/>
      <c r="O317" s="68"/>
      <c r="P317" s="68"/>
      <c r="Q317" s="68"/>
      <c r="R317" s="68"/>
      <c r="S317" s="68"/>
    </row>
    <row r="318" spans="1:19" ht="15.75" customHeight="1">
      <c r="A318" s="68"/>
      <c r="B318" s="68"/>
      <c r="C318" s="5"/>
      <c r="D318" s="68"/>
      <c r="E318" s="69"/>
      <c r="K318" s="68"/>
      <c r="M318" s="68"/>
      <c r="O318" s="68"/>
      <c r="P318" s="68"/>
      <c r="Q318" s="68"/>
      <c r="R318" s="68"/>
      <c r="S318" s="68"/>
    </row>
    <row r="319" spans="1:19" ht="15.75" customHeight="1">
      <c r="A319" s="68"/>
      <c r="B319" s="68"/>
      <c r="C319" s="5"/>
      <c r="D319" s="68"/>
      <c r="E319" s="69"/>
      <c r="K319" s="68"/>
      <c r="M319" s="68"/>
      <c r="O319" s="68"/>
      <c r="P319" s="68"/>
      <c r="Q319" s="68"/>
      <c r="R319" s="68"/>
      <c r="S319" s="68"/>
    </row>
    <row r="320" spans="1:19" ht="15.75" customHeight="1">
      <c r="A320" s="68"/>
      <c r="B320" s="68"/>
      <c r="C320" s="5"/>
      <c r="D320" s="68"/>
      <c r="E320" s="69"/>
      <c r="K320" s="68"/>
      <c r="M320" s="68"/>
      <c r="O320" s="68"/>
      <c r="P320" s="68"/>
      <c r="Q320" s="68"/>
      <c r="R320" s="68"/>
      <c r="S320" s="68"/>
    </row>
    <row r="321" spans="1:19" ht="15.75" customHeight="1">
      <c r="A321" s="68"/>
      <c r="B321" s="68"/>
      <c r="C321" s="5"/>
      <c r="D321" s="68"/>
      <c r="E321" s="69"/>
      <c r="K321" s="68"/>
      <c r="M321" s="68"/>
      <c r="O321" s="68"/>
      <c r="P321" s="68"/>
      <c r="Q321" s="68"/>
      <c r="R321" s="68"/>
      <c r="S321" s="68"/>
    </row>
    <row r="322" spans="1:19" ht="15.75" customHeight="1">
      <c r="A322" s="68"/>
      <c r="B322" s="68"/>
      <c r="C322" s="5"/>
      <c r="D322" s="68"/>
      <c r="E322" s="69"/>
      <c r="K322" s="68"/>
      <c r="M322" s="68"/>
      <c r="O322" s="68"/>
      <c r="P322" s="68"/>
      <c r="Q322" s="68"/>
      <c r="R322" s="68"/>
      <c r="S322" s="68"/>
    </row>
    <row r="323" spans="1:19" ht="15.75" customHeight="1">
      <c r="A323" s="68"/>
      <c r="B323" s="68"/>
      <c r="C323" s="5"/>
      <c r="D323" s="68"/>
      <c r="E323" s="69"/>
      <c r="K323" s="68"/>
      <c r="M323" s="68"/>
      <c r="O323" s="68"/>
      <c r="P323" s="68"/>
      <c r="Q323" s="68"/>
      <c r="R323" s="68"/>
      <c r="S323" s="68"/>
    </row>
    <row r="324" spans="1:19" ht="15.75" customHeight="1">
      <c r="A324" s="68"/>
      <c r="B324" s="68"/>
      <c r="C324" s="5"/>
      <c r="D324" s="68"/>
      <c r="E324" s="69"/>
      <c r="K324" s="68"/>
      <c r="M324" s="68"/>
      <c r="O324" s="68"/>
      <c r="P324" s="68"/>
      <c r="Q324" s="68"/>
      <c r="R324" s="68"/>
      <c r="S324" s="68"/>
    </row>
    <row r="325" spans="1:19" ht="15.75" customHeight="1">
      <c r="A325" s="68"/>
      <c r="B325" s="68"/>
      <c r="C325" s="5"/>
      <c r="D325" s="68"/>
      <c r="E325" s="69"/>
      <c r="K325" s="68"/>
      <c r="M325" s="68"/>
      <c r="O325" s="68"/>
      <c r="P325" s="68"/>
      <c r="Q325" s="68"/>
      <c r="R325" s="68"/>
      <c r="S325" s="68"/>
    </row>
    <row r="326" spans="1:19" ht="15.75" customHeight="1">
      <c r="A326" s="68"/>
      <c r="B326" s="68"/>
      <c r="C326" s="5"/>
      <c r="D326" s="68"/>
      <c r="E326" s="69"/>
      <c r="K326" s="68"/>
      <c r="M326" s="68"/>
      <c r="O326" s="68"/>
      <c r="P326" s="68"/>
      <c r="Q326" s="68"/>
      <c r="R326" s="68"/>
      <c r="S326" s="68"/>
    </row>
    <row r="327" spans="1:19" ht="15.75" customHeight="1">
      <c r="A327" s="68"/>
      <c r="B327" s="68"/>
      <c r="C327" s="5"/>
      <c r="D327" s="68"/>
      <c r="E327" s="69"/>
      <c r="K327" s="68"/>
      <c r="M327" s="68"/>
      <c r="O327" s="68"/>
      <c r="P327" s="68"/>
      <c r="Q327" s="68"/>
      <c r="R327" s="68"/>
      <c r="S327" s="68"/>
    </row>
    <row r="328" spans="1:19" ht="15.75" customHeight="1">
      <c r="A328" s="68"/>
      <c r="B328" s="68"/>
      <c r="C328" s="5"/>
      <c r="D328" s="68"/>
      <c r="E328" s="69"/>
      <c r="K328" s="68"/>
      <c r="M328" s="68"/>
      <c r="O328" s="68"/>
      <c r="P328" s="68"/>
      <c r="Q328" s="68"/>
      <c r="R328" s="68"/>
      <c r="S328" s="68"/>
    </row>
    <row r="329" spans="1:19" ht="15.75" customHeight="1">
      <c r="A329" s="68"/>
      <c r="B329" s="68"/>
      <c r="C329" s="5"/>
      <c r="D329" s="68"/>
      <c r="E329" s="69"/>
      <c r="K329" s="68"/>
      <c r="M329" s="68"/>
      <c r="O329" s="68"/>
      <c r="P329" s="68"/>
      <c r="Q329" s="68"/>
      <c r="R329" s="68"/>
      <c r="S329" s="68"/>
    </row>
    <row r="330" spans="1:19" ht="15.75" customHeight="1">
      <c r="A330" s="68"/>
      <c r="B330" s="68"/>
      <c r="C330" s="5"/>
      <c r="D330" s="68"/>
      <c r="E330" s="69"/>
      <c r="K330" s="68"/>
      <c r="M330" s="68"/>
      <c r="O330" s="68"/>
      <c r="P330" s="68"/>
      <c r="Q330" s="68"/>
      <c r="R330" s="68"/>
      <c r="S330" s="68"/>
    </row>
    <row r="331" spans="1:19" ht="15.75" customHeight="1">
      <c r="A331" s="68"/>
      <c r="B331" s="68"/>
      <c r="C331" s="5"/>
      <c r="D331" s="68"/>
      <c r="E331" s="69"/>
      <c r="K331" s="68"/>
      <c r="M331" s="68"/>
      <c r="O331" s="68"/>
      <c r="P331" s="68"/>
      <c r="Q331" s="68"/>
      <c r="R331" s="68"/>
      <c r="S331" s="68"/>
    </row>
    <row r="332" spans="1:19" ht="15.75" customHeight="1">
      <c r="A332" s="68"/>
      <c r="B332" s="68"/>
      <c r="C332" s="5"/>
      <c r="D332" s="68"/>
      <c r="E332" s="69"/>
      <c r="K332" s="68"/>
      <c r="M332" s="68"/>
      <c r="O332" s="68"/>
      <c r="P332" s="68"/>
      <c r="Q332" s="68"/>
      <c r="R332" s="68"/>
      <c r="S332" s="68"/>
    </row>
    <row r="333" spans="1:19" ht="15.75" customHeight="1">
      <c r="A333" s="68"/>
      <c r="B333" s="68"/>
      <c r="C333" s="5"/>
      <c r="D333" s="68"/>
      <c r="E333" s="69"/>
      <c r="K333" s="68"/>
      <c r="M333" s="68"/>
      <c r="O333" s="68"/>
      <c r="P333" s="68"/>
      <c r="Q333" s="68"/>
      <c r="R333" s="68"/>
      <c r="S333" s="68"/>
    </row>
    <row r="334" spans="1:19" ht="15.75" customHeight="1">
      <c r="A334" s="68"/>
      <c r="B334" s="68"/>
      <c r="C334" s="5"/>
      <c r="D334" s="68"/>
      <c r="E334" s="69"/>
      <c r="K334" s="68"/>
      <c r="M334" s="68"/>
      <c r="O334" s="68"/>
      <c r="P334" s="68"/>
      <c r="Q334" s="68"/>
      <c r="R334" s="68"/>
      <c r="S334" s="68"/>
    </row>
    <row r="335" spans="1:19" ht="15.75" customHeight="1">
      <c r="A335" s="68"/>
      <c r="B335" s="68"/>
      <c r="C335" s="5"/>
      <c r="D335" s="68"/>
      <c r="E335" s="69"/>
      <c r="K335" s="68"/>
      <c r="M335" s="68"/>
      <c r="O335" s="68"/>
      <c r="P335" s="68"/>
      <c r="Q335" s="68"/>
      <c r="R335" s="68"/>
      <c r="S335" s="68"/>
    </row>
    <row r="336" spans="1:19" ht="15.75" customHeight="1">
      <c r="A336" s="68"/>
      <c r="B336" s="68"/>
      <c r="C336" s="5"/>
      <c r="D336" s="68"/>
      <c r="E336" s="69"/>
      <c r="K336" s="68"/>
      <c r="M336" s="68"/>
      <c r="O336" s="68"/>
      <c r="P336" s="68"/>
      <c r="Q336" s="68"/>
      <c r="R336" s="68"/>
      <c r="S336" s="68"/>
    </row>
    <row r="337" spans="1:19" ht="15.75" customHeight="1">
      <c r="A337" s="68"/>
      <c r="B337" s="68"/>
      <c r="C337" s="5"/>
      <c r="D337" s="68"/>
      <c r="E337" s="69"/>
      <c r="K337" s="68"/>
      <c r="M337" s="68"/>
      <c r="O337" s="68"/>
      <c r="P337" s="68"/>
      <c r="Q337" s="68"/>
      <c r="R337" s="68"/>
      <c r="S337" s="68"/>
    </row>
    <row r="338" spans="1:19" ht="15.75" customHeight="1">
      <c r="A338" s="68"/>
      <c r="B338" s="68"/>
      <c r="C338" s="5"/>
      <c r="D338" s="68"/>
      <c r="E338" s="69"/>
      <c r="K338" s="68"/>
      <c r="M338" s="68"/>
      <c r="O338" s="68"/>
      <c r="P338" s="68"/>
      <c r="Q338" s="68"/>
      <c r="R338" s="68"/>
      <c r="S338" s="68"/>
    </row>
    <row r="339" spans="1:19" ht="15.75" customHeight="1">
      <c r="A339" s="68"/>
      <c r="B339" s="68"/>
      <c r="C339" s="5"/>
      <c r="D339" s="68"/>
      <c r="E339" s="69"/>
      <c r="K339" s="68"/>
      <c r="M339" s="68"/>
      <c r="O339" s="68"/>
      <c r="P339" s="68"/>
      <c r="Q339" s="68"/>
      <c r="R339" s="68"/>
      <c r="S339" s="68"/>
    </row>
    <row r="340" spans="1:19" ht="15.75" customHeight="1">
      <c r="A340" s="68"/>
      <c r="B340" s="68"/>
      <c r="C340" s="5"/>
      <c r="D340" s="68"/>
      <c r="E340" s="69"/>
      <c r="K340" s="68"/>
      <c r="M340" s="68"/>
      <c r="O340" s="68"/>
      <c r="P340" s="68"/>
      <c r="Q340" s="68"/>
      <c r="R340" s="68"/>
      <c r="S340" s="68"/>
    </row>
    <row r="341" spans="1:19" ht="15.75" customHeight="1">
      <c r="A341" s="68"/>
      <c r="B341" s="68"/>
      <c r="C341" s="5"/>
      <c r="D341" s="68"/>
      <c r="E341" s="69"/>
      <c r="K341" s="68"/>
      <c r="M341" s="68"/>
      <c r="O341" s="68"/>
      <c r="P341" s="68"/>
      <c r="Q341" s="68"/>
      <c r="R341" s="68"/>
      <c r="S341" s="68"/>
    </row>
    <row r="342" spans="1:19" ht="15.75" customHeight="1">
      <c r="A342" s="68"/>
      <c r="B342" s="68"/>
      <c r="C342" s="5"/>
      <c r="D342" s="68"/>
      <c r="E342" s="69"/>
      <c r="K342" s="68"/>
      <c r="M342" s="68"/>
      <c r="O342" s="68"/>
      <c r="P342" s="68"/>
      <c r="Q342" s="68"/>
      <c r="R342" s="68"/>
      <c r="S342" s="68"/>
    </row>
    <row r="343" spans="1:19" ht="15.75" customHeight="1">
      <c r="A343" s="68"/>
      <c r="B343" s="68"/>
      <c r="C343" s="5"/>
      <c r="D343" s="68"/>
      <c r="E343" s="69"/>
      <c r="K343" s="68"/>
      <c r="M343" s="68"/>
      <c r="O343" s="68"/>
      <c r="P343" s="68"/>
      <c r="Q343" s="68"/>
      <c r="R343" s="68"/>
      <c r="S343" s="68"/>
    </row>
    <row r="344" spans="1:19" ht="15.75" customHeight="1">
      <c r="A344" s="68"/>
      <c r="B344" s="68"/>
      <c r="C344" s="5"/>
      <c r="D344" s="68"/>
      <c r="E344" s="69"/>
      <c r="K344" s="68"/>
      <c r="M344" s="68"/>
      <c r="O344" s="68"/>
      <c r="P344" s="68"/>
      <c r="Q344" s="68"/>
      <c r="R344" s="68"/>
      <c r="S344" s="68"/>
    </row>
    <row r="345" spans="1:19" ht="15.75" customHeight="1">
      <c r="A345" s="68"/>
      <c r="B345" s="68"/>
      <c r="C345" s="5"/>
      <c r="D345" s="68"/>
      <c r="E345" s="69"/>
      <c r="K345" s="68"/>
      <c r="M345" s="68"/>
      <c r="O345" s="68"/>
      <c r="P345" s="68"/>
      <c r="Q345" s="68"/>
      <c r="R345" s="68"/>
      <c r="S345" s="68"/>
    </row>
    <row r="346" spans="1:19" ht="15.75" customHeight="1">
      <c r="A346" s="68"/>
      <c r="B346" s="68"/>
      <c r="C346" s="5"/>
      <c r="D346" s="68"/>
      <c r="E346" s="69"/>
      <c r="K346" s="68"/>
      <c r="M346" s="68"/>
      <c r="O346" s="68"/>
      <c r="P346" s="68"/>
      <c r="Q346" s="68"/>
      <c r="R346" s="68"/>
      <c r="S346" s="68"/>
    </row>
    <row r="347" spans="1:19" ht="15.75" customHeight="1">
      <c r="A347" s="68"/>
      <c r="B347" s="68"/>
      <c r="C347" s="5"/>
      <c r="D347" s="68"/>
      <c r="E347" s="69"/>
      <c r="K347" s="68"/>
      <c r="M347" s="68"/>
      <c r="O347" s="68"/>
      <c r="P347" s="68"/>
      <c r="Q347" s="68"/>
      <c r="R347" s="68"/>
      <c r="S347" s="68"/>
    </row>
    <row r="348" spans="1:19" ht="15.75" customHeight="1">
      <c r="A348" s="68"/>
      <c r="B348" s="68"/>
      <c r="C348" s="5"/>
      <c r="D348" s="68"/>
      <c r="E348" s="69"/>
      <c r="K348" s="68"/>
      <c r="M348" s="68"/>
      <c r="O348" s="68"/>
      <c r="P348" s="68"/>
      <c r="Q348" s="68"/>
      <c r="R348" s="68"/>
      <c r="S348" s="68"/>
    </row>
    <row r="349" spans="1:19" ht="15.75" customHeight="1">
      <c r="A349" s="68"/>
      <c r="B349" s="68"/>
      <c r="C349" s="5"/>
      <c r="D349" s="68"/>
      <c r="E349" s="69"/>
      <c r="K349" s="68"/>
      <c r="M349" s="68"/>
      <c r="O349" s="68"/>
      <c r="P349" s="68"/>
      <c r="Q349" s="68"/>
      <c r="R349" s="68"/>
      <c r="S349" s="68"/>
    </row>
    <row r="350" spans="1:19" ht="15.75" customHeight="1">
      <c r="A350" s="68"/>
      <c r="B350" s="68"/>
      <c r="C350" s="5"/>
      <c r="D350" s="68"/>
      <c r="E350" s="69"/>
      <c r="K350" s="68"/>
      <c r="M350" s="68"/>
      <c r="O350" s="68"/>
      <c r="P350" s="68"/>
      <c r="Q350" s="68"/>
      <c r="R350" s="68"/>
      <c r="S350" s="68"/>
    </row>
    <row r="351" spans="1:19" ht="15.75" customHeight="1">
      <c r="A351" s="68"/>
      <c r="B351" s="68"/>
      <c r="C351" s="5"/>
      <c r="D351" s="68"/>
      <c r="E351" s="69"/>
      <c r="K351" s="68"/>
      <c r="M351" s="68"/>
      <c r="O351" s="68"/>
      <c r="P351" s="68"/>
      <c r="Q351" s="68"/>
      <c r="R351" s="68"/>
      <c r="S351" s="68"/>
    </row>
    <row r="352" spans="1:19" ht="15.75" customHeight="1">
      <c r="A352" s="68"/>
      <c r="B352" s="68"/>
      <c r="C352" s="5"/>
      <c r="D352" s="68"/>
      <c r="E352" s="69"/>
      <c r="K352" s="68"/>
      <c r="M352" s="68"/>
      <c r="O352" s="68"/>
      <c r="P352" s="68"/>
      <c r="Q352" s="68"/>
      <c r="R352" s="68"/>
      <c r="S352" s="68"/>
    </row>
    <row r="353" spans="1:19" ht="15.75" customHeight="1">
      <c r="A353" s="68"/>
      <c r="B353" s="68"/>
      <c r="C353" s="5"/>
      <c r="D353" s="68"/>
      <c r="E353" s="69"/>
      <c r="K353" s="68"/>
      <c r="M353" s="68"/>
      <c r="O353" s="68"/>
      <c r="P353" s="68"/>
      <c r="Q353" s="68"/>
      <c r="R353" s="68"/>
      <c r="S353" s="68"/>
    </row>
    <row r="354" spans="1:19" ht="15.75" customHeight="1">
      <c r="A354" s="68"/>
      <c r="B354" s="68"/>
      <c r="C354" s="5"/>
      <c r="D354" s="68"/>
      <c r="E354" s="69"/>
      <c r="K354" s="68"/>
      <c r="M354" s="68"/>
      <c r="O354" s="68"/>
      <c r="P354" s="68"/>
      <c r="Q354" s="68"/>
      <c r="R354" s="68"/>
      <c r="S354" s="68"/>
    </row>
    <row r="355" spans="1:19" ht="15.75" customHeight="1">
      <c r="A355" s="68"/>
      <c r="B355" s="68"/>
      <c r="C355" s="5"/>
      <c r="D355" s="68"/>
      <c r="E355" s="69"/>
      <c r="K355" s="68"/>
      <c r="M355" s="68"/>
      <c r="O355" s="68"/>
      <c r="P355" s="68"/>
      <c r="Q355" s="68"/>
      <c r="R355" s="68"/>
      <c r="S355" s="68"/>
    </row>
    <row r="356" spans="1:19" ht="15.75" customHeight="1">
      <c r="A356" s="68"/>
      <c r="B356" s="68"/>
      <c r="C356" s="5"/>
      <c r="D356" s="68"/>
      <c r="E356" s="69"/>
      <c r="K356" s="68"/>
      <c r="M356" s="68"/>
      <c r="O356" s="68"/>
      <c r="P356" s="68"/>
      <c r="Q356" s="68"/>
      <c r="R356" s="68"/>
      <c r="S356" s="68"/>
    </row>
    <row r="357" spans="1:19" ht="15.75" customHeight="1">
      <c r="A357" s="68"/>
      <c r="B357" s="68"/>
      <c r="C357" s="5"/>
      <c r="D357" s="68"/>
      <c r="E357" s="69"/>
      <c r="K357" s="68"/>
      <c r="M357" s="68"/>
      <c r="O357" s="68"/>
      <c r="P357" s="68"/>
      <c r="Q357" s="68"/>
      <c r="R357" s="68"/>
      <c r="S357" s="68"/>
    </row>
    <row r="358" spans="1:19" ht="15.75" customHeight="1">
      <c r="A358" s="68"/>
      <c r="B358" s="68"/>
      <c r="C358" s="5"/>
      <c r="D358" s="68"/>
      <c r="E358" s="69"/>
      <c r="K358" s="68"/>
      <c r="M358" s="68"/>
      <c r="O358" s="68"/>
      <c r="P358" s="68"/>
      <c r="Q358" s="68"/>
      <c r="R358" s="68"/>
      <c r="S358" s="68"/>
    </row>
    <row r="359" spans="1:19" ht="15.75" customHeight="1">
      <c r="A359" s="68"/>
      <c r="B359" s="68"/>
      <c r="C359" s="5"/>
      <c r="D359" s="68"/>
      <c r="E359" s="69"/>
      <c r="K359" s="68"/>
      <c r="M359" s="68"/>
      <c r="O359" s="68"/>
      <c r="P359" s="68"/>
      <c r="Q359" s="68"/>
      <c r="R359" s="68"/>
      <c r="S359" s="68"/>
    </row>
    <row r="360" spans="1:19" ht="15.75" customHeight="1">
      <c r="A360" s="68"/>
      <c r="B360" s="68"/>
      <c r="C360" s="5"/>
      <c r="D360" s="68"/>
      <c r="E360" s="69"/>
      <c r="K360" s="68"/>
      <c r="M360" s="68"/>
      <c r="O360" s="68"/>
      <c r="P360" s="68"/>
      <c r="Q360" s="68"/>
      <c r="R360" s="68"/>
      <c r="S360" s="68"/>
    </row>
    <row r="361" spans="1:19" ht="15.75" customHeight="1">
      <c r="A361" s="68"/>
      <c r="B361" s="68"/>
      <c r="C361" s="5"/>
      <c r="D361" s="68"/>
      <c r="E361" s="69"/>
      <c r="K361" s="68"/>
      <c r="M361" s="68"/>
      <c r="O361" s="68"/>
      <c r="P361" s="68"/>
      <c r="Q361" s="68"/>
      <c r="R361" s="68"/>
      <c r="S361" s="68"/>
    </row>
    <row r="362" spans="1:19" ht="15.75" customHeight="1">
      <c r="A362" s="68"/>
      <c r="B362" s="68"/>
      <c r="C362" s="5"/>
      <c r="D362" s="68"/>
      <c r="E362" s="69"/>
      <c r="K362" s="68"/>
      <c r="M362" s="68"/>
      <c r="O362" s="68"/>
      <c r="P362" s="68"/>
      <c r="Q362" s="68"/>
      <c r="R362" s="68"/>
      <c r="S362" s="68"/>
    </row>
    <row r="363" spans="1:19" ht="15.75" customHeight="1">
      <c r="A363" s="68"/>
      <c r="B363" s="68"/>
      <c r="C363" s="5"/>
      <c r="D363" s="68"/>
      <c r="E363" s="69"/>
      <c r="K363" s="68"/>
      <c r="M363" s="68"/>
      <c r="O363" s="68"/>
      <c r="P363" s="68"/>
      <c r="Q363" s="68"/>
      <c r="R363" s="68"/>
      <c r="S363" s="68"/>
    </row>
    <row r="364" spans="1:19" ht="15.75" customHeight="1">
      <c r="A364" s="68"/>
      <c r="B364" s="68"/>
      <c r="C364" s="5"/>
      <c r="D364" s="68"/>
      <c r="E364" s="69"/>
      <c r="K364" s="68"/>
      <c r="M364" s="68"/>
      <c r="O364" s="68"/>
      <c r="P364" s="68"/>
      <c r="Q364" s="68"/>
      <c r="R364" s="68"/>
      <c r="S364" s="68"/>
    </row>
    <row r="365" spans="1:19" ht="15.75" customHeight="1">
      <c r="A365" s="68"/>
      <c r="B365" s="68"/>
      <c r="C365" s="5"/>
      <c r="D365" s="68"/>
      <c r="E365" s="69"/>
      <c r="K365" s="68"/>
      <c r="M365" s="68"/>
      <c r="O365" s="68"/>
      <c r="P365" s="68"/>
      <c r="Q365" s="68"/>
      <c r="R365" s="68"/>
      <c r="S365" s="68"/>
    </row>
    <row r="366" spans="1:19" ht="15.75" customHeight="1">
      <c r="A366" s="68"/>
      <c r="B366" s="68"/>
      <c r="C366" s="5"/>
      <c r="D366" s="68"/>
      <c r="E366" s="69"/>
      <c r="K366" s="68"/>
      <c r="M366" s="68"/>
      <c r="O366" s="68"/>
      <c r="P366" s="68"/>
      <c r="Q366" s="68"/>
      <c r="R366" s="68"/>
      <c r="S366" s="68"/>
    </row>
    <row r="367" spans="1:19" ht="15.75" customHeight="1">
      <c r="A367" s="68"/>
      <c r="B367" s="68"/>
      <c r="C367" s="5"/>
      <c r="D367" s="68"/>
      <c r="E367" s="69"/>
      <c r="K367" s="68"/>
      <c r="M367" s="68"/>
      <c r="O367" s="68"/>
      <c r="P367" s="68"/>
      <c r="Q367" s="68"/>
      <c r="R367" s="68"/>
      <c r="S367" s="68"/>
    </row>
    <row r="368" spans="1:19" ht="15.75" customHeight="1">
      <c r="A368" s="68"/>
      <c r="B368" s="68"/>
      <c r="C368" s="5"/>
      <c r="D368" s="68"/>
      <c r="E368" s="69"/>
      <c r="K368" s="68"/>
      <c r="M368" s="68"/>
      <c r="O368" s="68"/>
      <c r="P368" s="68"/>
      <c r="Q368" s="68"/>
      <c r="R368" s="68"/>
      <c r="S368" s="68"/>
    </row>
    <row r="369" spans="1:19" ht="15.75" customHeight="1">
      <c r="A369" s="68"/>
      <c r="B369" s="68"/>
      <c r="C369" s="5"/>
      <c r="D369" s="68"/>
      <c r="E369" s="69"/>
      <c r="K369" s="68"/>
      <c r="M369" s="68"/>
      <c r="O369" s="68"/>
      <c r="P369" s="68"/>
      <c r="Q369" s="68"/>
      <c r="R369" s="68"/>
      <c r="S369" s="68"/>
    </row>
    <row r="370" spans="1:19" ht="15.75" customHeight="1">
      <c r="A370" s="68"/>
      <c r="B370" s="68"/>
      <c r="C370" s="5"/>
      <c r="D370" s="68"/>
      <c r="E370" s="69"/>
      <c r="K370" s="68"/>
      <c r="M370" s="68"/>
      <c r="O370" s="68"/>
      <c r="P370" s="68"/>
      <c r="Q370" s="68"/>
      <c r="R370" s="68"/>
      <c r="S370" s="68"/>
    </row>
    <row r="371" spans="1:19" ht="15.75" customHeight="1">
      <c r="A371" s="68"/>
      <c r="B371" s="68"/>
      <c r="C371" s="5"/>
      <c r="D371" s="68"/>
      <c r="E371" s="69"/>
      <c r="K371" s="68"/>
      <c r="M371" s="68"/>
      <c r="O371" s="68"/>
      <c r="P371" s="68"/>
      <c r="Q371" s="68"/>
      <c r="R371" s="68"/>
      <c r="S371" s="68"/>
    </row>
    <row r="372" spans="1:19" ht="15.75" customHeight="1">
      <c r="A372" s="68"/>
      <c r="B372" s="68"/>
      <c r="C372" s="5"/>
      <c r="D372" s="68"/>
      <c r="E372" s="69"/>
      <c r="K372" s="68"/>
      <c r="M372" s="68"/>
      <c r="O372" s="68"/>
      <c r="P372" s="68"/>
      <c r="Q372" s="68"/>
      <c r="R372" s="68"/>
      <c r="S372" s="68"/>
    </row>
    <row r="373" spans="1:19" ht="15.75" customHeight="1">
      <c r="A373" s="68"/>
      <c r="B373" s="68"/>
      <c r="C373" s="5"/>
      <c r="D373" s="68"/>
      <c r="E373" s="69"/>
      <c r="K373" s="68"/>
      <c r="M373" s="68"/>
      <c r="O373" s="68"/>
      <c r="P373" s="68"/>
      <c r="Q373" s="68"/>
      <c r="R373" s="68"/>
      <c r="S373" s="68"/>
    </row>
    <row r="374" spans="1:19" ht="15.75" customHeight="1">
      <c r="A374" s="68"/>
      <c r="B374" s="68"/>
      <c r="C374" s="5"/>
      <c r="D374" s="68"/>
      <c r="E374" s="69"/>
      <c r="K374" s="68"/>
      <c r="M374" s="68"/>
      <c r="O374" s="68"/>
      <c r="P374" s="68"/>
      <c r="Q374" s="68"/>
      <c r="R374" s="68"/>
      <c r="S374" s="68"/>
    </row>
    <row r="375" spans="1:19" ht="15.75" customHeight="1">
      <c r="A375" s="68"/>
      <c r="B375" s="68"/>
      <c r="C375" s="5"/>
      <c r="D375" s="68"/>
      <c r="E375" s="69"/>
      <c r="K375" s="68"/>
      <c r="M375" s="68"/>
      <c r="O375" s="68"/>
      <c r="P375" s="68"/>
      <c r="Q375" s="68"/>
      <c r="R375" s="68"/>
      <c r="S375" s="68"/>
    </row>
    <row r="376" spans="1:19" ht="15.75" customHeight="1">
      <c r="A376" s="68"/>
      <c r="B376" s="68"/>
      <c r="C376" s="5"/>
      <c r="D376" s="68"/>
      <c r="E376" s="69"/>
      <c r="K376" s="68"/>
      <c r="M376" s="68"/>
      <c r="O376" s="68"/>
      <c r="P376" s="68"/>
      <c r="Q376" s="68"/>
      <c r="R376" s="68"/>
      <c r="S376" s="68"/>
    </row>
    <row r="377" spans="1:19" ht="15.75" customHeight="1">
      <c r="A377" s="68"/>
      <c r="B377" s="68"/>
      <c r="C377" s="5"/>
      <c r="D377" s="68"/>
      <c r="E377" s="69"/>
      <c r="K377" s="68"/>
      <c r="M377" s="68"/>
      <c r="O377" s="68"/>
      <c r="P377" s="68"/>
      <c r="Q377" s="68"/>
      <c r="R377" s="68"/>
      <c r="S377" s="68"/>
    </row>
    <row r="378" spans="1:19" ht="15.75" customHeight="1">
      <c r="A378" s="68"/>
      <c r="B378" s="68"/>
      <c r="C378" s="5"/>
      <c r="D378" s="68"/>
      <c r="E378" s="69"/>
      <c r="K378" s="68"/>
      <c r="M378" s="68"/>
      <c r="O378" s="68"/>
      <c r="P378" s="68"/>
      <c r="Q378" s="68"/>
      <c r="R378" s="68"/>
      <c r="S378" s="68"/>
    </row>
    <row r="379" spans="1:19" ht="15.75" customHeight="1">
      <c r="A379" s="68"/>
      <c r="B379" s="68"/>
      <c r="C379" s="5"/>
      <c r="D379" s="68"/>
      <c r="E379" s="69"/>
      <c r="K379" s="68"/>
      <c r="M379" s="68"/>
      <c r="O379" s="68"/>
      <c r="P379" s="68"/>
      <c r="Q379" s="68"/>
      <c r="R379" s="68"/>
      <c r="S379" s="68"/>
    </row>
    <row r="380" spans="1:19" ht="15.75" customHeight="1">
      <c r="A380" s="68"/>
      <c r="B380" s="68"/>
      <c r="C380" s="5"/>
      <c r="D380" s="68"/>
      <c r="E380" s="69"/>
      <c r="K380" s="68"/>
      <c r="M380" s="68"/>
      <c r="O380" s="68"/>
      <c r="P380" s="68"/>
      <c r="Q380" s="68"/>
      <c r="R380" s="68"/>
      <c r="S380" s="68"/>
    </row>
    <row r="381" spans="1:19" ht="15.75" customHeight="1">
      <c r="A381" s="68"/>
      <c r="B381" s="68"/>
      <c r="C381" s="5"/>
      <c r="D381" s="68"/>
      <c r="E381" s="69"/>
      <c r="K381" s="68"/>
      <c r="M381" s="68"/>
      <c r="O381" s="68"/>
      <c r="P381" s="68"/>
      <c r="Q381" s="68"/>
      <c r="R381" s="68"/>
      <c r="S381" s="68"/>
    </row>
    <row r="382" spans="1:19" ht="15.75" customHeight="1">
      <c r="A382" s="68"/>
      <c r="B382" s="68"/>
      <c r="C382" s="5"/>
      <c r="D382" s="68"/>
      <c r="E382" s="69"/>
      <c r="K382" s="68"/>
      <c r="M382" s="68"/>
      <c r="O382" s="68"/>
      <c r="P382" s="68"/>
      <c r="Q382" s="68"/>
      <c r="R382" s="68"/>
      <c r="S382" s="68"/>
    </row>
    <row r="383" spans="1:19" ht="15.75" customHeight="1">
      <c r="A383" s="68"/>
      <c r="B383" s="68"/>
      <c r="C383" s="5"/>
      <c r="D383" s="68"/>
      <c r="E383" s="69"/>
      <c r="K383" s="68"/>
      <c r="M383" s="68"/>
      <c r="O383" s="68"/>
      <c r="P383" s="68"/>
      <c r="Q383" s="68"/>
      <c r="R383" s="68"/>
      <c r="S383" s="68"/>
    </row>
    <row r="384" spans="1:19" ht="15.75" customHeight="1">
      <c r="A384" s="68"/>
      <c r="B384" s="68"/>
      <c r="C384" s="5"/>
      <c r="D384" s="68"/>
      <c r="E384" s="69"/>
      <c r="K384" s="68"/>
      <c r="M384" s="68"/>
      <c r="O384" s="68"/>
      <c r="P384" s="68"/>
      <c r="Q384" s="68"/>
      <c r="R384" s="68"/>
      <c r="S384" s="68"/>
    </row>
    <row r="385" spans="1:19" ht="15.75" customHeight="1">
      <c r="A385" s="68"/>
      <c r="B385" s="68"/>
      <c r="C385" s="5"/>
      <c r="D385" s="68"/>
      <c r="E385" s="69"/>
      <c r="K385" s="68"/>
      <c r="M385" s="68"/>
      <c r="O385" s="68"/>
      <c r="P385" s="68"/>
      <c r="Q385" s="68"/>
      <c r="R385" s="68"/>
      <c r="S385" s="68"/>
    </row>
    <row r="386" spans="1:19" ht="15.75" customHeight="1">
      <c r="A386" s="68"/>
      <c r="B386" s="68"/>
      <c r="C386" s="5"/>
      <c r="D386" s="68"/>
      <c r="E386" s="69"/>
      <c r="K386" s="68"/>
      <c r="M386" s="68"/>
      <c r="O386" s="68"/>
      <c r="P386" s="68"/>
      <c r="Q386" s="68"/>
      <c r="R386" s="68"/>
      <c r="S386" s="68"/>
    </row>
    <row r="387" spans="1:19" ht="15.75" customHeight="1">
      <c r="A387" s="68"/>
      <c r="B387" s="68"/>
      <c r="C387" s="5"/>
      <c r="D387" s="68"/>
      <c r="E387" s="69"/>
      <c r="K387" s="68"/>
      <c r="M387" s="68"/>
      <c r="O387" s="68"/>
      <c r="P387" s="68"/>
      <c r="Q387" s="68"/>
      <c r="R387" s="68"/>
      <c r="S387" s="68"/>
    </row>
    <row r="388" spans="1:19" ht="15.75" customHeight="1">
      <c r="A388" s="68"/>
      <c r="B388" s="68"/>
      <c r="C388" s="5"/>
      <c r="D388" s="68"/>
      <c r="E388" s="69"/>
      <c r="K388" s="68"/>
      <c r="M388" s="68"/>
      <c r="O388" s="68"/>
      <c r="P388" s="68"/>
      <c r="Q388" s="68"/>
      <c r="R388" s="68"/>
      <c r="S388" s="68"/>
    </row>
    <row r="389" spans="1:19" ht="15.75" customHeight="1">
      <c r="A389" s="68"/>
      <c r="B389" s="68"/>
      <c r="C389" s="5"/>
      <c r="D389" s="68"/>
      <c r="E389" s="69"/>
      <c r="K389" s="68"/>
      <c r="M389" s="68"/>
      <c r="O389" s="68"/>
      <c r="P389" s="68"/>
      <c r="Q389" s="68"/>
      <c r="R389" s="68"/>
      <c r="S389" s="68"/>
    </row>
    <row r="390" spans="1:19" ht="15.75" customHeight="1">
      <c r="A390" s="68"/>
      <c r="B390" s="68"/>
      <c r="C390" s="5"/>
      <c r="D390" s="68"/>
      <c r="E390" s="69"/>
      <c r="K390" s="68"/>
      <c r="M390" s="68"/>
      <c r="O390" s="68"/>
      <c r="P390" s="68"/>
      <c r="Q390" s="68"/>
      <c r="R390" s="68"/>
      <c r="S390" s="68"/>
    </row>
    <row r="391" spans="1:19" ht="15.75" customHeight="1">
      <c r="A391" s="68"/>
      <c r="B391" s="68"/>
      <c r="C391" s="5"/>
      <c r="D391" s="68"/>
      <c r="E391" s="69"/>
      <c r="K391" s="68"/>
      <c r="M391" s="68"/>
      <c r="O391" s="68"/>
      <c r="P391" s="68"/>
      <c r="Q391" s="68"/>
      <c r="R391" s="68"/>
      <c r="S391" s="68"/>
    </row>
    <row r="392" spans="1:19" ht="15.75" customHeight="1">
      <c r="A392" s="68"/>
      <c r="B392" s="68"/>
      <c r="C392" s="5"/>
      <c r="D392" s="68"/>
      <c r="E392" s="69"/>
      <c r="K392" s="68"/>
      <c r="M392" s="68"/>
      <c r="O392" s="68"/>
      <c r="P392" s="68"/>
      <c r="Q392" s="68"/>
      <c r="R392" s="68"/>
      <c r="S392" s="68"/>
    </row>
    <row r="393" spans="1:19" ht="15.75" customHeight="1">
      <c r="A393" s="68"/>
      <c r="B393" s="68"/>
      <c r="C393" s="5"/>
      <c r="D393" s="68"/>
      <c r="E393" s="69"/>
      <c r="K393" s="68"/>
      <c r="M393" s="68"/>
      <c r="O393" s="68"/>
      <c r="P393" s="68"/>
      <c r="Q393" s="68"/>
      <c r="R393" s="68"/>
      <c r="S393" s="68"/>
    </row>
    <row r="394" spans="1:19" ht="15.75" customHeight="1">
      <c r="A394" s="68"/>
      <c r="B394" s="68"/>
      <c r="C394" s="5"/>
      <c r="D394" s="68"/>
      <c r="E394" s="69"/>
      <c r="K394" s="68"/>
      <c r="M394" s="68"/>
      <c r="O394" s="68"/>
      <c r="P394" s="68"/>
      <c r="Q394" s="68"/>
      <c r="R394" s="68"/>
      <c r="S394" s="68"/>
    </row>
    <row r="395" spans="1:19" ht="15.75" customHeight="1">
      <c r="A395" s="68"/>
      <c r="B395" s="68"/>
      <c r="C395" s="5"/>
      <c r="D395" s="68"/>
      <c r="E395" s="69"/>
      <c r="K395" s="68"/>
      <c r="M395" s="68"/>
      <c r="O395" s="68"/>
      <c r="P395" s="68"/>
      <c r="Q395" s="68"/>
      <c r="R395" s="68"/>
      <c r="S395" s="68"/>
    </row>
    <row r="396" spans="1:19" ht="15.75" customHeight="1">
      <c r="A396" s="68"/>
      <c r="B396" s="68"/>
      <c r="C396" s="5"/>
      <c r="D396" s="68"/>
      <c r="E396" s="69"/>
      <c r="K396" s="68"/>
      <c r="M396" s="68"/>
      <c r="O396" s="68"/>
      <c r="P396" s="68"/>
      <c r="Q396" s="68"/>
      <c r="R396" s="68"/>
      <c r="S396" s="68"/>
    </row>
    <row r="397" spans="1:19" ht="15.75" customHeight="1">
      <c r="A397" s="68"/>
      <c r="B397" s="68"/>
      <c r="C397" s="5"/>
      <c r="D397" s="68"/>
      <c r="E397" s="69"/>
      <c r="K397" s="68"/>
      <c r="M397" s="68"/>
      <c r="O397" s="68"/>
      <c r="P397" s="68"/>
      <c r="Q397" s="68"/>
      <c r="R397" s="68"/>
      <c r="S397" s="68"/>
    </row>
    <row r="398" spans="1:19" ht="15.75" customHeight="1">
      <c r="A398" s="68"/>
      <c r="B398" s="68"/>
      <c r="C398" s="5"/>
      <c r="D398" s="68"/>
      <c r="E398" s="69"/>
      <c r="K398" s="68"/>
      <c r="M398" s="68"/>
      <c r="O398" s="68"/>
      <c r="P398" s="68"/>
      <c r="Q398" s="68"/>
      <c r="R398" s="68"/>
      <c r="S398" s="68"/>
    </row>
    <row r="399" spans="1:19" ht="15.75" customHeight="1">
      <c r="A399" s="68"/>
      <c r="B399" s="68"/>
      <c r="C399" s="5"/>
      <c r="D399" s="68"/>
      <c r="E399" s="69"/>
      <c r="K399" s="68"/>
      <c r="M399" s="68"/>
      <c r="O399" s="68"/>
      <c r="P399" s="68"/>
      <c r="Q399" s="68"/>
      <c r="R399" s="68"/>
      <c r="S399" s="68"/>
    </row>
    <row r="400" spans="1:19" ht="15.75" customHeight="1">
      <c r="A400" s="68"/>
      <c r="B400" s="68"/>
      <c r="C400" s="5"/>
      <c r="D400" s="68"/>
      <c r="E400" s="69"/>
      <c r="K400" s="68"/>
      <c r="M400" s="68"/>
      <c r="O400" s="68"/>
      <c r="P400" s="68"/>
      <c r="Q400" s="68"/>
      <c r="R400" s="68"/>
      <c r="S400" s="68"/>
    </row>
    <row r="401" spans="1:19" ht="15.75" customHeight="1">
      <c r="A401" s="68"/>
      <c r="B401" s="68"/>
      <c r="C401" s="5"/>
      <c r="D401" s="68"/>
      <c r="E401" s="69"/>
      <c r="K401" s="68"/>
      <c r="M401" s="68"/>
      <c r="O401" s="68"/>
      <c r="P401" s="68"/>
      <c r="Q401" s="68"/>
      <c r="R401" s="68"/>
      <c r="S401" s="68"/>
    </row>
    <row r="402" spans="1:19" ht="15.75" customHeight="1">
      <c r="A402" s="68"/>
      <c r="B402" s="68"/>
      <c r="C402" s="5"/>
      <c r="D402" s="68"/>
      <c r="E402" s="69"/>
      <c r="K402" s="68"/>
      <c r="M402" s="68"/>
      <c r="O402" s="68"/>
      <c r="P402" s="68"/>
      <c r="Q402" s="68"/>
      <c r="R402" s="68"/>
      <c r="S402" s="68"/>
    </row>
    <row r="403" spans="1:19" ht="15.75" customHeight="1">
      <c r="A403" s="68"/>
      <c r="B403" s="68"/>
      <c r="C403" s="5"/>
      <c r="D403" s="68"/>
      <c r="E403" s="69"/>
      <c r="K403" s="68"/>
      <c r="M403" s="68"/>
      <c r="O403" s="68"/>
      <c r="P403" s="68"/>
      <c r="Q403" s="68"/>
      <c r="R403" s="68"/>
      <c r="S403" s="68"/>
    </row>
    <row r="404" spans="1:19" ht="15.75" customHeight="1">
      <c r="A404" s="68"/>
      <c r="B404" s="68"/>
      <c r="C404" s="5"/>
      <c r="D404" s="68"/>
      <c r="E404" s="69"/>
      <c r="K404" s="68"/>
      <c r="M404" s="68"/>
      <c r="O404" s="68"/>
      <c r="P404" s="68"/>
      <c r="Q404" s="68"/>
      <c r="R404" s="68"/>
      <c r="S404" s="68"/>
    </row>
    <row r="405" spans="1:19" ht="15.75" customHeight="1">
      <c r="A405" s="68"/>
      <c r="B405" s="68"/>
      <c r="C405" s="5"/>
      <c r="D405" s="68"/>
      <c r="E405" s="69"/>
      <c r="K405" s="68"/>
      <c r="M405" s="68"/>
      <c r="O405" s="68"/>
      <c r="P405" s="68"/>
      <c r="Q405" s="68"/>
      <c r="R405" s="68"/>
      <c r="S405" s="68"/>
    </row>
    <row r="406" spans="1:19" ht="15.75" customHeight="1">
      <c r="A406" s="68"/>
      <c r="B406" s="68"/>
      <c r="C406" s="5"/>
      <c r="D406" s="68"/>
      <c r="E406" s="69"/>
      <c r="K406" s="68"/>
      <c r="M406" s="68"/>
      <c r="O406" s="68"/>
      <c r="P406" s="68"/>
      <c r="Q406" s="68"/>
      <c r="R406" s="68"/>
      <c r="S406" s="68"/>
    </row>
    <row r="407" spans="1:19" ht="15.75" customHeight="1">
      <c r="A407" s="68"/>
      <c r="B407" s="68"/>
      <c r="C407" s="5"/>
      <c r="D407" s="68"/>
      <c r="E407" s="69"/>
      <c r="K407" s="68"/>
      <c r="M407" s="68"/>
      <c r="O407" s="68"/>
      <c r="P407" s="68"/>
      <c r="Q407" s="68"/>
      <c r="R407" s="68"/>
      <c r="S407" s="68"/>
    </row>
    <row r="408" spans="1:19" ht="15.75" customHeight="1">
      <c r="A408" s="68"/>
      <c r="B408" s="68"/>
      <c r="C408" s="5"/>
      <c r="D408" s="68"/>
      <c r="E408" s="69"/>
      <c r="K408" s="68"/>
      <c r="M408" s="68"/>
      <c r="O408" s="68"/>
      <c r="P408" s="68"/>
      <c r="Q408" s="68"/>
      <c r="R408" s="68"/>
      <c r="S408" s="68"/>
    </row>
    <row r="409" spans="1:19" ht="15.75" customHeight="1">
      <c r="A409" s="68"/>
      <c r="B409" s="68"/>
      <c r="C409" s="5"/>
      <c r="D409" s="68"/>
      <c r="E409" s="69"/>
      <c r="K409" s="68"/>
      <c r="M409" s="68"/>
      <c r="O409" s="68"/>
      <c r="P409" s="68"/>
      <c r="Q409" s="68"/>
      <c r="R409" s="68"/>
      <c r="S409" s="68"/>
    </row>
    <row r="410" spans="1:19" ht="15.75" customHeight="1">
      <c r="A410" s="68"/>
      <c r="B410" s="68"/>
      <c r="C410" s="5"/>
      <c r="D410" s="68"/>
      <c r="E410" s="69"/>
      <c r="K410" s="68"/>
      <c r="M410" s="68"/>
      <c r="O410" s="68"/>
      <c r="P410" s="68"/>
      <c r="Q410" s="68"/>
      <c r="R410" s="68"/>
      <c r="S410" s="68"/>
    </row>
    <row r="411" spans="1:19" ht="15.75" customHeight="1">
      <c r="A411" s="68"/>
      <c r="B411" s="68"/>
      <c r="C411" s="5"/>
      <c r="D411" s="68"/>
      <c r="E411" s="69"/>
      <c r="K411" s="68"/>
      <c r="M411" s="68"/>
      <c r="O411" s="68"/>
      <c r="P411" s="68"/>
      <c r="Q411" s="68"/>
      <c r="R411" s="68"/>
      <c r="S411" s="68"/>
    </row>
    <row r="412" spans="1:19" ht="15.75" customHeight="1">
      <c r="A412" s="68"/>
      <c r="B412" s="68"/>
      <c r="C412" s="5"/>
      <c r="D412" s="68"/>
      <c r="E412" s="69"/>
      <c r="K412" s="68"/>
      <c r="M412" s="68"/>
      <c r="O412" s="68"/>
      <c r="P412" s="68"/>
      <c r="Q412" s="68"/>
      <c r="R412" s="68"/>
      <c r="S412" s="68"/>
    </row>
    <row r="413" spans="1:19" ht="15.75" customHeight="1">
      <c r="A413" s="68"/>
      <c r="B413" s="68"/>
      <c r="C413" s="5"/>
      <c r="D413" s="68"/>
      <c r="E413" s="69"/>
      <c r="K413" s="68"/>
      <c r="M413" s="68"/>
      <c r="O413" s="68"/>
      <c r="P413" s="68"/>
      <c r="Q413" s="68"/>
      <c r="R413" s="68"/>
      <c r="S413" s="68"/>
    </row>
    <row r="414" spans="1:19" ht="15.75" customHeight="1">
      <c r="A414" s="68"/>
      <c r="B414" s="68"/>
      <c r="C414" s="5"/>
      <c r="D414" s="68"/>
      <c r="E414" s="69"/>
      <c r="K414" s="68"/>
      <c r="M414" s="68"/>
      <c r="O414" s="68"/>
      <c r="P414" s="68"/>
      <c r="Q414" s="68"/>
      <c r="R414" s="68"/>
      <c r="S414" s="68"/>
    </row>
    <row r="415" spans="1:19" ht="15.75" customHeight="1">
      <c r="A415" s="68"/>
      <c r="B415" s="68"/>
      <c r="C415" s="5"/>
      <c r="D415" s="68"/>
      <c r="E415" s="69"/>
      <c r="K415" s="68"/>
      <c r="M415" s="68"/>
      <c r="O415" s="68"/>
      <c r="P415" s="68"/>
      <c r="Q415" s="68"/>
      <c r="R415" s="68"/>
      <c r="S415" s="68"/>
    </row>
    <row r="416" spans="1:19" ht="15.75" customHeight="1">
      <c r="A416" s="68"/>
      <c r="B416" s="68"/>
      <c r="C416" s="5"/>
      <c r="D416" s="68"/>
      <c r="E416" s="69"/>
      <c r="K416" s="68"/>
      <c r="M416" s="68"/>
      <c r="O416" s="68"/>
      <c r="P416" s="68"/>
      <c r="Q416" s="68"/>
      <c r="R416" s="68"/>
      <c r="S416" s="68"/>
    </row>
    <row r="417" spans="1:19" ht="15.75" customHeight="1">
      <c r="A417" s="68"/>
      <c r="B417" s="68"/>
      <c r="C417" s="5"/>
      <c r="D417" s="68"/>
      <c r="E417" s="69"/>
      <c r="K417" s="68"/>
      <c r="M417" s="68"/>
      <c r="O417" s="68"/>
      <c r="P417" s="68"/>
      <c r="Q417" s="68"/>
      <c r="R417" s="68"/>
      <c r="S417" s="68"/>
    </row>
    <row r="418" spans="1:19" ht="15.75" customHeight="1">
      <c r="A418" s="68"/>
      <c r="B418" s="68"/>
      <c r="C418" s="5"/>
      <c r="D418" s="68"/>
      <c r="E418" s="69"/>
      <c r="K418" s="68"/>
      <c r="M418" s="68"/>
      <c r="O418" s="68"/>
      <c r="P418" s="68"/>
      <c r="Q418" s="68"/>
      <c r="R418" s="68"/>
      <c r="S418" s="68"/>
    </row>
    <row r="419" spans="1:19" ht="15.75" customHeight="1">
      <c r="A419" s="68"/>
      <c r="B419" s="68"/>
      <c r="C419" s="5"/>
      <c r="D419" s="68"/>
      <c r="E419" s="69"/>
      <c r="K419" s="68"/>
      <c r="M419" s="68"/>
      <c r="O419" s="68"/>
      <c r="P419" s="68"/>
      <c r="Q419" s="68"/>
      <c r="R419" s="68"/>
      <c r="S419" s="68"/>
    </row>
    <row r="420" spans="1:19" ht="15.75" customHeight="1">
      <c r="A420" s="68"/>
      <c r="B420" s="68"/>
      <c r="C420" s="5"/>
      <c r="D420" s="68"/>
      <c r="E420" s="69"/>
      <c r="K420" s="68"/>
      <c r="M420" s="68"/>
      <c r="O420" s="68"/>
      <c r="P420" s="68"/>
      <c r="Q420" s="68"/>
      <c r="R420" s="68"/>
      <c r="S420" s="68"/>
    </row>
    <row r="421" spans="1:19" ht="15.75" customHeight="1">
      <c r="A421" s="68"/>
      <c r="B421" s="68"/>
      <c r="C421" s="5"/>
      <c r="D421" s="68"/>
      <c r="E421" s="69"/>
      <c r="K421" s="68"/>
      <c r="M421" s="68"/>
      <c r="O421" s="68"/>
      <c r="P421" s="68"/>
      <c r="Q421" s="68"/>
      <c r="R421" s="68"/>
      <c r="S421" s="68"/>
    </row>
    <row r="422" spans="1:19" ht="15.75" customHeight="1">
      <c r="A422" s="68"/>
      <c r="B422" s="68"/>
      <c r="C422" s="5"/>
      <c r="D422" s="68"/>
      <c r="E422" s="69"/>
      <c r="K422" s="68"/>
      <c r="M422" s="68"/>
      <c r="O422" s="68"/>
      <c r="P422" s="68"/>
      <c r="Q422" s="68"/>
      <c r="R422" s="68"/>
      <c r="S422" s="68"/>
    </row>
    <row r="423" spans="1:19" ht="15.75" customHeight="1">
      <c r="A423" s="68"/>
      <c r="B423" s="68"/>
      <c r="C423" s="5"/>
      <c r="D423" s="68"/>
      <c r="E423" s="69"/>
      <c r="K423" s="68"/>
      <c r="M423" s="68"/>
      <c r="O423" s="68"/>
      <c r="P423" s="68"/>
      <c r="Q423" s="68"/>
      <c r="R423" s="68"/>
      <c r="S423" s="68"/>
    </row>
    <row r="424" spans="1:19" ht="15.75" customHeight="1">
      <c r="A424" s="68"/>
      <c r="B424" s="68"/>
      <c r="C424" s="5"/>
      <c r="D424" s="68"/>
      <c r="E424" s="69"/>
      <c r="K424" s="68"/>
      <c r="M424" s="68"/>
      <c r="O424" s="68"/>
      <c r="P424" s="68"/>
      <c r="Q424" s="68"/>
      <c r="R424" s="68"/>
      <c r="S424" s="68"/>
    </row>
    <row r="425" spans="1:19" ht="15.75" customHeight="1">
      <c r="A425" s="68"/>
      <c r="B425" s="68"/>
      <c r="C425" s="5"/>
      <c r="D425" s="68"/>
      <c r="E425" s="69"/>
      <c r="K425" s="68"/>
      <c r="M425" s="68"/>
      <c r="O425" s="68"/>
      <c r="P425" s="68"/>
      <c r="Q425" s="68"/>
      <c r="R425" s="68"/>
      <c r="S425" s="68"/>
    </row>
    <row r="426" spans="1:19" ht="15.75" customHeight="1">
      <c r="A426" s="68"/>
      <c r="B426" s="68"/>
      <c r="C426" s="5"/>
      <c r="D426" s="68"/>
      <c r="E426" s="69"/>
      <c r="K426" s="68"/>
      <c r="M426" s="68"/>
      <c r="O426" s="68"/>
      <c r="P426" s="68"/>
      <c r="Q426" s="68"/>
      <c r="R426" s="68"/>
      <c r="S426" s="68"/>
    </row>
    <row r="427" spans="1:19" ht="15.75" customHeight="1">
      <c r="A427" s="68"/>
      <c r="B427" s="68"/>
      <c r="C427" s="5"/>
      <c r="D427" s="68"/>
      <c r="E427" s="69"/>
      <c r="K427" s="68"/>
      <c r="M427" s="68"/>
      <c r="O427" s="68"/>
      <c r="P427" s="68"/>
      <c r="Q427" s="68"/>
      <c r="R427" s="68"/>
      <c r="S427" s="68"/>
    </row>
    <row r="428" spans="1:19" ht="15.75" customHeight="1">
      <c r="A428" s="68"/>
      <c r="B428" s="68"/>
      <c r="C428" s="5"/>
      <c r="D428" s="68"/>
      <c r="E428" s="69"/>
      <c r="K428" s="68"/>
      <c r="M428" s="68"/>
      <c r="O428" s="68"/>
      <c r="P428" s="68"/>
      <c r="Q428" s="68"/>
      <c r="R428" s="68"/>
      <c r="S428" s="68"/>
    </row>
    <row r="429" spans="1:19" ht="15.75" customHeight="1">
      <c r="A429" s="68"/>
      <c r="B429" s="68"/>
      <c r="C429" s="5"/>
      <c r="D429" s="68"/>
      <c r="E429" s="69"/>
      <c r="K429" s="68"/>
      <c r="M429" s="68"/>
      <c r="O429" s="68"/>
      <c r="P429" s="68"/>
      <c r="Q429" s="68"/>
      <c r="R429" s="68"/>
      <c r="S429" s="68"/>
    </row>
    <row r="430" spans="1:19" ht="15.75" customHeight="1">
      <c r="A430" s="68"/>
      <c r="B430" s="68"/>
      <c r="C430" s="5"/>
      <c r="D430" s="68"/>
      <c r="E430" s="69"/>
      <c r="K430" s="68"/>
      <c r="M430" s="68"/>
      <c r="O430" s="68"/>
      <c r="P430" s="68"/>
      <c r="Q430" s="68"/>
      <c r="R430" s="68"/>
      <c r="S430" s="68"/>
    </row>
    <row r="431" spans="1:19" ht="15.75" customHeight="1">
      <c r="A431" s="68"/>
      <c r="B431" s="68"/>
      <c r="C431" s="5"/>
      <c r="D431" s="68"/>
      <c r="E431" s="69"/>
      <c r="K431" s="68"/>
      <c r="M431" s="68"/>
      <c r="O431" s="68"/>
      <c r="P431" s="68"/>
      <c r="Q431" s="68"/>
      <c r="R431" s="68"/>
      <c r="S431" s="68"/>
    </row>
    <row r="432" spans="1:19" ht="15.75" customHeight="1">
      <c r="A432" s="68"/>
      <c r="B432" s="68"/>
      <c r="C432" s="5"/>
      <c r="D432" s="68"/>
      <c r="E432" s="69"/>
      <c r="K432" s="68"/>
      <c r="M432" s="68"/>
      <c r="O432" s="68"/>
      <c r="P432" s="68"/>
      <c r="Q432" s="68"/>
      <c r="R432" s="68"/>
      <c r="S432" s="68"/>
    </row>
    <row r="433" spans="1:19" ht="15.75" customHeight="1">
      <c r="A433" s="68"/>
      <c r="B433" s="68"/>
      <c r="C433" s="5"/>
      <c r="D433" s="68"/>
      <c r="E433" s="69"/>
      <c r="K433" s="68"/>
      <c r="M433" s="68"/>
      <c r="O433" s="68"/>
      <c r="P433" s="68"/>
      <c r="Q433" s="68"/>
      <c r="R433" s="68"/>
      <c r="S433" s="68"/>
    </row>
    <row r="434" spans="1:19" ht="15.75" customHeight="1">
      <c r="A434" s="68"/>
      <c r="B434" s="68"/>
      <c r="C434" s="5"/>
      <c r="D434" s="68"/>
      <c r="E434" s="69"/>
      <c r="K434" s="68"/>
      <c r="M434" s="68"/>
      <c r="O434" s="68"/>
      <c r="P434" s="68"/>
      <c r="Q434" s="68"/>
      <c r="R434" s="68"/>
      <c r="S434" s="68"/>
    </row>
    <row r="435" spans="1:19" ht="15.75" customHeight="1">
      <c r="A435" s="68"/>
      <c r="B435" s="68"/>
      <c r="C435" s="5"/>
      <c r="D435" s="68"/>
      <c r="E435" s="69"/>
      <c r="K435" s="68"/>
      <c r="M435" s="68"/>
      <c r="O435" s="68"/>
      <c r="P435" s="68"/>
      <c r="Q435" s="68"/>
      <c r="R435" s="68"/>
      <c r="S435" s="68"/>
    </row>
    <row r="436" spans="1:19" ht="15.75" customHeight="1">
      <c r="A436" s="68"/>
      <c r="B436" s="68"/>
      <c r="C436" s="5"/>
      <c r="D436" s="68"/>
      <c r="E436" s="69"/>
      <c r="K436" s="68"/>
      <c r="M436" s="68"/>
      <c r="O436" s="68"/>
      <c r="P436" s="68"/>
      <c r="Q436" s="68"/>
      <c r="R436" s="68"/>
      <c r="S436" s="68"/>
    </row>
    <row r="437" spans="1:19" ht="15.75" customHeight="1">
      <c r="A437" s="68"/>
      <c r="B437" s="68"/>
      <c r="C437" s="5"/>
      <c r="D437" s="68"/>
      <c r="E437" s="69"/>
      <c r="K437" s="68"/>
      <c r="M437" s="68"/>
      <c r="O437" s="68"/>
      <c r="P437" s="68"/>
      <c r="Q437" s="68"/>
      <c r="R437" s="68"/>
      <c r="S437" s="68"/>
    </row>
    <row r="438" spans="1:19" ht="15.75" customHeight="1">
      <c r="A438" s="68"/>
      <c r="B438" s="68"/>
      <c r="C438" s="5"/>
      <c r="D438" s="68"/>
      <c r="E438" s="69"/>
      <c r="K438" s="68"/>
      <c r="M438" s="68"/>
      <c r="O438" s="68"/>
      <c r="P438" s="68"/>
      <c r="Q438" s="68"/>
      <c r="R438" s="68"/>
      <c r="S438" s="68"/>
    </row>
    <row r="439" spans="1:19" ht="15.75" customHeight="1">
      <c r="A439" s="68"/>
      <c r="B439" s="68"/>
      <c r="C439" s="5"/>
      <c r="D439" s="68"/>
      <c r="E439" s="69"/>
      <c r="K439" s="68"/>
      <c r="M439" s="68"/>
      <c r="O439" s="68"/>
      <c r="P439" s="68"/>
      <c r="Q439" s="68"/>
      <c r="R439" s="68"/>
      <c r="S439" s="68"/>
    </row>
    <row r="440" spans="1:19" ht="15.75" customHeight="1">
      <c r="A440" s="68"/>
      <c r="B440" s="68"/>
      <c r="C440" s="5"/>
      <c r="D440" s="68"/>
      <c r="E440" s="69"/>
      <c r="K440" s="68"/>
      <c r="M440" s="68"/>
      <c r="O440" s="68"/>
      <c r="P440" s="68"/>
      <c r="Q440" s="68"/>
      <c r="R440" s="68"/>
      <c r="S440" s="68"/>
    </row>
    <row r="441" spans="1:19" ht="15.75" customHeight="1">
      <c r="A441" s="68"/>
      <c r="B441" s="68"/>
      <c r="C441" s="5"/>
      <c r="D441" s="68"/>
      <c r="E441" s="69"/>
      <c r="K441" s="68"/>
      <c r="M441" s="68"/>
      <c r="O441" s="68"/>
      <c r="P441" s="68"/>
      <c r="Q441" s="68"/>
      <c r="R441" s="68"/>
      <c r="S441" s="68"/>
    </row>
    <row r="442" spans="1:19" ht="15.75" customHeight="1">
      <c r="A442" s="68"/>
      <c r="B442" s="68"/>
      <c r="C442" s="5"/>
      <c r="D442" s="68"/>
      <c r="E442" s="69"/>
      <c r="K442" s="68"/>
      <c r="M442" s="68"/>
      <c r="O442" s="68"/>
      <c r="P442" s="68"/>
      <c r="Q442" s="68"/>
      <c r="R442" s="68"/>
      <c r="S442" s="68"/>
    </row>
    <row r="443" spans="1:19" ht="15.75" customHeight="1">
      <c r="A443" s="68"/>
      <c r="B443" s="68"/>
      <c r="C443" s="5"/>
      <c r="D443" s="68"/>
      <c r="E443" s="69"/>
      <c r="K443" s="68"/>
      <c r="M443" s="68"/>
      <c r="O443" s="68"/>
      <c r="P443" s="68"/>
      <c r="Q443" s="68"/>
      <c r="R443" s="68"/>
      <c r="S443" s="68"/>
    </row>
    <row r="444" spans="1:19" ht="15.75" customHeight="1">
      <c r="A444" s="68"/>
      <c r="B444" s="68"/>
      <c r="C444" s="5"/>
      <c r="D444" s="68"/>
      <c r="E444" s="69"/>
      <c r="K444" s="68"/>
      <c r="M444" s="68"/>
      <c r="O444" s="68"/>
      <c r="P444" s="68"/>
      <c r="Q444" s="68"/>
      <c r="R444" s="68"/>
      <c r="S444" s="68"/>
    </row>
    <row r="445" spans="1:19" ht="15.75" customHeight="1">
      <c r="A445" s="68"/>
      <c r="B445" s="68"/>
      <c r="C445" s="5"/>
      <c r="D445" s="68"/>
      <c r="E445" s="69"/>
      <c r="K445" s="68"/>
      <c r="M445" s="68"/>
      <c r="O445" s="68"/>
      <c r="P445" s="68"/>
      <c r="Q445" s="68"/>
      <c r="R445" s="68"/>
      <c r="S445" s="68"/>
    </row>
    <row r="446" spans="1:19" ht="15.75" customHeight="1">
      <c r="A446" s="68"/>
      <c r="B446" s="68"/>
      <c r="C446" s="5"/>
      <c r="D446" s="68"/>
      <c r="E446" s="69"/>
      <c r="K446" s="68"/>
      <c r="M446" s="68"/>
      <c r="O446" s="68"/>
      <c r="P446" s="68"/>
      <c r="Q446" s="68"/>
      <c r="R446" s="68"/>
      <c r="S446" s="68"/>
    </row>
    <row r="447" spans="1:19" ht="15.75" customHeight="1">
      <c r="A447" s="68"/>
      <c r="B447" s="68"/>
      <c r="C447" s="5"/>
      <c r="D447" s="68"/>
      <c r="E447" s="69"/>
      <c r="K447" s="68"/>
      <c r="M447" s="68"/>
      <c r="O447" s="68"/>
      <c r="P447" s="68"/>
      <c r="Q447" s="68"/>
      <c r="R447" s="68"/>
      <c r="S447" s="68"/>
    </row>
    <row r="448" spans="1:19" ht="15.75" customHeight="1">
      <c r="A448" s="68"/>
      <c r="B448" s="68"/>
      <c r="C448" s="5"/>
      <c r="D448" s="68"/>
      <c r="E448" s="69"/>
      <c r="K448" s="68"/>
      <c r="M448" s="68"/>
      <c r="O448" s="68"/>
      <c r="P448" s="68"/>
      <c r="Q448" s="68"/>
      <c r="R448" s="68"/>
      <c r="S448" s="68"/>
    </row>
    <row r="449" spans="1:19" ht="15.75" customHeight="1">
      <c r="A449" s="68"/>
      <c r="B449" s="68"/>
      <c r="C449" s="5"/>
      <c r="D449" s="68"/>
      <c r="E449" s="69"/>
      <c r="K449" s="68"/>
      <c r="M449" s="68"/>
      <c r="O449" s="68"/>
      <c r="P449" s="68"/>
      <c r="Q449" s="68"/>
      <c r="R449" s="68"/>
      <c r="S449" s="68"/>
    </row>
    <row r="450" spans="1:19" ht="15.75" customHeight="1">
      <c r="A450" s="68"/>
      <c r="B450" s="68"/>
      <c r="C450" s="5"/>
      <c r="D450" s="68"/>
      <c r="E450" s="69"/>
      <c r="K450" s="68"/>
      <c r="M450" s="68"/>
      <c r="O450" s="68"/>
      <c r="P450" s="68"/>
      <c r="Q450" s="68"/>
      <c r="R450" s="68"/>
      <c r="S450" s="68"/>
    </row>
    <row r="451" spans="1:19" ht="15.75" customHeight="1">
      <c r="A451" s="68"/>
      <c r="B451" s="68"/>
      <c r="C451" s="5"/>
      <c r="D451" s="68"/>
      <c r="E451" s="69"/>
      <c r="K451" s="68"/>
      <c r="M451" s="68"/>
      <c r="O451" s="68"/>
      <c r="P451" s="68"/>
      <c r="Q451" s="68"/>
      <c r="R451" s="68"/>
      <c r="S451" s="68"/>
    </row>
    <row r="452" spans="1:19" ht="15.75" customHeight="1">
      <c r="A452" s="68"/>
      <c r="B452" s="68"/>
      <c r="C452" s="5"/>
      <c r="D452" s="68"/>
      <c r="E452" s="69"/>
      <c r="K452" s="68"/>
      <c r="M452" s="68"/>
      <c r="O452" s="68"/>
      <c r="P452" s="68"/>
      <c r="Q452" s="68"/>
      <c r="R452" s="68"/>
      <c r="S452" s="68"/>
    </row>
    <row r="453" spans="1:19" ht="15.75" customHeight="1">
      <c r="A453" s="68"/>
      <c r="B453" s="68"/>
      <c r="C453" s="5"/>
      <c r="D453" s="68"/>
      <c r="E453" s="69"/>
      <c r="K453" s="68"/>
      <c r="M453" s="68"/>
      <c r="O453" s="68"/>
      <c r="P453" s="68"/>
      <c r="Q453" s="68"/>
      <c r="R453" s="68"/>
      <c r="S453" s="68"/>
    </row>
    <row r="454" spans="1:19" ht="15.75" customHeight="1">
      <c r="A454" s="68"/>
      <c r="B454" s="68"/>
      <c r="C454" s="5"/>
      <c r="D454" s="68"/>
      <c r="E454" s="69"/>
      <c r="K454" s="68"/>
      <c r="M454" s="68"/>
      <c r="O454" s="68"/>
      <c r="P454" s="68"/>
      <c r="Q454" s="68"/>
      <c r="R454" s="68"/>
      <c r="S454" s="68"/>
    </row>
    <row r="455" spans="1:19" ht="15.75" customHeight="1">
      <c r="A455" s="68"/>
      <c r="B455" s="68"/>
      <c r="C455" s="5"/>
      <c r="D455" s="68"/>
      <c r="E455" s="69"/>
      <c r="K455" s="68"/>
      <c r="M455" s="68"/>
      <c r="O455" s="68"/>
      <c r="P455" s="68"/>
      <c r="Q455" s="68"/>
      <c r="R455" s="68"/>
      <c r="S455" s="68"/>
    </row>
    <row r="456" spans="1:19" ht="15.75" customHeight="1">
      <c r="A456" s="68"/>
      <c r="B456" s="68"/>
      <c r="C456" s="5"/>
      <c r="D456" s="68"/>
      <c r="E456" s="69"/>
      <c r="K456" s="68"/>
      <c r="M456" s="68"/>
      <c r="O456" s="68"/>
      <c r="P456" s="68"/>
      <c r="Q456" s="68"/>
      <c r="R456" s="68"/>
      <c r="S456" s="68"/>
    </row>
    <row r="457" spans="1:19" ht="15.75" customHeight="1">
      <c r="A457" s="68"/>
      <c r="B457" s="68"/>
      <c r="C457" s="5"/>
      <c r="D457" s="68"/>
      <c r="E457" s="69"/>
      <c r="K457" s="68"/>
      <c r="M457" s="68"/>
      <c r="O457" s="68"/>
      <c r="P457" s="68"/>
      <c r="Q457" s="68"/>
      <c r="R457" s="68"/>
      <c r="S457" s="68"/>
    </row>
    <row r="458" spans="1:19" ht="15.75" customHeight="1">
      <c r="A458" s="68"/>
      <c r="B458" s="68"/>
      <c r="C458" s="5"/>
      <c r="D458" s="68"/>
      <c r="E458" s="69"/>
      <c r="K458" s="68"/>
      <c r="M458" s="68"/>
      <c r="O458" s="68"/>
      <c r="P458" s="68"/>
      <c r="Q458" s="68"/>
      <c r="R458" s="68"/>
      <c r="S458" s="68"/>
    </row>
    <row r="459" spans="1:19" ht="15.75" customHeight="1">
      <c r="A459" s="68"/>
      <c r="B459" s="68"/>
      <c r="C459" s="5"/>
      <c r="D459" s="68"/>
      <c r="E459" s="69"/>
      <c r="K459" s="68"/>
      <c r="M459" s="68"/>
      <c r="O459" s="68"/>
      <c r="P459" s="68"/>
      <c r="Q459" s="68"/>
      <c r="R459" s="68"/>
      <c r="S459" s="68"/>
    </row>
    <row r="460" spans="1:19" ht="15.75" customHeight="1">
      <c r="A460" s="68"/>
      <c r="B460" s="68"/>
      <c r="C460" s="5"/>
      <c r="D460" s="68"/>
      <c r="E460" s="69"/>
      <c r="K460" s="68"/>
      <c r="M460" s="68"/>
      <c r="O460" s="68"/>
      <c r="P460" s="68"/>
      <c r="Q460" s="68"/>
      <c r="R460" s="68"/>
      <c r="S460" s="68"/>
    </row>
    <row r="461" spans="1:19" ht="15.75" customHeight="1">
      <c r="A461" s="68"/>
      <c r="B461" s="68"/>
      <c r="C461" s="5"/>
      <c r="D461" s="68"/>
      <c r="E461" s="69"/>
      <c r="K461" s="68"/>
      <c r="M461" s="68"/>
      <c r="O461" s="68"/>
      <c r="P461" s="68"/>
      <c r="Q461" s="68"/>
      <c r="R461" s="68"/>
      <c r="S461" s="68"/>
    </row>
    <row r="462" spans="1:19" ht="15.75" customHeight="1">
      <c r="A462" s="68"/>
      <c r="B462" s="68"/>
      <c r="C462" s="5"/>
      <c r="D462" s="68"/>
      <c r="E462" s="69"/>
      <c r="K462" s="68"/>
      <c r="M462" s="68"/>
      <c r="O462" s="68"/>
      <c r="P462" s="68"/>
      <c r="Q462" s="68"/>
      <c r="R462" s="68"/>
      <c r="S462" s="68"/>
    </row>
    <row r="463" spans="1:19" ht="15.75" customHeight="1">
      <c r="A463" s="68"/>
      <c r="B463" s="68"/>
      <c r="C463" s="5"/>
      <c r="D463" s="68"/>
      <c r="E463" s="69"/>
      <c r="K463" s="68"/>
      <c r="M463" s="68"/>
      <c r="O463" s="68"/>
      <c r="P463" s="68"/>
      <c r="Q463" s="68"/>
      <c r="R463" s="68"/>
      <c r="S463" s="68"/>
    </row>
    <row r="464" spans="1:19" ht="15.75" customHeight="1">
      <c r="A464" s="68"/>
      <c r="B464" s="68"/>
      <c r="C464" s="5"/>
      <c r="D464" s="68"/>
      <c r="E464" s="69"/>
      <c r="K464" s="68"/>
      <c r="M464" s="68"/>
      <c r="O464" s="68"/>
      <c r="P464" s="68"/>
      <c r="Q464" s="68"/>
      <c r="R464" s="68"/>
      <c r="S464" s="68"/>
    </row>
    <row r="465" spans="1:19" ht="15.75" customHeight="1">
      <c r="A465" s="68"/>
      <c r="B465" s="68"/>
      <c r="C465" s="5"/>
      <c r="D465" s="68"/>
      <c r="E465" s="69"/>
      <c r="K465" s="68"/>
      <c r="M465" s="68"/>
      <c r="O465" s="68"/>
      <c r="P465" s="68"/>
      <c r="Q465" s="68"/>
      <c r="R465" s="68"/>
      <c r="S465" s="68"/>
    </row>
    <row r="466" spans="1:19" ht="15.75" customHeight="1">
      <c r="A466" s="68"/>
      <c r="B466" s="68"/>
      <c r="C466" s="5"/>
      <c r="D466" s="68"/>
      <c r="E466" s="69"/>
      <c r="K466" s="68"/>
      <c r="M466" s="68"/>
      <c r="O466" s="68"/>
      <c r="P466" s="68"/>
      <c r="Q466" s="68"/>
      <c r="R466" s="68"/>
      <c r="S466" s="68"/>
    </row>
    <row r="467" spans="1:19" ht="15.75" customHeight="1">
      <c r="A467" s="68"/>
      <c r="B467" s="68"/>
      <c r="C467" s="5"/>
      <c r="D467" s="68"/>
      <c r="E467" s="69"/>
      <c r="K467" s="68"/>
      <c r="M467" s="68"/>
      <c r="O467" s="68"/>
      <c r="P467" s="68"/>
      <c r="Q467" s="68"/>
      <c r="R467" s="68"/>
      <c r="S467" s="68"/>
    </row>
    <row r="468" spans="1:19" ht="15.75" customHeight="1">
      <c r="A468" s="68"/>
      <c r="B468" s="68"/>
      <c r="C468" s="5"/>
      <c r="D468" s="68"/>
      <c r="E468" s="69"/>
      <c r="K468" s="68"/>
      <c r="M468" s="68"/>
      <c r="O468" s="68"/>
      <c r="P468" s="68"/>
      <c r="Q468" s="68"/>
      <c r="R468" s="68"/>
      <c r="S468" s="68"/>
    </row>
    <row r="469" spans="1:19" ht="15.75" customHeight="1">
      <c r="A469" s="68"/>
      <c r="B469" s="68"/>
      <c r="C469" s="5"/>
      <c r="D469" s="68"/>
      <c r="E469" s="69"/>
      <c r="K469" s="68"/>
      <c r="M469" s="68"/>
      <c r="O469" s="68"/>
      <c r="P469" s="68"/>
      <c r="Q469" s="68"/>
      <c r="R469" s="68"/>
      <c r="S469" s="68"/>
    </row>
    <row r="470" spans="1:19" ht="15.75" customHeight="1">
      <c r="A470" s="68"/>
      <c r="B470" s="68"/>
      <c r="C470" s="5"/>
      <c r="D470" s="68"/>
      <c r="E470" s="69"/>
      <c r="K470" s="68"/>
      <c r="M470" s="68"/>
      <c r="O470" s="68"/>
      <c r="P470" s="68"/>
      <c r="Q470" s="68"/>
      <c r="R470" s="68"/>
      <c r="S470" s="68"/>
    </row>
    <row r="471" spans="1:19" ht="15.75" customHeight="1">
      <c r="A471" s="68"/>
      <c r="B471" s="68"/>
      <c r="C471" s="5"/>
      <c r="D471" s="68"/>
      <c r="E471" s="69"/>
      <c r="K471" s="68"/>
      <c r="M471" s="68"/>
      <c r="O471" s="68"/>
      <c r="P471" s="68"/>
      <c r="Q471" s="68"/>
      <c r="R471" s="68"/>
      <c r="S471" s="68"/>
    </row>
    <row r="472" spans="1:19" ht="15.75" customHeight="1">
      <c r="A472" s="68"/>
      <c r="B472" s="68"/>
      <c r="C472" s="5"/>
      <c r="D472" s="68"/>
      <c r="E472" s="69"/>
      <c r="K472" s="68"/>
      <c r="M472" s="68"/>
      <c r="O472" s="68"/>
      <c r="P472" s="68"/>
      <c r="Q472" s="68"/>
      <c r="R472" s="68"/>
      <c r="S472" s="68"/>
    </row>
    <row r="473" spans="1:19" ht="15.75" customHeight="1">
      <c r="A473" s="68"/>
      <c r="B473" s="68"/>
      <c r="C473" s="5"/>
      <c r="D473" s="68"/>
      <c r="E473" s="69"/>
      <c r="K473" s="68"/>
      <c r="M473" s="68"/>
      <c r="O473" s="68"/>
      <c r="P473" s="68"/>
      <c r="Q473" s="68"/>
      <c r="R473" s="68"/>
      <c r="S473" s="68"/>
    </row>
    <row r="474" spans="1:19" ht="15.75" customHeight="1">
      <c r="A474" s="68"/>
      <c r="B474" s="68"/>
      <c r="C474" s="5"/>
      <c r="D474" s="68"/>
      <c r="E474" s="69"/>
      <c r="K474" s="68"/>
      <c r="M474" s="68"/>
      <c r="O474" s="68"/>
      <c r="P474" s="68"/>
      <c r="Q474" s="68"/>
      <c r="R474" s="68"/>
      <c r="S474" s="68"/>
    </row>
    <row r="475" spans="1:19" ht="15.75" customHeight="1">
      <c r="A475" s="68"/>
      <c r="B475" s="68"/>
      <c r="C475" s="5"/>
      <c r="D475" s="68"/>
      <c r="E475" s="69"/>
      <c r="K475" s="68"/>
      <c r="M475" s="68"/>
      <c r="O475" s="68"/>
      <c r="P475" s="68"/>
      <c r="Q475" s="68"/>
      <c r="R475" s="68"/>
      <c r="S475" s="68"/>
    </row>
    <row r="476" spans="1:19" ht="15.75" customHeight="1">
      <c r="A476" s="68"/>
      <c r="B476" s="68"/>
      <c r="C476" s="5"/>
      <c r="D476" s="68"/>
      <c r="E476" s="69"/>
      <c r="K476" s="68"/>
      <c r="M476" s="68"/>
      <c r="O476" s="68"/>
      <c r="P476" s="68"/>
      <c r="Q476" s="68"/>
      <c r="R476" s="68"/>
      <c r="S476" s="68"/>
    </row>
    <row r="477" spans="1:19" ht="15.75" customHeight="1">
      <c r="A477" s="68"/>
      <c r="B477" s="68"/>
      <c r="C477" s="5"/>
      <c r="D477" s="68"/>
      <c r="E477" s="69"/>
      <c r="K477" s="68"/>
      <c r="M477" s="68"/>
      <c r="O477" s="68"/>
      <c r="P477" s="68"/>
      <c r="Q477" s="68"/>
      <c r="R477" s="68"/>
      <c r="S477" s="68"/>
    </row>
    <row r="478" spans="1:19" ht="15.75" customHeight="1">
      <c r="A478" s="68"/>
      <c r="B478" s="68"/>
      <c r="C478" s="5"/>
      <c r="D478" s="68"/>
      <c r="E478" s="69"/>
      <c r="K478" s="68"/>
      <c r="M478" s="68"/>
      <c r="O478" s="68"/>
      <c r="P478" s="68"/>
      <c r="Q478" s="68"/>
      <c r="R478" s="68"/>
      <c r="S478" s="68"/>
    </row>
    <row r="479" spans="1:19" ht="15.75" customHeight="1">
      <c r="A479" s="68"/>
      <c r="B479" s="68"/>
      <c r="C479" s="5"/>
      <c r="D479" s="68"/>
      <c r="E479" s="69"/>
      <c r="K479" s="68"/>
      <c r="M479" s="68"/>
      <c r="O479" s="68"/>
      <c r="P479" s="68"/>
      <c r="Q479" s="68"/>
      <c r="R479" s="68"/>
      <c r="S479" s="68"/>
    </row>
    <row r="480" spans="1:19" ht="15.75" customHeight="1">
      <c r="A480" s="68"/>
      <c r="B480" s="68"/>
      <c r="C480" s="5"/>
      <c r="D480" s="68"/>
      <c r="E480" s="69"/>
      <c r="K480" s="68"/>
      <c r="M480" s="68"/>
      <c r="O480" s="68"/>
      <c r="P480" s="68"/>
      <c r="Q480" s="68"/>
      <c r="R480" s="68"/>
      <c r="S480" s="68"/>
    </row>
    <row r="481" spans="1:19" ht="15.75" customHeight="1">
      <c r="A481" s="68"/>
      <c r="B481" s="68"/>
      <c r="C481" s="5"/>
      <c r="D481" s="68"/>
      <c r="E481" s="69"/>
      <c r="K481" s="68"/>
      <c r="M481" s="68"/>
      <c r="O481" s="68"/>
      <c r="P481" s="68"/>
      <c r="Q481" s="68"/>
      <c r="R481" s="68"/>
      <c r="S481" s="68"/>
    </row>
    <row r="482" spans="1:19" ht="15.75" customHeight="1">
      <c r="A482" s="68"/>
      <c r="B482" s="68"/>
      <c r="C482" s="5"/>
      <c r="D482" s="68"/>
      <c r="E482" s="69"/>
      <c r="K482" s="68"/>
      <c r="M482" s="68"/>
      <c r="O482" s="68"/>
      <c r="P482" s="68"/>
      <c r="Q482" s="68"/>
      <c r="R482" s="68"/>
      <c r="S482" s="68"/>
    </row>
    <row r="483" spans="1:19" ht="15.75" customHeight="1">
      <c r="A483" s="68"/>
      <c r="B483" s="68"/>
      <c r="C483" s="5"/>
      <c r="D483" s="68"/>
      <c r="E483" s="69"/>
      <c r="K483" s="68"/>
      <c r="M483" s="68"/>
      <c r="O483" s="68"/>
      <c r="P483" s="68"/>
      <c r="Q483" s="68"/>
      <c r="R483" s="68"/>
      <c r="S483" s="68"/>
    </row>
    <row r="484" spans="1:19" ht="15.75" customHeight="1">
      <c r="A484" s="68"/>
      <c r="B484" s="68"/>
      <c r="C484" s="5"/>
      <c r="D484" s="68"/>
      <c r="E484" s="69"/>
      <c r="K484" s="68"/>
      <c r="M484" s="68"/>
      <c r="O484" s="68"/>
      <c r="P484" s="68"/>
      <c r="Q484" s="68"/>
      <c r="R484" s="68"/>
      <c r="S484" s="68"/>
    </row>
    <row r="485" spans="1:19" ht="15.75" customHeight="1">
      <c r="A485" s="68"/>
      <c r="B485" s="68"/>
      <c r="C485" s="5"/>
      <c r="D485" s="68"/>
      <c r="E485" s="69"/>
      <c r="K485" s="68"/>
      <c r="M485" s="68"/>
      <c r="O485" s="68"/>
      <c r="P485" s="68"/>
      <c r="Q485" s="68"/>
      <c r="R485" s="68"/>
      <c r="S485" s="68"/>
    </row>
    <row r="486" spans="1:19" ht="15.75" customHeight="1">
      <c r="A486" s="68"/>
      <c r="B486" s="68"/>
      <c r="C486" s="5"/>
      <c r="D486" s="68"/>
      <c r="E486" s="69"/>
      <c r="K486" s="68"/>
      <c r="M486" s="68"/>
      <c r="O486" s="68"/>
      <c r="P486" s="68"/>
      <c r="Q486" s="68"/>
      <c r="R486" s="68"/>
      <c r="S486" s="68"/>
    </row>
    <row r="487" spans="1:19" ht="15.75" customHeight="1">
      <c r="A487" s="68"/>
      <c r="B487" s="68"/>
      <c r="C487" s="5"/>
      <c r="D487" s="68"/>
      <c r="E487" s="69"/>
      <c r="K487" s="68"/>
      <c r="M487" s="68"/>
      <c r="O487" s="68"/>
      <c r="P487" s="68"/>
      <c r="Q487" s="68"/>
      <c r="R487" s="68"/>
      <c r="S487" s="68"/>
    </row>
    <row r="488" spans="1:19" ht="15.75" customHeight="1">
      <c r="A488" s="68"/>
      <c r="B488" s="68"/>
      <c r="C488" s="5"/>
      <c r="D488" s="68"/>
      <c r="E488" s="69"/>
      <c r="K488" s="68"/>
      <c r="M488" s="68"/>
      <c r="O488" s="68"/>
      <c r="P488" s="68"/>
      <c r="Q488" s="68"/>
      <c r="R488" s="68"/>
      <c r="S488" s="68"/>
    </row>
    <row r="489" spans="1:19" ht="15.75" customHeight="1">
      <c r="A489" s="68"/>
      <c r="B489" s="68"/>
      <c r="C489" s="5"/>
      <c r="D489" s="68"/>
      <c r="E489" s="69"/>
      <c r="K489" s="68"/>
      <c r="M489" s="68"/>
      <c r="O489" s="68"/>
      <c r="P489" s="68"/>
      <c r="Q489" s="68"/>
      <c r="R489" s="68"/>
      <c r="S489" s="68"/>
    </row>
    <row r="490" spans="1:19" ht="15.75" customHeight="1">
      <c r="A490" s="68"/>
      <c r="B490" s="68"/>
      <c r="C490" s="5"/>
      <c r="D490" s="68"/>
      <c r="E490" s="69"/>
      <c r="K490" s="68"/>
      <c r="M490" s="68"/>
      <c r="O490" s="68"/>
      <c r="P490" s="68"/>
      <c r="Q490" s="68"/>
      <c r="R490" s="68"/>
      <c r="S490" s="68"/>
    </row>
    <row r="491" spans="1:19" ht="15.75" customHeight="1">
      <c r="A491" s="68"/>
      <c r="B491" s="68"/>
      <c r="C491" s="5"/>
      <c r="D491" s="68"/>
      <c r="E491" s="69"/>
      <c r="K491" s="68"/>
      <c r="M491" s="68"/>
      <c r="O491" s="68"/>
      <c r="P491" s="68"/>
      <c r="Q491" s="68"/>
      <c r="R491" s="68"/>
      <c r="S491" s="68"/>
    </row>
    <row r="492" spans="1:19" ht="15.75" customHeight="1">
      <c r="A492" s="68"/>
      <c r="B492" s="68"/>
      <c r="C492" s="5"/>
      <c r="D492" s="68"/>
      <c r="E492" s="69"/>
      <c r="K492" s="68"/>
      <c r="M492" s="68"/>
      <c r="O492" s="68"/>
      <c r="P492" s="68"/>
      <c r="Q492" s="68"/>
      <c r="R492" s="68"/>
      <c r="S492" s="68"/>
    </row>
    <row r="493" spans="1:19" ht="15.75" customHeight="1">
      <c r="A493" s="68"/>
      <c r="B493" s="68"/>
      <c r="C493" s="5"/>
      <c r="D493" s="68"/>
      <c r="E493" s="69"/>
      <c r="K493" s="68"/>
      <c r="M493" s="68"/>
      <c r="O493" s="68"/>
      <c r="P493" s="68"/>
      <c r="Q493" s="68"/>
      <c r="R493" s="68"/>
      <c r="S493" s="68"/>
    </row>
    <row r="494" spans="1:19" ht="15.75" customHeight="1">
      <c r="A494" s="68"/>
      <c r="B494" s="68"/>
      <c r="C494" s="5"/>
      <c r="D494" s="68"/>
      <c r="E494" s="69"/>
      <c r="K494" s="68"/>
      <c r="M494" s="68"/>
      <c r="O494" s="68"/>
      <c r="P494" s="68"/>
      <c r="Q494" s="68"/>
      <c r="R494" s="68"/>
      <c r="S494" s="68"/>
    </row>
    <row r="495" spans="1:19" ht="15.75" customHeight="1">
      <c r="A495" s="68"/>
      <c r="B495" s="68"/>
      <c r="C495" s="5"/>
      <c r="D495" s="68"/>
      <c r="E495" s="69"/>
      <c r="K495" s="68"/>
      <c r="M495" s="68"/>
      <c r="O495" s="68"/>
      <c r="P495" s="68"/>
      <c r="Q495" s="68"/>
      <c r="R495" s="68"/>
      <c r="S495" s="68"/>
    </row>
    <row r="496" spans="1:19" ht="15.75" customHeight="1">
      <c r="A496" s="68"/>
      <c r="B496" s="68"/>
      <c r="C496" s="5"/>
      <c r="D496" s="68"/>
      <c r="E496" s="69"/>
      <c r="K496" s="68"/>
      <c r="M496" s="68"/>
      <c r="O496" s="68"/>
      <c r="P496" s="68"/>
      <c r="Q496" s="68"/>
      <c r="R496" s="68"/>
      <c r="S496" s="68"/>
    </row>
    <row r="497" spans="1:19" ht="15.75" customHeight="1">
      <c r="A497" s="68"/>
      <c r="B497" s="68"/>
      <c r="C497" s="5"/>
      <c r="D497" s="68"/>
      <c r="E497" s="69"/>
      <c r="K497" s="68"/>
      <c r="M497" s="68"/>
      <c r="O497" s="68"/>
      <c r="P497" s="68"/>
      <c r="Q497" s="68"/>
      <c r="R497" s="68"/>
      <c r="S497" s="68"/>
    </row>
    <row r="498" spans="1:19" ht="15.75" customHeight="1">
      <c r="A498" s="68"/>
      <c r="B498" s="68"/>
      <c r="C498" s="5"/>
      <c r="D498" s="68"/>
      <c r="E498" s="69"/>
      <c r="K498" s="68"/>
      <c r="M498" s="68"/>
      <c r="O498" s="68"/>
      <c r="P498" s="68"/>
      <c r="Q498" s="68"/>
      <c r="R498" s="68"/>
      <c r="S498" s="68"/>
    </row>
    <row r="499" spans="1:19" ht="15.75" customHeight="1">
      <c r="A499" s="68"/>
      <c r="B499" s="68"/>
      <c r="C499" s="5"/>
      <c r="D499" s="68"/>
      <c r="E499" s="69"/>
      <c r="K499" s="68"/>
      <c r="M499" s="68"/>
      <c r="O499" s="68"/>
      <c r="P499" s="68"/>
      <c r="Q499" s="68"/>
      <c r="R499" s="68"/>
      <c r="S499" s="68"/>
    </row>
    <row r="500" spans="1:19" ht="15.75" customHeight="1">
      <c r="A500" s="68"/>
      <c r="B500" s="68"/>
      <c r="C500" s="5"/>
      <c r="D500" s="68"/>
      <c r="E500" s="69"/>
      <c r="K500" s="68"/>
      <c r="M500" s="68"/>
      <c r="O500" s="68"/>
      <c r="P500" s="68"/>
      <c r="Q500" s="68"/>
      <c r="R500" s="68"/>
      <c r="S500" s="68"/>
    </row>
    <row r="501" spans="1:19" ht="15.75" customHeight="1">
      <c r="A501" s="68"/>
      <c r="B501" s="68"/>
      <c r="C501" s="5"/>
      <c r="D501" s="68"/>
      <c r="E501" s="69"/>
      <c r="K501" s="68"/>
      <c r="M501" s="68"/>
      <c r="O501" s="68"/>
      <c r="P501" s="68"/>
      <c r="Q501" s="68"/>
      <c r="R501" s="68"/>
      <c r="S501" s="68"/>
    </row>
    <row r="502" spans="1:19" ht="15.75" customHeight="1">
      <c r="A502" s="68"/>
      <c r="B502" s="68"/>
      <c r="C502" s="5"/>
      <c r="D502" s="68"/>
      <c r="E502" s="69"/>
      <c r="K502" s="68"/>
      <c r="M502" s="68"/>
      <c r="O502" s="68"/>
      <c r="P502" s="68"/>
      <c r="Q502" s="68"/>
      <c r="R502" s="68"/>
      <c r="S502" s="68"/>
    </row>
    <row r="503" spans="1:19" ht="15.75" customHeight="1">
      <c r="A503" s="68"/>
      <c r="B503" s="68"/>
      <c r="C503" s="5"/>
      <c r="D503" s="68"/>
      <c r="E503" s="69"/>
      <c r="K503" s="68"/>
      <c r="M503" s="68"/>
      <c r="O503" s="68"/>
      <c r="P503" s="68"/>
      <c r="Q503" s="68"/>
      <c r="R503" s="68"/>
      <c r="S503" s="68"/>
    </row>
    <row r="504" spans="1:19" ht="15.75" customHeight="1">
      <c r="A504" s="68"/>
      <c r="B504" s="68"/>
      <c r="C504" s="5"/>
      <c r="D504" s="68"/>
      <c r="E504" s="69"/>
      <c r="K504" s="68"/>
      <c r="M504" s="68"/>
      <c r="O504" s="68"/>
      <c r="P504" s="68"/>
      <c r="Q504" s="68"/>
      <c r="R504" s="68"/>
      <c r="S504" s="68"/>
    </row>
    <row r="505" spans="1:19" ht="15.75" customHeight="1">
      <c r="A505" s="68"/>
      <c r="B505" s="68"/>
      <c r="C505" s="5"/>
      <c r="D505" s="68"/>
      <c r="E505" s="69"/>
      <c r="K505" s="68"/>
      <c r="M505" s="68"/>
      <c r="O505" s="68"/>
      <c r="P505" s="68"/>
      <c r="Q505" s="68"/>
      <c r="R505" s="68"/>
      <c r="S505" s="68"/>
    </row>
    <row r="506" spans="1:19" ht="15.75" customHeight="1">
      <c r="A506" s="68"/>
      <c r="B506" s="68"/>
      <c r="C506" s="5"/>
      <c r="D506" s="68"/>
      <c r="E506" s="69"/>
      <c r="K506" s="68"/>
      <c r="M506" s="68"/>
      <c r="O506" s="68"/>
      <c r="P506" s="68"/>
      <c r="Q506" s="68"/>
      <c r="R506" s="68"/>
      <c r="S506" s="68"/>
    </row>
    <row r="507" spans="1:19" ht="15.75" customHeight="1">
      <c r="A507" s="68"/>
      <c r="B507" s="68"/>
      <c r="C507" s="5"/>
      <c r="D507" s="68"/>
      <c r="E507" s="69"/>
      <c r="K507" s="68"/>
      <c r="M507" s="68"/>
      <c r="O507" s="68"/>
      <c r="P507" s="68"/>
      <c r="Q507" s="68"/>
      <c r="R507" s="68"/>
      <c r="S507" s="68"/>
    </row>
    <row r="508" spans="1:19" ht="15.75" customHeight="1">
      <c r="A508" s="68"/>
      <c r="B508" s="68"/>
      <c r="C508" s="5"/>
      <c r="D508" s="68"/>
      <c r="E508" s="69"/>
      <c r="K508" s="68"/>
      <c r="M508" s="68"/>
      <c r="O508" s="68"/>
      <c r="P508" s="68"/>
      <c r="Q508" s="68"/>
      <c r="R508" s="68"/>
      <c r="S508" s="68"/>
    </row>
    <row r="509" spans="1:19" ht="15.75" customHeight="1">
      <c r="A509" s="68"/>
      <c r="B509" s="68"/>
      <c r="C509" s="5"/>
      <c r="D509" s="68"/>
      <c r="E509" s="69"/>
      <c r="K509" s="68"/>
      <c r="M509" s="68"/>
      <c r="O509" s="68"/>
      <c r="P509" s="68"/>
      <c r="Q509" s="68"/>
      <c r="R509" s="68"/>
      <c r="S509" s="68"/>
    </row>
    <row r="510" spans="1:19" ht="15.75" customHeight="1">
      <c r="A510" s="68"/>
      <c r="B510" s="68"/>
      <c r="C510" s="5"/>
      <c r="D510" s="68"/>
      <c r="E510" s="69"/>
      <c r="K510" s="68"/>
      <c r="M510" s="68"/>
      <c r="O510" s="68"/>
      <c r="P510" s="68"/>
      <c r="Q510" s="68"/>
      <c r="R510" s="68"/>
      <c r="S510" s="68"/>
    </row>
    <row r="511" spans="1:19" ht="15.75" customHeight="1">
      <c r="A511" s="68"/>
      <c r="B511" s="68"/>
      <c r="C511" s="5"/>
      <c r="D511" s="68"/>
      <c r="E511" s="69"/>
      <c r="K511" s="68"/>
      <c r="M511" s="68"/>
      <c r="O511" s="68"/>
      <c r="P511" s="68"/>
      <c r="Q511" s="68"/>
      <c r="R511" s="68"/>
      <c r="S511" s="68"/>
    </row>
    <row r="512" spans="1:19" ht="15.75" customHeight="1">
      <c r="A512" s="68"/>
      <c r="B512" s="68"/>
      <c r="C512" s="5"/>
      <c r="D512" s="68"/>
      <c r="E512" s="69"/>
      <c r="K512" s="68"/>
      <c r="M512" s="68"/>
      <c r="O512" s="68"/>
      <c r="P512" s="68"/>
      <c r="Q512" s="68"/>
      <c r="R512" s="68"/>
      <c r="S512" s="68"/>
    </row>
    <row r="513" spans="1:19" ht="15.75" customHeight="1">
      <c r="A513" s="68"/>
      <c r="B513" s="68"/>
      <c r="C513" s="5"/>
      <c r="D513" s="68"/>
      <c r="E513" s="69"/>
      <c r="K513" s="68"/>
      <c r="M513" s="68"/>
      <c r="O513" s="68"/>
      <c r="P513" s="68"/>
      <c r="Q513" s="68"/>
      <c r="R513" s="68"/>
      <c r="S513" s="68"/>
    </row>
    <row r="514" spans="1:19" ht="15.75" customHeight="1">
      <c r="A514" s="68"/>
      <c r="B514" s="68"/>
      <c r="C514" s="5"/>
      <c r="D514" s="68"/>
      <c r="E514" s="69"/>
      <c r="K514" s="68"/>
      <c r="M514" s="68"/>
      <c r="O514" s="68"/>
      <c r="P514" s="68"/>
      <c r="Q514" s="68"/>
      <c r="R514" s="68"/>
      <c r="S514" s="68"/>
    </row>
    <row r="515" spans="1:19" ht="15.75" customHeight="1">
      <c r="A515" s="68"/>
      <c r="B515" s="68"/>
      <c r="C515" s="5"/>
      <c r="D515" s="68"/>
      <c r="E515" s="69"/>
      <c r="K515" s="68"/>
      <c r="M515" s="68"/>
      <c r="O515" s="68"/>
      <c r="P515" s="68"/>
      <c r="Q515" s="68"/>
      <c r="R515" s="68"/>
      <c r="S515" s="68"/>
    </row>
    <row r="516" spans="1:19" ht="15.75" customHeight="1">
      <c r="A516" s="68"/>
      <c r="B516" s="68"/>
      <c r="C516" s="5"/>
      <c r="D516" s="68"/>
      <c r="E516" s="69"/>
      <c r="K516" s="68"/>
      <c r="M516" s="68"/>
      <c r="O516" s="68"/>
      <c r="P516" s="68"/>
      <c r="Q516" s="68"/>
      <c r="R516" s="68"/>
      <c r="S516" s="68"/>
    </row>
    <row r="517" spans="1:19" ht="15.75" customHeight="1">
      <c r="A517" s="68"/>
      <c r="B517" s="68"/>
      <c r="C517" s="5"/>
      <c r="D517" s="68"/>
      <c r="E517" s="69"/>
      <c r="K517" s="68"/>
      <c r="M517" s="68"/>
      <c r="O517" s="68"/>
      <c r="P517" s="68"/>
      <c r="Q517" s="68"/>
      <c r="R517" s="68"/>
      <c r="S517" s="68"/>
    </row>
    <row r="518" spans="1:19" ht="15.75" customHeight="1">
      <c r="A518" s="68"/>
      <c r="B518" s="68"/>
      <c r="C518" s="5"/>
      <c r="D518" s="68"/>
      <c r="E518" s="69"/>
      <c r="K518" s="68"/>
      <c r="M518" s="68"/>
      <c r="O518" s="68"/>
      <c r="P518" s="68"/>
      <c r="Q518" s="68"/>
      <c r="R518" s="68"/>
      <c r="S518" s="68"/>
    </row>
    <row r="519" spans="1:19" ht="15.75" customHeight="1">
      <c r="A519" s="68"/>
      <c r="B519" s="68"/>
      <c r="C519" s="5"/>
      <c r="D519" s="68"/>
      <c r="E519" s="69"/>
      <c r="K519" s="68"/>
      <c r="M519" s="68"/>
      <c r="O519" s="68"/>
      <c r="P519" s="68"/>
      <c r="Q519" s="68"/>
      <c r="R519" s="68"/>
      <c r="S519" s="68"/>
    </row>
    <row r="520" spans="1:19" ht="15.75" customHeight="1">
      <c r="A520" s="68"/>
      <c r="B520" s="68"/>
      <c r="C520" s="5"/>
      <c r="D520" s="68"/>
      <c r="E520" s="69"/>
      <c r="K520" s="68"/>
      <c r="M520" s="68"/>
      <c r="O520" s="68"/>
      <c r="P520" s="68"/>
      <c r="Q520" s="68"/>
      <c r="R520" s="68"/>
      <c r="S520" s="68"/>
    </row>
    <row r="521" spans="1:19" ht="15.75" customHeight="1">
      <c r="A521" s="68"/>
      <c r="B521" s="68"/>
      <c r="C521" s="5"/>
      <c r="D521" s="68"/>
      <c r="E521" s="69"/>
      <c r="K521" s="68"/>
      <c r="M521" s="68"/>
      <c r="O521" s="68"/>
      <c r="P521" s="68"/>
      <c r="Q521" s="68"/>
      <c r="R521" s="68"/>
      <c r="S521" s="68"/>
    </row>
    <row r="522" spans="1:19" ht="15.75" customHeight="1">
      <c r="A522" s="68"/>
      <c r="B522" s="68"/>
      <c r="C522" s="5"/>
      <c r="D522" s="68"/>
      <c r="E522" s="69"/>
      <c r="K522" s="68"/>
      <c r="M522" s="68"/>
      <c r="O522" s="68"/>
      <c r="P522" s="68"/>
      <c r="Q522" s="68"/>
      <c r="R522" s="68"/>
      <c r="S522" s="68"/>
    </row>
    <row r="523" spans="1:19" ht="15.75" customHeight="1">
      <c r="A523" s="68"/>
      <c r="B523" s="68"/>
      <c r="C523" s="5"/>
      <c r="D523" s="68"/>
      <c r="E523" s="69"/>
      <c r="K523" s="68"/>
      <c r="M523" s="68"/>
      <c r="O523" s="68"/>
      <c r="P523" s="68"/>
      <c r="Q523" s="68"/>
      <c r="R523" s="68"/>
      <c r="S523" s="68"/>
    </row>
    <row r="524" spans="1:19" ht="15.75" customHeight="1">
      <c r="A524" s="68"/>
      <c r="B524" s="68"/>
      <c r="C524" s="5"/>
      <c r="D524" s="68"/>
      <c r="E524" s="69"/>
      <c r="K524" s="68"/>
      <c r="M524" s="68"/>
      <c r="O524" s="68"/>
      <c r="P524" s="68"/>
      <c r="Q524" s="68"/>
      <c r="R524" s="68"/>
      <c r="S524" s="68"/>
    </row>
    <row r="525" spans="1:19" ht="15.75" customHeight="1">
      <c r="A525" s="68"/>
      <c r="B525" s="68"/>
      <c r="C525" s="5"/>
      <c r="D525" s="68"/>
      <c r="E525" s="69"/>
      <c r="K525" s="68"/>
      <c r="M525" s="68"/>
      <c r="O525" s="68"/>
      <c r="P525" s="68"/>
      <c r="Q525" s="68"/>
      <c r="R525" s="68"/>
      <c r="S525" s="68"/>
    </row>
    <row r="526" spans="1:19" ht="15.75" customHeight="1">
      <c r="A526" s="68"/>
      <c r="B526" s="68"/>
      <c r="C526" s="5"/>
      <c r="D526" s="68"/>
      <c r="E526" s="69"/>
      <c r="K526" s="68"/>
      <c r="M526" s="68"/>
      <c r="O526" s="68"/>
      <c r="P526" s="68"/>
      <c r="Q526" s="68"/>
      <c r="R526" s="68"/>
      <c r="S526" s="68"/>
    </row>
    <row r="527" spans="1:19" ht="15.75" customHeight="1">
      <c r="A527" s="68"/>
      <c r="B527" s="68"/>
      <c r="C527" s="5"/>
      <c r="D527" s="68"/>
      <c r="E527" s="69"/>
      <c r="K527" s="68"/>
      <c r="M527" s="68"/>
      <c r="O527" s="68"/>
      <c r="P527" s="68"/>
      <c r="Q527" s="68"/>
      <c r="R527" s="68"/>
      <c r="S527" s="68"/>
    </row>
    <row r="528" spans="1:19" ht="15.75" customHeight="1">
      <c r="A528" s="68"/>
      <c r="B528" s="68"/>
      <c r="C528" s="5"/>
      <c r="D528" s="68"/>
      <c r="E528" s="69"/>
      <c r="K528" s="68"/>
      <c r="M528" s="68"/>
      <c r="O528" s="68"/>
      <c r="P528" s="68"/>
      <c r="Q528" s="68"/>
      <c r="R528" s="68"/>
      <c r="S528" s="68"/>
    </row>
    <row r="529" spans="1:19" ht="15.75" customHeight="1">
      <c r="A529" s="68"/>
      <c r="B529" s="68"/>
      <c r="C529" s="5"/>
      <c r="D529" s="68"/>
      <c r="E529" s="69"/>
      <c r="K529" s="68"/>
      <c r="M529" s="68"/>
      <c r="O529" s="68"/>
      <c r="P529" s="68"/>
      <c r="Q529" s="68"/>
      <c r="R529" s="68"/>
      <c r="S529" s="68"/>
    </row>
    <row r="530" spans="1:19" ht="15.75" customHeight="1">
      <c r="A530" s="68"/>
      <c r="B530" s="68"/>
      <c r="C530" s="5"/>
      <c r="D530" s="68"/>
      <c r="E530" s="69"/>
      <c r="K530" s="68"/>
      <c r="M530" s="68"/>
      <c r="O530" s="68"/>
      <c r="P530" s="68"/>
      <c r="Q530" s="68"/>
      <c r="R530" s="68"/>
      <c r="S530" s="68"/>
    </row>
    <row r="531" spans="1:19" ht="15.75" customHeight="1">
      <c r="A531" s="68"/>
      <c r="B531" s="68"/>
      <c r="C531" s="5"/>
      <c r="D531" s="68"/>
      <c r="E531" s="69"/>
      <c r="K531" s="68"/>
      <c r="M531" s="68"/>
      <c r="O531" s="68"/>
      <c r="P531" s="68"/>
      <c r="Q531" s="68"/>
      <c r="R531" s="68"/>
      <c r="S531" s="68"/>
    </row>
    <row r="532" spans="1:19" ht="15.75" customHeight="1">
      <c r="A532" s="68"/>
      <c r="B532" s="68"/>
      <c r="C532" s="5"/>
      <c r="D532" s="68"/>
      <c r="E532" s="69"/>
      <c r="K532" s="68"/>
      <c r="M532" s="68"/>
      <c r="O532" s="68"/>
      <c r="P532" s="68"/>
      <c r="Q532" s="68"/>
      <c r="R532" s="68"/>
      <c r="S532" s="68"/>
    </row>
    <row r="533" spans="1:19" ht="15.75" customHeight="1">
      <c r="A533" s="68"/>
      <c r="B533" s="68"/>
      <c r="C533" s="5"/>
      <c r="D533" s="68"/>
      <c r="E533" s="69"/>
      <c r="K533" s="68"/>
      <c r="M533" s="68"/>
      <c r="O533" s="68"/>
      <c r="P533" s="68"/>
      <c r="Q533" s="68"/>
      <c r="R533" s="68"/>
      <c r="S533" s="68"/>
    </row>
    <row r="534" spans="1:19" ht="15.75" customHeight="1">
      <c r="A534" s="68"/>
      <c r="B534" s="68"/>
      <c r="C534" s="5"/>
      <c r="D534" s="68"/>
      <c r="E534" s="69"/>
      <c r="K534" s="68"/>
      <c r="M534" s="68"/>
      <c r="O534" s="68"/>
      <c r="P534" s="68"/>
      <c r="Q534" s="68"/>
      <c r="R534" s="68"/>
      <c r="S534" s="68"/>
    </row>
    <row r="535" spans="1:19" ht="15.75" customHeight="1">
      <c r="A535" s="68"/>
      <c r="B535" s="68"/>
      <c r="C535" s="5"/>
      <c r="D535" s="68"/>
      <c r="E535" s="69"/>
      <c r="K535" s="68"/>
      <c r="M535" s="68"/>
      <c r="O535" s="68"/>
      <c r="P535" s="68"/>
      <c r="Q535" s="68"/>
      <c r="R535" s="68"/>
      <c r="S535" s="68"/>
    </row>
    <row r="536" spans="1:19" ht="15.75" customHeight="1">
      <c r="A536" s="68"/>
      <c r="B536" s="68"/>
      <c r="C536" s="5"/>
      <c r="D536" s="68"/>
      <c r="E536" s="69"/>
      <c r="K536" s="68"/>
      <c r="M536" s="68"/>
      <c r="O536" s="68"/>
      <c r="P536" s="68"/>
      <c r="Q536" s="68"/>
      <c r="R536" s="68"/>
      <c r="S536" s="68"/>
    </row>
    <row r="537" spans="1:19" ht="15.75" customHeight="1">
      <c r="A537" s="68"/>
      <c r="B537" s="68"/>
      <c r="C537" s="5"/>
      <c r="D537" s="68"/>
      <c r="E537" s="69"/>
      <c r="K537" s="68"/>
      <c r="M537" s="68"/>
      <c r="O537" s="68"/>
      <c r="P537" s="68"/>
      <c r="Q537" s="68"/>
      <c r="R537" s="68"/>
      <c r="S537" s="68"/>
    </row>
    <row r="538" spans="1:19" ht="15.75" customHeight="1">
      <c r="A538" s="68"/>
      <c r="B538" s="68"/>
      <c r="C538" s="5"/>
      <c r="D538" s="68"/>
      <c r="E538" s="69"/>
      <c r="K538" s="68"/>
      <c r="M538" s="68"/>
      <c r="O538" s="68"/>
      <c r="P538" s="68"/>
      <c r="Q538" s="68"/>
      <c r="R538" s="68"/>
      <c r="S538" s="68"/>
    </row>
    <row r="539" spans="1:19" ht="15.75" customHeight="1">
      <c r="A539" s="68"/>
      <c r="B539" s="68"/>
      <c r="C539" s="5"/>
      <c r="D539" s="68"/>
      <c r="E539" s="69"/>
      <c r="K539" s="68"/>
      <c r="M539" s="68"/>
      <c r="O539" s="68"/>
      <c r="P539" s="68"/>
      <c r="Q539" s="68"/>
      <c r="R539" s="68"/>
      <c r="S539" s="68"/>
    </row>
    <row r="540" spans="1:19" ht="15.75" customHeight="1">
      <c r="A540" s="68"/>
      <c r="B540" s="68"/>
      <c r="C540" s="5"/>
      <c r="D540" s="68"/>
      <c r="E540" s="69"/>
      <c r="K540" s="68"/>
      <c r="M540" s="68"/>
      <c r="O540" s="68"/>
      <c r="P540" s="68"/>
      <c r="Q540" s="68"/>
      <c r="R540" s="68"/>
      <c r="S540" s="68"/>
    </row>
    <row r="541" spans="1:19" ht="15.75" customHeight="1">
      <c r="A541" s="68"/>
      <c r="B541" s="68"/>
      <c r="C541" s="5"/>
      <c r="D541" s="68"/>
      <c r="E541" s="69"/>
      <c r="K541" s="68"/>
      <c r="M541" s="68"/>
      <c r="O541" s="68"/>
      <c r="P541" s="68"/>
      <c r="Q541" s="68"/>
      <c r="R541" s="68"/>
      <c r="S541" s="68"/>
    </row>
    <row r="542" spans="1:19" ht="15.75" customHeight="1">
      <c r="A542" s="68"/>
      <c r="B542" s="68"/>
      <c r="C542" s="5"/>
      <c r="D542" s="68"/>
      <c r="E542" s="69"/>
      <c r="K542" s="68"/>
      <c r="M542" s="68"/>
      <c r="O542" s="68"/>
      <c r="P542" s="68"/>
      <c r="Q542" s="68"/>
      <c r="R542" s="68"/>
      <c r="S542" s="68"/>
    </row>
    <row r="543" spans="1:19" ht="15.75" customHeight="1">
      <c r="A543" s="68"/>
      <c r="B543" s="68"/>
      <c r="C543" s="5"/>
      <c r="D543" s="68"/>
      <c r="E543" s="69"/>
      <c r="K543" s="68"/>
      <c r="M543" s="68"/>
      <c r="O543" s="68"/>
      <c r="P543" s="68"/>
      <c r="Q543" s="68"/>
      <c r="R543" s="68"/>
      <c r="S543" s="68"/>
    </row>
    <row r="544" spans="1:19" ht="15.75" customHeight="1">
      <c r="A544" s="68"/>
      <c r="B544" s="68"/>
      <c r="C544" s="5"/>
      <c r="D544" s="68"/>
      <c r="E544" s="69"/>
      <c r="K544" s="68"/>
      <c r="M544" s="68"/>
      <c r="O544" s="68"/>
      <c r="P544" s="68"/>
      <c r="Q544" s="68"/>
      <c r="R544" s="68"/>
      <c r="S544" s="68"/>
    </row>
    <row r="545" spans="1:19" ht="15.75" customHeight="1">
      <c r="A545" s="68"/>
      <c r="B545" s="68"/>
      <c r="C545" s="5"/>
      <c r="D545" s="68"/>
      <c r="E545" s="69"/>
      <c r="K545" s="68"/>
      <c r="M545" s="68"/>
      <c r="O545" s="68"/>
      <c r="P545" s="68"/>
      <c r="Q545" s="68"/>
      <c r="R545" s="68"/>
      <c r="S545" s="68"/>
    </row>
    <row r="546" spans="1:19" ht="15.75" customHeight="1">
      <c r="A546" s="68"/>
      <c r="B546" s="68"/>
      <c r="C546" s="5"/>
      <c r="D546" s="68"/>
      <c r="E546" s="69"/>
      <c r="K546" s="68"/>
      <c r="M546" s="68"/>
      <c r="O546" s="68"/>
      <c r="P546" s="68"/>
      <c r="Q546" s="68"/>
      <c r="R546" s="68"/>
      <c r="S546" s="68"/>
    </row>
    <row r="547" spans="1:19" ht="15.75" customHeight="1">
      <c r="A547" s="68"/>
      <c r="B547" s="68"/>
      <c r="C547" s="5"/>
      <c r="D547" s="68"/>
      <c r="E547" s="69"/>
      <c r="K547" s="68"/>
      <c r="M547" s="68"/>
      <c r="O547" s="68"/>
      <c r="P547" s="68"/>
      <c r="Q547" s="68"/>
      <c r="R547" s="68"/>
      <c r="S547" s="68"/>
    </row>
    <row r="548" spans="1:19" ht="15.75" customHeight="1">
      <c r="A548" s="68"/>
      <c r="B548" s="68"/>
      <c r="C548" s="5"/>
      <c r="D548" s="68"/>
      <c r="E548" s="69"/>
      <c r="K548" s="68"/>
      <c r="M548" s="68"/>
      <c r="O548" s="68"/>
      <c r="P548" s="68"/>
      <c r="Q548" s="68"/>
      <c r="R548" s="68"/>
      <c r="S548" s="68"/>
    </row>
    <row r="549" spans="1:19" ht="15.75" customHeight="1">
      <c r="A549" s="68"/>
      <c r="B549" s="68"/>
      <c r="C549" s="5"/>
      <c r="D549" s="68"/>
      <c r="E549" s="69"/>
      <c r="K549" s="68"/>
      <c r="M549" s="68"/>
      <c r="O549" s="68"/>
      <c r="P549" s="68"/>
      <c r="Q549" s="68"/>
      <c r="R549" s="68"/>
      <c r="S549" s="68"/>
    </row>
    <row r="550" spans="1:19" ht="15.75" customHeight="1">
      <c r="A550" s="68"/>
      <c r="B550" s="68"/>
      <c r="C550" s="5"/>
      <c r="D550" s="68"/>
      <c r="E550" s="69"/>
      <c r="K550" s="68"/>
      <c r="M550" s="68"/>
      <c r="O550" s="68"/>
      <c r="P550" s="68"/>
      <c r="Q550" s="68"/>
      <c r="R550" s="68"/>
      <c r="S550" s="68"/>
    </row>
    <row r="551" spans="1:19" ht="15.75" customHeight="1">
      <c r="A551" s="68"/>
      <c r="B551" s="68"/>
      <c r="C551" s="5"/>
      <c r="D551" s="68"/>
      <c r="E551" s="69"/>
      <c r="K551" s="68"/>
      <c r="M551" s="68"/>
      <c r="O551" s="68"/>
      <c r="P551" s="68"/>
      <c r="Q551" s="68"/>
      <c r="R551" s="68"/>
      <c r="S551" s="68"/>
    </row>
    <row r="552" spans="1:19" ht="15.75" customHeight="1">
      <c r="A552" s="68"/>
      <c r="B552" s="68"/>
      <c r="C552" s="5"/>
      <c r="D552" s="68"/>
      <c r="E552" s="69"/>
      <c r="K552" s="68"/>
      <c r="M552" s="68"/>
      <c r="O552" s="68"/>
      <c r="P552" s="68"/>
      <c r="Q552" s="68"/>
      <c r="R552" s="68"/>
      <c r="S552" s="68"/>
    </row>
    <row r="553" spans="1:19" ht="15.75" customHeight="1">
      <c r="A553" s="68"/>
      <c r="B553" s="68"/>
      <c r="C553" s="5"/>
      <c r="D553" s="68"/>
      <c r="E553" s="69"/>
      <c r="K553" s="68"/>
      <c r="M553" s="68"/>
      <c r="O553" s="68"/>
      <c r="P553" s="68"/>
      <c r="Q553" s="68"/>
      <c r="R553" s="68"/>
      <c r="S553" s="68"/>
    </row>
    <row r="554" spans="1:19" ht="15.75" customHeight="1">
      <c r="A554" s="68"/>
      <c r="B554" s="68"/>
      <c r="C554" s="5"/>
      <c r="D554" s="68"/>
      <c r="E554" s="69"/>
      <c r="K554" s="68"/>
      <c r="M554" s="68"/>
      <c r="O554" s="68"/>
      <c r="P554" s="68"/>
      <c r="Q554" s="68"/>
      <c r="R554" s="68"/>
      <c r="S554" s="68"/>
    </row>
    <row r="555" spans="1:19" ht="15.75" customHeight="1">
      <c r="A555" s="68"/>
      <c r="B555" s="68"/>
      <c r="C555" s="5"/>
      <c r="D555" s="68"/>
      <c r="E555" s="69"/>
      <c r="K555" s="68"/>
      <c r="M555" s="68"/>
      <c r="O555" s="68"/>
      <c r="P555" s="68"/>
      <c r="Q555" s="68"/>
      <c r="R555" s="68"/>
      <c r="S555" s="68"/>
    </row>
    <row r="556" spans="1:19" ht="15.75" customHeight="1">
      <c r="A556" s="68"/>
      <c r="B556" s="68"/>
      <c r="C556" s="5"/>
      <c r="D556" s="68"/>
      <c r="E556" s="69"/>
      <c r="K556" s="68"/>
      <c r="M556" s="68"/>
      <c r="O556" s="68"/>
      <c r="P556" s="68"/>
      <c r="Q556" s="68"/>
      <c r="R556" s="68"/>
      <c r="S556" s="68"/>
    </row>
    <row r="557" spans="1:19" ht="15.75" customHeight="1">
      <c r="A557" s="68"/>
      <c r="B557" s="68"/>
      <c r="C557" s="5"/>
      <c r="D557" s="68"/>
      <c r="E557" s="69"/>
      <c r="K557" s="68"/>
      <c r="M557" s="68"/>
      <c r="O557" s="68"/>
      <c r="P557" s="68"/>
      <c r="Q557" s="68"/>
      <c r="R557" s="68"/>
      <c r="S557" s="68"/>
    </row>
    <row r="558" spans="1:19" ht="15.75" customHeight="1">
      <c r="A558" s="68"/>
      <c r="B558" s="68"/>
      <c r="C558" s="5"/>
      <c r="D558" s="68"/>
      <c r="E558" s="69"/>
      <c r="K558" s="68"/>
      <c r="M558" s="68"/>
      <c r="O558" s="68"/>
      <c r="P558" s="68"/>
      <c r="Q558" s="68"/>
      <c r="R558" s="68"/>
      <c r="S558" s="68"/>
    </row>
    <row r="559" spans="1:19" ht="15.75" customHeight="1">
      <c r="A559" s="68"/>
      <c r="B559" s="68"/>
      <c r="C559" s="5"/>
      <c r="D559" s="68"/>
      <c r="E559" s="69"/>
      <c r="K559" s="68"/>
      <c r="M559" s="68"/>
      <c r="O559" s="68"/>
      <c r="P559" s="68"/>
      <c r="Q559" s="68"/>
      <c r="R559" s="68"/>
      <c r="S559" s="68"/>
    </row>
    <row r="560" spans="1:19" ht="15.75" customHeight="1">
      <c r="A560" s="68"/>
      <c r="B560" s="68"/>
      <c r="C560" s="5"/>
      <c r="D560" s="68"/>
      <c r="E560" s="69"/>
      <c r="K560" s="68"/>
      <c r="M560" s="68"/>
      <c r="O560" s="68"/>
      <c r="P560" s="68"/>
      <c r="Q560" s="68"/>
      <c r="R560" s="68"/>
      <c r="S560" s="68"/>
    </row>
    <row r="561" spans="1:19" ht="15.75" customHeight="1">
      <c r="A561" s="68"/>
      <c r="B561" s="68"/>
      <c r="C561" s="5"/>
      <c r="D561" s="68"/>
      <c r="E561" s="69"/>
      <c r="K561" s="68"/>
      <c r="M561" s="68"/>
      <c r="O561" s="68"/>
      <c r="P561" s="68"/>
      <c r="Q561" s="68"/>
      <c r="R561" s="68"/>
      <c r="S561" s="68"/>
    </row>
    <row r="562" spans="1:19" ht="15.75" customHeight="1">
      <c r="A562" s="68"/>
      <c r="B562" s="68"/>
      <c r="C562" s="5"/>
      <c r="D562" s="68"/>
      <c r="E562" s="69"/>
      <c r="K562" s="68"/>
      <c r="M562" s="68"/>
      <c r="O562" s="68"/>
      <c r="P562" s="68"/>
      <c r="Q562" s="68"/>
      <c r="R562" s="68"/>
      <c r="S562" s="68"/>
    </row>
    <row r="563" spans="1:19" ht="15.75" customHeight="1">
      <c r="A563" s="68"/>
      <c r="B563" s="68"/>
      <c r="C563" s="5"/>
      <c r="D563" s="68"/>
      <c r="E563" s="69"/>
      <c r="K563" s="68"/>
      <c r="M563" s="68"/>
      <c r="O563" s="68"/>
      <c r="P563" s="68"/>
      <c r="Q563" s="68"/>
      <c r="R563" s="68"/>
      <c r="S563" s="68"/>
    </row>
    <row r="564" spans="1:19" ht="15.75" customHeight="1">
      <c r="A564" s="68"/>
      <c r="B564" s="68"/>
      <c r="C564" s="5"/>
      <c r="D564" s="68"/>
      <c r="E564" s="69"/>
      <c r="K564" s="68"/>
      <c r="M564" s="68"/>
      <c r="O564" s="68"/>
      <c r="P564" s="68"/>
      <c r="Q564" s="68"/>
      <c r="R564" s="68"/>
      <c r="S564" s="68"/>
    </row>
    <row r="565" spans="1:19" ht="15.75" customHeight="1">
      <c r="A565" s="68"/>
      <c r="B565" s="68"/>
      <c r="C565" s="5"/>
      <c r="D565" s="68"/>
      <c r="E565" s="69"/>
      <c r="K565" s="68"/>
      <c r="M565" s="68"/>
      <c r="O565" s="68"/>
      <c r="P565" s="68"/>
      <c r="Q565" s="68"/>
      <c r="R565" s="68"/>
      <c r="S565" s="68"/>
    </row>
    <row r="566" spans="1:19" ht="15.75" customHeight="1">
      <c r="A566" s="68"/>
      <c r="B566" s="68"/>
      <c r="C566" s="5"/>
      <c r="D566" s="68"/>
      <c r="E566" s="69"/>
      <c r="K566" s="68"/>
      <c r="M566" s="68"/>
      <c r="O566" s="68"/>
      <c r="P566" s="68"/>
      <c r="Q566" s="68"/>
      <c r="R566" s="68"/>
      <c r="S566" s="68"/>
    </row>
    <row r="567" spans="1:19" ht="15.75" customHeight="1">
      <c r="A567" s="68"/>
      <c r="B567" s="68"/>
      <c r="C567" s="5"/>
      <c r="D567" s="68"/>
      <c r="E567" s="69"/>
      <c r="K567" s="68"/>
      <c r="M567" s="68"/>
      <c r="O567" s="68"/>
      <c r="P567" s="68"/>
      <c r="Q567" s="68"/>
      <c r="R567" s="68"/>
      <c r="S567" s="68"/>
    </row>
    <row r="568" spans="1:19" ht="15.75" customHeight="1">
      <c r="A568" s="68"/>
      <c r="B568" s="68"/>
      <c r="C568" s="5"/>
      <c r="D568" s="68"/>
      <c r="E568" s="69"/>
      <c r="K568" s="68"/>
      <c r="M568" s="68"/>
      <c r="O568" s="68"/>
      <c r="P568" s="68"/>
      <c r="Q568" s="68"/>
      <c r="R568" s="68"/>
      <c r="S568" s="68"/>
    </row>
    <row r="569" spans="1:19" ht="15.75" customHeight="1">
      <c r="A569" s="68"/>
      <c r="B569" s="68"/>
      <c r="C569" s="5"/>
      <c r="D569" s="68"/>
      <c r="E569" s="69"/>
      <c r="K569" s="68"/>
      <c r="M569" s="68"/>
      <c r="O569" s="68"/>
      <c r="P569" s="68"/>
      <c r="Q569" s="68"/>
      <c r="R569" s="68"/>
      <c r="S569" s="68"/>
    </row>
    <row r="570" spans="1:19" ht="15.75" customHeight="1">
      <c r="A570" s="68"/>
      <c r="B570" s="68"/>
      <c r="C570" s="5"/>
      <c r="D570" s="68"/>
      <c r="E570" s="69"/>
      <c r="K570" s="68"/>
      <c r="M570" s="68"/>
      <c r="O570" s="68"/>
      <c r="P570" s="68"/>
      <c r="Q570" s="68"/>
      <c r="R570" s="68"/>
      <c r="S570" s="68"/>
    </row>
    <row r="571" spans="1:19" ht="15.75" customHeight="1">
      <c r="A571" s="68"/>
      <c r="B571" s="68"/>
      <c r="C571" s="5"/>
      <c r="D571" s="68"/>
      <c r="E571" s="69"/>
      <c r="K571" s="68"/>
      <c r="M571" s="68"/>
      <c r="O571" s="68"/>
      <c r="P571" s="68"/>
      <c r="Q571" s="68"/>
      <c r="R571" s="68"/>
      <c r="S571" s="68"/>
    </row>
    <row r="572" spans="1:19" ht="15.75" customHeight="1">
      <c r="A572" s="68"/>
      <c r="B572" s="68"/>
      <c r="C572" s="5"/>
      <c r="D572" s="68"/>
      <c r="E572" s="69"/>
      <c r="K572" s="68"/>
      <c r="M572" s="68"/>
      <c r="O572" s="68"/>
      <c r="P572" s="68"/>
      <c r="Q572" s="68"/>
      <c r="R572" s="68"/>
      <c r="S572" s="68"/>
    </row>
    <row r="573" spans="1:19" ht="15.75" customHeight="1">
      <c r="A573" s="68"/>
      <c r="B573" s="68"/>
      <c r="C573" s="5"/>
      <c r="D573" s="68"/>
      <c r="E573" s="69"/>
      <c r="K573" s="68"/>
      <c r="M573" s="68"/>
      <c r="O573" s="68"/>
      <c r="P573" s="68"/>
      <c r="Q573" s="68"/>
      <c r="R573" s="68"/>
      <c r="S573" s="68"/>
    </row>
    <row r="574" spans="1:19" ht="15.75" customHeight="1">
      <c r="A574" s="68"/>
      <c r="B574" s="68"/>
      <c r="C574" s="5"/>
      <c r="D574" s="68"/>
      <c r="E574" s="69"/>
      <c r="K574" s="68"/>
      <c r="M574" s="68"/>
      <c r="O574" s="68"/>
      <c r="P574" s="68"/>
      <c r="Q574" s="68"/>
      <c r="R574" s="68"/>
      <c r="S574" s="68"/>
    </row>
    <row r="575" spans="1:19" ht="15.75" customHeight="1">
      <c r="A575" s="68"/>
      <c r="B575" s="68"/>
      <c r="C575" s="5"/>
      <c r="D575" s="68"/>
      <c r="E575" s="69"/>
      <c r="K575" s="68"/>
      <c r="M575" s="68"/>
      <c r="O575" s="68"/>
      <c r="P575" s="68"/>
      <c r="Q575" s="68"/>
      <c r="R575" s="68"/>
      <c r="S575" s="68"/>
    </row>
    <row r="576" spans="1:19" ht="15.75" customHeight="1">
      <c r="A576" s="68"/>
      <c r="B576" s="68"/>
      <c r="C576" s="5"/>
      <c r="D576" s="68"/>
      <c r="E576" s="69"/>
      <c r="K576" s="68"/>
      <c r="M576" s="68"/>
      <c r="O576" s="68"/>
      <c r="P576" s="68"/>
      <c r="Q576" s="68"/>
      <c r="R576" s="68"/>
      <c r="S576" s="68"/>
    </row>
    <row r="577" spans="1:19" ht="15.75" customHeight="1">
      <c r="A577" s="68"/>
      <c r="B577" s="68"/>
      <c r="C577" s="5"/>
      <c r="D577" s="68"/>
      <c r="E577" s="69"/>
      <c r="K577" s="68"/>
      <c r="M577" s="68"/>
      <c r="O577" s="68"/>
      <c r="P577" s="68"/>
      <c r="Q577" s="68"/>
      <c r="R577" s="68"/>
      <c r="S577" s="68"/>
    </row>
    <row r="578" spans="1:19" ht="15.75" customHeight="1">
      <c r="A578" s="68"/>
      <c r="B578" s="68"/>
      <c r="C578" s="5"/>
      <c r="D578" s="68"/>
      <c r="E578" s="69"/>
      <c r="K578" s="68"/>
      <c r="M578" s="68"/>
      <c r="O578" s="68"/>
      <c r="P578" s="68"/>
      <c r="Q578" s="68"/>
      <c r="R578" s="68"/>
      <c r="S578" s="68"/>
    </row>
    <row r="579" spans="1:19" ht="15.75" customHeight="1">
      <c r="A579" s="68"/>
      <c r="B579" s="68"/>
      <c r="C579" s="5"/>
      <c r="D579" s="68"/>
      <c r="E579" s="69"/>
      <c r="K579" s="68"/>
      <c r="M579" s="68"/>
      <c r="O579" s="68"/>
      <c r="P579" s="68"/>
      <c r="Q579" s="68"/>
      <c r="R579" s="68"/>
      <c r="S579" s="68"/>
    </row>
    <row r="580" spans="1:19" ht="15.75" customHeight="1">
      <c r="A580" s="68"/>
      <c r="B580" s="68"/>
      <c r="C580" s="5"/>
      <c r="D580" s="68"/>
      <c r="E580" s="69"/>
      <c r="K580" s="68"/>
      <c r="M580" s="68"/>
      <c r="O580" s="68"/>
      <c r="P580" s="68"/>
      <c r="Q580" s="68"/>
      <c r="R580" s="68"/>
      <c r="S580" s="68"/>
    </row>
    <row r="581" spans="1:19" ht="15.75" customHeight="1">
      <c r="A581" s="68"/>
      <c r="B581" s="68"/>
      <c r="C581" s="5"/>
      <c r="D581" s="68"/>
      <c r="E581" s="69"/>
      <c r="K581" s="68"/>
      <c r="M581" s="68"/>
      <c r="O581" s="68"/>
      <c r="P581" s="68"/>
      <c r="Q581" s="68"/>
      <c r="R581" s="68"/>
      <c r="S581" s="68"/>
    </row>
    <row r="582" spans="1:19" ht="15.75" customHeight="1">
      <c r="A582" s="68"/>
      <c r="B582" s="68"/>
      <c r="C582" s="5"/>
      <c r="D582" s="68"/>
      <c r="E582" s="69"/>
      <c r="K582" s="68"/>
      <c r="M582" s="68"/>
      <c r="O582" s="68"/>
      <c r="P582" s="68"/>
      <c r="Q582" s="68"/>
      <c r="R582" s="68"/>
      <c r="S582" s="68"/>
    </row>
    <row r="583" spans="1:19" ht="15.75" customHeight="1">
      <c r="A583" s="68"/>
      <c r="B583" s="68"/>
      <c r="C583" s="5"/>
      <c r="D583" s="68"/>
      <c r="E583" s="69"/>
      <c r="K583" s="68"/>
      <c r="M583" s="68"/>
      <c r="O583" s="68"/>
      <c r="P583" s="68"/>
      <c r="Q583" s="68"/>
      <c r="R583" s="68"/>
      <c r="S583" s="68"/>
    </row>
    <row r="584" spans="1:19" ht="15.75" customHeight="1">
      <c r="A584" s="68"/>
      <c r="B584" s="68"/>
      <c r="C584" s="5"/>
      <c r="D584" s="68"/>
      <c r="E584" s="69"/>
      <c r="K584" s="68"/>
      <c r="M584" s="68"/>
      <c r="O584" s="68"/>
      <c r="P584" s="68"/>
      <c r="Q584" s="68"/>
      <c r="R584" s="68"/>
      <c r="S584" s="68"/>
    </row>
    <row r="585" spans="1:19" ht="15.75" customHeight="1">
      <c r="A585" s="68"/>
      <c r="B585" s="68"/>
      <c r="C585" s="5"/>
      <c r="D585" s="68"/>
      <c r="E585" s="69"/>
      <c r="K585" s="68"/>
      <c r="M585" s="68"/>
      <c r="O585" s="68"/>
      <c r="P585" s="68"/>
      <c r="Q585" s="68"/>
      <c r="R585" s="68"/>
      <c r="S585" s="68"/>
    </row>
    <row r="586" spans="1:19" ht="15.75" customHeight="1">
      <c r="A586" s="68"/>
      <c r="B586" s="68"/>
      <c r="C586" s="5"/>
      <c r="D586" s="68"/>
      <c r="E586" s="69"/>
      <c r="K586" s="68"/>
      <c r="M586" s="68"/>
      <c r="O586" s="68"/>
      <c r="P586" s="68"/>
      <c r="Q586" s="68"/>
      <c r="R586" s="68"/>
      <c r="S586" s="68"/>
    </row>
    <row r="587" spans="1:19" ht="15.75" customHeight="1">
      <c r="A587" s="68"/>
      <c r="B587" s="68"/>
      <c r="C587" s="5"/>
      <c r="D587" s="68"/>
      <c r="E587" s="69"/>
      <c r="K587" s="68"/>
      <c r="M587" s="68"/>
      <c r="O587" s="68"/>
      <c r="P587" s="68"/>
      <c r="Q587" s="68"/>
      <c r="R587" s="68"/>
      <c r="S587" s="68"/>
    </row>
    <row r="588" spans="1:19" ht="15.75" customHeight="1">
      <c r="A588" s="68"/>
      <c r="B588" s="68"/>
      <c r="C588" s="5"/>
      <c r="D588" s="68"/>
      <c r="E588" s="69"/>
      <c r="K588" s="68"/>
      <c r="M588" s="68"/>
      <c r="O588" s="68"/>
      <c r="P588" s="68"/>
      <c r="Q588" s="68"/>
      <c r="R588" s="68"/>
      <c r="S588" s="68"/>
    </row>
    <row r="589" spans="1:19" ht="15.75" customHeight="1">
      <c r="A589" s="68"/>
      <c r="B589" s="68"/>
      <c r="C589" s="5"/>
      <c r="D589" s="68"/>
      <c r="E589" s="69"/>
      <c r="K589" s="68"/>
      <c r="M589" s="68"/>
      <c r="O589" s="68"/>
      <c r="P589" s="68"/>
      <c r="Q589" s="68"/>
      <c r="R589" s="68"/>
      <c r="S589" s="68"/>
    </row>
    <row r="590" spans="1:19" ht="15.75" customHeight="1">
      <c r="A590" s="68"/>
      <c r="B590" s="68"/>
      <c r="C590" s="5"/>
      <c r="D590" s="68"/>
      <c r="E590" s="69"/>
      <c r="K590" s="68"/>
      <c r="M590" s="68"/>
      <c r="O590" s="68"/>
      <c r="P590" s="68"/>
      <c r="Q590" s="68"/>
      <c r="R590" s="68"/>
      <c r="S590" s="68"/>
    </row>
    <row r="591" spans="1:19" ht="15.75" customHeight="1">
      <c r="A591" s="68"/>
      <c r="B591" s="68"/>
      <c r="C591" s="5"/>
      <c r="D591" s="68"/>
      <c r="E591" s="69"/>
      <c r="K591" s="68"/>
      <c r="M591" s="68"/>
      <c r="O591" s="68"/>
      <c r="P591" s="68"/>
      <c r="Q591" s="68"/>
      <c r="R591" s="68"/>
      <c r="S591" s="68"/>
    </row>
    <row r="592" spans="1:19" ht="15.75" customHeight="1">
      <c r="A592" s="68"/>
      <c r="B592" s="68"/>
      <c r="C592" s="5"/>
      <c r="D592" s="68"/>
      <c r="E592" s="69"/>
      <c r="K592" s="68"/>
      <c r="M592" s="68"/>
      <c r="O592" s="68"/>
      <c r="P592" s="68"/>
      <c r="Q592" s="68"/>
      <c r="R592" s="68"/>
      <c r="S592" s="68"/>
    </row>
    <row r="593" spans="1:19" ht="15.75" customHeight="1">
      <c r="A593" s="68"/>
      <c r="B593" s="68"/>
      <c r="C593" s="5"/>
      <c r="D593" s="68"/>
      <c r="E593" s="69"/>
      <c r="K593" s="68"/>
      <c r="M593" s="68"/>
      <c r="O593" s="68"/>
      <c r="P593" s="68"/>
      <c r="Q593" s="68"/>
      <c r="R593" s="68"/>
      <c r="S593" s="68"/>
    </row>
    <row r="594" spans="1:19" ht="15.75" customHeight="1">
      <c r="A594" s="68"/>
      <c r="B594" s="68"/>
      <c r="C594" s="5"/>
      <c r="D594" s="68"/>
      <c r="E594" s="69"/>
      <c r="K594" s="68"/>
      <c r="M594" s="68"/>
      <c r="O594" s="68"/>
      <c r="P594" s="68"/>
      <c r="Q594" s="68"/>
      <c r="R594" s="68"/>
      <c r="S594" s="68"/>
    </row>
    <row r="595" spans="1:19" ht="15.75" customHeight="1">
      <c r="A595" s="68"/>
      <c r="B595" s="68"/>
      <c r="C595" s="5"/>
      <c r="D595" s="68"/>
      <c r="E595" s="69"/>
      <c r="K595" s="68"/>
      <c r="M595" s="68"/>
      <c r="O595" s="68"/>
      <c r="P595" s="68"/>
      <c r="Q595" s="68"/>
      <c r="R595" s="68"/>
      <c r="S595" s="68"/>
    </row>
    <row r="596" spans="1:19" ht="15.75" customHeight="1">
      <c r="A596" s="68"/>
      <c r="B596" s="68"/>
      <c r="C596" s="5"/>
      <c r="D596" s="68"/>
      <c r="E596" s="69"/>
      <c r="K596" s="68"/>
      <c r="M596" s="68"/>
      <c r="O596" s="68"/>
      <c r="P596" s="68"/>
      <c r="Q596" s="68"/>
      <c r="R596" s="68"/>
      <c r="S596" s="68"/>
    </row>
    <row r="597" spans="1:19" ht="15.75" customHeight="1">
      <c r="A597" s="68"/>
      <c r="B597" s="68"/>
      <c r="C597" s="5"/>
      <c r="D597" s="68"/>
      <c r="E597" s="69"/>
      <c r="K597" s="68"/>
      <c r="M597" s="68"/>
      <c r="O597" s="68"/>
      <c r="P597" s="68"/>
      <c r="Q597" s="68"/>
      <c r="R597" s="68"/>
      <c r="S597" s="68"/>
    </row>
    <row r="598" spans="1:19" ht="15.75" customHeight="1">
      <c r="A598" s="68"/>
      <c r="B598" s="68"/>
      <c r="C598" s="5"/>
      <c r="D598" s="68"/>
      <c r="E598" s="69"/>
      <c r="K598" s="68"/>
      <c r="M598" s="68"/>
      <c r="O598" s="68"/>
      <c r="P598" s="68"/>
      <c r="Q598" s="68"/>
      <c r="R598" s="68"/>
      <c r="S598" s="68"/>
    </row>
    <row r="599" spans="1:19" ht="15.75" customHeight="1">
      <c r="A599" s="68"/>
      <c r="B599" s="68"/>
      <c r="C599" s="5"/>
      <c r="D599" s="68"/>
      <c r="E599" s="69"/>
      <c r="K599" s="68"/>
      <c r="M599" s="68"/>
      <c r="O599" s="68"/>
      <c r="P599" s="68"/>
      <c r="Q599" s="68"/>
      <c r="R599" s="68"/>
      <c r="S599" s="68"/>
    </row>
    <row r="600" spans="1:19" ht="15.75" customHeight="1">
      <c r="A600" s="68"/>
      <c r="B600" s="68"/>
      <c r="C600" s="5"/>
      <c r="D600" s="68"/>
      <c r="E600" s="69"/>
      <c r="K600" s="68"/>
      <c r="M600" s="68"/>
      <c r="O600" s="68"/>
      <c r="P600" s="68"/>
      <c r="Q600" s="68"/>
      <c r="R600" s="68"/>
      <c r="S600" s="68"/>
    </row>
    <row r="601" spans="1:19" ht="15.75" customHeight="1">
      <c r="A601" s="68"/>
      <c r="B601" s="68"/>
      <c r="C601" s="5"/>
      <c r="D601" s="68"/>
      <c r="E601" s="69"/>
      <c r="K601" s="68"/>
      <c r="M601" s="68"/>
      <c r="O601" s="68"/>
      <c r="P601" s="68"/>
      <c r="Q601" s="68"/>
      <c r="R601" s="68"/>
      <c r="S601" s="68"/>
    </row>
    <row r="602" spans="1:19" ht="15.75" customHeight="1">
      <c r="A602" s="68"/>
      <c r="B602" s="68"/>
      <c r="C602" s="5"/>
      <c r="D602" s="68"/>
      <c r="E602" s="69"/>
      <c r="K602" s="68"/>
      <c r="M602" s="68"/>
      <c r="O602" s="68"/>
      <c r="P602" s="68"/>
      <c r="Q602" s="68"/>
      <c r="R602" s="68"/>
      <c r="S602" s="68"/>
    </row>
    <row r="603" spans="1:19" ht="15.75" customHeight="1">
      <c r="A603" s="68"/>
      <c r="B603" s="68"/>
      <c r="C603" s="5"/>
      <c r="D603" s="68"/>
      <c r="E603" s="69"/>
      <c r="K603" s="68"/>
      <c r="M603" s="68"/>
      <c r="O603" s="68"/>
      <c r="P603" s="68"/>
      <c r="Q603" s="68"/>
      <c r="R603" s="68"/>
      <c r="S603" s="68"/>
    </row>
    <row r="604" spans="1:19" ht="15.75" customHeight="1">
      <c r="A604" s="68"/>
      <c r="B604" s="68"/>
      <c r="C604" s="5"/>
      <c r="D604" s="68"/>
      <c r="E604" s="69"/>
      <c r="K604" s="68"/>
      <c r="M604" s="68"/>
      <c r="O604" s="68"/>
      <c r="P604" s="68"/>
      <c r="Q604" s="68"/>
      <c r="R604" s="68"/>
      <c r="S604" s="68"/>
    </row>
    <row r="605" spans="1:19" ht="15.75" customHeight="1">
      <c r="A605" s="68"/>
      <c r="B605" s="68"/>
      <c r="C605" s="5"/>
      <c r="D605" s="68"/>
      <c r="E605" s="69"/>
      <c r="K605" s="68"/>
      <c r="M605" s="68"/>
      <c r="O605" s="68"/>
      <c r="P605" s="68"/>
      <c r="Q605" s="68"/>
      <c r="R605" s="68"/>
      <c r="S605" s="68"/>
    </row>
    <row r="606" spans="1:19" ht="15.75" customHeight="1">
      <c r="A606" s="68"/>
      <c r="B606" s="68"/>
      <c r="C606" s="5"/>
      <c r="D606" s="68"/>
      <c r="E606" s="69"/>
      <c r="K606" s="68"/>
      <c r="M606" s="68"/>
      <c r="O606" s="68"/>
      <c r="P606" s="68"/>
      <c r="Q606" s="68"/>
      <c r="R606" s="68"/>
      <c r="S606" s="68"/>
    </row>
    <row r="607" spans="1:19" ht="15.75" customHeight="1">
      <c r="A607" s="68"/>
      <c r="B607" s="68"/>
      <c r="C607" s="5"/>
      <c r="D607" s="68"/>
      <c r="E607" s="69"/>
      <c r="K607" s="68"/>
      <c r="M607" s="68"/>
      <c r="O607" s="68"/>
      <c r="P607" s="68"/>
      <c r="Q607" s="68"/>
      <c r="R607" s="68"/>
      <c r="S607" s="68"/>
    </row>
    <row r="608" spans="1:19" ht="15.75" customHeight="1">
      <c r="A608" s="68"/>
      <c r="B608" s="68"/>
      <c r="C608" s="5"/>
      <c r="D608" s="68"/>
      <c r="E608" s="69"/>
      <c r="K608" s="68"/>
      <c r="M608" s="68"/>
      <c r="O608" s="68"/>
      <c r="P608" s="68"/>
      <c r="Q608" s="68"/>
      <c r="R608" s="68"/>
      <c r="S608" s="68"/>
    </row>
    <row r="609" spans="1:19" ht="15.75" customHeight="1">
      <c r="A609" s="68"/>
      <c r="B609" s="68"/>
      <c r="C609" s="5"/>
      <c r="D609" s="68"/>
      <c r="E609" s="69"/>
      <c r="K609" s="68"/>
      <c r="M609" s="68"/>
      <c r="O609" s="68"/>
      <c r="P609" s="68"/>
      <c r="Q609" s="68"/>
      <c r="R609" s="68"/>
      <c r="S609" s="68"/>
    </row>
    <row r="610" spans="1:19" ht="15.75" customHeight="1">
      <c r="A610" s="68"/>
      <c r="B610" s="68"/>
      <c r="C610" s="5"/>
      <c r="D610" s="68"/>
      <c r="E610" s="69"/>
      <c r="K610" s="68"/>
      <c r="M610" s="68"/>
      <c r="O610" s="68"/>
      <c r="P610" s="68"/>
      <c r="Q610" s="68"/>
      <c r="R610" s="68"/>
      <c r="S610" s="68"/>
    </row>
    <row r="611" spans="1:19" ht="15.75" customHeight="1">
      <c r="A611" s="68"/>
      <c r="B611" s="68"/>
      <c r="C611" s="5"/>
      <c r="D611" s="68"/>
      <c r="E611" s="69"/>
      <c r="K611" s="68"/>
      <c r="M611" s="68"/>
      <c r="O611" s="68"/>
      <c r="P611" s="68"/>
      <c r="Q611" s="68"/>
      <c r="R611" s="68"/>
      <c r="S611" s="68"/>
    </row>
    <row r="612" spans="1:19" ht="15.75" customHeight="1">
      <c r="A612" s="68"/>
      <c r="B612" s="68"/>
      <c r="C612" s="5"/>
      <c r="D612" s="68"/>
      <c r="E612" s="69"/>
      <c r="K612" s="68"/>
      <c r="M612" s="68"/>
      <c r="O612" s="68"/>
      <c r="P612" s="68"/>
      <c r="Q612" s="68"/>
      <c r="R612" s="68"/>
      <c r="S612" s="68"/>
    </row>
    <row r="613" spans="1:19" ht="15.75" customHeight="1">
      <c r="A613" s="68"/>
      <c r="B613" s="68"/>
      <c r="C613" s="5"/>
      <c r="D613" s="68"/>
      <c r="E613" s="69"/>
      <c r="K613" s="68"/>
      <c r="M613" s="68"/>
      <c r="O613" s="68"/>
      <c r="P613" s="68"/>
      <c r="Q613" s="68"/>
      <c r="R613" s="68"/>
      <c r="S613" s="68"/>
    </row>
    <row r="614" spans="1:19" ht="15.75" customHeight="1">
      <c r="A614" s="68"/>
      <c r="B614" s="68"/>
      <c r="C614" s="5"/>
      <c r="D614" s="68"/>
      <c r="E614" s="69"/>
      <c r="K614" s="68"/>
      <c r="M614" s="68"/>
      <c r="O614" s="68"/>
      <c r="P614" s="68"/>
      <c r="Q614" s="68"/>
      <c r="R614" s="68"/>
      <c r="S614" s="68"/>
    </row>
    <row r="615" spans="1:19" ht="15.75" customHeight="1">
      <c r="A615" s="68"/>
      <c r="B615" s="68"/>
      <c r="C615" s="5"/>
      <c r="D615" s="68"/>
      <c r="E615" s="69"/>
      <c r="K615" s="68"/>
      <c r="M615" s="68"/>
      <c r="O615" s="68"/>
      <c r="P615" s="68"/>
      <c r="Q615" s="68"/>
      <c r="R615" s="68"/>
      <c r="S615" s="68"/>
    </row>
    <row r="616" spans="1:19" ht="15.75" customHeight="1">
      <c r="A616" s="68"/>
      <c r="B616" s="68"/>
      <c r="C616" s="5"/>
      <c r="D616" s="68"/>
      <c r="E616" s="69"/>
      <c r="K616" s="68"/>
      <c r="M616" s="68"/>
      <c r="O616" s="68"/>
      <c r="P616" s="68"/>
      <c r="Q616" s="68"/>
      <c r="R616" s="68"/>
      <c r="S616" s="68"/>
    </row>
    <row r="617" spans="1:19" ht="15.75" customHeight="1">
      <c r="A617" s="68"/>
      <c r="B617" s="68"/>
      <c r="C617" s="5"/>
      <c r="D617" s="68"/>
      <c r="E617" s="69"/>
      <c r="K617" s="68"/>
      <c r="M617" s="68"/>
      <c r="O617" s="68"/>
      <c r="P617" s="68"/>
      <c r="Q617" s="68"/>
      <c r="R617" s="68"/>
      <c r="S617" s="68"/>
    </row>
    <row r="618" spans="1:19" ht="15.75" customHeight="1">
      <c r="A618" s="68"/>
      <c r="B618" s="68"/>
      <c r="C618" s="5"/>
      <c r="D618" s="68"/>
      <c r="E618" s="69"/>
      <c r="K618" s="68"/>
      <c r="M618" s="68"/>
      <c r="O618" s="68"/>
      <c r="P618" s="68"/>
      <c r="Q618" s="68"/>
      <c r="R618" s="68"/>
      <c r="S618" s="68"/>
    </row>
    <row r="619" spans="1:19" ht="15.75" customHeight="1">
      <c r="A619" s="68"/>
      <c r="B619" s="68"/>
      <c r="C619" s="5"/>
      <c r="D619" s="68"/>
      <c r="E619" s="69"/>
      <c r="K619" s="68"/>
      <c r="M619" s="68"/>
      <c r="O619" s="68"/>
      <c r="P619" s="68"/>
      <c r="Q619" s="68"/>
      <c r="R619" s="68"/>
      <c r="S619" s="68"/>
    </row>
    <row r="620" spans="1:19" ht="15.75" customHeight="1">
      <c r="A620" s="68"/>
      <c r="B620" s="68"/>
      <c r="C620" s="5"/>
      <c r="D620" s="68"/>
      <c r="E620" s="69"/>
      <c r="K620" s="68"/>
      <c r="M620" s="68"/>
      <c r="O620" s="68"/>
      <c r="P620" s="68"/>
      <c r="Q620" s="68"/>
      <c r="R620" s="68"/>
      <c r="S620" s="68"/>
    </row>
    <row r="621" spans="1:19" ht="15.75" customHeight="1">
      <c r="A621" s="68"/>
      <c r="B621" s="68"/>
      <c r="C621" s="5"/>
      <c r="D621" s="68"/>
      <c r="E621" s="69"/>
      <c r="K621" s="68"/>
      <c r="M621" s="68"/>
      <c r="O621" s="68"/>
      <c r="P621" s="68"/>
      <c r="Q621" s="68"/>
      <c r="R621" s="68"/>
      <c r="S621" s="68"/>
    </row>
    <row r="622" spans="1:19" ht="15.75" customHeight="1">
      <c r="A622" s="68"/>
      <c r="B622" s="68"/>
      <c r="C622" s="5"/>
      <c r="D622" s="68"/>
      <c r="E622" s="69"/>
      <c r="K622" s="68"/>
      <c r="M622" s="68"/>
      <c r="O622" s="68"/>
      <c r="P622" s="68"/>
      <c r="Q622" s="68"/>
      <c r="R622" s="68"/>
      <c r="S622" s="68"/>
    </row>
    <row r="623" spans="1:19" ht="15.75" customHeight="1">
      <c r="A623" s="68"/>
      <c r="B623" s="68"/>
      <c r="C623" s="5"/>
      <c r="D623" s="68"/>
      <c r="E623" s="69"/>
      <c r="K623" s="68"/>
      <c r="M623" s="68"/>
      <c r="O623" s="68"/>
      <c r="P623" s="68"/>
      <c r="Q623" s="68"/>
      <c r="R623" s="68"/>
      <c r="S623" s="68"/>
    </row>
    <row r="624" spans="1:19" ht="15.75" customHeight="1">
      <c r="A624" s="68"/>
      <c r="B624" s="68"/>
      <c r="C624" s="5"/>
      <c r="D624" s="68"/>
      <c r="E624" s="69"/>
      <c r="K624" s="68"/>
      <c r="M624" s="68"/>
      <c r="O624" s="68"/>
      <c r="P624" s="68"/>
      <c r="Q624" s="68"/>
      <c r="R624" s="68"/>
      <c r="S624" s="68"/>
    </row>
    <row r="625" spans="1:19" ht="15.75" customHeight="1">
      <c r="A625" s="68"/>
      <c r="B625" s="68"/>
      <c r="C625" s="5"/>
      <c r="D625" s="68"/>
      <c r="E625" s="69"/>
      <c r="K625" s="68"/>
      <c r="M625" s="68"/>
      <c r="O625" s="68"/>
      <c r="P625" s="68"/>
      <c r="Q625" s="68"/>
      <c r="R625" s="68"/>
      <c r="S625" s="68"/>
    </row>
    <row r="626" spans="1:19" ht="15.75" customHeight="1">
      <c r="A626" s="68"/>
      <c r="B626" s="68"/>
      <c r="C626" s="5"/>
      <c r="D626" s="68"/>
      <c r="E626" s="69"/>
      <c r="K626" s="68"/>
      <c r="M626" s="68"/>
      <c r="O626" s="68"/>
      <c r="P626" s="68"/>
      <c r="Q626" s="68"/>
      <c r="R626" s="68"/>
      <c r="S626" s="68"/>
    </row>
    <row r="627" spans="1:19" ht="15.75" customHeight="1">
      <c r="A627" s="68"/>
      <c r="B627" s="68"/>
      <c r="C627" s="5"/>
      <c r="D627" s="68"/>
      <c r="E627" s="69"/>
      <c r="K627" s="68"/>
      <c r="M627" s="68"/>
      <c r="O627" s="68"/>
      <c r="P627" s="68"/>
      <c r="Q627" s="68"/>
      <c r="R627" s="68"/>
      <c r="S627" s="68"/>
    </row>
    <row r="628" spans="1:19" ht="15.75" customHeight="1">
      <c r="A628" s="68"/>
      <c r="B628" s="68"/>
      <c r="C628" s="5"/>
      <c r="D628" s="68"/>
      <c r="E628" s="69"/>
      <c r="K628" s="68"/>
      <c r="M628" s="68"/>
      <c r="O628" s="68"/>
      <c r="P628" s="68"/>
      <c r="Q628" s="68"/>
      <c r="R628" s="68"/>
      <c r="S628" s="68"/>
    </row>
    <row r="629" spans="1:19" ht="15.75" customHeight="1">
      <c r="A629" s="68"/>
      <c r="B629" s="68"/>
      <c r="C629" s="5"/>
      <c r="D629" s="68"/>
      <c r="E629" s="69"/>
      <c r="K629" s="68"/>
      <c r="M629" s="68"/>
      <c r="O629" s="68"/>
      <c r="P629" s="68"/>
      <c r="Q629" s="68"/>
      <c r="R629" s="68"/>
      <c r="S629" s="68"/>
    </row>
    <row r="630" spans="1:19" ht="15.75" customHeight="1">
      <c r="A630" s="68"/>
      <c r="B630" s="68"/>
      <c r="C630" s="5"/>
      <c r="D630" s="68"/>
      <c r="E630" s="69"/>
      <c r="K630" s="68"/>
      <c r="M630" s="68"/>
      <c r="O630" s="68"/>
      <c r="P630" s="68"/>
      <c r="Q630" s="68"/>
      <c r="R630" s="68"/>
      <c r="S630" s="68"/>
    </row>
    <row r="631" spans="1:19" ht="15.75" customHeight="1">
      <c r="A631" s="68"/>
      <c r="B631" s="68"/>
      <c r="C631" s="5"/>
      <c r="D631" s="68"/>
      <c r="E631" s="69"/>
      <c r="K631" s="68"/>
      <c r="M631" s="68"/>
      <c r="O631" s="68"/>
      <c r="P631" s="68"/>
      <c r="Q631" s="68"/>
      <c r="R631" s="68"/>
      <c r="S631" s="68"/>
    </row>
    <row r="632" spans="1:19" ht="15.75" customHeight="1">
      <c r="A632" s="68"/>
      <c r="B632" s="68"/>
      <c r="C632" s="5"/>
      <c r="D632" s="68"/>
      <c r="E632" s="69"/>
      <c r="K632" s="68"/>
      <c r="M632" s="68"/>
      <c r="O632" s="68"/>
      <c r="P632" s="68"/>
      <c r="Q632" s="68"/>
      <c r="R632" s="68"/>
      <c r="S632" s="68"/>
    </row>
    <row r="633" spans="1:19" ht="15.75" customHeight="1">
      <c r="A633" s="68"/>
      <c r="B633" s="68"/>
      <c r="C633" s="5"/>
      <c r="D633" s="68"/>
      <c r="E633" s="69"/>
      <c r="K633" s="68"/>
      <c r="M633" s="68"/>
      <c r="O633" s="68"/>
      <c r="P633" s="68"/>
      <c r="Q633" s="68"/>
      <c r="R633" s="68"/>
      <c r="S633" s="68"/>
    </row>
    <row r="634" spans="1:19" ht="15.75" customHeight="1">
      <c r="A634" s="68"/>
      <c r="B634" s="68"/>
      <c r="C634" s="5"/>
      <c r="D634" s="68"/>
      <c r="E634" s="69"/>
      <c r="K634" s="68"/>
      <c r="M634" s="68"/>
      <c r="O634" s="68"/>
      <c r="P634" s="68"/>
      <c r="Q634" s="68"/>
      <c r="R634" s="68"/>
      <c r="S634" s="68"/>
    </row>
    <row r="635" spans="1:19" ht="15.75" customHeight="1">
      <c r="A635" s="68"/>
      <c r="B635" s="68"/>
      <c r="C635" s="5"/>
      <c r="D635" s="68"/>
      <c r="E635" s="69"/>
      <c r="K635" s="68"/>
      <c r="M635" s="68"/>
      <c r="O635" s="68"/>
      <c r="P635" s="68"/>
      <c r="Q635" s="68"/>
      <c r="R635" s="68"/>
      <c r="S635" s="68"/>
    </row>
    <row r="636" spans="1:19" ht="15.75" customHeight="1">
      <c r="A636" s="68"/>
      <c r="B636" s="68"/>
      <c r="C636" s="5"/>
      <c r="D636" s="68"/>
      <c r="E636" s="69"/>
      <c r="K636" s="68"/>
      <c r="M636" s="68"/>
      <c r="O636" s="68"/>
      <c r="P636" s="68"/>
      <c r="Q636" s="68"/>
      <c r="R636" s="68"/>
      <c r="S636" s="68"/>
    </row>
    <row r="637" spans="1:19" ht="15.75" customHeight="1">
      <c r="A637" s="68"/>
      <c r="B637" s="68"/>
      <c r="C637" s="5"/>
      <c r="D637" s="68"/>
      <c r="E637" s="69"/>
      <c r="K637" s="68"/>
      <c r="M637" s="68"/>
      <c r="O637" s="68"/>
      <c r="P637" s="68"/>
      <c r="Q637" s="68"/>
      <c r="R637" s="68"/>
      <c r="S637" s="68"/>
    </row>
    <row r="638" spans="1:19" ht="15.75" customHeight="1">
      <c r="A638" s="68"/>
      <c r="B638" s="68"/>
      <c r="C638" s="5"/>
      <c r="D638" s="68"/>
      <c r="E638" s="69"/>
      <c r="K638" s="68"/>
      <c r="M638" s="68"/>
      <c r="O638" s="68"/>
      <c r="P638" s="68"/>
      <c r="Q638" s="68"/>
      <c r="R638" s="68"/>
      <c r="S638" s="68"/>
    </row>
    <row r="639" spans="1:19" ht="15.75" customHeight="1">
      <c r="A639" s="68"/>
      <c r="B639" s="68"/>
      <c r="C639" s="5"/>
      <c r="D639" s="68"/>
      <c r="E639" s="69"/>
      <c r="K639" s="68"/>
      <c r="M639" s="68"/>
      <c r="O639" s="68"/>
      <c r="P639" s="68"/>
      <c r="Q639" s="68"/>
      <c r="R639" s="68"/>
      <c r="S639" s="68"/>
    </row>
    <row r="640" spans="1:19" ht="15.75" customHeight="1">
      <c r="A640" s="68"/>
      <c r="B640" s="68"/>
      <c r="C640" s="5"/>
      <c r="D640" s="68"/>
      <c r="E640" s="69"/>
      <c r="K640" s="68"/>
      <c r="M640" s="68"/>
      <c r="O640" s="68"/>
      <c r="P640" s="68"/>
      <c r="Q640" s="68"/>
      <c r="R640" s="68"/>
      <c r="S640" s="68"/>
    </row>
    <row r="641" spans="1:19" ht="15.75" customHeight="1">
      <c r="A641" s="68"/>
      <c r="B641" s="68"/>
      <c r="C641" s="5"/>
      <c r="D641" s="68"/>
      <c r="E641" s="69"/>
      <c r="K641" s="68"/>
      <c r="M641" s="68"/>
      <c r="O641" s="68"/>
      <c r="P641" s="68"/>
      <c r="Q641" s="68"/>
      <c r="R641" s="68"/>
      <c r="S641" s="68"/>
    </row>
    <row r="642" spans="1:19" ht="15.75" customHeight="1">
      <c r="A642" s="68"/>
      <c r="B642" s="68"/>
      <c r="C642" s="5"/>
      <c r="D642" s="68"/>
      <c r="E642" s="69"/>
      <c r="K642" s="68"/>
      <c r="M642" s="68"/>
      <c r="O642" s="68"/>
      <c r="P642" s="68"/>
      <c r="Q642" s="68"/>
      <c r="R642" s="68"/>
      <c r="S642" s="68"/>
    </row>
    <row r="643" spans="1:19" ht="15.75" customHeight="1">
      <c r="A643" s="68"/>
      <c r="B643" s="68"/>
      <c r="C643" s="5"/>
      <c r="D643" s="68"/>
      <c r="E643" s="69"/>
      <c r="K643" s="68"/>
      <c r="M643" s="68"/>
      <c r="O643" s="68"/>
      <c r="P643" s="68"/>
      <c r="Q643" s="68"/>
      <c r="R643" s="68"/>
      <c r="S643" s="68"/>
    </row>
    <row r="644" spans="1:19" ht="15.75" customHeight="1">
      <c r="A644" s="68"/>
      <c r="B644" s="68"/>
      <c r="C644" s="5"/>
      <c r="D644" s="68"/>
      <c r="E644" s="69"/>
      <c r="K644" s="68"/>
      <c r="M644" s="68"/>
      <c r="O644" s="68"/>
      <c r="P644" s="68"/>
      <c r="Q644" s="68"/>
      <c r="R644" s="68"/>
      <c r="S644" s="68"/>
    </row>
    <row r="645" spans="1:19" ht="15.75" customHeight="1">
      <c r="A645" s="68"/>
      <c r="B645" s="68"/>
      <c r="C645" s="5"/>
      <c r="D645" s="68"/>
      <c r="E645" s="69"/>
      <c r="K645" s="68"/>
      <c r="M645" s="68"/>
      <c r="O645" s="68"/>
      <c r="P645" s="68"/>
      <c r="Q645" s="68"/>
      <c r="R645" s="68"/>
      <c r="S645" s="68"/>
    </row>
    <row r="646" spans="1:19" ht="15.75" customHeight="1">
      <c r="A646" s="68"/>
      <c r="B646" s="68"/>
      <c r="C646" s="5"/>
      <c r="D646" s="68"/>
      <c r="E646" s="69"/>
      <c r="K646" s="68"/>
      <c r="M646" s="68"/>
      <c r="O646" s="68"/>
      <c r="P646" s="68"/>
      <c r="Q646" s="68"/>
      <c r="R646" s="68"/>
      <c r="S646" s="68"/>
    </row>
    <row r="647" spans="1:19" ht="15.75" customHeight="1">
      <c r="A647" s="68"/>
      <c r="B647" s="68"/>
      <c r="C647" s="5"/>
      <c r="D647" s="68"/>
      <c r="E647" s="69"/>
      <c r="K647" s="68"/>
      <c r="M647" s="68"/>
      <c r="O647" s="68"/>
      <c r="P647" s="68"/>
      <c r="Q647" s="68"/>
      <c r="R647" s="68"/>
      <c r="S647" s="68"/>
    </row>
    <row r="648" spans="1:19" ht="15.75" customHeight="1">
      <c r="A648" s="68"/>
      <c r="B648" s="68"/>
      <c r="C648" s="5"/>
      <c r="D648" s="68"/>
      <c r="E648" s="69"/>
      <c r="K648" s="68"/>
      <c r="M648" s="68"/>
      <c r="O648" s="68"/>
      <c r="P648" s="68"/>
      <c r="Q648" s="68"/>
      <c r="R648" s="68"/>
      <c r="S648" s="68"/>
    </row>
    <row r="649" spans="1:19" ht="15.75" customHeight="1">
      <c r="A649" s="68"/>
      <c r="B649" s="68"/>
      <c r="C649" s="5"/>
      <c r="D649" s="68"/>
      <c r="E649" s="69"/>
      <c r="K649" s="68"/>
      <c r="M649" s="68"/>
      <c r="O649" s="68"/>
      <c r="P649" s="68"/>
      <c r="Q649" s="68"/>
      <c r="R649" s="68"/>
      <c r="S649" s="68"/>
    </row>
    <row r="650" spans="1:19" ht="15.75" customHeight="1">
      <c r="A650" s="68"/>
      <c r="B650" s="68"/>
      <c r="C650" s="5"/>
      <c r="D650" s="68"/>
      <c r="E650" s="69"/>
      <c r="K650" s="68"/>
      <c r="M650" s="68"/>
      <c r="O650" s="68"/>
      <c r="P650" s="68"/>
      <c r="Q650" s="68"/>
      <c r="R650" s="68"/>
      <c r="S650" s="68"/>
    </row>
    <row r="651" spans="1:19" ht="15.75" customHeight="1">
      <c r="A651" s="68"/>
      <c r="B651" s="68"/>
      <c r="C651" s="5"/>
      <c r="D651" s="68"/>
      <c r="E651" s="69"/>
      <c r="K651" s="68"/>
      <c r="M651" s="68"/>
      <c r="O651" s="68"/>
      <c r="P651" s="68"/>
      <c r="Q651" s="68"/>
      <c r="R651" s="68"/>
      <c r="S651" s="68"/>
    </row>
    <row r="652" spans="1:19" ht="15.75" customHeight="1">
      <c r="A652" s="68"/>
      <c r="B652" s="68"/>
      <c r="C652" s="5"/>
      <c r="D652" s="68"/>
      <c r="E652" s="69"/>
      <c r="K652" s="68"/>
      <c r="M652" s="68"/>
      <c r="O652" s="68"/>
      <c r="P652" s="68"/>
      <c r="Q652" s="68"/>
      <c r="R652" s="68"/>
      <c r="S652" s="68"/>
    </row>
    <row r="653" spans="1:19" ht="15.75" customHeight="1">
      <c r="A653" s="68"/>
      <c r="B653" s="68"/>
      <c r="C653" s="5"/>
      <c r="D653" s="68"/>
      <c r="E653" s="69"/>
      <c r="K653" s="68"/>
      <c r="M653" s="68"/>
      <c r="O653" s="68"/>
      <c r="P653" s="68"/>
      <c r="Q653" s="68"/>
      <c r="R653" s="68"/>
      <c r="S653" s="68"/>
    </row>
    <row r="654" spans="1:19" ht="15.75" customHeight="1">
      <c r="A654" s="68"/>
      <c r="B654" s="68"/>
      <c r="C654" s="5"/>
      <c r="D654" s="68"/>
      <c r="E654" s="69"/>
      <c r="K654" s="68"/>
      <c r="M654" s="68"/>
      <c r="O654" s="68"/>
      <c r="P654" s="68"/>
      <c r="Q654" s="68"/>
      <c r="R654" s="68"/>
      <c r="S654" s="68"/>
    </row>
    <row r="655" spans="1:19" ht="15.75" customHeight="1">
      <c r="A655" s="68"/>
      <c r="B655" s="68"/>
      <c r="C655" s="5"/>
      <c r="D655" s="68"/>
      <c r="E655" s="69"/>
      <c r="K655" s="68"/>
      <c r="M655" s="68"/>
      <c r="O655" s="68"/>
      <c r="P655" s="68"/>
      <c r="Q655" s="68"/>
      <c r="R655" s="68"/>
      <c r="S655" s="68"/>
    </row>
    <row r="656" spans="1:19" ht="15.75" customHeight="1">
      <c r="A656" s="68"/>
      <c r="B656" s="68"/>
      <c r="C656" s="5"/>
      <c r="D656" s="68"/>
      <c r="E656" s="69"/>
      <c r="K656" s="68"/>
      <c r="M656" s="68"/>
      <c r="O656" s="68"/>
      <c r="P656" s="68"/>
      <c r="Q656" s="68"/>
      <c r="R656" s="68"/>
      <c r="S656" s="68"/>
    </row>
    <row r="657" spans="1:19" ht="15.75" customHeight="1">
      <c r="A657" s="68"/>
      <c r="B657" s="68"/>
      <c r="C657" s="5"/>
      <c r="D657" s="68"/>
      <c r="E657" s="69"/>
      <c r="K657" s="68"/>
      <c r="M657" s="68"/>
      <c r="O657" s="68"/>
      <c r="P657" s="68"/>
      <c r="Q657" s="68"/>
      <c r="R657" s="68"/>
      <c r="S657" s="68"/>
    </row>
    <row r="658" spans="1:19" ht="15.75" customHeight="1">
      <c r="A658" s="68"/>
      <c r="B658" s="68"/>
      <c r="C658" s="5"/>
      <c r="D658" s="68"/>
      <c r="E658" s="69"/>
      <c r="K658" s="68"/>
      <c r="M658" s="68"/>
      <c r="O658" s="68"/>
      <c r="P658" s="68"/>
      <c r="Q658" s="68"/>
      <c r="R658" s="68"/>
      <c r="S658" s="68"/>
    </row>
    <row r="659" spans="1:19" ht="15.75" customHeight="1">
      <c r="A659" s="68"/>
      <c r="B659" s="68"/>
      <c r="C659" s="5"/>
      <c r="D659" s="68"/>
      <c r="E659" s="69"/>
      <c r="K659" s="68"/>
      <c r="M659" s="68"/>
      <c r="O659" s="68"/>
      <c r="P659" s="68"/>
      <c r="Q659" s="68"/>
      <c r="R659" s="68"/>
      <c r="S659" s="68"/>
    </row>
    <row r="660" spans="1:19" ht="15.75" customHeight="1">
      <c r="A660" s="68"/>
      <c r="B660" s="68"/>
      <c r="C660" s="5"/>
      <c r="D660" s="68"/>
      <c r="E660" s="69"/>
      <c r="K660" s="68"/>
      <c r="M660" s="68"/>
      <c r="O660" s="68"/>
      <c r="P660" s="68"/>
      <c r="Q660" s="68"/>
      <c r="R660" s="68"/>
      <c r="S660" s="68"/>
    </row>
    <row r="661" spans="1:19" ht="15.75" customHeight="1">
      <c r="A661" s="68"/>
      <c r="B661" s="68"/>
      <c r="C661" s="5"/>
      <c r="D661" s="68"/>
      <c r="E661" s="69"/>
      <c r="K661" s="68"/>
      <c r="M661" s="68"/>
      <c r="O661" s="68"/>
      <c r="P661" s="68"/>
      <c r="Q661" s="68"/>
      <c r="R661" s="68"/>
      <c r="S661" s="68"/>
    </row>
    <row r="662" spans="1:19" ht="15.75" customHeight="1">
      <c r="A662" s="68"/>
      <c r="B662" s="68"/>
      <c r="C662" s="5"/>
      <c r="D662" s="68"/>
      <c r="E662" s="69"/>
      <c r="K662" s="68"/>
      <c r="M662" s="68"/>
      <c r="O662" s="68"/>
      <c r="P662" s="68"/>
      <c r="Q662" s="68"/>
      <c r="R662" s="68"/>
      <c r="S662" s="68"/>
    </row>
    <row r="663" spans="1:19" ht="15.75" customHeight="1">
      <c r="A663" s="68"/>
      <c r="B663" s="68"/>
      <c r="C663" s="5"/>
      <c r="D663" s="68"/>
      <c r="E663" s="69"/>
      <c r="K663" s="68"/>
      <c r="M663" s="68"/>
      <c r="O663" s="68"/>
      <c r="P663" s="68"/>
      <c r="Q663" s="68"/>
      <c r="R663" s="68"/>
      <c r="S663" s="68"/>
    </row>
    <row r="664" spans="1:19" ht="15.75" customHeight="1">
      <c r="A664" s="68"/>
      <c r="B664" s="68"/>
      <c r="C664" s="5"/>
      <c r="D664" s="68"/>
      <c r="E664" s="69"/>
      <c r="K664" s="68"/>
      <c r="M664" s="68"/>
      <c r="O664" s="68"/>
      <c r="P664" s="68"/>
      <c r="Q664" s="68"/>
      <c r="R664" s="68"/>
      <c r="S664" s="68"/>
    </row>
    <row r="665" spans="1:19" ht="15.75" customHeight="1">
      <c r="A665" s="68"/>
      <c r="B665" s="68"/>
      <c r="C665" s="5"/>
      <c r="D665" s="68"/>
      <c r="E665" s="69"/>
      <c r="K665" s="68"/>
      <c r="M665" s="68"/>
      <c r="O665" s="68"/>
      <c r="P665" s="68"/>
      <c r="Q665" s="68"/>
      <c r="R665" s="68"/>
      <c r="S665" s="68"/>
    </row>
    <row r="666" spans="1:19" ht="15.75" customHeight="1">
      <c r="A666" s="68"/>
      <c r="B666" s="68"/>
      <c r="C666" s="5"/>
      <c r="D666" s="68"/>
      <c r="E666" s="69"/>
      <c r="K666" s="68"/>
      <c r="M666" s="68"/>
      <c r="O666" s="68"/>
      <c r="P666" s="68"/>
      <c r="Q666" s="68"/>
      <c r="R666" s="68"/>
      <c r="S666" s="68"/>
    </row>
    <row r="667" spans="1:19" ht="15.75" customHeight="1">
      <c r="A667" s="68"/>
      <c r="B667" s="68"/>
      <c r="C667" s="5"/>
      <c r="D667" s="68"/>
      <c r="E667" s="69"/>
      <c r="K667" s="68"/>
      <c r="M667" s="68"/>
      <c r="O667" s="68"/>
      <c r="P667" s="68"/>
      <c r="Q667" s="68"/>
      <c r="R667" s="68"/>
      <c r="S667" s="68"/>
    </row>
    <row r="668" spans="1:19" ht="15.75" customHeight="1">
      <c r="A668" s="68"/>
      <c r="B668" s="68"/>
      <c r="C668" s="5"/>
      <c r="D668" s="68"/>
      <c r="E668" s="69"/>
      <c r="K668" s="68"/>
      <c r="M668" s="68"/>
      <c r="O668" s="68"/>
      <c r="P668" s="68"/>
      <c r="Q668" s="68"/>
      <c r="R668" s="68"/>
      <c r="S668" s="68"/>
    </row>
    <row r="669" spans="1:19" ht="15.75" customHeight="1">
      <c r="A669" s="68"/>
      <c r="B669" s="68"/>
      <c r="C669" s="5"/>
      <c r="D669" s="68"/>
      <c r="E669" s="69"/>
      <c r="K669" s="68"/>
      <c r="M669" s="68"/>
      <c r="O669" s="68"/>
      <c r="P669" s="68"/>
      <c r="Q669" s="68"/>
      <c r="R669" s="68"/>
      <c r="S669" s="68"/>
    </row>
    <row r="670" spans="1:19" ht="15.75" customHeight="1">
      <c r="A670" s="68"/>
      <c r="B670" s="68"/>
      <c r="C670" s="5"/>
      <c r="D670" s="68"/>
      <c r="E670" s="69"/>
      <c r="K670" s="68"/>
      <c r="M670" s="68"/>
      <c r="O670" s="68"/>
      <c r="P670" s="68"/>
      <c r="Q670" s="68"/>
      <c r="R670" s="68"/>
      <c r="S670" s="68"/>
    </row>
    <row r="671" spans="1:19" ht="15.75" customHeight="1">
      <c r="A671" s="68"/>
      <c r="B671" s="68"/>
      <c r="C671" s="5"/>
      <c r="D671" s="68"/>
      <c r="E671" s="69"/>
      <c r="K671" s="68"/>
      <c r="M671" s="68"/>
      <c r="O671" s="68"/>
      <c r="P671" s="68"/>
      <c r="Q671" s="68"/>
      <c r="R671" s="68"/>
      <c r="S671" s="68"/>
    </row>
    <row r="672" spans="1:19" ht="15.75" customHeight="1">
      <c r="A672" s="68"/>
      <c r="B672" s="68"/>
      <c r="C672" s="5"/>
      <c r="D672" s="68"/>
      <c r="E672" s="69"/>
      <c r="K672" s="68"/>
      <c r="M672" s="68"/>
      <c r="O672" s="68"/>
      <c r="P672" s="68"/>
      <c r="Q672" s="68"/>
      <c r="R672" s="68"/>
      <c r="S672" s="68"/>
    </row>
    <row r="673" spans="1:19" ht="15.75" customHeight="1">
      <c r="A673" s="68"/>
      <c r="B673" s="68"/>
      <c r="C673" s="5"/>
      <c r="D673" s="68"/>
      <c r="E673" s="69"/>
      <c r="K673" s="68"/>
      <c r="M673" s="68"/>
      <c r="O673" s="68"/>
      <c r="P673" s="68"/>
      <c r="Q673" s="68"/>
      <c r="R673" s="68"/>
      <c r="S673" s="68"/>
    </row>
    <row r="674" spans="1:19" ht="15.75" customHeight="1">
      <c r="A674" s="68"/>
      <c r="B674" s="68"/>
      <c r="C674" s="5"/>
      <c r="D674" s="68"/>
      <c r="E674" s="69"/>
      <c r="K674" s="68"/>
      <c r="M674" s="68"/>
      <c r="O674" s="68"/>
      <c r="P674" s="68"/>
      <c r="Q674" s="68"/>
      <c r="R674" s="68"/>
      <c r="S674" s="68"/>
    </row>
    <row r="675" spans="1:19" ht="15.75" customHeight="1">
      <c r="A675" s="68"/>
      <c r="B675" s="68"/>
      <c r="C675" s="5"/>
      <c r="D675" s="68"/>
      <c r="E675" s="69"/>
      <c r="K675" s="68"/>
      <c r="M675" s="68"/>
      <c r="O675" s="68"/>
      <c r="P675" s="68"/>
      <c r="Q675" s="68"/>
      <c r="R675" s="68"/>
      <c r="S675" s="68"/>
    </row>
    <row r="676" spans="1:19" ht="15.75" customHeight="1">
      <c r="A676" s="68"/>
      <c r="B676" s="68"/>
      <c r="C676" s="5"/>
      <c r="D676" s="68"/>
      <c r="E676" s="69"/>
      <c r="K676" s="68"/>
      <c r="M676" s="68"/>
      <c r="O676" s="68"/>
      <c r="P676" s="68"/>
      <c r="Q676" s="68"/>
      <c r="R676" s="68"/>
      <c r="S676" s="68"/>
    </row>
    <row r="677" spans="1:19" ht="15.75" customHeight="1">
      <c r="A677" s="68"/>
      <c r="B677" s="68"/>
      <c r="C677" s="5"/>
      <c r="D677" s="68"/>
      <c r="E677" s="69"/>
      <c r="K677" s="68"/>
      <c r="M677" s="68"/>
      <c r="O677" s="68"/>
      <c r="P677" s="68"/>
      <c r="Q677" s="68"/>
      <c r="R677" s="68"/>
      <c r="S677" s="68"/>
    </row>
    <row r="678" spans="1:19" ht="15.75" customHeight="1">
      <c r="A678" s="68"/>
      <c r="B678" s="68"/>
      <c r="C678" s="5"/>
      <c r="D678" s="68"/>
      <c r="E678" s="69"/>
      <c r="K678" s="68"/>
      <c r="M678" s="68"/>
      <c r="O678" s="68"/>
      <c r="P678" s="68"/>
      <c r="Q678" s="68"/>
      <c r="R678" s="68"/>
      <c r="S678" s="68"/>
    </row>
    <row r="679" spans="1:19" ht="15.75" customHeight="1">
      <c r="A679" s="68"/>
      <c r="B679" s="68"/>
      <c r="C679" s="5"/>
      <c r="D679" s="68"/>
      <c r="E679" s="69"/>
      <c r="K679" s="68"/>
      <c r="M679" s="68"/>
      <c r="O679" s="68"/>
      <c r="P679" s="68"/>
      <c r="Q679" s="68"/>
      <c r="R679" s="68"/>
      <c r="S679" s="68"/>
    </row>
    <row r="680" spans="1:19" ht="15.75" customHeight="1">
      <c r="A680" s="68"/>
      <c r="B680" s="68"/>
      <c r="C680" s="5"/>
      <c r="D680" s="68"/>
      <c r="E680" s="69"/>
      <c r="K680" s="68"/>
      <c r="M680" s="68"/>
      <c r="O680" s="68"/>
      <c r="P680" s="68"/>
      <c r="Q680" s="68"/>
      <c r="R680" s="68"/>
      <c r="S680" s="68"/>
    </row>
    <row r="681" spans="1:19" ht="15.75" customHeight="1">
      <c r="A681" s="68"/>
      <c r="B681" s="68"/>
      <c r="C681" s="5"/>
      <c r="D681" s="68"/>
      <c r="E681" s="69"/>
      <c r="K681" s="68"/>
      <c r="M681" s="68"/>
      <c r="O681" s="68"/>
      <c r="P681" s="68"/>
      <c r="Q681" s="68"/>
      <c r="R681" s="68"/>
      <c r="S681" s="68"/>
    </row>
    <row r="682" spans="1:19" ht="15.75" customHeight="1">
      <c r="A682" s="68"/>
      <c r="B682" s="68"/>
      <c r="C682" s="5"/>
      <c r="D682" s="68"/>
      <c r="E682" s="69"/>
      <c r="K682" s="68"/>
      <c r="M682" s="68"/>
      <c r="O682" s="68"/>
      <c r="P682" s="68"/>
      <c r="Q682" s="68"/>
      <c r="R682" s="68"/>
      <c r="S682" s="68"/>
    </row>
    <row r="683" spans="1:19" ht="15.75" customHeight="1">
      <c r="A683" s="68"/>
      <c r="B683" s="68"/>
      <c r="C683" s="5"/>
      <c r="D683" s="68"/>
      <c r="E683" s="69"/>
      <c r="K683" s="68"/>
      <c r="M683" s="68"/>
      <c r="O683" s="68"/>
      <c r="P683" s="68"/>
      <c r="Q683" s="68"/>
      <c r="R683" s="68"/>
      <c r="S683" s="68"/>
    </row>
    <row r="684" spans="1:19" ht="15.75" customHeight="1">
      <c r="A684" s="68"/>
      <c r="B684" s="68"/>
      <c r="C684" s="5"/>
      <c r="D684" s="68"/>
      <c r="E684" s="69"/>
      <c r="K684" s="68"/>
      <c r="M684" s="68"/>
      <c r="O684" s="68"/>
      <c r="P684" s="68"/>
      <c r="Q684" s="68"/>
      <c r="R684" s="68"/>
      <c r="S684" s="68"/>
    </row>
    <row r="685" spans="1:19" ht="15.75" customHeight="1">
      <c r="A685" s="68"/>
      <c r="B685" s="68"/>
      <c r="C685" s="5"/>
      <c r="D685" s="68"/>
      <c r="E685" s="69"/>
      <c r="K685" s="68"/>
      <c r="M685" s="68"/>
      <c r="O685" s="68"/>
      <c r="P685" s="68"/>
      <c r="Q685" s="68"/>
      <c r="R685" s="68"/>
      <c r="S685" s="68"/>
    </row>
    <row r="686" spans="1:19" ht="15.75" customHeight="1">
      <c r="A686" s="68"/>
      <c r="B686" s="68"/>
      <c r="C686" s="5"/>
      <c r="D686" s="68"/>
      <c r="E686" s="69"/>
      <c r="K686" s="68"/>
      <c r="M686" s="68"/>
      <c r="O686" s="68"/>
      <c r="P686" s="68"/>
      <c r="Q686" s="68"/>
      <c r="R686" s="68"/>
      <c r="S686" s="68"/>
    </row>
    <row r="687" spans="1:19" ht="15.75" customHeight="1">
      <c r="A687" s="68"/>
      <c r="B687" s="68"/>
      <c r="C687" s="5"/>
      <c r="D687" s="68"/>
      <c r="E687" s="69"/>
      <c r="K687" s="68"/>
      <c r="M687" s="68"/>
      <c r="O687" s="68"/>
      <c r="P687" s="68"/>
      <c r="Q687" s="68"/>
      <c r="R687" s="68"/>
      <c r="S687" s="68"/>
    </row>
    <row r="688" spans="1:19" ht="15.75" customHeight="1">
      <c r="A688" s="68"/>
      <c r="B688" s="68"/>
      <c r="C688" s="5"/>
      <c r="D688" s="68"/>
      <c r="E688" s="69"/>
      <c r="K688" s="68"/>
      <c r="M688" s="68"/>
      <c r="O688" s="68"/>
      <c r="P688" s="68"/>
      <c r="Q688" s="68"/>
      <c r="R688" s="68"/>
      <c r="S688" s="68"/>
    </row>
    <row r="689" spans="1:19" ht="15.75" customHeight="1">
      <c r="A689" s="68"/>
      <c r="B689" s="68"/>
      <c r="C689" s="5"/>
      <c r="D689" s="68"/>
      <c r="E689" s="69"/>
      <c r="K689" s="68"/>
      <c r="M689" s="68"/>
      <c r="O689" s="68"/>
      <c r="P689" s="68"/>
      <c r="Q689" s="68"/>
      <c r="R689" s="68"/>
      <c r="S689" s="68"/>
    </row>
    <row r="690" spans="1:19" ht="15.75" customHeight="1">
      <c r="A690" s="68"/>
      <c r="B690" s="68"/>
      <c r="C690" s="5"/>
      <c r="D690" s="68"/>
      <c r="E690" s="69"/>
      <c r="K690" s="68"/>
      <c r="M690" s="68"/>
      <c r="O690" s="68"/>
      <c r="P690" s="68"/>
      <c r="Q690" s="68"/>
      <c r="R690" s="68"/>
      <c r="S690" s="68"/>
    </row>
    <row r="691" spans="1:19" ht="15.75" customHeight="1">
      <c r="A691" s="68"/>
      <c r="B691" s="68"/>
      <c r="C691" s="5"/>
      <c r="D691" s="68"/>
      <c r="E691" s="69"/>
      <c r="K691" s="68"/>
      <c r="M691" s="68"/>
      <c r="O691" s="68"/>
      <c r="P691" s="68"/>
      <c r="Q691" s="68"/>
      <c r="R691" s="68"/>
      <c r="S691" s="68"/>
    </row>
    <row r="692" spans="1:19" ht="15.75" customHeight="1">
      <c r="A692" s="68"/>
      <c r="B692" s="68"/>
      <c r="C692" s="5"/>
      <c r="D692" s="68"/>
      <c r="E692" s="69"/>
      <c r="K692" s="68"/>
      <c r="M692" s="68"/>
      <c r="O692" s="68"/>
      <c r="P692" s="68"/>
      <c r="Q692" s="68"/>
      <c r="R692" s="68"/>
      <c r="S692" s="68"/>
    </row>
    <row r="693" spans="1:19" ht="15.75" customHeight="1">
      <c r="A693" s="68"/>
      <c r="B693" s="68"/>
      <c r="C693" s="5"/>
      <c r="D693" s="68"/>
      <c r="E693" s="69"/>
      <c r="K693" s="68"/>
      <c r="M693" s="68"/>
      <c r="O693" s="68"/>
      <c r="P693" s="68"/>
      <c r="Q693" s="68"/>
      <c r="R693" s="68"/>
      <c r="S693" s="68"/>
    </row>
    <row r="694" spans="1:19" ht="15.75" customHeight="1">
      <c r="A694" s="68"/>
      <c r="B694" s="68"/>
      <c r="C694" s="5"/>
      <c r="D694" s="68"/>
      <c r="E694" s="69"/>
      <c r="K694" s="68"/>
      <c r="M694" s="68"/>
      <c r="O694" s="68"/>
      <c r="P694" s="68"/>
      <c r="Q694" s="68"/>
      <c r="R694" s="68"/>
      <c r="S694" s="68"/>
    </row>
    <row r="695" spans="1:19" ht="15.75" customHeight="1">
      <c r="A695" s="68"/>
      <c r="B695" s="68"/>
      <c r="C695" s="5"/>
      <c r="D695" s="68"/>
      <c r="E695" s="69"/>
      <c r="K695" s="68"/>
      <c r="M695" s="68"/>
      <c r="O695" s="68"/>
      <c r="P695" s="68"/>
      <c r="Q695" s="68"/>
      <c r="R695" s="68"/>
      <c r="S695" s="68"/>
    </row>
    <row r="696" spans="1:19" ht="15.75" customHeight="1">
      <c r="A696" s="68"/>
      <c r="B696" s="68"/>
      <c r="C696" s="5"/>
      <c r="D696" s="68"/>
      <c r="E696" s="69"/>
      <c r="K696" s="68"/>
      <c r="M696" s="68"/>
      <c r="O696" s="68"/>
      <c r="P696" s="68"/>
      <c r="Q696" s="68"/>
      <c r="R696" s="68"/>
      <c r="S696" s="68"/>
    </row>
    <row r="697" spans="1:19" ht="15.75" customHeight="1">
      <c r="A697" s="68"/>
      <c r="B697" s="68"/>
      <c r="C697" s="5"/>
      <c r="D697" s="68"/>
      <c r="E697" s="69"/>
      <c r="K697" s="68"/>
      <c r="M697" s="68"/>
      <c r="O697" s="68"/>
      <c r="P697" s="68"/>
      <c r="Q697" s="68"/>
      <c r="R697" s="68"/>
      <c r="S697" s="68"/>
    </row>
    <row r="698" spans="1:19" ht="15.75" customHeight="1">
      <c r="A698" s="68"/>
      <c r="B698" s="68"/>
      <c r="C698" s="5"/>
      <c r="D698" s="68"/>
      <c r="E698" s="69"/>
      <c r="K698" s="68"/>
      <c r="M698" s="68"/>
      <c r="O698" s="68"/>
      <c r="P698" s="68"/>
      <c r="Q698" s="68"/>
      <c r="R698" s="68"/>
      <c r="S698" s="68"/>
    </row>
    <row r="699" spans="1:19" ht="15.75" customHeight="1">
      <c r="A699" s="68"/>
      <c r="B699" s="68"/>
      <c r="C699" s="5"/>
      <c r="D699" s="68"/>
      <c r="E699" s="69"/>
      <c r="K699" s="68"/>
      <c r="M699" s="68"/>
      <c r="O699" s="68"/>
      <c r="P699" s="68"/>
      <c r="Q699" s="68"/>
      <c r="R699" s="68"/>
      <c r="S699" s="68"/>
    </row>
    <row r="700" spans="1:19" ht="15.75" customHeight="1">
      <c r="A700" s="68"/>
      <c r="B700" s="68"/>
      <c r="C700" s="5"/>
      <c r="D700" s="68"/>
      <c r="E700" s="69"/>
      <c r="K700" s="68"/>
      <c r="M700" s="68"/>
      <c r="O700" s="68"/>
      <c r="P700" s="68"/>
      <c r="Q700" s="68"/>
      <c r="R700" s="68"/>
      <c r="S700" s="68"/>
    </row>
    <row r="701" spans="1:19" ht="15.75" customHeight="1">
      <c r="A701" s="68"/>
      <c r="B701" s="68"/>
      <c r="C701" s="5"/>
      <c r="D701" s="68"/>
      <c r="E701" s="69"/>
      <c r="K701" s="68"/>
      <c r="M701" s="68"/>
      <c r="O701" s="68"/>
      <c r="P701" s="68"/>
      <c r="Q701" s="68"/>
      <c r="R701" s="68"/>
      <c r="S701" s="68"/>
    </row>
    <row r="702" spans="1:19" ht="15.75" customHeight="1">
      <c r="A702" s="68"/>
      <c r="B702" s="68"/>
      <c r="C702" s="5"/>
      <c r="D702" s="68"/>
      <c r="E702" s="69"/>
      <c r="K702" s="68"/>
      <c r="M702" s="68"/>
      <c r="O702" s="68"/>
      <c r="P702" s="68"/>
      <c r="Q702" s="68"/>
      <c r="R702" s="68"/>
      <c r="S702" s="68"/>
    </row>
    <row r="703" spans="1:19" ht="15.75" customHeight="1">
      <c r="A703" s="68"/>
      <c r="B703" s="68"/>
      <c r="C703" s="5"/>
      <c r="D703" s="68"/>
      <c r="E703" s="69"/>
      <c r="K703" s="68"/>
      <c r="M703" s="68"/>
      <c r="O703" s="68"/>
      <c r="P703" s="68"/>
      <c r="Q703" s="68"/>
      <c r="R703" s="68"/>
      <c r="S703" s="68"/>
    </row>
    <row r="704" spans="1:19" ht="15.75" customHeight="1">
      <c r="A704" s="68"/>
      <c r="B704" s="68"/>
      <c r="C704" s="5"/>
      <c r="D704" s="68"/>
      <c r="E704" s="69"/>
      <c r="K704" s="68"/>
      <c r="M704" s="68"/>
      <c r="O704" s="68"/>
      <c r="P704" s="68"/>
      <c r="Q704" s="68"/>
      <c r="R704" s="68"/>
      <c r="S704" s="68"/>
    </row>
    <row r="705" spans="1:19" ht="15.75" customHeight="1">
      <c r="A705" s="68"/>
      <c r="B705" s="68"/>
      <c r="C705" s="5"/>
      <c r="D705" s="68"/>
      <c r="E705" s="69"/>
      <c r="K705" s="68"/>
      <c r="M705" s="68"/>
      <c r="O705" s="68"/>
      <c r="P705" s="68"/>
      <c r="Q705" s="68"/>
      <c r="R705" s="68"/>
      <c r="S705" s="68"/>
    </row>
    <row r="706" spans="1:19" ht="15.75" customHeight="1">
      <c r="A706" s="68"/>
      <c r="B706" s="68"/>
      <c r="C706" s="5"/>
      <c r="D706" s="68"/>
      <c r="E706" s="69"/>
      <c r="K706" s="68"/>
      <c r="M706" s="68"/>
      <c r="O706" s="68"/>
      <c r="P706" s="68"/>
      <c r="Q706" s="68"/>
      <c r="R706" s="68"/>
      <c r="S706" s="68"/>
    </row>
    <row r="707" spans="1:19" ht="15.75" customHeight="1">
      <c r="A707" s="68"/>
      <c r="B707" s="68"/>
      <c r="C707" s="5"/>
      <c r="D707" s="68"/>
      <c r="E707" s="69"/>
      <c r="K707" s="68"/>
      <c r="M707" s="68"/>
      <c r="O707" s="68"/>
      <c r="P707" s="68"/>
      <c r="Q707" s="68"/>
      <c r="R707" s="68"/>
      <c r="S707" s="68"/>
    </row>
    <row r="708" spans="1:19" ht="15.75" customHeight="1">
      <c r="A708" s="68"/>
      <c r="B708" s="68"/>
      <c r="C708" s="5"/>
      <c r="D708" s="68"/>
      <c r="E708" s="69"/>
      <c r="K708" s="68"/>
      <c r="M708" s="68"/>
      <c r="O708" s="68"/>
      <c r="P708" s="68"/>
      <c r="Q708" s="68"/>
      <c r="R708" s="68"/>
      <c r="S708" s="68"/>
    </row>
    <row r="709" spans="1:19" ht="15.75" customHeight="1">
      <c r="A709" s="68"/>
      <c r="B709" s="68"/>
      <c r="C709" s="5"/>
      <c r="D709" s="68"/>
      <c r="E709" s="69"/>
      <c r="K709" s="68"/>
      <c r="M709" s="68"/>
      <c r="O709" s="68"/>
      <c r="P709" s="68"/>
      <c r="Q709" s="68"/>
      <c r="R709" s="68"/>
      <c r="S709" s="68"/>
    </row>
    <row r="710" spans="1:19" ht="15.75" customHeight="1">
      <c r="A710" s="68"/>
      <c r="B710" s="68"/>
      <c r="C710" s="5"/>
      <c r="D710" s="68"/>
      <c r="E710" s="69"/>
      <c r="K710" s="68"/>
      <c r="M710" s="68"/>
      <c r="O710" s="68"/>
      <c r="P710" s="68"/>
      <c r="Q710" s="68"/>
      <c r="R710" s="68"/>
      <c r="S710" s="68"/>
    </row>
    <row r="711" spans="1:19" ht="15.75" customHeight="1">
      <c r="A711" s="68"/>
      <c r="B711" s="68"/>
      <c r="C711" s="5"/>
      <c r="D711" s="68"/>
      <c r="E711" s="69"/>
      <c r="K711" s="68"/>
      <c r="M711" s="68"/>
      <c r="O711" s="68"/>
      <c r="P711" s="68"/>
      <c r="Q711" s="68"/>
      <c r="R711" s="68"/>
      <c r="S711" s="68"/>
    </row>
    <row r="712" spans="1:19" ht="15.75" customHeight="1">
      <c r="A712" s="68"/>
      <c r="B712" s="68"/>
      <c r="C712" s="5"/>
      <c r="D712" s="68"/>
      <c r="E712" s="69"/>
      <c r="K712" s="68"/>
      <c r="M712" s="68"/>
      <c r="O712" s="68"/>
      <c r="P712" s="68"/>
      <c r="Q712" s="68"/>
      <c r="R712" s="68"/>
      <c r="S712" s="68"/>
    </row>
    <row r="713" spans="1:19" ht="15.75" customHeight="1">
      <c r="A713" s="68"/>
      <c r="B713" s="68"/>
      <c r="C713" s="5"/>
      <c r="D713" s="68"/>
      <c r="E713" s="69"/>
      <c r="K713" s="68"/>
      <c r="M713" s="68"/>
      <c r="O713" s="68"/>
      <c r="P713" s="68"/>
      <c r="Q713" s="68"/>
      <c r="R713" s="68"/>
      <c r="S713" s="68"/>
    </row>
    <row r="714" spans="1:19" ht="15.75" customHeight="1">
      <c r="A714" s="68"/>
      <c r="B714" s="68"/>
      <c r="C714" s="5"/>
      <c r="D714" s="68"/>
      <c r="E714" s="69"/>
      <c r="K714" s="68"/>
      <c r="M714" s="68"/>
      <c r="O714" s="68"/>
      <c r="P714" s="68"/>
      <c r="Q714" s="68"/>
      <c r="R714" s="68"/>
      <c r="S714" s="68"/>
    </row>
    <row r="715" spans="1:19" ht="15.75" customHeight="1">
      <c r="A715" s="68"/>
      <c r="B715" s="68"/>
      <c r="C715" s="5"/>
      <c r="D715" s="68"/>
      <c r="E715" s="69"/>
      <c r="K715" s="68"/>
      <c r="M715" s="68"/>
      <c r="O715" s="68"/>
      <c r="P715" s="68"/>
      <c r="Q715" s="68"/>
      <c r="R715" s="68"/>
      <c r="S715" s="68"/>
    </row>
    <row r="716" spans="1:19" ht="15.75" customHeight="1">
      <c r="A716" s="68"/>
      <c r="B716" s="68"/>
      <c r="C716" s="5"/>
      <c r="D716" s="68"/>
      <c r="E716" s="69"/>
      <c r="K716" s="68"/>
      <c r="M716" s="68"/>
      <c r="O716" s="68"/>
      <c r="P716" s="68"/>
      <c r="Q716" s="68"/>
      <c r="R716" s="68"/>
      <c r="S716" s="68"/>
    </row>
    <row r="717" spans="1:19" ht="15.75" customHeight="1">
      <c r="A717" s="68"/>
      <c r="B717" s="68"/>
      <c r="C717" s="5"/>
      <c r="D717" s="68"/>
      <c r="E717" s="69"/>
      <c r="K717" s="68"/>
      <c r="M717" s="68"/>
      <c r="O717" s="68"/>
      <c r="P717" s="68"/>
      <c r="Q717" s="68"/>
      <c r="R717" s="68"/>
      <c r="S717" s="68"/>
    </row>
    <row r="718" spans="1:19" ht="15.75" customHeight="1">
      <c r="A718" s="68"/>
      <c r="B718" s="68"/>
      <c r="C718" s="5"/>
      <c r="D718" s="68"/>
      <c r="E718" s="69"/>
      <c r="K718" s="68"/>
      <c r="M718" s="68"/>
      <c r="O718" s="68"/>
      <c r="P718" s="68"/>
      <c r="Q718" s="68"/>
      <c r="R718" s="68"/>
      <c r="S718" s="68"/>
    </row>
    <row r="719" spans="1:19" ht="15.75" customHeight="1">
      <c r="A719" s="68"/>
      <c r="B719" s="68"/>
      <c r="C719" s="5"/>
      <c r="D719" s="68"/>
      <c r="E719" s="69"/>
      <c r="K719" s="68"/>
      <c r="M719" s="68"/>
      <c r="O719" s="68"/>
      <c r="P719" s="68"/>
      <c r="Q719" s="68"/>
      <c r="R719" s="68"/>
      <c r="S719" s="68"/>
    </row>
    <row r="720" spans="1:19" ht="15.75" customHeight="1">
      <c r="A720" s="68"/>
      <c r="B720" s="68"/>
      <c r="C720" s="5"/>
      <c r="D720" s="68"/>
      <c r="E720" s="69"/>
      <c r="K720" s="68"/>
      <c r="M720" s="68"/>
      <c r="O720" s="68"/>
      <c r="P720" s="68"/>
      <c r="Q720" s="68"/>
      <c r="R720" s="68"/>
      <c r="S720" s="68"/>
    </row>
    <row r="721" spans="1:19" ht="15.75" customHeight="1">
      <c r="A721" s="68"/>
      <c r="B721" s="68"/>
      <c r="C721" s="5"/>
      <c r="D721" s="68"/>
      <c r="E721" s="69"/>
      <c r="K721" s="68"/>
      <c r="M721" s="68"/>
      <c r="O721" s="68"/>
      <c r="P721" s="68"/>
      <c r="Q721" s="68"/>
      <c r="R721" s="68"/>
      <c r="S721" s="68"/>
    </row>
    <row r="722" spans="1:19" ht="15.75" customHeight="1">
      <c r="A722" s="68"/>
      <c r="B722" s="68"/>
      <c r="C722" s="5"/>
      <c r="D722" s="68"/>
      <c r="E722" s="69"/>
      <c r="K722" s="68"/>
      <c r="M722" s="68"/>
      <c r="O722" s="68"/>
      <c r="P722" s="68"/>
      <c r="Q722" s="68"/>
      <c r="R722" s="68"/>
      <c r="S722" s="68"/>
    </row>
    <row r="723" spans="1:19" ht="15.75" customHeight="1">
      <c r="A723" s="68"/>
      <c r="B723" s="68"/>
      <c r="C723" s="5"/>
      <c r="D723" s="68"/>
      <c r="E723" s="69"/>
      <c r="K723" s="68"/>
      <c r="M723" s="68"/>
      <c r="O723" s="68"/>
      <c r="P723" s="68"/>
      <c r="Q723" s="68"/>
      <c r="R723" s="68"/>
      <c r="S723" s="68"/>
    </row>
    <row r="724" spans="1:19" ht="15.75" customHeight="1">
      <c r="A724" s="68"/>
      <c r="B724" s="68"/>
      <c r="C724" s="5"/>
      <c r="D724" s="68"/>
      <c r="E724" s="69"/>
      <c r="K724" s="68"/>
      <c r="M724" s="68"/>
      <c r="O724" s="68"/>
      <c r="P724" s="68"/>
      <c r="Q724" s="68"/>
      <c r="R724" s="68"/>
      <c r="S724" s="68"/>
    </row>
    <row r="725" spans="1:19" ht="15.75" customHeight="1">
      <c r="A725" s="68"/>
      <c r="B725" s="68"/>
      <c r="C725" s="5"/>
      <c r="D725" s="68"/>
      <c r="E725" s="69"/>
      <c r="K725" s="68"/>
      <c r="M725" s="68"/>
      <c r="O725" s="68"/>
      <c r="P725" s="68"/>
      <c r="Q725" s="68"/>
      <c r="R725" s="68"/>
      <c r="S725" s="68"/>
    </row>
    <row r="726" spans="1:19" ht="15.75" customHeight="1">
      <c r="A726" s="68"/>
      <c r="B726" s="68"/>
      <c r="C726" s="5"/>
      <c r="D726" s="68"/>
      <c r="E726" s="69"/>
      <c r="K726" s="68"/>
      <c r="M726" s="68"/>
      <c r="O726" s="68"/>
      <c r="P726" s="68"/>
      <c r="Q726" s="68"/>
      <c r="R726" s="68"/>
      <c r="S726" s="68"/>
    </row>
    <row r="727" spans="1:19" ht="15.75" customHeight="1">
      <c r="A727" s="68"/>
      <c r="B727" s="68"/>
      <c r="C727" s="5"/>
      <c r="D727" s="68"/>
      <c r="E727" s="69"/>
      <c r="K727" s="68"/>
      <c r="M727" s="68"/>
      <c r="O727" s="68"/>
      <c r="P727" s="68"/>
      <c r="Q727" s="68"/>
      <c r="R727" s="68"/>
      <c r="S727" s="68"/>
    </row>
    <row r="728" spans="1:19" ht="15.75" customHeight="1">
      <c r="A728" s="68"/>
      <c r="B728" s="68"/>
      <c r="C728" s="5"/>
      <c r="D728" s="68"/>
      <c r="E728" s="69"/>
      <c r="K728" s="68"/>
      <c r="M728" s="68"/>
      <c r="O728" s="68"/>
      <c r="P728" s="68"/>
      <c r="Q728" s="68"/>
      <c r="R728" s="68"/>
      <c r="S728" s="68"/>
    </row>
    <row r="729" spans="1:19" ht="15.75" customHeight="1">
      <c r="A729" s="68"/>
      <c r="B729" s="68"/>
      <c r="C729" s="5"/>
      <c r="D729" s="68"/>
      <c r="E729" s="69"/>
      <c r="K729" s="68"/>
      <c r="M729" s="68"/>
      <c r="O729" s="68"/>
      <c r="P729" s="68"/>
      <c r="Q729" s="68"/>
      <c r="R729" s="68"/>
      <c r="S729" s="68"/>
    </row>
    <row r="730" spans="1:19" ht="15.75" customHeight="1">
      <c r="A730" s="68"/>
      <c r="B730" s="68"/>
      <c r="C730" s="5"/>
      <c r="D730" s="68"/>
      <c r="E730" s="69"/>
      <c r="K730" s="68"/>
      <c r="M730" s="68"/>
      <c r="O730" s="68"/>
      <c r="P730" s="68"/>
      <c r="Q730" s="68"/>
      <c r="R730" s="68"/>
      <c r="S730" s="68"/>
    </row>
    <row r="731" spans="1:19" ht="15.75" customHeight="1">
      <c r="A731" s="68"/>
      <c r="B731" s="68"/>
      <c r="C731" s="5"/>
      <c r="D731" s="68"/>
      <c r="E731" s="69"/>
      <c r="K731" s="68"/>
      <c r="M731" s="68"/>
      <c r="O731" s="68"/>
      <c r="P731" s="68"/>
      <c r="Q731" s="68"/>
      <c r="R731" s="68"/>
      <c r="S731" s="68"/>
    </row>
    <row r="732" spans="1:19" ht="15.75" customHeight="1">
      <c r="A732" s="68"/>
      <c r="B732" s="68"/>
      <c r="C732" s="5"/>
      <c r="D732" s="68"/>
      <c r="E732" s="69"/>
      <c r="K732" s="68"/>
      <c r="M732" s="68"/>
      <c r="O732" s="68"/>
      <c r="P732" s="68"/>
      <c r="Q732" s="68"/>
      <c r="R732" s="68"/>
      <c r="S732" s="68"/>
    </row>
    <row r="733" spans="1:19" ht="15.75" customHeight="1">
      <c r="A733" s="68"/>
      <c r="B733" s="68"/>
      <c r="C733" s="5"/>
      <c r="D733" s="68"/>
      <c r="E733" s="69"/>
      <c r="K733" s="68"/>
      <c r="M733" s="68"/>
      <c r="O733" s="68"/>
      <c r="P733" s="68"/>
      <c r="Q733" s="68"/>
      <c r="R733" s="68"/>
      <c r="S733" s="68"/>
    </row>
    <row r="734" spans="1:19" ht="15.75" customHeight="1">
      <c r="A734" s="68"/>
      <c r="B734" s="68"/>
      <c r="C734" s="5"/>
      <c r="D734" s="68"/>
      <c r="E734" s="69"/>
      <c r="K734" s="68"/>
      <c r="M734" s="68"/>
      <c r="O734" s="68"/>
      <c r="P734" s="68"/>
      <c r="Q734" s="68"/>
      <c r="R734" s="68"/>
      <c r="S734" s="68"/>
    </row>
    <row r="735" spans="1:19" ht="15.75" customHeight="1">
      <c r="A735" s="68"/>
      <c r="B735" s="68"/>
      <c r="C735" s="5"/>
      <c r="D735" s="68"/>
      <c r="E735" s="69"/>
      <c r="K735" s="68"/>
      <c r="M735" s="68"/>
      <c r="O735" s="68"/>
      <c r="P735" s="68"/>
      <c r="Q735" s="68"/>
      <c r="R735" s="68"/>
      <c r="S735" s="68"/>
    </row>
    <row r="736" spans="1:19" ht="15.75" customHeight="1">
      <c r="A736" s="68"/>
      <c r="B736" s="68"/>
      <c r="C736" s="5"/>
      <c r="D736" s="68"/>
      <c r="E736" s="69"/>
      <c r="K736" s="68"/>
      <c r="M736" s="68"/>
      <c r="O736" s="68"/>
      <c r="P736" s="68"/>
      <c r="Q736" s="68"/>
      <c r="R736" s="68"/>
      <c r="S736" s="68"/>
    </row>
    <row r="737" spans="1:19" ht="15.75" customHeight="1">
      <c r="A737" s="68"/>
      <c r="B737" s="68"/>
      <c r="C737" s="5"/>
      <c r="D737" s="68"/>
      <c r="E737" s="69"/>
      <c r="K737" s="68"/>
      <c r="M737" s="68"/>
      <c r="O737" s="68"/>
      <c r="P737" s="68"/>
      <c r="Q737" s="68"/>
      <c r="R737" s="68"/>
      <c r="S737" s="68"/>
    </row>
    <row r="738" spans="1:19" ht="15.75" customHeight="1">
      <c r="A738" s="68"/>
      <c r="B738" s="68"/>
      <c r="C738" s="5"/>
      <c r="D738" s="68"/>
      <c r="E738" s="69"/>
      <c r="K738" s="68"/>
      <c r="M738" s="68"/>
      <c r="O738" s="68"/>
      <c r="P738" s="68"/>
      <c r="Q738" s="68"/>
      <c r="R738" s="68"/>
      <c r="S738" s="68"/>
    </row>
    <row r="739" spans="1:19" ht="15.75" customHeight="1">
      <c r="A739" s="68"/>
      <c r="B739" s="68"/>
      <c r="C739" s="5"/>
      <c r="D739" s="68"/>
      <c r="E739" s="69"/>
      <c r="K739" s="68"/>
      <c r="M739" s="68"/>
      <c r="O739" s="68"/>
      <c r="P739" s="68"/>
      <c r="Q739" s="68"/>
      <c r="R739" s="68"/>
      <c r="S739" s="68"/>
    </row>
    <row r="740" spans="1:19" ht="15.75" customHeight="1">
      <c r="A740" s="68"/>
      <c r="B740" s="68"/>
      <c r="C740" s="5"/>
      <c r="D740" s="68"/>
      <c r="E740" s="69"/>
      <c r="K740" s="68"/>
      <c r="M740" s="68"/>
      <c r="O740" s="68"/>
      <c r="P740" s="68"/>
      <c r="Q740" s="68"/>
      <c r="R740" s="68"/>
      <c r="S740" s="68"/>
    </row>
    <row r="741" spans="1:19" ht="15.75" customHeight="1">
      <c r="A741" s="68"/>
      <c r="B741" s="68"/>
      <c r="C741" s="5"/>
      <c r="D741" s="68"/>
      <c r="E741" s="69"/>
      <c r="K741" s="68"/>
      <c r="M741" s="68"/>
      <c r="O741" s="68"/>
      <c r="P741" s="68"/>
      <c r="Q741" s="68"/>
      <c r="R741" s="68"/>
      <c r="S741" s="68"/>
    </row>
    <row r="742" spans="1:19" ht="15.75" customHeight="1">
      <c r="A742" s="68"/>
      <c r="B742" s="68"/>
      <c r="C742" s="5"/>
      <c r="D742" s="68"/>
      <c r="E742" s="69"/>
      <c r="K742" s="68"/>
      <c r="M742" s="68"/>
      <c r="O742" s="68"/>
      <c r="P742" s="68"/>
      <c r="Q742" s="68"/>
      <c r="R742" s="68"/>
      <c r="S742" s="68"/>
    </row>
    <row r="743" spans="1:19" ht="15.75" customHeight="1">
      <c r="A743" s="68"/>
      <c r="B743" s="68"/>
      <c r="C743" s="5"/>
      <c r="D743" s="68"/>
      <c r="E743" s="69"/>
      <c r="K743" s="68"/>
      <c r="M743" s="68"/>
      <c r="O743" s="68"/>
      <c r="P743" s="68"/>
      <c r="Q743" s="68"/>
      <c r="R743" s="68"/>
      <c r="S743" s="68"/>
    </row>
    <row r="744" spans="1:19" ht="15.75" customHeight="1">
      <c r="A744" s="68"/>
      <c r="B744" s="68"/>
      <c r="C744" s="5"/>
      <c r="D744" s="68"/>
      <c r="E744" s="69"/>
      <c r="K744" s="68"/>
      <c r="M744" s="68"/>
      <c r="O744" s="68"/>
      <c r="P744" s="68"/>
      <c r="Q744" s="68"/>
      <c r="R744" s="68"/>
      <c r="S744" s="68"/>
    </row>
    <row r="745" spans="1:19" ht="15.75" customHeight="1">
      <c r="A745" s="68"/>
      <c r="B745" s="68"/>
      <c r="C745" s="5"/>
      <c r="D745" s="68"/>
      <c r="E745" s="69"/>
      <c r="K745" s="68"/>
      <c r="M745" s="68"/>
      <c r="O745" s="68"/>
      <c r="P745" s="68"/>
      <c r="Q745" s="68"/>
      <c r="R745" s="68"/>
      <c r="S745" s="68"/>
    </row>
    <row r="746" spans="1:19" ht="15.75" customHeight="1">
      <c r="A746" s="68"/>
      <c r="B746" s="68"/>
      <c r="C746" s="5"/>
      <c r="D746" s="68"/>
      <c r="E746" s="69"/>
      <c r="K746" s="68"/>
      <c r="M746" s="68"/>
      <c r="O746" s="68"/>
      <c r="P746" s="68"/>
      <c r="Q746" s="68"/>
      <c r="R746" s="68"/>
      <c r="S746" s="68"/>
    </row>
    <row r="747" spans="1:19" ht="15.75" customHeight="1">
      <c r="A747" s="68"/>
      <c r="B747" s="68"/>
      <c r="C747" s="5"/>
      <c r="D747" s="68"/>
      <c r="E747" s="69"/>
      <c r="K747" s="68"/>
      <c r="M747" s="68"/>
      <c r="O747" s="68"/>
      <c r="P747" s="68"/>
      <c r="Q747" s="68"/>
      <c r="R747" s="68"/>
      <c r="S747" s="68"/>
    </row>
    <row r="748" spans="1:19" ht="15.75" customHeight="1">
      <c r="A748" s="68"/>
      <c r="B748" s="68"/>
      <c r="C748" s="5"/>
      <c r="D748" s="68"/>
      <c r="E748" s="69"/>
      <c r="K748" s="68"/>
      <c r="M748" s="68"/>
      <c r="O748" s="68"/>
      <c r="P748" s="68"/>
      <c r="Q748" s="68"/>
      <c r="R748" s="68"/>
      <c r="S748" s="68"/>
    </row>
    <row r="749" spans="1:19" ht="15.75" customHeight="1">
      <c r="A749" s="68"/>
      <c r="B749" s="68"/>
      <c r="C749" s="5"/>
      <c r="D749" s="68"/>
      <c r="E749" s="69"/>
      <c r="K749" s="68"/>
      <c r="M749" s="68"/>
      <c r="O749" s="68"/>
      <c r="P749" s="68"/>
      <c r="Q749" s="68"/>
      <c r="R749" s="68"/>
      <c r="S749" s="68"/>
    </row>
    <row r="750" spans="1:19" ht="15.75" customHeight="1">
      <c r="A750" s="68"/>
      <c r="B750" s="68"/>
      <c r="C750" s="5"/>
      <c r="D750" s="68"/>
      <c r="E750" s="69"/>
      <c r="K750" s="68"/>
      <c r="M750" s="68"/>
      <c r="O750" s="68"/>
      <c r="P750" s="68"/>
      <c r="Q750" s="68"/>
      <c r="R750" s="68"/>
      <c r="S750" s="68"/>
    </row>
    <row r="751" spans="1:19" ht="15.75" customHeight="1">
      <c r="A751" s="68"/>
      <c r="B751" s="68"/>
      <c r="C751" s="5"/>
      <c r="D751" s="68"/>
      <c r="E751" s="69"/>
      <c r="K751" s="68"/>
      <c r="M751" s="68"/>
      <c r="O751" s="68"/>
      <c r="P751" s="68"/>
      <c r="Q751" s="68"/>
      <c r="R751" s="68"/>
      <c r="S751" s="68"/>
    </row>
    <row r="752" spans="1:19" ht="15.75" customHeight="1">
      <c r="A752" s="68"/>
      <c r="B752" s="68"/>
      <c r="C752" s="5"/>
      <c r="D752" s="68"/>
      <c r="E752" s="69"/>
      <c r="K752" s="68"/>
      <c r="M752" s="68"/>
      <c r="O752" s="68"/>
      <c r="P752" s="68"/>
      <c r="Q752" s="68"/>
      <c r="R752" s="68"/>
      <c r="S752" s="68"/>
    </row>
    <row r="753" spans="1:19" ht="15.75" customHeight="1">
      <c r="A753" s="68"/>
      <c r="B753" s="68"/>
      <c r="C753" s="5"/>
      <c r="D753" s="68"/>
      <c r="E753" s="69"/>
      <c r="K753" s="68"/>
      <c r="M753" s="68"/>
      <c r="O753" s="68"/>
      <c r="P753" s="68"/>
      <c r="Q753" s="68"/>
      <c r="R753" s="68"/>
      <c r="S753" s="68"/>
    </row>
    <row r="754" spans="1:19" ht="15.75" customHeight="1">
      <c r="A754" s="68"/>
      <c r="B754" s="68"/>
      <c r="C754" s="5"/>
      <c r="D754" s="68"/>
      <c r="E754" s="69"/>
      <c r="K754" s="68"/>
      <c r="M754" s="68"/>
      <c r="O754" s="68"/>
      <c r="P754" s="68"/>
      <c r="Q754" s="68"/>
      <c r="R754" s="68"/>
      <c r="S754" s="68"/>
    </row>
    <row r="755" spans="1:19" ht="15.75" customHeight="1">
      <c r="A755" s="68"/>
      <c r="B755" s="68"/>
      <c r="C755" s="5"/>
      <c r="D755" s="68"/>
      <c r="E755" s="69"/>
      <c r="K755" s="68"/>
      <c r="M755" s="68"/>
      <c r="O755" s="68"/>
      <c r="P755" s="68"/>
      <c r="Q755" s="68"/>
      <c r="R755" s="68"/>
      <c r="S755" s="68"/>
    </row>
    <row r="756" spans="1:19" ht="15.75" customHeight="1">
      <c r="A756" s="68"/>
      <c r="B756" s="68"/>
      <c r="C756" s="5"/>
      <c r="D756" s="68"/>
      <c r="E756" s="69"/>
      <c r="K756" s="68"/>
      <c r="M756" s="68"/>
      <c r="O756" s="68"/>
      <c r="P756" s="68"/>
      <c r="Q756" s="68"/>
      <c r="R756" s="68"/>
      <c r="S756" s="68"/>
    </row>
    <row r="757" spans="1:19" ht="15.75" customHeight="1">
      <c r="A757" s="68"/>
      <c r="B757" s="68"/>
      <c r="C757" s="5"/>
      <c r="D757" s="68"/>
      <c r="E757" s="69"/>
      <c r="K757" s="68"/>
      <c r="M757" s="68"/>
      <c r="O757" s="68"/>
      <c r="P757" s="68"/>
      <c r="Q757" s="68"/>
      <c r="R757" s="68"/>
      <c r="S757" s="68"/>
    </row>
    <row r="758" spans="1:19" ht="15.75" customHeight="1">
      <c r="A758" s="68"/>
      <c r="B758" s="68"/>
      <c r="C758" s="5"/>
      <c r="D758" s="68"/>
      <c r="E758" s="69"/>
      <c r="K758" s="68"/>
      <c r="M758" s="68"/>
      <c r="O758" s="68"/>
      <c r="P758" s="68"/>
      <c r="Q758" s="68"/>
      <c r="R758" s="68"/>
      <c r="S758" s="68"/>
    </row>
    <row r="759" spans="1:19" ht="15.75" customHeight="1">
      <c r="A759" s="68"/>
      <c r="B759" s="68"/>
      <c r="C759" s="5"/>
      <c r="D759" s="68"/>
      <c r="E759" s="69"/>
      <c r="K759" s="68"/>
      <c r="M759" s="68"/>
      <c r="O759" s="68"/>
      <c r="P759" s="68"/>
      <c r="Q759" s="68"/>
      <c r="R759" s="68"/>
      <c r="S759" s="68"/>
    </row>
    <row r="760" spans="1:19" ht="15.75" customHeight="1">
      <c r="A760" s="68"/>
      <c r="B760" s="68"/>
      <c r="C760" s="5"/>
      <c r="D760" s="68"/>
      <c r="E760" s="69"/>
      <c r="K760" s="68"/>
      <c r="M760" s="68"/>
      <c r="O760" s="68"/>
      <c r="P760" s="68"/>
      <c r="Q760" s="68"/>
      <c r="R760" s="68"/>
      <c r="S760" s="68"/>
    </row>
    <row r="761" spans="1:19" ht="15.75" customHeight="1">
      <c r="A761" s="68"/>
      <c r="B761" s="68"/>
      <c r="C761" s="5"/>
      <c r="D761" s="68"/>
      <c r="E761" s="69"/>
      <c r="K761" s="68"/>
      <c r="M761" s="68"/>
      <c r="O761" s="68"/>
      <c r="P761" s="68"/>
      <c r="Q761" s="68"/>
      <c r="R761" s="68"/>
      <c r="S761" s="68"/>
    </row>
    <row r="762" spans="1:19" ht="15.75" customHeight="1">
      <c r="A762" s="68"/>
      <c r="B762" s="68"/>
      <c r="C762" s="5"/>
      <c r="D762" s="68"/>
      <c r="E762" s="69"/>
      <c r="K762" s="68"/>
      <c r="M762" s="68"/>
      <c r="O762" s="68"/>
      <c r="P762" s="68"/>
      <c r="Q762" s="68"/>
      <c r="R762" s="68"/>
      <c r="S762" s="68"/>
    </row>
    <row r="763" spans="1:19" ht="15.75" customHeight="1">
      <c r="A763" s="68"/>
      <c r="B763" s="68"/>
      <c r="C763" s="5"/>
      <c r="D763" s="68"/>
      <c r="E763" s="69"/>
      <c r="K763" s="68"/>
      <c r="M763" s="68"/>
      <c r="O763" s="68"/>
      <c r="P763" s="68"/>
      <c r="Q763" s="68"/>
      <c r="R763" s="68"/>
      <c r="S763" s="68"/>
    </row>
    <row r="764" spans="1:19" ht="15.75" customHeight="1">
      <c r="A764" s="68"/>
      <c r="B764" s="68"/>
      <c r="C764" s="5"/>
      <c r="D764" s="68"/>
      <c r="E764" s="69"/>
      <c r="K764" s="68"/>
      <c r="M764" s="68"/>
      <c r="O764" s="68"/>
      <c r="P764" s="68"/>
      <c r="Q764" s="68"/>
      <c r="R764" s="68"/>
      <c r="S764" s="68"/>
    </row>
    <row r="765" spans="1:19" ht="15.75" customHeight="1">
      <c r="A765" s="68"/>
      <c r="B765" s="68"/>
      <c r="C765" s="5"/>
      <c r="D765" s="68"/>
      <c r="E765" s="69"/>
      <c r="K765" s="68"/>
      <c r="M765" s="68"/>
      <c r="O765" s="68"/>
      <c r="P765" s="68"/>
      <c r="Q765" s="68"/>
      <c r="R765" s="68"/>
      <c r="S765" s="68"/>
    </row>
    <row r="766" spans="1:19" ht="15.75" customHeight="1">
      <c r="A766" s="68"/>
      <c r="B766" s="68"/>
      <c r="C766" s="5"/>
      <c r="D766" s="68"/>
      <c r="E766" s="69"/>
      <c r="K766" s="68"/>
      <c r="M766" s="68"/>
      <c r="O766" s="68"/>
      <c r="P766" s="68"/>
      <c r="Q766" s="68"/>
      <c r="R766" s="68"/>
      <c r="S766" s="68"/>
    </row>
    <row r="767" spans="1:19" ht="15.75" customHeight="1">
      <c r="A767" s="68"/>
      <c r="B767" s="68"/>
      <c r="C767" s="5"/>
      <c r="D767" s="68"/>
      <c r="E767" s="69"/>
      <c r="K767" s="68"/>
      <c r="M767" s="68"/>
      <c r="O767" s="68"/>
      <c r="P767" s="68"/>
      <c r="Q767" s="68"/>
      <c r="R767" s="68"/>
      <c r="S767" s="68"/>
    </row>
    <row r="768" spans="1:19" ht="15.75" customHeight="1">
      <c r="A768" s="68"/>
      <c r="B768" s="68"/>
      <c r="C768" s="5"/>
      <c r="D768" s="68"/>
      <c r="E768" s="69"/>
      <c r="K768" s="68"/>
      <c r="M768" s="68"/>
      <c r="O768" s="68"/>
      <c r="P768" s="68"/>
      <c r="Q768" s="68"/>
      <c r="R768" s="68"/>
      <c r="S768" s="68"/>
    </row>
    <row r="769" spans="1:19" ht="15.75" customHeight="1">
      <c r="A769" s="68"/>
      <c r="B769" s="68"/>
      <c r="C769" s="5"/>
      <c r="D769" s="68"/>
      <c r="E769" s="69"/>
      <c r="K769" s="68"/>
      <c r="M769" s="68"/>
      <c r="O769" s="68"/>
      <c r="P769" s="68"/>
      <c r="Q769" s="68"/>
      <c r="R769" s="68"/>
      <c r="S769" s="68"/>
    </row>
    <row r="770" spans="1:19" ht="15.75" customHeight="1">
      <c r="A770" s="68"/>
      <c r="B770" s="68"/>
      <c r="C770" s="5"/>
      <c r="D770" s="68"/>
      <c r="E770" s="69"/>
      <c r="K770" s="68"/>
      <c r="M770" s="68"/>
      <c r="O770" s="68"/>
      <c r="P770" s="68"/>
      <c r="Q770" s="68"/>
      <c r="R770" s="68"/>
      <c r="S770" s="68"/>
    </row>
    <row r="771" spans="1:19" ht="15.75" customHeight="1">
      <c r="A771" s="68"/>
      <c r="B771" s="68"/>
      <c r="C771" s="5"/>
      <c r="D771" s="68"/>
      <c r="E771" s="69"/>
      <c r="K771" s="68"/>
      <c r="M771" s="68"/>
      <c r="O771" s="68"/>
      <c r="P771" s="68"/>
      <c r="Q771" s="68"/>
      <c r="R771" s="68"/>
      <c r="S771" s="68"/>
    </row>
    <row r="772" spans="1:19" ht="15.75" customHeight="1">
      <c r="A772" s="68"/>
      <c r="B772" s="68"/>
      <c r="C772" s="5"/>
      <c r="D772" s="68"/>
      <c r="E772" s="69"/>
      <c r="K772" s="68"/>
      <c r="M772" s="68"/>
      <c r="O772" s="68"/>
      <c r="P772" s="68"/>
      <c r="Q772" s="68"/>
      <c r="R772" s="68"/>
      <c r="S772" s="68"/>
    </row>
    <row r="773" spans="1:19" ht="15.75" customHeight="1">
      <c r="A773" s="68"/>
      <c r="B773" s="68"/>
      <c r="C773" s="5"/>
      <c r="D773" s="68"/>
      <c r="E773" s="69"/>
      <c r="K773" s="68"/>
      <c r="M773" s="68"/>
      <c r="O773" s="68"/>
      <c r="P773" s="68"/>
      <c r="Q773" s="68"/>
      <c r="R773" s="68"/>
      <c r="S773" s="68"/>
    </row>
    <row r="774" spans="1:19" ht="15.75" customHeight="1">
      <c r="A774" s="68"/>
      <c r="B774" s="68"/>
      <c r="C774" s="5"/>
      <c r="D774" s="68"/>
      <c r="E774" s="69"/>
      <c r="K774" s="68"/>
      <c r="M774" s="68"/>
      <c r="O774" s="68"/>
      <c r="P774" s="68"/>
      <c r="Q774" s="68"/>
      <c r="R774" s="68"/>
      <c r="S774" s="68"/>
    </row>
    <row r="775" spans="1:19" ht="15.75" customHeight="1">
      <c r="A775" s="68"/>
      <c r="B775" s="68"/>
      <c r="C775" s="5"/>
      <c r="D775" s="68"/>
      <c r="E775" s="69"/>
      <c r="K775" s="68"/>
      <c r="M775" s="68"/>
      <c r="O775" s="68"/>
      <c r="P775" s="68"/>
      <c r="Q775" s="68"/>
      <c r="R775" s="68"/>
      <c r="S775" s="68"/>
    </row>
    <row r="776" spans="1:19" ht="15.75" customHeight="1">
      <c r="A776" s="68"/>
      <c r="B776" s="68"/>
      <c r="C776" s="5"/>
      <c r="D776" s="68"/>
      <c r="E776" s="69"/>
      <c r="K776" s="68"/>
      <c r="M776" s="68"/>
      <c r="O776" s="68"/>
      <c r="P776" s="68"/>
      <c r="Q776" s="68"/>
      <c r="R776" s="68"/>
      <c r="S776" s="68"/>
    </row>
    <row r="777" spans="1:19" ht="15.75" customHeight="1">
      <c r="A777" s="68"/>
      <c r="B777" s="68"/>
      <c r="C777" s="5"/>
      <c r="D777" s="68"/>
      <c r="E777" s="69"/>
      <c r="K777" s="68"/>
      <c r="M777" s="68"/>
      <c r="O777" s="68"/>
      <c r="P777" s="68"/>
      <c r="Q777" s="68"/>
      <c r="R777" s="68"/>
      <c r="S777" s="68"/>
    </row>
    <row r="778" spans="1:19" ht="15.75" customHeight="1">
      <c r="A778" s="68"/>
      <c r="B778" s="68"/>
      <c r="C778" s="5"/>
      <c r="D778" s="68"/>
      <c r="E778" s="69"/>
      <c r="K778" s="68"/>
      <c r="M778" s="68"/>
      <c r="O778" s="68"/>
      <c r="P778" s="68"/>
      <c r="Q778" s="68"/>
      <c r="R778" s="68"/>
      <c r="S778" s="68"/>
    </row>
    <row r="779" spans="1:19" ht="15.75" customHeight="1">
      <c r="A779" s="68"/>
      <c r="B779" s="68"/>
      <c r="C779" s="5"/>
      <c r="D779" s="68"/>
      <c r="E779" s="69"/>
      <c r="K779" s="68"/>
      <c r="M779" s="68"/>
      <c r="O779" s="68"/>
      <c r="P779" s="68"/>
      <c r="Q779" s="68"/>
      <c r="R779" s="68"/>
      <c r="S779" s="68"/>
    </row>
    <row r="780" spans="1:19" ht="15.75" customHeight="1">
      <c r="A780" s="68"/>
      <c r="B780" s="68"/>
      <c r="C780" s="5"/>
      <c r="D780" s="68"/>
      <c r="E780" s="69"/>
      <c r="K780" s="68"/>
      <c r="M780" s="68"/>
      <c r="O780" s="68"/>
      <c r="P780" s="68"/>
      <c r="Q780" s="68"/>
      <c r="R780" s="68"/>
      <c r="S780" s="68"/>
    </row>
    <row r="781" spans="1:19" ht="15.75" customHeight="1">
      <c r="A781" s="68"/>
      <c r="B781" s="68"/>
      <c r="C781" s="5"/>
      <c r="D781" s="68"/>
      <c r="E781" s="69"/>
      <c r="K781" s="68"/>
      <c r="M781" s="68"/>
      <c r="O781" s="68"/>
      <c r="P781" s="68"/>
      <c r="Q781" s="68"/>
      <c r="R781" s="68"/>
      <c r="S781" s="68"/>
    </row>
    <row r="782" spans="1:19" ht="15.75" customHeight="1">
      <c r="A782" s="68"/>
      <c r="B782" s="68"/>
      <c r="C782" s="5"/>
      <c r="D782" s="68"/>
      <c r="E782" s="69"/>
      <c r="K782" s="68"/>
      <c r="M782" s="68"/>
      <c r="O782" s="68"/>
      <c r="P782" s="68"/>
      <c r="Q782" s="68"/>
      <c r="R782" s="68"/>
      <c r="S782" s="68"/>
    </row>
    <row r="783" spans="1:19" ht="15.75" customHeight="1">
      <c r="A783" s="68"/>
      <c r="B783" s="68"/>
      <c r="C783" s="5"/>
      <c r="D783" s="68"/>
      <c r="E783" s="69"/>
      <c r="K783" s="68"/>
      <c r="M783" s="68"/>
      <c r="O783" s="68"/>
      <c r="P783" s="68"/>
      <c r="Q783" s="68"/>
      <c r="R783" s="68"/>
      <c r="S783" s="68"/>
    </row>
    <row r="784" spans="1:19" ht="15.75" customHeight="1">
      <c r="A784" s="68"/>
      <c r="B784" s="68"/>
      <c r="C784" s="5"/>
      <c r="D784" s="68"/>
      <c r="E784" s="69"/>
      <c r="K784" s="68"/>
      <c r="M784" s="68"/>
      <c r="O784" s="68"/>
      <c r="P784" s="68"/>
      <c r="Q784" s="68"/>
      <c r="R784" s="68"/>
      <c r="S784" s="68"/>
    </row>
    <row r="785" spans="1:19" ht="15.75" customHeight="1">
      <c r="A785" s="68"/>
      <c r="B785" s="68"/>
      <c r="C785" s="5"/>
      <c r="D785" s="68"/>
      <c r="E785" s="69"/>
      <c r="K785" s="68"/>
      <c r="M785" s="68"/>
      <c r="O785" s="68"/>
      <c r="P785" s="68"/>
      <c r="Q785" s="68"/>
      <c r="R785" s="68"/>
      <c r="S785" s="68"/>
    </row>
    <row r="786" spans="1:19" ht="15.75" customHeight="1">
      <c r="A786" s="68"/>
      <c r="B786" s="68"/>
      <c r="C786" s="5"/>
      <c r="D786" s="68"/>
      <c r="E786" s="69"/>
      <c r="K786" s="68"/>
      <c r="M786" s="68"/>
      <c r="O786" s="68"/>
      <c r="P786" s="68"/>
      <c r="Q786" s="68"/>
      <c r="R786" s="68"/>
      <c r="S786" s="68"/>
    </row>
    <row r="787" spans="1:19" ht="15.75" customHeight="1">
      <c r="A787" s="68"/>
      <c r="B787" s="68"/>
      <c r="C787" s="5"/>
      <c r="D787" s="68"/>
      <c r="E787" s="69"/>
      <c r="K787" s="68"/>
      <c r="M787" s="68"/>
      <c r="O787" s="68"/>
      <c r="P787" s="68"/>
      <c r="Q787" s="68"/>
      <c r="R787" s="68"/>
      <c r="S787" s="68"/>
    </row>
    <row r="788" spans="1:19" ht="15.75" customHeight="1">
      <c r="A788" s="68"/>
      <c r="B788" s="68"/>
      <c r="C788" s="5"/>
      <c r="D788" s="68"/>
      <c r="E788" s="69"/>
      <c r="K788" s="68"/>
      <c r="M788" s="68"/>
      <c r="O788" s="68"/>
      <c r="P788" s="68"/>
      <c r="Q788" s="68"/>
      <c r="R788" s="68"/>
      <c r="S788" s="68"/>
    </row>
    <row r="789" spans="1:19" ht="15.75" customHeight="1">
      <c r="A789" s="68"/>
      <c r="B789" s="68"/>
      <c r="C789" s="5"/>
      <c r="D789" s="68"/>
      <c r="E789" s="69"/>
      <c r="K789" s="68"/>
      <c r="M789" s="68"/>
      <c r="O789" s="68"/>
      <c r="P789" s="68"/>
      <c r="Q789" s="68"/>
      <c r="R789" s="68"/>
      <c r="S789" s="68"/>
    </row>
    <row r="790" spans="1:19" ht="15.75" customHeight="1">
      <c r="A790" s="68"/>
      <c r="B790" s="68"/>
      <c r="C790" s="5"/>
      <c r="D790" s="68"/>
      <c r="E790" s="69"/>
      <c r="K790" s="68"/>
      <c r="M790" s="68"/>
      <c r="O790" s="68"/>
      <c r="P790" s="68"/>
      <c r="Q790" s="68"/>
      <c r="R790" s="68"/>
      <c r="S790" s="68"/>
    </row>
    <row r="791" spans="1:19" ht="15.75" customHeight="1">
      <c r="A791" s="68"/>
      <c r="B791" s="68"/>
      <c r="C791" s="5"/>
      <c r="D791" s="68"/>
      <c r="E791" s="69"/>
      <c r="K791" s="68"/>
      <c r="M791" s="68"/>
      <c r="O791" s="68"/>
      <c r="P791" s="68"/>
      <c r="Q791" s="68"/>
      <c r="R791" s="68"/>
      <c r="S791" s="68"/>
    </row>
    <row r="792" spans="1:19" ht="15.75" customHeight="1">
      <c r="A792" s="68"/>
      <c r="B792" s="68"/>
      <c r="C792" s="5"/>
      <c r="D792" s="68"/>
      <c r="E792" s="69"/>
      <c r="K792" s="68"/>
      <c r="M792" s="68"/>
      <c r="O792" s="68"/>
      <c r="P792" s="68"/>
      <c r="Q792" s="68"/>
      <c r="R792" s="68"/>
      <c r="S792" s="68"/>
    </row>
    <row r="793" spans="1:19" ht="15.75" customHeight="1">
      <c r="A793" s="68"/>
      <c r="B793" s="68"/>
      <c r="C793" s="5"/>
      <c r="D793" s="68"/>
      <c r="E793" s="69"/>
      <c r="K793" s="68"/>
      <c r="M793" s="68"/>
      <c r="O793" s="68"/>
      <c r="P793" s="68"/>
      <c r="Q793" s="68"/>
      <c r="R793" s="68"/>
      <c r="S793" s="68"/>
    </row>
    <row r="794" spans="1:19" ht="15.75" customHeight="1">
      <c r="A794" s="68"/>
      <c r="B794" s="68"/>
      <c r="C794" s="5"/>
      <c r="D794" s="68"/>
      <c r="E794" s="69"/>
      <c r="K794" s="68"/>
      <c r="M794" s="68"/>
      <c r="O794" s="68"/>
      <c r="P794" s="68"/>
      <c r="Q794" s="68"/>
      <c r="R794" s="68"/>
      <c r="S794" s="68"/>
    </row>
    <row r="795" spans="1:19" ht="15.75" customHeight="1">
      <c r="A795" s="68"/>
      <c r="B795" s="68"/>
      <c r="C795" s="5"/>
      <c r="D795" s="68"/>
      <c r="E795" s="69"/>
      <c r="K795" s="68"/>
      <c r="M795" s="68"/>
      <c r="O795" s="68"/>
      <c r="P795" s="68"/>
      <c r="Q795" s="68"/>
      <c r="R795" s="68"/>
      <c r="S795" s="68"/>
    </row>
    <row r="796" spans="1:19" ht="15.75" customHeight="1">
      <c r="A796" s="68"/>
      <c r="B796" s="68"/>
      <c r="C796" s="5"/>
      <c r="D796" s="68"/>
      <c r="E796" s="69"/>
      <c r="K796" s="68"/>
      <c r="M796" s="68"/>
      <c r="O796" s="68"/>
      <c r="P796" s="68"/>
      <c r="Q796" s="68"/>
      <c r="R796" s="68"/>
      <c r="S796" s="68"/>
    </row>
    <row r="797" spans="1:19" ht="15.75" customHeight="1">
      <c r="A797" s="68"/>
      <c r="B797" s="68"/>
      <c r="C797" s="5"/>
      <c r="D797" s="68"/>
      <c r="E797" s="69"/>
      <c r="K797" s="68"/>
      <c r="M797" s="68"/>
      <c r="O797" s="68"/>
      <c r="P797" s="68"/>
      <c r="Q797" s="68"/>
      <c r="R797" s="68"/>
      <c r="S797" s="68"/>
    </row>
    <row r="798" spans="1:19" ht="15.75" customHeight="1">
      <c r="A798" s="68"/>
      <c r="B798" s="68"/>
      <c r="C798" s="5"/>
      <c r="D798" s="68"/>
      <c r="E798" s="69"/>
      <c r="K798" s="68"/>
      <c r="M798" s="68"/>
      <c r="O798" s="68"/>
      <c r="P798" s="68"/>
      <c r="Q798" s="68"/>
      <c r="R798" s="68"/>
      <c r="S798" s="68"/>
    </row>
    <row r="799" spans="1:19" ht="15.75" customHeight="1">
      <c r="A799" s="68"/>
      <c r="B799" s="68"/>
      <c r="C799" s="5"/>
      <c r="D799" s="68"/>
      <c r="E799" s="69"/>
      <c r="K799" s="68"/>
      <c r="M799" s="68"/>
      <c r="O799" s="68"/>
      <c r="P799" s="68"/>
      <c r="Q799" s="68"/>
      <c r="R799" s="68"/>
      <c r="S799" s="68"/>
    </row>
    <row r="800" spans="1:19" ht="15.75" customHeight="1">
      <c r="A800" s="68"/>
      <c r="B800" s="68"/>
      <c r="C800" s="5"/>
      <c r="D800" s="68"/>
      <c r="E800" s="69"/>
      <c r="K800" s="68"/>
      <c r="M800" s="68"/>
      <c r="O800" s="68"/>
      <c r="P800" s="68"/>
      <c r="Q800" s="68"/>
      <c r="R800" s="68"/>
      <c r="S800" s="68"/>
    </row>
    <row r="801" spans="1:19" ht="15.75" customHeight="1">
      <c r="A801" s="68"/>
      <c r="B801" s="68"/>
      <c r="C801" s="5"/>
      <c r="D801" s="68"/>
      <c r="E801" s="69"/>
      <c r="K801" s="68"/>
      <c r="M801" s="68"/>
      <c r="O801" s="68"/>
      <c r="P801" s="68"/>
      <c r="Q801" s="68"/>
      <c r="R801" s="68"/>
      <c r="S801" s="68"/>
    </row>
    <row r="802" spans="1:19" ht="15.75" customHeight="1">
      <c r="A802" s="68"/>
      <c r="B802" s="68"/>
      <c r="C802" s="5"/>
      <c r="D802" s="68"/>
      <c r="E802" s="69"/>
      <c r="K802" s="68"/>
      <c r="M802" s="68"/>
      <c r="O802" s="68"/>
      <c r="P802" s="68"/>
      <c r="Q802" s="68"/>
      <c r="R802" s="68"/>
      <c r="S802" s="68"/>
    </row>
    <row r="803" spans="1:19" ht="15.75" customHeight="1">
      <c r="A803" s="68"/>
      <c r="B803" s="68"/>
      <c r="C803" s="5"/>
      <c r="D803" s="68"/>
      <c r="E803" s="69"/>
      <c r="K803" s="68"/>
      <c r="M803" s="68"/>
      <c r="O803" s="68"/>
      <c r="P803" s="68"/>
      <c r="Q803" s="68"/>
      <c r="R803" s="68"/>
      <c r="S803" s="68"/>
    </row>
    <row r="804" spans="1:19" ht="15.75" customHeight="1">
      <c r="A804" s="68"/>
      <c r="B804" s="68"/>
      <c r="C804" s="5"/>
      <c r="D804" s="68"/>
      <c r="E804" s="69"/>
      <c r="K804" s="68"/>
      <c r="M804" s="68"/>
      <c r="O804" s="68"/>
      <c r="P804" s="68"/>
      <c r="Q804" s="68"/>
      <c r="R804" s="68"/>
      <c r="S804" s="68"/>
    </row>
    <row r="805" spans="1:19" ht="15.75" customHeight="1">
      <c r="A805" s="68"/>
      <c r="B805" s="68"/>
      <c r="C805" s="5"/>
      <c r="D805" s="68"/>
      <c r="E805" s="69"/>
      <c r="K805" s="68"/>
      <c r="M805" s="68"/>
      <c r="O805" s="68"/>
      <c r="P805" s="68"/>
      <c r="Q805" s="68"/>
      <c r="R805" s="68"/>
      <c r="S805" s="68"/>
    </row>
    <row r="806" spans="1:19" ht="15.75" customHeight="1">
      <c r="A806" s="68"/>
      <c r="B806" s="68"/>
      <c r="C806" s="5"/>
      <c r="D806" s="68"/>
      <c r="E806" s="69"/>
      <c r="K806" s="68"/>
      <c r="M806" s="68"/>
      <c r="O806" s="68"/>
      <c r="P806" s="68"/>
      <c r="Q806" s="68"/>
      <c r="R806" s="68"/>
      <c r="S806" s="68"/>
    </row>
    <row r="807" spans="1:19" ht="15.75" customHeight="1">
      <c r="A807" s="68"/>
      <c r="B807" s="68"/>
      <c r="C807" s="5"/>
      <c r="D807" s="68"/>
      <c r="E807" s="69"/>
      <c r="K807" s="68"/>
      <c r="M807" s="68"/>
      <c r="O807" s="68"/>
      <c r="P807" s="68"/>
      <c r="Q807" s="68"/>
      <c r="R807" s="68"/>
      <c r="S807" s="68"/>
    </row>
    <row r="808" spans="1:19" ht="15.75" customHeight="1">
      <c r="A808" s="68"/>
      <c r="B808" s="68"/>
      <c r="C808" s="5"/>
      <c r="D808" s="68"/>
      <c r="E808" s="69"/>
      <c r="K808" s="68"/>
      <c r="M808" s="68"/>
      <c r="O808" s="68"/>
      <c r="P808" s="68"/>
      <c r="Q808" s="68"/>
      <c r="R808" s="68"/>
      <c r="S808" s="68"/>
    </row>
    <row r="809" spans="1:19" ht="15.75" customHeight="1">
      <c r="A809" s="68"/>
      <c r="B809" s="68"/>
      <c r="C809" s="5"/>
      <c r="D809" s="68"/>
      <c r="E809" s="69"/>
      <c r="K809" s="68"/>
      <c r="M809" s="68"/>
      <c r="O809" s="68"/>
      <c r="P809" s="68"/>
      <c r="Q809" s="68"/>
      <c r="R809" s="68"/>
      <c r="S809" s="68"/>
    </row>
    <row r="810" spans="1:19" ht="15.75" customHeight="1">
      <c r="A810" s="68"/>
      <c r="B810" s="68"/>
      <c r="C810" s="5"/>
      <c r="D810" s="68"/>
      <c r="E810" s="69"/>
      <c r="K810" s="68"/>
      <c r="M810" s="68"/>
      <c r="O810" s="68"/>
      <c r="P810" s="68"/>
      <c r="Q810" s="68"/>
      <c r="R810" s="68"/>
      <c r="S810" s="68"/>
    </row>
    <row r="811" spans="1:19" ht="15.75" customHeight="1">
      <c r="A811" s="68"/>
      <c r="B811" s="68"/>
      <c r="C811" s="5"/>
      <c r="D811" s="68"/>
      <c r="E811" s="69"/>
      <c r="K811" s="68"/>
      <c r="M811" s="68"/>
      <c r="O811" s="68"/>
      <c r="P811" s="68"/>
      <c r="Q811" s="68"/>
      <c r="R811" s="68"/>
      <c r="S811" s="68"/>
    </row>
    <row r="812" spans="1:19" ht="15.75" customHeight="1">
      <c r="A812" s="68"/>
      <c r="B812" s="68"/>
      <c r="C812" s="5"/>
      <c r="D812" s="68"/>
      <c r="E812" s="69"/>
      <c r="K812" s="68"/>
      <c r="M812" s="68"/>
      <c r="O812" s="68"/>
      <c r="P812" s="68"/>
      <c r="Q812" s="68"/>
      <c r="R812" s="68"/>
      <c r="S812" s="68"/>
    </row>
    <row r="813" spans="1:19" ht="15.75" customHeight="1">
      <c r="A813" s="68"/>
      <c r="B813" s="68"/>
      <c r="C813" s="5"/>
      <c r="D813" s="68"/>
      <c r="E813" s="69"/>
      <c r="K813" s="68"/>
      <c r="M813" s="68"/>
      <c r="O813" s="68"/>
      <c r="P813" s="68"/>
      <c r="Q813" s="68"/>
      <c r="R813" s="68"/>
      <c r="S813" s="68"/>
    </row>
    <row r="814" spans="1:19" ht="15.75" customHeight="1">
      <c r="A814" s="68"/>
      <c r="B814" s="68"/>
      <c r="C814" s="5"/>
      <c r="D814" s="68"/>
      <c r="E814" s="69"/>
      <c r="K814" s="68"/>
      <c r="M814" s="68"/>
      <c r="O814" s="68"/>
      <c r="P814" s="68"/>
      <c r="Q814" s="68"/>
      <c r="R814" s="68"/>
      <c r="S814" s="68"/>
    </row>
    <row r="815" spans="1:19" ht="15.75" customHeight="1">
      <c r="A815" s="68"/>
      <c r="B815" s="68"/>
      <c r="C815" s="5"/>
      <c r="D815" s="68"/>
      <c r="E815" s="69"/>
      <c r="K815" s="68"/>
      <c r="M815" s="68"/>
      <c r="O815" s="68"/>
      <c r="P815" s="68"/>
      <c r="Q815" s="68"/>
      <c r="R815" s="68"/>
      <c r="S815" s="68"/>
    </row>
    <row r="816" spans="1:19" ht="15.75" customHeight="1">
      <c r="A816" s="68"/>
      <c r="B816" s="68"/>
      <c r="C816" s="5"/>
      <c r="D816" s="68"/>
      <c r="E816" s="69"/>
      <c r="K816" s="68"/>
      <c r="M816" s="68"/>
      <c r="O816" s="68"/>
      <c r="P816" s="68"/>
      <c r="Q816" s="68"/>
      <c r="R816" s="68"/>
      <c r="S816" s="68"/>
    </row>
    <row r="817" spans="1:19" ht="15.75" customHeight="1">
      <c r="A817" s="68"/>
      <c r="B817" s="68"/>
      <c r="C817" s="5"/>
      <c r="D817" s="68"/>
      <c r="E817" s="69"/>
      <c r="K817" s="68"/>
      <c r="M817" s="68"/>
      <c r="O817" s="68"/>
      <c r="P817" s="68"/>
      <c r="Q817" s="68"/>
      <c r="R817" s="68"/>
      <c r="S817" s="68"/>
    </row>
    <row r="818" spans="1:19" ht="15.75" customHeight="1">
      <c r="A818" s="68"/>
      <c r="B818" s="68"/>
      <c r="C818" s="5"/>
      <c r="D818" s="68"/>
      <c r="E818" s="69"/>
      <c r="K818" s="68"/>
      <c r="M818" s="68"/>
      <c r="O818" s="68"/>
      <c r="P818" s="68"/>
      <c r="Q818" s="68"/>
      <c r="R818" s="68"/>
      <c r="S818" s="68"/>
    </row>
    <row r="819" spans="1:19" ht="15.75" customHeight="1">
      <c r="A819" s="68"/>
      <c r="B819" s="68"/>
      <c r="C819" s="5"/>
      <c r="D819" s="68"/>
      <c r="E819" s="69"/>
      <c r="K819" s="68"/>
      <c r="M819" s="68"/>
      <c r="O819" s="68"/>
      <c r="P819" s="68"/>
      <c r="Q819" s="68"/>
      <c r="R819" s="68"/>
      <c r="S819" s="68"/>
    </row>
    <row r="820" spans="1:19" ht="15.75" customHeight="1">
      <c r="A820" s="68"/>
      <c r="B820" s="68"/>
      <c r="C820" s="5"/>
      <c r="D820" s="68"/>
      <c r="E820" s="69"/>
      <c r="K820" s="68"/>
      <c r="M820" s="68"/>
      <c r="O820" s="68"/>
      <c r="P820" s="68"/>
      <c r="Q820" s="68"/>
      <c r="R820" s="68"/>
      <c r="S820" s="68"/>
    </row>
    <row r="821" spans="1:19" ht="15.75" customHeight="1">
      <c r="A821" s="68"/>
      <c r="B821" s="68"/>
      <c r="C821" s="5"/>
      <c r="D821" s="68"/>
      <c r="E821" s="69"/>
      <c r="K821" s="68"/>
      <c r="M821" s="68"/>
      <c r="O821" s="68"/>
      <c r="P821" s="68"/>
      <c r="Q821" s="68"/>
      <c r="R821" s="68"/>
      <c r="S821" s="68"/>
    </row>
    <row r="822" spans="1:19" ht="15.75" customHeight="1">
      <c r="A822" s="68"/>
      <c r="B822" s="68"/>
      <c r="C822" s="5"/>
      <c r="D822" s="68"/>
      <c r="E822" s="69"/>
      <c r="K822" s="68"/>
      <c r="M822" s="68"/>
      <c r="O822" s="68"/>
      <c r="P822" s="68"/>
      <c r="Q822" s="68"/>
      <c r="R822" s="68"/>
      <c r="S822" s="68"/>
    </row>
    <row r="823" spans="1:19" ht="15.75" customHeight="1">
      <c r="A823" s="68"/>
      <c r="B823" s="68"/>
      <c r="C823" s="5"/>
      <c r="D823" s="68"/>
      <c r="E823" s="69"/>
      <c r="K823" s="68"/>
      <c r="M823" s="68"/>
      <c r="O823" s="68"/>
      <c r="P823" s="68"/>
      <c r="Q823" s="68"/>
      <c r="R823" s="68"/>
      <c r="S823" s="68"/>
    </row>
    <row r="824" spans="1:19" ht="15.75" customHeight="1">
      <c r="A824" s="68"/>
      <c r="B824" s="68"/>
      <c r="C824" s="5"/>
      <c r="D824" s="68"/>
      <c r="E824" s="69"/>
      <c r="K824" s="68"/>
      <c r="M824" s="68"/>
      <c r="O824" s="68"/>
      <c r="P824" s="68"/>
      <c r="Q824" s="68"/>
      <c r="R824" s="68"/>
      <c r="S824" s="68"/>
    </row>
    <row r="825" spans="1:19" ht="15.75" customHeight="1">
      <c r="A825" s="68"/>
      <c r="B825" s="68"/>
      <c r="C825" s="5"/>
      <c r="D825" s="68"/>
      <c r="E825" s="69"/>
      <c r="K825" s="68"/>
      <c r="M825" s="68"/>
      <c r="O825" s="68"/>
      <c r="P825" s="68"/>
      <c r="Q825" s="68"/>
      <c r="R825" s="68"/>
      <c r="S825" s="68"/>
    </row>
    <row r="826" spans="1:19" ht="15.75" customHeight="1">
      <c r="A826" s="68"/>
      <c r="B826" s="68"/>
      <c r="C826" s="5"/>
      <c r="D826" s="68"/>
      <c r="E826" s="69"/>
      <c r="K826" s="68"/>
      <c r="M826" s="68"/>
      <c r="O826" s="68"/>
      <c r="P826" s="68"/>
      <c r="Q826" s="68"/>
      <c r="R826" s="68"/>
      <c r="S826" s="68"/>
    </row>
    <row r="827" spans="1:19" ht="15.75" customHeight="1">
      <c r="A827" s="68"/>
      <c r="B827" s="68"/>
      <c r="C827" s="5"/>
      <c r="D827" s="68"/>
      <c r="E827" s="69"/>
      <c r="K827" s="68"/>
      <c r="M827" s="68"/>
      <c r="O827" s="68"/>
      <c r="P827" s="68"/>
      <c r="Q827" s="68"/>
      <c r="R827" s="68"/>
      <c r="S827" s="68"/>
    </row>
    <row r="828" spans="1:19" ht="15.75" customHeight="1">
      <c r="A828" s="68"/>
      <c r="B828" s="68"/>
      <c r="C828" s="5"/>
      <c r="D828" s="68"/>
      <c r="E828" s="69"/>
      <c r="K828" s="68"/>
      <c r="M828" s="68"/>
      <c r="O828" s="68"/>
      <c r="P828" s="68"/>
      <c r="Q828" s="68"/>
      <c r="R828" s="68"/>
      <c r="S828" s="68"/>
    </row>
    <row r="829" spans="1:19" ht="15.75" customHeight="1">
      <c r="A829" s="68"/>
      <c r="B829" s="68"/>
      <c r="C829" s="5"/>
      <c r="D829" s="68"/>
      <c r="E829" s="69"/>
      <c r="K829" s="68"/>
      <c r="M829" s="68"/>
      <c r="O829" s="68"/>
      <c r="P829" s="68"/>
      <c r="Q829" s="68"/>
      <c r="R829" s="68"/>
      <c r="S829" s="68"/>
    </row>
    <row r="830" spans="1:19" ht="15.75" customHeight="1">
      <c r="A830" s="68"/>
      <c r="B830" s="68"/>
      <c r="C830" s="5"/>
      <c r="D830" s="68"/>
      <c r="E830" s="69"/>
      <c r="K830" s="68"/>
      <c r="M830" s="68"/>
      <c r="O830" s="68"/>
      <c r="P830" s="68"/>
      <c r="Q830" s="68"/>
      <c r="R830" s="68"/>
      <c r="S830" s="68"/>
    </row>
    <row r="831" spans="1:19" ht="15.75" customHeight="1">
      <c r="A831" s="68"/>
      <c r="B831" s="68"/>
      <c r="C831" s="5"/>
      <c r="D831" s="68"/>
      <c r="E831" s="69"/>
      <c r="K831" s="68"/>
      <c r="M831" s="68"/>
      <c r="O831" s="68"/>
      <c r="P831" s="68"/>
      <c r="Q831" s="68"/>
      <c r="R831" s="68"/>
      <c r="S831" s="68"/>
    </row>
    <row r="832" spans="1:19" ht="15.75" customHeight="1">
      <c r="A832" s="68"/>
      <c r="B832" s="68"/>
      <c r="C832" s="5"/>
      <c r="D832" s="68"/>
      <c r="E832" s="69"/>
      <c r="K832" s="68"/>
      <c r="M832" s="68"/>
      <c r="O832" s="68"/>
      <c r="P832" s="68"/>
      <c r="Q832" s="68"/>
      <c r="R832" s="68"/>
      <c r="S832" s="68"/>
    </row>
    <row r="833" spans="1:19" ht="15.75" customHeight="1">
      <c r="A833" s="68"/>
      <c r="B833" s="68"/>
      <c r="C833" s="5"/>
      <c r="D833" s="68"/>
      <c r="E833" s="69"/>
      <c r="K833" s="68"/>
      <c r="M833" s="68"/>
      <c r="O833" s="68"/>
      <c r="P833" s="68"/>
      <c r="Q833" s="68"/>
      <c r="R833" s="68"/>
      <c r="S833" s="68"/>
    </row>
    <row r="834" spans="1:19" ht="15.75" customHeight="1">
      <c r="A834" s="68"/>
      <c r="B834" s="68"/>
      <c r="C834" s="5"/>
      <c r="D834" s="68"/>
      <c r="E834" s="69"/>
      <c r="K834" s="68"/>
      <c r="M834" s="68"/>
      <c r="O834" s="68"/>
      <c r="P834" s="68"/>
      <c r="Q834" s="68"/>
      <c r="R834" s="68"/>
      <c r="S834" s="68"/>
    </row>
    <row r="835" spans="1:19" ht="15.75" customHeight="1">
      <c r="A835" s="68"/>
      <c r="B835" s="68"/>
      <c r="C835" s="5"/>
      <c r="D835" s="68"/>
      <c r="E835" s="69"/>
      <c r="K835" s="68"/>
      <c r="M835" s="68"/>
      <c r="O835" s="68"/>
      <c r="P835" s="68"/>
      <c r="Q835" s="68"/>
      <c r="R835" s="68"/>
      <c r="S835" s="68"/>
    </row>
    <row r="836" spans="1:19" ht="15.75" customHeight="1">
      <c r="A836" s="68"/>
      <c r="B836" s="68"/>
      <c r="C836" s="5"/>
      <c r="D836" s="68"/>
      <c r="E836" s="69"/>
      <c r="K836" s="68"/>
      <c r="M836" s="68"/>
      <c r="O836" s="68"/>
      <c r="P836" s="68"/>
      <c r="Q836" s="68"/>
      <c r="R836" s="68"/>
      <c r="S836" s="68"/>
    </row>
    <row r="837" spans="1:19" ht="15.75" customHeight="1">
      <c r="A837" s="68"/>
      <c r="B837" s="68"/>
      <c r="C837" s="5"/>
      <c r="D837" s="68"/>
      <c r="E837" s="69"/>
      <c r="K837" s="68"/>
      <c r="M837" s="68"/>
      <c r="O837" s="68"/>
      <c r="P837" s="68"/>
      <c r="Q837" s="68"/>
      <c r="R837" s="68"/>
      <c r="S837" s="68"/>
    </row>
    <row r="838" spans="1:19" ht="15.75" customHeight="1">
      <c r="A838" s="68"/>
      <c r="B838" s="68"/>
      <c r="C838" s="5"/>
      <c r="D838" s="68"/>
      <c r="E838" s="69"/>
      <c r="K838" s="68"/>
      <c r="M838" s="68"/>
      <c r="O838" s="68"/>
      <c r="P838" s="68"/>
      <c r="Q838" s="68"/>
      <c r="R838" s="68"/>
      <c r="S838" s="68"/>
    </row>
    <row r="839" spans="1:19" ht="15.75" customHeight="1">
      <c r="A839" s="68"/>
      <c r="B839" s="68"/>
      <c r="C839" s="5"/>
      <c r="D839" s="68"/>
      <c r="E839" s="69"/>
      <c r="K839" s="68"/>
      <c r="M839" s="68"/>
      <c r="O839" s="68"/>
      <c r="P839" s="68"/>
      <c r="Q839" s="68"/>
      <c r="R839" s="68"/>
      <c r="S839" s="68"/>
    </row>
    <row r="840" spans="1:19" ht="15.75" customHeight="1">
      <c r="A840" s="68"/>
      <c r="B840" s="68"/>
      <c r="C840" s="5"/>
      <c r="D840" s="68"/>
      <c r="E840" s="69"/>
      <c r="K840" s="68"/>
      <c r="M840" s="68"/>
      <c r="O840" s="68"/>
      <c r="P840" s="68"/>
      <c r="Q840" s="68"/>
      <c r="R840" s="68"/>
      <c r="S840" s="68"/>
    </row>
    <row r="841" spans="1:19" ht="15.75" customHeight="1">
      <c r="A841" s="68"/>
      <c r="B841" s="68"/>
      <c r="C841" s="5"/>
      <c r="D841" s="68"/>
      <c r="E841" s="69"/>
      <c r="K841" s="68"/>
      <c r="M841" s="68"/>
      <c r="O841" s="68"/>
      <c r="P841" s="68"/>
      <c r="Q841" s="68"/>
      <c r="R841" s="68"/>
      <c r="S841" s="68"/>
    </row>
    <row r="842" spans="1:19" ht="15.75" customHeight="1">
      <c r="A842" s="68"/>
      <c r="B842" s="68"/>
      <c r="C842" s="5"/>
      <c r="D842" s="68"/>
      <c r="E842" s="69"/>
      <c r="K842" s="68"/>
      <c r="M842" s="68"/>
      <c r="O842" s="68"/>
      <c r="P842" s="68"/>
      <c r="Q842" s="68"/>
      <c r="R842" s="68"/>
      <c r="S842" s="68"/>
    </row>
    <row r="843" spans="1:19" ht="15.75" customHeight="1">
      <c r="A843" s="68"/>
      <c r="B843" s="68"/>
      <c r="C843" s="5"/>
      <c r="D843" s="68"/>
      <c r="E843" s="69"/>
      <c r="K843" s="68"/>
      <c r="M843" s="68"/>
      <c r="O843" s="68"/>
      <c r="P843" s="68"/>
      <c r="Q843" s="68"/>
      <c r="R843" s="68"/>
      <c r="S843" s="68"/>
    </row>
    <row r="844" spans="1:19" ht="15.75" customHeight="1">
      <c r="A844" s="68"/>
      <c r="B844" s="68"/>
      <c r="C844" s="5"/>
      <c r="D844" s="68"/>
      <c r="E844" s="69"/>
      <c r="K844" s="68"/>
      <c r="M844" s="68"/>
      <c r="O844" s="68"/>
      <c r="P844" s="68"/>
      <c r="Q844" s="68"/>
      <c r="R844" s="68"/>
      <c r="S844" s="68"/>
    </row>
    <row r="845" spans="1:19" ht="15.75" customHeight="1">
      <c r="A845" s="68"/>
      <c r="B845" s="68"/>
      <c r="C845" s="5"/>
      <c r="D845" s="68"/>
      <c r="E845" s="69"/>
      <c r="K845" s="68"/>
      <c r="M845" s="68"/>
      <c r="O845" s="68"/>
      <c r="P845" s="68"/>
      <c r="Q845" s="68"/>
      <c r="R845" s="68"/>
      <c r="S845" s="68"/>
    </row>
    <row r="846" spans="1:19" ht="15.75" customHeight="1">
      <c r="A846" s="68"/>
      <c r="B846" s="68"/>
      <c r="C846" s="5"/>
      <c r="D846" s="68"/>
      <c r="E846" s="69"/>
      <c r="K846" s="68"/>
      <c r="M846" s="68"/>
      <c r="O846" s="68"/>
      <c r="P846" s="68"/>
      <c r="Q846" s="68"/>
      <c r="R846" s="68"/>
      <c r="S846" s="68"/>
    </row>
    <row r="847" spans="1:19" ht="15.75" customHeight="1">
      <c r="A847" s="68"/>
      <c r="B847" s="68"/>
      <c r="C847" s="5"/>
      <c r="D847" s="68"/>
      <c r="E847" s="69"/>
      <c r="K847" s="68"/>
      <c r="M847" s="68"/>
      <c r="O847" s="68"/>
      <c r="P847" s="68"/>
      <c r="Q847" s="68"/>
      <c r="R847" s="68"/>
      <c r="S847" s="68"/>
    </row>
    <row r="848" spans="1:19" ht="15.75" customHeight="1">
      <c r="A848" s="68"/>
      <c r="B848" s="68"/>
      <c r="C848" s="5"/>
      <c r="D848" s="68"/>
      <c r="E848" s="69"/>
      <c r="K848" s="68"/>
      <c r="M848" s="68"/>
      <c r="O848" s="68"/>
      <c r="P848" s="68"/>
      <c r="Q848" s="68"/>
      <c r="R848" s="68"/>
      <c r="S848" s="68"/>
    </row>
    <row r="849" spans="1:19" ht="15.75" customHeight="1">
      <c r="A849" s="68"/>
      <c r="B849" s="68"/>
      <c r="C849" s="5"/>
      <c r="D849" s="68"/>
      <c r="E849" s="69"/>
      <c r="K849" s="68"/>
      <c r="M849" s="68"/>
      <c r="O849" s="68"/>
      <c r="P849" s="68"/>
      <c r="Q849" s="68"/>
      <c r="R849" s="68"/>
      <c r="S849" s="68"/>
    </row>
    <row r="850" spans="1:19" ht="15.75" customHeight="1">
      <c r="A850" s="68"/>
      <c r="B850" s="68"/>
      <c r="C850" s="5"/>
      <c r="D850" s="68"/>
      <c r="E850" s="69"/>
      <c r="K850" s="68"/>
      <c r="M850" s="68"/>
      <c r="O850" s="68"/>
      <c r="P850" s="68"/>
      <c r="Q850" s="68"/>
      <c r="R850" s="68"/>
      <c r="S850" s="68"/>
    </row>
    <row r="851" spans="1:19" ht="15.75" customHeight="1">
      <c r="A851" s="68"/>
      <c r="B851" s="68"/>
      <c r="C851" s="5"/>
      <c r="D851" s="68"/>
      <c r="E851" s="69"/>
      <c r="K851" s="68"/>
      <c r="M851" s="68"/>
      <c r="O851" s="68"/>
      <c r="P851" s="68"/>
      <c r="Q851" s="68"/>
      <c r="R851" s="68"/>
      <c r="S851" s="68"/>
    </row>
    <row r="852" spans="1:19" ht="15.75" customHeight="1">
      <c r="A852" s="68"/>
      <c r="B852" s="68"/>
      <c r="C852" s="5"/>
      <c r="D852" s="68"/>
      <c r="E852" s="69"/>
      <c r="K852" s="68"/>
      <c r="M852" s="68"/>
      <c r="O852" s="68"/>
      <c r="P852" s="68"/>
      <c r="Q852" s="68"/>
      <c r="R852" s="68"/>
      <c r="S852" s="68"/>
    </row>
    <row r="853" spans="1:19" ht="15.75" customHeight="1">
      <c r="A853" s="68"/>
      <c r="B853" s="68"/>
      <c r="C853" s="5"/>
      <c r="D853" s="68"/>
      <c r="E853" s="69"/>
      <c r="K853" s="68"/>
      <c r="M853" s="68"/>
      <c r="O853" s="68"/>
      <c r="P853" s="68"/>
      <c r="Q853" s="68"/>
      <c r="R853" s="68"/>
      <c r="S853" s="68"/>
    </row>
    <row r="854" spans="1:19" ht="15.75" customHeight="1">
      <c r="A854" s="68"/>
      <c r="B854" s="68"/>
      <c r="C854" s="5"/>
      <c r="D854" s="68"/>
      <c r="E854" s="69"/>
      <c r="K854" s="68"/>
      <c r="M854" s="68"/>
      <c r="O854" s="68"/>
      <c r="P854" s="68"/>
      <c r="Q854" s="68"/>
      <c r="R854" s="68"/>
      <c r="S854" s="68"/>
    </row>
    <row r="855" spans="1:19" ht="15.75" customHeight="1">
      <c r="A855" s="68"/>
      <c r="B855" s="68"/>
      <c r="C855" s="5"/>
      <c r="D855" s="68"/>
      <c r="E855" s="69"/>
      <c r="K855" s="68"/>
      <c r="M855" s="68"/>
      <c r="O855" s="68"/>
      <c r="P855" s="68"/>
      <c r="Q855" s="68"/>
      <c r="R855" s="68"/>
      <c r="S855" s="68"/>
    </row>
    <row r="856" spans="1:19" ht="15.75" customHeight="1">
      <c r="A856" s="68"/>
      <c r="B856" s="68"/>
      <c r="C856" s="5"/>
      <c r="D856" s="68"/>
      <c r="E856" s="69"/>
      <c r="K856" s="68"/>
      <c r="M856" s="68"/>
      <c r="O856" s="68"/>
      <c r="P856" s="68"/>
      <c r="Q856" s="68"/>
      <c r="R856" s="68"/>
      <c r="S856" s="68"/>
    </row>
    <row r="857" spans="1:19" ht="15.75" customHeight="1">
      <c r="A857" s="68"/>
      <c r="B857" s="68"/>
      <c r="C857" s="5"/>
      <c r="D857" s="68"/>
      <c r="E857" s="69"/>
      <c r="K857" s="68"/>
      <c r="M857" s="68"/>
      <c r="O857" s="68"/>
      <c r="P857" s="68"/>
      <c r="Q857" s="68"/>
      <c r="R857" s="68"/>
      <c r="S857" s="68"/>
    </row>
    <row r="858" spans="1:19" ht="15.75" customHeight="1">
      <c r="A858" s="68"/>
      <c r="B858" s="68"/>
      <c r="C858" s="5"/>
      <c r="D858" s="68"/>
      <c r="E858" s="69"/>
      <c r="K858" s="68"/>
      <c r="M858" s="68"/>
      <c r="O858" s="68"/>
      <c r="P858" s="68"/>
      <c r="Q858" s="68"/>
      <c r="R858" s="68"/>
      <c r="S858" s="68"/>
    </row>
    <row r="859" spans="1:19" ht="15.75" customHeight="1">
      <c r="A859" s="68"/>
      <c r="B859" s="68"/>
      <c r="C859" s="5"/>
      <c r="D859" s="68"/>
      <c r="E859" s="69"/>
      <c r="K859" s="68"/>
      <c r="M859" s="68"/>
      <c r="O859" s="68"/>
      <c r="P859" s="68"/>
      <c r="Q859" s="68"/>
      <c r="R859" s="68"/>
      <c r="S859" s="68"/>
    </row>
    <row r="860" spans="1:19" ht="15.75" customHeight="1">
      <c r="A860" s="68"/>
      <c r="B860" s="68"/>
      <c r="C860" s="5"/>
      <c r="D860" s="68"/>
      <c r="E860" s="69"/>
      <c r="K860" s="68"/>
      <c r="M860" s="68"/>
      <c r="O860" s="68"/>
      <c r="P860" s="68"/>
      <c r="Q860" s="68"/>
      <c r="R860" s="68"/>
      <c r="S860" s="68"/>
    </row>
    <row r="861" spans="1:19" ht="15.75" customHeight="1">
      <c r="A861" s="68"/>
      <c r="B861" s="68"/>
      <c r="C861" s="5"/>
      <c r="D861" s="68"/>
      <c r="E861" s="69"/>
      <c r="K861" s="68"/>
      <c r="M861" s="68"/>
      <c r="O861" s="68"/>
      <c r="P861" s="68"/>
      <c r="Q861" s="68"/>
      <c r="R861" s="68"/>
      <c r="S861" s="68"/>
    </row>
    <row r="862" spans="1:19" ht="15.75" customHeight="1">
      <c r="A862" s="68"/>
      <c r="B862" s="68"/>
      <c r="C862" s="5"/>
      <c r="D862" s="68"/>
      <c r="E862" s="69"/>
      <c r="K862" s="68"/>
      <c r="M862" s="68"/>
      <c r="O862" s="68"/>
      <c r="P862" s="68"/>
      <c r="Q862" s="68"/>
      <c r="R862" s="68"/>
      <c r="S862" s="68"/>
    </row>
    <row r="863" spans="1:19" ht="15.75" customHeight="1">
      <c r="A863" s="68"/>
      <c r="B863" s="68"/>
      <c r="C863" s="5"/>
      <c r="D863" s="68"/>
      <c r="E863" s="69"/>
      <c r="K863" s="68"/>
      <c r="M863" s="68"/>
      <c r="O863" s="68"/>
      <c r="P863" s="68"/>
      <c r="Q863" s="68"/>
      <c r="R863" s="68"/>
      <c r="S863" s="68"/>
    </row>
    <row r="864" spans="1:19" ht="15.75" customHeight="1">
      <c r="A864" s="68"/>
      <c r="B864" s="68"/>
      <c r="C864" s="5"/>
      <c r="D864" s="68"/>
      <c r="E864" s="69"/>
      <c r="K864" s="68"/>
      <c r="M864" s="68"/>
      <c r="O864" s="68"/>
      <c r="P864" s="68"/>
      <c r="Q864" s="68"/>
      <c r="R864" s="68"/>
      <c r="S864" s="68"/>
    </row>
    <row r="865" spans="1:19" ht="15.75" customHeight="1">
      <c r="A865" s="68"/>
      <c r="B865" s="68"/>
      <c r="C865" s="5"/>
      <c r="D865" s="68"/>
      <c r="E865" s="69"/>
      <c r="K865" s="68"/>
      <c r="M865" s="68"/>
      <c r="O865" s="68"/>
      <c r="P865" s="68"/>
      <c r="Q865" s="68"/>
      <c r="R865" s="68"/>
      <c r="S865" s="68"/>
    </row>
    <row r="866" spans="1:19" ht="15.75" customHeight="1">
      <c r="A866" s="68"/>
      <c r="B866" s="68"/>
      <c r="C866" s="5"/>
      <c r="D866" s="68"/>
      <c r="E866" s="69"/>
      <c r="K866" s="68"/>
      <c r="M866" s="68"/>
      <c r="O866" s="68"/>
      <c r="P866" s="68"/>
      <c r="Q866" s="68"/>
      <c r="R866" s="68"/>
      <c r="S866" s="68"/>
    </row>
    <row r="867" spans="1:19" ht="15.75" customHeight="1">
      <c r="A867" s="68"/>
      <c r="B867" s="68"/>
      <c r="C867" s="5"/>
      <c r="D867" s="68"/>
      <c r="E867" s="69"/>
      <c r="K867" s="68"/>
      <c r="M867" s="68"/>
      <c r="O867" s="68"/>
      <c r="P867" s="68"/>
      <c r="Q867" s="68"/>
      <c r="R867" s="68"/>
      <c r="S867" s="68"/>
    </row>
    <row r="868" spans="1:19" ht="15.75" customHeight="1">
      <c r="A868" s="68"/>
      <c r="B868" s="68"/>
      <c r="C868" s="5"/>
      <c r="D868" s="68"/>
      <c r="E868" s="69"/>
      <c r="K868" s="68"/>
      <c r="M868" s="68"/>
      <c r="O868" s="68"/>
      <c r="P868" s="68"/>
      <c r="Q868" s="68"/>
      <c r="R868" s="68"/>
      <c r="S868" s="68"/>
    </row>
    <row r="869" spans="1:19" ht="15.75" customHeight="1">
      <c r="A869" s="68"/>
      <c r="B869" s="68"/>
      <c r="C869" s="5"/>
      <c r="D869" s="68"/>
      <c r="E869" s="69"/>
      <c r="K869" s="68"/>
      <c r="M869" s="68"/>
      <c r="O869" s="68"/>
      <c r="P869" s="68"/>
      <c r="Q869" s="68"/>
      <c r="R869" s="68"/>
      <c r="S869" s="68"/>
    </row>
    <row r="870" spans="1:19" ht="15.75" customHeight="1">
      <c r="A870" s="68"/>
      <c r="B870" s="68"/>
      <c r="C870" s="5"/>
      <c r="D870" s="68"/>
      <c r="E870" s="69"/>
      <c r="K870" s="68"/>
      <c r="M870" s="68"/>
      <c r="O870" s="68"/>
      <c r="P870" s="68"/>
      <c r="Q870" s="68"/>
      <c r="R870" s="68"/>
      <c r="S870" s="68"/>
    </row>
    <row r="871" spans="1:19" ht="15.75" customHeight="1">
      <c r="A871" s="68"/>
      <c r="B871" s="68"/>
      <c r="C871" s="5"/>
      <c r="D871" s="68"/>
      <c r="E871" s="69"/>
      <c r="K871" s="68"/>
      <c r="M871" s="68"/>
      <c r="O871" s="68"/>
      <c r="P871" s="68"/>
      <c r="Q871" s="68"/>
      <c r="R871" s="68"/>
      <c r="S871" s="68"/>
    </row>
    <row r="872" spans="1:19" ht="15.75" customHeight="1">
      <c r="A872" s="68"/>
      <c r="B872" s="68"/>
      <c r="C872" s="5"/>
      <c r="D872" s="68"/>
      <c r="E872" s="69"/>
      <c r="K872" s="68"/>
      <c r="M872" s="68"/>
      <c r="O872" s="68"/>
      <c r="P872" s="68"/>
      <c r="Q872" s="68"/>
      <c r="R872" s="68"/>
      <c r="S872" s="68"/>
    </row>
    <row r="873" spans="1:19" ht="15.75" customHeight="1">
      <c r="A873" s="68"/>
      <c r="B873" s="68"/>
      <c r="C873" s="5"/>
      <c r="D873" s="68"/>
      <c r="E873" s="69"/>
      <c r="K873" s="68"/>
      <c r="M873" s="68"/>
      <c r="O873" s="68"/>
      <c r="P873" s="68"/>
      <c r="Q873" s="68"/>
      <c r="R873" s="68"/>
      <c r="S873" s="68"/>
    </row>
    <row r="874" spans="1:19" ht="15.75" customHeight="1">
      <c r="A874" s="68"/>
      <c r="B874" s="68"/>
      <c r="C874" s="5"/>
      <c r="D874" s="68"/>
      <c r="E874" s="69"/>
      <c r="K874" s="68"/>
      <c r="M874" s="68"/>
      <c r="O874" s="68"/>
      <c r="P874" s="68"/>
      <c r="Q874" s="68"/>
      <c r="R874" s="68"/>
      <c r="S874" s="68"/>
    </row>
    <row r="875" spans="1:19" ht="15.75" customHeight="1">
      <c r="A875" s="68"/>
      <c r="B875" s="68"/>
      <c r="C875" s="5"/>
      <c r="D875" s="68"/>
      <c r="E875" s="69"/>
      <c r="K875" s="68"/>
      <c r="M875" s="68"/>
      <c r="O875" s="68"/>
      <c r="P875" s="68"/>
      <c r="Q875" s="68"/>
      <c r="R875" s="68"/>
      <c r="S875" s="68"/>
    </row>
    <row r="876" spans="1:19" ht="15.75" customHeight="1">
      <c r="A876" s="68"/>
      <c r="B876" s="68"/>
      <c r="C876" s="5"/>
      <c r="D876" s="68"/>
      <c r="E876" s="69"/>
      <c r="K876" s="68"/>
      <c r="M876" s="68"/>
      <c r="O876" s="68"/>
      <c r="P876" s="68"/>
      <c r="Q876" s="68"/>
      <c r="R876" s="68"/>
      <c r="S876" s="68"/>
    </row>
    <row r="877" spans="1:19" ht="15.75" customHeight="1">
      <c r="A877" s="68"/>
      <c r="B877" s="68"/>
      <c r="C877" s="5"/>
      <c r="D877" s="68"/>
      <c r="E877" s="69"/>
      <c r="K877" s="68"/>
      <c r="M877" s="68"/>
      <c r="O877" s="68"/>
      <c r="P877" s="68"/>
      <c r="Q877" s="68"/>
      <c r="R877" s="68"/>
      <c r="S877" s="68"/>
    </row>
    <row r="878" spans="1:19" ht="15.75" customHeight="1">
      <c r="A878" s="68"/>
      <c r="B878" s="68"/>
      <c r="C878" s="5"/>
      <c r="D878" s="68"/>
      <c r="E878" s="69"/>
      <c r="K878" s="68"/>
      <c r="M878" s="68"/>
      <c r="O878" s="68"/>
      <c r="P878" s="68"/>
      <c r="Q878" s="68"/>
      <c r="R878" s="68"/>
      <c r="S878" s="68"/>
    </row>
    <row r="879" spans="1:19" ht="15.75" customHeight="1">
      <c r="A879" s="68"/>
      <c r="B879" s="68"/>
      <c r="C879" s="5"/>
      <c r="D879" s="68"/>
      <c r="E879" s="69"/>
      <c r="K879" s="68"/>
      <c r="M879" s="68"/>
      <c r="O879" s="68"/>
      <c r="P879" s="68"/>
      <c r="Q879" s="68"/>
      <c r="R879" s="68"/>
      <c r="S879" s="68"/>
    </row>
    <row r="880" spans="1:19" ht="15.75" customHeight="1">
      <c r="A880" s="68"/>
      <c r="B880" s="68"/>
      <c r="C880" s="5"/>
      <c r="D880" s="68"/>
      <c r="E880" s="69"/>
      <c r="K880" s="68"/>
      <c r="M880" s="68"/>
      <c r="O880" s="68"/>
      <c r="P880" s="68"/>
      <c r="Q880" s="68"/>
      <c r="R880" s="68"/>
      <c r="S880" s="68"/>
    </row>
    <row r="881" spans="1:19" ht="15.75" customHeight="1">
      <c r="A881" s="68"/>
      <c r="B881" s="68"/>
      <c r="C881" s="5"/>
      <c r="D881" s="68"/>
      <c r="E881" s="69"/>
      <c r="K881" s="68"/>
      <c r="M881" s="68"/>
      <c r="O881" s="68"/>
      <c r="P881" s="68"/>
      <c r="Q881" s="68"/>
      <c r="R881" s="68"/>
      <c r="S881" s="68"/>
    </row>
    <row r="882" spans="1:19" ht="15.75" customHeight="1">
      <c r="A882" s="68"/>
      <c r="B882" s="68"/>
      <c r="C882" s="5"/>
      <c r="D882" s="68"/>
      <c r="E882" s="69"/>
      <c r="K882" s="68"/>
      <c r="M882" s="68"/>
      <c r="O882" s="68"/>
      <c r="P882" s="68"/>
      <c r="Q882" s="68"/>
      <c r="R882" s="68"/>
      <c r="S882" s="68"/>
    </row>
    <row r="883" spans="1:19" ht="15.75" customHeight="1">
      <c r="A883" s="68"/>
      <c r="B883" s="68"/>
      <c r="C883" s="5"/>
      <c r="D883" s="68"/>
      <c r="E883" s="69"/>
      <c r="K883" s="68"/>
      <c r="M883" s="68"/>
      <c r="O883" s="68"/>
      <c r="P883" s="68"/>
      <c r="Q883" s="68"/>
      <c r="R883" s="68"/>
      <c r="S883" s="68"/>
    </row>
    <row r="884" spans="1:19" ht="15.75" customHeight="1">
      <c r="A884" s="68"/>
      <c r="B884" s="68"/>
      <c r="C884" s="5"/>
      <c r="D884" s="68"/>
      <c r="E884" s="69"/>
      <c r="K884" s="68"/>
      <c r="M884" s="68"/>
      <c r="O884" s="68"/>
      <c r="P884" s="68"/>
      <c r="Q884" s="68"/>
      <c r="R884" s="68"/>
      <c r="S884" s="68"/>
    </row>
    <row r="885" spans="1:19" ht="15.75" customHeight="1">
      <c r="A885" s="68"/>
      <c r="B885" s="68"/>
      <c r="C885" s="5"/>
      <c r="D885" s="68"/>
      <c r="E885" s="69"/>
      <c r="K885" s="68"/>
      <c r="M885" s="68"/>
      <c r="O885" s="68"/>
      <c r="P885" s="68"/>
      <c r="Q885" s="68"/>
      <c r="R885" s="68"/>
      <c r="S885" s="68"/>
    </row>
    <row r="886" spans="1:19" ht="15.75" customHeight="1">
      <c r="A886" s="68"/>
      <c r="B886" s="68"/>
      <c r="C886" s="5"/>
      <c r="D886" s="68"/>
      <c r="E886" s="69"/>
      <c r="K886" s="68"/>
      <c r="M886" s="68"/>
      <c r="O886" s="68"/>
      <c r="P886" s="68"/>
      <c r="Q886" s="68"/>
      <c r="R886" s="68"/>
      <c r="S886" s="68"/>
    </row>
    <row r="887" spans="1:19" ht="15.75" customHeight="1">
      <c r="A887" s="68"/>
      <c r="B887" s="68"/>
      <c r="C887" s="5"/>
      <c r="D887" s="68"/>
      <c r="E887" s="69"/>
      <c r="K887" s="68"/>
      <c r="M887" s="68"/>
      <c r="O887" s="68"/>
      <c r="P887" s="68"/>
      <c r="Q887" s="68"/>
      <c r="R887" s="68"/>
      <c r="S887" s="68"/>
    </row>
    <row r="888" spans="1:19" ht="15.75" customHeight="1">
      <c r="A888" s="68"/>
      <c r="B888" s="68"/>
      <c r="C888" s="5"/>
      <c r="D888" s="68"/>
      <c r="E888" s="69"/>
      <c r="K888" s="68"/>
      <c r="M888" s="68"/>
      <c r="O888" s="68"/>
      <c r="P888" s="68"/>
      <c r="Q888" s="68"/>
      <c r="R888" s="68"/>
      <c r="S888" s="68"/>
    </row>
    <row r="889" spans="1:19" ht="15.75" customHeight="1">
      <c r="A889" s="68"/>
      <c r="B889" s="68"/>
      <c r="C889" s="5"/>
      <c r="D889" s="68"/>
      <c r="E889" s="69"/>
      <c r="K889" s="68"/>
      <c r="M889" s="68"/>
      <c r="O889" s="68"/>
      <c r="P889" s="68"/>
      <c r="Q889" s="68"/>
      <c r="R889" s="68"/>
      <c r="S889" s="68"/>
    </row>
    <row r="890" spans="1:19" ht="15.75" customHeight="1">
      <c r="A890" s="68"/>
      <c r="B890" s="68"/>
      <c r="C890" s="5"/>
      <c r="D890" s="68"/>
      <c r="E890" s="69"/>
      <c r="K890" s="68"/>
      <c r="M890" s="68"/>
      <c r="O890" s="68"/>
      <c r="P890" s="68"/>
      <c r="Q890" s="68"/>
      <c r="R890" s="68"/>
      <c r="S890" s="68"/>
    </row>
    <row r="891" spans="1:19" ht="15.75" customHeight="1">
      <c r="A891" s="68"/>
      <c r="B891" s="68"/>
      <c r="C891" s="5"/>
      <c r="D891" s="68"/>
      <c r="E891" s="69"/>
      <c r="K891" s="68"/>
      <c r="M891" s="68"/>
      <c r="O891" s="68"/>
      <c r="P891" s="68"/>
      <c r="Q891" s="68"/>
      <c r="R891" s="68"/>
      <c r="S891" s="68"/>
    </row>
    <row r="892" spans="1:19" ht="15.75" customHeight="1">
      <c r="A892" s="68"/>
      <c r="B892" s="68"/>
      <c r="C892" s="5"/>
      <c r="D892" s="68"/>
      <c r="E892" s="69"/>
      <c r="K892" s="68"/>
      <c r="M892" s="68"/>
      <c r="O892" s="68"/>
      <c r="P892" s="68"/>
      <c r="Q892" s="68"/>
      <c r="R892" s="68"/>
      <c r="S892" s="68"/>
    </row>
    <row r="893" spans="1:19" ht="15.75" customHeight="1">
      <c r="A893" s="68"/>
      <c r="B893" s="68"/>
      <c r="C893" s="5"/>
      <c r="D893" s="68"/>
      <c r="E893" s="69"/>
      <c r="K893" s="68"/>
      <c r="M893" s="68"/>
      <c r="O893" s="68"/>
      <c r="P893" s="68"/>
      <c r="Q893" s="68"/>
      <c r="R893" s="68"/>
      <c r="S893" s="68"/>
    </row>
    <row r="894" spans="1:19" ht="15.75" customHeight="1">
      <c r="A894" s="68"/>
      <c r="B894" s="68"/>
      <c r="C894" s="5"/>
      <c r="D894" s="68"/>
      <c r="E894" s="69"/>
      <c r="K894" s="68"/>
      <c r="M894" s="68"/>
      <c r="O894" s="68"/>
      <c r="P894" s="68"/>
      <c r="Q894" s="68"/>
      <c r="R894" s="68"/>
      <c r="S894" s="68"/>
    </row>
    <row r="895" spans="1:19" ht="15.75" customHeight="1">
      <c r="A895" s="68"/>
      <c r="B895" s="68"/>
      <c r="C895" s="5"/>
      <c r="D895" s="68"/>
      <c r="E895" s="69"/>
      <c r="K895" s="68"/>
      <c r="M895" s="68"/>
      <c r="O895" s="68"/>
      <c r="P895" s="68"/>
      <c r="Q895" s="68"/>
      <c r="R895" s="68"/>
      <c r="S895" s="68"/>
    </row>
    <row r="896" spans="1:19" ht="15.75" customHeight="1">
      <c r="A896" s="68"/>
      <c r="B896" s="68"/>
      <c r="C896" s="5"/>
      <c r="D896" s="68"/>
      <c r="E896" s="69"/>
      <c r="K896" s="68"/>
      <c r="M896" s="68"/>
      <c r="O896" s="68"/>
      <c r="P896" s="68"/>
      <c r="Q896" s="68"/>
      <c r="R896" s="68"/>
      <c r="S896" s="68"/>
    </row>
    <row r="897" spans="1:19" ht="15.75" customHeight="1">
      <c r="A897" s="68"/>
      <c r="B897" s="68"/>
      <c r="C897" s="5"/>
      <c r="D897" s="68"/>
      <c r="E897" s="69"/>
      <c r="K897" s="68"/>
      <c r="M897" s="68"/>
      <c r="O897" s="68"/>
      <c r="P897" s="68"/>
      <c r="Q897" s="68"/>
      <c r="R897" s="68"/>
      <c r="S897" s="68"/>
    </row>
    <row r="898" spans="1:19" ht="15.75" customHeight="1">
      <c r="A898" s="68"/>
      <c r="B898" s="68"/>
      <c r="C898" s="5"/>
      <c r="D898" s="68"/>
      <c r="E898" s="69"/>
      <c r="K898" s="68"/>
      <c r="M898" s="68"/>
      <c r="O898" s="68"/>
      <c r="P898" s="68"/>
      <c r="Q898" s="68"/>
      <c r="R898" s="68"/>
      <c r="S898" s="68"/>
    </row>
    <row r="899" spans="1:19" ht="15.75" customHeight="1">
      <c r="A899" s="68"/>
      <c r="B899" s="68"/>
      <c r="C899" s="5"/>
      <c r="D899" s="68"/>
      <c r="E899" s="69"/>
      <c r="K899" s="68"/>
      <c r="M899" s="68"/>
      <c r="O899" s="68"/>
      <c r="P899" s="68"/>
      <c r="Q899" s="68"/>
      <c r="R899" s="68"/>
      <c r="S899" s="68"/>
    </row>
    <row r="900" spans="1:19" ht="15.75" customHeight="1">
      <c r="A900" s="68"/>
      <c r="B900" s="68"/>
      <c r="C900" s="5"/>
      <c r="D900" s="68"/>
      <c r="E900" s="69"/>
      <c r="K900" s="68"/>
      <c r="M900" s="68"/>
      <c r="O900" s="68"/>
      <c r="P900" s="68"/>
      <c r="Q900" s="68"/>
      <c r="R900" s="68"/>
      <c r="S900" s="68"/>
    </row>
    <row r="901" spans="1:19" ht="15.75" customHeight="1">
      <c r="A901" s="68"/>
      <c r="B901" s="68"/>
      <c r="C901" s="5"/>
      <c r="D901" s="68"/>
      <c r="E901" s="69"/>
      <c r="K901" s="68"/>
      <c r="M901" s="68"/>
      <c r="O901" s="68"/>
      <c r="P901" s="68"/>
      <c r="Q901" s="68"/>
      <c r="R901" s="68"/>
      <c r="S901" s="68"/>
    </row>
    <row r="902" spans="1:19" ht="15.75" customHeight="1">
      <c r="A902" s="68"/>
      <c r="B902" s="68"/>
      <c r="C902" s="5"/>
      <c r="D902" s="68"/>
      <c r="E902" s="69"/>
      <c r="K902" s="68"/>
      <c r="M902" s="68"/>
      <c r="O902" s="68"/>
      <c r="P902" s="68"/>
      <c r="Q902" s="68"/>
      <c r="R902" s="68"/>
      <c r="S902" s="68"/>
    </row>
    <row r="903" spans="1:19" ht="15.75" customHeight="1">
      <c r="A903" s="68"/>
      <c r="B903" s="68"/>
      <c r="C903" s="5"/>
      <c r="D903" s="68"/>
      <c r="E903" s="69"/>
      <c r="K903" s="68"/>
      <c r="M903" s="68"/>
      <c r="O903" s="68"/>
      <c r="P903" s="68"/>
      <c r="Q903" s="68"/>
      <c r="R903" s="68"/>
      <c r="S903" s="68"/>
    </row>
    <row r="904" spans="1:19" ht="15.75" customHeight="1">
      <c r="A904" s="68"/>
      <c r="B904" s="68"/>
      <c r="C904" s="5"/>
      <c r="D904" s="68"/>
      <c r="E904" s="69"/>
      <c r="K904" s="68"/>
      <c r="M904" s="68"/>
      <c r="O904" s="68"/>
      <c r="P904" s="68"/>
      <c r="Q904" s="68"/>
      <c r="R904" s="68"/>
      <c r="S904" s="68"/>
    </row>
    <row r="905" spans="1:19" ht="15.75" customHeight="1">
      <c r="A905" s="68"/>
      <c r="B905" s="68"/>
      <c r="C905" s="5"/>
      <c r="D905" s="68"/>
      <c r="E905" s="69"/>
      <c r="K905" s="68"/>
      <c r="M905" s="68"/>
      <c r="O905" s="68"/>
      <c r="P905" s="68"/>
      <c r="Q905" s="68"/>
      <c r="R905" s="68"/>
      <c r="S905" s="68"/>
    </row>
    <row r="906" spans="1:19" ht="15.75" customHeight="1">
      <c r="A906" s="68"/>
      <c r="B906" s="68"/>
      <c r="C906" s="5"/>
      <c r="D906" s="68"/>
      <c r="E906" s="69"/>
      <c r="K906" s="68"/>
      <c r="M906" s="68"/>
      <c r="O906" s="68"/>
      <c r="P906" s="68"/>
      <c r="Q906" s="68"/>
      <c r="R906" s="68"/>
      <c r="S906" s="68"/>
    </row>
    <row r="907" spans="1:19" ht="15.75" customHeight="1">
      <c r="A907" s="68"/>
      <c r="B907" s="68"/>
      <c r="C907" s="5"/>
      <c r="D907" s="68"/>
      <c r="E907" s="69"/>
      <c r="K907" s="68"/>
      <c r="M907" s="68"/>
      <c r="O907" s="68"/>
      <c r="P907" s="68"/>
      <c r="Q907" s="68"/>
      <c r="R907" s="68"/>
      <c r="S907" s="68"/>
    </row>
    <row r="908" spans="1:19" ht="15.75" customHeight="1">
      <c r="A908" s="68"/>
      <c r="B908" s="68"/>
      <c r="C908" s="5"/>
      <c r="D908" s="68"/>
      <c r="E908" s="69"/>
      <c r="K908" s="68"/>
      <c r="M908" s="68"/>
      <c r="O908" s="68"/>
      <c r="P908" s="68"/>
      <c r="Q908" s="68"/>
      <c r="R908" s="68"/>
      <c r="S908" s="68"/>
    </row>
    <row r="909" spans="1:19" ht="15.75" customHeight="1">
      <c r="A909" s="68"/>
      <c r="B909" s="68"/>
      <c r="C909" s="5"/>
      <c r="D909" s="68"/>
      <c r="E909" s="69"/>
      <c r="K909" s="68"/>
      <c r="M909" s="68"/>
      <c r="O909" s="68"/>
      <c r="P909" s="68"/>
      <c r="Q909" s="68"/>
      <c r="R909" s="68"/>
      <c r="S909" s="68"/>
    </row>
    <row r="910" spans="1:19" ht="15.75" customHeight="1">
      <c r="A910" s="68"/>
      <c r="B910" s="68"/>
      <c r="C910" s="5"/>
      <c r="D910" s="68"/>
      <c r="E910" s="69"/>
      <c r="K910" s="68"/>
      <c r="M910" s="68"/>
      <c r="O910" s="68"/>
      <c r="P910" s="68"/>
      <c r="Q910" s="68"/>
      <c r="R910" s="68"/>
      <c r="S910" s="68"/>
    </row>
    <row r="911" spans="1:19" ht="15.75" customHeight="1">
      <c r="A911" s="68"/>
      <c r="B911" s="68"/>
      <c r="C911" s="5"/>
      <c r="D911" s="68"/>
      <c r="E911" s="69"/>
      <c r="K911" s="68"/>
      <c r="M911" s="68"/>
      <c r="O911" s="68"/>
      <c r="P911" s="68"/>
      <c r="Q911" s="68"/>
      <c r="R911" s="68"/>
      <c r="S911" s="68"/>
    </row>
    <row r="912" spans="1:19" ht="15.75" customHeight="1">
      <c r="A912" s="68"/>
      <c r="B912" s="68"/>
      <c r="C912" s="5"/>
      <c r="D912" s="68"/>
      <c r="E912" s="69"/>
      <c r="K912" s="68"/>
      <c r="M912" s="68"/>
      <c r="O912" s="68"/>
      <c r="P912" s="68"/>
      <c r="Q912" s="68"/>
      <c r="R912" s="68"/>
      <c r="S912" s="68"/>
    </row>
    <row r="913" spans="1:19" ht="15.75" customHeight="1">
      <c r="A913" s="68"/>
      <c r="B913" s="68"/>
      <c r="C913" s="5"/>
      <c r="D913" s="68"/>
      <c r="E913" s="69"/>
      <c r="K913" s="68"/>
      <c r="M913" s="68"/>
      <c r="O913" s="68"/>
      <c r="P913" s="68"/>
      <c r="Q913" s="68"/>
      <c r="R913" s="68"/>
      <c r="S913" s="68"/>
    </row>
    <row r="914" spans="1:19" ht="15.75" customHeight="1">
      <c r="A914" s="68"/>
      <c r="B914" s="68"/>
      <c r="C914" s="5"/>
      <c r="D914" s="68"/>
      <c r="E914" s="69"/>
      <c r="K914" s="68"/>
      <c r="M914" s="68"/>
      <c r="O914" s="68"/>
      <c r="P914" s="68"/>
      <c r="Q914" s="68"/>
      <c r="R914" s="68"/>
      <c r="S914" s="68"/>
    </row>
    <row r="915" spans="1:19" ht="15.75" customHeight="1">
      <c r="A915" s="68"/>
      <c r="B915" s="68"/>
      <c r="C915" s="5"/>
      <c r="D915" s="68"/>
      <c r="E915" s="69"/>
      <c r="K915" s="68"/>
      <c r="M915" s="68"/>
      <c r="O915" s="68"/>
      <c r="P915" s="68"/>
      <c r="Q915" s="68"/>
      <c r="R915" s="68"/>
      <c r="S915" s="68"/>
    </row>
    <row r="916" spans="1:19" ht="15.75" customHeight="1">
      <c r="A916" s="68"/>
      <c r="B916" s="68"/>
      <c r="C916" s="5"/>
      <c r="D916" s="68"/>
      <c r="E916" s="69"/>
      <c r="K916" s="68"/>
      <c r="M916" s="68"/>
      <c r="O916" s="68"/>
      <c r="P916" s="68"/>
      <c r="Q916" s="68"/>
      <c r="R916" s="68"/>
      <c r="S916" s="68"/>
    </row>
    <row r="917" spans="1:19" ht="15.75" customHeight="1">
      <c r="A917" s="68"/>
      <c r="B917" s="68"/>
      <c r="C917" s="5"/>
      <c r="D917" s="68"/>
      <c r="E917" s="69"/>
      <c r="K917" s="68"/>
      <c r="M917" s="68"/>
      <c r="O917" s="68"/>
      <c r="P917" s="68"/>
      <c r="Q917" s="68"/>
      <c r="R917" s="68"/>
      <c r="S917" s="68"/>
    </row>
    <row r="918" spans="1:19" ht="15.75" customHeight="1">
      <c r="A918" s="68"/>
      <c r="B918" s="68"/>
      <c r="C918" s="5"/>
      <c r="D918" s="68"/>
      <c r="E918" s="69"/>
      <c r="K918" s="68"/>
      <c r="M918" s="68"/>
      <c r="O918" s="68"/>
      <c r="P918" s="68"/>
      <c r="Q918" s="68"/>
      <c r="R918" s="68"/>
      <c r="S918" s="68"/>
    </row>
    <row r="919" spans="1:19" ht="15.75" customHeight="1">
      <c r="A919" s="68"/>
      <c r="B919" s="68"/>
      <c r="C919" s="5"/>
      <c r="D919" s="68"/>
      <c r="E919" s="69"/>
      <c r="K919" s="68"/>
      <c r="M919" s="68"/>
      <c r="O919" s="68"/>
      <c r="P919" s="68"/>
      <c r="Q919" s="68"/>
      <c r="R919" s="68"/>
      <c r="S919" s="68"/>
    </row>
    <row r="920" spans="1:19" ht="15.75" customHeight="1">
      <c r="A920" s="68"/>
      <c r="B920" s="68"/>
      <c r="C920" s="5"/>
      <c r="D920" s="68"/>
      <c r="E920" s="69"/>
      <c r="K920" s="68"/>
      <c r="M920" s="68"/>
      <c r="O920" s="68"/>
      <c r="P920" s="68"/>
      <c r="Q920" s="68"/>
      <c r="R920" s="68"/>
      <c r="S920" s="68"/>
    </row>
    <row r="921" spans="1:19" ht="15.75" customHeight="1">
      <c r="A921" s="68"/>
      <c r="B921" s="68"/>
      <c r="C921" s="5"/>
      <c r="D921" s="68"/>
      <c r="E921" s="69"/>
      <c r="K921" s="68"/>
      <c r="M921" s="68"/>
      <c r="O921" s="68"/>
      <c r="P921" s="68"/>
      <c r="Q921" s="68"/>
      <c r="R921" s="68"/>
      <c r="S921" s="68"/>
    </row>
    <row r="922" spans="1:19" ht="15.75" customHeight="1">
      <c r="A922" s="68"/>
      <c r="B922" s="68"/>
      <c r="C922" s="5"/>
      <c r="D922" s="68"/>
      <c r="E922" s="69"/>
      <c r="K922" s="68"/>
      <c r="M922" s="68"/>
      <c r="O922" s="68"/>
      <c r="P922" s="68"/>
      <c r="Q922" s="68"/>
      <c r="R922" s="68"/>
      <c r="S922" s="68"/>
    </row>
    <row r="923" spans="1:19" ht="15.75" customHeight="1">
      <c r="A923" s="68"/>
      <c r="B923" s="68"/>
      <c r="C923" s="5"/>
      <c r="D923" s="68"/>
      <c r="E923" s="69"/>
      <c r="K923" s="68"/>
      <c r="M923" s="68"/>
      <c r="O923" s="68"/>
      <c r="P923" s="68"/>
      <c r="Q923" s="68"/>
      <c r="R923" s="68"/>
      <c r="S923" s="68"/>
    </row>
    <row r="924" spans="1:19" ht="15.75" customHeight="1">
      <c r="A924" s="68"/>
      <c r="B924" s="68"/>
      <c r="C924" s="5"/>
      <c r="D924" s="68"/>
      <c r="E924" s="69"/>
      <c r="K924" s="68"/>
      <c r="M924" s="68"/>
      <c r="O924" s="68"/>
      <c r="P924" s="68"/>
      <c r="Q924" s="68"/>
      <c r="R924" s="68"/>
      <c r="S924" s="68"/>
    </row>
    <row r="925" spans="1:19" ht="15.75" customHeight="1">
      <c r="A925" s="68"/>
      <c r="B925" s="68"/>
      <c r="C925" s="5"/>
      <c r="D925" s="68"/>
      <c r="E925" s="69"/>
      <c r="K925" s="68"/>
      <c r="M925" s="68"/>
      <c r="O925" s="68"/>
      <c r="P925" s="68"/>
      <c r="Q925" s="68"/>
      <c r="R925" s="68"/>
      <c r="S925" s="68"/>
    </row>
    <row r="926" spans="1:19" ht="15.75" customHeight="1">
      <c r="A926" s="68"/>
      <c r="B926" s="68"/>
      <c r="C926" s="5"/>
      <c r="D926" s="68"/>
      <c r="E926" s="69"/>
      <c r="K926" s="68"/>
      <c r="M926" s="68"/>
      <c r="O926" s="68"/>
      <c r="P926" s="68"/>
      <c r="Q926" s="68"/>
      <c r="R926" s="68"/>
      <c r="S926" s="68"/>
    </row>
    <row r="927" spans="1:19" ht="15.75" customHeight="1">
      <c r="A927" s="68"/>
      <c r="B927" s="68"/>
      <c r="C927" s="5"/>
      <c r="D927" s="68"/>
      <c r="E927" s="69"/>
      <c r="K927" s="68"/>
      <c r="M927" s="68"/>
      <c r="O927" s="68"/>
      <c r="P927" s="68"/>
      <c r="Q927" s="68"/>
      <c r="R927" s="68"/>
      <c r="S927" s="68"/>
    </row>
    <row r="928" spans="1:19" ht="15.75" customHeight="1">
      <c r="A928" s="68"/>
      <c r="B928" s="68"/>
      <c r="C928" s="5"/>
      <c r="D928" s="68"/>
      <c r="E928" s="69"/>
      <c r="K928" s="68"/>
      <c r="M928" s="68"/>
      <c r="O928" s="68"/>
      <c r="P928" s="68"/>
      <c r="Q928" s="68"/>
      <c r="R928" s="68"/>
      <c r="S928" s="68"/>
    </row>
    <row r="929" spans="1:19" ht="15.75" customHeight="1">
      <c r="A929" s="68"/>
      <c r="B929" s="68"/>
      <c r="C929" s="5"/>
      <c r="D929" s="68"/>
      <c r="E929" s="69"/>
      <c r="K929" s="68"/>
      <c r="M929" s="68"/>
      <c r="O929" s="68"/>
      <c r="P929" s="68"/>
      <c r="Q929" s="68"/>
      <c r="R929" s="68"/>
      <c r="S929" s="68"/>
    </row>
    <row r="930" spans="1:19" ht="15.75" customHeight="1">
      <c r="A930" s="68"/>
      <c r="B930" s="68"/>
      <c r="C930" s="5"/>
      <c r="D930" s="68"/>
      <c r="E930" s="69"/>
      <c r="K930" s="68"/>
      <c r="M930" s="68"/>
      <c r="O930" s="68"/>
      <c r="P930" s="68"/>
      <c r="Q930" s="68"/>
      <c r="R930" s="68"/>
      <c r="S930" s="68"/>
    </row>
    <row r="931" spans="1:19" ht="15.75" customHeight="1">
      <c r="A931" s="68"/>
      <c r="B931" s="68"/>
      <c r="C931" s="5"/>
      <c r="D931" s="68"/>
      <c r="E931" s="69"/>
      <c r="K931" s="68"/>
      <c r="M931" s="68"/>
      <c r="O931" s="68"/>
      <c r="P931" s="68"/>
      <c r="Q931" s="68"/>
      <c r="R931" s="68"/>
      <c r="S931" s="68"/>
    </row>
    <row r="932" spans="1:19" ht="15.75" customHeight="1">
      <c r="A932" s="68"/>
      <c r="B932" s="68"/>
      <c r="C932" s="5"/>
      <c r="D932" s="68"/>
      <c r="E932" s="69"/>
      <c r="K932" s="68"/>
      <c r="M932" s="68"/>
      <c r="O932" s="68"/>
      <c r="P932" s="68"/>
      <c r="Q932" s="68"/>
      <c r="R932" s="68"/>
      <c r="S932" s="68"/>
    </row>
    <row r="933" spans="1:19" ht="15.75" customHeight="1">
      <c r="A933" s="68"/>
      <c r="B933" s="68"/>
      <c r="C933" s="5"/>
      <c r="D933" s="68"/>
      <c r="E933" s="69"/>
      <c r="K933" s="68"/>
      <c r="M933" s="68"/>
      <c r="O933" s="68"/>
      <c r="P933" s="68"/>
      <c r="Q933" s="68"/>
      <c r="R933" s="68"/>
      <c r="S933" s="68"/>
    </row>
    <row r="934" spans="1:19" ht="15.75" customHeight="1">
      <c r="A934" s="68"/>
      <c r="B934" s="68"/>
      <c r="C934" s="5"/>
      <c r="D934" s="68"/>
      <c r="E934" s="69"/>
      <c r="K934" s="68"/>
      <c r="M934" s="68"/>
      <c r="O934" s="68"/>
      <c r="P934" s="68"/>
      <c r="Q934" s="68"/>
      <c r="R934" s="68"/>
      <c r="S934" s="68"/>
    </row>
    <row r="935" spans="1:19" ht="15.75" customHeight="1">
      <c r="A935" s="68"/>
      <c r="B935" s="68"/>
      <c r="C935" s="5"/>
      <c r="D935" s="68"/>
      <c r="E935" s="69"/>
      <c r="K935" s="68"/>
      <c r="M935" s="68"/>
      <c r="O935" s="68"/>
      <c r="P935" s="68"/>
      <c r="Q935" s="68"/>
      <c r="R935" s="68"/>
      <c r="S935" s="68"/>
    </row>
    <row r="936" spans="1:19" ht="15.75" customHeight="1">
      <c r="A936" s="68"/>
      <c r="B936" s="68"/>
      <c r="C936" s="5"/>
      <c r="D936" s="68"/>
      <c r="E936" s="69"/>
      <c r="K936" s="68"/>
      <c r="M936" s="68"/>
      <c r="O936" s="68"/>
      <c r="P936" s="68"/>
      <c r="Q936" s="68"/>
      <c r="R936" s="68"/>
      <c r="S936" s="68"/>
    </row>
    <row r="937" spans="1:19" ht="15.75" customHeight="1">
      <c r="A937" s="68"/>
      <c r="B937" s="68"/>
      <c r="C937" s="5"/>
      <c r="D937" s="68"/>
      <c r="E937" s="69"/>
      <c r="K937" s="68"/>
      <c r="M937" s="68"/>
      <c r="O937" s="68"/>
      <c r="P937" s="68"/>
      <c r="Q937" s="68"/>
      <c r="R937" s="68"/>
      <c r="S937" s="68"/>
    </row>
    <row r="938" spans="1:19" ht="15.75" customHeight="1">
      <c r="A938" s="68"/>
      <c r="B938" s="68"/>
      <c r="C938" s="5"/>
      <c r="D938" s="68"/>
      <c r="E938" s="69"/>
      <c r="K938" s="68"/>
      <c r="M938" s="68"/>
      <c r="O938" s="68"/>
      <c r="P938" s="68"/>
      <c r="Q938" s="68"/>
      <c r="R938" s="68"/>
      <c r="S938" s="68"/>
    </row>
    <row r="939" spans="1:19" ht="15.75" customHeight="1">
      <c r="A939" s="68"/>
      <c r="B939" s="68"/>
      <c r="C939" s="5"/>
      <c r="D939" s="68"/>
      <c r="E939" s="69"/>
      <c r="K939" s="68"/>
      <c r="M939" s="68"/>
      <c r="O939" s="68"/>
      <c r="P939" s="68"/>
      <c r="Q939" s="68"/>
      <c r="R939" s="68"/>
      <c r="S939" s="68"/>
    </row>
    <row r="940" spans="1:19" ht="15.75" customHeight="1">
      <c r="A940" s="68"/>
      <c r="B940" s="68"/>
      <c r="C940" s="5"/>
      <c r="D940" s="68"/>
      <c r="E940" s="69"/>
      <c r="K940" s="68"/>
      <c r="M940" s="68"/>
      <c r="O940" s="68"/>
      <c r="P940" s="68"/>
      <c r="Q940" s="68"/>
      <c r="R940" s="68"/>
      <c r="S940" s="68"/>
    </row>
    <row r="941" spans="1:19" ht="15.75" customHeight="1">
      <c r="A941" s="68"/>
      <c r="B941" s="68"/>
      <c r="C941" s="5"/>
      <c r="D941" s="68"/>
      <c r="E941" s="69"/>
      <c r="K941" s="68"/>
      <c r="M941" s="68"/>
      <c r="O941" s="68"/>
      <c r="P941" s="68"/>
      <c r="Q941" s="68"/>
      <c r="R941" s="68"/>
      <c r="S941" s="68"/>
    </row>
    <row r="942" spans="1:19" ht="15.75" customHeight="1">
      <c r="A942" s="68"/>
      <c r="B942" s="68"/>
      <c r="C942" s="5"/>
      <c r="D942" s="68"/>
      <c r="E942" s="69"/>
      <c r="K942" s="68"/>
      <c r="M942" s="68"/>
      <c r="O942" s="68"/>
      <c r="P942" s="68"/>
      <c r="Q942" s="68"/>
      <c r="R942" s="68"/>
      <c r="S942" s="68"/>
    </row>
    <row r="943" spans="1:19" ht="15.75" customHeight="1">
      <c r="A943" s="68"/>
      <c r="B943" s="68"/>
      <c r="C943" s="5"/>
      <c r="D943" s="68"/>
      <c r="E943" s="69"/>
      <c r="K943" s="68"/>
      <c r="M943" s="68"/>
      <c r="O943" s="68"/>
      <c r="P943" s="68"/>
      <c r="Q943" s="68"/>
      <c r="R943" s="68"/>
      <c r="S943" s="68"/>
    </row>
    <row r="944" spans="1:19" ht="15.75" customHeight="1">
      <c r="A944" s="68"/>
      <c r="B944" s="68"/>
      <c r="C944" s="5"/>
      <c r="D944" s="68"/>
      <c r="E944" s="69"/>
      <c r="K944" s="68"/>
      <c r="M944" s="68"/>
      <c r="O944" s="68"/>
      <c r="P944" s="68"/>
      <c r="Q944" s="68"/>
      <c r="R944" s="68"/>
      <c r="S944" s="68"/>
    </row>
    <row r="945" spans="1:19" ht="15.75" customHeight="1">
      <c r="A945" s="68"/>
      <c r="B945" s="68"/>
      <c r="C945" s="5"/>
      <c r="D945" s="68"/>
      <c r="E945" s="69"/>
      <c r="K945" s="68"/>
      <c r="M945" s="68"/>
      <c r="O945" s="68"/>
      <c r="P945" s="68"/>
      <c r="Q945" s="68"/>
      <c r="R945" s="68"/>
      <c r="S945" s="68"/>
    </row>
    <row r="946" spans="1:19" ht="15.75" customHeight="1">
      <c r="A946" s="68"/>
      <c r="B946" s="68"/>
      <c r="C946" s="5"/>
      <c r="D946" s="68"/>
      <c r="E946" s="69"/>
      <c r="K946" s="68"/>
      <c r="M946" s="68"/>
      <c r="O946" s="68"/>
      <c r="P946" s="68"/>
      <c r="Q946" s="68"/>
      <c r="R946" s="68"/>
      <c r="S946" s="68"/>
    </row>
    <row r="947" spans="1:19" ht="15.75" customHeight="1">
      <c r="A947" s="68"/>
      <c r="B947" s="68"/>
      <c r="C947" s="5"/>
      <c r="D947" s="68"/>
      <c r="E947" s="69"/>
      <c r="K947" s="68"/>
      <c r="M947" s="68"/>
      <c r="O947" s="68"/>
      <c r="P947" s="68"/>
      <c r="Q947" s="68"/>
      <c r="R947" s="68"/>
      <c r="S947" s="68"/>
    </row>
    <row r="948" spans="1:19" ht="15.75" customHeight="1">
      <c r="A948" s="68"/>
      <c r="B948" s="68"/>
      <c r="C948" s="5"/>
      <c r="D948" s="68"/>
      <c r="E948" s="69"/>
      <c r="K948" s="68"/>
      <c r="M948" s="68"/>
      <c r="O948" s="68"/>
      <c r="P948" s="68"/>
      <c r="Q948" s="68"/>
      <c r="R948" s="68"/>
      <c r="S948" s="68"/>
    </row>
    <row r="949" spans="1:19" ht="15.75" customHeight="1">
      <c r="A949" s="68"/>
      <c r="B949" s="68"/>
      <c r="C949" s="5"/>
      <c r="D949" s="68"/>
      <c r="E949" s="69"/>
      <c r="K949" s="68"/>
      <c r="M949" s="68"/>
      <c r="O949" s="68"/>
      <c r="P949" s="68"/>
      <c r="Q949" s="68"/>
      <c r="R949" s="68"/>
      <c r="S949" s="68"/>
    </row>
    <row r="950" spans="1:19" ht="15.75" customHeight="1">
      <c r="A950" s="68"/>
      <c r="B950" s="68"/>
      <c r="C950" s="5"/>
      <c r="D950" s="68"/>
      <c r="E950" s="69"/>
      <c r="K950" s="68"/>
      <c r="M950" s="68"/>
      <c r="O950" s="68"/>
      <c r="P950" s="68"/>
      <c r="Q950" s="68"/>
      <c r="R950" s="68"/>
      <c r="S950" s="68"/>
    </row>
    <row r="951" spans="1:19" ht="15.75" customHeight="1">
      <c r="A951" s="68"/>
      <c r="B951" s="68"/>
      <c r="C951" s="5"/>
      <c r="D951" s="68"/>
      <c r="E951" s="69"/>
      <c r="K951" s="68"/>
      <c r="M951" s="68"/>
      <c r="O951" s="68"/>
      <c r="P951" s="68"/>
      <c r="Q951" s="68"/>
      <c r="R951" s="68"/>
      <c r="S951" s="68"/>
    </row>
    <row r="952" spans="1:19" ht="15.75" customHeight="1">
      <c r="A952" s="68"/>
      <c r="B952" s="68"/>
      <c r="C952" s="5"/>
      <c r="D952" s="68"/>
      <c r="E952" s="69"/>
      <c r="K952" s="68"/>
      <c r="M952" s="68"/>
      <c r="O952" s="68"/>
      <c r="P952" s="68"/>
      <c r="Q952" s="68"/>
      <c r="R952" s="68"/>
      <c r="S952" s="68"/>
    </row>
    <row r="953" spans="1:19" ht="15.75" customHeight="1">
      <c r="A953" s="68"/>
      <c r="B953" s="68"/>
      <c r="C953" s="5"/>
      <c r="D953" s="68"/>
      <c r="E953" s="69"/>
      <c r="K953" s="68"/>
      <c r="M953" s="68"/>
      <c r="O953" s="68"/>
      <c r="P953" s="68"/>
      <c r="Q953" s="68"/>
      <c r="R953" s="68"/>
      <c r="S953" s="68"/>
    </row>
    <row r="954" spans="1:19" ht="15.75" customHeight="1">
      <c r="A954" s="68"/>
      <c r="B954" s="68"/>
      <c r="C954" s="5"/>
      <c r="D954" s="68"/>
      <c r="E954" s="69"/>
      <c r="K954" s="68"/>
      <c r="M954" s="68"/>
      <c r="O954" s="68"/>
      <c r="P954" s="68"/>
      <c r="Q954" s="68"/>
      <c r="R954" s="68"/>
      <c r="S954" s="68"/>
    </row>
    <row r="955" spans="1:19" ht="15.75" customHeight="1">
      <c r="A955" s="68"/>
      <c r="B955" s="68"/>
      <c r="C955" s="5"/>
      <c r="D955" s="68"/>
      <c r="E955" s="69"/>
      <c r="K955" s="68"/>
      <c r="M955" s="68"/>
      <c r="O955" s="68"/>
      <c r="P955" s="68"/>
      <c r="Q955" s="68"/>
      <c r="R955" s="68"/>
      <c r="S955" s="68"/>
    </row>
    <row r="956" spans="1:19" ht="15.75" customHeight="1">
      <c r="A956" s="68"/>
      <c r="B956" s="68"/>
      <c r="C956" s="5"/>
      <c r="D956" s="68"/>
      <c r="E956" s="69"/>
      <c r="K956" s="68"/>
      <c r="M956" s="68"/>
      <c r="O956" s="68"/>
      <c r="P956" s="68"/>
      <c r="Q956" s="68"/>
      <c r="R956" s="68"/>
      <c r="S956" s="68"/>
    </row>
    <row r="957" spans="1:19" ht="15.75" customHeight="1">
      <c r="A957" s="68"/>
      <c r="B957" s="68"/>
      <c r="C957" s="5"/>
      <c r="D957" s="68"/>
      <c r="E957" s="69"/>
      <c r="K957" s="68"/>
      <c r="M957" s="68"/>
      <c r="O957" s="68"/>
      <c r="P957" s="68"/>
      <c r="Q957" s="68"/>
      <c r="R957" s="68"/>
      <c r="S957" s="68"/>
    </row>
    <row r="958" spans="1:19" ht="15.75" customHeight="1">
      <c r="A958" s="68"/>
      <c r="B958" s="68"/>
      <c r="C958" s="5"/>
      <c r="D958" s="68"/>
      <c r="E958" s="69"/>
      <c r="K958" s="68"/>
      <c r="M958" s="68"/>
      <c r="O958" s="68"/>
      <c r="P958" s="68"/>
      <c r="Q958" s="68"/>
      <c r="R958" s="68"/>
      <c r="S958" s="68"/>
    </row>
    <row r="959" spans="1:19" ht="15.75" customHeight="1">
      <c r="A959" s="68"/>
      <c r="B959" s="68"/>
      <c r="C959" s="5"/>
      <c r="D959" s="68"/>
      <c r="E959" s="69"/>
      <c r="K959" s="68"/>
      <c r="M959" s="68"/>
      <c r="O959" s="68"/>
      <c r="P959" s="68"/>
      <c r="Q959" s="68"/>
      <c r="R959" s="68"/>
      <c r="S959" s="68"/>
    </row>
    <row r="960" spans="1:19" ht="15.75" customHeight="1">
      <c r="A960" s="68"/>
      <c r="B960" s="68"/>
      <c r="C960" s="5"/>
      <c r="D960" s="68"/>
      <c r="E960" s="69"/>
      <c r="K960" s="68"/>
      <c r="M960" s="68"/>
      <c r="O960" s="68"/>
      <c r="P960" s="68"/>
      <c r="Q960" s="68"/>
      <c r="R960" s="68"/>
      <c r="S960" s="68"/>
    </row>
    <row r="961" spans="1:19" ht="15.75" customHeight="1">
      <c r="A961" s="68"/>
      <c r="B961" s="68"/>
      <c r="C961" s="5"/>
      <c r="D961" s="68"/>
      <c r="E961" s="69"/>
      <c r="K961" s="68"/>
      <c r="M961" s="68"/>
      <c r="O961" s="68"/>
      <c r="P961" s="68"/>
      <c r="Q961" s="68"/>
      <c r="R961" s="68"/>
      <c r="S961" s="68"/>
    </row>
    <row r="962" spans="1:19" ht="15.75" customHeight="1">
      <c r="A962" s="68"/>
      <c r="B962" s="68"/>
      <c r="C962" s="5"/>
      <c r="D962" s="68"/>
      <c r="E962" s="69"/>
      <c r="K962" s="68"/>
      <c r="M962" s="68"/>
      <c r="O962" s="68"/>
      <c r="P962" s="68"/>
      <c r="Q962" s="68"/>
      <c r="R962" s="68"/>
      <c r="S962" s="68"/>
    </row>
    <row r="963" spans="1:19" ht="15.75" customHeight="1">
      <c r="A963" s="68"/>
      <c r="B963" s="68"/>
      <c r="C963" s="5"/>
      <c r="D963" s="68"/>
      <c r="E963" s="69"/>
      <c r="K963" s="68"/>
      <c r="M963" s="68"/>
      <c r="O963" s="68"/>
      <c r="P963" s="68"/>
      <c r="Q963" s="68"/>
      <c r="R963" s="68"/>
      <c r="S963" s="68"/>
    </row>
    <row r="964" spans="1:19" ht="15.75" customHeight="1">
      <c r="A964" s="68"/>
      <c r="B964" s="68"/>
      <c r="C964" s="5"/>
      <c r="D964" s="68"/>
      <c r="E964" s="69"/>
      <c r="K964" s="68"/>
      <c r="M964" s="68"/>
      <c r="O964" s="68"/>
      <c r="P964" s="68"/>
      <c r="Q964" s="68"/>
      <c r="R964" s="68"/>
      <c r="S964" s="68"/>
    </row>
    <row r="965" spans="1:19" ht="15.75" customHeight="1">
      <c r="A965" s="68"/>
      <c r="B965" s="68"/>
      <c r="C965" s="5"/>
      <c r="D965" s="68"/>
      <c r="E965" s="69"/>
      <c r="K965" s="68"/>
      <c r="M965" s="68"/>
      <c r="O965" s="68"/>
      <c r="P965" s="68"/>
      <c r="Q965" s="68"/>
      <c r="R965" s="68"/>
      <c r="S965" s="68"/>
    </row>
    <row r="966" spans="1:19" ht="15.75" customHeight="1">
      <c r="A966" s="68"/>
      <c r="B966" s="68"/>
      <c r="C966" s="5"/>
      <c r="D966" s="68"/>
      <c r="E966" s="69"/>
      <c r="K966" s="68"/>
      <c r="M966" s="68"/>
      <c r="O966" s="68"/>
      <c r="P966" s="68"/>
      <c r="Q966" s="68"/>
      <c r="R966" s="68"/>
      <c r="S966" s="68"/>
    </row>
    <row r="967" spans="1:19" ht="15.75" customHeight="1">
      <c r="A967" s="68"/>
      <c r="B967" s="68"/>
      <c r="C967" s="5"/>
      <c r="D967" s="68"/>
      <c r="E967" s="69"/>
      <c r="K967" s="68"/>
      <c r="M967" s="68"/>
      <c r="O967" s="68"/>
      <c r="P967" s="68"/>
      <c r="Q967" s="68"/>
      <c r="R967" s="68"/>
      <c r="S967" s="68"/>
    </row>
    <row r="968" spans="1:19" ht="15.75" customHeight="1">
      <c r="A968" s="68"/>
      <c r="B968" s="68"/>
      <c r="C968" s="5"/>
      <c r="D968" s="68"/>
      <c r="E968" s="69"/>
      <c r="K968" s="68"/>
      <c r="M968" s="68"/>
      <c r="O968" s="68"/>
      <c r="P968" s="68"/>
      <c r="Q968" s="68"/>
      <c r="R968" s="68"/>
      <c r="S968" s="68"/>
    </row>
    <row r="969" spans="1:19" ht="15.75" customHeight="1">
      <c r="A969" s="68"/>
      <c r="B969" s="68"/>
      <c r="C969" s="5"/>
      <c r="D969" s="68"/>
      <c r="E969" s="69"/>
      <c r="K969" s="68"/>
      <c r="M969" s="68"/>
      <c r="O969" s="68"/>
      <c r="P969" s="68"/>
      <c r="Q969" s="68"/>
      <c r="R969" s="68"/>
      <c r="S969" s="68"/>
    </row>
    <row r="970" spans="1:19" ht="15.75" customHeight="1">
      <c r="A970" s="68"/>
      <c r="B970" s="68"/>
      <c r="C970" s="5"/>
      <c r="D970" s="68"/>
      <c r="E970" s="69"/>
      <c r="K970" s="68"/>
      <c r="M970" s="68"/>
      <c r="O970" s="68"/>
      <c r="P970" s="68"/>
      <c r="Q970" s="68"/>
      <c r="R970" s="68"/>
      <c r="S970" s="68"/>
    </row>
    <row r="971" spans="1:19" ht="15.75" customHeight="1">
      <c r="A971" s="68"/>
      <c r="B971" s="68"/>
      <c r="C971" s="5"/>
      <c r="D971" s="68"/>
      <c r="E971" s="69"/>
      <c r="K971" s="68"/>
      <c r="M971" s="68"/>
      <c r="O971" s="68"/>
      <c r="P971" s="68"/>
      <c r="Q971" s="68"/>
      <c r="R971" s="68"/>
      <c r="S971" s="68"/>
    </row>
    <row r="972" spans="1:19" ht="15.75" customHeight="1">
      <c r="A972" s="68"/>
      <c r="B972" s="68"/>
      <c r="C972" s="5"/>
      <c r="D972" s="68"/>
      <c r="E972" s="69"/>
      <c r="K972" s="68"/>
      <c r="M972" s="68"/>
      <c r="O972" s="68"/>
      <c r="P972" s="68"/>
      <c r="Q972" s="68"/>
      <c r="R972" s="68"/>
      <c r="S972" s="68"/>
    </row>
    <row r="973" spans="1:19" ht="15.75" customHeight="1">
      <c r="A973" s="68"/>
      <c r="B973" s="68"/>
      <c r="C973" s="5"/>
      <c r="D973" s="68"/>
      <c r="E973" s="69"/>
      <c r="K973" s="68"/>
      <c r="M973" s="68"/>
      <c r="O973" s="68"/>
      <c r="P973" s="68"/>
      <c r="Q973" s="68"/>
      <c r="R973" s="68"/>
      <c r="S973" s="68"/>
    </row>
    <row r="974" spans="1:19" ht="15.75" customHeight="1">
      <c r="A974" s="68"/>
      <c r="B974" s="68"/>
      <c r="C974" s="5"/>
      <c r="D974" s="68"/>
      <c r="E974" s="69"/>
      <c r="K974" s="68"/>
      <c r="M974" s="68"/>
      <c r="O974" s="68"/>
      <c r="P974" s="68"/>
      <c r="Q974" s="68"/>
      <c r="R974" s="68"/>
      <c r="S974" s="68"/>
    </row>
    <row r="975" spans="1:19" ht="15.75" customHeight="1">
      <c r="A975" s="68"/>
      <c r="B975" s="68"/>
      <c r="C975" s="5"/>
      <c r="D975" s="68"/>
      <c r="E975" s="69"/>
      <c r="K975" s="68"/>
      <c r="M975" s="68"/>
      <c r="O975" s="68"/>
      <c r="P975" s="68"/>
      <c r="Q975" s="68"/>
      <c r="R975" s="68"/>
      <c r="S975" s="68"/>
    </row>
    <row r="976" spans="1:19" ht="15.75" customHeight="1">
      <c r="A976" s="68"/>
      <c r="B976" s="68"/>
      <c r="C976" s="5"/>
      <c r="D976" s="68"/>
      <c r="E976" s="69"/>
      <c r="K976" s="68"/>
      <c r="M976" s="68"/>
      <c r="O976" s="68"/>
      <c r="P976" s="68"/>
      <c r="Q976" s="68"/>
      <c r="R976" s="68"/>
      <c r="S976" s="68"/>
    </row>
    <row r="977" spans="1:19" ht="15.75" customHeight="1">
      <c r="A977" s="68"/>
      <c r="B977" s="68"/>
      <c r="C977" s="5"/>
      <c r="D977" s="68"/>
      <c r="E977" s="69"/>
      <c r="K977" s="68"/>
      <c r="M977" s="68"/>
      <c r="O977" s="68"/>
      <c r="P977" s="68"/>
      <c r="Q977" s="68"/>
      <c r="R977" s="68"/>
      <c r="S977" s="68"/>
    </row>
    <row r="978" spans="1:19" ht="15.75" customHeight="1">
      <c r="A978" s="68"/>
      <c r="B978" s="68"/>
      <c r="C978" s="5"/>
      <c r="D978" s="68"/>
      <c r="E978" s="69"/>
      <c r="K978" s="68"/>
      <c r="M978" s="68"/>
      <c r="O978" s="68"/>
      <c r="P978" s="68"/>
      <c r="Q978" s="68"/>
      <c r="R978" s="68"/>
      <c r="S978" s="68"/>
    </row>
    <row r="979" spans="1:19" ht="15.75" customHeight="1">
      <c r="A979" s="68"/>
      <c r="B979" s="68"/>
      <c r="C979" s="5"/>
      <c r="D979" s="68"/>
      <c r="E979" s="69"/>
      <c r="K979" s="68"/>
      <c r="M979" s="68"/>
      <c r="O979" s="68"/>
      <c r="P979" s="68"/>
      <c r="Q979" s="68"/>
      <c r="R979" s="68"/>
      <c r="S979" s="68"/>
    </row>
    <row r="980" spans="1:19" ht="15.75" customHeight="1">
      <c r="A980" s="68"/>
      <c r="B980" s="68"/>
      <c r="C980" s="5"/>
      <c r="D980" s="68"/>
      <c r="E980" s="69"/>
      <c r="K980" s="68"/>
      <c r="M980" s="68"/>
      <c r="O980" s="68"/>
      <c r="P980" s="68"/>
      <c r="Q980" s="68"/>
      <c r="R980" s="68"/>
      <c r="S980" s="68"/>
    </row>
    <row r="981" spans="1:19" ht="15.75" customHeight="1">
      <c r="A981" s="68"/>
      <c r="B981" s="68"/>
      <c r="C981" s="5"/>
      <c r="D981" s="68"/>
      <c r="E981" s="69"/>
      <c r="K981" s="68"/>
      <c r="M981" s="68"/>
      <c r="O981" s="68"/>
      <c r="P981" s="68"/>
      <c r="Q981" s="68"/>
      <c r="R981" s="68"/>
      <c r="S981" s="68"/>
    </row>
    <row r="982" spans="1:19" ht="15.75" customHeight="1">
      <c r="A982" s="68"/>
      <c r="B982" s="68"/>
      <c r="C982" s="5"/>
      <c r="D982" s="68"/>
      <c r="E982" s="69"/>
      <c r="K982" s="68"/>
      <c r="M982" s="68"/>
      <c r="O982" s="68"/>
      <c r="P982" s="68"/>
      <c r="Q982" s="68"/>
      <c r="R982" s="68"/>
      <c r="S982" s="68"/>
    </row>
    <row r="983" spans="1:19" ht="15.75" customHeight="1">
      <c r="A983" s="68"/>
      <c r="B983" s="68"/>
      <c r="C983" s="5"/>
      <c r="D983" s="68"/>
      <c r="E983" s="69"/>
      <c r="K983" s="68"/>
      <c r="M983" s="68"/>
      <c r="O983" s="68"/>
      <c r="P983" s="68"/>
      <c r="Q983" s="68"/>
      <c r="R983" s="68"/>
      <c r="S983" s="68"/>
    </row>
    <row r="984" spans="1:19" ht="15.75" customHeight="1">
      <c r="A984" s="68"/>
      <c r="B984" s="68"/>
      <c r="C984" s="5"/>
      <c r="D984" s="68"/>
      <c r="E984" s="69"/>
      <c r="K984" s="68"/>
      <c r="M984" s="68"/>
      <c r="O984" s="68"/>
      <c r="P984" s="68"/>
      <c r="Q984" s="68"/>
      <c r="R984" s="68"/>
      <c r="S984" s="68"/>
    </row>
    <row r="985" spans="1:19" ht="15.75" customHeight="1">
      <c r="A985" s="68"/>
      <c r="B985" s="68"/>
      <c r="C985" s="5"/>
      <c r="D985" s="68"/>
      <c r="E985" s="69"/>
      <c r="K985" s="68"/>
      <c r="M985" s="68"/>
      <c r="O985" s="68"/>
      <c r="P985" s="68"/>
      <c r="Q985" s="68"/>
      <c r="R985" s="68"/>
      <c r="S985" s="68"/>
    </row>
    <row r="986" spans="1:19" ht="15.75" customHeight="1">
      <c r="A986" s="68"/>
      <c r="B986" s="68"/>
      <c r="C986" s="5"/>
      <c r="D986" s="68"/>
      <c r="E986" s="69"/>
      <c r="K986" s="68"/>
      <c r="M986" s="68"/>
      <c r="O986" s="68"/>
      <c r="P986" s="68"/>
      <c r="Q986" s="68"/>
      <c r="R986" s="68"/>
      <c r="S986" s="68"/>
    </row>
    <row r="987" spans="1:19" ht="15.75" customHeight="1">
      <c r="A987" s="68"/>
      <c r="B987" s="68"/>
      <c r="C987" s="5"/>
      <c r="D987" s="68"/>
      <c r="E987" s="69"/>
      <c r="K987" s="68"/>
      <c r="M987" s="68"/>
      <c r="O987" s="68"/>
      <c r="P987" s="68"/>
      <c r="Q987" s="68"/>
      <c r="R987" s="68"/>
      <c r="S987" s="68"/>
    </row>
    <row r="988" spans="1:19" ht="15.75" customHeight="1">
      <c r="A988" s="68"/>
      <c r="B988" s="68"/>
      <c r="C988" s="5"/>
      <c r="D988" s="68"/>
      <c r="E988" s="69"/>
      <c r="K988" s="68"/>
      <c r="M988" s="68"/>
      <c r="O988" s="68"/>
      <c r="P988" s="68"/>
      <c r="Q988" s="68"/>
      <c r="R988" s="68"/>
      <c r="S988" s="68"/>
    </row>
    <row r="989" spans="1:19" ht="15.75" customHeight="1">
      <c r="A989" s="68"/>
      <c r="B989" s="68"/>
      <c r="C989" s="5"/>
      <c r="D989" s="68"/>
      <c r="E989" s="69"/>
      <c r="K989" s="68"/>
      <c r="M989" s="68"/>
      <c r="O989" s="68"/>
      <c r="P989" s="68"/>
      <c r="Q989" s="68"/>
      <c r="R989" s="68"/>
      <c r="S989" s="68"/>
    </row>
    <row r="990" spans="1:19" ht="15.75" customHeight="1">
      <c r="A990" s="68"/>
      <c r="B990" s="68"/>
      <c r="C990" s="5"/>
      <c r="D990" s="68"/>
      <c r="E990" s="69"/>
      <c r="K990" s="68"/>
      <c r="M990" s="68"/>
      <c r="O990" s="68"/>
      <c r="P990" s="68"/>
      <c r="Q990" s="68"/>
      <c r="R990" s="68"/>
      <c r="S990" s="68"/>
    </row>
    <row r="991" spans="1:19" ht="15.75" customHeight="1">
      <c r="A991" s="68"/>
      <c r="B991" s="68"/>
      <c r="C991" s="5"/>
      <c r="D991" s="68"/>
      <c r="E991" s="69"/>
      <c r="K991" s="68"/>
      <c r="M991" s="68"/>
      <c r="O991" s="68"/>
      <c r="P991" s="68"/>
      <c r="Q991" s="68"/>
      <c r="R991" s="68"/>
      <c r="S991" s="68"/>
    </row>
    <row r="992" spans="1:19" ht="15.75" customHeight="1">
      <c r="A992" s="68"/>
      <c r="B992" s="68"/>
      <c r="C992" s="5"/>
      <c r="D992" s="68"/>
      <c r="E992" s="69"/>
      <c r="K992" s="68"/>
      <c r="M992" s="68"/>
      <c r="O992" s="68"/>
      <c r="P992" s="68"/>
      <c r="Q992" s="68"/>
      <c r="R992" s="68"/>
      <c r="S992" s="68"/>
    </row>
    <row r="993" spans="1:19" ht="15.75" customHeight="1">
      <c r="A993" s="68"/>
      <c r="B993" s="68"/>
      <c r="C993" s="5"/>
      <c r="D993" s="68"/>
      <c r="E993" s="69"/>
      <c r="K993" s="68"/>
      <c r="M993" s="68"/>
      <c r="O993" s="68"/>
      <c r="P993" s="68"/>
      <c r="Q993" s="68"/>
      <c r="R993" s="68"/>
      <c r="S993" s="68"/>
    </row>
    <row r="994" spans="1:19" ht="15.75" customHeight="1">
      <c r="A994" s="68"/>
      <c r="B994" s="68"/>
      <c r="C994" s="5"/>
      <c r="D994" s="68"/>
      <c r="E994" s="69"/>
      <c r="K994" s="68"/>
      <c r="M994" s="68"/>
      <c r="O994" s="68"/>
      <c r="P994" s="68"/>
      <c r="Q994" s="68"/>
      <c r="R994" s="68"/>
      <c r="S994" s="68"/>
    </row>
    <row r="995" spans="1:19" ht="15.75" customHeight="1">
      <c r="A995" s="68"/>
      <c r="B995" s="68"/>
      <c r="C995" s="5"/>
      <c r="D995" s="68"/>
      <c r="E995" s="69"/>
      <c r="K995" s="68"/>
      <c r="M995" s="68"/>
      <c r="O995" s="68"/>
      <c r="P995" s="68"/>
      <c r="Q995" s="68"/>
      <c r="R995" s="68"/>
      <c r="S995" s="68"/>
    </row>
    <row r="996" spans="1:19" ht="15.75" customHeight="1">
      <c r="A996" s="68"/>
      <c r="B996" s="68"/>
      <c r="C996" s="5"/>
      <c r="D996" s="68"/>
      <c r="E996" s="69"/>
      <c r="K996" s="68"/>
      <c r="M996" s="68"/>
      <c r="O996" s="68"/>
      <c r="P996" s="68"/>
      <c r="Q996" s="68"/>
      <c r="R996" s="68"/>
      <c r="S996" s="68"/>
    </row>
    <row r="997" spans="1:19" ht="15.75" customHeight="1">
      <c r="A997" s="68"/>
      <c r="B997" s="68"/>
      <c r="C997" s="5"/>
      <c r="D997" s="68"/>
      <c r="E997" s="69"/>
      <c r="K997" s="68"/>
      <c r="M997" s="68"/>
      <c r="O997" s="68"/>
      <c r="P997" s="68"/>
      <c r="Q997" s="68"/>
      <c r="R997" s="68"/>
      <c r="S997" s="68"/>
    </row>
    <row r="998" spans="1:19" ht="15.75" customHeight="1">
      <c r="A998" s="68"/>
      <c r="B998" s="68"/>
      <c r="C998" s="5"/>
      <c r="D998" s="68"/>
      <c r="E998" s="69"/>
      <c r="K998" s="68"/>
      <c r="M998" s="68"/>
      <c r="O998" s="68"/>
      <c r="P998" s="68"/>
      <c r="Q998" s="68"/>
      <c r="R998" s="68"/>
      <c r="S998" s="68"/>
    </row>
    <row r="999" spans="1:19" ht="15.75" customHeight="1">
      <c r="A999" s="68"/>
      <c r="B999" s="68"/>
      <c r="C999" s="5"/>
      <c r="D999" s="68"/>
      <c r="E999" s="69"/>
      <c r="K999" s="68"/>
      <c r="M999" s="68"/>
      <c r="O999" s="68"/>
      <c r="P999" s="68"/>
      <c r="Q999" s="68"/>
      <c r="R999" s="68"/>
      <c r="S999" s="68"/>
    </row>
    <row r="1000" spans="1:19" ht="15.75" customHeight="1">
      <c r="A1000" s="68"/>
      <c r="B1000" s="68"/>
      <c r="C1000" s="5"/>
      <c r="D1000" s="68"/>
      <c r="E1000" s="69"/>
      <c r="K1000" s="68"/>
      <c r="M1000" s="68"/>
      <c r="O1000" s="68"/>
      <c r="P1000" s="68"/>
      <c r="Q1000" s="68"/>
      <c r="R1000" s="68"/>
      <c r="S1000" s="68"/>
    </row>
  </sheetData>
  <mergeCells count="79">
    <mergeCell ref="A64:A67"/>
    <mergeCell ref="B64:B67"/>
    <mergeCell ref="A69:A86"/>
    <mergeCell ref="B69:B86"/>
    <mergeCell ref="D69:D86"/>
    <mergeCell ref="E73:E74"/>
    <mergeCell ref="F73:F74"/>
    <mergeCell ref="G73:G74"/>
    <mergeCell ref="E75:E76"/>
    <mergeCell ref="F75:F76"/>
    <mergeCell ref="G75:G76"/>
    <mergeCell ref="F71:F72"/>
    <mergeCell ref="G71:G72"/>
    <mergeCell ref="D64:D67"/>
    <mergeCell ref="E69:E70"/>
    <mergeCell ref="F69:F70"/>
    <mergeCell ref="G69:G70"/>
    <mergeCell ref="E71:E72"/>
    <mergeCell ref="A117:A120"/>
    <mergeCell ref="B117:B120"/>
    <mergeCell ref="A106:A111"/>
    <mergeCell ref="B106:B111"/>
    <mergeCell ref="D106:D111"/>
    <mergeCell ref="A114:A116"/>
    <mergeCell ref="B114:B116"/>
    <mergeCell ref="D114:D116"/>
    <mergeCell ref="D117:D120"/>
    <mergeCell ref="E94:E101"/>
    <mergeCell ref="A102:A104"/>
    <mergeCell ref="B102:B104"/>
    <mergeCell ref="D102:D104"/>
    <mergeCell ref="E102:E104"/>
    <mergeCell ref="A91:A93"/>
    <mergeCell ref="B91:B93"/>
    <mergeCell ref="A94:A101"/>
    <mergeCell ref="B94:B101"/>
    <mergeCell ref="D94:D101"/>
    <mergeCell ref="D91:D93"/>
    <mergeCell ref="E83:E84"/>
    <mergeCell ref="F83:F84"/>
    <mergeCell ref="G83:G84"/>
    <mergeCell ref="M85:M86"/>
    <mergeCell ref="A88:A90"/>
    <mergeCell ref="B88:B90"/>
    <mergeCell ref="D88:D90"/>
    <mergeCell ref="E85:E86"/>
    <mergeCell ref="F85:F86"/>
    <mergeCell ref="G85:G86"/>
    <mergeCell ref="E77:E78"/>
    <mergeCell ref="F77:F78"/>
    <mergeCell ref="G77:G78"/>
    <mergeCell ref="E79:E80"/>
    <mergeCell ref="E81:E82"/>
    <mergeCell ref="F81:F82"/>
    <mergeCell ref="G81:G82"/>
    <mergeCell ref="F79:F80"/>
    <mergeCell ref="G79:G80"/>
    <mergeCell ref="E61:E62"/>
    <mergeCell ref="F61:F62"/>
    <mergeCell ref="A55:A62"/>
    <mergeCell ref="B55:B62"/>
    <mergeCell ref="D55:D62"/>
    <mergeCell ref="E57:E58"/>
    <mergeCell ref="D35:D53"/>
    <mergeCell ref="E36:E43"/>
    <mergeCell ref="F36:F43"/>
    <mergeCell ref="G36:G43"/>
    <mergeCell ref="A24:A33"/>
    <mergeCell ref="B24:B33"/>
    <mergeCell ref="D24:D33"/>
    <mergeCell ref="A35:A53"/>
    <mergeCell ref="B35:B53"/>
    <mergeCell ref="D12:D23"/>
    <mergeCell ref="M15:M17"/>
    <mergeCell ref="A4:A10"/>
    <mergeCell ref="B4:B10"/>
    <mergeCell ref="D4:D10"/>
    <mergeCell ref="A12:A23"/>
    <mergeCell ref="B12:B23"/>
  </mergeCells>
  <conditionalFormatting sqref="I3:J3">
    <cfRule type="cellIs" dxfId="942" priority="1" stopIfTrue="1" operator="equal">
      <formula>"OK"</formula>
    </cfRule>
  </conditionalFormatting>
  <conditionalFormatting sqref="I3:J3">
    <cfRule type="cellIs" dxfId="941" priority="2" stopIfTrue="1" operator="equal">
      <formula>"Fail"</formula>
    </cfRule>
  </conditionalFormatting>
  <conditionalFormatting sqref="I3:J3">
    <cfRule type="cellIs" dxfId="940" priority="3" stopIfTrue="1" operator="equal">
      <formula>"OK"</formula>
    </cfRule>
  </conditionalFormatting>
  <conditionalFormatting sqref="I3:J3">
    <cfRule type="cellIs" dxfId="939" priority="4" stopIfTrue="1" operator="equal">
      <formula>"Fail"</formula>
    </cfRule>
  </conditionalFormatting>
  <conditionalFormatting sqref="K3:L3 K11:L11 K34:L34 K54 L54:L56 L59 K63:L63 K68:L68 K87:L87 K105:L105 K112:L112">
    <cfRule type="containsText" dxfId="938" priority="5" operator="containsText" text="NG">
      <formula>NOT(ISERROR(SEARCH(("NG"),(K3))))</formula>
    </cfRule>
  </conditionalFormatting>
  <conditionalFormatting sqref="K3:L3 K11:L11 K34:L34 K54 L54:L56 L59 K63:L63 K68:L68 K87:L87 K105:L105 K112:L112">
    <cfRule type="containsText" dxfId="937" priority="6" operator="containsText" text="OK">
      <formula>NOT(ISERROR(SEARCH(("OK"),(K3))))</formula>
    </cfRule>
  </conditionalFormatting>
  <conditionalFormatting sqref="I11:J11 I34:J52 I54:J54 I63:J63 I68:J68 I87:J87 I105:J105">
    <cfRule type="cellIs" dxfId="936" priority="7" stopIfTrue="1" operator="equal">
      <formula>"OK"</formula>
    </cfRule>
  </conditionalFormatting>
  <conditionalFormatting sqref="I11:J11 I34:J52 I54:J54 I63:J63 I68:J68 I87:J87 I105:J105">
    <cfRule type="cellIs" dxfId="935" priority="8" stopIfTrue="1" operator="equal">
      <formula>"Fail"</formula>
    </cfRule>
  </conditionalFormatting>
  <conditionalFormatting sqref="I11:J11 I34:J52 I54:J54 I63:J63 I68:J68 I87:J87 I105:J105">
    <cfRule type="cellIs" dxfId="934" priority="9" stopIfTrue="1" operator="equal">
      <formula>"OK"</formula>
    </cfRule>
  </conditionalFormatting>
  <conditionalFormatting sqref="I11:J11 I34:J52 I54:J54 I63:J63 I68:J68 I87:J87 I105:J105">
    <cfRule type="cellIs" dxfId="933" priority="10" stopIfTrue="1" operator="equal">
      <formula>"Fail"</formula>
    </cfRule>
  </conditionalFormatting>
  <conditionalFormatting sqref="L35:L53">
    <cfRule type="containsText" dxfId="932" priority="11" operator="containsText" text="NG">
      <formula>NOT(ISERROR(SEARCH(("NG"),(L35))))</formula>
    </cfRule>
  </conditionalFormatting>
  <conditionalFormatting sqref="L35:L53">
    <cfRule type="containsText" dxfId="931" priority="12" operator="containsText" text="OK">
      <formula>NOT(ISERROR(SEARCH(("OK"),(L35))))</formula>
    </cfRule>
  </conditionalFormatting>
  <conditionalFormatting sqref="L64 L66">
    <cfRule type="containsText" dxfId="930" priority="13" operator="containsText" text="NG">
      <formula>NOT(ISERROR(SEARCH(("NG"),(L64))))</formula>
    </cfRule>
  </conditionalFormatting>
  <conditionalFormatting sqref="L64 L66">
    <cfRule type="containsText" dxfId="929" priority="14" operator="containsText" text="OK">
      <formula>NOT(ISERROR(SEARCH(("OK"),(L64))))</formula>
    </cfRule>
  </conditionalFormatting>
  <conditionalFormatting sqref="L67">
    <cfRule type="containsText" dxfId="928" priority="15" operator="containsText" text="NG">
      <formula>NOT(ISERROR(SEARCH(("NG"),(L67))))</formula>
    </cfRule>
  </conditionalFormatting>
  <conditionalFormatting sqref="L67">
    <cfRule type="containsText" dxfId="927" priority="16" operator="containsText" text="OK">
      <formula>NOT(ISERROR(SEARCH(("OK"),(L67))))</formula>
    </cfRule>
  </conditionalFormatting>
  <conditionalFormatting sqref="L65">
    <cfRule type="containsText" dxfId="926" priority="17" operator="containsText" text="NG">
      <formula>NOT(ISERROR(SEARCH(("NG"),(L65))))</formula>
    </cfRule>
  </conditionalFormatting>
  <conditionalFormatting sqref="L65">
    <cfRule type="containsText" dxfId="925" priority="18" operator="containsText" text="OK">
      <formula>NOT(ISERROR(SEARCH(("OK"),(L65))))</formula>
    </cfRule>
  </conditionalFormatting>
  <conditionalFormatting sqref="L88:L90">
    <cfRule type="containsText" dxfId="924" priority="19" operator="containsText" text="NG">
      <formula>NOT(ISERROR(SEARCH(("NG"),(L88))))</formula>
    </cfRule>
  </conditionalFormatting>
  <conditionalFormatting sqref="L88:L90">
    <cfRule type="containsText" dxfId="923" priority="20" operator="containsText" text="OK">
      <formula>NOT(ISERROR(SEARCH(("OK"),(L88))))</formula>
    </cfRule>
  </conditionalFormatting>
  <conditionalFormatting sqref="L91:L93">
    <cfRule type="containsText" dxfId="922" priority="21" operator="containsText" text="NG">
      <formula>NOT(ISERROR(SEARCH(("NG"),(L91))))</formula>
    </cfRule>
  </conditionalFormatting>
  <conditionalFormatting sqref="L91:L93">
    <cfRule type="containsText" dxfId="921" priority="22" operator="containsText" text="OK">
      <formula>NOT(ISERROR(SEARCH(("OK"),(L91))))</formula>
    </cfRule>
  </conditionalFormatting>
  <conditionalFormatting sqref="L94:L104">
    <cfRule type="containsText" dxfId="920" priority="23" operator="containsText" text="NG">
      <formula>NOT(ISERROR(SEARCH(("NG"),(L94))))</formula>
    </cfRule>
  </conditionalFormatting>
  <conditionalFormatting sqref="L94:L104">
    <cfRule type="containsText" dxfId="919" priority="24" operator="containsText" text="OK">
      <formula>NOT(ISERROR(SEARCH(("OK"),(L94))))</formula>
    </cfRule>
  </conditionalFormatting>
  <conditionalFormatting sqref="L4:L10">
    <cfRule type="containsText" dxfId="918" priority="25" operator="containsText" text="NG">
      <formula>NOT(ISERROR(SEARCH(("NG"),(L4))))</formula>
    </cfRule>
  </conditionalFormatting>
  <conditionalFormatting sqref="L4:L10">
    <cfRule type="containsText" dxfId="917" priority="26" operator="containsText" text="OK">
      <formula>NOT(ISERROR(SEARCH(("OK"),(L4))))</formula>
    </cfRule>
  </conditionalFormatting>
  <conditionalFormatting sqref="L35:L53">
    <cfRule type="containsText" dxfId="916" priority="27" operator="containsText" text="NG">
      <formula>NOT(ISERROR(SEARCH(("NG"),(L35))))</formula>
    </cfRule>
  </conditionalFormatting>
  <conditionalFormatting sqref="L35:L53">
    <cfRule type="containsText" dxfId="915" priority="28" operator="containsText" text="OK">
      <formula>NOT(ISERROR(SEARCH(("OK"),(L35))))</formula>
    </cfRule>
  </conditionalFormatting>
  <conditionalFormatting sqref="L12:L16">
    <cfRule type="containsText" dxfId="914" priority="29" operator="containsText" text="NG">
      <formula>NOT(ISERROR(SEARCH(("NG"),(L12))))</formula>
    </cfRule>
  </conditionalFormatting>
  <conditionalFormatting sqref="L12:L16">
    <cfRule type="containsText" dxfId="913" priority="30" operator="containsText" text="OK">
      <formula>NOT(ISERROR(SEARCH(("OK"),(L12))))</formula>
    </cfRule>
  </conditionalFormatting>
  <conditionalFormatting sqref="L18">
    <cfRule type="containsText" dxfId="912" priority="31" operator="containsText" text="NG">
      <formula>NOT(ISERROR(SEARCH(("NG"),(L18))))</formula>
    </cfRule>
  </conditionalFormatting>
  <conditionalFormatting sqref="L18">
    <cfRule type="containsText" dxfId="911" priority="32" operator="containsText" text="OK">
      <formula>NOT(ISERROR(SEARCH(("OK"),(L18))))</formula>
    </cfRule>
  </conditionalFormatting>
  <conditionalFormatting sqref="L20 L22:L23">
    <cfRule type="containsText" dxfId="910" priority="33" operator="containsText" text="NG">
      <formula>NOT(ISERROR(SEARCH(("NG"),(L20))))</formula>
    </cfRule>
  </conditionalFormatting>
  <conditionalFormatting sqref="L20 L22:L23">
    <cfRule type="containsText" dxfId="909" priority="34" operator="containsText" text="OK">
      <formula>NOT(ISERROR(SEARCH(("OK"),(L20))))</formula>
    </cfRule>
  </conditionalFormatting>
  <conditionalFormatting sqref="N24:N33">
    <cfRule type="containsText" dxfId="908" priority="35" operator="containsText" text="미해당">
      <formula>NOT(ISERROR(SEARCH(("미해당"),(N24))))</formula>
    </cfRule>
  </conditionalFormatting>
  <conditionalFormatting sqref="L24:L33">
    <cfRule type="containsText" dxfId="907" priority="36" operator="containsText" text="NG">
      <formula>NOT(ISERROR(SEARCH(("NG"),(L24))))</formula>
    </cfRule>
  </conditionalFormatting>
  <conditionalFormatting sqref="L24:L33">
    <cfRule type="containsText" dxfId="906" priority="37" operator="containsText" text="OK">
      <formula>NOT(ISERROR(SEARCH(("OK"),(L24))))</formula>
    </cfRule>
  </conditionalFormatting>
  <conditionalFormatting sqref="L60">
    <cfRule type="containsText" dxfId="905" priority="38" operator="containsText" text="NG">
      <formula>NOT(ISERROR(SEARCH(("NG"),(L60))))</formula>
    </cfRule>
  </conditionalFormatting>
  <conditionalFormatting sqref="L60">
    <cfRule type="containsText" dxfId="904" priority="39" operator="containsText" text="OK">
      <formula>NOT(ISERROR(SEARCH(("OK"),(L60))))</formula>
    </cfRule>
  </conditionalFormatting>
  <conditionalFormatting sqref="L57:L58">
    <cfRule type="containsText" dxfId="903" priority="40" operator="containsText" text="NG">
      <formula>NOT(ISERROR(SEARCH(("NG"),(L57))))</formula>
    </cfRule>
  </conditionalFormatting>
  <conditionalFormatting sqref="L57:L58">
    <cfRule type="containsText" dxfId="902" priority="41" operator="containsText" text="OK">
      <formula>NOT(ISERROR(SEARCH(("OK"),(L57))))</formula>
    </cfRule>
  </conditionalFormatting>
  <conditionalFormatting sqref="L61:L62">
    <cfRule type="containsText" dxfId="901" priority="42" operator="containsText" text="NG">
      <formula>NOT(ISERROR(SEARCH(("NG"),(L61))))</formula>
    </cfRule>
  </conditionalFormatting>
  <conditionalFormatting sqref="L61:L62">
    <cfRule type="containsText" dxfId="900" priority="43" operator="containsText" text="OK">
      <formula>NOT(ISERROR(SEARCH(("OK"),(L61))))</formula>
    </cfRule>
  </conditionalFormatting>
  <conditionalFormatting sqref="K4:K10">
    <cfRule type="containsText" dxfId="899" priority="44" operator="containsText" text="NG">
      <formula>NOT(ISERROR(SEARCH(("NG"),(K4))))</formula>
    </cfRule>
  </conditionalFormatting>
  <conditionalFormatting sqref="K4:K10">
    <cfRule type="containsText" dxfId="898" priority="45" operator="containsText" text="OK">
      <formula>NOT(ISERROR(SEARCH(("OK"),(K4))))</formula>
    </cfRule>
  </conditionalFormatting>
  <conditionalFormatting sqref="K12:K33">
    <cfRule type="containsText" dxfId="897" priority="46" operator="containsText" text="NG">
      <formula>NOT(ISERROR(SEARCH(("NG"),(K12))))</formula>
    </cfRule>
  </conditionalFormatting>
  <conditionalFormatting sqref="K12:K33">
    <cfRule type="containsText" dxfId="896" priority="47" operator="containsText" text="OK">
      <formula>NOT(ISERROR(SEARCH(("OK"),(K12))))</formula>
    </cfRule>
  </conditionalFormatting>
  <conditionalFormatting sqref="K35:K53">
    <cfRule type="containsText" dxfId="895" priority="48" operator="containsText" text="NG">
      <formula>NOT(ISERROR(SEARCH(("NG"),(K35))))</formula>
    </cfRule>
  </conditionalFormatting>
  <conditionalFormatting sqref="K35:K53">
    <cfRule type="containsText" dxfId="894" priority="49" operator="containsText" text="OK">
      <formula>NOT(ISERROR(SEARCH(("OK"),(K35))))</formula>
    </cfRule>
  </conditionalFormatting>
  <conditionalFormatting sqref="K55:K62">
    <cfRule type="containsText" dxfId="893" priority="50" operator="containsText" text="NG">
      <formula>NOT(ISERROR(SEARCH(("NG"),(K55))))</formula>
    </cfRule>
  </conditionalFormatting>
  <conditionalFormatting sqref="K55:K62">
    <cfRule type="containsText" dxfId="892" priority="51" operator="containsText" text="OK">
      <formula>NOT(ISERROR(SEARCH(("OK"),(K55))))</formula>
    </cfRule>
  </conditionalFormatting>
  <conditionalFormatting sqref="K64:K67">
    <cfRule type="containsText" dxfId="891" priority="52" operator="containsText" text="NG">
      <formula>NOT(ISERROR(SEARCH(("NG"),(K64))))</formula>
    </cfRule>
  </conditionalFormatting>
  <conditionalFormatting sqref="K64:K67">
    <cfRule type="containsText" dxfId="890" priority="53" operator="containsText" text="OK">
      <formula>NOT(ISERROR(SEARCH(("OK"),(K64))))</formula>
    </cfRule>
  </conditionalFormatting>
  <conditionalFormatting sqref="K69:K84">
    <cfRule type="containsText" dxfId="889" priority="54" operator="containsText" text="NG">
      <formula>NOT(ISERROR(SEARCH(("NG"),(K69))))</formula>
    </cfRule>
  </conditionalFormatting>
  <conditionalFormatting sqref="K69:K84">
    <cfRule type="containsText" dxfId="888" priority="55" operator="containsText" text="OK">
      <formula>NOT(ISERROR(SEARCH(("OK"),(K69))))</formula>
    </cfRule>
  </conditionalFormatting>
  <conditionalFormatting sqref="K88:K104">
    <cfRule type="containsText" dxfId="887" priority="56" operator="containsText" text="NG">
      <formula>NOT(ISERROR(SEARCH(("NG"),(K88))))</formula>
    </cfRule>
  </conditionalFormatting>
  <conditionalFormatting sqref="K88:K104">
    <cfRule type="containsText" dxfId="886" priority="57" operator="containsText" text="OK">
      <formula>NOT(ISERROR(SEARCH(("OK"),(K88))))</formula>
    </cfRule>
  </conditionalFormatting>
  <conditionalFormatting sqref="K106:K111">
    <cfRule type="containsText" dxfId="885" priority="58" operator="containsText" text="NG">
      <formula>NOT(ISERROR(SEARCH(("NG"),(K106))))</formula>
    </cfRule>
  </conditionalFormatting>
  <conditionalFormatting sqref="K106:K111">
    <cfRule type="containsText" dxfId="884" priority="59" operator="containsText" text="OK">
      <formula>NOT(ISERROR(SEARCH(("OK"),(K106))))</formula>
    </cfRule>
  </conditionalFormatting>
  <conditionalFormatting sqref="I53:J53">
    <cfRule type="cellIs" dxfId="883" priority="60" stopIfTrue="1" operator="equal">
      <formula>"OK"</formula>
    </cfRule>
  </conditionalFormatting>
  <conditionalFormatting sqref="I53:J53">
    <cfRule type="cellIs" dxfId="882" priority="61" stopIfTrue="1" operator="equal">
      <formula>"Fail"</formula>
    </cfRule>
  </conditionalFormatting>
  <conditionalFormatting sqref="I53:J53">
    <cfRule type="cellIs" dxfId="881" priority="62" stopIfTrue="1" operator="equal">
      <formula>"OK"</formula>
    </cfRule>
  </conditionalFormatting>
  <conditionalFormatting sqref="I53:J53">
    <cfRule type="cellIs" dxfId="880" priority="63" stopIfTrue="1" operator="equal">
      <formula>"Fail"</formula>
    </cfRule>
  </conditionalFormatting>
  <conditionalFormatting sqref="K85:K86">
    <cfRule type="containsText" dxfId="879" priority="64" operator="containsText" text="NG">
      <formula>NOT(ISERROR(SEARCH(("NG"),(K85))))</formula>
    </cfRule>
  </conditionalFormatting>
  <conditionalFormatting sqref="K85:K86">
    <cfRule type="containsText" dxfId="878" priority="65" operator="containsText" text="OK">
      <formula>NOT(ISERROR(SEARCH(("OK"),(K85))))</formula>
    </cfRule>
  </conditionalFormatting>
  <conditionalFormatting sqref="I112:J112">
    <cfRule type="cellIs" dxfId="877" priority="66" stopIfTrue="1" operator="equal">
      <formula>"OK"</formula>
    </cfRule>
  </conditionalFormatting>
  <conditionalFormatting sqref="I112:J112">
    <cfRule type="cellIs" dxfId="876" priority="67" stopIfTrue="1" operator="equal">
      <formula>"Fail"</formula>
    </cfRule>
  </conditionalFormatting>
  <conditionalFormatting sqref="I112:J112">
    <cfRule type="cellIs" dxfId="875" priority="68" stopIfTrue="1" operator="equal">
      <formula>"OK"</formula>
    </cfRule>
  </conditionalFormatting>
  <conditionalFormatting sqref="I112:J112">
    <cfRule type="cellIs" dxfId="874" priority="69" stopIfTrue="1" operator="equal">
      <formula>"Fail"</formula>
    </cfRule>
  </conditionalFormatting>
  <conditionalFormatting sqref="L113">
    <cfRule type="containsText" dxfId="873" priority="70" operator="containsText" text="NG">
      <formula>NOT(ISERROR(SEARCH(("NG"),(L113))))</formula>
    </cfRule>
  </conditionalFormatting>
  <conditionalFormatting sqref="L113">
    <cfRule type="containsText" dxfId="872" priority="71" operator="containsText" text="OK">
      <formula>NOT(ISERROR(SEARCH(("OK"),(L113))))</formula>
    </cfRule>
  </conditionalFormatting>
  <conditionalFormatting sqref="K113">
    <cfRule type="containsText" dxfId="871" priority="72" operator="containsText" text="NG">
      <formula>NOT(ISERROR(SEARCH(("NG"),(K113))))</formula>
    </cfRule>
  </conditionalFormatting>
  <conditionalFormatting sqref="K113">
    <cfRule type="containsText" dxfId="870" priority="73" operator="containsText" text="OK">
      <formula>NOT(ISERROR(SEARCH(("OK"),(K113))))</formula>
    </cfRule>
  </conditionalFormatting>
  <conditionalFormatting sqref="L114:L116">
    <cfRule type="containsText" dxfId="869" priority="74" operator="containsText" text="NG">
      <formula>NOT(ISERROR(SEARCH(("NG"),(L114))))</formula>
    </cfRule>
  </conditionalFormatting>
  <conditionalFormatting sqref="L114:L116">
    <cfRule type="containsText" dxfId="868" priority="75" operator="containsText" text="OK">
      <formula>NOT(ISERROR(SEARCH(("OK"),(L114))))</formula>
    </cfRule>
  </conditionalFormatting>
  <conditionalFormatting sqref="K114:K116">
    <cfRule type="containsText" dxfId="867" priority="76" operator="containsText" text="NG">
      <formula>NOT(ISERROR(SEARCH(("NG"),(K114))))</formula>
    </cfRule>
  </conditionalFormatting>
  <conditionalFormatting sqref="K114:K116">
    <cfRule type="containsText" dxfId="866" priority="77" operator="containsText" text="OK">
      <formula>NOT(ISERROR(SEARCH(("OK"),(K114))))</formula>
    </cfRule>
  </conditionalFormatting>
  <conditionalFormatting sqref="L120">
    <cfRule type="containsText" dxfId="865" priority="78" operator="containsText" text="NG">
      <formula>NOT(ISERROR(SEARCH(("NG"),(L120))))</formula>
    </cfRule>
  </conditionalFormatting>
  <conditionalFormatting sqref="L120">
    <cfRule type="containsText" dxfId="864" priority="79" operator="containsText" text="OK">
      <formula>NOT(ISERROR(SEARCH(("OK"),(L120))))</formula>
    </cfRule>
  </conditionalFormatting>
  <conditionalFormatting sqref="K120">
    <cfRule type="containsText" dxfId="863" priority="80" operator="containsText" text="NG">
      <formula>NOT(ISERROR(SEARCH(("NG"),(K120))))</formula>
    </cfRule>
  </conditionalFormatting>
  <conditionalFormatting sqref="K120">
    <cfRule type="containsText" dxfId="862" priority="81" operator="containsText" text="OK">
      <formula>NOT(ISERROR(SEARCH(("OK"),(K120))))</formula>
    </cfRule>
  </conditionalFormatting>
  <conditionalFormatting sqref="L117:L119">
    <cfRule type="containsText" dxfId="861" priority="82" operator="containsText" text="NG">
      <formula>NOT(ISERROR(SEARCH(("NG"),(L117))))</formula>
    </cfRule>
  </conditionalFormatting>
  <conditionalFormatting sqref="L117:L119">
    <cfRule type="containsText" dxfId="860" priority="83" operator="containsText" text="OK">
      <formula>NOT(ISERROR(SEARCH(("OK"),(L117))))</formula>
    </cfRule>
  </conditionalFormatting>
  <conditionalFormatting sqref="K117:K119">
    <cfRule type="containsText" dxfId="859" priority="84" operator="containsText" text="NG">
      <formula>NOT(ISERROR(SEARCH(("NG"),(K117))))</formula>
    </cfRule>
  </conditionalFormatting>
  <conditionalFormatting sqref="K117:K119">
    <cfRule type="containsText" dxfId="858" priority="85" operator="containsText" text="OK">
      <formula>NOT(ISERROR(SEARCH(("OK"),(K117))))</formula>
    </cfRule>
  </conditionalFormatting>
  <conditionalFormatting sqref="L21">
    <cfRule type="containsText" dxfId="857" priority="86" operator="containsText" text="NG">
      <formula>NOT(ISERROR(SEARCH(("NG"),(L21))))</formula>
    </cfRule>
  </conditionalFormatting>
  <conditionalFormatting sqref="L21">
    <cfRule type="containsText" dxfId="856" priority="87" operator="containsText" text="OK">
      <formula>NOT(ISERROR(SEARCH(("OK"),(L21))))</formula>
    </cfRule>
  </conditionalFormatting>
  <dataValidations count="5">
    <dataValidation type="list" allowBlank="1" showErrorMessage="1" sqref="O4:P10 O12:O23 O24:P33 O35:O53 O55:O62 O64:O65 O66:P67 O69:P86 O88:O93 O94:P104 M106:M111 O106:P111 O113:P120">
      <formula1>"필수,중요,선택"</formula1>
    </dataValidation>
    <dataValidation type="list" allowBlank="1" showErrorMessage="1" sqref="K4:L120">
      <formula1>"Pass,Fail,NA"</formula1>
    </dataValidation>
    <dataValidation type="list" allowBlank="1" showInputMessage="1" showErrorMessage="1" prompt="[사양 무관: 빈칸]_x000a_[해당 사양에서만 사용되는 T/C 일 경우에만 선택]_x000a_" sqref="R69:R74 R79:R82">
      <formula1>$BI$2:$BI$33</formula1>
    </dataValidation>
    <dataValidation type="list" allowBlank="1" showInputMessage="1" showErrorMessage="1" prompt="[사양 무관: 빈칸]_x000a_[해당 사양에서만 사용되는 T/C 일 경우에만 선택]_x000a_" sqref="R55:R56">
      <formula1>$BH$2:$BH$48</formula1>
    </dataValidation>
    <dataValidation type="list" allowBlank="1" showInputMessage="1" showErrorMessage="1" prompt="[사양 무관: 빈칸]_x000a_[해당 사양에서만 사용되는 T/C 일 경우에만 선택]_x000a_" sqref="R64:R67">
      <formula1>$BH$2:$BH$68</formula1>
    </dataValidation>
  </dataValidations>
  <pageMargins left="0.7" right="0.7" top="0.75" bottom="0.75" header="0" footer="0"/>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B050"/>
  </sheetPr>
  <dimension ref="A1:AA1000"/>
  <sheetViews>
    <sheetView topLeftCell="G1" workbookViewId="0">
      <pane ySplit="2" topLeftCell="A3" activePane="bottomLeft" state="frozen"/>
      <selection pane="bottomLeft" activeCell="J3" sqref="J3"/>
    </sheetView>
  </sheetViews>
  <sheetFormatPr defaultColWidth="14.42578125" defaultRowHeight="15" customHeight="1"/>
  <cols>
    <col min="1" max="1" width="43.42578125" customWidth="1"/>
    <col min="2" max="3" width="9" customWidth="1"/>
    <col min="4" max="5" width="43.28515625" customWidth="1"/>
    <col min="6" max="7" width="5.42578125" customWidth="1"/>
    <col min="8" max="8" width="66" customWidth="1"/>
    <col min="9" max="9" width="53.42578125" customWidth="1"/>
    <col min="10" max="10" width="53.42578125" style="326" customWidth="1"/>
    <col min="11" max="11" width="9" customWidth="1"/>
    <col min="12" max="12" width="15.28515625" customWidth="1"/>
    <col min="13" max="13" width="13.7109375" customWidth="1"/>
    <col min="14" max="15" width="9" customWidth="1"/>
    <col min="16" max="17" width="7.42578125" customWidth="1"/>
    <col min="18" max="18" width="36.85546875" customWidth="1"/>
    <col min="19" max="19" width="7.42578125" customWidth="1"/>
    <col min="20" max="27" width="9" customWidth="1"/>
  </cols>
  <sheetData>
    <row r="1" spans="1:27" ht="39.75" customHeight="1">
      <c r="A1" s="8"/>
      <c r="B1" s="11" t="str">
        <f t="array" ref="B1">"CCS_"&amp;TEXT(MAX(IFERROR(--MID($B$2:$B$5000,5,3),0)),"000")</f>
        <v>CCS_021</v>
      </c>
      <c r="C1" s="3"/>
      <c r="D1" s="8"/>
      <c r="E1" s="9"/>
      <c r="F1" s="3"/>
      <c r="G1" s="3"/>
      <c r="H1" s="7"/>
      <c r="I1" s="7"/>
      <c r="J1" s="10"/>
      <c r="K1" s="3"/>
      <c r="L1" s="3"/>
      <c r="M1" s="11"/>
      <c r="N1" s="3"/>
      <c r="O1" s="11"/>
      <c r="P1" s="11"/>
      <c r="Q1" s="11"/>
      <c r="R1" s="11"/>
      <c r="S1" s="11"/>
    </row>
    <row r="2" spans="1:27" ht="39" customHeight="1">
      <c r="A2" s="12" t="s">
        <v>309</v>
      </c>
      <c r="B2" s="70" t="s">
        <v>310</v>
      </c>
      <c r="C2" s="70" t="s">
        <v>311</v>
      </c>
      <c r="D2" s="12" t="s">
        <v>312</v>
      </c>
      <c r="E2" s="12" t="s">
        <v>313</v>
      </c>
      <c r="F2" s="70" t="s">
        <v>314</v>
      </c>
      <c r="G2" s="70" t="s">
        <v>315</v>
      </c>
      <c r="H2" s="12" t="s">
        <v>316</v>
      </c>
      <c r="I2" s="12" t="s">
        <v>317</v>
      </c>
      <c r="J2" s="70" t="s">
        <v>7999</v>
      </c>
      <c r="K2" s="70" t="s">
        <v>291</v>
      </c>
      <c r="L2" s="70" t="s">
        <v>318</v>
      </c>
      <c r="M2" s="70" t="s">
        <v>293</v>
      </c>
      <c r="N2" s="13"/>
      <c r="O2" s="70" t="s">
        <v>319</v>
      </c>
      <c r="P2" s="70" t="s">
        <v>320</v>
      </c>
      <c r="Q2" s="70" t="s">
        <v>321</v>
      </c>
      <c r="R2" s="70" t="s">
        <v>1</v>
      </c>
      <c r="S2" s="70" t="s">
        <v>322</v>
      </c>
      <c r="T2" s="14"/>
      <c r="U2" s="14"/>
      <c r="V2" s="14"/>
      <c r="W2" s="14"/>
      <c r="X2" s="14"/>
      <c r="Y2" s="14"/>
      <c r="Z2" s="14"/>
      <c r="AA2" s="14"/>
    </row>
    <row r="3" spans="1:27" ht="19.5" customHeight="1">
      <c r="A3" s="15" t="s">
        <v>3490</v>
      </c>
      <c r="B3" s="16"/>
      <c r="C3" s="16"/>
      <c r="D3" s="17"/>
      <c r="E3" s="18"/>
      <c r="F3" s="19"/>
      <c r="G3" s="19"/>
      <c r="H3" s="17"/>
      <c r="I3" s="20"/>
      <c r="J3" s="20"/>
      <c r="K3" s="16"/>
      <c r="L3" s="16"/>
      <c r="M3" s="71"/>
      <c r="N3" s="3"/>
      <c r="O3" s="16"/>
      <c r="P3" s="16"/>
      <c r="Q3" s="16"/>
      <c r="R3" s="16"/>
      <c r="S3" s="16"/>
    </row>
    <row r="4" spans="1:27" ht="75">
      <c r="A4" s="189"/>
      <c r="B4" s="190" t="s">
        <v>3491</v>
      </c>
      <c r="C4" s="41">
        <v>1</v>
      </c>
      <c r="D4" s="38" t="s">
        <v>3492</v>
      </c>
      <c r="E4" s="23" t="s">
        <v>3493</v>
      </c>
      <c r="F4" s="31" t="s">
        <v>326</v>
      </c>
      <c r="G4" s="31" t="s">
        <v>524</v>
      </c>
      <c r="H4" s="23" t="s">
        <v>3494</v>
      </c>
      <c r="I4" s="23" t="s">
        <v>3495</v>
      </c>
      <c r="J4" s="170"/>
      <c r="K4" s="25"/>
      <c r="L4" s="57"/>
      <c r="M4" s="26"/>
      <c r="N4" s="79"/>
      <c r="O4" s="28" t="s">
        <v>140</v>
      </c>
      <c r="P4" s="25"/>
      <c r="Q4" s="50" t="s">
        <v>282</v>
      </c>
      <c r="R4" s="25" t="s">
        <v>7</v>
      </c>
      <c r="S4" s="50"/>
      <c r="T4" s="51"/>
      <c r="U4" s="51"/>
      <c r="V4" s="51"/>
      <c r="W4" s="51"/>
      <c r="X4" s="51"/>
      <c r="Y4" s="51"/>
      <c r="Z4" s="51"/>
      <c r="AA4" s="51"/>
    </row>
    <row r="5" spans="1:27" ht="56.25">
      <c r="A5" s="15" t="s">
        <v>3496</v>
      </c>
      <c r="B5" s="16"/>
      <c r="C5" s="16"/>
      <c r="D5" s="17"/>
      <c r="E5" s="18"/>
      <c r="F5" s="19"/>
      <c r="G5" s="19"/>
      <c r="H5" s="17"/>
      <c r="I5" s="20"/>
      <c r="J5" s="20"/>
      <c r="K5" s="16"/>
      <c r="L5" s="16"/>
      <c r="M5" s="71"/>
      <c r="N5" s="3"/>
      <c r="O5" s="16"/>
      <c r="P5" s="16"/>
      <c r="Q5" s="16"/>
      <c r="R5" s="16"/>
      <c r="S5" s="16"/>
    </row>
    <row r="6" spans="1:27" ht="30">
      <c r="A6" s="356" t="s">
        <v>3497</v>
      </c>
      <c r="B6" s="190" t="s">
        <v>3498</v>
      </c>
      <c r="C6" s="41">
        <v>1</v>
      </c>
      <c r="D6" s="38" t="s">
        <v>2409</v>
      </c>
      <c r="E6" s="23" t="s">
        <v>2410</v>
      </c>
      <c r="F6" s="31" t="s">
        <v>326</v>
      </c>
      <c r="G6" s="31" t="s">
        <v>524</v>
      </c>
      <c r="H6" s="35" t="s">
        <v>3499</v>
      </c>
      <c r="I6" s="35" t="s">
        <v>3500</v>
      </c>
      <c r="J6" s="172"/>
      <c r="K6" s="25" t="s">
        <v>294</v>
      </c>
      <c r="L6" s="57"/>
      <c r="M6" s="26"/>
      <c r="N6" s="79"/>
      <c r="O6" s="28"/>
      <c r="P6" s="25"/>
      <c r="Q6" s="50" t="s">
        <v>140</v>
      </c>
      <c r="R6" s="25" t="s">
        <v>7</v>
      </c>
      <c r="S6" s="50"/>
      <c r="T6" s="51"/>
      <c r="U6" s="51"/>
      <c r="V6" s="51"/>
      <c r="W6" s="51"/>
      <c r="X6" s="51"/>
      <c r="Y6" s="51"/>
      <c r="Z6" s="51"/>
      <c r="AA6" s="51"/>
    </row>
    <row r="7" spans="1:27" ht="30">
      <c r="A7" s="344"/>
      <c r="B7" s="31" t="s">
        <v>3501</v>
      </c>
      <c r="C7" s="31">
        <v>1</v>
      </c>
      <c r="D7" s="23" t="s">
        <v>2419</v>
      </c>
      <c r="E7" s="23" t="s">
        <v>2420</v>
      </c>
      <c r="F7" s="31" t="s">
        <v>326</v>
      </c>
      <c r="G7" s="31" t="s">
        <v>524</v>
      </c>
      <c r="H7" s="35" t="s">
        <v>3502</v>
      </c>
      <c r="I7" s="35" t="s">
        <v>3503</v>
      </c>
      <c r="J7" s="172"/>
      <c r="K7" s="25"/>
      <c r="L7" s="57"/>
      <c r="M7" s="25"/>
      <c r="N7" s="55"/>
      <c r="O7" s="28"/>
      <c r="P7" s="25"/>
      <c r="Q7" s="50" t="s">
        <v>282</v>
      </c>
      <c r="R7" s="25" t="s">
        <v>7</v>
      </c>
      <c r="S7" s="50"/>
      <c r="T7" s="30"/>
      <c r="U7" s="30"/>
      <c r="V7" s="30"/>
      <c r="W7" s="30"/>
      <c r="X7" s="30"/>
      <c r="Y7" s="30"/>
      <c r="Z7" s="30"/>
      <c r="AA7" s="30"/>
    </row>
    <row r="8" spans="1:27" ht="30">
      <c r="A8" s="369"/>
      <c r="B8" s="31" t="s">
        <v>3504</v>
      </c>
      <c r="C8" s="31">
        <v>1</v>
      </c>
      <c r="D8" s="23" t="s">
        <v>2419</v>
      </c>
      <c r="E8" s="23" t="s">
        <v>3505</v>
      </c>
      <c r="F8" s="31" t="s">
        <v>326</v>
      </c>
      <c r="G8" s="31" t="s">
        <v>524</v>
      </c>
      <c r="H8" s="35" t="s">
        <v>3506</v>
      </c>
      <c r="I8" s="35" t="s">
        <v>3507</v>
      </c>
      <c r="J8" s="172"/>
      <c r="K8" s="25" t="s">
        <v>294</v>
      </c>
      <c r="L8" s="57"/>
      <c r="M8" s="25"/>
      <c r="N8" s="55"/>
      <c r="O8" s="28"/>
      <c r="P8" s="25"/>
      <c r="Q8" s="50" t="s">
        <v>140</v>
      </c>
      <c r="R8" s="25" t="s">
        <v>7</v>
      </c>
      <c r="S8" s="50"/>
      <c r="T8" s="30"/>
      <c r="U8" s="30"/>
      <c r="V8" s="30"/>
      <c r="W8" s="30"/>
      <c r="X8" s="30"/>
      <c r="Y8" s="30"/>
      <c r="Z8" s="30"/>
      <c r="AA8" s="30"/>
    </row>
    <row r="9" spans="1:27" ht="105">
      <c r="A9" s="394" t="s">
        <v>3508</v>
      </c>
      <c r="B9" s="360" t="s">
        <v>109</v>
      </c>
      <c r="C9" s="31">
        <v>1</v>
      </c>
      <c r="D9" s="356" t="s">
        <v>3509</v>
      </c>
      <c r="E9" s="39" t="s">
        <v>3510</v>
      </c>
      <c r="F9" s="31" t="s">
        <v>326</v>
      </c>
      <c r="G9" s="31" t="s">
        <v>524</v>
      </c>
      <c r="H9" s="23" t="s">
        <v>3511</v>
      </c>
      <c r="I9" s="23" t="s">
        <v>3512</v>
      </c>
      <c r="J9" s="170"/>
      <c r="K9" s="25"/>
      <c r="L9" s="57"/>
      <c r="M9" s="26"/>
      <c r="N9" s="55"/>
      <c r="O9" s="28" t="s">
        <v>140</v>
      </c>
      <c r="P9" s="25"/>
      <c r="Q9" s="50" t="s">
        <v>282</v>
      </c>
      <c r="R9" s="25" t="s">
        <v>307</v>
      </c>
      <c r="S9" s="50"/>
      <c r="T9" s="30"/>
      <c r="U9" s="30"/>
      <c r="V9" s="30"/>
      <c r="W9" s="30"/>
      <c r="X9" s="30"/>
      <c r="Y9" s="30"/>
      <c r="Z9" s="30"/>
      <c r="AA9" s="30"/>
    </row>
    <row r="10" spans="1:27" ht="60" customHeight="1">
      <c r="A10" s="344"/>
      <c r="B10" s="344"/>
      <c r="C10" s="31">
        <v>2</v>
      </c>
      <c r="D10" s="344"/>
      <c r="E10" s="39" t="s">
        <v>3513</v>
      </c>
      <c r="F10" s="31" t="s">
        <v>326</v>
      </c>
      <c r="G10" s="31" t="s">
        <v>524</v>
      </c>
      <c r="H10" s="23" t="s">
        <v>3514</v>
      </c>
      <c r="I10" s="23" t="s">
        <v>3515</v>
      </c>
      <c r="J10" s="170"/>
      <c r="K10" s="25"/>
      <c r="L10" s="57"/>
      <c r="M10" s="26"/>
      <c r="N10" s="55"/>
      <c r="O10" s="28" t="s">
        <v>140</v>
      </c>
      <c r="P10" s="25"/>
      <c r="Q10" s="50" t="s">
        <v>282</v>
      </c>
      <c r="R10" s="25" t="s">
        <v>307</v>
      </c>
      <c r="S10" s="50"/>
      <c r="T10" s="30"/>
      <c r="U10" s="30"/>
      <c r="V10" s="30"/>
      <c r="W10" s="30"/>
      <c r="X10" s="30"/>
      <c r="Y10" s="30"/>
      <c r="Z10" s="30"/>
      <c r="AA10" s="30"/>
    </row>
    <row r="11" spans="1:27" ht="75">
      <c r="A11" s="344"/>
      <c r="B11" s="344"/>
      <c r="C11" s="31">
        <v>3</v>
      </c>
      <c r="D11" s="345"/>
      <c r="E11" s="39" t="s">
        <v>3516</v>
      </c>
      <c r="F11" s="31" t="s">
        <v>326</v>
      </c>
      <c r="G11" s="31" t="s">
        <v>524</v>
      </c>
      <c r="H11" s="23" t="s">
        <v>3517</v>
      </c>
      <c r="I11" s="23" t="s">
        <v>3518</v>
      </c>
      <c r="J11" s="170"/>
      <c r="K11" s="25"/>
      <c r="L11" s="57"/>
      <c r="M11" s="26"/>
      <c r="N11" s="55"/>
      <c r="O11" s="28"/>
      <c r="P11" s="25"/>
      <c r="Q11" s="50" t="s">
        <v>282</v>
      </c>
      <c r="R11" s="25" t="s">
        <v>307</v>
      </c>
      <c r="S11" s="50"/>
      <c r="T11" s="30"/>
      <c r="U11" s="30"/>
      <c r="V11" s="30"/>
      <c r="W11" s="30"/>
      <c r="X11" s="30"/>
      <c r="Y11" s="30"/>
      <c r="Z11" s="30"/>
      <c r="AA11" s="30"/>
    </row>
    <row r="12" spans="1:27" ht="105">
      <c r="A12" s="344"/>
      <c r="B12" s="344"/>
      <c r="C12" s="74">
        <v>4</v>
      </c>
      <c r="D12" s="364" t="s">
        <v>3519</v>
      </c>
      <c r="E12" s="80" t="s">
        <v>3510</v>
      </c>
      <c r="F12" s="74" t="s">
        <v>326</v>
      </c>
      <c r="G12" s="74" t="s">
        <v>524</v>
      </c>
      <c r="H12" s="47" t="s">
        <v>3520</v>
      </c>
      <c r="I12" s="63" t="s">
        <v>3512</v>
      </c>
      <c r="J12" s="171"/>
      <c r="K12" s="25"/>
      <c r="L12" s="57"/>
      <c r="M12" s="26"/>
      <c r="N12" s="55"/>
      <c r="O12" s="28"/>
      <c r="P12" s="25"/>
      <c r="Q12" s="50" t="s">
        <v>282</v>
      </c>
      <c r="R12" s="25" t="s">
        <v>298</v>
      </c>
      <c r="S12" s="50"/>
      <c r="T12" s="30"/>
      <c r="U12" s="30"/>
      <c r="V12" s="30"/>
      <c r="W12" s="30"/>
      <c r="X12" s="30"/>
      <c r="Y12" s="30"/>
      <c r="Z12" s="30"/>
      <c r="AA12" s="30"/>
    </row>
    <row r="13" spans="1:27" ht="60" customHeight="1">
      <c r="A13" s="344"/>
      <c r="B13" s="344"/>
      <c r="C13" s="74">
        <v>5</v>
      </c>
      <c r="D13" s="344"/>
      <c r="E13" s="80" t="s">
        <v>3513</v>
      </c>
      <c r="F13" s="74" t="s">
        <v>326</v>
      </c>
      <c r="G13" s="74" t="s">
        <v>524</v>
      </c>
      <c r="H13" s="47" t="s">
        <v>3514</v>
      </c>
      <c r="I13" s="63" t="s">
        <v>3515</v>
      </c>
      <c r="J13" s="171"/>
      <c r="K13" s="25"/>
      <c r="L13" s="57"/>
      <c r="M13" s="26"/>
      <c r="N13" s="55"/>
      <c r="O13" s="28"/>
      <c r="P13" s="25"/>
      <c r="Q13" s="50" t="s">
        <v>282</v>
      </c>
      <c r="R13" s="25" t="s">
        <v>298</v>
      </c>
      <c r="S13" s="50"/>
      <c r="T13" s="30"/>
      <c r="U13" s="30"/>
      <c r="V13" s="30"/>
      <c r="W13" s="30"/>
      <c r="X13" s="30"/>
      <c r="Y13" s="30"/>
      <c r="Z13" s="30"/>
      <c r="AA13" s="30"/>
    </row>
    <row r="14" spans="1:27" ht="75">
      <c r="A14" s="345"/>
      <c r="B14" s="345"/>
      <c r="C14" s="74">
        <v>6</v>
      </c>
      <c r="D14" s="345"/>
      <c r="E14" s="80" t="s">
        <v>3516</v>
      </c>
      <c r="F14" s="74" t="s">
        <v>326</v>
      </c>
      <c r="G14" s="74" t="s">
        <v>524</v>
      </c>
      <c r="H14" s="47" t="s">
        <v>3517</v>
      </c>
      <c r="I14" s="63" t="s">
        <v>3518</v>
      </c>
      <c r="J14" s="171"/>
      <c r="K14" s="25"/>
      <c r="L14" s="57"/>
      <c r="M14" s="26"/>
      <c r="N14" s="55"/>
      <c r="O14" s="28"/>
      <c r="P14" s="25"/>
      <c r="Q14" s="50" t="s">
        <v>282</v>
      </c>
      <c r="R14" s="25" t="s">
        <v>298</v>
      </c>
      <c r="S14" s="50"/>
      <c r="T14" s="30"/>
      <c r="U14" s="30"/>
      <c r="V14" s="30"/>
      <c r="W14" s="30"/>
      <c r="X14" s="30"/>
      <c r="Y14" s="30"/>
      <c r="Z14" s="30"/>
      <c r="AA14" s="30"/>
    </row>
    <row r="15" spans="1:27" ht="150">
      <c r="A15" s="356" t="s">
        <v>3521</v>
      </c>
      <c r="B15" s="360" t="s">
        <v>228</v>
      </c>
      <c r="C15" s="41">
        <v>1</v>
      </c>
      <c r="D15" s="356" t="s">
        <v>3522</v>
      </c>
      <c r="E15" s="359" t="s">
        <v>3523</v>
      </c>
      <c r="F15" s="31" t="s">
        <v>326</v>
      </c>
      <c r="G15" s="31" t="s">
        <v>327</v>
      </c>
      <c r="H15" s="23" t="s">
        <v>3524</v>
      </c>
      <c r="I15" s="23" t="s">
        <v>3525</v>
      </c>
      <c r="J15" s="170"/>
      <c r="K15" s="25" t="s">
        <v>294</v>
      </c>
      <c r="L15" s="57"/>
      <c r="M15" s="26"/>
      <c r="N15" s="55"/>
      <c r="O15" s="28" t="s">
        <v>140</v>
      </c>
      <c r="P15" s="50" t="s">
        <v>140</v>
      </c>
      <c r="Q15" s="50" t="s">
        <v>140</v>
      </c>
      <c r="R15" s="25" t="s">
        <v>307</v>
      </c>
      <c r="S15" s="50"/>
      <c r="T15" s="30"/>
      <c r="U15" s="30"/>
      <c r="V15" s="30"/>
      <c r="W15" s="30"/>
      <c r="X15" s="30"/>
      <c r="Y15" s="30"/>
      <c r="Z15" s="30"/>
      <c r="AA15" s="30"/>
    </row>
    <row r="16" spans="1:27" ht="105">
      <c r="A16" s="344"/>
      <c r="B16" s="344"/>
      <c r="C16" s="41">
        <v>2</v>
      </c>
      <c r="D16" s="344"/>
      <c r="E16" s="344"/>
      <c r="F16" s="360" t="s">
        <v>326</v>
      </c>
      <c r="G16" s="360" t="s">
        <v>524</v>
      </c>
      <c r="H16" s="39" t="s">
        <v>3526</v>
      </c>
      <c r="I16" s="23" t="s">
        <v>3527</v>
      </c>
      <c r="J16" s="170"/>
      <c r="K16" s="25" t="s">
        <v>294</v>
      </c>
      <c r="L16" s="57"/>
      <c r="M16" s="26"/>
      <c r="N16" s="55"/>
      <c r="O16" s="28" t="s">
        <v>140</v>
      </c>
      <c r="P16" s="50" t="s">
        <v>140</v>
      </c>
      <c r="Q16" s="50" t="s">
        <v>140</v>
      </c>
      <c r="R16" s="25" t="s">
        <v>307</v>
      </c>
      <c r="S16" s="50"/>
      <c r="T16" s="30"/>
      <c r="U16" s="30"/>
      <c r="V16" s="30"/>
      <c r="W16" s="30"/>
      <c r="X16" s="30"/>
      <c r="Y16" s="30"/>
      <c r="Z16" s="30"/>
      <c r="AA16" s="30"/>
    </row>
    <row r="17" spans="1:27" ht="30">
      <c r="A17" s="344"/>
      <c r="B17" s="344"/>
      <c r="C17" s="41">
        <v>3</v>
      </c>
      <c r="D17" s="344"/>
      <c r="E17" s="345"/>
      <c r="F17" s="345"/>
      <c r="G17" s="345"/>
      <c r="H17" s="23" t="s">
        <v>3528</v>
      </c>
      <c r="I17" s="23" t="s">
        <v>3529</v>
      </c>
      <c r="J17" s="170"/>
      <c r="K17" s="25" t="s">
        <v>294</v>
      </c>
      <c r="L17" s="57"/>
      <c r="M17" s="26"/>
      <c r="N17" s="55"/>
      <c r="O17" s="28" t="s">
        <v>140</v>
      </c>
      <c r="P17" s="50" t="s">
        <v>140</v>
      </c>
      <c r="Q17" s="50" t="s">
        <v>140</v>
      </c>
      <c r="R17" s="25" t="s">
        <v>307</v>
      </c>
      <c r="S17" s="50"/>
      <c r="T17" s="30"/>
      <c r="U17" s="30"/>
      <c r="V17" s="30"/>
      <c r="W17" s="30"/>
      <c r="X17" s="30"/>
      <c r="Y17" s="30"/>
      <c r="Z17" s="30"/>
      <c r="AA17" s="30"/>
    </row>
    <row r="18" spans="1:27" ht="90">
      <c r="A18" s="344"/>
      <c r="B18" s="344"/>
      <c r="C18" s="41">
        <v>4</v>
      </c>
      <c r="D18" s="344"/>
      <c r="E18" s="359" t="s">
        <v>3530</v>
      </c>
      <c r="F18" s="360" t="s">
        <v>326</v>
      </c>
      <c r="G18" s="360" t="s">
        <v>524</v>
      </c>
      <c r="H18" s="356" t="s">
        <v>3531</v>
      </c>
      <c r="I18" s="23" t="s">
        <v>3532</v>
      </c>
      <c r="J18" s="170"/>
      <c r="K18" s="25" t="s">
        <v>294</v>
      </c>
      <c r="L18" s="57"/>
      <c r="M18" s="26"/>
      <c r="N18" s="55"/>
      <c r="O18" s="28"/>
      <c r="P18" s="25"/>
      <c r="Q18" s="50" t="s">
        <v>140</v>
      </c>
      <c r="R18" s="25" t="s">
        <v>307</v>
      </c>
      <c r="S18" s="50"/>
      <c r="T18" s="65"/>
      <c r="U18" s="65"/>
      <c r="V18" s="65"/>
      <c r="W18" s="65"/>
      <c r="X18" s="65"/>
      <c r="Y18" s="65"/>
      <c r="Z18" s="65"/>
      <c r="AA18" s="65"/>
    </row>
    <row r="19" spans="1:27" ht="15.75">
      <c r="A19" s="344"/>
      <c r="B19" s="344"/>
      <c r="C19" s="41">
        <v>5</v>
      </c>
      <c r="D19" s="344"/>
      <c r="E19" s="345"/>
      <c r="F19" s="345"/>
      <c r="G19" s="345"/>
      <c r="H19" s="345"/>
      <c r="I19" s="23" t="s">
        <v>3533</v>
      </c>
      <c r="J19" s="170"/>
      <c r="K19" s="25" t="s">
        <v>294</v>
      </c>
      <c r="L19" s="57"/>
      <c r="M19" s="26"/>
      <c r="N19" s="55"/>
      <c r="O19" s="28"/>
      <c r="P19" s="25"/>
      <c r="Q19" s="50" t="s">
        <v>140</v>
      </c>
      <c r="R19" s="25" t="s">
        <v>307</v>
      </c>
      <c r="S19" s="50"/>
      <c r="T19" s="65"/>
      <c r="U19" s="65"/>
      <c r="V19" s="65"/>
      <c r="W19" s="65"/>
      <c r="X19" s="65"/>
      <c r="Y19" s="65"/>
      <c r="Z19" s="65"/>
      <c r="AA19" s="65"/>
    </row>
    <row r="20" spans="1:27" ht="30">
      <c r="A20" s="344"/>
      <c r="B20" s="344"/>
      <c r="C20" s="41">
        <v>6</v>
      </c>
      <c r="D20" s="344"/>
      <c r="E20" s="39" t="s">
        <v>3534</v>
      </c>
      <c r="F20" s="31" t="s">
        <v>326</v>
      </c>
      <c r="G20" s="31" t="s">
        <v>524</v>
      </c>
      <c r="H20" s="23" t="s">
        <v>3535</v>
      </c>
      <c r="I20" s="23" t="s">
        <v>3536</v>
      </c>
      <c r="J20" s="170"/>
      <c r="K20" s="25" t="s">
        <v>294</v>
      </c>
      <c r="L20" s="57"/>
      <c r="M20" s="26"/>
      <c r="N20" s="55"/>
      <c r="O20" s="28"/>
      <c r="P20" s="25"/>
      <c r="Q20" s="50" t="s">
        <v>140</v>
      </c>
      <c r="R20" s="25" t="s">
        <v>307</v>
      </c>
      <c r="S20" s="50"/>
      <c r="T20" s="65"/>
      <c r="U20" s="65"/>
      <c r="V20" s="65"/>
      <c r="W20" s="65"/>
      <c r="X20" s="65"/>
      <c r="Y20" s="65"/>
      <c r="Z20" s="65"/>
      <c r="AA20" s="65"/>
    </row>
    <row r="21" spans="1:27" ht="15.75" customHeight="1">
      <c r="A21" s="344"/>
      <c r="B21" s="344"/>
      <c r="C21" s="41">
        <v>7</v>
      </c>
      <c r="D21" s="344"/>
      <c r="E21" s="39" t="s">
        <v>3537</v>
      </c>
      <c r="F21" s="31" t="s">
        <v>326</v>
      </c>
      <c r="G21" s="31" t="s">
        <v>327</v>
      </c>
      <c r="H21" s="23" t="s">
        <v>3538</v>
      </c>
      <c r="I21" s="23" t="s">
        <v>1172</v>
      </c>
      <c r="J21" s="170"/>
      <c r="K21" s="25" t="s">
        <v>294</v>
      </c>
      <c r="L21" s="57"/>
      <c r="M21" s="26"/>
      <c r="N21" s="55"/>
      <c r="O21" s="28"/>
      <c r="P21" s="25"/>
      <c r="Q21" s="50" t="s">
        <v>140</v>
      </c>
      <c r="R21" s="25" t="s">
        <v>307</v>
      </c>
      <c r="S21" s="50"/>
      <c r="T21" s="65"/>
      <c r="U21" s="65"/>
      <c r="V21" s="65"/>
      <c r="W21" s="65"/>
      <c r="X21" s="65"/>
      <c r="Y21" s="65"/>
      <c r="Z21" s="65"/>
      <c r="AA21" s="65"/>
    </row>
    <row r="22" spans="1:27" ht="15.75" customHeight="1">
      <c r="A22" s="344"/>
      <c r="B22" s="344"/>
      <c r="C22" s="41">
        <v>8</v>
      </c>
      <c r="D22" s="344"/>
      <c r="E22" s="359" t="s">
        <v>3539</v>
      </c>
      <c r="F22" s="31" t="s">
        <v>326</v>
      </c>
      <c r="G22" s="31" t="s">
        <v>327</v>
      </c>
      <c r="H22" s="23" t="s">
        <v>3540</v>
      </c>
      <c r="I22" s="23" t="s">
        <v>3541</v>
      </c>
      <c r="J22" s="170"/>
      <c r="K22" s="25" t="s">
        <v>294</v>
      </c>
      <c r="L22" s="57"/>
      <c r="M22" s="26"/>
      <c r="N22" s="55"/>
      <c r="O22" s="28"/>
      <c r="P22" s="25"/>
      <c r="Q22" s="50" t="s">
        <v>140</v>
      </c>
      <c r="R22" s="25" t="s">
        <v>307</v>
      </c>
      <c r="S22" s="50"/>
      <c r="T22" s="65"/>
      <c r="U22" s="65"/>
      <c r="V22" s="65"/>
      <c r="W22" s="65"/>
      <c r="X22" s="65"/>
      <c r="Y22" s="65"/>
      <c r="Z22" s="65"/>
      <c r="AA22" s="65"/>
    </row>
    <row r="23" spans="1:27" ht="15.75" customHeight="1">
      <c r="A23" s="344"/>
      <c r="B23" s="344"/>
      <c r="C23" s="41">
        <v>9</v>
      </c>
      <c r="D23" s="344"/>
      <c r="E23" s="345"/>
      <c r="F23" s="31" t="s">
        <v>326</v>
      </c>
      <c r="G23" s="31" t="s">
        <v>327</v>
      </c>
      <c r="H23" s="23" t="s">
        <v>3542</v>
      </c>
      <c r="I23" s="23" t="s">
        <v>3541</v>
      </c>
      <c r="J23" s="170"/>
      <c r="K23" s="25" t="s">
        <v>294</v>
      </c>
      <c r="L23" s="57"/>
      <c r="M23" s="26"/>
      <c r="N23" s="55"/>
      <c r="O23" s="28"/>
      <c r="P23" s="25"/>
      <c r="Q23" s="50" t="s">
        <v>140</v>
      </c>
      <c r="R23" s="25" t="s">
        <v>307</v>
      </c>
      <c r="S23" s="50"/>
      <c r="T23" s="65"/>
      <c r="U23" s="65"/>
      <c r="V23" s="65"/>
      <c r="W23" s="65"/>
      <c r="X23" s="65"/>
      <c r="Y23" s="65"/>
      <c r="Z23" s="65"/>
      <c r="AA23" s="65"/>
    </row>
    <row r="24" spans="1:27" ht="15.75" customHeight="1">
      <c r="A24" s="344"/>
      <c r="B24" s="344"/>
      <c r="C24" s="41">
        <v>10</v>
      </c>
      <c r="D24" s="344"/>
      <c r="E24" s="359" t="s">
        <v>3543</v>
      </c>
      <c r="F24" s="360" t="s">
        <v>326</v>
      </c>
      <c r="G24" s="360" t="s">
        <v>327</v>
      </c>
      <c r="H24" s="23" t="s">
        <v>3544</v>
      </c>
      <c r="I24" s="23" t="s">
        <v>3545</v>
      </c>
      <c r="J24" s="170"/>
      <c r="K24" s="25" t="s">
        <v>294</v>
      </c>
      <c r="L24" s="57"/>
      <c r="M24" s="26"/>
      <c r="N24" s="55"/>
      <c r="O24" s="28"/>
      <c r="P24" s="25"/>
      <c r="Q24" s="50" t="s">
        <v>140</v>
      </c>
      <c r="R24" s="25" t="s">
        <v>307</v>
      </c>
      <c r="S24" s="50"/>
      <c r="T24" s="65"/>
      <c r="U24" s="65"/>
      <c r="V24" s="65"/>
      <c r="W24" s="65"/>
      <c r="X24" s="65"/>
      <c r="Y24" s="65"/>
      <c r="Z24" s="65"/>
      <c r="AA24" s="65"/>
    </row>
    <row r="25" spans="1:27" ht="15.75" customHeight="1">
      <c r="A25" s="344"/>
      <c r="B25" s="344"/>
      <c r="C25" s="41">
        <v>11</v>
      </c>
      <c r="D25" s="344"/>
      <c r="E25" s="344"/>
      <c r="F25" s="344"/>
      <c r="G25" s="344"/>
      <c r="H25" s="23" t="s">
        <v>3546</v>
      </c>
      <c r="I25" s="23" t="s">
        <v>3547</v>
      </c>
      <c r="J25" s="170"/>
      <c r="K25" s="25" t="s">
        <v>294</v>
      </c>
      <c r="L25" s="57"/>
      <c r="M25" s="26"/>
      <c r="N25" s="55"/>
      <c r="O25" s="28"/>
      <c r="P25" s="25"/>
      <c r="Q25" s="50" t="s">
        <v>140</v>
      </c>
      <c r="R25" s="25" t="s">
        <v>307</v>
      </c>
      <c r="S25" s="50"/>
      <c r="T25" s="65"/>
      <c r="U25" s="65"/>
      <c r="V25" s="65"/>
      <c r="W25" s="65"/>
      <c r="X25" s="65"/>
      <c r="Y25" s="65"/>
      <c r="Z25" s="65"/>
      <c r="AA25" s="65"/>
    </row>
    <row r="26" spans="1:27" ht="15.75" customHeight="1">
      <c r="A26" s="344"/>
      <c r="B26" s="344"/>
      <c r="C26" s="41">
        <v>12</v>
      </c>
      <c r="D26" s="344"/>
      <c r="E26" s="344"/>
      <c r="F26" s="344"/>
      <c r="G26" s="344"/>
      <c r="H26" s="23" t="s">
        <v>3548</v>
      </c>
      <c r="I26" s="23" t="s">
        <v>3547</v>
      </c>
      <c r="J26" s="170"/>
      <c r="K26" s="25" t="s">
        <v>294</v>
      </c>
      <c r="L26" s="57"/>
      <c r="M26" s="26"/>
      <c r="N26" s="55"/>
      <c r="O26" s="28"/>
      <c r="P26" s="25"/>
      <c r="Q26" s="50" t="s">
        <v>140</v>
      </c>
      <c r="R26" s="25" t="s">
        <v>307</v>
      </c>
      <c r="S26" s="50"/>
      <c r="T26" s="65"/>
      <c r="U26" s="65"/>
      <c r="V26" s="65"/>
      <c r="W26" s="65"/>
      <c r="X26" s="65"/>
      <c r="Y26" s="65"/>
      <c r="Z26" s="65"/>
      <c r="AA26" s="65"/>
    </row>
    <row r="27" spans="1:27" ht="15.75" customHeight="1">
      <c r="A27" s="344"/>
      <c r="B27" s="344"/>
      <c r="C27" s="41">
        <v>13</v>
      </c>
      <c r="D27" s="344"/>
      <c r="E27" s="344"/>
      <c r="F27" s="344"/>
      <c r="G27" s="344"/>
      <c r="H27" s="23" t="s">
        <v>3549</v>
      </c>
      <c r="I27" s="23" t="s">
        <v>3547</v>
      </c>
      <c r="J27" s="170"/>
      <c r="K27" s="25" t="s">
        <v>294</v>
      </c>
      <c r="L27" s="57"/>
      <c r="M27" s="26"/>
      <c r="N27" s="55"/>
      <c r="O27" s="28"/>
      <c r="P27" s="25"/>
      <c r="Q27" s="50" t="s">
        <v>140</v>
      </c>
      <c r="R27" s="25" t="s">
        <v>307</v>
      </c>
      <c r="S27" s="50"/>
      <c r="T27" s="65"/>
      <c r="U27" s="65"/>
      <c r="V27" s="65"/>
      <c r="W27" s="65"/>
      <c r="X27" s="65"/>
      <c r="Y27" s="65"/>
      <c r="Z27" s="65"/>
      <c r="AA27" s="65"/>
    </row>
    <row r="28" spans="1:27" ht="15.75" customHeight="1">
      <c r="A28" s="344"/>
      <c r="B28" s="344"/>
      <c r="C28" s="41">
        <v>14</v>
      </c>
      <c r="D28" s="344"/>
      <c r="E28" s="345"/>
      <c r="F28" s="345"/>
      <c r="G28" s="345"/>
      <c r="H28" s="23" t="s">
        <v>3550</v>
      </c>
      <c r="I28" s="23" t="s">
        <v>3547</v>
      </c>
      <c r="J28" s="170"/>
      <c r="K28" s="25" t="s">
        <v>294</v>
      </c>
      <c r="L28" s="57"/>
      <c r="M28" s="26"/>
      <c r="N28" s="55"/>
      <c r="O28" s="28"/>
      <c r="P28" s="25"/>
      <c r="Q28" s="50" t="s">
        <v>140</v>
      </c>
      <c r="R28" s="25" t="s">
        <v>307</v>
      </c>
      <c r="S28" s="50"/>
      <c r="T28" s="65"/>
      <c r="U28" s="65"/>
      <c r="V28" s="65"/>
      <c r="W28" s="65"/>
      <c r="X28" s="65"/>
      <c r="Y28" s="65"/>
      <c r="Z28" s="65"/>
      <c r="AA28" s="65"/>
    </row>
    <row r="29" spans="1:27" ht="15.75" customHeight="1">
      <c r="A29" s="344"/>
      <c r="B29" s="344"/>
      <c r="C29" s="41">
        <v>15</v>
      </c>
      <c r="D29" s="344"/>
      <c r="E29" s="356" t="s">
        <v>3551</v>
      </c>
      <c r="F29" s="360" t="s">
        <v>326</v>
      </c>
      <c r="G29" s="360" t="s">
        <v>2234</v>
      </c>
      <c r="H29" s="356" t="s">
        <v>3552</v>
      </c>
      <c r="I29" s="23" t="s">
        <v>3553</v>
      </c>
      <c r="J29" s="170"/>
      <c r="K29" s="25" t="s">
        <v>294</v>
      </c>
      <c r="L29" s="57"/>
      <c r="M29" s="26"/>
      <c r="N29" s="55"/>
      <c r="O29" s="28"/>
      <c r="P29" s="25"/>
      <c r="Q29" s="50" t="s">
        <v>140</v>
      </c>
      <c r="R29" s="25" t="s">
        <v>307</v>
      </c>
      <c r="S29" s="50"/>
      <c r="T29" s="65"/>
      <c r="U29" s="65"/>
      <c r="V29" s="65"/>
      <c r="W29" s="65"/>
      <c r="X29" s="65"/>
      <c r="Y29" s="65"/>
      <c r="Z29" s="65"/>
      <c r="AA29" s="65"/>
    </row>
    <row r="30" spans="1:27" ht="15.75" customHeight="1">
      <c r="A30" s="344"/>
      <c r="B30" s="344"/>
      <c r="C30" s="41">
        <v>16</v>
      </c>
      <c r="D30" s="344"/>
      <c r="E30" s="345"/>
      <c r="F30" s="345"/>
      <c r="G30" s="345"/>
      <c r="H30" s="345"/>
      <c r="I30" s="23" t="s">
        <v>3554</v>
      </c>
      <c r="J30" s="170"/>
      <c r="K30" s="25" t="s">
        <v>294</v>
      </c>
      <c r="L30" s="57"/>
      <c r="M30" s="26"/>
      <c r="N30" s="55"/>
      <c r="O30" s="28"/>
      <c r="P30" s="25"/>
      <c r="Q30" s="50" t="s">
        <v>140</v>
      </c>
      <c r="R30" s="25" t="s">
        <v>307</v>
      </c>
      <c r="S30" s="50"/>
      <c r="T30" s="65"/>
      <c r="U30" s="65"/>
      <c r="V30" s="65"/>
      <c r="W30" s="65"/>
      <c r="X30" s="65"/>
      <c r="Y30" s="65"/>
      <c r="Z30" s="65"/>
      <c r="AA30" s="65"/>
    </row>
    <row r="31" spans="1:27" ht="15.75" customHeight="1">
      <c r="A31" s="344"/>
      <c r="B31" s="344"/>
      <c r="C31" s="41">
        <v>17</v>
      </c>
      <c r="D31" s="344"/>
      <c r="E31" s="23" t="s">
        <v>3555</v>
      </c>
      <c r="F31" s="31" t="s">
        <v>326</v>
      </c>
      <c r="G31" s="31" t="s">
        <v>327</v>
      </c>
      <c r="H31" s="23" t="s">
        <v>3556</v>
      </c>
      <c r="I31" s="23" t="s">
        <v>3557</v>
      </c>
      <c r="J31" s="170"/>
      <c r="K31" s="25"/>
      <c r="L31" s="57"/>
      <c r="M31" s="26"/>
      <c r="N31" s="55"/>
      <c r="O31" s="28"/>
      <c r="P31" s="25"/>
      <c r="Q31" s="50" t="s">
        <v>282</v>
      </c>
      <c r="R31" s="25" t="s">
        <v>307</v>
      </c>
      <c r="S31" s="50"/>
      <c r="T31" s="65"/>
      <c r="U31" s="65"/>
      <c r="V31" s="65"/>
      <c r="W31" s="65"/>
      <c r="X31" s="65"/>
      <c r="Y31" s="65"/>
      <c r="Z31" s="65"/>
      <c r="AA31" s="65"/>
    </row>
    <row r="32" spans="1:27" ht="15.75" customHeight="1">
      <c r="A32" s="344"/>
      <c r="B32" s="344"/>
      <c r="C32" s="41">
        <v>18</v>
      </c>
      <c r="D32" s="344"/>
      <c r="E32" s="23" t="s">
        <v>3558</v>
      </c>
      <c r="F32" s="31" t="s">
        <v>326</v>
      </c>
      <c r="G32" s="31" t="s">
        <v>327</v>
      </c>
      <c r="H32" s="23" t="s">
        <v>3556</v>
      </c>
      <c r="I32" s="23" t="s">
        <v>3557</v>
      </c>
      <c r="J32" s="170"/>
      <c r="K32" s="25"/>
      <c r="L32" s="57"/>
      <c r="M32" s="26"/>
      <c r="N32" s="55"/>
      <c r="O32" s="28"/>
      <c r="P32" s="25"/>
      <c r="Q32" s="50" t="s">
        <v>282</v>
      </c>
      <c r="R32" s="25" t="s">
        <v>307</v>
      </c>
      <c r="S32" s="50"/>
      <c r="T32" s="65"/>
      <c r="U32" s="65"/>
      <c r="V32" s="65"/>
      <c r="W32" s="65"/>
      <c r="X32" s="65"/>
      <c r="Y32" s="65"/>
      <c r="Z32" s="65"/>
      <c r="AA32" s="65"/>
    </row>
    <row r="33" spans="1:27" ht="15.75" customHeight="1">
      <c r="A33" s="345"/>
      <c r="B33" s="345"/>
      <c r="C33" s="41">
        <v>19</v>
      </c>
      <c r="D33" s="345"/>
      <c r="E33" s="23" t="s">
        <v>3559</v>
      </c>
      <c r="F33" s="31" t="s">
        <v>326</v>
      </c>
      <c r="G33" s="31" t="s">
        <v>327</v>
      </c>
      <c r="H33" s="23" t="s">
        <v>3556</v>
      </c>
      <c r="I33" s="23" t="s">
        <v>3557</v>
      </c>
      <c r="J33" s="170"/>
      <c r="K33" s="25"/>
      <c r="L33" s="57"/>
      <c r="M33" s="26"/>
      <c r="N33" s="55"/>
      <c r="O33" s="28"/>
      <c r="P33" s="25"/>
      <c r="Q33" s="50" t="s">
        <v>282</v>
      </c>
      <c r="R33" s="25" t="s">
        <v>307</v>
      </c>
      <c r="S33" s="50"/>
      <c r="T33" s="65"/>
      <c r="U33" s="65"/>
      <c r="V33" s="65"/>
      <c r="W33" s="65"/>
      <c r="X33" s="65"/>
      <c r="Y33" s="65"/>
      <c r="Z33" s="65"/>
      <c r="AA33" s="65"/>
    </row>
    <row r="34" spans="1:27" ht="66" customHeight="1">
      <c r="A34" s="356" t="s">
        <v>3560</v>
      </c>
      <c r="B34" s="360" t="s">
        <v>3561</v>
      </c>
      <c r="C34" s="41">
        <v>1</v>
      </c>
      <c r="D34" s="356" t="s">
        <v>3562</v>
      </c>
      <c r="E34" s="23" t="s">
        <v>3563</v>
      </c>
      <c r="F34" s="31" t="s">
        <v>326</v>
      </c>
      <c r="G34" s="31" t="s">
        <v>2234</v>
      </c>
      <c r="H34" s="23" t="s">
        <v>3564</v>
      </c>
      <c r="I34" s="23" t="s">
        <v>3512</v>
      </c>
      <c r="J34" s="170"/>
      <c r="K34" s="25" t="s">
        <v>294</v>
      </c>
      <c r="L34" s="57"/>
      <c r="M34" s="26"/>
      <c r="N34" s="55"/>
      <c r="O34" s="28" t="s">
        <v>140</v>
      </c>
      <c r="P34" s="50" t="s">
        <v>140</v>
      </c>
      <c r="Q34" s="50" t="s">
        <v>140</v>
      </c>
      <c r="R34" s="25" t="s">
        <v>307</v>
      </c>
      <c r="S34" s="50"/>
      <c r="T34" s="30"/>
      <c r="U34" s="30"/>
      <c r="V34" s="30"/>
      <c r="W34" s="30"/>
      <c r="X34" s="30"/>
      <c r="Y34" s="30"/>
      <c r="Z34" s="30"/>
      <c r="AA34" s="30"/>
    </row>
    <row r="35" spans="1:27" ht="15.75" customHeight="1">
      <c r="A35" s="344"/>
      <c r="B35" s="344"/>
      <c r="C35" s="41">
        <v>2</v>
      </c>
      <c r="D35" s="344"/>
      <c r="E35" s="23" t="s">
        <v>3565</v>
      </c>
      <c r="F35" s="31" t="s">
        <v>326</v>
      </c>
      <c r="G35" s="31" t="s">
        <v>2234</v>
      </c>
      <c r="H35" s="23" t="s">
        <v>3566</v>
      </c>
      <c r="I35" s="23" t="s">
        <v>3512</v>
      </c>
      <c r="J35" s="170"/>
      <c r="K35" s="25" t="s">
        <v>294</v>
      </c>
      <c r="L35" s="57"/>
      <c r="M35" s="26"/>
      <c r="N35" s="55"/>
      <c r="O35" s="28"/>
      <c r="P35" s="50" t="s">
        <v>140</v>
      </c>
      <c r="Q35" s="50" t="s">
        <v>140</v>
      </c>
      <c r="R35" s="25" t="s">
        <v>307</v>
      </c>
      <c r="S35" s="50"/>
      <c r="T35" s="30"/>
      <c r="U35" s="30"/>
      <c r="V35" s="30"/>
      <c r="W35" s="30"/>
      <c r="X35" s="30"/>
      <c r="Y35" s="30"/>
      <c r="Z35" s="30"/>
      <c r="AA35" s="30"/>
    </row>
    <row r="36" spans="1:27" ht="15.75" customHeight="1">
      <c r="A36" s="344"/>
      <c r="B36" s="344"/>
      <c r="C36" s="41">
        <v>3</v>
      </c>
      <c r="D36" s="344"/>
      <c r="E36" s="23" t="s">
        <v>3567</v>
      </c>
      <c r="F36" s="31" t="s">
        <v>326</v>
      </c>
      <c r="G36" s="31" t="s">
        <v>2234</v>
      </c>
      <c r="H36" s="23" t="s">
        <v>3568</v>
      </c>
      <c r="I36" s="23" t="s">
        <v>3512</v>
      </c>
      <c r="J36" s="170"/>
      <c r="K36" s="25" t="s">
        <v>294</v>
      </c>
      <c r="L36" s="57"/>
      <c r="M36" s="26"/>
      <c r="N36" s="55"/>
      <c r="O36" s="28"/>
      <c r="P36" s="25"/>
      <c r="Q36" s="50" t="s">
        <v>140</v>
      </c>
      <c r="R36" s="25" t="s">
        <v>307</v>
      </c>
      <c r="S36" s="50"/>
      <c r="T36" s="30"/>
      <c r="U36" s="30"/>
      <c r="V36" s="30"/>
      <c r="W36" s="30"/>
      <c r="X36" s="30"/>
      <c r="Y36" s="30"/>
      <c r="Z36" s="30"/>
      <c r="AA36" s="30"/>
    </row>
    <row r="37" spans="1:27" ht="15.75" customHeight="1">
      <c r="A37" s="344"/>
      <c r="B37" s="344"/>
      <c r="C37" s="41">
        <v>4</v>
      </c>
      <c r="D37" s="344"/>
      <c r="E37" s="23" t="s">
        <v>3569</v>
      </c>
      <c r="F37" s="31" t="s">
        <v>326</v>
      </c>
      <c r="G37" s="31" t="s">
        <v>2234</v>
      </c>
      <c r="H37" s="23" t="s">
        <v>3570</v>
      </c>
      <c r="I37" s="23" t="s">
        <v>3512</v>
      </c>
      <c r="J37" s="170"/>
      <c r="K37" s="25" t="s">
        <v>294</v>
      </c>
      <c r="L37" s="57"/>
      <c r="M37" s="26"/>
      <c r="N37" s="55"/>
      <c r="O37" s="28"/>
      <c r="P37" s="25"/>
      <c r="Q37" s="50" t="s">
        <v>140</v>
      </c>
      <c r="R37" s="25" t="s">
        <v>307</v>
      </c>
      <c r="S37" s="50"/>
      <c r="T37" s="30"/>
      <c r="U37" s="30"/>
      <c r="V37" s="30"/>
      <c r="W37" s="30"/>
      <c r="X37" s="30"/>
      <c r="Y37" s="30"/>
      <c r="Z37" s="30"/>
      <c r="AA37" s="30"/>
    </row>
    <row r="38" spans="1:27" ht="15.75" customHeight="1">
      <c r="A38" s="344"/>
      <c r="B38" s="344"/>
      <c r="C38" s="41">
        <v>5</v>
      </c>
      <c r="D38" s="344"/>
      <c r="E38" s="23" t="s">
        <v>3571</v>
      </c>
      <c r="F38" s="31" t="s">
        <v>326</v>
      </c>
      <c r="G38" s="31" t="s">
        <v>2234</v>
      </c>
      <c r="H38" s="23" t="s">
        <v>3572</v>
      </c>
      <c r="I38" s="23" t="s">
        <v>3512</v>
      </c>
      <c r="J38" s="170"/>
      <c r="K38" s="25" t="s">
        <v>294</v>
      </c>
      <c r="L38" s="57"/>
      <c r="M38" s="26"/>
      <c r="N38" s="55"/>
      <c r="O38" s="28"/>
      <c r="P38" s="25"/>
      <c r="Q38" s="50" t="s">
        <v>140</v>
      </c>
      <c r="R38" s="25" t="s">
        <v>307</v>
      </c>
      <c r="S38" s="50"/>
      <c r="T38" s="30"/>
      <c r="U38" s="30"/>
      <c r="V38" s="30"/>
      <c r="W38" s="30"/>
      <c r="X38" s="30"/>
      <c r="Y38" s="30"/>
      <c r="Z38" s="30"/>
      <c r="AA38" s="30"/>
    </row>
    <row r="39" spans="1:27" ht="15.75" customHeight="1">
      <c r="A39" s="344"/>
      <c r="B39" s="344"/>
      <c r="C39" s="41">
        <v>6</v>
      </c>
      <c r="D39" s="344"/>
      <c r="E39" s="23" t="s">
        <v>3573</v>
      </c>
      <c r="F39" s="31" t="s">
        <v>326</v>
      </c>
      <c r="G39" s="31" t="s">
        <v>2234</v>
      </c>
      <c r="H39" s="23" t="s">
        <v>3574</v>
      </c>
      <c r="I39" s="23" t="s">
        <v>3512</v>
      </c>
      <c r="J39" s="170"/>
      <c r="K39" s="25" t="s">
        <v>294</v>
      </c>
      <c r="L39" s="57"/>
      <c r="M39" s="26"/>
      <c r="N39" s="55"/>
      <c r="O39" s="28"/>
      <c r="P39" s="25"/>
      <c r="Q39" s="50" t="s">
        <v>140</v>
      </c>
      <c r="R39" s="25" t="s">
        <v>307</v>
      </c>
      <c r="S39" s="50"/>
      <c r="T39" s="30"/>
      <c r="U39" s="30"/>
      <c r="V39" s="30"/>
      <c r="W39" s="30"/>
      <c r="X39" s="30"/>
      <c r="Y39" s="30"/>
      <c r="Z39" s="30"/>
      <c r="AA39" s="30"/>
    </row>
    <row r="40" spans="1:27" ht="15.75" customHeight="1">
      <c r="A40" s="344"/>
      <c r="B40" s="344"/>
      <c r="C40" s="41">
        <v>7</v>
      </c>
      <c r="D40" s="344"/>
      <c r="E40" s="23" t="s">
        <v>3575</v>
      </c>
      <c r="F40" s="31" t="s">
        <v>326</v>
      </c>
      <c r="G40" s="31" t="s">
        <v>2234</v>
      </c>
      <c r="H40" s="23" t="s">
        <v>3576</v>
      </c>
      <c r="I40" s="23" t="s">
        <v>3512</v>
      </c>
      <c r="J40" s="170"/>
      <c r="K40" s="25" t="s">
        <v>294</v>
      </c>
      <c r="L40" s="57"/>
      <c r="M40" s="26"/>
      <c r="N40" s="55"/>
      <c r="O40" s="28"/>
      <c r="P40" s="25"/>
      <c r="Q40" s="50" t="s">
        <v>140</v>
      </c>
      <c r="R40" s="25" t="s">
        <v>307</v>
      </c>
      <c r="S40" s="50"/>
      <c r="T40" s="30"/>
      <c r="U40" s="30"/>
      <c r="V40" s="30"/>
      <c r="W40" s="30"/>
      <c r="X40" s="30"/>
      <c r="Y40" s="30"/>
      <c r="Z40" s="30"/>
      <c r="AA40" s="30"/>
    </row>
    <row r="41" spans="1:27" ht="15.75" customHeight="1">
      <c r="A41" s="344"/>
      <c r="B41" s="344"/>
      <c r="C41" s="41">
        <v>8</v>
      </c>
      <c r="D41" s="344"/>
      <c r="E41" s="23" t="s">
        <v>3577</v>
      </c>
      <c r="F41" s="31" t="s">
        <v>326</v>
      </c>
      <c r="G41" s="31" t="s">
        <v>2234</v>
      </c>
      <c r="H41" s="23" t="s">
        <v>3566</v>
      </c>
      <c r="I41" s="23" t="s">
        <v>3512</v>
      </c>
      <c r="J41" s="170"/>
      <c r="K41" s="25" t="s">
        <v>294</v>
      </c>
      <c r="L41" s="57"/>
      <c r="M41" s="26"/>
      <c r="N41" s="55"/>
      <c r="O41" s="28"/>
      <c r="P41" s="25"/>
      <c r="Q41" s="50" t="s">
        <v>140</v>
      </c>
      <c r="R41" s="25" t="s">
        <v>307</v>
      </c>
      <c r="S41" s="50"/>
      <c r="T41" s="30"/>
      <c r="U41" s="30"/>
      <c r="V41" s="30"/>
      <c r="W41" s="30"/>
      <c r="X41" s="30"/>
      <c r="Y41" s="30"/>
      <c r="Z41" s="30"/>
      <c r="AA41" s="30"/>
    </row>
    <row r="42" spans="1:27" ht="15.75" customHeight="1">
      <c r="A42" s="344"/>
      <c r="B42" s="344"/>
      <c r="C42" s="41">
        <v>9</v>
      </c>
      <c r="D42" s="344"/>
      <c r="E42" s="23" t="s">
        <v>3578</v>
      </c>
      <c r="F42" s="31" t="s">
        <v>326</v>
      </c>
      <c r="G42" s="31" t="s">
        <v>2234</v>
      </c>
      <c r="H42" s="23" t="s">
        <v>3579</v>
      </c>
      <c r="I42" s="23" t="s">
        <v>3580</v>
      </c>
      <c r="J42" s="170"/>
      <c r="K42" s="25" t="s">
        <v>294</v>
      </c>
      <c r="L42" s="57"/>
      <c r="M42" s="26"/>
      <c r="N42" s="55"/>
      <c r="O42" s="28"/>
      <c r="P42" s="25"/>
      <c r="Q42" s="50" t="s">
        <v>140</v>
      </c>
      <c r="R42" s="25" t="s">
        <v>307</v>
      </c>
      <c r="S42" s="50"/>
      <c r="T42" s="30"/>
      <c r="U42" s="30"/>
      <c r="V42" s="30"/>
      <c r="W42" s="30"/>
      <c r="X42" s="30"/>
      <c r="Y42" s="30"/>
      <c r="Z42" s="30"/>
      <c r="AA42" s="30"/>
    </row>
    <row r="43" spans="1:27" ht="15.75" customHeight="1">
      <c r="A43" s="344"/>
      <c r="B43" s="344"/>
      <c r="C43" s="41">
        <v>10</v>
      </c>
      <c r="D43" s="344"/>
      <c r="E43" s="23" t="s">
        <v>3581</v>
      </c>
      <c r="F43" s="31" t="s">
        <v>326</v>
      </c>
      <c r="G43" s="31" t="s">
        <v>2234</v>
      </c>
      <c r="H43" s="23" t="s">
        <v>3582</v>
      </c>
      <c r="I43" s="23" t="s">
        <v>3512</v>
      </c>
      <c r="J43" s="170"/>
      <c r="K43" s="25" t="s">
        <v>294</v>
      </c>
      <c r="L43" s="57"/>
      <c r="M43" s="26"/>
      <c r="N43" s="55"/>
      <c r="O43" s="28"/>
      <c r="P43" s="25"/>
      <c r="Q43" s="50" t="s">
        <v>140</v>
      </c>
      <c r="R43" s="25" t="s">
        <v>307</v>
      </c>
      <c r="S43" s="50"/>
      <c r="T43" s="30"/>
      <c r="U43" s="30"/>
      <c r="V43" s="30"/>
      <c r="W43" s="30"/>
      <c r="X43" s="30"/>
      <c r="Y43" s="30"/>
      <c r="Z43" s="30"/>
      <c r="AA43" s="30"/>
    </row>
    <row r="44" spans="1:27" ht="15.75" customHeight="1">
      <c r="A44" s="344"/>
      <c r="B44" s="344"/>
      <c r="C44" s="41">
        <v>11</v>
      </c>
      <c r="D44" s="344"/>
      <c r="E44" s="23" t="s">
        <v>3583</v>
      </c>
      <c r="F44" s="31" t="s">
        <v>326</v>
      </c>
      <c r="G44" s="31" t="s">
        <v>2234</v>
      </c>
      <c r="H44" s="23" t="s">
        <v>3584</v>
      </c>
      <c r="I44" s="23" t="s">
        <v>3580</v>
      </c>
      <c r="J44" s="170"/>
      <c r="K44" s="25" t="s">
        <v>294</v>
      </c>
      <c r="L44" s="57"/>
      <c r="M44" s="26"/>
      <c r="N44" s="55"/>
      <c r="O44" s="28"/>
      <c r="P44" s="50" t="s">
        <v>140</v>
      </c>
      <c r="Q44" s="50" t="s">
        <v>140</v>
      </c>
      <c r="R44" s="25" t="s">
        <v>307</v>
      </c>
      <c r="S44" s="50"/>
      <c r="T44" s="30"/>
      <c r="U44" s="30"/>
      <c r="V44" s="30"/>
      <c r="W44" s="30"/>
      <c r="X44" s="30"/>
      <c r="Y44" s="30"/>
      <c r="Z44" s="30"/>
      <c r="AA44" s="30"/>
    </row>
    <row r="45" spans="1:27" ht="15.75" customHeight="1">
      <c r="A45" s="344"/>
      <c r="B45" s="344"/>
      <c r="C45" s="41">
        <v>12</v>
      </c>
      <c r="D45" s="344"/>
      <c r="E45" s="23" t="s">
        <v>3585</v>
      </c>
      <c r="F45" s="31" t="s">
        <v>326</v>
      </c>
      <c r="G45" s="31" t="s">
        <v>2234</v>
      </c>
      <c r="H45" s="23" t="s">
        <v>3586</v>
      </c>
      <c r="I45" s="23" t="s">
        <v>3512</v>
      </c>
      <c r="J45" s="170"/>
      <c r="K45" s="25" t="s">
        <v>294</v>
      </c>
      <c r="L45" s="57"/>
      <c r="M45" s="26"/>
      <c r="N45" s="55"/>
      <c r="O45" s="28"/>
      <c r="P45" s="50" t="s">
        <v>140</v>
      </c>
      <c r="Q45" s="50" t="s">
        <v>140</v>
      </c>
      <c r="R45" s="25" t="s">
        <v>307</v>
      </c>
      <c r="S45" s="50"/>
      <c r="T45" s="30"/>
      <c r="U45" s="30"/>
      <c r="V45" s="30"/>
      <c r="W45" s="30"/>
      <c r="X45" s="30"/>
      <c r="Y45" s="30"/>
      <c r="Z45" s="30"/>
      <c r="AA45" s="30"/>
    </row>
    <row r="46" spans="1:27" ht="15.75" customHeight="1">
      <c r="A46" s="344"/>
      <c r="B46" s="344"/>
      <c r="C46" s="41">
        <v>13</v>
      </c>
      <c r="D46" s="344"/>
      <c r="E46" s="23" t="s">
        <v>3587</v>
      </c>
      <c r="F46" s="31" t="s">
        <v>326</v>
      </c>
      <c r="G46" s="31" t="s">
        <v>2234</v>
      </c>
      <c r="H46" s="23" t="s">
        <v>3588</v>
      </c>
      <c r="I46" s="23" t="s">
        <v>3580</v>
      </c>
      <c r="J46" s="170"/>
      <c r="K46" s="25" t="s">
        <v>294</v>
      </c>
      <c r="L46" s="57"/>
      <c r="M46" s="26"/>
      <c r="N46" s="55"/>
      <c r="O46" s="28"/>
      <c r="P46" s="25"/>
      <c r="Q46" s="50" t="s">
        <v>140</v>
      </c>
      <c r="R46" s="25" t="s">
        <v>307</v>
      </c>
      <c r="S46" s="50"/>
      <c r="T46" s="30"/>
      <c r="U46" s="30"/>
      <c r="V46" s="30"/>
      <c r="W46" s="30"/>
      <c r="X46" s="30"/>
      <c r="Y46" s="30"/>
      <c r="Z46" s="30"/>
      <c r="AA46" s="30"/>
    </row>
    <row r="47" spans="1:27" ht="15.75" customHeight="1">
      <c r="A47" s="344"/>
      <c r="B47" s="344"/>
      <c r="C47" s="41">
        <v>14</v>
      </c>
      <c r="D47" s="344"/>
      <c r="E47" s="23" t="s">
        <v>3589</v>
      </c>
      <c r="F47" s="31" t="s">
        <v>326</v>
      </c>
      <c r="G47" s="31" t="s">
        <v>2234</v>
      </c>
      <c r="H47" s="23" t="s">
        <v>3590</v>
      </c>
      <c r="I47" s="23" t="s">
        <v>3512</v>
      </c>
      <c r="J47" s="170"/>
      <c r="K47" s="25" t="s">
        <v>294</v>
      </c>
      <c r="L47" s="57"/>
      <c r="M47" s="26"/>
      <c r="N47" s="55"/>
      <c r="O47" s="28"/>
      <c r="P47" s="25"/>
      <c r="Q47" s="50" t="s">
        <v>140</v>
      </c>
      <c r="R47" s="25" t="s">
        <v>307</v>
      </c>
      <c r="S47" s="50"/>
      <c r="T47" s="30"/>
      <c r="U47" s="30"/>
      <c r="V47" s="30"/>
      <c r="W47" s="30"/>
      <c r="X47" s="30"/>
      <c r="Y47" s="30"/>
      <c r="Z47" s="30"/>
      <c r="AA47" s="30"/>
    </row>
    <row r="48" spans="1:27" ht="15.75" customHeight="1">
      <c r="A48" s="344"/>
      <c r="B48" s="344"/>
      <c r="C48" s="41">
        <v>15</v>
      </c>
      <c r="D48" s="344"/>
      <c r="E48" s="23" t="s">
        <v>3591</v>
      </c>
      <c r="F48" s="31" t="s">
        <v>326</v>
      </c>
      <c r="G48" s="31" t="s">
        <v>2234</v>
      </c>
      <c r="H48" s="23" t="s">
        <v>3592</v>
      </c>
      <c r="I48" s="23" t="s">
        <v>3580</v>
      </c>
      <c r="J48" s="170"/>
      <c r="K48" s="25" t="s">
        <v>294</v>
      </c>
      <c r="L48" s="57"/>
      <c r="M48" s="26"/>
      <c r="N48" s="55"/>
      <c r="O48" s="28"/>
      <c r="P48" s="25"/>
      <c r="Q48" s="50" t="s">
        <v>140</v>
      </c>
      <c r="R48" s="25" t="s">
        <v>307</v>
      </c>
      <c r="S48" s="50"/>
      <c r="T48" s="30"/>
      <c r="U48" s="30"/>
      <c r="V48" s="30"/>
      <c r="W48" s="30"/>
      <c r="X48" s="30"/>
      <c r="Y48" s="30"/>
      <c r="Z48" s="30"/>
      <c r="AA48" s="30"/>
    </row>
    <row r="49" spans="1:27" ht="15.75" customHeight="1">
      <c r="A49" s="369"/>
      <c r="B49" s="369"/>
      <c r="C49" s="41">
        <v>16</v>
      </c>
      <c r="D49" s="344"/>
      <c r="E49" s="23" t="s">
        <v>3593</v>
      </c>
      <c r="F49" s="31" t="s">
        <v>326</v>
      </c>
      <c r="G49" s="31" t="s">
        <v>2234</v>
      </c>
      <c r="H49" s="23" t="s">
        <v>3594</v>
      </c>
      <c r="I49" s="23" t="s">
        <v>3512</v>
      </c>
      <c r="J49" s="170"/>
      <c r="K49" s="25" t="s">
        <v>294</v>
      </c>
      <c r="L49" s="57"/>
      <c r="M49" s="26"/>
      <c r="N49" s="55"/>
      <c r="O49" s="28"/>
      <c r="P49" s="25"/>
      <c r="Q49" s="50" t="s">
        <v>140</v>
      </c>
      <c r="R49" s="25" t="s">
        <v>307</v>
      </c>
      <c r="S49" s="50"/>
      <c r="T49" s="30"/>
      <c r="U49" s="30"/>
      <c r="V49" s="30"/>
      <c r="W49" s="30"/>
      <c r="X49" s="30"/>
      <c r="Y49" s="30"/>
      <c r="Z49" s="30"/>
      <c r="AA49" s="30"/>
    </row>
    <row r="50" spans="1:27" ht="15.75" customHeight="1">
      <c r="A50" s="395" t="s">
        <v>3595</v>
      </c>
      <c r="B50" s="396" t="s">
        <v>3596</v>
      </c>
      <c r="C50" s="41">
        <v>1</v>
      </c>
      <c r="D50" s="394" t="s">
        <v>3597</v>
      </c>
      <c r="E50" s="23" t="s">
        <v>3598</v>
      </c>
      <c r="F50" s="31" t="s">
        <v>326</v>
      </c>
      <c r="G50" s="31" t="s">
        <v>2234</v>
      </c>
      <c r="H50" s="23" t="s">
        <v>3599</v>
      </c>
      <c r="I50" s="23" t="s">
        <v>3580</v>
      </c>
      <c r="J50" s="170"/>
      <c r="K50" s="25" t="s">
        <v>294</v>
      </c>
      <c r="L50" s="57"/>
      <c r="M50" s="26"/>
      <c r="N50" s="55"/>
      <c r="O50" s="28"/>
      <c r="P50" s="25"/>
      <c r="Q50" s="50" t="s">
        <v>140</v>
      </c>
      <c r="R50" s="25" t="s">
        <v>307</v>
      </c>
      <c r="S50" s="50"/>
      <c r="T50" s="30"/>
      <c r="U50" s="30"/>
      <c r="V50" s="30"/>
      <c r="W50" s="30"/>
      <c r="X50" s="30"/>
      <c r="Y50" s="30"/>
      <c r="Z50" s="30"/>
      <c r="AA50" s="30"/>
    </row>
    <row r="51" spans="1:27" ht="15.75" customHeight="1">
      <c r="A51" s="344"/>
      <c r="B51" s="344"/>
      <c r="C51" s="41">
        <v>2</v>
      </c>
      <c r="D51" s="344"/>
      <c r="E51" s="23" t="s">
        <v>3600</v>
      </c>
      <c r="F51" s="31" t="s">
        <v>326</v>
      </c>
      <c r="G51" s="31" t="s">
        <v>2234</v>
      </c>
      <c r="H51" s="23" t="s">
        <v>3601</v>
      </c>
      <c r="I51" s="23" t="s">
        <v>3512</v>
      </c>
      <c r="J51" s="170"/>
      <c r="K51" s="25" t="s">
        <v>294</v>
      </c>
      <c r="L51" s="57"/>
      <c r="M51" s="26"/>
      <c r="N51" s="55"/>
      <c r="O51" s="28"/>
      <c r="P51" s="25"/>
      <c r="Q51" s="50" t="s">
        <v>140</v>
      </c>
      <c r="R51" s="25" t="s">
        <v>307</v>
      </c>
      <c r="S51" s="50"/>
      <c r="T51" s="30"/>
      <c r="U51" s="30"/>
      <c r="V51" s="30"/>
      <c r="W51" s="30"/>
      <c r="X51" s="30"/>
      <c r="Y51" s="30"/>
      <c r="Z51" s="30"/>
      <c r="AA51" s="30"/>
    </row>
    <row r="52" spans="1:27" ht="15.75" customHeight="1">
      <c r="A52" s="344"/>
      <c r="B52" s="344"/>
      <c r="C52" s="41">
        <v>3</v>
      </c>
      <c r="D52" s="344"/>
      <c r="E52" s="23" t="s">
        <v>3602</v>
      </c>
      <c r="F52" s="31" t="s">
        <v>326</v>
      </c>
      <c r="G52" s="31" t="s">
        <v>2234</v>
      </c>
      <c r="H52" s="23" t="s">
        <v>3603</v>
      </c>
      <c r="I52" s="23" t="s">
        <v>3580</v>
      </c>
      <c r="J52" s="170"/>
      <c r="K52" s="25" t="s">
        <v>294</v>
      </c>
      <c r="L52" s="57"/>
      <c r="M52" s="26"/>
      <c r="N52" s="55"/>
      <c r="O52" s="28"/>
      <c r="P52" s="25"/>
      <c r="Q52" s="50" t="s">
        <v>140</v>
      </c>
      <c r="R52" s="25" t="s">
        <v>307</v>
      </c>
      <c r="S52" s="50"/>
      <c r="T52" s="30"/>
      <c r="U52" s="30"/>
      <c r="V52" s="30"/>
      <c r="W52" s="30"/>
      <c r="X52" s="30"/>
      <c r="Y52" s="30"/>
      <c r="Z52" s="30"/>
      <c r="AA52" s="30"/>
    </row>
    <row r="53" spans="1:27" ht="15.75" customHeight="1">
      <c r="A53" s="344"/>
      <c r="B53" s="344"/>
      <c r="C53" s="41">
        <v>4</v>
      </c>
      <c r="D53" s="344"/>
      <c r="E53" s="23" t="s">
        <v>3604</v>
      </c>
      <c r="F53" s="31" t="s">
        <v>326</v>
      </c>
      <c r="G53" s="31" t="s">
        <v>2234</v>
      </c>
      <c r="H53" s="23" t="s">
        <v>3605</v>
      </c>
      <c r="I53" s="23" t="s">
        <v>3512</v>
      </c>
      <c r="J53" s="170"/>
      <c r="K53" s="25" t="s">
        <v>294</v>
      </c>
      <c r="L53" s="57"/>
      <c r="M53" s="26"/>
      <c r="N53" s="55"/>
      <c r="O53" s="28"/>
      <c r="P53" s="25"/>
      <c r="Q53" s="50" t="s">
        <v>140</v>
      </c>
      <c r="R53" s="25" t="s">
        <v>307</v>
      </c>
      <c r="S53" s="50"/>
      <c r="T53" s="30"/>
      <c r="U53" s="30"/>
      <c r="V53" s="30"/>
      <c r="W53" s="30"/>
      <c r="X53" s="30"/>
      <c r="Y53" s="30"/>
      <c r="Z53" s="30"/>
      <c r="AA53" s="30"/>
    </row>
    <row r="54" spans="1:27" ht="15.75" customHeight="1">
      <c r="A54" s="344"/>
      <c r="B54" s="344"/>
      <c r="C54" s="41">
        <v>5</v>
      </c>
      <c r="D54" s="344"/>
      <c r="E54" s="23" t="s">
        <v>3606</v>
      </c>
      <c r="F54" s="31" t="s">
        <v>326</v>
      </c>
      <c r="G54" s="31" t="s">
        <v>2234</v>
      </c>
      <c r="H54" s="23" t="s">
        <v>3607</v>
      </c>
      <c r="I54" s="23" t="s">
        <v>3580</v>
      </c>
      <c r="J54" s="170"/>
      <c r="K54" s="25" t="s">
        <v>294</v>
      </c>
      <c r="L54" s="57"/>
      <c r="M54" s="26"/>
      <c r="N54" s="55"/>
      <c r="O54" s="28"/>
      <c r="P54" s="25"/>
      <c r="Q54" s="50" t="s">
        <v>140</v>
      </c>
      <c r="R54" s="25" t="s">
        <v>307</v>
      </c>
      <c r="S54" s="50"/>
      <c r="T54" s="30"/>
      <c r="U54" s="30"/>
      <c r="V54" s="30"/>
      <c r="W54" s="30"/>
      <c r="X54" s="30"/>
      <c r="Y54" s="30"/>
      <c r="Z54" s="30"/>
      <c r="AA54" s="30"/>
    </row>
    <row r="55" spans="1:27" ht="15.75" customHeight="1">
      <c r="A55" s="344"/>
      <c r="B55" s="344"/>
      <c r="C55" s="41">
        <v>6</v>
      </c>
      <c r="D55" s="344"/>
      <c r="E55" s="23" t="s">
        <v>3608</v>
      </c>
      <c r="F55" s="31" t="s">
        <v>326</v>
      </c>
      <c r="G55" s="31" t="s">
        <v>2234</v>
      </c>
      <c r="H55" s="23" t="s">
        <v>3609</v>
      </c>
      <c r="I55" s="23" t="s">
        <v>3512</v>
      </c>
      <c r="J55" s="170"/>
      <c r="K55" s="25" t="s">
        <v>294</v>
      </c>
      <c r="L55" s="57"/>
      <c r="M55" s="26"/>
      <c r="N55" s="55"/>
      <c r="O55" s="28"/>
      <c r="P55" s="25"/>
      <c r="Q55" s="50" t="s">
        <v>140</v>
      </c>
      <c r="R55" s="25" t="s">
        <v>307</v>
      </c>
      <c r="S55" s="50"/>
      <c r="T55" s="30"/>
      <c r="U55" s="30"/>
      <c r="V55" s="30"/>
      <c r="W55" s="30"/>
      <c r="X55" s="30"/>
      <c r="Y55" s="30"/>
      <c r="Z55" s="30"/>
      <c r="AA55" s="30"/>
    </row>
    <row r="56" spans="1:27" ht="15.75" customHeight="1">
      <c r="A56" s="344"/>
      <c r="B56" s="344"/>
      <c r="C56" s="41">
        <v>7</v>
      </c>
      <c r="D56" s="344"/>
      <c r="E56" s="23" t="s">
        <v>3610</v>
      </c>
      <c r="F56" s="31" t="s">
        <v>326</v>
      </c>
      <c r="G56" s="31" t="s">
        <v>2234</v>
      </c>
      <c r="H56" s="23" t="s">
        <v>3611</v>
      </c>
      <c r="I56" s="23" t="s">
        <v>3580</v>
      </c>
      <c r="J56" s="170"/>
      <c r="K56" s="25" t="s">
        <v>294</v>
      </c>
      <c r="L56" s="57"/>
      <c r="M56" s="26"/>
      <c r="N56" s="55"/>
      <c r="O56" s="28"/>
      <c r="P56" s="25"/>
      <c r="Q56" s="50" t="s">
        <v>140</v>
      </c>
      <c r="R56" s="25" t="s">
        <v>307</v>
      </c>
      <c r="S56" s="50"/>
      <c r="T56" s="30"/>
      <c r="U56" s="30"/>
      <c r="V56" s="30"/>
      <c r="W56" s="30"/>
      <c r="X56" s="30"/>
      <c r="Y56" s="30"/>
      <c r="Z56" s="30"/>
      <c r="AA56" s="30"/>
    </row>
    <row r="57" spans="1:27" ht="15.75" customHeight="1">
      <c r="A57" s="344"/>
      <c r="B57" s="344"/>
      <c r="C57" s="41">
        <v>8</v>
      </c>
      <c r="D57" s="344"/>
      <c r="E57" s="23" t="s">
        <v>3612</v>
      </c>
      <c r="F57" s="31" t="s">
        <v>326</v>
      </c>
      <c r="G57" s="31" t="s">
        <v>2234</v>
      </c>
      <c r="H57" s="23" t="s">
        <v>3613</v>
      </c>
      <c r="I57" s="23" t="s">
        <v>3512</v>
      </c>
      <c r="J57" s="170"/>
      <c r="K57" s="25" t="s">
        <v>294</v>
      </c>
      <c r="L57" s="57"/>
      <c r="M57" s="26"/>
      <c r="N57" s="55"/>
      <c r="O57" s="28"/>
      <c r="P57" s="25"/>
      <c r="Q57" s="50" t="s">
        <v>140</v>
      </c>
      <c r="R57" s="25" t="s">
        <v>307</v>
      </c>
      <c r="S57" s="50"/>
      <c r="T57" s="30"/>
      <c r="U57" s="30"/>
      <c r="V57" s="30"/>
      <c r="W57" s="30"/>
      <c r="X57" s="30"/>
      <c r="Y57" s="30"/>
      <c r="Z57" s="30"/>
      <c r="AA57" s="30"/>
    </row>
    <row r="58" spans="1:27" ht="15.75" customHeight="1">
      <c r="A58" s="344"/>
      <c r="B58" s="344"/>
      <c r="C58" s="41">
        <v>9</v>
      </c>
      <c r="D58" s="344"/>
      <c r="E58" s="23" t="s">
        <v>3614</v>
      </c>
      <c r="F58" s="31" t="s">
        <v>326</v>
      </c>
      <c r="G58" s="31" t="s">
        <v>2234</v>
      </c>
      <c r="H58" s="23" t="s">
        <v>3615</v>
      </c>
      <c r="I58" s="23" t="s">
        <v>3580</v>
      </c>
      <c r="J58" s="170"/>
      <c r="K58" s="25" t="s">
        <v>294</v>
      </c>
      <c r="L58" s="57"/>
      <c r="M58" s="26"/>
      <c r="N58" s="55"/>
      <c r="O58" s="28"/>
      <c r="P58" s="25"/>
      <c r="Q58" s="50" t="s">
        <v>140</v>
      </c>
      <c r="R58" s="25" t="s">
        <v>307</v>
      </c>
      <c r="S58" s="50"/>
      <c r="T58" s="30"/>
      <c r="U58" s="30"/>
      <c r="V58" s="30"/>
      <c r="W58" s="30"/>
      <c r="X58" s="30"/>
      <c r="Y58" s="30"/>
      <c r="Z58" s="30"/>
      <c r="AA58" s="30"/>
    </row>
    <row r="59" spans="1:27" ht="15.75" customHeight="1">
      <c r="A59" s="344"/>
      <c r="B59" s="344"/>
      <c r="C59" s="41">
        <v>10</v>
      </c>
      <c r="D59" s="344"/>
      <c r="E59" s="23" t="s">
        <v>3616</v>
      </c>
      <c r="F59" s="31" t="s">
        <v>326</v>
      </c>
      <c r="G59" s="31" t="s">
        <v>2234</v>
      </c>
      <c r="H59" s="23" t="s">
        <v>3617</v>
      </c>
      <c r="I59" s="23" t="s">
        <v>3512</v>
      </c>
      <c r="J59" s="170"/>
      <c r="K59" s="25" t="s">
        <v>294</v>
      </c>
      <c r="L59" s="57"/>
      <c r="M59" s="26"/>
      <c r="N59" s="55"/>
      <c r="O59" s="28"/>
      <c r="P59" s="25"/>
      <c r="Q59" s="50" t="s">
        <v>140</v>
      </c>
      <c r="R59" s="25" t="s">
        <v>307</v>
      </c>
      <c r="S59" s="50"/>
      <c r="T59" s="30"/>
      <c r="U59" s="30"/>
      <c r="V59" s="30"/>
      <c r="W59" s="30"/>
      <c r="X59" s="30"/>
      <c r="Y59" s="30"/>
      <c r="Z59" s="30"/>
      <c r="AA59" s="30"/>
    </row>
    <row r="60" spans="1:27" ht="15.75" customHeight="1">
      <c r="A60" s="344"/>
      <c r="B60" s="344"/>
      <c r="C60" s="41">
        <v>11</v>
      </c>
      <c r="D60" s="344"/>
      <c r="E60" s="23" t="s">
        <v>3618</v>
      </c>
      <c r="F60" s="31" t="s">
        <v>326</v>
      </c>
      <c r="G60" s="31" t="s">
        <v>2234</v>
      </c>
      <c r="H60" s="23" t="s">
        <v>3619</v>
      </c>
      <c r="I60" s="23" t="s">
        <v>3580</v>
      </c>
      <c r="J60" s="170"/>
      <c r="K60" s="25" t="s">
        <v>294</v>
      </c>
      <c r="L60" s="57"/>
      <c r="M60" s="26"/>
      <c r="N60" s="55"/>
      <c r="O60" s="28"/>
      <c r="P60" s="25"/>
      <c r="Q60" s="50" t="s">
        <v>140</v>
      </c>
      <c r="R60" s="25" t="s">
        <v>307</v>
      </c>
      <c r="S60" s="50"/>
      <c r="T60" s="30"/>
      <c r="U60" s="30"/>
      <c r="V60" s="30"/>
      <c r="W60" s="30"/>
      <c r="X60" s="30"/>
      <c r="Y60" s="30"/>
      <c r="Z60" s="30"/>
      <c r="AA60" s="30"/>
    </row>
    <row r="61" spans="1:27" ht="15.75" customHeight="1">
      <c r="A61" s="344"/>
      <c r="B61" s="344"/>
      <c r="C61" s="41">
        <v>12</v>
      </c>
      <c r="D61" s="344"/>
      <c r="E61" s="23" t="s">
        <v>3620</v>
      </c>
      <c r="F61" s="31" t="s">
        <v>326</v>
      </c>
      <c r="G61" s="31" t="s">
        <v>2234</v>
      </c>
      <c r="H61" s="23" t="s">
        <v>3621</v>
      </c>
      <c r="I61" s="23" t="s">
        <v>3512</v>
      </c>
      <c r="J61" s="170"/>
      <c r="K61" s="25" t="s">
        <v>294</v>
      </c>
      <c r="L61" s="57"/>
      <c r="M61" s="26"/>
      <c r="N61" s="55"/>
      <c r="O61" s="28"/>
      <c r="P61" s="25"/>
      <c r="Q61" s="50" t="s">
        <v>140</v>
      </c>
      <c r="R61" s="25" t="s">
        <v>307</v>
      </c>
      <c r="S61" s="50"/>
      <c r="T61" s="30"/>
      <c r="U61" s="30"/>
      <c r="V61" s="30"/>
      <c r="W61" s="30"/>
      <c r="X61" s="30"/>
      <c r="Y61" s="30"/>
      <c r="Z61" s="30"/>
      <c r="AA61" s="30"/>
    </row>
    <row r="62" spans="1:27" ht="15.75" customHeight="1">
      <c r="A62" s="344"/>
      <c r="B62" s="344"/>
      <c r="C62" s="41">
        <v>13</v>
      </c>
      <c r="D62" s="344"/>
      <c r="E62" s="23" t="s">
        <v>3622</v>
      </c>
      <c r="F62" s="31" t="s">
        <v>326</v>
      </c>
      <c r="G62" s="31" t="s">
        <v>2234</v>
      </c>
      <c r="H62" s="23" t="s">
        <v>3623</v>
      </c>
      <c r="I62" s="23" t="s">
        <v>3580</v>
      </c>
      <c r="J62" s="170"/>
      <c r="K62" s="25" t="s">
        <v>294</v>
      </c>
      <c r="L62" s="57"/>
      <c r="M62" s="26"/>
      <c r="N62" s="55"/>
      <c r="O62" s="28"/>
      <c r="P62" s="25"/>
      <c r="Q62" s="50" t="s">
        <v>140</v>
      </c>
      <c r="R62" s="25" t="s">
        <v>307</v>
      </c>
      <c r="S62" s="50"/>
      <c r="T62" s="30"/>
      <c r="U62" s="30"/>
      <c r="V62" s="30"/>
      <c r="W62" s="30"/>
      <c r="X62" s="30"/>
      <c r="Y62" s="30"/>
      <c r="Z62" s="30"/>
      <c r="AA62" s="30"/>
    </row>
    <row r="63" spans="1:27" ht="15.75" customHeight="1">
      <c r="A63" s="344"/>
      <c r="B63" s="344"/>
      <c r="C63" s="41">
        <v>14</v>
      </c>
      <c r="D63" s="344"/>
      <c r="E63" s="23" t="s">
        <v>3624</v>
      </c>
      <c r="F63" s="31" t="s">
        <v>326</v>
      </c>
      <c r="G63" s="31" t="s">
        <v>2234</v>
      </c>
      <c r="H63" s="23" t="s">
        <v>3625</v>
      </c>
      <c r="I63" s="23" t="s">
        <v>3512</v>
      </c>
      <c r="J63" s="170"/>
      <c r="K63" s="25" t="s">
        <v>294</v>
      </c>
      <c r="L63" s="57"/>
      <c r="M63" s="26"/>
      <c r="N63" s="55"/>
      <c r="O63" s="28"/>
      <c r="P63" s="25"/>
      <c r="Q63" s="50" t="s">
        <v>140</v>
      </c>
      <c r="R63" s="25" t="s">
        <v>307</v>
      </c>
      <c r="S63" s="50"/>
      <c r="T63" s="30"/>
      <c r="U63" s="30"/>
      <c r="V63" s="30"/>
      <c r="W63" s="30"/>
      <c r="X63" s="30"/>
      <c r="Y63" s="30"/>
      <c r="Z63" s="30"/>
      <c r="AA63" s="30"/>
    </row>
    <row r="64" spans="1:27" ht="15.75" customHeight="1">
      <c r="A64" s="344"/>
      <c r="B64" s="344"/>
      <c r="C64" s="41">
        <v>15</v>
      </c>
      <c r="D64" s="344"/>
      <c r="E64" s="23" t="s">
        <v>3626</v>
      </c>
      <c r="F64" s="31" t="s">
        <v>326</v>
      </c>
      <c r="G64" s="31" t="s">
        <v>2234</v>
      </c>
      <c r="H64" s="23" t="s">
        <v>3627</v>
      </c>
      <c r="I64" s="23" t="s">
        <v>3580</v>
      </c>
      <c r="J64" s="170"/>
      <c r="K64" s="25" t="s">
        <v>294</v>
      </c>
      <c r="L64" s="57"/>
      <c r="M64" s="26"/>
      <c r="N64" s="55"/>
      <c r="O64" s="28"/>
      <c r="P64" s="25"/>
      <c r="Q64" s="50" t="s">
        <v>140</v>
      </c>
      <c r="R64" s="25" t="s">
        <v>307</v>
      </c>
      <c r="S64" s="50"/>
      <c r="T64" s="30"/>
      <c r="U64" s="30"/>
      <c r="V64" s="30"/>
      <c r="W64" s="30"/>
      <c r="X64" s="30"/>
      <c r="Y64" s="30"/>
      <c r="Z64" s="30"/>
      <c r="AA64" s="30"/>
    </row>
    <row r="65" spans="1:27" ht="15.75" customHeight="1">
      <c r="A65" s="345"/>
      <c r="B65" s="345"/>
      <c r="C65" s="41">
        <v>16</v>
      </c>
      <c r="D65" s="345"/>
      <c r="E65" s="23" t="s">
        <v>3628</v>
      </c>
      <c r="F65" s="31" t="s">
        <v>326</v>
      </c>
      <c r="G65" s="31" t="s">
        <v>2234</v>
      </c>
      <c r="H65" s="23" t="s">
        <v>3629</v>
      </c>
      <c r="I65" s="23" t="s">
        <v>3512</v>
      </c>
      <c r="J65" s="170"/>
      <c r="K65" s="25" t="s">
        <v>294</v>
      </c>
      <c r="L65" s="57"/>
      <c r="M65" s="26"/>
      <c r="N65" s="55"/>
      <c r="O65" s="28"/>
      <c r="P65" s="25"/>
      <c r="Q65" s="50" t="s">
        <v>140</v>
      </c>
      <c r="R65" s="25" t="s">
        <v>307</v>
      </c>
      <c r="S65" s="50"/>
      <c r="T65" s="30"/>
      <c r="U65" s="30"/>
      <c r="V65" s="30"/>
      <c r="W65" s="30"/>
      <c r="X65" s="30"/>
      <c r="Y65" s="30"/>
      <c r="Z65" s="30"/>
      <c r="AA65" s="30"/>
    </row>
    <row r="66" spans="1:27" ht="15.75" customHeight="1">
      <c r="A66" s="356" t="s">
        <v>3630</v>
      </c>
      <c r="B66" s="360" t="s">
        <v>3631</v>
      </c>
      <c r="C66" s="41">
        <v>1</v>
      </c>
      <c r="D66" s="356" t="s">
        <v>3632</v>
      </c>
      <c r="E66" s="23" t="s">
        <v>3633</v>
      </c>
      <c r="F66" s="31" t="s">
        <v>326</v>
      </c>
      <c r="G66" s="31" t="s">
        <v>2234</v>
      </c>
      <c r="H66" s="23" t="s">
        <v>3634</v>
      </c>
      <c r="I66" s="23" t="s">
        <v>3512</v>
      </c>
      <c r="J66" s="170"/>
      <c r="K66" s="25" t="s">
        <v>294</v>
      </c>
      <c r="L66" s="57"/>
      <c r="M66" s="26"/>
      <c r="N66" s="55"/>
      <c r="O66" s="28"/>
      <c r="P66" s="25"/>
      <c r="Q66" s="50" t="s">
        <v>140</v>
      </c>
      <c r="R66" s="25" t="s">
        <v>307</v>
      </c>
      <c r="S66" s="50"/>
      <c r="T66" s="30"/>
      <c r="U66" s="30"/>
      <c r="V66" s="30"/>
      <c r="W66" s="30"/>
      <c r="X66" s="30"/>
      <c r="Y66" s="30"/>
      <c r="Z66" s="30"/>
      <c r="AA66" s="30"/>
    </row>
    <row r="67" spans="1:27" ht="15.75" customHeight="1">
      <c r="A67" s="344"/>
      <c r="B67" s="344"/>
      <c r="C67" s="41">
        <v>2</v>
      </c>
      <c r="D67" s="344"/>
      <c r="E67" s="23" t="s">
        <v>3635</v>
      </c>
      <c r="F67" s="31" t="s">
        <v>326</v>
      </c>
      <c r="G67" s="31" t="s">
        <v>2234</v>
      </c>
      <c r="H67" s="23" t="s">
        <v>3636</v>
      </c>
      <c r="I67" s="23" t="s">
        <v>3512</v>
      </c>
      <c r="J67" s="170"/>
      <c r="K67" s="25" t="s">
        <v>294</v>
      </c>
      <c r="L67" s="57"/>
      <c r="M67" s="26"/>
      <c r="N67" s="55"/>
      <c r="O67" s="28"/>
      <c r="P67" s="25"/>
      <c r="Q67" s="50" t="s">
        <v>140</v>
      </c>
      <c r="R67" s="25" t="s">
        <v>307</v>
      </c>
      <c r="S67" s="50"/>
      <c r="T67" s="30"/>
      <c r="U67" s="30"/>
      <c r="V67" s="30"/>
      <c r="W67" s="30"/>
      <c r="X67" s="30"/>
      <c r="Y67" s="30"/>
      <c r="Z67" s="30"/>
      <c r="AA67" s="30"/>
    </row>
    <row r="68" spans="1:27" ht="15.75" customHeight="1">
      <c r="A68" s="344"/>
      <c r="B68" s="344"/>
      <c r="C68" s="41">
        <v>3</v>
      </c>
      <c r="D68" s="344"/>
      <c r="E68" s="23" t="s">
        <v>3637</v>
      </c>
      <c r="F68" s="31" t="s">
        <v>326</v>
      </c>
      <c r="G68" s="31" t="s">
        <v>2234</v>
      </c>
      <c r="H68" s="23" t="s">
        <v>3638</v>
      </c>
      <c r="I68" s="23" t="s">
        <v>3512</v>
      </c>
      <c r="J68" s="170"/>
      <c r="K68" s="25" t="s">
        <v>294</v>
      </c>
      <c r="L68" s="57"/>
      <c r="M68" s="26"/>
      <c r="N68" s="55"/>
      <c r="O68" s="28"/>
      <c r="P68" s="25"/>
      <c r="Q68" s="50" t="s">
        <v>140</v>
      </c>
      <c r="R68" s="25" t="s">
        <v>307</v>
      </c>
      <c r="S68" s="50"/>
      <c r="T68" s="30"/>
      <c r="U68" s="30"/>
      <c r="V68" s="30"/>
      <c r="W68" s="30"/>
      <c r="X68" s="30"/>
      <c r="Y68" s="30"/>
      <c r="Z68" s="30"/>
      <c r="AA68" s="30"/>
    </row>
    <row r="69" spans="1:27" ht="15.75" customHeight="1">
      <c r="A69" s="344"/>
      <c r="B69" s="344"/>
      <c r="C69" s="41">
        <v>4</v>
      </c>
      <c r="D69" s="344"/>
      <c r="E69" s="23" t="s">
        <v>3639</v>
      </c>
      <c r="F69" s="31" t="s">
        <v>326</v>
      </c>
      <c r="G69" s="31" t="s">
        <v>2234</v>
      </c>
      <c r="H69" s="23" t="s">
        <v>3640</v>
      </c>
      <c r="I69" s="23" t="s">
        <v>3512</v>
      </c>
      <c r="J69" s="170"/>
      <c r="K69" s="25" t="s">
        <v>294</v>
      </c>
      <c r="L69" s="57"/>
      <c r="M69" s="26"/>
      <c r="N69" s="55"/>
      <c r="O69" s="28"/>
      <c r="P69" s="25"/>
      <c r="Q69" s="50" t="s">
        <v>140</v>
      </c>
      <c r="R69" s="25" t="s">
        <v>307</v>
      </c>
      <c r="S69" s="50"/>
      <c r="T69" s="30"/>
      <c r="U69" s="30"/>
      <c r="V69" s="30"/>
      <c r="W69" s="30"/>
      <c r="X69" s="30"/>
      <c r="Y69" s="30"/>
      <c r="Z69" s="30"/>
      <c r="AA69" s="30"/>
    </row>
    <row r="70" spans="1:27" ht="15.75" customHeight="1">
      <c r="A70" s="344"/>
      <c r="B70" s="344"/>
      <c r="C70" s="41">
        <v>5</v>
      </c>
      <c r="D70" s="344"/>
      <c r="E70" s="23" t="s">
        <v>3641</v>
      </c>
      <c r="F70" s="31" t="s">
        <v>326</v>
      </c>
      <c r="G70" s="31" t="s">
        <v>2234</v>
      </c>
      <c r="H70" s="23" t="s">
        <v>3642</v>
      </c>
      <c r="I70" s="23" t="s">
        <v>3512</v>
      </c>
      <c r="J70" s="170"/>
      <c r="K70" s="25" t="s">
        <v>294</v>
      </c>
      <c r="L70" s="57"/>
      <c r="M70" s="26"/>
      <c r="N70" s="55"/>
      <c r="O70" s="28"/>
      <c r="P70" s="25"/>
      <c r="Q70" s="50" t="s">
        <v>140</v>
      </c>
      <c r="R70" s="25" t="s">
        <v>307</v>
      </c>
      <c r="S70" s="50"/>
      <c r="T70" s="30"/>
      <c r="U70" s="30"/>
      <c r="V70" s="30"/>
      <c r="W70" s="30"/>
      <c r="X70" s="30"/>
      <c r="Y70" s="30"/>
      <c r="Z70" s="30"/>
      <c r="AA70" s="30"/>
    </row>
    <row r="71" spans="1:27" ht="15.75" customHeight="1">
      <c r="A71" s="345"/>
      <c r="B71" s="345"/>
      <c r="C71" s="41">
        <v>6</v>
      </c>
      <c r="D71" s="345"/>
      <c r="E71" s="23" t="s">
        <v>3643</v>
      </c>
      <c r="F71" s="31" t="s">
        <v>326</v>
      </c>
      <c r="G71" s="31" t="s">
        <v>2234</v>
      </c>
      <c r="H71" s="23" t="s">
        <v>3644</v>
      </c>
      <c r="I71" s="23" t="s">
        <v>3580</v>
      </c>
      <c r="J71" s="170"/>
      <c r="K71" s="25" t="s">
        <v>294</v>
      </c>
      <c r="L71" s="57"/>
      <c r="M71" s="26"/>
      <c r="N71" s="55"/>
      <c r="O71" s="28"/>
      <c r="P71" s="25"/>
      <c r="Q71" s="50" t="s">
        <v>140</v>
      </c>
      <c r="R71" s="25" t="s">
        <v>307</v>
      </c>
      <c r="S71" s="50"/>
      <c r="T71" s="30"/>
      <c r="U71" s="30"/>
      <c r="V71" s="30"/>
      <c r="W71" s="30"/>
      <c r="X71" s="30"/>
      <c r="Y71" s="30"/>
      <c r="Z71" s="30"/>
      <c r="AA71" s="30"/>
    </row>
    <row r="72" spans="1:27" ht="15.75" customHeight="1">
      <c r="A72" s="356" t="s">
        <v>3645</v>
      </c>
      <c r="B72" s="360" t="s">
        <v>3646</v>
      </c>
      <c r="C72" s="41">
        <v>1</v>
      </c>
      <c r="D72" s="356" t="s">
        <v>3647</v>
      </c>
      <c r="E72" s="356" t="s">
        <v>3648</v>
      </c>
      <c r="F72" s="360" t="s">
        <v>326</v>
      </c>
      <c r="G72" s="31" t="s">
        <v>2234</v>
      </c>
      <c r="H72" s="356" t="s">
        <v>3649</v>
      </c>
      <c r="I72" s="23" t="s">
        <v>3650</v>
      </c>
      <c r="J72" s="170"/>
      <c r="K72" s="25" t="s">
        <v>294</v>
      </c>
      <c r="L72" s="57"/>
      <c r="M72" s="26"/>
      <c r="N72" s="55"/>
      <c r="O72" s="28"/>
      <c r="P72" s="25"/>
      <c r="Q72" s="50" t="s">
        <v>140</v>
      </c>
      <c r="R72" s="25" t="s">
        <v>307</v>
      </c>
      <c r="S72" s="50"/>
      <c r="T72" s="65"/>
      <c r="U72" s="65"/>
      <c r="V72" s="65"/>
      <c r="W72" s="65"/>
      <c r="X72" s="65"/>
      <c r="Y72" s="65"/>
      <c r="Z72" s="65"/>
      <c r="AA72" s="65"/>
    </row>
    <row r="73" spans="1:27" ht="15.75" customHeight="1">
      <c r="A73" s="344"/>
      <c r="B73" s="344"/>
      <c r="C73" s="41">
        <v>2</v>
      </c>
      <c r="D73" s="344"/>
      <c r="E73" s="344"/>
      <c r="F73" s="345"/>
      <c r="G73" s="31"/>
      <c r="H73" s="345"/>
      <c r="I73" s="23" t="s">
        <v>3651</v>
      </c>
      <c r="J73" s="170"/>
      <c r="K73" s="25" t="s">
        <v>294</v>
      </c>
      <c r="L73" s="57"/>
      <c r="M73" s="26"/>
      <c r="N73" s="55"/>
      <c r="O73" s="28"/>
      <c r="P73" s="25"/>
      <c r="Q73" s="50" t="s">
        <v>140</v>
      </c>
      <c r="R73" s="25" t="s">
        <v>307</v>
      </c>
      <c r="S73" s="50"/>
      <c r="T73" s="65"/>
      <c r="U73" s="65"/>
      <c r="V73" s="65"/>
      <c r="W73" s="65"/>
      <c r="X73" s="65"/>
      <c r="Y73" s="65"/>
      <c r="Z73" s="65"/>
      <c r="AA73" s="65"/>
    </row>
    <row r="74" spans="1:27" ht="15.75" customHeight="1">
      <c r="A74" s="344"/>
      <c r="B74" s="344"/>
      <c r="C74" s="41">
        <v>3</v>
      </c>
      <c r="D74" s="344"/>
      <c r="E74" s="344"/>
      <c r="F74" s="31" t="s">
        <v>326</v>
      </c>
      <c r="G74" s="31" t="s">
        <v>2234</v>
      </c>
      <c r="H74" s="23" t="s">
        <v>3652</v>
      </c>
      <c r="I74" s="23" t="s">
        <v>3653</v>
      </c>
      <c r="J74" s="170"/>
      <c r="K74" s="25" t="s">
        <v>294</v>
      </c>
      <c r="L74" s="57"/>
      <c r="M74" s="26"/>
      <c r="N74" s="55"/>
      <c r="O74" s="28"/>
      <c r="P74" s="25"/>
      <c r="Q74" s="50" t="s">
        <v>140</v>
      </c>
      <c r="R74" s="25" t="s">
        <v>307</v>
      </c>
      <c r="S74" s="50"/>
      <c r="T74" s="65"/>
      <c r="U74" s="65"/>
      <c r="V74" s="65"/>
      <c r="W74" s="65"/>
      <c r="X74" s="65"/>
      <c r="Y74" s="65"/>
      <c r="Z74" s="65"/>
      <c r="AA74" s="65"/>
    </row>
    <row r="75" spans="1:27" ht="15.75" customHeight="1">
      <c r="A75" s="344"/>
      <c r="B75" s="344"/>
      <c r="C75" s="41">
        <v>4</v>
      </c>
      <c r="D75" s="344"/>
      <c r="E75" s="345"/>
      <c r="F75" s="31" t="s">
        <v>326</v>
      </c>
      <c r="G75" s="31" t="s">
        <v>2234</v>
      </c>
      <c r="H75" s="23" t="s">
        <v>3654</v>
      </c>
      <c r="I75" s="23" t="s">
        <v>3655</v>
      </c>
      <c r="J75" s="170"/>
      <c r="K75" s="25" t="s">
        <v>294</v>
      </c>
      <c r="L75" s="57"/>
      <c r="M75" s="26"/>
      <c r="N75" s="55"/>
      <c r="O75" s="28"/>
      <c r="P75" s="25"/>
      <c r="Q75" s="50" t="s">
        <v>140</v>
      </c>
      <c r="R75" s="25" t="s">
        <v>307</v>
      </c>
      <c r="S75" s="50"/>
      <c r="T75" s="65"/>
      <c r="U75" s="65"/>
      <c r="V75" s="65"/>
      <c r="W75" s="65"/>
      <c r="X75" s="65"/>
      <c r="Y75" s="65"/>
      <c r="Z75" s="65"/>
      <c r="AA75" s="65"/>
    </row>
    <row r="76" spans="1:27" ht="15.75" customHeight="1">
      <c r="A76" s="344"/>
      <c r="B76" s="344"/>
      <c r="C76" s="41">
        <v>5</v>
      </c>
      <c r="D76" s="344"/>
      <c r="E76" s="39" t="s">
        <v>3656</v>
      </c>
      <c r="F76" s="31" t="s">
        <v>326</v>
      </c>
      <c r="G76" s="31" t="s">
        <v>2234</v>
      </c>
      <c r="H76" s="23" t="s">
        <v>3657</v>
      </c>
      <c r="I76" s="23" t="s">
        <v>3658</v>
      </c>
      <c r="J76" s="170"/>
      <c r="K76" s="25" t="s">
        <v>294</v>
      </c>
      <c r="L76" s="57"/>
      <c r="M76" s="26"/>
      <c r="N76" s="55"/>
      <c r="O76" s="28"/>
      <c r="P76" s="25"/>
      <c r="Q76" s="50" t="s">
        <v>140</v>
      </c>
      <c r="R76" s="25" t="s">
        <v>307</v>
      </c>
      <c r="S76" s="50"/>
      <c r="T76" s="65"/>
      <c r="U76" s="65"/>
      <c r="V76" s="65"/>
      <c r="W76" s="65"/>
      <c r="X76" s="65"/>
      <c r="Y76" s="65"/>
      <c r="Z76" s="65"/>
      <c r="AA76" s="65"/>
    </row>
    <row r="77" spans="1:27" ht="15.75" customHeight="1">
      <c r="A77" s="344"/>
      <c r="B77" s="344"/>
      <c r="C77" s="41">
        <v>6</v>
      </c>
      <c r="D77" s="344"/>
      <c r="E77" s="39" t="s">
        <v>3659</v>
      </c>
      <c r="F77" s="31" t="s">
        <v>326</v>
      </c>
      <c r="G77" s="31" t="s">
        <v>2234</v>
      </c>
      <c r="H77" s="23" t="s">
        <v>3660</v>
      </c>
      <c r="I77" s="23" t="s">
        <v>3658</v>
      </c>
      <c r="J77" s="170"/>
      <c r="K77" s="25" t="s">
        <v>294</v>
      </c>
      <c r="L77" s="57"/>
      <c r="M77" s="26"/>
      <c r="N77" s="55"/>
      <c r="O77" s="28"/>
      <c r="P77" s="25"/>
      <c r="Q77" s="50" t="s">
        <v>140</v>
      </c>
      <c r="R77" s="25" t="s">
        <v>307</v>
      </c>
      <c r="S77" s="50"/>
      <c r="T77" s="65"/>
      <c r="U77" s="65"/>
      <c r="V77" s="65"/>
      <c r="W77" s="65"/>
      <c r="X77" s="65"/>
      <c r="Y77" s="65"/>
      <c r="Z77" s="65"/>
      <c r="AA77" s="65"/>
    </row>
    <row r="78" spans="1:27" ht="15.75" customHeight="1">
      <c r="A78" s="344"/>
      <c r="B78" s="344"/>
      <c r="C78" s="41">
        <v>7</v>
      </c>
      <c r="D78" s="344"/>
      <c r="E78" s="39" t="s">
        <v>3661</v>
      </c>
      <c r="F78" s="31" t="s">
        <v>326</v>
      </c>
      <c r="G78" s="31" t="s">
        <v>2234</v>
      </c>
      <c r="H78" s="23" t="s">
        <v>3662</v>
      </c>
      <c r="I78" s="23" t="s">
        <v>3658</v>
      </c>
      <c r="J78" s="170"/>
      <c r="K78" s="25" t="s">
        <v>294</v>
      </c>
      <c r="L78" s="57"/>
      <c r="M78" s="26"/>
      <c r="N78" s="55"/>
      <c r="O78" s="28"/>
      <c r="P78" s="25"/>
      <c r="Q78" s="50" t="s">
        <v>140</v>
      </c>
      <c r="R78" s="25" t="s">
        <v>307</v>
      </c>
      <c r="S78" s="50"/>
      <c r="T78" s="65"/>
      <c r="U78" s="65"/>
      <c r="V78" s="65"/>
      <c r="W78" s="65"/>
      <c r="X78" s="65"/>
      <c r="Y78" s="65"/>
      <c r="Z78" s="65"/>
      <c r="AA78" s="65"/>
    </row>
    <row r="79" spans="1:27" ht="15.75" customHeight="1">
      <c r="A79" s="344"/>
      <c r="B79" s="344"/>
      <c r="C79" s="41">
        <v>8</v>
      </c>
      <c r="D79" s="344"/>
      <c r="E79" s="39" t="s">
        <v>3663</v>
      </c>
      <c r="F79" s="31" t="s">
        <v>326</v>
      </c>
      <c r="G79" s="31" t="s">
        <v>2234</v>
      </c>
      <c r="H79" s="23" t="s">
        <v>3664</v>
      </c>
      <c r="I79" s="23" t="s">
        <v>3658</v>
      </c>
      <c r="J79" s="170"/>
      <c r="K79" s="25" t="s">
        <v>294</v>
      </c>
      <c r="L79" s="57"/>
      <c r="M79" s="26"/>
      <c r="N79" s="55"/>
      <c r="O79" s="28"/>
      <c r="P79" s="25"/>
      <c r="Q79" s="50" t="s">
        <v>140</v>
      </c>
      <c r="R79" s="25" t="s">
        <v>307</v>
      </c>
      <c r="S79" s="50"/>
      <c r="T79" s="65"/>
      <c r="U79" s="65"/>
      <c r="V79" s="65"/>
      <c r="W79" s="65"/>
      <c r="X79" s="65"/>
      <c r="Y79" s="65"/>
      <c r="Z79" s="65"/>
      <c r="AA79" s="65"/>
    </row>
    <row r="80" spans="1:27" ht="15.75" customHeight="1">
      <c r="A80" s="345"/>
      <c r="B80" s="345"/>
      <c r="C80" s="41">
        <v>9</v>
      </c>
      <c r="D80" s="345"/>
      <c r="E80" s="39" t="s">
        <v>3665</v>
      </c>
      <c r="F80" s="31" t="s">
        <v>326</v>
      </c>
      <c r="G80" s="31" t="s">
        <v>2234</v>
      </c>
      <c r="H80" s="23" t="s">
        <v>3666</v>
      </c>
      <c r="I80" s="23" t="s">
        <v>3658</v>
      </c>
      <c r="J80" s="170"/>
      <c r="K80" s="25" t="s">
        <v>294</v>
      </c>
      <c r="L80" s="57"/>
      <c r="M80" s="26"/>
      <c r="N80" s="55"/>
      <c r="O80" s="28"/>
      <c r="P80" s="25"/>
      <c r="Q80" s="50" t="s">
        <v>140</v>
      </c>
      <c r="R80" s="25" t="s">
        <v>307</v>
      </c>
      <c r="S80" s="50"/>
      <c r="T80" s="65"/>
      <c r="U80" s="65"/>
      <c r="V80" s="65"/>
      <c r="W80" s="65"/>
      <c r="X80" s="65"/>
      <c r="Y80" s="65"/>
      <c r="Z80" s="65"/>
      <c r="AA80" s="65"/>
    </row>
    <row r="81" spans="1:27" ht="15.75" customHeight="1">
      <c r="A81" s="356" t="s">
        <v>3667</v>
      </c>
      <c r="B81" s="371" t="s">
        <v>73</v>
      </c>
      <c r="C81" s="46">
        <v>1</v>
      </c>
      <c r="D81" s="365" t="s">
        <v>3668</v>
      </c>
      <c r="E81" s="73" t="s">
        <v>3669</v>
      </c>
      <c r="F81" s="46" t="s">
        <v>326</v>
      </c>
      <c r="G81" s="46" t="s">
        <v>327</v>
      </c>
      <c r="H81" s="73" t="s">
        <v>3670</v>
      </c>
      <c r="I81" s="73" t="s">
        <v>3671</v>
      </c>
      <c r="J81" s="79"/>
      <c r="K81" s="25"/>
      <c r="L81" s="57"/>
      <c r="M81" s="377" t="s">
        <v>3672</v>
      </c>
      <c r="N81" s="79"/>
      <c r="O81" s="28"/>
      <c r="P81" s="25"/>
      <c r="Q81" s="50" t="s">
        <v>282</v>
      </c>
      <c r="R81" s="25" t="s">
        <v>307</v>
      </c>
      <c r="S81" s="50"/>
      <c r="T81" s="65"/>
      <c r="U81" s="65"/>
      <c r="V81" s="65"/>
      <c r="W81" s="65"/>
      <c r="X81" s="65"/>
      <c r="Y81" s="65"/>
      <c r="Z81" s="65"/>
      <c r="AA81" s="65"/>
    </row>
    <row r="82" spans="1:27" ht="15.75" customHeight="1">
      <c r="A82" s="345"/>
      <c r="B82" s="345"/>
      <c r="C82" s="46">
        <v>2</v>
      </c>
      <c r="D82" s="345"/>
      <c r="E82" s="73" t="s">
        <v>3673</v>
      </c>
      <c r="F82" s="46" t="s">
        <v>326</v>
      </c>
      <c r="G82" s="46" t="s">
        <v>327</v>
      </c>
      <c r="H82" s="73" t="s">
        <v>3674</v>
      </c>
      <c r="I82" s="73" t="s">
        <v>3675</v>
      </c>
      <c r="J82" s="79"/>
      <c r="K82" s="25"/>
      <c r="L82" s="57"/>
      <c r="M82" s="345"/>
      <c r="N82" s="55"/>
      <c r="O82" s="28"/>
      <c r="P82" s="25"/>
      <c r="Q82" s="50" t="s">
        <v>282</v>
      </c>
      <c r="R82" s="25" t="s">
        <v>307</v>
      </c>
      <c r="S82" s="50"/>
      <c r="T82" s="65"/>
      <c r="U82" s="65"/>
      <c r="V82" s="65"/>
      <c r="W82" s="65"/>
      <c r="X82" s="65"/>
      <c r="Y82" s="65"/>
      <c r="Z82" s="65"/>
      <c r="AA82" s="65"/>
    </row>
    <row r="83" spans="1:27" ht="15.75" customHeight="1">
      <c r="A83" s="15" t="s">
        <v>3676</v>
      </c>
      <c r="B83" s="16"/>
      <c r="C83" s="16"/>
      <c r="D83" s="17"/>
      <c r="E83" s="18"/>
      <c r="F83" s="19"/>
      <c r="G83" s="19"/>
      <c r="H83" s="17"/>
      <c r="I83" s="20"/>
      <c r="J83" s="20"/>
      <c r="K83" s="16"/>
      <c r="L83" s="16"/>
      <c r="M83" s="71"/>
      <c r="N83" s="3"/>
      <c r="O83" s="28"/>
      <c r="P83" s="16"/>
      <c r="Q83" s="16"/>
      <c r="R83" s="16"/>
      <c r="S83" s="16"/>
    </row>
    <row r="84" spans="1:27" ht="15.75" customHeight="1">
      <c r="A84" s="356" t="s">
        <v>3677</v>
      </c>
      <c r="B84" s="360" t="s">
        <v>35</v>
      </c>
      <c r="C84" s="31">
        <v>1</v>
      </c>
      <c r="D84" s="356" t="s">
        <v>3677</v>
      </c>
      <c r="E84" s="39" t="s">
        <v>3678</v>
      </c>
      <c r="F84" s="31" t="s">
        <v>326</v>
      </c>
      <c r="G84" s="31" t="s">
        <v>327</v>
      </c>
      <c r="H84" s="23" t="s">
        <v>3679</v>
      </c>
      <c r="I84" s="23" t="s">
        <v>3680</v>
      </c>
      <c r="J84" s="170"/>
      <c r="K84" s="25"/>
      <c r="L84" s="57"/>
      <c r="M84" s="121"/>
      <c r="N84" s="55"/>
      <c r="O84" s="28"/>
      <c r="P84" s="25"/>
      <c r="Q84" s="50" t="s">
        <v>282</v>
      </c>
      <c r="R84" s="25" t="s">
        <v>7</v>
      </c>
      <c r="S84" s="50"/>
      <c r="T84" s="65"/>
      <c r="U84" s="65"/>
      <c r="V84" s="65"/>
      <c r="W84" s="65"/>
      <c r="X84" s="65"/>
      <c r="Y84" s="65"/>
      <c r="Z84" s="65"/>
      <c r="AA84" s="65"/>
    </row>
    <row r="85" spans="1:27" ht="15.75" customHeight="1">
      <c r="A85" s="344"/>
      <c r="B85" s="344"/>
      <c r="C85" s="31">
        <v>2</v>
      </c>
      <c r="D85" s="344"/>
      <c r="E85" s="39" t="s">
        <v>3681</v>
      </c>
      <c r="F85" s="31" t="s">
        <v>326</v>
      </c>
      <c r="G85" s="31" t="s">
        <v>524</v>
      </c>
      <c r="H85" s="23" t="s">
        <v>3682</v>
      </c>
      <c r="I85" s="23" t="s">
        <v>3683</v>
      </c>
      <c r="J85" s="170"/>
      <c r="K85" s="25"/>
      <c r="L85" s="57"/>
      <c r="M85" s="121"/>
      <c r="N85" s="55"/>
      <c r="O85" s="28" t="s">
        <v>140</v>
      </c>
      <c r="P85" s="25"/>
      <c r="Q85" s="50" t="s">
        <v>282</v>
      </c>
      <c r="R85" s="25" t="s">
        <v>7</v>
      </c>
      <c r="S85" s="50"/>
      <c r="T85" s="65"/>
      <c r="U85" s="65"/>
      <c r="V85" s="65"/>
      <c r="W85" s="65"/>
      <c r="X85" s="65"/>
      <c r="Y85" s="65"/>
      <c r="Z85" s="65"/>
      <c r="AA85" s="65"/>
    </row>
    <row r="86" spans="1:27" ht="15.75" customHeight="1">
      <c r="A86" s="344"/>
      <c r="B86" s="344"/>
      <c r="C86" s="31">
        <v>3</v>
      </c>
      <c r="D86" s="344"/>
      <c r="E86" s="39" t="s">
        <v>3684</v>
      </c>
      <c r="F86" s="31" t="s">
        <v>326</v>
      </c>
      <c r="G86" s="31" t="s">
        <v>524</v>
      </c>
      <c r="H86" s="23" t="s">
        <v>3685</v>
      </c>
      <c r="I86" s="23" t="s">
        <v>3686</v>
      </c>
      <c r="J86" s="170"/>
      <c r="K86" s="25"/>
      <c r="L86" s="57"/>
      <c r="M86" s="121"/>
      <c r="N86" s="55"/>
      <c r="O86" s="28" t="s">
        <v>140</v>
      </c>
      <c r="P86" s="25"/>
      <c r="Q86" s="50" t="s">
        <v>282</v>
      </c>
      <c r="R86" s="25" t="s">
        <v>7</v>
      </c>
      <c r="S86" s="50"/>
      <c r="T86" s="65"/>
      <c r="U86" s="65"/>
      <c r="V86" s="65"/>
      <c r="W86" s="65"/>
      <c r="X86" s="65"/>
      <c r="Y86" s="65"/>
      <c r="Z86" s="65"/>
      <c r="AA86" s="65"/>
    </row>
    <row r="87" spans="1:27" ht="15.75" customHeight="1">
      <c r="A87" s="344"/>
      <c r="B87" s="344"/>
      <c r="C87" s="31">
        <v>4</v>
      </c>
      <c r="D87" s="344"/>
      <c r="E87" s="39" t="s">
        <v>3687</v>
      </c>
      <c r="F87" s="31" t="s">
        <v>326</v>
      </c>
      <c r="G87" s="31" t="s">
        <v>524</v>
      </c>
      <c r="H87" s="23" t="s">
        <v>3688</v>
      </c>
      <c r="I87" s="23" t="s">
        <v>3689</v>
      </c>
      <c r="J87" s="170"/>
      <c r="K87" s="25"/>
      <c r="L87" s="57"/>
      <c r="M87" s="121"/>
      <c r="N87" s="55"/>
      <c r="O87" s="28" t="s">
        <v>140</v>
      </c>
      <c r="P87" s="25"/>
      <c r="Q87" s="50" t="s">
        <v>282</v>
      </c>
      <c r="R87" s="25" t="s">
        <v>7</v>
      </c>
      <c r="S87" s="50"/>
      <c r="T87" s="65"/>
      <c r="U87" s="65"/>
      <c r="V87" s="65"/>
      <c r="W87" s="65"/>
      <c r="X87" s="65"/>
      <c r="Y87" s="65"/>
      <c r="Z87" s="65"/>
      <c r="AA87" s="65"/>
    </row>
    <row r="88" spans="1:27" ht="15.75" customHeight="1">
      <c r="A88" s="344"/>
      <c r="B88" s="344"/>
      <c r="C88" s="31">
        <v>5</v>
      </c>
      <c r="D88" s="344"/>
      <c r="E88" s="39" t="s">
        <v>3690</v>
      </c>
      <c r="F88" s="31" t="s">
        <v>326</v>
      </c>
      <c r="G88" s="31" t="s">
        <v>327</v>
      </c>
      <c r="H88" s="23" t="s">
        <v>3691</v>
      </c>
      <c r="I88" s="23" t="s">
        <v>3692</v>
      </c>
      <c r="J88" s="170"/>
      <c r="K88" s="25" t="s">
        <v>294</v>
      </c>
      <c r="L88" s="57"/>
      <c r="M88" s="121"/>
      <c r="N88" s="55"/>
      <c r="O88" s="28" t="s">
        <v>140</v>
      </c>
      <c r="P88" s="25"/>
      <c r="Q88" s="50" t="s">
        <v>140</v>
      </c>
      <c r="R88" s="25" t="s">
        <v>7</v>
      </c>
      <c r="S88" s="50"/>
      <c r="T88" s="65"/>
      <c r="U88" s="65"/>
      <c r="V88" s="65"/>
      <c r="W88" s="65"/>
      <c r="X88" s="65"/>
      <c r="Y88" s="65"/>
      <c r="Z88" s="65"/>
      <c r="AA88" s="65"/>
    </row>
    <row r="89" spans="1:27" ht="15.75" customHeight="1">
      <c r="A89" s="344"/>
      <c r="B89" s="344"/>
      <c r="C89" s="31">
        <v>6</v>
      </c>
      <c r="D89" s="344"/>
      <c r="E89" s="365" t="s">
        <v>3693</v>
      </c>
      <c r="F89" s="371" t="s">
        <v>326</v>
      </c>
      <c r="G89" s="371" t="s">
        <v>327</v>
      </c>
      <c r="H89" s="35" t="s">
        <v>3694</v>
      </c>
      <c r="I89" s="35" t="s">
        <v>3695</v>
      </c>
      <c r="J89" s="172"/>
      <c r="K89" s="25" t="s">
        <v>294</v>
      </c>
      <c r="L89" s="57"/>
      <c r="M89" s="121"/>
      <c r="N89" s="55"/>
      <c r="O89" s="28"/>
      <c r="P89" s="25"/>
      <c r="Q89" s="50" t="s">
        <v>140</v>
      </c>
      <c r="R89" s="25" t="s">
        <v>7</v>
      </c>
      <c r="S89" s="50"/>
      <c r="T89" s="65"/>
      <c r="U89" s="65"/>
      <c r="V89" s="65"/>
      <c r="W89" s="65"/>
      <c r="X89" s="65"/>
      <c r="Y89" s="65"/>
      <c r="Z89" s="65"/>
      <c r="AA89" s="65"/>
    </row>
    <row r="90" spans="1:27" ht="15.75" customHeight="1">
      <c r="A90" s="344"/>
      <c r="B90" s="344"/>
      <c r="C90" s="31">
        <v>7</v>
      </c>
      <c r="D90" s="344"/>
      <c r="E90" s="345"/>
      <c r="F90" s="345"/>
      <c r="G90" s="345"/>
      <c r="H90" s="35" t="s">
        <v>3696</v>
      </c>
      <c r="I90" s="35" t="s">
        <v>3697</v>
      </c>
      <c r="J90" s="172"/>
      <c r="K90" s="25" t="s">
        <v>294</v>
      </c>
      <c r="L90" s="57"/>
      <c r="M90" s="121"/>
      <c r="N90" s="55"/>
      <c r="O90" s="28"/>
      <c r="P90" s="25"/>
      <c r="Q90" s="50" t="s">
        <v>140</v>
      </c>
      <c r="R90" s="25" t="s">
        <v>7</v>
      </c>
      <c r="S90" s="50"/>
      <c r="T90" s="65"/>
      <c r="U90" s="65"/>
      <c r="V90" s="65"/>
      <c r="W90" s="65"/>
      <c r="X90" s="65"/>
      <c r="Y90" s="65"/>
      <c r="Z90" s="65"/>
      <c r="AA90" s="65"/>
    </row>
    <row r="91" spans="1:27" ht="15.75" customHeight="1">
      <c r="A91" s="344"/>
      <c r="B91" s="344"/>
      <c r="C91" s="31">
        <v>8</v>
      </c>
      <c r="D91" s="344"/>
      <c r="E91" s="39" t="s">
        <v>3698</v>
      </c>
      <c r="F91" s="31" t="s">
        <v>326</v>
      </c>
      <c r="G91" s="31" t="s">
        <v>327</v>
      </c>
      <c r="H91" s="23" t="s">
        <v>3699</v>
      </c>
      <c r="I91" s="23" t="s">
        <v>3700</v>
      </c>
      <c r="J91" s="170"/>
      <c r="K91" s="25"/>
      <c r="L91" s="57"/>
      <c r="M91" s="121"/>
      <c r="N91" s="55"/>
      <c r="O91" s="28"/>
      <c r="P91" s="25"/>
      <c r="Q91" s="50" t="s">
        <v>282</v>
      </c>
      <c r="R91" s="25" t="s">
        <v>7</v>
      </c>
      <c r="S91" s="50"/>
      <c r="T91" s="65"/>
      <c r="U91" s="65"/>
      <c r="V91" s="65"/>
      <c r="W91" s="65"/>
      <c r="X91" s="65"/>
      <c r="Y91" s="65"/>
      <c r="Z91" s="65"/>
      <c r="AA91" s="65"/>
    </row>
    <row r="92" spans="1:27" ht="15.75" customHeight="1">
      <c r="A92" s="344"/>
      <c r="B92" s="344"/>
      <c r="C92" s="31">
        <v>9</v>
      </c>
      <c r="D92" s="344"/>
      <c r="E92" s="39" t="s">
        <v>3701</v>
      </c>
      <c r="F92" s="31" t="s">
        <v>326</v>
      </c>
      <c r="G92" s="31" t="s">
        <v>327</v>
      </c>
      <c r="H92" s="23" t="s">
        <v>3702</v>
      </c>
      <c r="I92" s="23" t="s">
        <v>3703</v>
      </c>
      <c r="J92" s="170"/>
      <c r="K92" s="25"/>
      <c r="L92" s="57"/>
      <c r="M92" s="121"/>
      <c r="N92" s="55"/>
      <c r="O92" s="28"/>
      <c r="P92" s="25"/>
      <c r="Q92" s="50" t="s">
        <v>282</v>
      </c>
      <c r="R92" s="25" t="s">
        <v>7</v>
      </c>
      <c r="S92" s="50"/>
      <c r="T92" s="65"/>
      <c r="U92" s="65"/>
      <c r="V92" s="65"/>
      <c r="W92" s="65"/>
      <c r="X92" s="65"/>
      <c r="Y92" s="65"/>
      <c r="Z92" s="65"/>
      <c r="AA92" s="65"/>
    </row>
    <row r="93" spans="1:27" ht="15.75" customHeight="1">
      <c r="A93" s="345"/>
      <c r="B93" s="345"/>
      <c r="C93" s="31">
        <v>10</v>
      </c>
      <c r="D93" s="345"/>
      <c r="E93" s="73" t="s">
        <v>3704</v>
      </c>
      <c r="F93" s="46" t="s">
        <v>326</v>
      </c>
      <c r="G93" s="46" t="s">
        <v>327</v>
      </c>
      <c r="H93" s="80" t="s">
        <v>3705</v>
      </c>
      <c r="I93" s="80" t="s">
        <v>3706</v>
      </c>
      <c r="J93" s="84"/>
      <c r="K93" s="25" t="s">
        <v>294</v>
      </c>
      <c r="L93" s="57"/>
      <c r="M93" s="121"/>
      <c r="N93" s="55"/>
      <c r="O93" s="28"/>
      <c r="P93" s="25"/>
      <c r="Q93" s="50" t="s">
        <v>140</v>
      </c>
      <c r="R93" s="25" t="s">
        <v>7</v>
      </c>
      <c r="S93" s="50"/>
    </row>
    <row r="94" spans="1:27" ht="15.75" customHeight="1">
      <c r="A94" s="365" t="s">
        <v>3707</v>
      </c>
      <c r="B94" s="371" t="s">
        <v>174</v>
      </c>
      <c r="C94" s="46">
        <v>1</v>
      </c>
      <c r="D94" s="365" t="s">
        <v>3708</v>
      </c>
      <c r="E94" s="73" t="s">
        <v>3709</v>
      </c>
      <c r="F94" s="46" t="s">
        <v>326</v>
      </c>
      <c r="G94" s="46" t="s">
        <v>327</v>
      </c>
      <c r="H94" s="73" t="s">
        <v>3710</v>
      </c>
      <c r="I94" s="73" t="s">
        <v>3711</v>
      </c>
      <c r="J94" s="79"/>
      <c r="K94" s="25" t="s">
        <v>294</v>
      </c>
      <c r="L94" s="57"/>
      <c r="M94" s="43"/>
      <c r="N94" s="79"/>
      <c r="O94" s="50" t="s">
        <v>140</v>
      </c>
      <c r="P94" s="25"/>
      <c r="Q94" s="50" t="s">
        <v>140</v>
      </c>
      <c r="R94" s="25" t="s">
        <v>307</v>
      </c>
      <c r="S94" s="50"/>
    </row>
    <row r="95" spans="1:27" ht="15.75" customHeight="1">
      <c r="A95" s="345"/>
      <c r="B95" s="345"/>
      <c r="C95" s="46">
        <v>2</v>
      </c>
      <c r="D95" s="345"/>
      <c r="E95" s="73" t="s">
        <v>3712</v>
      </c>
      <c r="F95" s="46" t="s">
        <v>326</v>
      </c>
      <c r="G95" s="46" t="s">
        <v>327</v>
      </c>
      <c r="H95" s="73" t="s">
        <v>3710</v>
      </c>
      <c r="I95" s="73" t="s">
        <v>3713</v>
      </c>
      <c r="J95" s="79"/>
      <c r="K95" s="25" t="s">
        <v>294</v>
      </c>
      <c r="L95" s="57"/>
      <c r="M95" s="43"/>
      <c r="N95" s="55"/>
      <c r="O95" s="50" t="s">
        <v>140</v>
      </c>
      <c r="P95" s="25"/>
      <c r="Q95" s="50" t="s">
        <v>140</v>
      </c>
      <c r="R95" s="25" t="s">
        <v>307</v>
      </c>
      <c r="S95" s="50"/>
    </row>
    <row r="96" spans="1:27" ht="15.75" customHeight="1">
      <c r="A96" s="363" t="s">
        <v>3714</v>
      </c>
      <c r="B96" s="363" t="s">
        <v>222</v>
      </c>
      <c r="C96" s="74">
        <v>1</v>
      </c>
      <c r="D96" s="364" t="s">
        <v>3715</v>
      </c>
      <c r="E96" s="364" t="s">
        <v>3716</v>
      </c>
      <c r="F96" s="74" t="s">
        <v>361</v>
      </c>
      <c r="G96" s="74" t="s">
        <v>524</v>
      </c>
      <c r="H96" s="75" t="s">
        <v>3717</v>
      </c>
      <c r="I96" s="75" t="s">
        <v>3718</v>
      </c>
      <c r="J96" s="435"/>
      <c r="K96" s="25" t="s">
        <v>294</v>
      </c>
      <c r="L96" s="57"/>
      <c r="M96" s="43"/>
      <c r="N96" s="79"/>
      <c r="O96" s="28"/>
      <c r="P96" s="25"/>
      <c r="Q96" s="50" t="s">
        <v>140</v>
      </c>
      <c r="R96" s="25" t="s">
        <v>307</v>
      </c>
      <c r="S96" s="50"/>
    </row>
    <row r="97" spans="1:19" ht="15.75" customHeight="1">
      <c r="A97" s="344"/>
      <c r="B97" s="344"/>
      <c r="C97" s="74">
        <v>2</v>
      </c>
      <c r="D97" s="344"/>
      <c r="E97" s="345"/>
      <c r="F97" s="74" t="s">
        <v>361</v>
      </c>
      <c r="G97" s="74" t="s">
        <v>524</v>
      </c>
      <c r="H97" s="75" t="s">
        <v>3719</v>
      </c>
      <c r="I97" s="75" t="s">
        <v>3720</v>
      </c>
      <c r="J97" s="435"/>
      <c r="K97" s="25" t="s">
        <v>294</v>
      </c>
      <c r="L97" s="57"/>
      <c r="M97" s="43"/>
      <c r="N97" s="79"/>
      <c r="O97" s="28"/>
      <c r="P97" s="25"/>
      <c r="Q97" s="50" t="s">
        <v>140</v>
      </c>
      <c r="R97" s="25" t="s">
        <v>307</v>
      </c>
      <c r="S97" s="50"/>
    </row>
    <row r="98" spans="1:19" ht="15.75" customHeight="1">
      <c r="A98" s="344"/>
      <c r="B98" s="344"/>
      <c r="C98" s="74">
        <v>3</v>
      </c>
      <c r="D98" s="344"/>
      <c r="E98" s="364" t="s">
        <v>3721</v>
      </c>
      <c r="F98" s="74" t="s">
        <v>361</v>
      </c>
      <c r="G98" s="74" t="s">
        <v>524</v>
      </c>
      <c r="H98" s="75" t="s">
        <v>3722</v>
      </c>
      <c r="I98" s="75" t="s">
        <v>3718</v>
      </c>
      <c r="J98" s="435"/>
      <c r="K98" s="25" t="s">
        <v>294</v>
      </c>
      <c r="L98" s="57"/>
      <c r="M98" s="43"/>
      <c r="N98" s="79"/>
      <c r="O98" s="28"/>
      <c r="P98" s="25"/>
      <c r="Q98" s="50" t="s">
        <v>140</v>
      </c>
      <c r="R98" s="25" t="s">
        <v>307</v>
      </c>
      <c r="S98" s="50"/>
    </row>
    <row r="99" spans="1:19" ht="15.75" customHeight="1">
      <c r="A99" s="344"/>
      <c r="B99" s="344"/>
      <c r="C99" s="74">
        <v>4</v>
      </c>
      <c r="D99" s="344"/>
      <c r="E99" s="345"/>
      <c r="F99" s="74" t="s">
        <v>361</v>
      </c>
      <c r="G99" s="74" t="s">
        <v>524</v>
      </c>
      <c r="H99" s="75" t="s">
        <v>3719</v>
      </c>
      <c r="I99" s="75" t="s">
        <v>3720</v>
      </c>
      <c r="J99" s="435"/>
      <c r="K99" s="25" t="s">
        <v>294</v>
      </c>
      <c r="L99" s="57"/>
      <c r="M99" s="43"/>
      <c r="N99" s="79"/>
      <c r="O99" s="28"/>
      <c r="P99" s="25"/>
      <c r="Q99" s="50" t="s">
        <v>140</v>
      </c>
      <c r="R99" s="25" t="s">
        <v>307</v>
      </c>
      <c r="S99" s="50"/>
    </row>
    <row r="100" spans="1:19" ht="15.75" customHeight="1">
      <c r="A100" s="344"/>
      <c r="B100" s="344"/>
      <c r="C100" s="74">
        <v>5</v>
      </c>
      <c r="D100" s="344"/>
      <c r="E100" s="364" t="s">
        <v>3723</v>
      </c>
      <c r="F100" s="74" t="s">
        <v>361</v>
      </c>
      <c r="G100" s="74" t="s">
        <v>524</v>
      </c>
      <c r="H100" s="75" t="s">
        <v>3724</v>
      </c>
      <c r="I100" s="75" t="s">
        <v>3718</v>
      </c>
      <c r="J100" s="435"/>
      <c r="K100" s="25" t="s">
        <v>294</v>
      </c>
      <c r="L100" s="57"/>
      <c r="M100" s="43"/>
      <c r="N100" s="79"/>
      <c r="O100" s="28"/>
      <c r="P100" s="25"/>
      <c r="Q100" s="50" t="s">
        <v>140</v>
      </c>
      <c r="R100" s="25" t="s">
        <v>307</v>
      </c>
      <c r="S100" s="50"/>
    </row>
    <row r="101" spans="1:19" ht="15.75" customHeight="1">
      <c r="A101" s="344"/>
      <c r="B101" s="344"/>
      <c r="C101" s="74">
        <v>6</v>
      </c>
      <c r="D101" s="344"/>
      <c r="E101" s="345"/>
      <c r="F101" s="74" t="s">
        <v>361</v>
      </c>
      <c r="G101" s="74" t="s">
        <v>524</v>
      </c>
      <c r="H101" s="75" t="s">
        <v>3719</v>
      </c>
      <c r="I101" s="75" t="s">
        <v>3720</v>
      </c>
      <c r="J101" s="435"/>
      <c r="K101" s="25" t="s">
        <v>294</v>
      </c>
      <c r="L101" s="57"/>
      <c r="M101" s="43"/>
      <c r="N101" s="79"/>
      <c r="O101" s="28"/>
      <c r="P101" s="25"/>
      <c r="Q101" s="50" t="s">
        <v>140</v>
      </c>
      <c r="R101" s="25" t="s">
        <v>307</v>
      </c>
      <c r="S101" s="50"/>
    </row>
    <row r="102" spans="1:19" ht="15.75" customHeight="1">
      <c r="A102" s="344"/>
      <c r="B102" s="344"/>
      <c r="C102" s="74">
        <v>7</v>
      </c>
      <c r="D102" s="344"/>
      <c r="E102" s="364" t="s">
        <v>3725</v>
      </c>
      <c r="F102" s="74" t="s">
        <v>361</v>
      </c>
      <c r="G102" s="74" t="s">
        <v>524</v>
      </c>
      <c r="H102" s="75" t="s">
        <v>3726</v>
      </c>
      <c r="I102" s="75" t="s">
        <v>3727</v>
      </c>
      <c r="J102" s="435"/>
      <c r="K102" s="25" t="s">
        <v>294</v>
      </c>
      <c r="L102" s="57"/>
      <c r="M102" s="43"/>
      <c r="N102" s="79"/>
      <c r="O102" s="28"/>
      <c r="P102" s="25"/>
      <c r="Q102" s="50" t="s">
        <v>140</v>
      </c>
      <c r="R102" s="25" t="s">
        <v>307</v>
      </c>
      <c r="S102" s="50"/>
    </row>
    <row r="103" spans="1:19" ht="15.75" customHeight="1">
      <c r="A103" s="344"/>
      <c r="B103" s="345"/>
      <c r="C103" s="74">
        <v>8</v>
      </c>
      <c r="D103" s="345"/>
      <c r="E103" s="344"/>
      <c r="F103" s="74" t="s">
        <v>361</v>
      </c>
      <c r="G103" s="74" t="s">
        <v>524</v>
      </c>
      <c r="H103" s="75" t="s">
        <v>3719</v>
      </c>
      <c r="I103" s="75" t="s">
        <v>3720</v>
      </c>
      <c r="J103" s="435"/>
      <c r="K103" s="25" t="s">
        <v>294</v>
      </c>
      <c r="L103" s="57"/>
      <c r="M103" s="43"/>
      <c r="N103" s="79"/>
      <c r="O103" s="28"/>
      <c r="P103" s="25"/>
      <c r="Q103" s="50" t="s">
        <v>140</v>
      </c>
      <c r="R103" s="25" t="s">
        <v>307</v>
      </c>
      <c r="S103" s="50"/>
    </row>
    <row r="104" spans="1:19" ht="15.75" customHeight="1">
      <c r="A104" s="344"/>
      <c r="B104" s="363" t="s">
        <v>223</v>
      </c>
      <c r="C104" s="74">
        <v>1</v>
      </c>
      <c r="D104" s="364" t="s">
        <v>3728</v>
      </c>
      <c r="E104" s="364" t="s">
        <v>3716</v>
      </c>
      <c r="F104" s="74" t="s">
        <v>361</v>
      </c>
      <c r="G104" s="74" t="s">
        <v>524</v>
      </c>
      <c r="H104" s="75" t="s">
        <v>3729</v>
      </c>
      <c r="I104" s="75" t="s">
        <v>3718</v>
      </c>
      <c r="J104" s="435"/>
      <c r="K104" s="25" t="s">
        <v>294</v>
      </c>
      <c r="L104" s="57"/>
      <c r="M104" s="43"/>
      <c r="N104" s="79"/>
      <c r="O104" s="28"/>
      <c r="P104" s="25"/>
      <c r="Q104" s="50" t="s">
        <v>140</v>
      </c>
      <c r="R104" s="25" t="s">
        <v>307</v>
      </c>
      <c r="S104" s="50"/>
    </row>
    <row r="105" spans="1:19" ht="15.75" customHeight="1">
      <c r="A105" s="344"/>
      <c r="B105" s="344"/>
      <c r="C105" s="74">
        <v>2</v>
      </c>
      <c r="D105" s="344"/>
      <c r="E105" s="345"/>
      <c r="F105" s="74" t="s">
        <v>361</v>
      </c>
      <c r="G105" s="74" t="s">
        <v>524</v>
      </c>
      <c r="H105" s="75" t="s">
        <v>3719</v>
      </c>
      <c r="I105" s="75" t="s">
        <v>3720</v>
      </c>
      <c r="J105" s="435"/>
      <c r="K105" s="25" t="s">
        <v>294</v>
      </c>
      <c r="L105" s="57"/>
      <c r="M105" s="43"/>
      <c r="N105" s="79"/>
      <c r="O105" s="28"/>
      <c r="P105" s="25"/>
      <c r="Q105" s="50" t="s">
        <v>140</v>
      </c>
      <c r="R105" s="25" t="s">
        <v>307</v>
      </c>
      <c r="S105" s="50"/>
    </row>
    <row r="106" spans="1:19" ht="15.75" customHeight="1">
      <c r="A106" s="344"/>
      <c r="B106" s="344"/>
      <c r="C106" s="74">
        <v>3</v>
      </c>
      <c r="D106" s="344"/>
      <c r="E106" s="364" t="s">
        <v>3721</v>
      </c>
      <c r="F106" s="74" t="s">
        <v>361</v>
      </c>
      <c r="G106" s="74" t="s">
        <v>524</v>
      </c>
      <c r="H106" s="75" t="s">
        <v>3722</v>
      </c>
      <c r="I106" s="75" t="s">
        <v>3718</v>
      </c>
      <c r="J106" s="435"/>
      <c r="K106" s="25" t="s">
        <v>294</v>
      </c>
      <c r="L106" s="57"/>
      <c r="M106" s="43"/>
      <c r="N106" s="79"/>
      <c r="O106" s="28"/>
      <c r="P106" s="25"/>
      <c r="Q106" s="50" t="s">
        <v>140</v>
      </c>
      <c r="R106" s="25" t="s">
        <v>307</v>
      </c>
      <c r="S106" s="50"/>
    </row>
    <row r="107" spans="1:19" ht="15.75" customHeight="1">
      <c r="A107" s="344"/>
      <c r="B107" s="344"/>
      <c r="C107" s="74">
        <v>4</v>
      </c>
      <c r="D107" s="344"/>
      <c r="E107" s="345"/>
      <c r="F107" s="74" t="s">
        <v>361</v>
      </c>
      <c r="G107" s="74" t="s">
        <v>524</v>
      </c>
      <c r="H107" s="75" t="s">
        <v>3719</v>
      </c>
      <c r="I107" s="75" t="s">
        <v>3720</v>
      </c>
      <c r="J107" s="435"/>
      <c r="K107" s="25" t="s">
        <v>294</v>
      </c>
      <c r="L107" s="57"/>
      <c r="M107" s="43"/>
      <c r="N107" s="79"/>
      <c r="O107" s="28"/>
      <c r="P107" s="25"/>
      <c r="Q107" s="50" t="s">
        <v>140</v>
      </c>
      <c r="R107" s="25" t="s">
        <v>307</v>
      </c>
      <c r="S107" s="50"/>
    </row>
    <row r="108" spans="1:19" ht="15.75" customHeight="1">
      <c r="A108" s="344"/>
      <c r="B108" s="344"/>
      <c r="C108" s="74">
        <v>5</v>
      </c>
      <c r="D108" s="344"/>
      <c r="E108" s="364" t="s">
        <v>3723</v>
      </c>
      <c r="F108" s="74" t="s">
        <v>361</v>
      </c>
      <c r="G108" s="74" t="s">
        <v>524</v>
      </c>
      <c r="H108" s="75" t="s">
        <v>3730</v>
      </c>
      <c r="I108" s="75" t="s">
        <v>3718</v>
      </c>
      <c r="J108" s="435"/>
      <c r="K108" s="25" t="s">
        <v>294</v>
      </c>
      <c r="L108" s="57"/>
      <c r="M108" s="43"/>
      <c r="N108" s="79"/>
      <c r="O108" s="28"/>
      <c r="P108" s="25"/>
      <c r="Q108" s="50" t="s">
        <v>140</v>
      </c>
      <c r="R108" s="25" t="s">
        <v>307</v>
      </c>
      <c r="S108" s="50"/>
    </row>
    <row r="109" spans="1:19" ht="15.75" customHeight="1">
      <c r="A109" s="344"/>
      <c r="B109" s="344"/>
      <c r="C109" s="74">
        <v>6</v>
      </c>
      <c r="D109" s="344"/>
      <c r="E109" s="345"/>
      <c r="F109" s="74" t="s">
        <v>361</v>
      </c>
      <c r="G109" s="74" t="s">
        <v>524</v>
      </c>
      <c r="H109" s="75" t="s">
        <v>3719</v>
      </c>
      <c r="I109" s="75" t="s">
        <v>3720</v>
      </c>
      <c r="J109" s="435"/>
      <c r="K109" s="25" t="s">
        <v>294</v>
      </c>
      <c r="L109" s="57"/>
      <c r="M109" s="43"/>
      <c r="N109" s="79"/>
      <c r="O109" s="28"/>
      <c r="P109" s="25"/>
      <c r="Q109" s="50" t="s">
        <v>140</v>
      </c>
      <c r="R109" s="25" t="s">
        <v>307</v>
      </c>
      <c r="S109" s="50"/>
    </row>
    <row r="110" spans="1:19" ht="15.75" customHeight="1">
      <c r="A110" s="344"/>
      <c r="B110" s="344"/>
      <c r="C110" s="74">
        <v>7</v>
      </c>
      <c r="D110" s="344"/>
      <c r="E110" s="364" t="s">
        <v>3725</v>
      </c>
      <c r="F110" s="74" t="s">
        <v>361</v>
      </c>
      <c r="G110" s="74" t="s">
        <v>524</v>
      </c>
      <c r="H110" s="75" t="s">
        <v>3726</v>
      </c>
      <c r="I110" s="75" t="s">
        <v>3727</v>
      </c>
      <c r="J110" s="435"/>
      <c r="K110" s="25" t="s">
        <v>294</v>
      </c>
      <c r="L110" s="57"/>
      <c r="M110" s="43"/>
      <c r="N110" s="79"/>
      <c r="O110" s="28"/>
      <c r="P110" s="25"/>
      <c r="Q110" s="50" t="s">
        <v>140</v>
      </c>
      <c r="R110" s="25" t="s">
        <v>307</v>
      </c>
      <c r="S110" s="50"/>
    </row>
    <row r="111" spans="1:19" ht="15.75" customHeight="1">
      <c r="A111" s="344"/>
      <c r="B111" s="345"/>
      <c r="C111" s="74">
        <v>8</v>
      </c>
      <c r="D111" s="345"/>
      <c r="E111" s="344"/>
      <c r="F111" s="74" t="s">
        <v>361</v>
      </c>
      <c r="G111" s="74" t="s">
        <v>524</v>
      </c>
      <c r="H111" s="75" t="s">
        <v>3719</v>
      </c>
      <c r="I111" s="75" t="s">
        <v>3720</v>
      </c>
      <c r="J111" s="435"/>
      <c r="K111" s="25" t="s">
        <v>294</v>
      </c>
      <c r="L111" s="57"/>
      <c r="M111" s="43"/>
      <c r="N111" s="79"/>
      <c r="O111" s="28"/>
      <c r="P111" s="25"/>
      <c r="Q111" s="50" t="s">
        <v>140</v>
      </c>
      <c r="R111" s="25" t="s">
        <v>307</v>
      </c>
      <c r="S111" s="50"/>
    </row>
    <row r="112" spans="1:19" ht="15.75" customHeight="1">
      <c r="A112" s="344"/>
      <c r="B112" s="363" t="s">
        <v>224</v>
      </c>
      <c r="C112" s="74">
        <v>1</v>
      </c>
      <c r="D112" s="364" t="s">
        <v>3731</v>
      </c>
      <c r="E112" s="75" t="s">
        <v>3732</v>
      </c>
      <c r="F112" s="74" t="s">
        <v>361</v>
      </c>
      <c r="G112" s="74" t="s">
        <v>524</v>
      </c>
      <c r="H112" s="75" t="s">
        <v>3733</v>
      </c>
      <c r="I112" s="80" t="s">
        <v>3734</v>
      </c>
      <c r="J112" s="84"/>
      <c r="K112" s="25" t="s">
        <v>294</v>
      </c>
      <c r="L112" s="57"/>
      <c r="M112" s="43"/>
      <c r="N112" s="79"/>
      <c r="O112" s="28"/>
      <c r="P112" s="25"/>
      <c r="Q112" s="50" t="s">
        <v>140</v>
      </c>
      <c r="R112" s="25" t="s">
        <v>307</v>
      </c>
      <c r="S112" s="50"/>
    </row>
    <row r="113" spans="1:19" ht="15.75" customHeight="1">
      <c r="A113" s="344"/>
      <c r="B113" s="344"/>
      <c r="C113" s="74">
        <v>2</v>
      </c>
      <c r="D113" s="344"/>
      <c r="E113" s="75" t="s">
        <v>3735</v>
      </c>
      <c r="F113" s="74" t="s">
        <v>361</v>
      </c>
      <c r="G113" s="74" t="s">
        <v>524</v>
      </c>
      <c r="H113" s="75" t="s">
        <v>3736</v>
      </c>
      <c r="I113" s="80" t="s">
        <v>3737</v>
      </c>
      <c r="J113" s="84"/>
      <c r="K113" s="25" t="s">
        <v>294</v>
      </c>
      <c r="L113" s="57"/>
      <c r="M113" s="43"/>
      <c r="N113" s="79"/>
      <c r="O113" s="28"/>
      <c r="P113" s="25"/>
      <c r="Q113" s="50" t="s">
        <v>140</v>
      </c>
      <c r="R113" s="25" t="s">
        <v>307</v>
      </c>
      <c r="S113" s="50"/>
    </row>
    <row r="114" spans="1:19" ht="15.75" customHeight="1">
      <c r="A114" s="344"/>
      <c r="B114" s="344"/>
      <c r="C114" s="74">
        <v>3</v>
      </c>
      <c r="D114" s="344"/>
      <c r="E114" s="75" t="s">
        <v>3738</v>
      </c>
      <c r="F114" s="74" t="s">
        <v>361</v>
      </c>
      <c r="G114" s="74" t="s">
        <v>524</v>
      </c>
      <c r="H114" s="75" t="s">
        <v>3739</v>
      </c>
      <c r="I114" s="80" t="s">
        <v>3734</v>
      </c>
      <c r="J114" s="84"/>
      <c r="K114" s="25" t="s">
        <v>294</v>
      </c>
      <c r="L114" s="57"/>
      <c r="M114" s="43"/>
      <c r="N114" s="79"/>
      <c r="O114" s="28"/>
      <c r="P114" s="25"/>
      <c r="Q114" s="50" t="s">
        <v>140</v>
      </c>
      <c r="R114" s="25" t="s">
        <v>307</v>
      </c>
      <c r="S114" s="50"/>
    </row>
    <row r="115" spans="1:19" ht="15.75" customHeight="1">
      <c r="A115" s="344"/>
      <c r="B115" s="344"/>
      <c r="C115" s="74">
        <v>4</v>
      </c>
      <c r="D115" s="344"/>
      <c r="E115" s="75" t="s">
        <v>3740</v>
      </c>
      <c r="F115" s="74" t="s">
        <v>361</v>
      </c>
      <c r="G115" s="74" t="s">
        <v>524</v>
      </c>
      <c r="H115" s="75" t="s">
        <v>3741</v>
      </c>
      <c r="I115" s="80" t="s">
        <v>3734</v>
      </c>
      <c r="J115" s="84"/>
      <c r="K115" s="25" t="s">
        <v>294</v>
      </c>
      <c r="L115" s="57"/>
      <c r="M115" s="43"/>
      <c r="N115" s="79"/>
      <c r="O115" s="28"/>
      <c r="P115" s="25"/>
      <c r="Q115" s="50" t="s">
        <v>140</v>
      </c>
      <c r="R115" s="25" t="s">
        <v>307</v>
      </c>
      <c r="S115" s="50"/>
    </row>
    <row r="116" spans="1:19" ht="15.75" customHeight="1">
      <c r="A116" s="344"/>
      <c r="B116" s="344"/>
      <c r="C116" s="74">
        <v>5</v>
      </c>
      <c r="D116" s="344"/>
      <c r="E116" s="75" t="s">
        <v>3742</v>
      </c>
      <c r="F116" s="74" t="s">
        <v>361</v>
      </c>
      <c r="G116" s="74" t="s">
        <v>524</v>
      </c>
      <c r="H116" s="75" t="s">
        <v>3743</v>
      </c>
      <c r="I116" s="80" t="s">
        <v>3734</v>
      </c>
      <c r="J116" s="84"/>
      <c r="K116" s="25" t="s">
        <v>294</v>
      </c>
      <c r="L116" s="57"/>
      <c r="M116" s="43"/>
      <c r="N116" s="79"/>
      <c r="O116" s="28"/>
      <c r="P116" s="25"/>
      <c r="Q116" s="50" t="s">
        <v>140</v>
      </c>
      <c r="R116" s="25" t="s">
        <v>307</v>
      </c>
      <c r="S116" s="50"/>
    </row>
    <row r="117" spans="1:19" ht="15.75" customHeight="1">
      <c r="A117" s="344"/>
      <c r="B117" s="344"/>
      <c r="C117" s="74">
        <v>6</v>
      </c>
      <c r="D117" s="344"/>
      <c r="E117" s="75" t="s">
        <v>3744</v>
      </c>
      <c r="F117" s="74" t="s">
        <v>361</v>
      </c>
      <c r="G117" s="74" t="s">
        <v>524</v>
      </c>
      <c r="H117" s="75" t="s">
        <v>3745</v>
      </c>
      <c r="I117" s="80" t="s">
        <v>3737</v>
      </c>
      <c r="J117" s="84"/>
      <c r="K117" s="25" t="s">
        <v>294</v>
      </c>
      <c r="L117" s="57"/>
      <c r="M117" s="43"/>
      <c r="N117" s="79"/>
      <c r="O117" s="28"/>
      <c r="P117" s="25"/>
      <c r="Q117" s="50" t="s">
        <v>140</v>
      </c>
      <c r="R117" s="25" t="s">
        <v>307</v>
      </c>
      <c r="S117" s="50"/>
    </row>
    <row r="118" spans="1:19" ht="15.75" customHeight="1">
      <c r="A118" s="344"/>
      <c r="B118" s="344"/>
      <c r="C118" s="74">
        <v>7</v>
      </c>
      <c r="D118" s="344"/>
      <c r="E118" s="75" t="s">
        <v>3746</v>
      </c>
      <c r="F118" s="74" t="s">
        <v>361</v>
      </c>
      <c r="G118" s="74" t="s">
        <v>524</v>
      </c>
      <c r="H118" s="75" t="s">
        <v>3747</v>
      </c>
      <c r="I118" s="80" t="s">
        <v>3734</v>
      </c>
      <c r="J118" s="84"/>
      <c r="K118" s="25" t="s">
        <v>294</v>
      </c>
      <c r="L118" s="57"/>
      <c r="M118" s="43"/>
      <c r="N118" s="79"/>
      <c r="O118" s="28"/>
      <c r="P118" s="25"/>
      <c r="Q118" s="50" t="s">
        <v>140</v>
      </c>
      <c r="R118" s="25" t="s">
        <v>307</v>
      </c>
      <c r="S118" s="50"/>
    </row>
    <row r="119" spans="1:19" ht="15.75" customHeight="1">
      <c r="A119" s="344"/>
      <c r="B119" s="344"/>
      <c r="C119" s="74">
        <v>8</v>
      </c>
      <c r="D119" s="344"/>
      <c r="E119" s="75" t="s">
        <v>3748</v>
      </c>
      <c r="F119" s="74" t="s">
        <v>361</v>
      </c>
      <c r="G119" s="74" t="s">
        <v>524</v>
      </c>
      <c r="H119" s="75" t="s">
        <v>3749</v>
      </c>
      <c r="I119" s="80" t="s">
        <v>3734</v>
      </c>
      <c r="J119" s="84"/>
      <c r="K119" s="25" t="s">
        <v>294</v>
      </c>
      <c r="L119" s="57"/>
      <c r="M119" s="43"/>
      <c r="N119" s="79"/>
      <c r="O119" s="28"/>
      <c r="P119" s="25"/>
      <c r="Q119" s="50" t="s">
        <v>140</v>
      </c>
      <c r="R119" s="25" t="s">
        <v>307</v>
      </c>
      <c r="S119" s="50"/>
    </row>
    <row r="120" spans="1:19" ht="15.75" customHeight="1">
      <c r="A120" s="344"/>
      <c r="B120" s="344"/>
      <c r="C120" s="74">
        <v>9</v>
      </c>
      <c r="D120" s="344"/>
      <c r="E120" s="364" t="s">
        <v>3750</v>
      </c>
      <c r="F120" s="74" t="s">
        <v>361</v>
      </c>
      <c r="G120" s="74" t="s">
        <v>524</v>
      </c>
      <c r="H120" s="364" t="s">
        <v>3751</v>
      </c>
      <c r="I120" s="80" t="s">
        <v>3737</v>
      </c>
      <c r="J120" s="84"/>
      <c r="K120" s="25" t="s">
        <v>294</v>
      </c>
      <c r="L120" s="57"/>
      <c r="M120" s="43"/>
      <c r="N120" s="79"/>
      <c r="O120" s="28"/>
      <c r="P120" s="25"/>
      <c r="Q120" s="50" t="s">
        <v>140</v>
      </c>
      <c r="R120" s="25" t="s">
        <v>307</v>
      </c>
      <c r="S120" s="50"/>
    </row>
    <row r="121" spans="1:19" ht="15.75" customHeight="1">
      <c r="A121" s="344"/>
      <c r="B121" s="344"/>
      <c r="C121" s="74">
        <v>10</v>
      </c>
      <c r="D121" s="344"/>
      <c r="E121" s="344"/>
      <c r="F121" s="74" t="s">
        <v>361</v>
      </c>
      <c r="G121" s="74" t="s">
        <v>524</v>
      </c>
      <c r="H121" s="345"/>
      <c r="I121" s="80" t="s">
        <v>3752</v>
      </c>
      <c r="J121" s="84"/>
      <c r="K121" s="25" t="s">
        <v>294</v>
      </c>
      <c r="L121" s="57"/>
      <c r="M121" s="43"/>
      <c r="N121" s="79"/>
      <c r="O121" s="28"/>
      <c r="P121" s="25"/>
      <c r="Q121" s="50" t="s">
        <v>140</v>
      </c>
      <c r="R121" s="25" t="s">
        <v>307</v>
      </c>
      <c r="S121" s="50"/>
    </row>
    <row r="122" spans="1:19" ht="15.75" customHeight="1">
      <c r="A122" s="344"/>
      <c r="B122" s="344"/>
      <c r="C122" s="74">
        <v>11</v>
      </c>
      <c r="D122" s="344"/>
      <c r="E122" s="344"/>
      <c r="F122" s="74" t="s">
        <v>361</v>
      </c>
      <c r="G122" s="74" t="s">
        <v>524</v>
      </c>
      <c r="H122" s="80" t="s">
        <v>3753</v>
      </c>
      <c r="I122" s="80" t="s">
        <v>3754</v>
      </c>
      <c r="J122" s="84"/>
      <c r="K122" s="25" t="s">
        <v>294</v>
      </c>
      <c r="L122" s="57"/>
      <c r="M122" s="43"/>
      <c r="N122" s="79"/>
      <c r="O122" s="28"/>
      <c r="P122" s="25"/>
      <c r="Q122" s="50" t="s">
        <v>140</v>
      </c>
      <c r="R122" s="25" t="s">
        <v>307</v>
      </c>
      <c r="S122" s="50"/>
    </row>
    <row r="123" spans="1:19" ht="15.75" customHeight="1">
      <c r="A123" s="344"/>
      <c r="B123" s="345"/>
      <c r="C123" s="74">
        <v>12</v>
      </c>
      <c r="D123" s="345"/>
      <c r="E123" s="80" t="s">
        <v>3755</v>
      </c>
      <c r="F123" s="74" t="s">
        <v>361</v>
      </c>
      <c r="G123" s="74" t="s">
        <v>524</v>
      </c>
      <c r="H123" s="80" t="s">
        <v>3756</v>
      </c>
      <c r="I123" s="80" t="s">
        <v>3734</v>
      </c>
      <c r="J123" s="84"/>
      <c r="K123" s="25" t="s">
        <v>294</v>
      </c>
      <c r="L123" s="57"/>
      <c r="M123" s="43"/>
      <c r="N123" s="79"/>
      <c r="O123" s="28"/>
      <c r="P123" s="25"/>
      <c r="Q123" s="50" t="s">
        <v>140</v>
      </c>
      <c r="R123" s="25" t="s">
        <v>307</v>
      </c>
      <c r="S123" s="50"/>
    </row>
    <row r="124" spans="1:19" ht="15.75" customHeight="1">
      <c r="A124" s="344"/>
      <c r="B124" s="367" t="s">
        <v>225</v>
      </c>
      <c r="C124" s="111">
        <v>1</v>
      </c>
      <c r="D124" s="366" t="s">
        <v>3757</v>
      </c>
      <c r="E124" s="366" t="s">
        <v>3758</v>
      </c>
      <c r="F124" s="111" t="s">
        <v>361</v>
      </c>
      <c r="G124" s="111" t="s">
        <v>524</v>
      </c>
      <c r="H124" s="83" t="s">
        <v>3759</v>
      </c>
      <c r="I124" s="83" t="s">
        <v>3737</v>
      </c>
      <c r="J124" s="271"/>
      <c r="K124" s="25" t="s">
        <v>294</v>
      </c>
      <c r="L124" s="57"/>
      <c r="M124" s="43"/>
      <c r="N124" s="79"/>
      <c r="O124" s="28"/>
      <c r="P124" s="25"/>
      <c r="Q124" s="50" t="s">
        <v>140</v>
      </c>
      <c r="R124" s="25" t="s">
        <v>307</v>
      </c>
      <c r="S124" s="50"/>
    </row>
    <row r="125" spans="1:19" ht="15.75" customHeight="1">
      <c r="A125" s="344"/>
      <c r="B125" s="344"/>
      <c r="C125" s="111">
        <v>2</v>
      </c>
      <c r="D125" s="344"/>
      <c r="E125" s="345"/>
      <c r="F125" s="111" t="s">
        <v>361</v>
      </c>
      <c r="G125" s="111" t="s">
        <v>524</v>
      </c>
      <c r="H125" s="83" t="s">
        <v>3760</v>
      </c>
      <c r="I125" s="83" t="s">
        <v>3761</v>
      </c>
      <c r="J125" s="271"/>
      <c r="K125" s="25" t="s">
        <v>294</v>
      </c>
      <c r="L125" s="57"/>
      <c r="M125" s="43"/>
      <c r="N125" s="79"/>
      <c r="O125" s="28"/>
      <c r="P125" s="25"/>
      <c r="Q125" s="50" t="s">
        <v>140</v>
      </c>
      <c r="R125" s="25" t="s">
        <v>307</v>
      </c>
      <c r="S125" s="50"/>
    </row>
    <row r="126" spans="1:19" ht="15.75" customHeight="1">
      <c r="A126" s="344"/>
      <c r="B126" s="344"/>
      <c r="C126" s="111">
        <v>3</v>
      </c>
      <c r="D126" s="344"/>
      <c r="E126" s="366" t="s">
        <v>3762</v>
      </c>
      <c r="F126" s="111" t="s">
        <v>361</v>
      </c>
      <c r="G126" s="111" t="s">
        <v>524</v>
      </c>
      <c r="H126" s="83" t="s">
        <v>3763</v>
      </c>
      <c r="I126" s="83" t="s">
        <v>3737</v>
      </c>
      <c r="J126" s="271"/>
      <c r="K126" s="25" t="s">
        <v>294</v>
      </c>
      <c r="L126" s="57"/>
      <c r="M126" s="43"/>
      <c r="N126" s="79"/>
      <c r="O126" s="28"/>
      <c r="P126" s="25"/>
      <c r="Q126" s="50" t="s">
        <v>140</v>
      </c>
      <c r="R126" s="25" t="s">
        <v>307</v>
      </c>
      <c r="S126" s="50"/>
    </row>
    <row r="127" spans="1:19" ht="15.75" customHeight="1">
      <c r="A127" s="344"/>
      <c r="B127" s="344"/>
      <c r="C127" s="111">
        <v>4</v>
      </c>
      <c r="D127" s="344"/>
      <c r="E127" s="345"/>
      <c r="F127" s="111" t="s">
        <v>361</v>
      </c>
      <c r="G127" s="111" t="s">
        <v>524</v>
      </c>
      <c r="H127" s="83" t="s">
        <v>3760</v>
      </c>
      <c r="I127" s="83" t="s">
        <v>3761</v>
      </c>
      <c r="J127" s="271"/>
      <c r="K127" s="25" t="s">
        <v>294</v>
      </c>
      <c r="L127" s="57"/>
      <c r="M127" s="43"/>
      <c r="N127" s="79"/>
      <c r="O127" s="28"/>
      <c r="P127" s="25"/>
      <c r="Q127" s="50" t="s">
        <v>140</v>
      </c>
      <c r="R127" s="25" t="s">
        <v>307</v>
      </c>
      <c r="S127" s="50"/>
    </row>
    <row r="128" spans="1:19" ht="15.75" customHeight="1">
      <c r="A128" s="344"/>
      <c r="B128" s="344"/>
      <c r="C128" s="111">
        <v>5</v>
      </c>
      <c r="D128" s="344"/>
      <c r="E128" s="366" t="s">
        <v>3764</v>
      </c>
      <c r="F128" s="111" t="s">
        <v>361</v>
      </c>
      <c r="G128" s="111" t="s">
        <v>524</v>
      </c>
      <c r="H128" s="83" t="s">
        <v>3765</v>
      </c>
      <c r="I128" s="83" t="s">
        <v>3737</v>
      </c>
      <c r="J128" s="271"/>
      <c r="K128" s="25" t="s">
        <v>294</v>
      </c>
      <c r="L128" s="57"/>
      <c r="M128" s="43"/>
      <c r="N128" s="79"/>
      <c r="O128" s="28"/>
      <c r="P128" s="25"/>
      <c r="Q128" s="50" t="s">
        <v>140</v>
      </c>
      <c r="R128" s="25" t="s">
        <v>307</v>
      </c>
      <c r="S128" s="50"/>
    </row>
    <row r="129" spans="1:19" ht="15.75" customHeight="1">
      <c r="A129" s="345"/>
      <c r="B129" s="345"/>
      <c r="C129" s="111">
        <v>6</v>
      </c>
      <c r="D129" s="345"/>
      <c r="E129" s="345"/>
      <c r="F129" s="111" t="s">
        <v>361</v>
      </c>
      <c r="G129" s="111" t="s">
        <v>524</v>
      </c>
      <c r="H129" s="83" t="s">
        <v>3766</v>
      </c>
      <c r="I129" s="83" t="s">
        <v>3737</v>
      </c>
      <c r="J129" s="271"/>
      <c r="K129" s="25" t="s">
        <v>294</v>
      </c>
      <c r="L129" s="57"/>
      <c r="M129" s="43"/>
      <c r="N129" s="79"/>
      <c r="O129" s="28"/>
      <c r="P129" s="25"/>
      <c r="Q129" s="50" t="s">
        <v>140</v>
      </c>
      <c r="R129" s="25" t="s">
        <v>307</v>
      </c>
      <c r="S129" s="50"/>
    </row>
    <row r="130" spans="1:19" ht="15.75" customHeight="1">
      <c r="A130" s="364" t="s">
        <v>3767</v>
      </c>
      <c r="B130" s="363" t="s">
        <v>226</v>
      </c>
      <c r="C130" s="74">
        <v>1</v>
      </c>
      <c r="D130" s="364" t="s">
        <v>3768</v>
      </c>
      <c r="E130" s="80" t="s">
        <v>3769</v>
      </c>
      <c r="F130" s="74" t="s">
        <v>361</v>
      </c>
      <c r="G130" s="74" t="s">
        <v>524</v>
      </c>
      <c r="H130" s="80" t="s">
        <v>3770</v>
      </c>
      <c r="I130" s="80" t="s">
        <v>3771</v>
      </c>
      <c r="J130" s="84"/>
      <c r="K130" s="25" t="s">
        <v>294</v>
      </c>
      <c r="L130" s="57"/>
      <c r="M130" s="43"/>
      <c r="N130" s="79"/>
      <c r="O130" s="28"/>
      <c r="P130" s="25"/>
      <c r="Q130" s="50" t="s">
        <v>140</v>
      </c>
      <c r="R130" s="25" t="s">
        <v>307</v>
      </c>
      <c r="S130" s="50"/>
    </row>
    <row r="131" spans="1:19" ht="15.75" customHeight="1">
      <c r="A131" s="344"/>
      <c r="B131" s="344"/>
      <c r="C131" s="74">
        <v>2</v>
      </c>
      <c r="D131" s="344"/>
      <c r="E131" s="80" t="s">
        <v>3772</v>
      </c>
      <c r="F131" s="74" t="s">
        <v>361</v>
      </c>
      <c r="G131" s="74" t="s">
        <v>524</v>
      </c>
      <c r="H131" s="80" t="s">
        <v>3773</v>
      </c>
      <c r="I131" s="80" t="s">
        <v>3774</v>
      </c>
      <c r="J131" s="84"/>
      <c r="K131" s="25" t="s">
        <v>294</v>
      </c>
      <c r="L131" s="57"/>
      <c r="M131" s="43"/>
      <c r="N131" s="79"/>
      <c r="O131" s="28"/>
      <c r="P131" s="25"/>
      <c r="Q131" s="50" t="s">
        <v>140</v>
      </c>
      <c r="R131" s="25" t="s">
        <v>307</v>
      </c>
      <c r="S131" s="50"/>
    </row>
    <row r="132" spans="1:19" ht="15.75" customHeight="1">
      <c r="A132" s="344"/>
      <c r="B132" s="344"/>
      <c r="C132" s="74">
        <v>3</v>
      </c>
      <c r="D132" s="344"/>
      <c r="E132" s="364" t="s">
        <v>3775</v>
      </c>
      <c r="F132" s="74" t="s">
        <v>361</v>
      </c>
      <c r="G132" s="74" t="s">
        <v>524</v>
      </c>
      <c r="H132" s="80" t="s">
        <v>3776</v>
      </c>
      <c r="I132" s="80" t="s">
        <v>3777</v>
      </c>
      <c r="J132" s="84"/>
      <c r="K132" s="25"/>
      <c r="L132" s="57"/>
      <c r="M132" s="43"/>
      <c r="N132" s="79"/>
      <c r="O132" s="28"/>
      <c r="P132" s="25"/>
      <c r="Q132" s="50" t="s">
        <v>282</v>
      </c>
      <c r="R132" s="25" t="s">
        <v>307</v>
      </c>
      <c r="S132" s="50"/>
    </row>
    <row r="133" spans="1:19" ht="15.75" customHeight="1">
      <c r="A133" s="344"/>
      <c r="B133" s="344"/>
      <c r="C133" s="74">
        <v>4</v>
      </c>
      <c r="D133" s="344"/>
      <c r="E133" s="345"/>
      <c r="F133" s="74" t="s">
        <v>361</v>
      </c>
      <c r="G133" s="74" t="s">
        <v>524</v>
      </c>
      <c r="H133" s="80" t="s">
        <v>3778</v>
      </c>
      <c r="I133" s="80" t="s">
        <v>3777</v>
      </c>
      <c r="J133" s="84"/>
      <c r="K133" s="25"/>
      <c r="L133" s="57"/>
      <c r="M133" s="43"/>
      <c r="N133" s="79"/>
      <c r="O133" s="28"/>
      <c r="P133" s="25"/>
      <c r="Q133" s="50" t="s">
        <v>282</v>
      </c>
      <c r="R133" s="25" t="s">
        <v>307</v>
      </c>
      <c r="S133" s="50"/>
    </row>
    <row r="134" spans="1:19" ht="15.75" customHeight="1">
      <c r="A134" s="344"/>
      <c r="B134" s="344"/>
      <c r="C134" s="74">
        <v>5</v>
      </c>
      <c r="D134" s="344"/>
      <c r="E134" s="364" t="s">
        <v>3779</v>
      </c>
      <c r="F134" s="74" t="s">
        <v>361</v>
      </c>
      <c r="G134" s="74" t="s">
        <v>524</v>
      </c>
      <c r="H134" s="80" t="s">
        <v>3780</v>
      </c>
      <c r="I134" s="80" t="s">
        <v>3781</v>
      </c>
      <c r="J134" s="84"/>
      <c r="K134" s="25"/>
      <c r="L134" s="57"/>
      <c r="M134" s="43"/>
      <c r="N134" s="79"/>
      <c r="O134" s="28"/>
      <c r="P134" s="25"/>
      <c r="Q134" s="50" t="s">
        <v>282</v>
      </c>
      <c r="R134" s="25" t="s">
        <v>307</v>
      </c>
      <c r="S134" s="50"/>
    </row>
    <row r="135" spans="1:19" ht="15.75" customHeight="1">
      <c r="A135" s="345"/>
      <c r="B135" s="345"/>
      <c r="C135" s="74">
        <v>6</v>
      </c>
      <c r="D135" s="345"/>
      <c r="E135" s="345"/>
      <c r="F135" s="74" t="s">
        <v>361</v>
      </c>
      <c r="G135" s="74" t="s">
        <v>524</v>
      </c>
      <c r="H135" s="80" t="s">
        <v>3782</v>
      </c>
      <c r="I135" s="80" t="s">
        <v>3783</v>
      </c>
      <c r="J135" s="84"/>
      <c r="K135" s="25"/>
      <c r="L135" s="57"/>
      <c r="M135" s="43"/>
      <c r="N135" s="79"/>
      <c r="O135" s="28"/>
      <c r="P135" s="25"/>
      <c r="Q135" s="50" t="s">
        <v>282</v>
      </c>
      <c r="R135" s="25" t="s">
        <v>307</v>
      </c>
      <c r="S135" s="50"/>
    </row>
    <row r="136" spans="1:19" ht="15.75" customHeight="1">
      <c r="A136" s="364" t="s">
        <v>3784</v>
      </c>
      <c r="B136" s="363" t="s">
        <v>227</v>
      </c>
      <c r="C136" s="74">
        <v>1</v>
      </c>
      <c r="D136" s="364" t="s">
        <v>3785</v>
      </c>
      <c r="E136" s="80" t="s">
        <v>3786</v>
      </c>
      <c r="F136" s="74" t="s">
        <v>361</v>
      </c>
      <c r="G136" s="74" t="s">
        <v>524</v>
      </c>
      <c r="H136" s="80" t="s">
        <v>3787</v>
      </c>
      <c r="I136" s="80" t="s">
        <v>3788</v>
      </c>
      <c r="J136" s="84"/>
      <c r="K136" s="25"/>
      <c r="L136" s="57"/>
      <c r="M136" s="43"/>
      <c r="N136" s="79"/>
      <c r="O136" s="28"/>
      <c r="P136" s="25"/>
      <c r="Q136" s="50" t="s">
        <v>282</v>
      </c>
      <c r="R136" s="25" t="s">
        <v>307</v>
      </c>
      <c r="S136" s="50"/>
    </row>
    <row r="137" spans="1:19" ht="15.75" customHeight="1">
      <c r="A137" s="345"/>
      <c r="B137" s="345"/>
      <c r="C137" s="74">
        <v>2</v>
      </c>
      <c r="D137" s="345"/>
      <c r="E137" s="80" t="s">
        <v>3789</v>
      </c>
      <c r="F137" s="74" t="s">
        <v>3790</v>
      </c>
      <c r="G137" s="74" t="s">
        <v>524</v>
      </c>
      <c r="H137" s="80" t="s">
        <v>3791</v>
      </c>
      <c r="I137" s="80" t="s">
        <v>3792</v>
      </c>
      <c r="J137" s="84"/>
      <c r="K137" s="25"/>
      <c r="L137" s="57"/>
      <c r="M137" s="43"/>
      <c r="N137" s="79"/>
      <c r="O137" s="28"/>
      <c r="P137" s="25"/>
      <c r="Q137" s="50" t="s">
        <v>282</v>
      </c>
      <c r="R137" s="25" t="s">
        <v>307</v>
      </c>
      <c r="S137" s="50"/>
    </row>
    <row r="138" spans="1:19" ht="15.75" customHeight="1">
      <c r="A138" s="364" t="s">
        <v>3793</v>
      </c>
      <c r="B138" s="363" t="s">
        <v>3794</v>
      </c>
      <c r="C138" s="191">
        <v>1</v>
      </c>
      <c r="D138" s="398" t="s">
        <v>3795</v>
      </c>
      <c r="E138" s="398" t="s">
        <v>3796</v>
      </c>
      <c r="F138" s="74" t="s">
        <v>361</v>
      </c>
      <c r="G138" s="74" t="s">
        <v>524</v>
      </c>
      <c r="H138" s="80" t="s">
        <v>3797</v>
      </c>
      <c r="I138" s="80" t="s">
        <v>3798</v>
      </c>
      <c r="J138" s="84"/>
      <c r="K138" s="25"/>
      <c r="L138" s="57"/>
      <c r="M138" s="43"/>
      <c r="N138" s="79"/>
      <c r="O138" s="28"/>
      <c r="P138" s="25"/>
      <c r="Q138" s="50" t="s">
        <v>282</v>
      </c>
      <c r="R138" s="25" t="s">
        <v>307</v>
      </c>
      <c r="S138" s="50"/>
    </row>
    <row r="139" spans="1:19" ht="15.75" customHeight="1">
      <c r="A139" s="344"/>
      <c r="B139" s="344"/>
      <c r="C139" s="191">
        <v>2</v>
      </c>
      <c r="D139" s="348"/>
      <c r="E139" s="346"/>
      <c r="F139" s="74" t="s">
        <v>361</v>
      </c>
      <c r="G139" s="74" t="s">
        <v>524</v>
      </c>
      <c r="H139" s="80" t="s">
        <v>3799</v>
      </c>
      <c r="I139" s="80" t="s">
        <v>3798</v>
      </c>
      <c r="J139" s="84"/>
      <c r="K139" s="25"/>
      <c r="L139" s="57"/>
      <c r="M139" s="43"/>
      <c r="N139" s="79"/>
      <c r="O139" s="28"/>
      <c r="P139" s="25"/>
      <c r="Q139" s="50" t="s">
        <v>282</v>
      </c>
      <c r="R139" s="25" t="s">
        <v>307</v>
      </c>
      <c r="S139" s="50"/>
    </row>
    <row r="140" spans="1:19" ht="15.75" customHeight="1">
      <c r="A140" s="344"/>
      <c r="B140" s="344"/>
      <c r="C140" s="191">
        <v>3</v>
      </c>
      <c r="D140" s="348"/>
      <c r="E140" s="398" t="s">
        <v>3800</v>
      </c>
      <c r="F140" s="74" t="s">
        <v>361</v>
      </c>
      <c r="G140" s="74" t="s">
        <v>524</v>
      </c>
      <c r="H140" s="80" t="s">
        <v>3801</v>
      </c>
      <c r="I140" s="80" t="s">
        <v>3802</v>
      </c>
      <c r="J140" s="84"/>
      <c r="K140" s="25"/>
      <c r="L140" s="57"/>
      <c r="M140" s="43"/>
      <c r="N140" s="79"/>
      <c r="O140" s="28"/>
      <c r="P140" s="25"/>
      <c r="Q140" s="50" t="s">
        <v>282</v>
      </c>
      <c r="R140" s="25" t="s">
        <v>307</v>
      </c>
      <c r="S140" s="50"/>
    </row>
    <row r="141" spans="1:19" ht="15.75" customHeight="1">
      <c r="A141" s="344"/>
      <c r="B141" s="344"/>
      <c r="C141" s="191">
        <v>4</v>
      </c>
      <c r="D141" s="348"/>
      <c r="E141" s="348"/>
      <c r="F141" s="74" t="s">
        <v>361</v>
      </c>
      <c r="G141" s="74" t="s">
        <v>524</v>
      </c>
      <c r="H141" s="80" t="s">
        <v>3803</v>
      </c>
      <c r="I141" s="80" t="s">
        <v>3804</v>
      </c>
      <c r="J141" s="84"/>
      <c r="K141" s="25"/>
      <c r="L141" s="57"/>
      <c r="M141" s="43"/>
      <c r="N141" s="79"/>
      <c r="O141" s="28"/>
      <c r="P141" s="25"/>
      <c r="Q141" s="50" t="s">
        <v>282</v>
      </c>
      <c r="R141" s="25" t="s">
        <v>307</v>
      </c>
      <c r="S141" s="50"/>
    </row>
    <row r="142" spans="1:19" ht="15.75" customHeight="1">
      <c r="A142" s="344"/>
      <c r="B142" s="344"/>
      <c r="C142" s="191">
        <v>5</v>
      </c>
      <c r="D142" s="348"/>
      <c r="E142" s="348"/>
      <c r="F142" s="74" t="s">
        <v>361</v>
      </c>
      <c r="G142" s="74" t="s">
        <v>524</v>
      </c>
      <c r="H142" s="364" t="s">
        <v>3805</v>
      </c>
      <c r="I142" s="80" t="s">
        <v>3806</v>
      </c>
      <c r="J142" s="84"/>
      <c r="K142" s="25"/>
      <c r="L142" s="57"/>
      <c r="M142" s="43"/>
      <c r="N142" s="79"/>
      <c r="O142" s="28"/>
      <c r="P142" s="25"/>
      <c r="Q142" s="50" t="s">
        <v>282</v>
      </c>
      <c r="R142" s="25" t="s">
        <v>307</v>
      </c>
      <c r="S142" s="50"/>
    </row>
    <row r="143" spans="1:19" ht="15.75" customHeight="1">
      <c r="A143" s="344"/>
      <c r="B143" s="344"/>
      <c r="C143" s="191">
        <v>6</v>
      </c>
      <c r="D143" s="348"/>
      <c r="E143" s="346"/>
      <c r="F143" s="74" t="s">
        <v>361</v>
      </c>
      <c r="G143" s="74" t="s">
        <v>524</v>
      </c>
      <c r="H143" s="345"/>
      <c r="I143" s="80" t="s">
        <v>3807</v>
      </c>
      <c r="J143" s="84"/>
      <c r="K143" s="25"/>
      <c r="L143" s="57"/>
      <c r="M143" s="43"/>
      <c r="N143" s="79"/>
      <c r="O143" s="28"/>
      <c r="P143" s="25"/>
      <c r="Q143" s="50" t="s">
        <v>282</v>
      </c>
      <c r="R143" s="25" t="s">
        <v>307</v>
      </c>
      <c r="S143" s="50"/>
    </row>
    <row r="144" spans="1:19" ht="15.75" customHeight="1">
      <c r="A144" s="344"/>
      <c r="B144" s="344"/>
      <c r="C144" s="191">
        <v>7</v>
      </c>
      <c r="D144" s="348"/>
      <c r="E144" s="398" t="s">
        <v>3808</v>
      </c>
      <c r="F144" s="74" t="s">
        <v>361</v>
      </c>
      <c r="G144" s="74" t="s">
        <v>524</v>
      </c>
      <c r="H144" s="80" t="s">
        <v>3809</v>
      </c>
      <c r="I144" s="80" t="s">
        <v>3810</v>
      </c>
      <c r="J144" s="84"/>
      <c r="K144" s="25" t="s">
        <v>294</v>
      </c>
      <c r="L144" s="57"/>
      <c r="M144" s="43"/>
      <c r="N144" s="79"/>
      <c r="O144" s="28"/>
      <c r="P144" s="25"/>
      <c r="Q144" s="50" t="s">
        <v>140</v>
      </c>
      <c r="R144" s="25" t="s">
        <v>307</v>
      </c>
      <c r="S144" s="50"/>
    </row>
    <row r="145" spans="1:19" ht="15.75" customHeight="1">
      <c r="A145" s="344"/>
      <c r="B145" s="344"/>
      <c r="C145" s="191">
        <v>8</v>
      </c>
      <c r="D145" s="348"/>
      <c r="E145" s="346"/>
      <c r="F145" s="74" t="s">
        <v>361</v>
      </c>
      <c r="G145" s="74" t="s">
        <v>524</v>
      </c>
      <c r="H145" s="80" t="s">
        <v>3811</v>
      </c>
      <c r="I145" s="80" t="s">
        <v>3812</v>
      </c>
      <c r="J145" s="84"/>
      <c r="K145" s="25"/>
      <c r="L145" s="57"/>
      <c r="M145" s="43"/>
      <c r="N145" s="79"/>
      <c r="O145" s="28"/>
      <c r="P145" s="25"/>
      <c r="Q145" s="50" t="s">
        <v>282</v>
      </c>
      <c r="R145" s="25" t="s">
        <v>307</v>
      </c>
      <c r="S145" s="50"/>
    </row>
    <row r="146" spans="1:19" ht="15.75" customHeight="1">
      <c r="A146" s="344"/>
      <c r="B146" s="344"/>
      <c r="C146" s="191">
        <v>9</v>
      </c>
      <c r="D146" s="348"/>
      <c r="E146" s="399" t="s">
        <v>3813</v>
      </c>
      <c r="F146" s="192" t="s">
        <v>361</v>
      </c>
      <c r="G146" s="192" t="s">
        <v>524</v>
      </c>
      <c r="H146" s="35" t="s">
        <v>3814</v>
      </c>
      <c r="I146" s="35" t="s">
        <v>3815</v>
      </c>
      <c r="J146" s="172"/>
      <c r="K146" s="25" t="s">
        <v>294</v>
      </c>
      <c r="L146" s="57"/>
      <c r="M146" s="43"/>
      <c r="N146" s="79"/>
      <c r="O146" s="28"/>
      <c r="P146" s="25"/>
      <c r="Q146" s="50" t="s">
        <v>140</v>
      </c>
      <c r="R146" s="25" t="s">
        <v>307</v>
      </c>
      <c r="S146" s="50"/>
    </row>
    <row r="147" spans="1:19" ht="15.75" customHeight="1">
      <c r="A147" s="344"/>
      <c r="B147" s="344"/>
      <c r="C147" s="191">
        <v>10</v>
      </c>
      <c r="D147" s="348"/>
      <c r="E147" s="346"/>
      <c r="F147" s="192" t="s">
        <v>361</v>
      </c>
      <c r="G147" s="192" t="s">
        <v>524</v>
      </c>
      <c r="H147" s="80" t="s">
        <v>3811</v>
      </c>
      <c r="I147" s="80" t="s">
        <v>3816</v>
      </c>
      <c r="J147" s="84"/>
      <c r="K147" s="25"/>
      <c r="L147" s="57"/>
      <c r="M147" s="43"/>
      <c r="N147" s="79"/>
      <c r="O147" s="28"/>
      <c r="P147" s="25"/>
      <c r="Q147" s="50" t="s">
        <v>282</v>
      </c>
      <c r="R147" s="25" t="s">
        <v>307</v>
      </c>
      <c r="S147" s="50"/>
    </row>
    <row r="148" spans="1:19" ht="15.75" customHeight="1">
      <c r="A148" s="344"/>
      <c r="B148" s="344"/>
      <c r="C148" s="191">
        <v>11</v>
      </c>
      <c r="D148" s="348"/>
      <c r="E148" s="193" t="s">
        <v>3817</v>
      </c>
      <c r="F148" s="74" t="s">
        <v>361</v>
      </c>
      <c r="G148" s="74" t="s">
        <v>524</v>
      </c>
      <c r="H148" s="80" t="s">
        <v>3818</v>
      </c>
      <c r="I148" s="80" t="s">
        <v>3819</v>
      </c>
      <c r="J148" s="84"/>
      <c r="K148" s="25"/>
      <c r="L148" s="57"/>
      <c r="M148" s="43"/>
      <c r="N148" s="79"/>
      <c r="O148" s="28"/>
      <c r="P148" s="25"/>
      <c r="Q148" s="50" t="s">
        <v>282</v>
      </c>
      <c r="R148" s="25" t="s">
        <v>307</v>
      </c>
      <c r="S148" s="50"/>
    </row>
    <row r="149" spans="1:19" ht="15.75" customHeight="1">
      <c r="A149" s="344"/>
      <c r="B149" s="344"/>
      <c r="C149" s="191">
        <v>12</v>
      </c>
      <c r="D149" s="348"/>
      <c r="E149" s="193" t="s">
        <v>3820</v>
      </c>
      <c r="F149" s="74" t="s">
        <v>361</v>
      </c>
      <c r="G149" s="74" t="s">
        <v>524</v>
      </c>
      <c r="H149" s="80" t="s">
        <v>3821</v>
      </c>
      <c r="I149" s="80" t="s">
        <v>3822</v>
      </c>
      <c r="J149" s="84"/>
      <c r="K149" s="25"/>
      <c r="L149" s="57"/>
      <c r="M149" s="43"/>
      <c r="N149" s="79"/>
      <c r="O149" s="28"/>
      <c r="P149" s="25"/>
      <c r="Q149" s="50" t="s">
        <v>282</v>
      </c>
      <c r="R149" s="25" t="s">
        <v>307</v>
      </c>
      <c r="S149" s="50"/>
    </row>
    <row r="150" spans="1:19" ht="15.75" customHeight="1">
      <c r="A150" s="344"/>
      <c r="B150" s="344"/>
      <c r="C150" s="191">
        <v>13</v>
      </c>
      <c r="D150" s="348"/>
      <c r="E150" s="398" t="s">
        <v>3823</v>
      </c>
      <c r="F150" s="74" t="s">
        <v>361</v>
      </c>
      <c r="G150" s="74" t="s">
        <v>524</v>
      </c>
      <c r="H150" s="80" t="s">
        <v>3824</v>
      </c>
      <c r="I150" s="80" t="s">
        <v>3825</v>
      </c>
      <c r="J150" s="84"/>
      <c r="K150" s="25"/>
      <c r="L150" s="57"/>
      <c r="M150" s="43"/>
      <c r="N150" s="79"/>
      <c r="O150" s="28"/>
      <c r="P150" s="25"/>
      <c r="Q150" s="50" t="s">
        <v>282</v>
      </c>
      <c r="R150" s="25" t="s">
        <v>307</v>
      </c>
      <c r="S150" s="50"/>
    </row>
    <row r="151" spans="1:19" ht="15.75" customHeight="1">
      <c r="A151" s="344"/>
      <c r="B151" s="344"/>
      <c r="C151" s="191">
        <v>14</v>
      </c>
      <c r="D151" s="348"/>
      <c r="E151" s="346"/>
      <c r="F151" s="74" t="s">
        <v>361</v>
      </c>
      <c r="G151" s="74" t="s">
        <v>524</v>
      </c>
      <c r="H151" s="80" t="s">
        <v>3719</v>
      </c>
      <c r="I151" s="80" t="s">
        <v>3720</v>
      </c>
      <c r="J151" s="84"/>
      <c r="K151" s="25"/>
      <c r="L151" s="57"/>
      <c r="M151" s="43"/>
      <c r="N151" s="79"/>
      <c r="O151" s="28"/>
      <c r="P151" s="25"/>
      <c r="Q151" s="50" t="s">
        <v>282</v>
      </c>
      <c r="R151" s="25" t="s">
        <v>307</v>
      </c>
      <c r="S151" s="50"/>
    </row>
    <row r="152" spans="1:19" ht="15.75" customHeight="1">
      <c r="A152" s="344"/>
      <c r="B152" s="344"/>
      <c r="C152" s="191">
        <v>15</v>
      </c>
      <c r="D152" s="348"/>
      <c r="E152" s="397" t="s">
        <v>3826</v>
      </c>
      <c r="F152" s="178" t="s">
        <v>361</v>
      </c>
      <c r="G152" s="178" t="s">
        <v>524</v>
      </c>
      <c r="H152" s="80" t="s">
        <v>3827</v>
      </c>
      <c r="I152" s="80" t="s">
        <v>3828</v>
      </c>
      <c r="J152" s="84"/>
      <c r="K152" s="25" t="s">
        <v>294</v>
      </c>
      <c r="L152" s="57"/>
      <c r="M152" s="43"/>
      <c r="N152" s="79"/>
      <c r="O152" s="28"/>
      <c r="P152" s="25"/>
      <c r="Q152" s="50" t="s">
        <v>140</v>
      </c>
      <c r="R152" s="25" t="s">
        <v>307</v>
      </c>
      <c r="S152" s="50"/>
    </row>
    <row r="153" spans="1:19" ht="15.75" customHeight="1">
      <c r="A153" s="344"/>
      <c r="B153" s="344"/>
      <c r="C153" s="191">
        <v>16</v>
      </c>
      <c r="D153" s="348"/>
      <c r="E153" s="344"/>
      <c r="F153" s="178" t="s">
        <v>361</v>
      </c>
      <c r="G153" s="178" t="s">
        <v>524</v>
      </c>
      <c r="H153" s="80" t="s">
        <v>3829</v>
      </c>
      <c r="I153" s="80" t="s">
        <v>3830</v>
      </c>
      <c r="J153" s="84"/>
      <c r="K153" s="25" t="s">
        <v>294</v>
      </c>
      <c r="L153" s="57"/>
      <c r="M153" s="43"/>
      <c r="N153" s="79"/>
      <c r="O153" s="28"/>
      <c r="P153" s="25"/>
      <c r="Q153" s="50" t="s">
        <v>140</v>
      </c>
      <c r="R153" s="25" t="s">
        <v>307</v>
      </c>
      <c r="S153" s="50"/>
    </row>
    <row r="154" spans="1:19" ht="15.75" customHeight="1">
      <c r="A154" s="345"/>
      <c r="B154" s="345"/>
      <c r="C154" s="191">
        <v>17</v>
      </c>
      <c r="D154" s="346"/>
      <c r="E154" s="193" t="s">
        <v>3831</v>
      </c>
      <c r="F154" s="74" t="s">
        <v>361</v>
      </c>
      <c r="G154" s="74" t="s">
        <v>524</v>
      </c>
      <c r="H154" s="80" t="s">
        <v>3832</v>
      </c>
      <c r="I154" s="80" t="s">
        <v>3833</v>
      </c>
      <c r="J154" s="84"/>
      <c r="K154" s="25" t="s">
        <v>294</v>
      </c>
      <c r="L154" s="57"/>
      <c r="M154" s="43"/>
      <c r="N154" s="79"/>
      <c r="O154" s="28"/>
      <c r="P154" s="25"/>
      <c r="Q154" s="50" t="s">
        <v>140</v>
      </c>
      <c r="R154" s="25" t="s">
        <v>307</v>
      </c>
      <c r="S154" s="50"/>
    </row>
    <row r="155" spans="1:19" ht="15.75" customHeight="1">
      <c r="A155" s="364" t="s">
        <v>3834</v>
      </c>
      <c r="B155" s="363" t="s">
        <v>229</v>
      </c>
      <c r="C155" s="74">
        <v>1</v>
      </c>
      <c r="D155" s="364" t="s">
        <v>3835</v>
      </c>
      <c r="E155" s="397" t="s">
        <v>3836</v>
      </c>
      <c r="F155" s="192" t="s">
        <v>361</v>
      </c>
      <c r="G155" s="192" t="s">
        <v>524</v>
      </c>
      <c r="H155" s="80" t="s">
        <v>3837</v>
      </c>
      <c r="I155" s="80" t="s">
        <v>3838</v>
      </c>
      <c r="J155" s="84"/>
      <c r="K155" s="25"/>
      <c r="L155" s="57"/>
      <c r="M155" s="25" t="s">
        <v>3839</v>
      </c>
      <c r="N155" s="79"/>
      <c r="O155" s="28"/>
      <c r="P155" s="25"/>
      <c r="Q155" s="50" t="s">
        <v>282</v>
      </c>
      <c r="R155" s="25" t="s">
        <v>307</v>
      </c>
      <c r="S155" s="50"/>
    </row>
    <row r="156" spans="1:19" ht="15.75" customHeight="1">
      <c r="A156" s="344"/>
      <c r="B156" s="344"/>
      <c r="C156" s="74">
        <v>2</v>
      </c>
      <c r="D156" s="344"/>
      <c r="E156" s="345"/>
      <c r="F156" s="74" t="s">
        <v>361</v>
      </c>
      <c r="G156" s="74" t="s">
        <v>524</v>
      </c>
      <c r="H156" s="80" t="s">
        <v>3840</v>
      </c>
      <c r="I156" s="80" t="s">
        <v>3838</v>
      </c>
      <c r="J156" s="84"/>
      <c r="K156" s="25"/>
      <c r="L156" s="57"/>
      <c r="M156" s="25" t="s">
        <v>3839</v>
      </c>
      <c r="N156" s="79"/>
      <c r="O156" s="28"/>
      <c r="P156" s="25"/>
      <c r="Q156" s="50" t="s">
        <v>282</v>
      </c>
      <c r="R156" s="25" t="s">
        <v>307</v>
      </c>
      <c r="S156" s="50"/>
    </row>
    <row r="157" spans="1:19" ht="15.75" customHeight="1">
      <c r="A157" s="344"/>
      <c r="B157" s="344"/>
      <c r="C157" s="74">
        <v>3</v>
      </c>
      <c r="D157" s="344"/>
      <c r="E157" s="364" t="s">
        <v>3841</v>
      </c>
      <c r="F157" s="74" t="s">
        <v>361</v>
      </c>
      <c r="G157" s="74" t="s">
        <v>524</v>
      </c>
      <c r="H157" s="2" t="s">
        <v>3842</v>
      </c>
      <c r="I157" s="80" t="s">
        <v>3838</v>
      </c>
      <c r="J157" s="84"/>
      <c r="K157" s="25"/>
      <c r="L157" s="57"/>
      <c r="M157" s="25" t="s">
        <v>3839</v>
      </c>
      <c r="N157" s="79"/>
      <c r="O157" s="28"/>
      <c r="P157" s="25"/>
      <c r="Q157" s="50" t="s">
        <v>282</v>
      </c>
      <c r="R157" s="25" t="s">
        <v>307</v>
      </c>
      <c r="S157" s="50"/>
    </row>
    <row r="158" spans="1:19" ht="15.75" customHeight="1">
      <c r="A158" s="345"/>
      <c r="B158" s="345"/>
      <c r="C158" s="74">
        <v>4</v>
      </c>
      <c r="D158" s="345"/>
      <c r="E158" s="345"/>
      <c r="F158" s="192" t="s">
        <v>361</v>
      </c>
      <c r="G158" s="192" t="s">
        <v>524</v>
      </c>
      <c r="H158" s="80" t="s">
        <v>3843</v>
      </c>
      <c r="I158" s="80" t="s">
        <v>3838</v>
      </c>
      <c r="J158" s="84"/>
      <c r="K158" s="25"/>
      <c r="L158" s="57"/>
      <c r="M158" s="25" t="s">
        <v>3839</v>
      </c>
      <c r="N158" s="79"/>
      <c r="O158" s="28"/>
      <c r="P158" s="25"/>
      <c r="Q158" s="50" t="s">
        <v>282</v>
      </c>
      <c r="R158" s="25" t="s">
        <v>307</v>
      </c>
      <c r="S158" s="50"/>
    </row>
    <row r="159" spans="1:19" ht="15.75" customHeight="1">
      <c r="A159" s="68"/>
      <c r="B159" s="68"/>
      <c r="D159" s="194"/>
      <c r="E159" s="69"/>
      <c r="H159" s="195"/>
      <c r="I159" s="196"/>
      <c r="J159" s="196"/>
      <c r="M159" s="68"/>
      <c r="O159" s="68"/>
      <c r="P159" s="68"/>
      <c r="Q159" s="68"/>
      <c r="S159" s="68"/>
    </row>
    <row r="160" spans="1:19" ht="15.75" customHeight="1">
      <c r="A160" s="68"/>
      <c r="B160" s="68"/>
      <c r="D160" s="68"/>
      <c r="E160" s="69"/>
      <c r="M160" s="68"/>
      <c r="O160" s="68"/>
      <c r="P160" s="68"/>
      <c r="Q160" s="68"/>
      <c r="R160" s="68"/>
      <c r="S160" s="68"/>
    </row>
    <row r="161" spans="1:19" ht="15.75" customHeight="1">
      <c r="A161" s="68"/>
      <c r="B161" s="68"/>
      <c r="D161" s="68"/>
      <c r="E161" s="69"/>
      <c r="M161" s="68"/>
      <c r="O161" s="68"/>
      <c r="P161" s="68"/>
      <c r="Q161" s="68"/>
      <c r="R161" s="68"/>
      <c r="S161" s="68"/>
    </row>
    <row r="162" spans="1:19" ht="15.75" customHeight="1">
      <c r="A162" s="68"/>
      <c r="B162" s="68"/>
      <c r="D162" s="68"/>
      <c r="E162" s="69"/>
      <c r="M162" s="68"/>
      <c r="O162" s="68"/>
      <c r="P162" s="68"/>
      <c r="Q162" s="68"/>
      <c r="R162" s="68"/>
      <c r="S162" s="68"/>
    </row>
    <row r="163" spans="1:19" ht="15.75" customHeight="1">
      <c r="A163" s="68"/>
      <c r="B163" s="68"/>
      <c r="D163" s="68"/>
      <c r="E163" s="69"/>
      <c r="M163" s="68"/>
      <c r="O163" s="68"/>
      <c r="P163" s="68"/>
      <c r="Q163" s="68"/>
      <c r="R163" s="68"/>
      <c r="S163" s="68"/>
    </row>
    <row r="164" spans="1:19" ht="15.75" customHeight="1">
      <c r="A164" s="68"/>
      <c r="B164" s="68"/>
      <c r="D164" s="68"/>
      <c r="E164" s="69"/>
      <c r="M164" s="68"/>
      <c r="O164" s="68"/>
      <c r="P164" s="68"/>
      <c r="Q164" s="68"/>
      <c r="R164" s="68"/>
      <c r="S164" s="68"/>
    </row>
    <row r="165" spans="1:19" ht="15.75" customHeight="1">
      <c r="A165" s="68"/>
      <c r="B165" s="68"/>
      <c r="D165" s="68"/>
      <c r="E165" s="69"/>
      <c r="M165" s="68"/>
      <c r="O165" s="68"/>
      <c r="P165" s="68"/>
      <c r="Q165" s="68"/>
      <c r="R165" s="68"/>
      <c r="S165" s="68"/>
    </row>
    <row r="166" spans="1:19" ht="15.75" customHeight="1">
      <c r="A166" s="68"/>
      <c r="B166" s="68"/>
      <c r="D166" s="68"/>
      <c r="E166" s="69"/>
      <c r="M166" s="68"/>
      <c r="O166" s="68"/>
      <c r="P166" s="68"/>
      <c r="Q166" s="68"/>
      <c r="R166" s="68"/>
      <c r="S166" s="68"/>
    </row>
    <row r="167" spans="1:19" ht="15.75" customHeight="1">
      <c r="A167" s="68"/>
      <c r="B167" s="68"/>
      <c r="D167" s="68"/>
      <c r="E167" s="69"/>
      <c r="M167" s="68"/>
      <c r="O167" s="68"/>
      <c r="P167" s="68"/>
      <c r="Q167" s="68"/>
      <c r="R167" s="68"/>
      <c r="S167" s="68"/>
    </row>
    <row r="168" spans="1:19" ht="15.75" customHeight="1">
      <c r="A168" s="68"/>
      <c r="B168" s="68"/>
      <c r="D168" s="68"/>
      <c r="E168" s="69"/>
      <c r="M168" s="68"/>
      <c r="O168" s="68"/>
      <c r="P168" s="68"/>
      <c r="Q168" s="68"/>
      <c r="R168" s="68"/>
      <c r="S168" s="68"/>
    </row>
    <row r="169" spans="1:19" ht="15.75" customHeight="1">
      <c r="A169" s="68"/>
      <c r="B169" s="68"/>
      <c r="D169" s="68"/>
      <c r="E169" s="69"/>
      <c r="M169" s="68"/>
      <c r="O169" s="68"/>
      <c r="P169" s="68"/>
      <c r="Q169" s="68"/>
      <c r="R169" s="68"/>
      <c r="S169" s="68"/>
    </row>
    <row r="170" spans="1:19" ht="15.75" customHeight="1">
      <c r="A170" s="68"/>
      <c r="B170" s="68"/>
      <c r="D170" s="68"/>
      <c r="E170" s="69"/>
      <c r="M170" s="68"/>
      <c r="O170" s="68"/>
      <c r="P170" s="68"/>
      <c r="Q170" s="68"/>
      <c r="R170" s="68"/>
      <c r="S170" s="68"/>
    </row>
    <row r="171" spans="1:19" ht="15.75" customHeight="1">
      <c r="A171" s="68"/>
      <c r="B171" s="68"/>
      <c r="D171" s="68"/>
      <c r="E171" s="69"/>
      <c r="M171" s="68"/>
      <c r="O171" s="68"/>
      <c r="P171" s="68"/>
      <c r="Q171" s="68"/>
      <c r="R171" s="68"/>
      <c r="S171" s="68"/>
    </row>
    <row r="172" spans="1:19" ht="15.75" customHeight="1">
      <c r="A172" s="68"/>
      <c r="B172" s="68"/>
      <c r="D172" s="68"/>
      <c r="E172" s="69"/>
      <c r="M172" s="68"/>
      <c r="O172" s="68"/>
      <c r="P172" s="68"/>
      <c r="Q172" s="68"/>
      <c r="R172" s="68"/>
      <c r="S172" s="68"/>
    </row>
    <row r="173" spans="1:19" ht="15.75" customHeight="1">
      <c r="A173" s="68"/>
      <c r="B173" s="68"/>
      <c r="D173" s="68"/>
      <c r="E173" s="69"/>
      <c r="M173" s="68"/>
      <c r="O173" s="68"/>
      <c r="P173" s="68"/>
      <c r="Q173" s="68"/>
      <c r="R173" s="68"/>
      <c r="S173" s="68"/>
    </row>
    <row r="174" spans="1:19" ht="15.75" customHeight="1">
      <c r="A174" s="68"/>
      <c r="B174" s="68"/>
      <c r="D174" s="68"/>
      <c r="E174" s="69"/>
      <c r="M174" s="68"/>
      <c r="O174" s="68"/>
      <c r="P174" s="68"/>
      <c r="Q174" s="68"/>
      <c r="R174" s="68"/>
      <c r="S174" s="68"/>
    </row>
    <row r="175" spans="1:19" ht="15.75" customHeight="1">
      <c r="A175" s="68"/>
      <c r="B175" s="68"/>
      <c r="D175" s="68"/>
      <c r="E175" s="69"/>
      <c r="M175" s="68"/>
      <c r="O175" s="68"/>
      <c r="P175" s="68"/>
      <c r="Q175" s="68"/>
      <c r="R175" s="68"/>
      <c r="S175" s="68"/>
    </row>
    <row r="176" spans="1:19" ht="15.75" customHeight="1">
      <c r="A176" s="68"/>
      <c r="B176" s="68"/>
      <c r="D176" s="68"/>
      <c r="E176" s="69"/>
      <c r="M176" s="68"/>
      <c r="O176" s="68"/>
      <c r="P176" s="68"/>
      <c r="Q176" s="68"/>
      <c r="R176" s="68"/>
      <c r="S176" s="68"/>
    </row>
    <row r="177" spans="1:19" ht="15.75" customHeight="1">
      <c r="A177" s="68"/>
      <c r="B177" s="68"/>
      <c r="D177" s="68"/>
      <c r="E177" s="69"/>
      <c r="M177" s="68"/>
      <c r="O177" s="68"/>
      <c r="P177" s="68"/>
      <c r="Q177" s="68"/>
      <c r="R177" s="68"/>
      <c r="S177" s="68"/>
    </row>
    <row r="178" spans="1:19" ht="15.75" customHeight="1">
      <c r="A178" s="68"/>
      <c r="B178" s="68"/>
      <c r="D178" s="68"/>
      <c r="E178" s="69"/>
      <c r="M178" s="68"/>
      <c r="O178" s="68"/>
      <c r="P178" s="68"/>
      <c r="Q178" s="68"/>
      <c r="R178" s="68"/>
      <c r="S178" s="68"/>
    </row>
    <row r="179" spans="1:19" ht="15.75" customHeight="1">
      <c r="A179" s="68"/>
      <c r="B179" s="68"/>
      <c r="D179" s="68"/>
      <c r="E179" s="69"/>
      <c r="M179" s="68"/>
      <c r="O179" s="68"/>
      <c r="P179" s="68"/>
      <c r="Q179" s="68"/>
      <c r="R179" s="68"/>
      <c r="S179" s="68"/>
    </row>
    <row r="180" spans="1:19" ht="15.75" customHeight="1">
      <c r="A180" s="68"/>
      <c r="B180" s="68"/>
      <c r="D180" s="68"/>
      <c r="E180" s="69"/>
      <c r="M180" s="68"/>
      <c r="O180" s="68"/>
      <c r="P180" s="68"/>
      <c r="Q180" s="68"/>
      <c r="R180" s="68"/>
      <c r="S180" s="68"/>
    </row>
    <row r="181" spans="1:19" ht="15.75" customHeight="1">
      <c r="A181" s="68"/>
      <c r="B181" s="68"/>
      <c r="D181" s="68"/>
      <c r="E181" s="69"/>
      <c r="M181" s="68"/>
      <c r="O181" s="68"/>
      <c r="P181" s="68"/>
      <c r="Q181" s="68"/>
      <c r="R181" s="68"/>
      <c r="S181" s="68"/>
    </row>
    <row r="182" spans="1:19" ht="15.75" customHeight="1">
      <c r="A182" s="68"/>
      <c r="B182" s="68"/>
      <c r="D182" s="68"/>
      <c r="E182" s="69"/>
      <c r="M182" s="68"/>
      <c r="O182" s="68"/>
      <c r="P182" s="68"/>
      <c r="Q182" s="68"/>
      <c r="R182" s="68"/>
      <c r="S182" s="68"/>
    </row>
    <row r="183" spans="1:19" ht="15.75" customHeight="1">
      <c r="A183" s="68"/>
      <c r="B183" s="68"/>
      <c r="D183" s="68"/>
      <c r="E183" s="69"/>
      <c r="M183" s="68"/>
      <c r="O183" s="68"/>
      <c r="P183" s="68"/>
      <c r="Q183" s="68"/>
      <c r="R183" s="68"/>
      <c r="S183" s="68"/>
    </row>
    <row r="184" spans="1:19" ht="15.75" customHeight="1">
      <c r="A184" s="68"/>
      <c r="B184" s="68"/>
      <c r="D184" s="68"/>
      <c r="E184" s="69"/>
      <c r="M184" s="68"/>
      <c r="O184" s="68"/>
      <c r="P184" s="68"/>
      <c r="Q184" s="68"/>
      <c r="R184" s="68"/>
      <c r="S184" s="68"/>
    </row>
    <row r="185" spans="1:19" ht="15.75" customHeight="1">
      <c r="A185" s="68"/>
      <c r="B185" s="68"/>
      <c r="D185" s="68"/>
      <c r="E185" s="69"/>
      <c r="M185" s="68"/>
      <c r="O185" s="68"/>
      <c r="P185" s="68"/>
      <c r="Q185" s="68"/>
      <c r="R185" s="68"/>
      <c r="S185" s="68"/>
    </row>
    <row r="186" spans="1:19" ht="15.75" customHeight="1">
      <c r="A186" s="68"/>
      <c r="B186" s="68"/>
      <c r="D186" s="68"/>
      <c r="E186" s="69"/>
      <c r="M186" s="68"/>
      <c r="O186" s="68"/>
      <c r="P186" s="68"/>
      <c r="Q186" s="68"/>
      <c r="R186" s="68"/>
      <c r="S186" s="68"/>
    </row>
    <row r="187" spans="1:19" ht="15.75" customHeight="1">
      <c r="A187" s="68"/>
      <c r="B187" s="68"/>
      <c r="D187" s="68"/>
      <c r="E187" s="69"/>
      <c r="M187" s="68"/>
      <c r="O187" s="68"/>
      <c r="P187" s="68"/>
      <c r="Q187" s="68"/>
      <c r="R187" s="68"/>
      <c r="S187" s="68"/>
    </row>
    <row r="188" spans="1:19" ht="15.75" customHeight="1">
      <c r="A188" s="68"/>
      <c r="B188" s="68"/>
      <c r="D188" s="68"/>
      <c r="E188" s="69"/>
      <c r="M188" s="68"/>
      <c r="O188" s="68"/>
      <c r="P188" s="68"/>
      <c r="Q188" s="68"/>
      <c r="R188" s="68"/>
      <c r="S188" s="68"/>
    </row>
    <row r="189" spans="1:19" ht="15.75" customHeight="1">
      <c r="A189" s="68"/>
      <c r="B189" s="68"/>
      <c r="D189" s="68"/>
      <c r="E189" s="69"/>
      <c r="M189" s="68"/>
      <c r="O189" s="68"/>
      <c r="P189" s="68"/>
      <c r="Q189" s="68"/>
      <c r="R189" s="68"/>
      <c r="S189" s="68"/>
    </row>
    <row r="190" spans="1:19" ht="15.75" customHeight="1">
      <c r="A190" s="68"/>
      <c r="B190" s="68"/>
      <c r="D190" s="68"/>
      <c r="E190" s="69"/>
      <c r="M190" s="68"/>
      <c r="O190" s="68"/>
      <c r="P190" s="68"/>
      <c r="Q190" s="68"/>
      <c r="R190" s="68"/>
      <c r="S190" s="68"/>
    </row>
    <row r="191" spans="1:19" ht="15.75" customHeight="1">
      <c r="A191" s="68"/>
      <c r="B191" s="68"/>
      <c r="D191" s="68"/>
      <c r="E191" s="69"/>
      <c r="M191" s="68"/>
      <c r="O191" s="68"/>
      <c r="P191" s="68"/>
      <c r="Q191" s="68"/>
      <c r="R191" s="68"/>
      <c r="S191" s="68"/>
    </row>
    <row r="192" spans="1:19" ht="15.75" customHeight="1">
      <c r="A192" s="68"/>
      <c r="B192" s="68"/>
      <c r="D192" s="68"/>
      <c r="E192" s="69"/>
      <c r="M192" s="68"/>
      <c r="O192" s="68"/>
      <c r="P192" s="68"/>
      <c r="Q192" s="68"/>
      <c r="R192" s="68"/>
      <c r="S192" s="68"/>
    </row>
    <row r="193" spans="1:19" ht="15.75" customHeight="1">
      <c r="A193" s="68"/>
      <c r="B193" s="68"/>
      <c r="D193" s="68"/>
      <c r="E193" s="69"/>
      <c r="M193" s="68"/>
      <c r="O193" s="68"/>
      <c r="P193" s="68"/>
      <c r="Q193" s="68"/>
      <c r="R193" s="68"/>
      <c r="S193" s="68"/>
    </row>
    <row r="194" spans="1:19" ht="15.75" customHeight="1">
      <c r="A194" s="68"/>
      <c r="B194" s="68"/>
      <c r="D194" s="68"/>
      <c r="E194" s="69"/>
      <c r="M194" s="68"/>
      <c r="O194" s="68"/>
      <c r="P194" s="68"/>
      <c r="Q194" s="68"/>
      <c r="R194" s="68"/>
      <c r="S194" s="68"/>
    </row>
    <row r="195" spans="1:19" ht="15.75" customHeight="1">
      <c r="A195" s="68"/>
      <c r="B195" s="68"/>
      <c r="D195" s="68"/>
      <c r="E195" s="69"/>
      <c r="M195" s="68"/>
      <c r="O195" s="68"/>
      <c r="P195" s="68"/>
      <c r="Q195" s="68"/>
      <c r="R195" s="68"/>
      <c r="S195" s="68"/>
    </row>
    <row r="196" spans="1:19" ht="15.75" customHeight="1">
      <c r="A196" s="68"/>
      <c r="B196" s="68"/>
      <c r="D196" s="68"/>
      <c r="E196" s="69"/>
      <c r="M196" s="68"/>
      <c r="O196" s="68"/>
      <c r="P196" s="68"/>
      <c r="Q196" s="68"/>
      <c r="R196" s="68"/>
      <c r="S196" s="68"/>
    </row>
    <row r="197" spans="1:19" ht="15.75" customHeight="1">
      <c r="A197" s="68"/>
      <c r="B197" s="68"/>
      <c r="D197" s="68"/>
      <c r="E197" s="69"/>
      <c r="M197" s="68"/>
      <c r="O197" s="68"/>
      <c r="P197" s="68"/>
      <c r="Q197" s="68"/>
      <c r="R197" s="68"/>
      <c r="S197" s="68"/>
    </row>
    <row r="198" spans="1:19" ht="15.75" customHeight="1">
      <c r="A198" s="68"/>
      <c r="B198" s="68"/>
      <c r="D198" s="68"/>
      <c r="E198" s="69"/>
      <c r="M198" s="68"/>
      <c r="O198" s="68"/>
      <c r="P198" s="68"/>
      <c r="Q198" s="68"/>
      <c r="R198" s="68"/>
      <c r="S198" s="68"/>
    </row>
    <row r="199" spans="1:19" ht="15.75" customHeight="1">
      <c r="A199" s="68"/>
      <c r="B199" s="68"/>
      <c r="D199" s="68"/>
      <c r="E199" s="69"/>
      <c r="M199" s="68"/>
      <c r="O199" s="68"/>
      <c r="P199" s="68"/>
      <c r="Q199" s="68"/>
      <c r="R199" s="68"/>
      <c r="S199" s="68"/>
    </row>
    <row r="200" spans="1:19" ht="15.75" customHeight="1">
      <c r="A200" s="68"/>
      <c r="B200" s="68"/>
      <c r="D200" s="68"/>
      <c r="E200" s="69"/>
      <c r="M200" s="68"/>
      <c r="O200" s="68"/>
      <c r="P200" s="68"/>
      <c r="Q200" s="68"/>
      <c r="R200" s="68"/>
      <c r="S200" s="68"/>
    </row>
    <row r="201" spans="1:19" ht="15.75" customHeight="1">
      <c r="A201" s="68"/>
      <c r="B201" s="68"/>
      <c r="D201" s="68"/>
      <c r="E201" s="69"/>
      <c r="M201" s="68"/>
      <c r="O201" s="68"/>
      <c r="P201" s="68"/>
      <c r="Q201" s="68"/>
      <c r="R201" s="68"/>
      <c r="S201" s="68"/>
    </row>
    <row r="202" spans="1:19" ht="15.75" customHeight="1">
      <c r="A202" s="68"/>
      <c r="B202" s="68"/>
      <c r="D202" s="68"/>
      <c r="E202" s="69"/>
      <c r="M202" s="68"/>
      <c r="O202" s="68"/>
      <c r="P202" s="68"/>
      <c r="Q202" s="68"/>
      <c r="R202" s="68"/>
      <c r="S202" s="68"/>
    </row>
    <row r="203" spans="1:19" ht="15.75" customHeight="1">
      <c r="A203" s="68"/>
      <c r="B203" s="68"/>
      <c r="D203" s="68"/>
      <c r="E203" s="69"/>
      <c r="M203" s="68"/>
      <c r="O203" s="68"/>
      <c r="P203" s="68"/>
      <c r="Q203" s="68"/>
      <c r="R203" s="68"/>
      <c r="S203" s="68"/>
    </row>
    <row r="204" spans="1:19" ht="15.75" customHeight="1">
      <c r="A204" s="68"/>
      <c r="B204" s="68"/>
      <c r="D204" s="68"/>
      <c r="E204" s="69"/>
      <c r="M204" s="68"/>
      <c r="O204" s="68"/>
      <c r="P204" s="68"/>
      <c r="Q204" s="68"/>
      <c r="R204" s="68"/>
      <c r="S204" s="68"/>
    </row>
    <row r="205" spans="1:19" ht="15.75" customHeight="1">
      <c r="A205" s="68"/>
      <c r="B205" s="68"/>
      <c r="D205" s="68"/>
      <c r="E205" s="69"/>
      <c r="M205" s="68"/>
      <c r="O205" s="68"/>
      <c r="P205" s="68"/>
      <c r="Q205" s="68"/>
      <c r="R205" s="68"/>
      <c r="S205" s="68"/>
    </row>
    <row r="206" spans="1:19" ht="15.75" customHeight="1">
      <c r="A206" s="68"/>
      <c r="B206" s="68"/>
      <c r="D206" s="68"/>
      <c r="E206" s="69"/>
      <c r="M206" s="68"/>
      <c r="O206" s="68"/>
      <c r="P206" s="68"/>
      <c r="Q206" s="68"/>
      <c r="R206" s="68"/>
      <c r="S206" s="68"/>
    </row>
    <row r="207" spans="1:19" ht="15.75" customHeight="1">
      <c r="A207" s="68"/>
      <c r="B207" s="68"/>
      <c r="D207" s="68"/>
      <c r="E207" s="69"/>
      <c r="M207" s="68"/>
      <c r="O207" s="68"/>
      <c r="P207" s="68"/>
      <c r="Q207" s="68"/>
      <c r="R207" s="68"/>
      <c r="S207" s="68"/>
    </row>
    <row r="208" spans="1:19" ht="15.75" customHeight="1">
      <c r="A208" s="68"/>
      <c r="B208" s="68"/>
      <c r="D208" s="68"/>
      <c r="E208" s="69"/>
      <c r="M208" s="68"/>
      <c r="O208" s="68"/>
      <c r="P208" s="68"/>
      <c r="Q208" s="68"/>
      <c r="R208" s="68"/>
      <c r="S208" s="68"/>
    </row>
    <row r="209" spans="1:19" ht="15.75" customHeight="1">
      <c r="A209" s="68"/>
      <c r="B209" s="68"/>
      <c r="D209" s="68"/>
      <c r="E209" s="69"/>
      <c r="M209" s="68"/>
      <c r="O209" s="68"/>
      <c r="P209" s="68"/>
      <c r="Q209" s="68"/>
      <c r="R209" s="68"/>
      <c r="S209" s="68"/>
    </row>
    <row r="210" spans="1:19" ht="15.75" customHeight="1">
      <c r="A210" s="68"/>
      <c r="B210" s="68"/>
      <c r="D210" s="68"/>
      <c r="E210" s="69"/>
      <c r="M210" s="68"/>
      <c r="O210" s="68"/>
      <c r="P210" s="68"/>
      <c r="Q210" s="68"/>
      <c r="R210" s="68"/>
      <c r="S210" s="68"/>
    </row>
    <row r="211" spans="1:19" ht="15.75" customHeight="1">
      <c r="A211" s="68"/>
      <c r="B211" s="68"/>
      <c r="D211" s="68"/>
      <c r="E211" s="69"/>
      <c r="M211" s="68"/>
      <c r="O211" s="68"/>
      <c r="P211" s="68"/>
      <c r="Q211" s="68"/>
      <c r="R211" s="68"/>
      <c r="S211" s="68"/>
    </row>
    <row r="212" spans="1:19" ht="15.75" customHeight="1">
      <c r="A212" s="68"/>
      <c r="B212" s="68"/>
      <c r="D212" s="68"/>
      <c r="E212" s="69"/>
      <c r="M212" s="68"/>
      <c r="O212" s="68"/>
      <c r="P212" s="68"/>
      <c r="Q212" s="68"/>
      <c r="R212" s="68"/>
      <c r="S212" s="68"/>
    </row>
    <row r="213" spans="1:19" ht="15.75" customHeight="1">
      <c r="A213" s="68"/>
      <c r="B213" s="68"/>
      <c r="D213" s="68"/>
      <c r="E213" s="69"/>
      <c r="M213" s="68"/>
      <c r="O213" s="68"/>
      <c r="P213" s="68"/>
      <c r="Q213" s="68"/>
      <c r="R213" s="68"/>
      <c r="S213" s="68"/>
    </row>
    <row r="214" spans="1:19" ht="15.75" customHeight="1">
      <c r="A214" s="68"/>
      <c r="B214" s="68"/>
      <c r="D214" s="68"/>
      <c r="E214" s="69"/>
      <c r="M214" s="68"/>
      <c r="O214" s="68"/>
      <c r="P214" s="68"/>
      <c r="Q214" s="68"/>
      <c r="R214" s="68"/>
      <c r="S214" s="68"/>
    </row>
    <row r="215" spans="1:19" ht="15.75" customHeight="1">
      <c r="A215" s="68"/>
      <c r="B215" s="68"/>
      <c r="D215" s="68"/>
      <c r="E215" s="69"/>
      <c r="M215" s="68"/>
      <c r="O215" s="68"/>
      <c r="P215" s="68"/>
      <c r="Q215" s="68"/>
      <c r="R215" s="68"/>
      <c r="S215" s="68"/>
    </row>
    <row r="216" spans="1:19" ht="15.75" customHeight="1">
      <c r="A216" s="68"/>
      <c r="B216" s="68"/>
      <c r="D216" s="68"/>
      <c r="E216" s="69"/>
      <c r="M216" s="68"/>
      <c r="O216" s="68"/>
      <c r="P216" s="68"/>
      <c r="Q216" s="68"/>
      <c r="R216" s="68"/>
      <c r="S216" s="68"/>
    </row>
    <row r="217" spans="1:19" ht="15.75" customHeight="1">
      <c r="A217" s="68"/>
      <c r="B217" s="68"/>
      <c r="D217" s="68"/>
      <c r="E217" s="69"/>
      <c r="M217" s="68"/>
      <c r="O217" s="68"/>
      <c r="P217" s="68"/>
      <c r="Q217" s="68"/>
      <c r="R217" s="68"/>
      <c r="S217" s="68"/>
    </row>
    <row r="218" spans="1:19" ht="15.75" customHeight="1">
      <c r="A218" s="68"/>
      <c r="B218" s="68"/>
      <c r="D218" s="68"/>
      <c r="E218" s="69"/>
      <c r="M218" s="68"/>
      <c r="O218" s="68"/>
      <c r="P218" s="68"/>
      <c r="Q218" s="68"/>
      <c r="R218" s="68"/>
      <c r="S218" s="68"/>
    </row>
    <row r="219" spans="1:19" ht="15.75" customHeight="1">
      <c r="A219" s="68"/>
      <c r="B219" s="68"/>
      <c r="D219" s="68"/>
      <c r="E219" s="69"/>
      <c r="M219" s="68"/>
      <c r="O219" s="68"/>
      <c r="P219" s="68"/>
      <c r="Q219" s="68"/>
      <c r="R219" s="68"/>
      <c r="S219" s="68"/>
    </row>
    <row r="220" spans="1:19" ht="15.75" customHeight="1">
      <c r="A220" s="68"/>
      <c r="B220" s="68"/>
      <c r="D220" s="68"/>
      <c r="E220" s="69"/>
      <c r="M220" s="68"/>
      <c r="O220" s="68"/>
      <c r="P220" s="68"/>
      <c r="Q220" s="68"/>
      <c r="R220" s="68"/>
      <c r="S220" s="68"/>
    </row>
    <row r="221" spans="1:19" ht="15.75" customHeight="1">
      <c r="A221" s="68"/>
      <c r="B221" s="68"/>
      <c r="D221" s="68"/>
      <c r="E221" s="69"/>
      <c r="M221" s="68"/>
      <c r="O221" s="68"/>
      <c r="P221" s="68"/>
      <c r="Q221" s="68"/>
      <c r="R221" s="68"/>
      <c r="S221" s="68"/>
    </row>
    <row r="222" spans="1:19" ht="15.75" customHeight="1">
      <c r="A222" s="68"/>
      <c r="B222" s="68"/>
      <c r="D222" s="68"/>
      <c r="E222" s="69"/>
      <c r="M222" s="68"/>
      <c r="O222" s="68"/>
      <c r="P222" s="68"/>
      <c r="Q222" s="68"/>
      <c r="R222" s="68"/>
      <c r="S222" s="68"/>
    </row>
    <row r="223" spans="1:19" ht="15.75" customHeight="1">
      <c r="A223" s="68"/>
      <c r="B223" s="68"/>
      <c r="D223" s="68"/>
      <c r="E223" s="69"/>
      <c r="M223" s="68"/>
      <c r="O223" s="68"/>
      <c r="P223" s="68"/>
      <c r="Q223" s="68"/>
      <c r="R223" s="68"/>
      <c r="S223" s="68"/>
    </row>
    <row r="224" spans="1:19" ht="15.75" customHeight="1">
      <c r="A224" s="68"/>
      <c r="B224" s="68"/>
      <c r="D224" s="68"/>
      <c r="E224" s="69"/>
      <c r="M224" s="68"/>
      <c r="O224" s="68"/>
      <c r="P224" s="68"/>
      <c r="Q224" s="68"/>
      <c r="R224" s="68"/>
      <c r="S224" s="68"/>
    </row>
    <row r="225" spans="1:19" ht="15.75" customHeight="1">
      <c r="A225" s="68"/>
      <c r="B225" s="68"/>
      <c r="D225" s="68"/>
      <c r="E225" s="69"/>
      <c r="M225" s="68"/>
      <c r="O225" s="68"/>
      <c r="P225" s="68"/>
      <c r="Q225" s="68"/>
      <c r="R225" s="68"/>
      <c r="S225" s="68"/>
    </row>
    <row r="226" spans="1:19" ht="15.75" customHeight="1">
      <c r="A226" s="68"/>
      <c r="B226" s="68"/>
      <c r="D226" s="68"/>
      <c r="E226" s="69"/>
      <c r="M226" s="68"/>
      <c r="O226" s="68"/>
      <c r="P226" s="68"/>
      <c r="Q226" s="68"/>
      <c r="R226" s="68"/>
      <c r="S226" s="68"/>
    </row>
    <row r="227" spans="1:19" ht="15.75" customHeight="1">
      <c r="A227" s="68"/>
      <c r="B227" s="68"/>
      <c r="D227" s="68"/>
      <c r="E227" s="69"/>
      <c r="M227" s="68"/>
      <c r="O227" s="68"/>
      <c r="P227" s="68"/>
      <c r="Q227" s="68"/>
      <c r="R227" s="68"/>
      <c r="S227" s="68"/>
    </row>
    <row r="228" spans="1:19" ht="15.75" customHeight="1">
      <c r="A228" s="68"/>
      <c r="B228" s="68"/>
      <c r="D228" s="68"/>
      <c r="E228" s="69"/>
      <c r="M228" s="68"/>
      <c r="O228" s="68"/>
      <c r="P228" s="68"/>
      <c r="Q228" s="68"/>
      <c r="R228" s="68"/>
      <c r="S228" s="68"/>
    </row>
    <row r="229" spans="1:19" ht="15.75" customHeight="1">
      <c r="A229" s="68"/>
      <c r="B229" s="68"/>
      <c r="D229" s="68"/>
      <c r="E229" s="69"/>
      <c r="M229" s="68"/>
      <c r="O229" s="68"/>
      <c r="P229" s="68"/>
      <c r="Q229" s="68"/>
      <c r="R229" s="68"/>
      <c r="S229" s="68"/>
    </row>
    <row r="230" spans="1:19" ht="15.75" customHeight="1">
      <c r="A230" s="68"/>
      <c r="B230" s="68"/>
      <c r="D230" s="68"/>
      <c r="E230" s="69"/>
      <c r="M230" s="68"/>
      <c r="O230" s="68"/>
      <c r="P230" s="68"/>
      <c r="Q230" s="68"/>
      <c r="R230" s="68"/>
      <c r="S230" s="68"/>
    </row>
    <row r="231" spans="1:19" ht="15.75" customHeight="1">
      <c r="A231" s="68"/>
      <c r="B231" s="68"/>
      <c r="D231" s="68"/>
      <c r="E231" s="69"/>
      <c r="M231" s="68"/>
      <c r="O231" s="68"/>
      <c r="P231" s="68"/>
      <c r="Q231" s="68"/>
      <c r="R231" s="68"/>
      <c r="S231" s="68"/>
    </row>
    <row r="232" spans="1:19" ht="15.75" customHeight="1">
      <c r="A232" s="68"/>
      <c r="B232" s="68"/>
      <c r="D232" s="68"/>
      <c r="E232" s="69"/>
      <c r="M232" s="68"/>
      <c r="O232" s="68"/>
      <c r="P232" s="68"/>
      <c r="Q232" s="68"/>
      <c r="R232" s="68"/>
      <c r="S232" s="68"/>
    </row>
    <row r="233" spans="1:19" ht="15.75" customHeight="1">
      <c r="A233" s="68"/>
      <c r="B233" s="68"/>
      <c r="D233" s="68"/>
      <c r="E233" s="69"/>
      <c r="M233" s="68"/>
      <c r="O233" s="68"/>
      <c r="P233" s="68"/>
      <c r="Q233" s="68"/>
      <c r="R233" s="68"/>
      <c r="S233" s="68"/>
    </row>
    <row r="234" spans="1:19" ht="15.75" customHeight="1">
      <c r="A234" s="68"/>
      <c r="B234" s="68"/>
      <c r="D234" s="68"/>
      <c r="E234" s="69"/>
      <c r="M234" s="68"/>
      <c r="O234" s="68"/>
      <c r="P234" s="68"/>
      <c r="Q234" s="68"/>
      <c r="R234" s="68"/>
      <c r="S234" s="68"/>
    </row>
    <row r="235" spans="1:19" ht="15.75" customHeight="1">
      <c r="A235" s="68"/>
      <c r="B235" s="68"/>
      <c r="D235" s="68"/>
      <c r="E235" s="69"/>
      <c r="M235" s="68"/>
      <c r="O235" s="68"/>
      <c r="P235" s="68"/>
      <c r="Q235" s="68"/>
      <c r="R235" s="68"/>
      <c r="S235" s="68"/>
    </row>
    <row r="236" spans="1:19" ht="15.75" customHeight="1">
      <c r="A236" s="68"/>
      <c r="B236" s="68"/>
      <c r="D236" s="68"/>
      <c r="E236" s="69"/>
      <c r="M236" s="68"/>
      <c r="O236" s="68"/>
      <c r="P236" s="68"/>
      <c r="Q236" s="68"/>
      <c r="R236" s="68"/>
      <c r="S236" s="68"/>
    </row>
    <row r="237" spans="1:19" ht="15.75" customHeight="1">
      <c r="A237" s="68"/>
      <c r="B237" s="68"/>
      <c r="D237" s="68"/>
      <c r="E237" s="69"/>
      <c r="M237" s="68"/>
      <c r="O237" s="68"/>
      <c r="P237" s="68"/>
      <c r="Q237" s="68"/>
      <c r="R237" s="68"/>
      <c r="S237" s="68"/>
    </row>
    <row r="238" spans="1:19" ht="15.75" customHeight="1">
      <c r="A238" s="68"/>
      <c r="B238" s="68"/>
      <c r="D238" s="68"/>
      <c r="E238" s="69"/>
      <c r="M238" s="68"/>
      <c r="O238" s="68"/>
      <c r="P238" s="68"/>
      <c r="Q238" s="68"/>
      <c r="R238" s="68"/>
      <c r="S238" s="68"/>
    </row>
    <row r="239" spans="1:19" ht="15.75" customHeight="1">
      <c r="A239" s="68"/>
      <c r="B239" s="68"/>
      <c r="D239" s="68"/>
      <c r="E239" s="69"/>
      <c r="M239" s="68"/>
      <c r="O239" s="68"/>
      <c r="P239" s="68"/>
      <c r="Q239" s="68"/>
      <c r="R239" s="68"/>
      <c r="S239" s="68"/>
    </row>
    <row r="240" spans="1:19" ht="15.75" customHeight="1">
      <c r="A240" s="68"/>
      <c r="B240" s="68"/>
      <c r="D240" s="68"/>
      <c r="E240" s="69"/>
      <c r="M240" s="68"/>
      <c r="O240" s="68"/>
      <c r="P240" s="68"/>
      <c r="Q240" s="68"/>
      <c r="R240" s="68"/>
      <c r="S240" s="68"/>
    </row>
    <row r="241" spans="1:19" ht="15.75" customHeight="1">
      <c r="A241" s="68"/>
      <c r="B241" s="68"/>
      <c r="D241" s="68"/>
      <c r="E241" s="69"/>
      <c r="M241" s="68"/>
      <c r="O241" s="68"/>
      <c r="P241" s="68"/>
      <c r="Q241" s="68"/>
      <c r="R241" s="68"/>
      <c r="S241" s="68"/>
    </row>
    <row r="242" spans="1:19" ht="15.75" customHeight="1">
      <c r="A242" s="68"/>
      <c r="B242" s="68"/>
      <c r="D242" s="68"/>
      <c r="E242" s="69"/>
      <c r="M242" s="68"/>
      <c r="O242" s="68"/>
      <c r="P242" s="68"/>
      <c r="Q242" s="68"/>
      <c r="R242" s="68"/>
      <c r="S242" s="68"/>
    </row>
    <row r="243" spans="1:19" ht="15.75" customHeight="1">
      <c r="A243" s="68"/>
      <c r="B243" s="68"/>
      <c r="D243" s="68"/>
      <c r="E243" s="69"/>
      <c r="M243" s="68"/>
      <c r="O243" s="68"/>
      <c r="P243" s="68"/>
      <c r="Q243" s="68"/>
      <c r="R243" s="68"/>
      <c r="S243" s="68"/>
    </row>
    <row r="244" spans="1:19" ht="15.75" customHeight="1">
      <c r="A244" s="68"/>
      <c r="B244" s="68"/>
      <c r="D244" s="68"/>
      <c r="E244" s="69"/>
      <c r="M244" s="68"/>
      <c r="O244" s="68"/>
      <c r="P244" s="68"/>
      <c r="Q244" s="68"/>
      <c r="R244" s="68"/>
      <c r="S244" s="68"/>
    </row>
    <row r="245" spans="1:19" ht="15.75" customHeight="1">
      <c r="A245" s="68"/>
      <c r="B245" s="68"/>
      <c r="D245" s="68"/>
      <c r="E245" s="69"/>
      <c r="M245" s="68"/>
      <c r="O245" s="68"/>
      <c r="P245" s="68"/>
      <c r="Q245" s="68"/>
      <c r="R245" s="68"/>
      <c r="S245" s="68"/>
    </row>
    <row r="246" spans="1:19" ht="15.75" customHeight="1">
      <c r="A246" s="68"/>
      <c r="B246" s="68"/>
      <c r="D246" s="68"/>
      <c r="E246" s="69"/>
      <c r="M246" s="68"/>
      <c r="O246" s="68"/>
      <c r="P246" s="68"/>
      <c r="Q246" s="68"/>
      <c r="R246" s="68"/>
      <c r="S246" s="68"/>
    </row>
    <row r="247" spans="1:19" ht="15.75" customHeight="1">
      <c r="A247" s="68"/>
      <c r="B247" s="68"/>
      <c r="D247" s="68"/>
      <c r="E247" s="69"/>
      <c r="M247" s="68"/>
      <c r="O247" s="68"/>
      <c r="P247" s="68"/>
      <c r="Q247" s="68"/>
      <c r="R247" s="68"/>
      <c r="S247" s="68"/>
    </row>
    <row r="248" spans="1:19" ht="15.75" customHeight="1">
      <c r="A248" s="68"/>
      <c r="B248" s="68"/>
      <c r="D248" s="68"/>
      <c r="E248" s="69"/>
      <c r="M248" s="68"/>
      <c r="O248" s="68"/>
      <c r="P248" s="68"/>
      <c r="Q248" s="68"/>
      <c r="R248" s="68"/>
      <c r="S248" s="68"/>
    </row>
    <row r="249" spans="1:19" ht="15.75" customHeight="1">
      <c r="A249" s="68"/>
      <c r="B249" s="68"/>
      <c r="D249" s="68"/>
      <c r="E249" s="69"/>
      <c r="M249" s="68"/>
      <c r="O249" s="68"/>
      <c r="P249" s="68"/>
      <c r="Q249" s="68"/>
      <c r="R249" s="68"/>
      <c r="S249" s="68"/>
    </row>
    <row r="250" spans="1:19" ht="15.75" customHeight="1">
      <c r="A250" s="68"/>
      <c r="B250" s="68"/>
      <c r="D250" s="68"/>
      <c r="E250" s="69"/>
      <c r="M250" s="68"/>
      <c r="O250" s="68"/>
      <c r="P250" s="68"/>
      <c r="Q250" s="68"/>
      <c r="R250" s="68"/>
      <c r="S250" s="68"/>
    </row>
    <row r="251" spans="1:19" ht="15.75" customHeight="1">
      <c r="A251" s="68"/>
      <c r="B251" s="68"/>
      <c r="D251" s="68"/>
      <c r="E251" s="69"/>
      <c r="M251" s="68"/>
      <c r="O251" s="68"/>
      <c r="P251" s="68"/>
      <c r="Q251" s="68"/>
      <c r="R251" s="68"/>
      <c r="S251" s="68"/>
    </row>
    <row r="252" spans="1:19" ht="15.75" customHeight="1">
      <c r="A252" s="68"/>
      <c r="B252" s="68"/>
      <c r="D252" s="68"/>
      <c r="E252" s="69"/>
      <c r="M252" s="68"/>
      <c r="O252" s="68"/>
      <c r="P252" s="68"/>
      <c r="Q252" s="68"/>
      <c r="R252" s="68"/>
      <c r="S252" s="68"/>
    </row>
    <row r="253" spans="1:19" ht="15.75" customHeight="1">
      <c r="A253" s="68"/>
      <c r="B253" s="68"/>
      <c r="D253" s="68"/>
      <c r="E253" s="69"/>
      <c r="M253" s="68"/>
      <c r="O253" s="68"/>
      <c r="P253" s="68"/>
      <c r="Q253" s="68"/>
      <c r="R253" s="68"/>
      <c r="S253" s="68"/>
    </row>
    <row r="254" spans="1:19" ht="15.75" customHeight="1">
      <c r="A254" s="68"/>
      <c r="B254" s="68"/>
      <c r="D254" s="68"/>
      <c r="E254" s="69"/>
      <c r="M254" s="68"/>
      <c r="O254" s="68"/>
      <c r="P254" s="68"/>
      <c r="Q254" s="68"/>
      <c r="R254" s="68"/>
      <c r="S254" s="68"/>
    </row>
    <row r="255" spans="1:19" ht="15.75" customHeight="1">
      <c r="A255" s="68"/>
      <c r="B255" s="68"/>
      <c r="D255" s="68"/>
      <c r="E255" s="69"/>
      <c r="M255" s="68"/>
      <c r="O255" s="68"/>
      <c r="P255" s="68"/>
      <c r="Q255" s="68"/>
      <c r="R255" s="68"/>
      <c r="S255" s="68"/>
    </row>
    <row r="256" spans="1:19" ht="15.75" customHeight="1">
      <c r="A256" s="68"/>
      <c r="B256" s="68"/>
      <c r="D256" s="68"/>
      <c r="E256" s="69"/>
      <c r="M256" s="68"/>
      <c r="O256" s="68"/>
      <c r="P256" s="68"/>
      <c r="Q256" s="68"/>
      <c r="R256" s="68"/>
      <c r="S256" s="68"/>
    </row>
    <row r="257" spans="1:19" ht="15.75" customHeight="1">
      <c r="A257" s="68"/>
      <c r="B257" s="68"/>
      <c r="D257" s="68"/>
      <c r="E257" s="69"/>
      <c r="M257" s="68"/>
      <c r="O257" s="68"/>
      <c r="P257" s="68"/>
      <c r="Q257" s="68"/>
      <c r="R257" s="68"/>
      <c r="S257" s="68"/>
    </row>
    <row r="258" spans="1:19" ht="15.75" customHeight="1">
      <c r="A258" s="68"/>
      <c r="B258" s="68"/>
      <c r="D258" s="68"/>
      <c r="E258" s="69"/>
      <c r="M258" s="68"/>
      <c r="O258" s="68"/>
      <c r="P258" s="68"/>
      <c r="Q258" s="68"/>
      <c r="R258" s="68"/>
      <c r="S258" s="68"/>
    </row>
    <row r="259" spans="1:19" ht="15.75" customHeight="1">
      <c r="A259" s="68"/>
      <c r="B259" s="68"/>
      <c r="D259" s="68"/>
      <c r="E259" s="69"/>
      <c r="M259" s="68"/>
      <c r="O259" s="68"/>
      <c r="P259" s="68"/>
      <c r="Q259" s="68"/>
      <c r="R259" s="68"/>
      <c r="S259" s="68"/>
    </row>
    <row r="260" spans="1:19" ht="15.75" customHeight="1">
      <c r="A260" s="68"/>
      <c r="B260" s="68"/>
      <c r="D260" s="68"/>
      <c r="E260" s="69"/>
      <c r="M260" s="68"/>
      <c r="O260" s="68"/>
      <c r="P260" s="68"/>
      <c r="Q260" s="68"/>
      <c r="R260" s="68"/>
      <c r="S260" s="68"/>
    </row>
    <row r="261" spans="1:19" ht="15.75" customHeight="1">
      <c r="A261" s="68"/>
      <c r="B261" s="68"/>
      <c r="D261" s="68"/>
      <c r="E261" s="69"/>
      <c r="M261" s="68"/>
      <c r="O261" s="68"/>
      <c r="P261" s="68"/>
      <c r="Q261" s="68"/>
      <c r="R261" s="68"/>
      <c r="S261" s="68"/>
    </row>
    <row r="262" spans="1:19" ht="15.75" customHeight="1">
      <c r="A262" s="68"/>
      <c r="B262" s="68"/>
      <c r="D262" s="68"/>
      <c r="E262" s="69"/>
      <c r="M262" s="68"/>
      <c r="O262" s="68"/>
      <c r="P262" s="68"/>
      <c r="Q262" s="68"/>
      <c r="R262" s="68"/>
      <c r="S262" s="68"/>
    </row>
    <row r="263" spans="1:19" ht="15.75" customHeight="1">
      <c r="A263" s="68"/>
      <c r="B263" s="68"/>
      <c r="D263" s="68"/>
      <c r="E263" s="69"/>
      <c r="M263" s="68"/>
      <c r="O263" s="68"/>
      <c r="P263" s="68"/>
      <c r="Q263" s="68"/>
      <c r="R263" s="68"/>
      <c r="S263" s="68"/>
    </row>
    <row r="264" spans="1:19" ht="15.75" customHeight="1">
      <c r="A264" s="68"/>
      <c r="B264" s="68"/>
      <c r="D264" s="68"/>
      <c r="E264" s="69"/>
      <c r="M264" s="68"/>
      <c r="O264" s="68"/>
      <c r="P264" s="68"/>
      <c r="Q264" s="68"/>
      <c r="R264" s="68"/>
      <c r="S264" s="68"/>
    </row>
    <row r="265" spans="1:19" ht="15.75" customHeight="1">
      <c r="A265" s="68"/>
      <c r="B265" s="68"/>
      <c r="D265" s="68"/>
      <c r="E265" s="69"/>
      <c r="M265" s="68"/>
      <c r="O265" s="68"/>
      <c r="P265" s="68"/>
      <c r="Q265" s="68"/>
      <c r="R265" s="68"/>
      <c r="S265" s="68"/>
    </row>
    <row r="266" spans="1:19" ht="15.75" customHeight="1">
      <c r="A266" s="68"/>
      <c r="B266" s="68"/>
      <c r="D266" s="68"/>
      <c r="E266" s="69"/>
      <c r="M266" s="68"/>
      <c r="O266" s="68"/>
      <c r="P266" s="68"/>
      <c r="Q266" s="68"/>
      <c r="R266" s="68"/>
      <c r="S266" s="68"/>
    </row>
    <row r="267" spans="1:19" ht="15.75" customHeight="1">
      <c r="A267" s="68"/>
      <c r="B267" s="68"/>
      <c r="D267" s="68"/>
      <c r="E267" s="69"/>
      <c r="M267" s="68"/>
      <c r="O267" s="68"/>
      <c r="P267" s="68"/>
      <c r="Q267" s="68"/>
      <c r="R267" s="68"/>
      <c r="S267" s="68"/>
    </row>
    <row r="268" spans="1:19" ht="15.75" customHeight="1">
      <c r="A268" s="68"/>
      <c r="B268" s="68"/>
      <c r="D268" s="68"/>
      <c r="E268" s="69"/>
      <c r="M268" s="68"/>
      <c r="O268" s="68"/>
      <c r="P268" s="68"/>
      <c r="Q268" s="68"/>
      <c r="R268" s="68"/>
      <c r="S268" s="68"/>
    </row>
    <row r="269" spans="1:19" ht="15.75" customHeight="1">
      <c r="A269" s="68"/>
      <c r="B269" s="68"/>
      <c r="D269" s="68"/>
      <c r="E269" s="69"/>
      <c r="M269" s="68"/>
      <c r="O269" s="68"/>
      <c r="P269" s="68"/>
      <c r="Q269" s="68"/>
      <c r="R269" s="68"/>
      <c r="S269" s="68"/>
    </row>
    <row r="270" spans="1:19" ht="15.75" customHeight="1">
      <c r="A270" s="68"/>
      <c r="B270" s="68"/>
      <c r="D270" s="68"/>
      <c r="E270" s="69"/>
      <c r="M270" s="68"/>
      <c r="O270" s="68"/>
      <c r="P270" s="68"/>
      <c r="Q270" s="68"/>
      <c r="R270" s="68"/>
      <c r="S270" s="68"/>
    </row>
    <row r="271" spans="1:19" ht="15.75" customHeight="1">
      <c r="A271" s="68"/>
      <c r="B271" s="68"/>
      <c r="D271" s="68"/>
      <c r="E271" s="69"/>
      <c r="M271" s="68"/>
      <c r="O271" s="68"/>
      <c r="P271" s="68"/>
      <c r="Q271" s="68"/>
      <c r="R271" s="68"/>
      <c r="S271" s="68"/>
    </row>
    <row r="272" spans="1:19" ht="15.75" customHeight="1">
      <c r="A272" s="68"/>
      <c r="B272" s="68"/>
      <c r="D272" s="68"/>
      <c r="E272" s="69"/>
      <c r="M272" s="68"/>
      <c r="O272" s="68"/>
      <c r="P272" s="68"/>
      <c r="Q272" s="68"/>
      <c r="R272" s="68"/>
      <c r="S272" s="68"/>
    </row>
    <row r="273" spans="1:19" ht="15.75" customHeight="1">
      <c r="A273" s="68"/>
      <c r="B273" s="68"/>
      <c r="D273" s="68"/>
      <c r="E273" s="69"/>
      <c r="M273" s="68"/>
      <c r="O273" s="68"/>
      <c r="P273" s="68"/>
      <c r="Q273" s="68"/>
      <c r="R273" s="68"/>
      <c r="S273" s="68"/>
    </row>
    <row r="274" spans="1:19" ht="15.75" customHeight="1">
      <c r="A274" s="68"/>
      <c r="B274" s="68"/>
      <c r="D274" s="68"/>
      <c r="E274" s="69"/>
      <c r="M274" s="68"/>
      <c r="O274" s="68"/>
      <c r="P274" s="68"/>
      <c r="Q274" s="68"/>
      <c r="R274" s="68"/>
      <c r="S274" s="68"/>
    </row>
    <row r="275" spans="1:19" ht="15.75" customHeight="1">
      <c r="A275" s="68"/>
      <c r="B275" s="68"/>
      <c r="D275" s="68"/>
      <c r="E275" s="69"/>
      <c r="M275" s="68"/>
      <c r="O275" s="68"/>
      <c r="P275" s="68"/>
      <c r="Q275" s="68"/>
      <c r="R275" s="68"/>
      <c r="S275" s="68"/>
    </row>
    <row r="276" spans="1:19" ht="15.75" customHeight="1">
      <c r="A276" s="68"/>
      <c r="B276" s="68"/>
      <c r="D276" s="68"/>
      <c r="E276" s="69"/>
      <c r="M276" s="68"/>
      <c r="O276" s="68"/>
      <c r="P276" s="68"/>
      <c r="Q276" s="68"/>
      <c r="R276" s="68"/>
      <c r="S276" s="68"/>
    </row>
    <row r="277" spans="1:19" ht="15.75" customHeight="1">
      <c r="A277" s="68"/>
      <c r="B277" s="68"/>
      <c r="D277" s="68"/>
      <c r="E277" s="69"/>
      <c r="M277" s="68"/>
      <c r="O277" s="68"/>
      <c r="P277" s="68"/>
      <c r="Q277" s="68"/>
      <c r="R277" s="68"/>
      <c r="S277" s="68"/>
    </row>
    <row r="278" spans="1:19" ht="15.75" customHeight="1">
      <c r="A278" s="68"/>
      <c r="B278" s="68"/>
      <c r="D278" s="68"/>
      <c r="E278" s="69"/>
      <c r="M278" s="68"/>
      <c r="O278" s="68"/>
      <c r="P278" s="68"/>
      <c r="Q278" s="68"/>
      <c r="R278" s="68"/>
      <c r="S278" s="68"/>
    </row>
    <row r="279" spans="1:19" ht="15.75" customHeight="1">
      <c r="A279" s="68"/>
      <c r="B279" s="68"/>
      <c r="D279" s="68"/>
      <c r="E279" s="69"/>
      <c r="M279" s="68"/>
      <c r="O279" s="68"/>
      <c r="P279" s="68"/>
      <c r="Q279" s="68"/>
      <c r="R279" s="68"/>
      <c r="S279" s="68"/>
    </row>
    <row r="280" spans="1:19" ht="15.75" customHeight="1">
      <c r="A280" s="68"/>
      <c r="B280" s="68"/>
      <c r="D280" s="68"/>
      <c r="E280" s="69"/>
      <c r="M280" s="68"/>
      <c r="O280" s="68"/>
      <c r="P280" s="68"/>
      <c r="Q280" s="68"/>
      <c r="R280" s="68"/>
      <c r="S280" s="68"/>
    </row>
    <row r="281" spans="1:19" ht="15.75" customHeight="1">
      <c r="A281" s="68"/>
      <c r="B281" s="68"/>
      <c r="D281" s="68"/>
      <c r="E281" s="69"/>
      <c r="M281" s="68"/>
      <c r="O281" s="68"/>
      <c r="P281" s="68"/>
      <c r="Q281" s="68"/>
      <c r="R281" s="68"/>
      <c r="S281" s="68"/>
    </row>
    <row r="282" spans="1:19" ht="15.75" customHeight="1">
      <c r="A282" s="68"/>
      <c r="B282" s="68"/>
      <c r="D282" s="68"/>
      <c r="E282" s="69"/>
      <c r="M282" s="68"/>
      <c r="O282" s="68"/>
      <c r="P282" s="68"/>
      <c r="Q282" s="68"/>
      <c r="R282" s="68"/>
      <c r="S282" s="68"/>
    </row>
    <row r="283" spans="1:19" ht="15.75" customHeight="1">
      <c r="A283" s="68"/>
      <c r="B283" s="68"/>
      <c r="D283" s="68"/>
      <c r="E283" s="69"/>
      <c r="M283" s="68"/>
      <c r="O283" s="68"/>
      <c r="P283" s="68"/>
      <c r="Q283" s="68"/>
      <c r="R283" s="68"/>
      <c r="S283" s="68"/>
    </row>
    <row r="284" spans="1:19" ht="15.75" customHeight="1">
      <c r="A284" s="68"/>
      <c r="B284" s="68"/>
      <c r="D284" s="68"/>
      <c r="E284" s="69"/>
      <c r="M284" s="68"/>
      <c r="O284" s="68"/>
      <c r="P284" s="68"/>
      <c r="Q284" s="68"/>
      <c r="R284" s="68"/>
      <c r="S284" s="68"/>
    </row>
    <row r="285" spans="1:19" ht="15.75" customHeight="1">
      <c r="A285" s="68"/>
      <c r="B285" s="68"/>
      <c r="D285" s="68"/>
      <c r="E285" s="69"/>
      <c r="M285" s="68"/>
      <c r="O285" s="68"/>
      <c r="P285" s="68"/>
      <c r="Q285" s="68"/>
      <c r="R285" s="68"/>
      <c r="S285" s="68"/>
    </row>
    <row r="286" spans="1:19" ht="15.75" customHeight="1">
      <c r="A286" s="68"/>
      <c r="B286" s="68"/>
      <c r="D286" s="68"/>
      <c r="E286" s="69"/>
      <c r="M286" s="68"/>
      <c r="O286" s="68"/>
      <c r="P286" s="68"/>
      <c r="Q286" s="68"/>
      <c r="R286" s="68"/>
      <c r="S286" s="68"/>
    </row>
    <row r="287" spans="1:19" ht="15.75" customHeight="1">
      <c r="A287" s="68"/>
      <c r="B287" s="68"/>
      <c r="D287" s="68"/>
      <c r="E287" s="69"/>
      <c r="M287" s="68"/>
      <c r="O287" s="68"/>
      <c r="P287" s="68"/>
      <c r="Q287" s="68"/>
      <c r="R287" s="68"/>
      <c r="S287" s="68"/>
    </row>
    <row r="288" spans="1:19" ht="15.75" customHeight="1">
      <c r="A288" s="68"/>
      <c r="B288" s="68"/>
      <c r="D288" s="68"/>
      <c r="E288" s="69"/>
      <c r="M288" s="68"/>
      <c r="O288" s="68"/>
      <c r="P288" s="68"/>
      <c r="Q288" s="68"/>
      <c r="R288" s="68"/>
      <c r="S288" s="68"/>
    </row>
    <row r="289" spans="1:19" ht="15.75" customHeight="1">
      <c r="A289" s="68"/>
      <c r="B289" s="68"/>
      <c r="D289" s="68"/>
      <c r="E289" s="69"/>
      <c r="M289" s="68"/>
      <c r="O289" s="68"/>
      <c r="P289" s="68"/>
      <c r="Q289" s="68"/>
      <c r="R289" s="68"/>
      <c r="S289" s="68"/>
    </row>
    <row r="290" spans="1:19" ht="15.75" customHeight="1">
      <c r="A290" s="68"/>
      <c r="B290" s="68"/>
      <c r="D290" s="68"/>
      <c r="E290" s="69"/>
      <c r="M290" s="68"/>
      <c r="O290" s="68"/>
      <c r="P290" s="68"/>
      <c r="Q290" s="68"/>
      <c r="R290" s="68"/>
      <c r="S290" s="68"/>
    </row>
    <row r="291" spans="1:19" ht="15.75" customHeight="1">
      <c r="A291" s="68"/>
      <c r="B291" s="68"/>
      <c r="D291" s="68"/>
      <c r="E291" s="69"/>
      <c r="M291" s="68"/>
      <c r="O291" s="68"/>
      <c r="P291" s="68"/>
      <c r="Q291" s="68"/>
      <c r="R291" s="68"/>
      <c r="S291" s="68"/>
    </row>
    <row r="292" spans="1:19" ht="15.75" customHeight="1">
      <c r="A292" s="68"/>
      <c r="B292" s="68"/>
      <c r="D292" s="68"/>
      <c r="E292" s="69"/>
      <c r="M292" s="68"/>
      <c r="O292" s="68"/>
      <c r="P292" s="68"/>
      <c r="Q292" s="68"/>
      <c r="R292" s="68"/>
      <c r="S292" s="68"/>
    </row>
    <row r="293" spans="1:19" ht="15.75" customHeight="1">
      <c r="A293" s="68"/>
      <c r="B293" s="68"/>
      <c r="D293" s="68"/>
      <c r="E293" s="69"/>
      <c r="M293" s="68"/>
      <c r="O293" s="68"/>
      <c r="P293" s="68"/>
      <c r="Q293" s="68"/>
      <c r="R293" s="68"/>
      <c r="S293" s="68"/>
    </row>
    <row r="294" spans="1:19" ht="15.75" customHeight="1">
      <c r="A294" s="68"/>
      <c r="B294" s="68"/>
      <c r="D294" s="68"/>
      <c r="E294" s="69"/>
      <c r="M294" s="68"/>
      <c r="O294" s="68"/>
      <c r="P294" s="68"/>
      <c r="Q294" s="68"/>
      <c r="R294" s="68"/>
      <c r="S294" s="68"/>
    </row>
    <row r="295" spans="1:19" ht="15.75" customHeight="1">
      <c r="A295" s="68"/>
      <c r="B295" s="68"/>
      <c r="D295" s="68"/>
      <c r="E295" s="69"/>
      <c r="M295" s="68"/>
      <c r="O295" s="68"/>
      <c r="P295" s="68"/>
      <c r="Q295" s="68"/>
      <c r="R295" s="68"/>
      <c r="S295" s="68"/>
    </row>
    <row r="296" spans="1:19" ht="15.75" customHeight="1">
      <c r="A296" s="68"/>
      <c r="B296" s="68"/>
      <c r="D296" s="68"/>
      <c r="E296" s="69"/>
      <c r="M296" s="68"/>
      <c r="O296" s="68"/>
      <c r="P296" s="68"/>
      <c r="Q296" s="68"/>
      <c r="R296" s="68"/>
      <c r="S296" s="68"/>
    </row>
    <row r="297" spans="1:19" ht="15.75" customHeight="1">
      <c r="A297" s="68"/>
      <c r="B297" s="68"/>
      <c r="D297" s="68"/>
      <c r="E297" s="69"/>
      <c r="M297" s="68"/>
      <c r="O297" s="68"/>
      <c r="P297" s="68"/>
      <c r="Q297" s="68"/>
      <c r="R297" s="68"/>
      <c r="S297" s="68"/>
    </row>
    <row r="298" spans="1:19" ht="15.75" customHeight="1">
      <c r="A298" s="68"/>
      <c r="B298" s="68"/>
      <c r="D298" s="68"/>
      <c r="E298" s="69"/>
      <c r="M298" s="68"/>
      <c r="O298" s="68"/>
      <c r="P298" s="68"/>
      <c r="Q298" s="68"/>
      <c r="R298" s="68"/>
      <c r="S298" s="68"/>
    </row>
    <row r="299" spans="1:19" ht="15.75" customHeight="1">
      <c r="A299" s="68"/>
      <c r="B299" s="68"/>
      <c r="D299" s="68"/>
      <c r="E299" s="69"/>
      <c r="M299" s="68"/>
      <c r="O299" s="68"/>
      <c r="P299" s="68"/>
      <c r="Q299" s="68"/>
      <c r="R299" s="68"/>
      <c r="S299" s="68"/>
    </row>
    <row r="300" spans="1:19" ht="15.75" customHeight="1">
      <c r="A300" s="68"/>
      <c r="B300" s="68"/>
      <c r="D300" s="68"/>
      <c r="E300" s="69"/>
      <c r="M300" s="68"/>
      <c r="O300" s="68"/>
      <c r="P300" s="68"/>
      <c r="Q300" s="68"/>
      <c r="R300" s="68"/>
      <c r="S300" s="68"/>
    </row>
    <row r="301" spans="1:19" ht="15.75" customHeight="1">
      <c r="A301" s="68"/>
      <c r="B301" s="68"/>
      <c r="D301" s="68"/>
      <c r="E301" s="69"/>
      <c r="M301" s="68"/>
      <c r="O301" s="68"/>
      <c r="P301" s="68"/>
      <c r="Q301" s="68"/>
      <c r="R301" s="68"/>
      <c r="S301" s="68"/>
    </row>
    <row r="302" spans="1:19" ht="15.75" customHeight="1">
      <c r="A302" s="68"/>
      <c r="B302" s="68"/>
      <c r="D302" s="68"/>
      <c r="E302" s="69"/>
      <c r="M302" s="68"/>
      <c r="O302" s="68"/>
      <c r="P302" s="68"/>
      <c r="Q302" s="68"/>
      <c r="R302" s="68"/>
      <c r="S302" s="68"/>
    </row>
    <row r="303" spans="1:19" ht="15.75" customHeight="1">
      <c r="A303" s="68"/>
      <c r="B303" s="68"/>
      <c r="D303" s="68"/>
      <c r="E303" s="69"/>
      <c r="M303" s="68"/>
      <c r="O303" s="68"/>
      <c r="P303" s="68"/>
      <c r="Q303" s="68"/>
      <c r="R303" s="68"/>
      <c r="S303" s="68"/>
    </row>
    <row r="304" spans="1:19" ht="15.75" customHeight="1">
      <c r="A304" s="68"/>
      <c r="B304" s="68"/>
      <c r="D304" s="68"/>
      <c r="E304" s="69"/>
      <c r="M304" s="68"/>
      <c r="O304" s="68"/>
      <c r="P304" s="68"/>
      <c r="Q304" s="68"/>
      <c r="R304" s="68"/>
      <c r="S304" s="68"/>
    </row>
    <row r="305" spans="1:19" ht="15.75" customHeight="1">
      <c r="A305" s="68"/>
      <c r="B305" s="68"/>
      <c r="D305" s="68"/>
      <c r="E305" s="69"/>
      <c r="M305" s="68"/>
      <c r="O305" s="68"/>
      <c r="P305" s="68"/>
      <c r="Q305" s="68"/>
      <c r="R305" s="68"/>
      <c r="S305" s="68"/>
    </row>
    <row r="306" spans="1:19" ht="15.75" customHeight="1">
      <c r="A306" s="68"/>
      <c r="B306" s="68"/>
      <c r="D306" s="68"/>
      <c r="E306" s="69"/>
      <c r="M306" s="68"/>
      <c r="O306" s="68"/>
      <c r="P306" s="68"/>
      <c r="Q306" s="68"/>
      <c r="R306" s="68"/>
      <c r="S306" s="68"/>
    </row>
    <row r="307" spans="1:19" ht="15.75" customHeight="1">
      <c r="A307" s="68"/>
      <c r="B307" s="68"/>
      <c r="D307" s="68"/>
      <c r="E307" s="69"/>
      <c r="M307" s="68"/>
      <c r="O307" s="68"/>
      <c r="P307" s="68"/>
      <c r="Q307" s="68"/>
      <c r="R307" s="68"/>
      <c r="S307" s="68"/>
    </row>
    <row r="308" spans="1:19" ht="15.75" customHeight="1">
      <c r="A308" s="68"/>
      <c r="B308" s="68"/>
      <c r="D308" s="68"/>
      <c r="E308" s="69"/>
      <c r="M308" s="68"/>
      <c r="O308" s="68"/>
      <c r="P308" s="68"/>
      <c r="Q308" s="68"/>
      <c r="R308" s="68"/>
      <c r="S308" s="68"/>
    </row>
    <row r="309" spans="1:19" ht="15.75" customHeight="1">
      <c r="A309" s="68"/>
      <c r="B309" s="68"/>
      <c r="D309" s="68"/>
      <c r="E309" s="69"/>
      <c r="M309" s="68"/>
      <c r="O309" s="68"/>
      <c r="P309" s="68"/>
      <c r="Q309" s="68"/>
      <c r="R309" s="68"/>
      <c r="S309" s="68"/>
    </row>
    <row r="310" spans="1:19" ht="15.75" customHeight="1">
      <c r="A310" s="68"/>
      <c r="B310" s="68"/>
      <c r="D310" s="68"/>
      <c r="E310" s="69"/>
      <c r="M310" s="68"/>
      <c r="O310" s="68"/>
      <c r="P310" s="68"/>
      <c r="Q310" s="68"/>
      <c r="R310" s="68"/>
      <c r="S310" s="68"/>
    </row>
    <row r="311" spans="1:19" ht="15.75" customHeight="1">
      <c r="A311" s="68"/>
      <c r="B311" s="68"/>
      <c r="D311" s="68"/>
      <c r="E311" s="69"/>
      <c r="M311" s="68"/>
      <c r="O311" s="68"/>
      <c r="P311" s="68"/>
      <c r="Q311" s="68"/>
      <c r="R311" s="68"/>
      <c r="S311" s="68"/>
    </row>
    <row r="312" spans="1:19" ht="15.75" customHeight="1">
      <c r="A312" s="68"/>
      <c r="B312" s="68"/>
      <c r="D312" s="68"/>
      <c r="E312" s="69"/>
      <c r="M312" s="68"/>
      <c r="O312" s="68"/>
      <c r="P312" s="68"/>
      <c r="Q312" s="68"/>
      <c r="R312" s="68"/>
      <c r="S312" s="68"/>
    </row>
    <row r="313" spans="1:19" ht="15.75" customHeight="1">
      <c r="A313" s="68"/>
      <c r="B313" s="68"/>
      <c r="D313" s="68"/>
      <c r="E313" s="69"/>
      <c r="M313" s="68"/>
      <c r="O313" s="68"/>
      <c r="P313" s="68"/>
      <c r="Q313" s="68"/>
      <c r="R313" s="68"/>
      <c r="S313" s="68"/>
    </row>
    <row r="314" spans="1:19" ht="15.75" customHeight="1">
      <c r="A314" s="68"/>
      <c r="B314" s="68"/>
      <c r="D314" s="68"/>
      <c r="E314" s="69"/>
      <c r="M314" s="68"/>
      <c r="O314" s="68"/>
      <c r="P314" s="68"/>
      <c r="Q314" s="68"/>
      <c r="R314" s="68"/>
      <c r="S314" s="68"/>
    </row>
    <row r="315" spans="1:19" ht="15.75" customHeight="1">
      <c r="A315" s="68"/>
      <c r="B315" s="68"/>
      <c r="D315" s="68"/>
      <c r="E315" s="69"/>
      <c r="M315" s="68"/>
      <c r="O315" s="68"/>
      <c r="P315" s="68"/>
      <c r="Q315" s="68"/>
      <c r="R315" s="68"/>
      <c r="S315" s="68"/>
    </row>
    <row r="316" spans="1:19" ht="15.75" customHeight="1">
      <c r="A316" s="68"/>
      <c r="B316" s="68"/>
      <c r="D316" s="68"/>
      <c r="E316" s="69"/>
      <c r="M316" s="68"/>
      <c r="O316" s="68"/>
      <c r="P316" s="68"/>
      <c r="Q316" s="68"/>
      <c r="R316" s="68"/>
      <c r="S316" s="68"/>
    </row>
    <row r="317" spans="1:19" ht="15.75" customHeight="1">
      <c r="A317" s="68"/>
      <c r="B317" s="68"/>
      <c r="D317" s="68"/>
      <c r="E317" s="69"/>
      <c r="M317" s="68"/>
      <c r="O317" s="68"/>
      <c r="P317" s="68"/>
      <c r="Q317" s="68"/>
      <c r="R317" s="68"/>
      <c r="S317" s="68"/>
    </row>
    <row r="318" spans="1:19" ht="15.75" customHeight="1">
      <c r="A318" s="68"/>
      <c r="B318" s="68"/>
      <c r="D318" s="68"/>
      <c r="E318" s="69"/>
      <c r="M318" s="68"/>
      <c r="O318" s="68"/>
      <c r="P318" s="68"/>
      <c r="Q318" s="68"/>
      <c r="R318" s="68"/>
      <c r="S318" s="68"/>
    </row>
    <row r="319" spans="1:19" ht="15.75" customHeight="1">
      <c r="A319" s="68"/>
      <c r="B319" s="68"/>
      <c r="D319" s="68"/>
      <c r="E319" s="69"/>
      <c r="M319" s="68"/>
      <c r="O319" s="68"/>
      <c r="P319" s="68"/>
      <c r="Q319" s="68"/>
      <c r="R319" s="68"/>
      <c r="S319" s="68"/>
    </row>
    <row r="320" spans="1:19" ht="15.75" customHeight="1">
      <c r="A320" s="68"/>
      <c r="B320" s="68"/>
      <c r="D320" s="68"/>
      <c r="E320" s="69"/>
      <c r="M320" s="68"/>
      <c r="O320" s="68"/>
      <c r="P320" s="68"/>
      <c r="Q320" s="68"/>
      <c r="R320" s="68"/>
      <c r="S320" s="68"/>
    </row>
    <row r="321" spans="1:19" ht="15.75" customHeight="1">
      <c r="A321" s="68"/>
      <c r="B321" s="68"/>
      <c r="D321" s="68"/>
      <c r="E321" s="69"/>
      <c r="M321" s="68"/>
      <c r="O321" s="68"/>
      <c r="P321" s="68"/>
      <c r="Q321" s="68"/>
      <c r="R321" s="68"/>
      <c r="S321" s="68"/>
    </row>
    <row r="322" spans="1:19" ht="15.75" customHeight="1">
      <c r="A322" s="68"/>
      <c r="B322" s="68"/>
      <c r="D322" s="68"/>
      <c r="E322" s="69"/>
      <c r="M322" s="68"/>
      <c r="O322" s="68"/>
      <c r="P322" s="68"/>
      <c r="Q322" s="68"/>
      <c r="R322" s="68"/>
      <c r="S322" s="68"/>
    </row>
    <row r="323" spans="1:19" ht="15.75" customHeight="1">
      <c r="A323" s="68"/>
      <c r="B323" s="68"/>
      <c r="D323" s="68"/>
      <c r="E323" s="69"/>
      <c r="M323" s="68"/>
      <c r="O323" s="68"/>
      <c r="P323" s="68"/>
      <c r="Q323" s="68"/>
      <c r="R323" s="68"/>
      <c r="S323" s="68"/>
    </row>
    <row r="324" spans="1:19" ht="15.75" customHeight="1">
      <c r="A324" s="68"/>
      <c r="B324" s="68"/>
      <c r="D324" s="68"/>
      <c r="E324" s="69"/>
      <c r="M324" s="68"/>
      <c r="O324" s="68"/>
      <c r="P324" s="68"/>
      <c r="Q324" s="68"/>
      <c r="R324" s="68"/>
      <c r="S324" s="68"/>
    </row>
    <row r="325" spans="1:19" ht="15.75" customHeight="1">
      <c r="A325" s="68"/>
      <c r="B325" s="68"/>
      <c r="D325" s="68"/>
      <c r="E325" s="69"/>
      <c r="M325" s="68"/>
      <c r="O325" s="68"/>
      <c r="P325" s="68"/>
      <c r="Q325" s="68"/>
      <c r="R325" s="68"/>
      <c r="S325" s="68"/>
    </row>
    <row r="326" spans="1:19" ht="15.75" customHeight="1">
      <c r="A326" s="68"/>
      <c r="B326" s="68"/>
      <c r="D326" s="68"/>
      <c r="E326" s="69"/>
      <c r="M326" s="68"/>
      <c r="O326" s="68"/>
      <c r="P326" s="68"/>
      <c r="Q326" s="68"/>
      <c r="R326" s="68"/>
      <c r="S326" s="68"/>
    </row>
    <row r="327" spans="1:19" ht="15.75" customHeight="1">
      <c r="A327" s="68"/>
      <c r="B327" s="68"/>
      <c r="D327" s="68"/>
      <c r="E327" s="69"/>
      <c r="M327" s="68"/>
      <c r="O327" s="68"/>
      <c r="P327" s="68"/>
      <c r="Q327" s="68"/>
      <c r="R327" s="68"/>
      <c r="S327" s="68"/>
    </row>
    <row r="328" spans="1:19" ht="15.75" customHeight="1">
      <c r="A328" s="68"/>
      <c r="B328" s="68"/>
      <c r="D328" s="68"/>
      <c r="E328" s="69"/>
      <c r="M328" s="68"/>
      <c r="O328" s="68"/>
      <c r="P328" s="68"/>
      <c r="Q328" s="68"/>
      <c r="R328" s="68"/>
      <c r="S328" s="68"/>
    </row>
    <row r="329" spans="1:19" ht="15.75" customHeight="1">
      <c r="A329" s="68"/>
      <c r="B329" s="68"/>
      <c r="D329" s="68"/>
      <c r="E329" s="69"/>
      <c r="M329" s="68"/>
      <c r="O329" s="68"/>
      <c r="P329" s="68"/>
      <c r="Q329" s="68"/>
      <c r="R329" s="68"/>
      <c r="S329" s="68"/>
    </row>
    <row r="330" spans="1:19" ht="15.75" customHeight="1">
      <c r="A330" s="68"/>
      <c r="B330" s="68"/>
      <c r="D330" s="68"/>
      <c r="E330" s="69"/>
      <c r="M330" s="68"/>
      <c r="O330" s="68"/>
      <c r="P330" s="68"/>
      <c r="Q330" s="68"/>
      <c r="R330" s="68"/>
      <c r="S330" s="68"/>
    </row>
    <row r="331" spans="1:19" ht="15.75" customHeight="1">
      <c r="A331" s="68"/>
      <c r="B331" s="68"/>
      <c r="D331" s="68"/>
      <c r="E331" s="69"/>
      <c r="M331" s="68"/>
      <c r="O331" s="68"/>
      <c r="P331" s="68"/>
      <c r="Q331" s="68"/>
      <c r="R331" s="68"/>
      <c r="S331" s="68"/>
    </row>
    <row r="332" spans="1:19" ht="15.75" customHeight="1">
      <c r="A332" s="68"/>
      <c r="B332" s="68"/>
      <c r="D332" s="68"/>
      <c r="E332" s="69"/>
      <c r="M332" s="68"/>
      <c r="O332" s="68"/>
      <c r="P332" s="68"/>
      <c r="Q332" s="68"/>
      <c r="R332" s="68"/>
      <c r="S332" s="68"/>
    </row>
    <row r="333" spans="1:19" ht="15.75" customHeight="1">
      <c r="A333" s="68"/>
      <c r="B333" s="68"/>
      <c r="D333" s="68"/>
      <c r="E333" s="69"/>
      <c r="M333" s="68"/>
      <c r="O333" s="68"/>
      <c r="P333" s="68"/>
      <c r="Q333" s="68"/>
      <c r="R333" s="68"/>
      <c r="S333" s="68"/>
    </row>
    <row r="334" spans="1:19" ht="15.75" customHeight="1">
      <c r="A334" s="68"/>
      <c r="B334" s="68"/>
      <c r="D334" s="68"/>
      <c r="E334" s="69"/>
      <c r="M334" s="68"/>
      <c r="O334" s="68"/>
      <c r="P334" s="68"/>
      <c r="Q334" s="68"/>
      <c r="R334" s="68"/>
      <c r="S334" s="68"/>
    </row>
    <row r="335" spans="1:19" ht="15.75" customHeight="1">
      <c r="A335" s="68"/>
      <c r="B335" s="68"/>
      <c r="D335" s="68"/>
      <c r="E335" s="69"/>
      <c r="M335" s="68"/>
      <c r="O335" s="68"/>
      <c r="P335" s="68"/>
      <c r="Q335" s="68"/>
      <c r="R335" s="68"/>
      <c r="S335" s="68"/>
    </row>
    <row r="336" spans="1:19" ht="15.75" customHeight="1">
      <c r="A336" s="68"/>
      <c r="B336" s="68"/>
      <c r="D336" s="68"/>
      <c r="E336" s="69"/>
      <c r="M336" s="68"/>
      <c r="O336" s="68"/>
      <c r="P336" s="68"/>
      <c r="Q336" s="68"/>
      <c r="R336" s="68"/>
      <c r="S336" s="68"/>
    </row>
    <row r="337" spans="1:19" ht="15.75" customHeight="1">
      <c r="A337" s="68"/>
      <c r="B337" s="68"/>
      <c r="D337" s="68"/>
      <c r="E337" s="69"/>
      <c r="M337" s="68"/>
      <c r="O337" s="68"/>
      <c r="P337" s="68"/>
      <c r="Q337" s="68"/>
      <c r="R337" s="68"/>
      <c r="S337" s="68"/>
    </row>
    <row r="338" spans="1:19" ht="15.75" customHeight="1">
      <c r="A338" s="68"/>
      <c r="B338" s="68"/>
      <c r="D338" s="68"/>
      <c r="E338" s="69"/>
      <c r="M338" s="68"/>
      <c r="O338" s="68"/>
      <c r="P338" s="68"/>
      <c r="Q338" s="68"/>
      <c r="R338" s="68"/>
      <c r="S338" s="68"/>
    </row>
    <row r="339" spans="1:19" ht="15.75" customHeight="1">
      <c r="A339" s="68"/>
      <c r="B339" s="68"/>
      <c r="D339" s="68"/>
      <c r="E339" s="69"/>
      <c r="M339" s="68"/>
      <c r="O339" s="68"/>
      <c r="P339" s="68"/>
      <c r="Q339" s="68"/>
      <c r="R339" s="68"/>
      <c r="S339" s="68"/>
    </row>
    <row r="340" spans="1:19" ht="15.75" customHeight="1">
      <c r="A340" s="68"/>
      <c r="B340" s="68"/>
      <c r="D340" s="68"/>
      <c r="E340" s="69"/>
      <c r="M340" s="68"/>
      <c r="O340" s="68"/>
      <c r="P340" s="68"/>
      <c r="Q340" s="68"/>
      <c r="R340" s="68"/>
      <c r="S340" s="68"/>
    </row>
    <row r="341" spans="1:19" ht="15.75" customHeight="1">
      <c r="A341" s="68"/>
      <c r="B341" s="68"/>
      <c r="D341" s="68"/>
      <c r="E341" s="69"/>
      <c r="M341" s="68"/>
      <c r="O341" s="68"/>
      <c r="P341" s="68"/>
      <c r="Q341" s="68"/>
      <c r="R341" s="68"/>
      <c r="S341" s="68"/>
    </row>
    <row r="342" spans="1:19" ht="15.75" customHeight="1">
      <c r="A342" s="68"/>
      <c r="B342" s="68"/>
      <c r="D342" s="68"/>
      <c r="E342" s="69"/>
      <c r="M342" s="68"/>
      <c r="O342" s="68"/>
      <c r="P342" s="68"/>
      <c r="Q342" s="68"/>
      <c r="R342" s="68"/>
      <c r="S342" s="68"/>
    </row>
    <row r="343" spans="1:19" ht="15.75" customHeight="1">
      <c r="A343" s="68"/>
      <c r="B343" s="68"/>
      <c r="D343" s="68"/>
      <c r="E343" s="69"/>
      <c r="M343" s="68"/>
      <c r="O343" s="68"/>
      <c r="P343" s="68"/>
      <c r="Q343" s="68"/>
      <c r="R343" s="68"/>
      <c r="S343" s="68"/>
    </row>
    <row r="344" spans="1:19" ht="15.75" customHeight="1">
      <c r="A344" s="68"/>
      <c r="B344" s="68"/>
      <c r="D344" s="68"/>
      <c r="E344" s="69"/>
      <c r="M344" s="68"/>
      <c r="O344" s="68"/>
      <c r="P344" s="68"/>
      <c r="Q344" s="68"/>
      <c r="R344" s="68"/>
      <c r="S344" s="68"/>
    </row>
    <row r="345" spans="1:19" ht="15.75" customHeight="1">
      <c r="A345" s="68"/>
      <c r="B345" s="68"/>
      <c r="D345" s="68"/>
      <c r="E345" s="69"/>
      <c r="M345" s="68"/>
      <c r="O345" s="68"/>
      <c r="P345" s="68"/>
      <c r="Q345" s="68"/>
      <c r="R345" s="68"/>
      <c r="S345" s="68"/>
    </row>
    <row r="346" spans="1:19" ht="15.75" customHeight="1">
      <c r="A346" s="68"/>
      <c r="B346" s="68"/>
      <c r="D346" s="68"/>
      <c r="E346" s="69"/>
      <c r="M346" s="68"/>
      <c r="O346" s="68"/>
      <c r="P346" s="68"/>
      <c r="Q346" s="68"/>
      <c r="R346" s="68"/>
      <c r="S346" s="68"/>
    </row>
    <row r="347" spans="1:19" ht="15.75" customHeight="1">
      <c r="A347" s="68"/>
      <c r="B347" s="68"/>
      <c r="D347" s="68"/>
      <c r="E347" s="69"/>
      <c r="M347" s="68"/>
      <c r="O347" s="68"/>
      <c r="P347" s="68"/>
      <c r="Q347" s="68"/>
      <c r="R347" s="68"/>
      <c r="S347" s="68"/>
    </row>
    <row r="348" spans="1:19" ht="15.75" customHeight="1">
      <c r="A348" s="68"/>
      <c r="B348" s="68"/>
      <c r="D348" s="68"/>
      <c r="E348" s="69"/>
      <c r="M348" s="68"/>
      <c r="O348" s="68"/>
      <c r="P348" s="68"/>
      <c r="Q348" s="68"/>
      <c r="R348" s="68"/>
      <c r="S348" s="68"/>
    </row>
    <row r="349" spans="1:19" ht="15.75" customHeight="1">
      <c r="A349" s="68"/>
      <c r="B349" s="68"/>
      <c r="D349" s="68"/>
      <c r="E349" s="69"/>
      <c r="M349" s="68"/>
      <c r="O349" s="68"/>
      <c r="P349" s="68"/>
      <c r="Q349" s="68"/>
      <c r="R349" s="68"/>
      <c r="S349" s="68"/>
    </row>
    <row r="350" spans="1:19" ht="15.75" customHeight="1">
      <c r="A350" s="68"/>
      <c r="B350" s="68"/>
      <c r="D350" s="68"/>
      <c r="E350" s="69"/>
      <c r="M350" s="68"/>
      <c r="O350" s="68"/>
      <c r="P350" s="68"/>
      <c r="Q350" s="68"/>
      <c r="R350" s="68"/>
      <c r="S350" s="68"/>
    </row>
    <row r="351" spans="1:19" ht="15.75" customHeight="1">
      <c r="A351" s="68"/>
      <c r="B351" s="68"/>
      <c r="D351" s="68"/>
      <c r="E351" s="69"/>
      <c r="M351" s="68"/>
      <c r="O351" s="68"/>
      <c r="P351" s="68"/>
      <c r="Q351" s="68"/>
      <c r="R351" s="68"/>
      <c r="S351" s="68"/>
    </row>
    <row r="352" spans="1:19" ht="15.75" customHeight="1">
      <c r="A352" s="68"/>
      <c r="B352" s="68"/>
      <c r="D352" s="68"/>
      <c r="E352" s="69"/>
      <c r="M352" s="68"/>
      <c r="O352" s="68"/>
      <c r="P352" s="68"/>
      <c r="Q352" s="68"/>
      <c r="R352" s="68"/>
      <c r="S352" s="68"/>
    </row>
    <row r="353" spans="1:19" ht="15.75" customHeight="1">
      <c r="A353" s="68"/>
      <c r="B353" s="68"/>
      <c r="D353" s="68"/>
      <c r="E353" s="69"/>
      <c r="M353" s="68"/>
      <c r="O353" s="68"/>
      <c r="P353" s="68"/>
      <c r="Q353" s="68"/>
      <c r="R353" s="68"/>
      <c r="S353" s="68"/>
    </row>
    <row r="354" spans="1:19" ht="15.75" customHeight="1">
      <c r="A354" s="68"/>
      <c r="B354" s="68"/>
      <c r="D354" s="68"/>
      <c r="E354" s="69"/>
      <c r="M354" s="68"/>
      <c r="O354" s="68"/>
      <c r="P354" s="68"/>
      <c r="Q354" s="68"/>
      <c r="R354" s="68"/>
      <c r="S354" s="68"/>
    </row>
    <row r="355" spans="1:19" ht="15.75" customHeight="1">
      <c r="A355" s="68"/>
      <c r="B355" s="68"/>
      <c r="D355" s="68"/>
      <c r="E355" s="69"/>
      <c r="M355" s="68"/>
      <c r="O355" s="68"/>
      <c r="P355" s="68"/>
      <c r="Q355" s="68"/>
      <c r="R355" s="68"/>
      <c r="S355" s="68"/>
    </row>
    <row r="356" spans="1:19" ht="15.75" customHeight="1">
      <c r="A356" s="68"/>
      <c r="B356" s="68"/>
      <c r="D356" s="68"/>
      <c r="E356" s="69"/>
      <c r="M356" s="68"/>
      <c r="O356" s="68"/>
      <c r="P356" s="68"/>
      <c r="Q356" s="68"/>
      <c r="R356" s="68"/>
      <c r="S356" s="68"/>
    </row>
    <row r="357" spans="1:19" ht="15.75" customHeight="1">
      <c r="A357" s="68"/>
      <c r="B357" s="68"/>
      <c r="D357" s="68"/>
      <c r="E357" s="69"/>
      <c r="M357" s="68"/>
      <c r="O357" s="68"/>
      <c r="P357" s="68"/>
      <c r="Q357" s="68"/>
      <c r="R357" s="68"/>
      <c r="S357" s="68"/>
    </row>
    <row r="358" spans="1:19" ht="15.75" customHeight="1">
      <c r="A358" s="68"/>
      <c r="B358" s="68"/>
      <c r="D358" s="68"/>
      <c r="E358" s="69"/>
      <c r="M358" s="68"/>
      <c r="O358" s="68"/>
      <c r="P358" s="68"/>
      <c r="Q358" s="68"/>
      <c r="R358" s="68"/>
      <c r="S358" s="68"/>
    </row>
    <row r="359" spans="1:19" ht="15.75" customHeight="1">
      <c r="A359" s="68"/>
      <c r="B359" s="68"/>
      <c r="D359" s="68"/>
      <c r="E359" s="69"/>
      <c r="M359" s="68"/>
      <c r="O359" s="68"/>
      <c r="P359" s="68"/>
      <c r="Q359" s="68"/>
      <c r="R359" s="68"/>
      <c r="S359" s="68"/>
    </row>
    <row r="360" spans="1:19" ht="15.75" customHeight="1">
      <c r="A360" s="68"/>
      <c r="B360" s="68"/>
      <c r="D360" s="68"/>
      <c r="E360" s="69"/>
      <c r="M360" s="68"/>
      <c r="O360" s="68"/>
      <c r="P360" s="68"/>
      <c r="Q360" s="68"/>
      <c r="R360" s="68"/>
      <c r="S360" s="68"/>
    </row>
    <row r="361" spans="1:19" ht="15.75" customHeight="1">
      <c r="A361" s="68"/>
      <c r="B361" s="68"/>
      <c r="D361" s="68"/>
      <c r="E361" s="69"/>
      <c r="M361" s="68"/>
      <c r="O361" s="68"/>
      <c r="P361" s="68"/>
      <c r="Q361" s="68"/>
      <c r="R361" s="68"/>
      <c r="S361" s="68"/>
    </row>
    <row r="362" spans="1:19" ht="15.75" customHeight="1">
      <c r="A362" s="68"/>
      <c r="B362" s="68"/>
      <c r="D362" s="68"/>
      <c r="E362" s="69"/>
      <c r="M362" s="68"/>
      <c r="O362" s="68"/>
      <c r="P362" s="68"/>
      <c r="Q362" s="68"/>
      <c r="R362" s="68"/>
      <c r="S362" s="68"/>
    </row>
    <row r="363" spans="1:19" ht="15.75" customHeight="1">
      <c r="A363" s="68"/>
      <c r="B363" s="68"/>
      <c r="D363" s="68"/>
      <c r="E363" s="69"/>
      <c r="M363" s="68"/>
      <c r="O363" s="68"/>
      <c r="P363" s="68"/>
      <c r="Q363" s="68"/>
      <c r="R363" s="68"/>
      <c r="S363" s="68"/>
    </row>
    <row r="364" spans="1:19" ht="15.75" customHeight="1">
      <c r="A364" s="68"/>
      <c r="B364" s="68"/>
      <c r="D364" s="68"/>
      <c r="E364" s="69"/>
      <c r="M364" s="68"/>
      <c r="O364" s="68"/>
      <c r="P364" s="68"/>
      <c r="Q364" s="68"/>
      <c r="R364" s="68"/>
      <c r="S364" s="68"/>
    </row>
    <row r="365" spans="1:19" ht="15.75" customHeight="1">
      <c r="A365" s="68"/>
      <c r="B365" s="68"/>
      <c r="D365" s="68"/>
      <c r="E365" s="69"/>
      <c r="M365" s="68"/>
      <c r="O365" s="68"/>
      <c r="P365" s="68"/>
      <c r="Q365" s="68"/>
      <c r="R365" s="68"/>
      <c r="S365" s="68"/>
    </row>
    <row r="366" spans="1:19" ht="15.75" customHeight="1">
      <c r="A366" s="68"/>
      <c r="B366" s="68"/>
      <c r="D366" s="68"/>
      <c r="E366" s="69"/>
      <c r="M366" s="68"/>
      <c r="O366" s="68"/>
      <c r="P366" s="68"/>
      <c r="Q366" s="68"/>
      <c r="R366" s="68"/>
      <c r="S366" s="68"/>
    </row>
    <row r="367" spans="1:19" ht="15.75" customHeight="1">
      <c r="A367" s="68"/>
      <c r="B367" s="68"/>
      <c r="D367" s="68"/>
      <c r="E367" s="69"/>
      <c r="M367" s="68"/>
      <c r="O367" s="68"/>
      <c r="P367" s="68"/>
      <c r="Q367" s="68"/>
      <c r="R367" s="68"/>
      <c r="S367" s="68"/>
    </row>
    <row r="368" spans="1:19" ht="15.75" customHeight="1">
      <c r="A368" s="68"/>
      <c r="B368" s="68"/>
      <c r="D368" s="68"/>
      <c r="E368" s="69"/>
      <c r="M368" s="68"/>
      <c r="O368" s="68"/>
      <c r="P368" s="68"/>
      <c r="Q368" s="68"/>
      <c r="R368" s="68"/>
      <c r="S368" s="68"/>
    </row>
    <row r="369" spans="1:19" ht="15.75" customHeight="1">
      <c r="A369" s="68"/>
      <c r="B369" s="68"/>
      <c r="D369" s="68"/>
      <c r="E369" s="69"/>
      <c r="M369" s="68"/>
      <c r="O369" s="68"/>
      <c r="P369" s="68"/>
      <c r="Q369" s="68"/>
      <c r="R369" s="68"/>
      <c r="S369" s="68"/>
    </row>
    <row r="370" spans="1:19" ht="15.75" customHeight="1">
      <c r="A370" s="68"/>
      <c r="B370" s="68"/>
      <c r="D370" s="68"/>
      <c r="E370" s="69"/>
      <c r="M370" s="68"/>
      <c r="O370" s="68"/>
      <c r="P370" s="68"/>
      <c r="Q370" s="68"/>
      <c r="R370" s="68"/>
      <c r="S370" s="68"/>
    </row>
    <row r="371" spans="1:19" ht="15.75" customHeight="1">
      <c r="A371" s="68"/>
      <c r="B371" s="68"/>
      <c r="D371" s="68"/>
      <c r="E371" s="69"/>
      <c r="M371" s="68"/>
      <c r="O371" s="68"/>
      <c r="P371" s="68"/>
      <c r="Q371" s="68"/>
      <c r="R371" s="68"/>
      <c r="S371" s="68"/>
    </row>
    <row r="372" spans="1:19" ht="15.75" customHeight="1">
      <c r="A372" s="68"/>
      <c r="B372" s="68"/>
      <c r="D372" s="68"/>
      <c r="E372" s="69"/>
      <c r="M372" s="68"/>
      <c r="O372" s="68"/>
      <c r="P372" s="68"/>
      <c r="Q372" s="68"/>
      <c r="R372" s="68"/>
      <c r="S372" s="68"/>
    </row>
    <row r="373" spans="1:19" ht="15.75" customHeight="1">
      <c r="A373" s="68"/>
      <c r="B373" s="68"/>
      <c r="D373" s="68"/>
      <c r="E373" s="69"/>
      <c r="M373" s="68"/>
      <c r="O373" s="68"/>
      <c r="P373" s="68"/>
      <c r="Q373" s="68"/>
      <c r="R373" s="68"/>
      <c r="S373" s="68"/>
    </row>
    <row r="374" spans="1:19" ht="15.75" customHeight="1">
      <c r="A374" s="68"/>
      <c r="B374" s="68"/>
      <c r="D374" s="68"/>
      <c r="E374" s="69"/>
      <c r="M374" s="68"/>
      <c r="O374" s="68"/>
      <c r="P374" s="68"/>
      <c r="Q374" s="68"/>
      <c r="R374" s="68"/>
      <c r="S374" s="68"/>
    </row>
    <row r="375" spans="1:19" ht="15.75" customHeight="1">
      <c r="A375" s="68"/>
      <c r="B375" s="68"/>
      <c r="D375" s="68"/>
      <c r="E375" s="69"/>
      <c r="M375" s="68"/>
      <c r="O375" s="68"/>
      <c r="P375" s="68"/>
      <c r="Q375" s="68"/>
      <c r="R375" s="68"/>
      <c r="S375" s="68"/>
    </row>
    <row r="376" spans="1:19" ht="15.75" customHeight="1">
      <c r="A376" s="68"/>
      <c r="B376" s="68"/>
      <c r="D376" s="68"/>
      <c r="E376" s="69"/>
      <c r="M376" s="68"/>
      <c r="O376" s="68"/>
      <c r="P376" s="68"/>
      <c r="Q376" s="68"/>
      <c r="R376" s="68"/>
      <c r="S376" s="68"/>
    </row>
    <row r="377" spans="1:19" ht="15.75" customHeight="1">
      <c r="A377" s="68"/>
      <c r="B377" s="68"/>
      <c r="D377" s="68"/>
      <c r="E377" s="69"/>
      <c r="M377" s="68"/>
      <c r="O377" s="68"/>
      <c r="P377" s="68"/>
      <c r="Q377" s="68"/>
      <c r="R377" s="68"/>
      <c r="S377" s="68"/>
    </row>
    <row r="378" spans="1:19" ht="15.75" customHeight="1">
      <c r="A378" s="68"/>
      <c r="B378" s="68"/>
      <c r="D378" s="68"/>
      <c r="E378" s="69"/>
      <c r="M378" s="68"/>
      <c r="O378" s="68"/>
      <c r="P378" s="68"/>
      <c r="Q378" s="68"/>
      <c r="R378" s="68"/>
      <c r="S378" s="68"/>
    </row>
    <row r="379" spans="1:19" ht="15.75" customHeight="1">
      <c r="A379" s="68"/>
      <c r="B379" s="68"/>
      <c r="D379" s="68"/>
      <c r="E379" s="69"/>
      <c r="M379" s="68"/>
      <c r="O379" s="68"/>
      <c r="P379" s="68"/>
      <c r="Q379" s="68"/>
      <c r="R379" s="68"/>
      <c r="S379" s="68"/>
    </row>
    <row r="380" spans="1:19" ht="15.75" customHeight="1">
      <c r="A380" s="68"/>
      <c r="B380" s="68"/>
      <c r="D380" s="68"/>
      <c r="E380" s="69"/>
      <c r="M380" s="68"/>
      <c r="O380" s="68"/>
      <c r="P380" s="68"/>
      <c r="Q380" s="68"/>
      <c r="R380" s="68"/>
      <c r="S380" s="68"/>
    </row>
    <row r="381" spans="1:19" ht="15.75" customHeight="1">
      <c r="A381" s="68"/>
      <c r="B381" s="68"/>
      <c r="D381" s="68"/>
      <c r="E381" s="69"/>
      <c r="M381" s="68"/>
      <c r="O381" s="68"/>
      <c r="P381" s="68"/>
      <c r="Q381" s="68"/>
      <c r="R381" s="68"/>
      <c r="S381" s="68"/>
    </row>
    <row r="382" spans="1:19" ht="15.75" customHeight="1">
      <c r="A382" s="68"/>
      <c r="B382" s="68"/>
      <c r="D382" s="68"/>
      <c r="E382" s="69"/>
      <c r="M382" s="68"/>
      <c r="O382" s="68"/>
      <c r="P382" s="68"/>
      <c r="Q382" s="68"/>
      <c r="R382" s="68"/>
      <c r="S382" s="68"/>
    </row>
    <row r="383" spans="1:19" ht="15.75" customHeight="1">
      <c r="A383" s="68"/>
      <c r="B383" s="68"/>
      <c r="D383" s="68"/>
      <c r="E383" s="69"/>
      <c r="M383" s="68"/>
      <c r="O383" s="68"/>
      <c r="P383" s="68"/>
      <c r="Q383" s="68"/>
      <c r="R383" s="68"/>
      <c r="S383" s="68"/>
    </row>
    <row r="384" spans="1:19" ht="15.75" customHeight="1">
      <c r="A384" s="68"/>
      <c r="B384" s="68"/>
      <c r="D384" s="68"/>
      <c r="E384" s="69"/>
      <c r="M384" s="68"/>
      <c r="O384" s="68"/>
      <c r="P384" s="68"/>
      <c r="Q384" s="68"/>
      <c r="R384" s="68"/>
      <c r="S384" s="68"/>
    </row>
    <row r="385" spans="1:19" ht="15.75" customHeight="1">
      <c r="A385" s="68"/>
      <c r="B385" s="68"/>
      <c r="D385" s="68"/>
      <c r="E385" s="69"/>
      <c r="M385" s="68"/>
      <c r="O385" s="68"/>
      <c r="P385" s="68"/>
      <c r="Q385" s="68"/>
      <c r="R385" s="68"/>
      <c r="S385" s="68"/>
    </row>
    <row r="386" spans="1:19" ht="15.75" customHeight="1">
      <c r="A386" s="68"/>
      <c r="B386" s="68"/>
      <c r="D386" s="68"/>
      <c r="E386" s="69"/>
      <c r="M386" s="68"/>
      <c r="O386" s="68"/>
      <c r="P386" s="68"/>
      <c r="Q386" s="68"/>
      <c r="R386" s="68"/>
      <c r="S386" s="68"/>
    </row>
    <row r="387" spans="1:19" ht="15.75" customHeight="1">
      <c r="A387" s="68"/>
      <c r="B387" s="68"/>
      <c r="D387" s="68"/>
      <c r="E387" s="69"/>
      <c r="M387" s="68"/>
      <c r="O387" s="68"/>
      <c r="P387" s="68"/>
      <c r="Q387" s="68"/>
      <c r="R387" s="68"/>
      <c r="S387" s="68"/>
    </row>
    <row r="388" spans="1:19" ht="15.75" customHeight="1">
      <c r="A388" s="68"/>
      <c r="B388" s="68"/>
      <c r="D388" s="68"/>
      <c r="E388" s="69"/>
      <c r="M388" s="68"/>
      <c r="O388" s="68"/>
      <c r="P388" s="68"/>
      <c r="Q388" s="68"/>
      <c r="R388" s="68"/>
      <c r="S388" s="68"/>
    </row>
    <row r="389" spans="1:19" ht="15.75" customHeight="1">
      <c r="A389" s="68"/>
      <c r="B389" s="68"/>
      <c r="D389" s="68"/>
      <c r="E389" s="69"/>
      <c r="M389" s="68"/>
      <c r="O389" s="68"/>
      <c r="P389" s="68"/>
      <c r="Q389" s="68"/>
      <c r="R389" s="68"/>
      <c r="S389" s="68"/>
    </row>
    <row r="390" spans="1:19" ht="15.75" customHeight="1">
      <c r="A390" s="68"/>
      <c r="B390" s="68"/>
      <c r="D390" s="68"/>
      <c r="E390" s="69"/>
      <c r="M390" s="68"/>
      <c r="O390" s="68"/>
      <c r="P390" s="68"/>
      <c r="Q390" s="68"/>
      <c r="R390" s="68"/>
      <c r="S390" s="68"/>
    </row>
    <row r="391" spans="1:19" ht="15.75" customHeight="1">
      <c r="A391" s="68"/>
      <c r="B391" s="68"/>
      <c r="D391" s="68"/>
      <c r="E391" s="69"/>
      <c r="M391" s="68"/>
      <c r="O391" s="68"/>
      <c r="P391" s="68"/>
      <c r="Q391" s="68"/>
      <c r="R391" s="68"/>
      <c r="S391" s="68"/>
    </row>
    <row r="392" spans="1:19" ht="15.75" customHeight="1">
      <c r="A392" s="68"/>
      <c r="B392" s="68"/>
      <c r="D392" s="68"/>
      <c r="E392" s="69"/>
      <c r="M392" s="68"/>
      <c r="O392" s="68"/>
      <c r="P392" s="68"/>
      <c r="Q392" s="68"/>
      <c r="R392" s="68"/>
      <c r="S392" s="68"/>
    </row>
    <row r="393" spans="1:19" ht="15.75" customHeight="1">
      <c r="A393" s="68"/>
      <c r="B393" s="68"/>
      <c r="D393" s="68"/>
      <c r="E393" s="69"/>
      <c r="M393" s="68"/>
      <c r="O393" s="68"/>
      <c r="P393" s="68"/>
      <c r="Q393" s="68"/>
      <c r="R393" s="68"/>
      <c r="S393" s="68"/>
    </row>
    <row r="394" spans="1:19" ht="15.75" customHeight="1">
      <c r="A394" s="68"/>
      <c r="B394" s="68"/>
      <c r="D394" s="68"/>
      <c r="E394" s="69"/>
      <c r="M394" s="68"/>
      <c r="O394" s="68"/>
      <c r="P394" s="68"/>
      <c r="Q394" s="68"/>
      <c r="R394" s="68"/>
      <c r="S394" s="68"/>
    </row>
    <row r="395" spans="1:19" ht="15.75" customHeight="1">
      <c r="A395" s="68"/>
      <c r="B395" s="68"/>
      <c r="D395" s="68"/>
      <c r="E395" s="69"/>
      <c r="M395" s="68"/>
      <c r="O395" s="68"/>
      <c r="P395" s="68"/>
      <c r="Q395" s="68"/>
      <c r="R395" s="68"/>
      <c r="S395" s="68"/>
    </row>
    <row r="396" spans="1:19" ht="15.75" customHeight="1">
      <c r="A396" s="68"/>
      <c r="B396" s="68"/>
      <c r="D396" s="68"/>
      <c r="E396" s="69"/>
      <c r="M396" s="68"/>
      <c r="O396" s="68"/>
      <c r="P396" s="68"/>
      <c r="Q396" s="68"/>
      <c r="R396" s="68"/>
      <c r="S396" s="68"/>
    </row>
    <row r="397" spans="1:19" ht="15.75" customHeight="1">
      <c r="A397" s="68"/>
      <c r="B397" s="68"/>
      <c r="D397" s="68"/>
      <c r="E397" s="69"/>
      <c r="M397" s="68"/>
      <c r="O397" s="68"/>
      <c r="P397" s="68"/>
      <c r="Q397" s="68"/>
      <c r="R397" s="68"/>
      <c r="S397" s="68"/>
    </row>
    <row r="398" spans="1:19" ht="15.75" customHeight="1">
      <c r="A398" s="68"/>
      <c r="B398" s="68"/>
      <c r="D398" s="68"/>
      <c r="E398" s="69"/>
      <c r="M398" s="68"/>
      <c r="O398" s="68"/>
      <c r="P398" s="68"/>
      <c r="Q398" s="68"/>
      <c r="R398" s="68"/>
      <c r="S398" s="68"/>
    </row>
    <row r="399" spans="1:19" ht="15.75" customHeight="1">
      <c r="A399" s="68"/>
      <c r="B399" s="68"/>
      <c r="D399" s="68"/>
      <c r="E399" s="69"/>
      <c r="M399" s="68"/>
      <c r="O399" s="68"/>
      <c r="P399" s="68"/>
      <c r="Q399" s="68"/>
      <c r="R399" s="68"/>
      <c r="S399" s="68"/>
    </row>
    <row r="400" spans="1:19" ht="15.75" customHeight="1">
      <c r="A400" s="68"/>
      <c r="B400" s="68"/>
      <c r="D400" s="68"/>
      <c r="E400" s="69"/>
      <c r="M400" s="68"/>
      <c r="O400" s="68"/>
      <c r="P400" s="68"/>
      <c r="Q400" s="68"/>
      <c r="R400" s="68"/>
      <c r="S400" s="68"/>
    </row>
    <row r="401" spans="1:19" ht="15.75" customHeight="1">
      <c r="A401" s="68"/>
      <c r="B401" s="68"/>
      <c r="D401" s="68"/>
      <c r="E401" s="69"/>
      <c r="M401" s="68"/>
      <c r="O401" s="68"/>
      <c r="P401" s="68"/>
      <c r="Q401" s="68"/>
      <c r="R401" s="68"/>
      <c r="S401" s="68"/>
    </row>
    <row r="402" spans="1:19" ht="15.75" customHeight="1">
      <c r="A402" s="68"/>
      <c r="B402" s="68"/>
      <c r="D402" s="68"/>
      <c r="E402" s="69"/>
      <c r="M402" s="68"/>
      <c r="O402" s="68"/>
      <c r="P402" s="68"/>
      <c r="Q402" s="68"/>
      <c r="R402" s="68"/>
      <c r="S402" s="68"/>
    </row>
    <row r="403" spans="1:19" ht="15.75" customHeight="1">
      <c r="A403" s="68"/>
      <c r="B403" s="68"/>
      <c r="D403" s="68"/>
      <c r="E403" s="69"/>
      <c r="M403" s="68"/>
      <c r="O403" s="68"/>
      <c r="P403" s="68"/>
      <c r="Q403" s="68"/>
      <c r="R403" s="68"/>
      <c r="S403" s="68"/>
    </row>
    <row r="404" spans="1:19" ht="15.75" customHeight="1">
      <c r="A404" s="68"/>
      <c r="B404" s="68"/>
      <c r="D404" s="68"/>
      <c r="E404" s="69"/>
      <c r="M404" s="68"/>
      <c r="O404" s="68"/>
      <c r="P404" s="68"/>
      <c r="Q404" s="68"/>
      <c r="R404" s="68"/>
      <c r="S404" s="68"/>
    </row>
    <row r="405" spans="1:19" ht="15.75" customHeight="1">
      <c r="A405" s="68"/>
      <c r="B405" s="68"/>
      <c r="D405" s="68"/>
      <c r="E405" s="69"/>
      <c r="M405" s="68"/>
      <c r="O405" s="68"/>
      <c r="P405" s="68"/>
      <c r="Q405" s="68"/>
      <c r="R405" s="68"/>
      <c r="S405" s="68"/>
    </row>
    <row r="406" spans="1:19" ht="15.75" customHeight="1">
      <c r="A406" s="68"/>
      <c r="B406" s="68"/>
      <c r="D406" s="68"/>
      <c r="E406" s="69"/>
      <c r="M406" s="68"/>
      <c r="O406" s="68"/>
      <c r="P406" s="68"/>
      <c r="Q406" s="68"/>
      <c r="R406" s="68"/>
      <c r="S406" s="68"/>
    </row>
    <row r="407" spans="1:19" ht="15.75" customHeight="1">
      <c r="A407" s="68"/>
      <c r="B407" s="68"/>
      <c r="D407" s="68"/>
      <c r="E407" s="69"/>
      <c r="M407" s="68"/>
      <c r="O407" s="68"/>
      <c r="P407" s="68"/>
      <c r="Q407" s="68"/>
      <c r="R407" s="68"/>
      <c r="S407" s="68"/>
    </row>
    <row r="408" spans="1:19" ht="15.75" customHeight="1">
      <c r="A408" s="68"/>
      <c r="B408" s="68"/>
      <c r="D408" s="68"/>
      <c r="E408" s="69"/>
      <c r="M408" s="68"/>
      <c r="O408" s="68"/>
      <c r="P408" s="68"/>
      <c r="Q408" s="68"/>
      <c r="R408" s="68"/>
      <c r="S408" s="68"/>
    </row>
    <row r="409" spans="1:19" ht="15.75" customHeight="1">
      <c r="A409" s="68"/>
      <c r="B409" s="68"/>
      <c r="D409" s="68"/>
      <c r="E409" s="69"/>
      <c r="M409" s="68"/>
      <c r="O409" s="68"/>
      <c r="P409" s="68"/>
      <c r="Q409" s="68"/>
      <c r="R409" s="68"/>
      <c r="S409" s="68"/>
    </row>
    <row r="410" spans="1:19" ht="15.75" customHeight="1">
      <c r="A410" s="68"/>
      <c r="B410" s="68"/>
      <c r="D410" s="68"/>
      <c r="E410" s="69"/>
      <c r="M410" s="68"/>
      <c r="O410" s="68"/>
      <c r="P410" s="68"/>
      <c r="Q410" s="68"/>
      <c r="R410" s="68"/>
      <c r="S410" s="68"/>
    </row>
    <row r="411" spans="1:19" ht="15.75" customHeight="1">
      <c r="A411" s="68"/>
      <c r="B411" s="68"/>
      <c r="D411" s="68"/>
      <c r="E411" s="69"/>
      <c r="M411" s="68"/>
      <c r="O411" s="68"/>
      <c r="P411" s="68"/>
      <c r="Q411" s="68"/>
      <c r="R411" s="68"/>
      <c r="S411" s="68"/>
    </row>
    <row r="412" spans="1:19" ht="15.75" customHeight="1">
      <c r="A412" s="68"/>
      <c r="B412" s="68"/>
      <c r="D412" s="68"/>
      <c r="E412" s="69"/>
      <c r="M412" s="68"/>
      <c r="O412" s="68"/>
      <c r="P412" s="68"/>
      <c r="Q412" s="68"/>
      <c r="R412" s="68"/>
      <c r="S412" s="68"/>
    </row>
    <row r="413" spans="1:19" ht="15.75" customHeight="1">
      <c r="A413" s="68"/>
      <c r="B413" s="68"/>
      <c r="D413" s="68"/>
      <c r="E413" s="69"/>
      <c r="M413" s="68"/>
      <c r="O413" s="68"/>
      <c r="P413" s="68"/>
      <c r="Q413" s="68"/>
      <c r="R413" s="68"/>
      <c r="S413" s="68"/>
    </row>
    <row r="414" spans="1:19" ht="15.75" customHeight="1">
      <c r="A414" s="68"/>
      <c r="B414" s="68"/>
      <c r="D414" s="68"/>
      <c r="E414" s="69"/>
      <c r="M414" s="68"/>
      <c r="O414" s="68"/>
      <c r="P414" s="68"/>
      <c r="Q414" s="68"/>
      <c r="R414" s="68"/>
      <c r="S414" s="68"/>
    </row>
    <row r="415" spans="1:19" ht="15.75" customHeight="1">
      <c r="A415" s="68"/>
      <c r="B415" s="68"/>
      <c r="D415" s="68"/>
      <c r="E415" s="69"/>
      <c r="M415" s="68"/>
      <c r="O415" s="68"/>
      <c r="P415" s="68"/>
      <c r="Q415" s="68"/>
      <c r="R415" s="68"/>
      <c r="S415" s="68"/>
    </row>
    <row r="416" spans="1:19" ht="15.75" customHeight="1">
      <c r="A416" s="68"/>
      <c r="B416" s="68"/>
      <c r="D416" s="68"/>
      <c r="E416" s="69"/>
      <c r="M416" s="68"/>
      <c r="O416" s="68"/>
      <c r="P416" s="68"/>
      <c r="Q416" s="68"/>
      <c r="R416" s="68"/>
      <c r="S416" s="68"/>
    </row>
    <row r="417" spans="1:19" ht="15.75" customHeight="1">
      <c r="A417" s="68"/>
      <c r="B417" s="68"/>
      <c r="D417" s="68"/>
      <c r="E417" s="69"/>
      <c r="M417" s="68"/>
      <c r="O417" s="68"/>
      <c r="P417" s="68"/>
      <c r="Q417" s="68"/>
      <c r="R417" s="68"/>
      <c r="S417" s="68"/>
    </row>
    <row r="418" spans="1:19" ht="15.75" customHeight="1">
      <c r="A418" s="68"/>
      <c r="B418" s="68"/>
      <c r="D418" s="68"/>
      <c r="E418" s="69"/>
      <c r="M418" s="68"/>
      <c r="O418" s="68"/>
      <c r="P418" s="68"/>
      <c r="Q418" s="68"/>
      <c r="R418" s="68"/>
      <c r="S418" s="68"/>
    </row>
    <row r="419" spans="1:19" ht="15.75" customHeight="1">
      <c r="A419" s="68"/>
      <c r="B419" s="68"/>
      <c r="D419" s="68"/>
      <c r="E419" s="69"/>
      <c r="M419" s="68"/>
      <c r="O419" s="68"/>
      <c r="P419" s="68"/>
      <c r="Q419" s="68"/>
      <c r="R419" s="68"/>
      <c r="S419" s="68"/>
    </row>
    <row r="420" spans="1:19" ht="15.75" customHeight="1">
      <c r="A420" s="68"/>
      <c r="B420" s="68"/>
      <c r="D420" s="68"/>
      <c r="E420" s="69"/>
      <c r="M420" s="68"/>
      <c r="O420" s="68"/>
      <c r="P420" s="68"/>
      <c r="Q420" s="68"/>
      <c r="R420" s="68"/>
      <c r="S420" s="68"/>
    </row>
    <row r="421" spans="1:19" ht="15.75" customHeight="1">
      <c r="A421" s="68"/>
      <c r="B421" s="68"/>
      <c r="D421" s="68"/>
      <c r="E421" s="69"/>
      <c r="M421" s="68"/>
      <c r="O421" s="68"/>
      <c r="P421" s="68"/>
      <c r="Q421" s="68"/>
      <c r="R421" s="68"/>
      <c r="S421" s="68"/>
    </row>
    <row r="422" spans="1:19" ht="15.75" customHeight="1">
      <c r="A422" s="68"/>
      <c r="B422" s="68"/>
      <c r="D422" s="68"/>
      <c r="E422" s="69"/>
      <c r="M422" s="68"/>
      <c r="O422" s="68"/>
      <c r="P422" s="68"/>
      <c r="Q422" s="68"/>
      <c r="R422" s="68"/>
      <c r="S422" s="68"/>
    </row>
    <row r="423" spans="1:19" ht="15.75" customHeight="1">
      <c r="A423" s="68"/>
      <c r="B423" s="68"/>
      <c r="D423" s="68"/>
      <c r="E423" s="69"/>
      <c r="M423" s="68"/>
      <c r="O423" s="68"/>
      <c r="P423" s="68"/>
      <c r="Q423" s="68"/>
      <c r="R423" s="68"/>
      <c r="S423" s="68"/>
    </row>
    <row r="424" spans="1:19" ht="15.75" customHeight="1">
      <c r="A424" s="68"/>
      <c r="B424" s="68"/>
      <c r="D424" s="68"/>
      <c r="E424" s="69"/>
      <c r="M424" s="68"/>
      <c r="O424" s="68"/>
      <c r="P424" s="68"/>
      <c r="Q424" s="68"/>
      <c r="R424" s="68"/>
      <c r="S424" s="68"/>
    </row>
    <row r="425" spans="1:19" ht="15.75" customHeight="1">
      <c r="A425" s="68"/>
      <c r="B425" s="68"/>
      <c r="D425" s="68"/>
      <c r="E425" s="69"/>
      <c r="M425" s="68"/>
      <c r="O425" s="68"/>
      <c r="P425" s="68"/>
      <c r="Q425" s="68"/>
      <c r="R425" s="68"/>
      <c r="S425" s="68"/>
    </row>
    <row r="426" spans="1:19" ht="15.75" customHeight="1">
      <c r="A426" s="68"/>
      <c r="B426" s="68"/>
      <c r="D426" s="68"/>
      <c r="E426" s="69"/>
      <c r="M426" s="68"/>
      <c r="O426" s="68"/>
      <c r="P426" s="68"/>
      <c r="Q426" s="68"/>
      <c r="R426" s="68"/>
      <c r="S426" s="68"/>
    </row>
    <row r="427" spans="1:19" ht="15.75" customHeight="1">
      <c r="A427" s="68"/>
      <c r="B427" s="68"/>
      <c r="D427" s="68"/>
      <c r="E427" s="69"/>
      <c r="M427" s="68"/>
      <c r="O427" s="68"/>
      <c r="P427" s="68"/>
      <c r="Q427" s="68"/>
      <c r="R427" s="68"/>
      <c r="S427" s="68"/>
    </row>
    <row r="428" spans="1:19" ht="15.75" customHeight="1">
      <c r="A428" s="68"/>
      <c r="B428" s="68"/>
      <c r="D428" s="68"/>
      <c r="E428" s="69"/>
      <c r="M428" s="68"/>
      <c r="O428" s="68"/>
      <c r="P428" s="68"/>
      <c r="Q428" s="68"/>
      <c r="R428" s="68"/>
      <c r="S428" s="68"/>
    </row>
    <row r="429" spans="1:19" ht="15.75" customHeight="1">
      <c r="A429" s="68"/>
      <c r="B429" s="68"/>
      <c r="D429" s="68"/>
      <c r="E429" s="69"/>
      <c r="M429" s="68"/>
      <c r="O429" s="68"/>
      <c r="P429" s="68"/>
      <c r="Q429" s="68"/>
      <c r="R429" s="68"/>
      <c r="S429" s="68"/>
    </row>
    <row r="430" spans="1:19" ht="15.75" customHeight="1">
      <c r="A430" s="68"/>
      <c r="B430" s="68"/>
      <c r="D430" s="68"/>
      <c r="E430" s="69"/>
      <c r="M430" s="68"/>
      <c r="O430" s="68"/>
      <c r="P430" s="68"/>
      <c r="Q430" s="68"/>
      <c r="R430" s="68"/>
      <c r="S430" s="68"/>
    </row>
    <row r="431" spans="1:19" ht="15.75" customHeight="1">
      <c r="A431" s="68"/>
      <c r="B431" s="68"/>
      <c r="D431" s="68"/>
      <c r="E431" s="69"/>
      <c r="M431" s="68"/>
      <c r="O431" s="68"/>
      <c r="P431" s="68"/>
      <c r="Q431" s="68"/>
      <c r="R431" s="68"/>
      <c r="S431" s="68"/>
    </row>
    <row r="432" spans="1:19" ht="15.75" customHeight="1">
      <c r="A432" s="68"/>
      <c r="B432" s="68"/>
      <c r="D432" s="68"/>
      <c r="E432" s="69"/>
      <c r="M432" s="68"/>
      <c r="O432" s="68"/>
      <c r="P432" s="68"/>
      <c r="Q432" s="68"/>
      <c r="R432" s="68"/>
      <c r="S432" s="68"/>
    </row>
    <row r="433" spans="1:19" ht="15.75" customHeight="1">
      <c r="A433" s="68"/>
      <c r="B433" s="68"/>
      <c r="D433" s="68"/>
      <c r="E433" s="69"/>
      <c r="M433" s="68"/>
      <c r="O433" s="68"/>
      <c r="P433" s="68"/>
      <c r="Q433" s="68"/>
      <c r="R433" s="68"/>
      <c r="S433" s="68"/>
    </row>
    <row r="434" spans="1:19" ht="15.75" customHeight="1">
      <c r="A434" s="68"/>
      <c r="B434" s="68"/>
      <c r="D434" s="68"/>
      <c r="E434" s="69"/>
      <c r="M434" s="68"/>
      <c r="O434" s="68"/>
      <c r="P434" s="68"/>
      <c r="Q434" s="68"/>
      <c r="R434" s="68"/>
      <c r="S434" s="68"/>
    </row>
    <row r="435" spans="1:19" ht="15.75" customHeight="1">
      <c r="A435" s="68"/>
      <c r="B435" s="68"/>
      <c r="D435" s="68"/>
      <c r="E435" s="69"/>
      <c r="M435" s="68"/>
      <c r="O435" s="68"/>
      <c r="P435" s="68"/>
      <c r="Q435" s="68"/>
      <c r="R435" s="68"/>
      <c r="S435" s="68"/>
    </row>
    <row r="436" spans="1:19" ht="15.75" customHeight="1">
      <c r="A436" s="68"/>
      <c r="B436" s="68"/>
      <c r="D436" s="68"/>
      <c r="E436" s="69"/>
      <c r="M436" s="68"/>
      <c r="O436" s="68"/>
      <c r="P436" s="68"/>
      <c r="Q436" s="68"/>
      <c r="R436" s="68"/>
      <c r="S436" s="68"/>
    </row>
    <row r="437" spans="1:19" ht="15.75" customHeight="1">
      <c r="A437" s="68"/>
      <c r="B437" s="68"/>
      <c r="D437" s="68"/>
      <c r="E437" s="69"/>
      <c r="M437" s="68"/>
      <c r="O437" s="68"/>
      <c r="P437" s="68"/>
      <c r="Q437" s="68"/>
      <c r="R437" s="68"/>
      <c r="S437" s="68"/>
    </row>
    <row r="438" spans="1:19" ht="15.75" customHeight="1">
      <c r="A438" s="68"/>
      <c r="B438" s="68"/>
      <c r="D438" s="68"/>
      <c r="E438" s="69"/>
      <c r="M438" s="68"/>
      <c r="O438" s="68"/>
      <c r="P438" s="68"/>
      <c r="Q438" s="68"/>
      <c r="R438" s="68"/>
      <c r="S438" s="68"/>
    </row>
    <row r="439" spans="1:19" ht="15.75" customHeight="1">
      <c r="A439" s="68"/>
      <c r="B439" s="68"/>
      <c r="D439" s="68"/>
      <c r="E439" s="69"/>
      <c r="M439" s="68"/>
      <c r="O439" s="68"/>
      <c r="P439" s="68"/>
      <c r="Q439" s="68"/>
      <c r="R439" s="68"/>
      <c r="S439" s="68"/>
    </row>
    <row r="440" spans="1:19" ht="15.75" customHeight="1">
      <c r="A440" s="68"/>
      <c r="B440" s="68"/>
      <c r="D440" s="68"/>
      <c r="E440" s="69"/>
      <c r="M440" s="68"/>
      <c r="O440" s="68"/>
      <c r="P440" s="68"/>
      <c r="Q440" s="68"/>
      <c r="R440" s="68"/>
      <c r="S440" s="68"/>
    </row>
    <row r="441" spans="1:19" ht="15.75" customHeight="1">
      <c r="A441" s="68"/>
      <c r="B441" s="68"/>
      <c r="D441" s="68"/>
      <c r="E441" s="69"/>
      <c r="M441" s="68"/>
      <c r="O441" s="68"/>
      <c r="P441" s="68"/>
      <c r="Q441" s="68"/>
      <c r="R441" s="68"/>
      <c r="S441" s="68"/>
    </row>
    <row r="442" spans="1:19" ht="15.75" customHeight="1">
      <c r="A442" s="68"/>
      <c r="B442" s="68"/>
      <c r="D442" s="68"/>
      <c r="E442" s="69"/>
      <c r="M442" s="68"/>
      <c r="O442" s="68"/>
      <c r="P442" s="68"/>
      <c r="Q442" s="68"/>
      <c r="R442" s="68"/>
      <c r="S442" s="68"/>
    </row>
    <row r="443" spans="1:19" ht="15.75" customHeight="1">
      <c r="A443" s="68"/>
      <c r="B443" s="68"/>
      <c r="D443" s="68"/>
      <c r="E443" s="69"/>
      <c r="M443" s="68"/>
      <c r="O443" s="68"/>
      <c r="P443" s="68"/>
      <c r="Q443" s="68"/>
      <c r="R443" s="68"/>
      <c r="S443" s="68"/>
    </row>
    <row r="444" spans="1:19" ht="15.75" customHeight="1">
      <c r="A444" s="68"/>
      <c r="B444" s="68"/>
      <c r="D444" s="68"/>
      <c r="E444" s="69"/>
      <c r="M444" s="68"/>
      <c r="O444" s="68"/>
      <c r="P444" s="68"/>
      <c r="Q444" s="68"/>
      <c r="R444" s="68"/>
      <c r="S444" s="68"/>
    </row>
    <row r="445" spans="1:19" ht="15.75" customHeight="1">
      <c r="A445" s="68"/>
      <c r="B445" s="68"/>
      <c r="D445" s="68"/>
      <c r="E445" s="69"/>
      <c r="M445" s="68"/>
      <c r="O445" s="68"/>
      <c r="P445" s="68"/>
      <c r="Q445" s="68"/>
      <c r="R445" s="68"/>
      <c r="S445" s="68"/>
    </row>
    <row r="446" spans="1:19" ht="15.75" customHeight="1">
      <c r="A446" s="68"/>
      <c r="B446" s="68"/>
      <c r="D446" s="68"/>
      <c r="E446" s="69"/>
      <c r="M446" s="68"/>
      <c r="O446" s="68"/>
      <c r="P446" s="68"/>
      <c r="Q446" s="68"/>
      <c r="R446" s="68"/>
      <c r="S446" s="68"/>
    </row>
    <row r="447" spans="1:19" ht="15.75" customHeight="1">
      <c r="A447" s="68"/>
      <c r="B447" s="68"/>
      <c r="D447" s="68"/>
      <c r="E447" s="69"/>
      <c r="M447" s="68"/>
      <c r="O447" s="68"/>
      <c r="P447" s="68"/>
      <c r="Q447" s="68"/>
      <c r="R447" s="68"/>
      <c r="S447" s="68"/>
    </row>
    <row r="448" spans="1:19" ht="15.75" customHeight="1">
      <c r="A448" s="68"/>
      <c r="B448" s="68"/>
      <c r="D448" s="68"/>
      <c r="E448" s="69"/>
      <c r="M448" s="68"/>
      <c r="O448" s="68"/>
      <c r="P448" s="68"/>
      <c r="Q448" s="68"/>
      <c r="R448" s="68"/>
      <c r="S448" s="68"/>
    </row>
    <row r="449" spans="1:19" ht="15.75" customHeight="1">
      <c r="A449" s="68"/>
      <c r="B449" s="68"/>
      <c r="D449" s="68"/>
      <c r="E449" s="69"/>
      <c r="M449" s="68"/>
      <c r="O449" s="68"/>
      <c r="P449" s="68"/>
      <c r="Q449" s="68"/>
      <c r="R449" s="68"/>
      <c r="S449" s="68"/>
    </row>
    <row r="450" spans="1:19" ht="15.75" customHeight="1">
      <c r="A450" s="68"/>
      <c r="B450" s="68"/>
      <c r="D450" s="68"/>
      <c r="E450" s="69"/>
      <c r="M450" s="68"/>
      <c r="O450" s="68"/>
      <c r="P450" s="68"/>
      <c r="Q450" s="68"/>
      <c r="R450" s="68"/>
      <c r="S450" s="68"/>
    </row>
    <row r="451" spans="1:19" ht="15.75" customHeight="1">
      <c r="A451" s="68"/>
      <c r="B451" s="68"/>
      <c r="D451" s="68"/>
      <c r="E451" s="69"/>
      <c r="M451" s="68"/>
      <c r="O451" s="68"/>
      <c r="P451" s="68"/>
      <c r="Q451" s="68"/>
      <c r="R451" s="68"/>
      <c r="S451" s="68"/>
    </row>
    <row r="452" spans="1:19" ht="15.75" customHeight="1">
      <c r="A452" s="68"/>
      <c r="B452" s="68"/>
      <c r="D452" s="68"/>
      <c r="E452" s="69"/>
      <c r="M452" s="68"/>
      <c r="O452" s="68"/>
      <c r="P452" s="68"/>
      <c r="Q452" s="68"/>
      <c r="R452" s="68"/>
      <c r="S452" s="68"/>
    </row>
    <row r="453" spans="1:19" ht="15.75" customHeight="1">
      <c r="A453" s="68"/>
      <c r="B453" s="68"/>
      <c r="D453" s="68"/>
      <c r="E453" s="69"/>
      <c r="M453" s="68"/>
      <c r="O453" s="68"/>
      <c r="P453" s="68"/>
      <c r="Q453" s="68"/>
      <c r="R453" s="68"/>
      <c r="S453" s="68"/>
    </row>
    <row r="454" spans="1:19" ht="15.75" customHeight="1">
      <c r="A454" s="68"/>
      <c r="B454" s="68"/>
      <c r="D454" s="68"/>
      <c r="E454" s="69"/>
      <c r="M454" s="68"/>
      <c r="O454" s="68"/>
      <c r="P454" s="68"/>
      <c r="Q454" s="68"/>
      <c r="R454" s="68"/>
      <c r="S454" s="68"/>
    </row>
    <row r="455" spans="1:19" ht="15.75" customHeight="1">
      <c r="A455" s="68"/>
      <c r="B455" s="68"/>
      <c r="D455" s="68"/>
      <c r="E455" s="69"/>
      <c r="M455" s="68"/>
      <c r="O455" s="68"/>
      <c r="P455" s="68"/>
      <c r="Q455" s="68"/>
      <c r="R455" s="68"/>
      <c r="S455" s="68"/>
    </row>
    <row r="456" spans="1:19" ht="15.75" customHeight="1">
      <c r="A456" s="68"/>
      <c r="B456" s="68"/>
      <c r="D456" s="68"/>
      <c r="E456" s="69"/>
      <c r="M456" s="68"/>
      <c r="O456" s="68"/>
      <c r="P456" s="68"/>
      <c r="Q456" s="68"/>
      <c r="R456" s="68"/>
      <c r="S456" s="68"/>
    </row>
    <row r="457" spans="1:19" ht="15.75" customHeight="1">
      <c r="A457" s="68"/>
      <c r="B457" s="68"/>
      <c r="D457" s="68"/>
      <c r="E457" s="69"/>
      <c r="M457" s="68"/>
      <c r="O457" s="68"/>
      <c r="P457" s="68"/>
      <c r="Q457" s="68"/>
      <c r="R457" s="68"/>
      <c r="S457" s="68"/>
    </row>
    <row r="458" spans="1:19" ht="15.75" customHeight="1">
      <c r="A458" s="68"/>
      <c r="B458" s="68"/>
      <c r="D458" s="68"/>
      <c r="E458" s="69"/>
      <c r="M458" s="68"/>
      <c r="O458" s="68"/>
      <c r="P458" s="68"/>
      <c r="Q458" s="68"/>
      <c r="R458" s="68"/>
      <c r="S458" s="68"/>
    </row>
    <row r="459" spans="1:19" ht="15.75" customHeight="1">
      <c r="A459" s="68"/>
      <c r="B459" s="68"/>
      <c r="D459" s="68"/>
      <c r="E459" s="69"/>
      <c r="M459" s="68"/>
      <c r="O459" s="68"/>
      <c r="P459" s="68"/>
      <c r="Q459" s="68"/>
      <c r="R459" s="68"/>
      <c r="S459" s="68"/>
    </row>
    <row r="460" spans="1:19" ht="15.75" customHeight="1">
      <c r="A460" s="68"/>
      <c r="B460" s="68"/>
      <c r="D460" s="68"/>
      <c r="E460" s="69"/>
      <c r="M460" s="68"/>
      <c r="O460" s="68"/>
      <c r="P460" s="68"/>
      <c r="Q460" s="68"/>
      <c r="R460" s="68"/>
      <c r="S460" s="68"/>
    </row>
    <row r="461" spans="1:19" ht="15.75" customHeight="1">
      <c r="A461" s="68"/>
      <c r="B461" s="68"/>
      <c r="D461" s="68"/>
      <c r="E461" s="69"/>
      <c r="M461" s="68"/>
      <c r="O461" s="68"/>
      <c r="P461" s="68"/>
      <c r="Q461" s="68"/>
      <c r="R461" s="68"/>
      <c r="S461" s="68"/>
    </row>
    <row r="462" spans="1:19" ht="15.75" customHeight="1">
      <c r="A462" s="68"/>
      <c r="B462" s="68"/>
      <c r="D462" s="68"/>
      <c r="E462" s="69"/>
      <c r="M462" s="68"/>
      <c r="O462" s="68"/>
      <c r="P462" s="68"/>
      <c r="Q462" s="68"/>
      <c r="R462" s="68"/>
      <c r="S462" s="68"/>
    </row>
    <row r="463" spans="1:19" ht="15.75" customHeight="1">
      <c r="A463" s="68"/>
      <c r="B463" s="68"/>
      <c r="D463" s="68"/>
      <c r="E463" s="69"/>
      <c r="M463" s="68"/>
      <c r="O463" s="68"/>
      <c r="P463" s="68"/>
      <c r="Q463" s="68"/>
      <c r="R463" s="68"/>
      <c r="S463" s="68"/>
    </row>
    <row r="464" spans="1:19" ht="15.75" customHeight="1">
      <c r="A464" s="68"/>
      <c r="B464" s="68"/>
      <c r="D464" s="68"/>
      <c r="E464" s="69"/>
      <c r="M464" s="68"/>
      <c r="O464" s="68"/>
      <c r="P464" s="68"/>
      <c r="Q464" s="68"/>
      <c r="R464" s="68"/>
      <c r="S464" s="68"/>
    </row>
    <row r="465" spans="1:19" ht="15.75" customHeight="1">
      <c r="A465" s="68"/>
      <c r="B465" s="68"/>
      <c r="D465" s="68"/>
      <c r="E465" s="69"/>
      <c r="M465" s="68"/>
      <c r="O465" s="68"/>
      <c r="P465" s="68"/>
      <c r="Q465" s="68"/>
      <c r="R465" s="68"/>
      <c r="S465" s="68"/>
    </row>
    <row r="466" spans="1:19" ht="15.75" customHeight="1">
      <c r="A466" s="68"/>
      <c r="B466" s="68"/>
      <c r="D466" s="68"/>
      <c r="E466" s="69"/>
      <c r="M466" s="68"/>
      <c r="O466" s="68"/>
      <c r="P466" s="68"/>
      <c r="Q466" s="68"/>
      <c r="R466" s="68"/>
      <c r="S466" s="68"/>
    </row>
    <row r="467" spans="1:19" ht="15.75" customHeight="1">
      <c r="A467" s="68"/>
      <c r="B467" s="68"/>
      <c r="D467" s="68"/>
      <c r="E467" s="69"/>
      <c r="M467" s="68"/>
      <c r="O467" s="68"/>
      <c r="P467" s="68"/>
      <c r="Q467" s="68"/>
      <c r="R467" s="68"/>
      <c r="S467" s="68"/>
    </row>
    <row r="468" spans="1:19" ht="15.75" customHeight="1">
      <c r="A468" s="68"/>
      <c r="B468" s="68"/>
      <c r="D468" s="68"/>
      <c r="E468" s="69"/>
      <c r="M468" s="68"/>
      <c r="O468" s="68"/>
      <c r="P468" s="68"/>
      <c r="Q468" s="68"/>
      <c r="R468" s="68"/>
      <c r="S468" s="68"/>
    </row>
    <row r="469" spans="1:19" ht="15.75" customHeight="1">
      <c r="A469" s="68"/>
      <c r="B469" s="68"/>
      <c r="D469" s="68"/>
      <c r="E469" s="69"/>
      <c r="M469" s="68"/>
      <c r="O469" s="68"/>
      <c r="P469" s="68"/>
      <c r="Q469" s="68"/>
      <c r="R469" s="68"/>
      <c r="S469" s="68"/>
    </row>
    <row r="470" spans="1:19" ht="15.75" customHeight="1">
      <c r="A470" s="68"/>
      <c r="B470" s="68"/>
      <c r="D470" s="68"/>
      <c r="E470" s="69"/>
      <c r="M470" s="68"/>
      <c r="O470" s="68"/>
      <c r="P470" s="68"/>
      <c r="Q470" s="68"/>
      <c r="R470" s="68"/>
      <c r="S470" s="68"/>
    </row>
    <row r="471" spans="1:19" ht="15.75" customHeight="1">
      <c r="A471" s="68"/>
      <c r="B471" s="68"/>
      <c r="D471" s="68"/>
      <c r="E471" s="69"/>
      <c r="M471" s="68"/>
      <c r="O471" s="68"/>
      <c r="P471" s="68"/>
      <c r="Q471" s="68"/>
      <c r="R471" s="68"/>
      <c r="S471" s="68"/>
    </row>
    <row r="472" spans="1:19" ht="15.75" customHeight="1">
      <c r="A472" s="68"/>
      <c r="B472" s="68"/>
      <c r="D472" s="68"/>
      <c r="E472" s="69"/>
      <c r="M472" s="68"/>
      <c r="O472" s="68"/>
      <c r="P472" s="68"/>
      <c r="Q472" s="68"/>
      <c r="R472" s="68"/>
      <c r="S472" s="68"/>
    </row>
    <row r="473" spans="1:19" ht="15.75" customHeight="1">
      <c r="A473" s="68"/>
      <c r="B473" s="68"/>
      <c r="D473" s="68"/>
      <c r="E473" s="69"/>
      <c r="M473" s="68"/>
      <c r="O473" s="68"/>
      <c r="P473" s="68"/>
      <c r="Q473" s="68"/>
      <c r="R473" s="68"/>
      <c r="S473" s="68"/>
    </row>
    <row r="474" spans="1:19" ht="15.75" customHeight="1">
      <c r="A474" s="68"/>
      <c r="B474" s="68"/>
      <c r="D474" s="68"/>
      <c r="E474" s="69"/>
      <c r="M474" s="68"/>
      <c r="O474" s="68"/>
      <c r="P474" s="68"/>
      <c r="Q474" s="68"/>
      <c r="R474" s="68"/>
      <c r="S474" s="68"/>
    </row>
    <row r="475" spans="1:19" ht="15.75" customHeight="1">
      <c r="A475" s="68"/>
      <c r="B475" s="68"/>
      <c r="D475" s="68"/>
      <c r="E475" s="69"/>
      <c r="M475" s="68"/>
      <c r="O475" s="68"/>
      <c r="P475" s="68"/>
      <c r="Q475" s="68"/>
      <c r="R475" s="68"/>
      <c r="S475" s="68"/>
    </row>
    <row r="476" spans="1:19" ht="15.75" customHeight="1">
      <c r="A476" s="68"/>
      <c r="B476" s="68"/>
      <c r="D476" s="68"/>
      <c r="E476" s="69"/>
      <c r="M476" s="68"/>
      <c r="O476" s="68"/>
      <c r="P476" s="68"/>
      <c r="Q476" s="68"/>
      <c r="R476" s="68"/>
      <c r="S476" s="68"/>
    </row>
    <row r="477" spans="1:19" ht="15.75" customHeight="1">
      <c r="A477" s="68"/>
      <c r="B477" s="68"/>
      <c r="D477" s="68"/>
      <c r="E477" s="69"/>
      <c r="M477" s="68"/>
      <c r="O477" s="68"/>
      <c r="P477" s="68"/>
      <c r="Q477" s="68"/>
      <c r="R477" s="68"/>
      <c r="S477" s="68"/>
    </row>
    <row r="478" spans="1:19" ht="15.75" customHeight="1">
      <c r="A478" s="68"/>
      <c r="B478" s="68"/>
      <c r="D478" s="68"/>
      <c r="E478" s="69"/>
      <c r="M478" s="68"/>
      <c r="O478" s="68"/>
      <c r="P478" s="68"/>
      <c r="Q478" s="68"/>
      <c r="R478" s="68"/>
      <c r="S478" s="68"/>
    </row>
    <row r="479" spans="1:19" ht="15.75" customHeight="1">
      <c r="A479" s="68"/>
      <c r="B479" s="68"/>
      <c r="D479" s="68"/>
      <c r="E479" s="69"/>
      <c r="M479" s="68"/>
      <c r="O479" s="68"/>
      <c r="P479" s="68"/>
      <c r="Q479" s="68"/>
      <c r="R479" s="68"/>
      <c r="S479" s="68"/>
    </row>
    <row r="480" spans="1:19" ht="15.75" customHeight="1">
      <c r="A480" s="68"/>
      <c r="B480" s="68"/>
      <c r="D480" s="68"/>
      <c r="E480" s="69"/>
      <c r="M480" s="68"/>
      <c r="O480" s="68"/>
      <c r="P480" s="68"/>
      <c r="Q480" s="68"/>
      <c r="R480" s="68"/>
      <c r="S480" s="68"/>
    </row>
    <row r="481" spans="1:19" ht="15.75" customHeight="1">
      <c r="A481" s="68"/>
      <c r="B481" s="68"/>
      <c r="D481" s="68"/>
      <c r="E481" s="69"/>
      <c r="M481" s="68"/>
      <c r="O481" s="68"/>
      <c r="P481" s="68"/>
      <c r="Q481" s="68"/>
      <c r="R481" s="68"/>
      <c r="S481" s="68"/>
    </row>
    <row r="482" spans="1:19" ht="15.75" customHeight="1">
      <c r="A482" s="68"/>
      <c r="B482" s="68"/>
      <c r="D482" s="68"/>
      <c r="E482" s="69"/>
      <c r="M482" s="68"/>
      <c r="O482" s="68"/>
      <c r="P482" s="68"/>
      <c r="Q482" s="68"/>
      <c r="R482" s="68"/>
      <c r="S482" s="68"/>
    </row>
    <row r="483" spans="1:19" ht="15.75" customHeight="1">
      <c r="A483" s="68"/>
      <c r="B483" s="68"/>
      <c r="D483" s="68"/>
      <c r="E483" s="69"/>
      <c r="M483" s="68"/>
      <c r="O483" s="68"/>
      <c r="P483" s="68"/>
      <c r="Q483" s="68"/>
      <c r="R483" s="68"/>
      <c r="S483" s="68"/>
    </row>
    <row r="484" spans="1:19" ht="15.75" customHeight="1">
      <c r="A484" s="68"/>
      <c r="B484" s="68"/>
      <c r="D484" s="68"/>
      <c r="E484" s="69"/>
      <c r="M484" s="68"/>
      <c r="O484" s="68"/>
      <c r="P484" s="68"/>
      <c r="Q484" s="68"/>
      <c r="R484" s="68"/>
      <c r="S484" s="68"/>
    </row>
    <row r="485" spans="1:19" ht="15.75" customHeight="1">
      <c r="A485" s="68"/>
      <c r="B485" s="68"/>
      <c r="D485" s="68"/>
      <c r="E485" s="69"/>
      <c r="M485" s="68"/>
      <c r="O485" s="68"/>
      <c r="P485" s="68"/>
      <c r="Q485" s="68"/>
      <c r="R485" s="68"/>
      <c r="S485" s="68"/>
    </row>
    <row r="486" spans="1:19" ht="15.75" customHeight="1">
      <c r="A486" s="68"/>
      <c r="B486" s="68"/>
      <c r="D486" s="68"/>
      <c r="E486" s="69"/>
      <c r="M486" s="68"/>
      <c r="O486" s="68"/>
      <c r="P486" s="68"/>
      <c r="Q486" s="68"/>
      <c r="R486" s="68"/>
      <c r="S486" s="68"/>
    </row>
    <row r="487" spans="1:19" ht="15.75" customHeight="1">
      <c r="A487" s="68"/>
      <c r="B487" s="68"/>
      <c r="D487" s="68"/>
      <c r="E487" s="69"/>
      <c r="M487" s="68"/>
      <c r="O487" s="68"/>
      <c r="P487" s="68"/>
      <c r="Q487" s="68"/>
      <c r="R487" s="68"/>
      <c r="S487" s="68"/>
    </row>
    <row r="488" spans="1:19" ht="15.75" customHeight="1">
      <c r="A488" s="68"/>
      <c r="B488" s="68"/>
      <c r="D488" s="68"/>
      <c r="E488" s="69"/>
      <c r="M488" s="68"/>
      <c r="O488" s="68"/>
      <c r="P488" s="68"/>
      <c r="Q488" s="68"/>
      <c r="R488" s="68"/>
      <c r="S488" s="68"/>
    </row>
    <row r="489" spans="1:19" ht="15.75" customHeight="1">
      <c r="A489" s="68"/>
      <c r="B489" s="68"/>
      <c r="D489" s="68"/>
      <c r="E489" s="69"/>
      <c r="M489" s="68"/>
      <c r="O489" s="68"/>
      <c r="P489" s="68"/>
      <c r="Q489" s="68"/>
      <c r="R489" s="68"/>
      <c r="S489" s="68"/>
    </row>
    <row r="490" spans="1:19" ht="15.75" customHeight="1">
      <c r="A490" s="68"/>
      <c r="B490" s="68"/>
      <c r="D490" s="68"/>
      <c r="E490" s="69"/>
      <c r="M490" s="68"/>
      <c r="O490" s="68"/>
      <c r="P490" s="68"/>
      <c r="Q490" s="68"/>
      <c r="R490" s="68"/>
      <c r="S490" s="68"/>
    </row>
    <row r="491" spans="1:19" ht="15.75" customHeight="1">
      <c r="A491" s="68"/>
      <c r="B491" s="68"/>
      <c r="D491" s="68"/>
      <c r="E491" s="69"/>
      <c r="M491" s="68"/>
      <c r="O491" s="68"/>
      <c r="P491" s="68"/>
      <c r="Q491" s="68"/>
      <c r="R491" s="68"/>
      <c r="S491" s="68"/>
    </row>
    <row r="492" spans="1:19" ht="15.75" customHeight="1">
      <c r="A492" s="68"/>
      <c r="B492" s="68"/>
      <c r="D492" s="68"/>
      <c r="E492" s="69"/>
      <c r="M492" s="68"/>
      <c r="O492" s="68"/>
      <c r="P492" s="68"/>
      <c r="Q492" s="68"/>
      <c r="R492" s="68"/>
      <c r="S492" s="68"/>
    </row>
    <row r="493" spans="1:19" ht="15.75" customHeight="1">
      <c r="A493" s="68"/>
      <c r="B493" s="68"/>
      <c r="D493" s="68"/>
      <c r="E493" s="69"/>
      <c r="M493" s="68"/>
      <c r="O493" s="68"/>
      <c r="P493" s="68"/>
      <c r="Q493" s="68"/>
      <c r="R493" s="68"/>
      <c r="S493" s="68"/>
    </row>
    <row r="494" spans="1:19" ht="15.75" customHeight="1">
      <c r="A494" s="68"/>
      <c r="B494" s="68"/>
      <c r="D494" s="68"/>
      <c r="E494" s="69"/>
      <c r="M494" s="68"/>
      <c r="O494" s="68"/>
      <c r="P494" s="68"/>
      <c r="Q494" s="68"/>
      <c r="R494" s="68"/>
      <c r="S494" s="68"/>
    </row>
    <row r="495" spans="1:19" ht="15.75" customHeight="1">
      <c r="A495" s="68"/>
      <c r="B495" s="68"/>
      <c r="D495" s="68"/>
      <c r="E495" s="69"/>
      <c r="M495" s="68"/>
      <c r="O495" s="68"/>
      <c r="P495" s="68"/>
      <c r="Q495" s="68"/>
      <c r="R495" s="68"/>
      <c r="S495" s="68"/>
    </row>
    <row r="496" spans="1:19" ht="15.75" customHeight="1">
      <c r="A496" s="68"/>
      <c r="B496" s="68"/>
      <c r="D496" s="68"/>
      <c r="E496" s="69"/>
      <c r="M496" s="68"/>
      <c r="O496" s="68"/>
      <c r="P496" s="68"/>
      <c r="Q496" s="68"/>
      <c r="R496" s="68"/>
      <c r="S496" s="68"/>
    </row>
    <row r="497" spans="1:19" ht="15.75" customHeight="1">
      <c r="A497" s="68"/>
      <c r="B497" s="68"/>
      <c r="D497" s="68"/>
      <c r="E497" s="69"/>
      <c r="M497" s="68"/>
      <c r="O497" s="68"/>
      <c r="P497" s="68"/>
      <c r="Q497" s="68"/>
      <c r="R497" s="68"/>
      <c r="S497" s="68"/>
    </row>
    <row r="498" spans="1:19" ht="15.75" customHeight="1">
      <c r="A498" s="68"/>
      <c r="B498" s="68"/>
      <c r="D498" s="68"/>
      <c r="E498" s="69"/>
      <c r="M498" s="68"/>
      <c r="O498" s="68"/>
      <c r="P498" s="68"/>
      <c r="Q498" s="68"/>
      <c r="R498" s="68"/>
      <c r="S498" s="68"/>
    </row>
    <row r="499" spans="1:19" ht="15.75" customHeight="1">
      <c r="A499" s="68"/>
      <c r="B499" s="68"/>
      <c r="D499" s="68"/>
      <c r="E499" s="69"/>
      <c r="M499" s="68"/>
      <c r="O499" s="68"/>
      <c r="P499" s="68"/>
      <c r="Q499" s="68"/>
      <c r="R499" s="68"/>
      <c r="S499" s="68"/>
    </row>
    <row r="500" spans="1:19" ht="15.75" customHeight="1">
      <c r="A500" s="68"/>
      <c r="B500" s="68"/>
      <c r="D500" s="68"/>
      <c r="E500" s="69"/>
      <c r="M500" s="68"/>
      <c r="O500" s="68"/>
      <c r="P500" s="68"/>
      <c r="Q500" s="68"/>
      <c r="R500" s="68"/>
      <c r="S500" s="68"/>
    </row>
    <row r="501" spans="1:19" ht="15.75" customHeight="1">
      <c r="A501" s="68"/>
      <c r="B501" s="68"/>
      <c r="D501" s="68"/>
      <c r="E501" s="69"/>
      <c r="M501" s="68"/>
      <c r="O501" s="68"/>
      <c r="P501" s="68"/>
      <c r="Q501" s="68"/>
      <c r="R501" s="68"/>
      <c r="S501" s="68"/>
    </row>
    <row r="502" spans="1:19" ht="15.75" customHeight="1">
      <c r="A502" s="68"/>
      <c r="B502" s="68"/>
      <c r="D502" s="68"/>
      <c r="E502" s="69"/>
      <c r="M502" s="68"/>
      <c r="O502" s="68"/>
      <c r="P502" s="68"/>
      <c r="Q502" s="68"/>
      <c r="R502" s="68"/>
      <c r="S502" s="68"/>
    </row>
    <row r="503" spans="1:19" ht="15.75" customHeight="1">
      <c r="A503" s="68"/>
      <c r="B503" s="68"/>
      <c r="D503" s="68"/>
      <c r="E503" s="69"/>
      <c r="M503" s="68"/>
      <c r="O503" s="68"/>
      <c r="P503" s="68"/>
      <c r="Q503" s="68"/>
      <c r="R503" s="68"/>
      <c r="S503" s="68"/>
    </row>
    <row r="504" spans="1:19" ht="15.75" customHeight="1">
      <c r="A504" s="68"/>
      <c r="B504" s="68"/>
      <c r="D504" s="68"/>
      <c r="E504" s="69"/>
      <c r="M504" s="68"/>
      <c r="O504" s="68"/>
      <c r="P504" s="68"/>
      <c r="Q504" s="68"/>
      <c r="R504" s="68"/>
      <c r="S504" s="68"/>
    </row>
    <row r="505" spans="1:19" ht="15.75" customHeight="1">
      <c r="A505" s="68"/>
      <c r="B505" s="68"/>
      <c r="D505" s="68"/>
      <c r="E505" s="69"/>
      <c r="M505" s="68"/>
      <c r="O505" s="68"/>
      <c r="P505" s="68"/>
      <c r="Q505" s="68"/>
      <c r="R505" s="68"/>
      <c r="S505" s="68"/>
    </row>
    <row r="506" spans="1:19" ht="15.75" customHeight="1">
      <c r="A506" s="68"/>
      <c r="B506" s="68"/>
      <c r="D506" s="68"/>
      <c r="E506" s="69"/>
      <c r="M506" s="68"/>
      <c r="O506" s="68"/>
      <c r="P506" s="68"/>
      <c r="Q506" s="68"/>
      <c r="R506" s="68"/>
      <c r="S506" s="68"/>
    </row>
    <row r="507" spans="1:19" ht="15.75" customHeight="1">
      <c r="A507" s="68"/>
      <c r="B507" s="68"/>
      <c r="D507" s="68"/>
      <c r="E507" s="69"/>
      <c r="M507" s="68"/>
      <c r="O507" s="68"/>
      <c r="P507" s="68"/>
      <c r="Q507" s="68"/>
      <c r="R507" s="68"/>
      <c r="S507" s="68"/>
    </row>
    <row r="508" spans="1:19" ht="15.75" customHeight="1">
      <c r="A508" s="68"/>
      <c r="B508" s="68"/>
      <c r="D508" s="68"/>
      <c r="E508" s="69"/>
      <c r="M508" s="68"/>
      <c r="O508" s="68"/>
      <c r="P508" s="68"/>
      <c r="Q508" s="68"/>
      <c r="R508" s="68"/>
      <c r="S508" s="68"/>
    </row>
    <row r="509" spans="1:19" ht="15.75" customHeight="1">
      <c r="A509" s="68"/>
      <c r="B509" s="68"/>
      <c r="D509" s="68"/>
      <c r="E509" s="69"/>
      <c r="M509" s="68"/>
      <c r="O509" s="68"/>
      <c r="P509" s="68"/>
      <c r="Q509" s="68"/>
      <c r="R509" s="68"/>
      <c r="S509" s="68"/>
    </row>
    <row r="510" spans="1:19" ht="15.75" customHeight="1">
      <c r="A510" s="68"/>
      <c r="B510" s="68"/>
      <c r="D510" s="68"/>
      <c r="E510" s="69"/>
      <c r="M510" s="68"/>
      <c r="O510" s="68"/>
      <c r="P510" s="68"/>
      <c r="Q510" s="68"/>
      <c r="R510" s="68"/>
      <c r="S510" s="68"/>
    </row>
    <row r="511" spans="1:19" ht="15.75" customHeight="1">
      <c r="A511" s="68"/>
      <c r="B511" s="68"/>
      <c r="D511" s="68"/>
      <c r="E511" s="69"/>
      <c r="M511" s="68"/>
      <c r="O511" s="68"/>
      <c r="P511" s="68"/>
      <c r="Q511" s="68"/>
      <c r="R511" s="68"/>
      <c r="S511" s="68"/>
    </row>
    <row r="512" spans="1:19" ht="15.75" customHeight="1">
      <c r="A512" s="68"/>
      <c r="B512" s="68"/>
      <c r="D512" s="68"/>
      <c r="E512" s="69"/>
      <c r="M512" s="68"/>
      <c r="O512" s="68"/>
      <c r="P512" s="68"/>
      <c r="Q512" s="68"/>
      <c r="R512" s="68"/>
      <c r="S512" s="68"/>
    </row>
    <row r="513" spans="1:19" ht="15.75" customHeight="1">
      <c r="A513" s="68"/>
      <c r="B513" s="68"/>
      <c r="D513" s="68"/>
      <c r="E513" s="69"/>
      <c r="M513" s="68"/>
      <c r="O513" s="68"/>
      <c r="P513" s="68"/>
      <c r="Q513" s="68"/>
      <c r="R513" s="68"/>
      <c r="S513" s="68"/>
    </row>
    <row r="514" spans="1:19" ht="15.75" customHeight="1">
      <c r="A514" s="68"/>
      <c r="B514" s="68"/>
      <c r="D514" s="68"/>
      <c r="E514" s="69"/>
      <c r="M514" s="68"/>
      <c r="O514" s="68"/>
      <c r="P514" s="68"/>
      <c r="Q514" s="68"/>
      <c r="R514" s="68"/>
      <c r="S514" s="68"/>
    </row>
    <row r="515" spans="1:19" ht="15.75" customHeight="1">
      <c r="A515" s="68"/>
      <c r="B515" s="68"/>
      <c r="D515" s="68"/>
      <c r="E515" s="69"/>
      <c r="M515" s="68"/>
      <c r="O515" s="68"/>
      <c r="P515" s="68"/>
      <c r="Q515" s="68"/>
      <c r="R515" s="68"/>
      <c r="S515" s="68"/>
    </row>
    <row r="516" spans="1:19" ht="15.75" customHeight="1">
      <c r="A516" s="68"/>
      <c r="B516" s="68"/>
      <c r="D516" s="68"/>
      <c r="E516" s="69"/>
      <c r="M516" s="68"/>
      <c r="O516" s="68"/>
      <c r="P516" s="68"/>
      <c r="Q516" s="68"/>
      <c r="R516" s="68"/>
      <c r="S516" s="68"/>
    </row>
    <row r="517" spans="1:19" ht="15.75" customHeight="1">
      <c r="A517" s="68"/>
      <c r="B517" s="68"/>
      <c r="D517" s="68"/>
      <c r="E517" s="69"/>
      <c r="M517" s="68"/>
      <c r="O517" s="68"/>
      <c r="P517" s="68"/>
      <c r="Q517" s="68"/>
      <c r="R517" s="68"/>
      <c r="S517" s="68"/>
    </row>
    <row r="518" spans="1:19" ht="15.75" customHeight="1">
      <c r="A518" s="68"/>
      <c r="B518" s="68"/>
      <c r="D518" s="68"/>
      <c r="E518" s="69"/>
      <c r="M518" s="68"/>
      <c r="O518" s="68"/>
      <c r="P518" s="68"/>
      <c r="Q518" s="68"/>
      <c r="R518" s="68"/>
      <c r="S518" s="68"/>
    </row>
    <row r="519" spans="1:19" ht="15.75" customHeight="1">
      <c r="A519" s="68"/>
      <c r="B519" s="68"/>
      <c r="D519" s="68"/>
      <c r="E519" s="69"/>
      <c r="M519" s="68"/>
      <c r="O519" s="68"/>
      <c r="P519" s="68"/>
      <c r="Q519" s="68"/>
      <c r="R519" s="68"/>
      <c r="S519" s="68"/>
    </row>
    <row r="520" spans="1:19" ht="15.75" customHeight="1">
      <c r="A520" s="68"/>
      <c r="B520" s="68"/>
      <c r="D520" s="68"/>
      <c r="E520" s="69"/>
      <c r="M520" s="68"/>
      <c r="O520" s="68"/>
      <c r="P520" s="68"/>
      <c r="Q520" s="68"/>
      <c r="R520" s="68"/>
      <c r="S520" s="68"/>
    </row>
    <row r="521" spans="1:19" ht="15.75" customHeight="1">
      <c r="A521" s="68"/>
      <c r="B521" s="68"/>
      <c r="D521" s="68"/>
      <c r="E521" s="69"/>
      <c r="M521" s="68"/>
      <c r="O521" s="68"/>
      <c r="P521" s="68"/>
      <c r="Q521" s="68"/>
      <c r="R521" s="68"/>
      <c r="S521" s="68"/>
    </row>
    <row r="522" spans="1:19" ht="15.75" customHeight="1">
      <c r="A522" s="68"/>
      <c r="B522" s="68"/>
      <c r="D522" s="68"/>
      <c r="E522" s="69"/>
      <c r="M522" s="68"/>
      <c r="O522" s="68"/>
      <c r="P522" s="68"/>
      <c r="Q522" s="68"/>
      <c r="R522" s="68"/>
      <c r="S522" s="68"/>
    </row>
    <row r="523" spans="1:19" ht="15.75" customHeight="1">
      <c r="A523" s="68"/>
      <c r="B523" s="68"/>
      <c r="D523" s="68"/>
      <c r="E523" s="69"/>
      <c r="M523" s="68"/>
      <c r="O523" s="68"/>
      <c r="P523" s="68"/>
      <c r="Q523" s="68"/>
      <c r="R523" s="68"/>
      <c r="S523" s="68"/>
    </row>
    <row r="524" spans="1:19" ht="15.75" customHeight="1">
      <c r="A524" s="68"/>
      <c r="B524" s="68"/>
      <c r="D524" s="68"/>
      <c r="E524" s="69"/>
      <c r="M524" s="68"/>
      <c r="O524" s="68"/>
      <c r="P524" s="68"/>
      <c r="Q524" s="68"/>
      <c r="R524" s="68"/>
      <c r="S524" s="68"/>
    </row>
    <row r="525" spans="1:19" ht="15.75" customHeight="1">
      <c r="A525" s="68"/>
      <c r="B525" s="68"/>
      <c r="D525" s="68"/>
      <c r="E525" s="69"/>
      <c r="M525" s="68"/>
      <c r="O525" s="68"/>
      <c r="P525" s="68"/>
      <c r="Q525" s="68"/>
      <c r="R525" s="68"/>
      <c r="S525" s="68"/>
    </row>
    <row r="526" spans="1:19" ht="15.75" customHeight="1">
      <c r="A526" s="68"/>
      <c r="B526" s="68"/>
      <c r="D526" s="68"/>
      <c r="E526" s="69"/>
      <c r="M526" s="68"/>
      <c r="O526" s="68"/>
      <c r="P526" s="68"/>
      <c r="Q526" s="68"/>
      <c r="R526" s="68"/>
      <c r="S526" s="68"/>
    </row>
    <row r="527" spans="1:19" ht="15.75" customHeight="1">
      <c r="A527" s="68"/>
      <c r="B527" s="68"/>
      <c r="D527" s="68"/>
      <c r="E527" s="69"/>
      <c r="M527" s="68"/>
      <c r="O527" s="68"/>
      <c r="P527" s="68"/>
      <c r="Q527" s="68"/>
      <c r="R527" s="68"/>
      <c r="S527" s="68"/>
    </row>
    <row r="528" spans="1:19" ht="15.75" customHeight="1">
      <c r="A528" s="68"/>
      <c r="B528" s="68"/>
      <c r="D528" s="68"/>
      <c r="E528" s="69"/>
      <c r="M528" s="68"/>
      <c r="O528" s="68"/>
      <c r="P528" s="68"/>
      <c r="Q528" s="68"/>
      <c r="R528" s="68"/>
      <c r="S528" s="68"/>
    </row>
    <row r="529" spans="1:19" ht="15.75" customHeight="1">
      <c r="A529" s="68"/>
      <c r="B529" s="68"/>
      <c r="D529" s="68"/>
      <c r="E529" s="69"/>
      <c r="M529" s="68"/>
      <c r="O529" s="68"/>
      <c r="P529" s="68"/>
      <c r="Q529" s="68"/>
      <c r="R529" s="68"/>
      <c r="S529" s="68"/>
    </row>
    <row r="530" spans="1:19" ht="15.75" customHeight="1">
      <c r="A530" s="68"/>
      <c r="B530" s="68"/>
      <c r="D530" s="68"/>
      <c r="E530" s="69"/>
      <c r="M530" s="68"/>
      <c r="O530" s="68"/>
      <c r="P530" s="68"/>
      <c r="Q530" s="68"/>
      <c r="R530" s="68"/>
      <c r="S530" s="68"/>
    </row>
    <row r="531" spans="1:19" ht="15.75" customHeight="1">
      <c r="A531" s="68"/>
      <c r="B531" s="68"/>
      <c r="D531" s="68"/>
      <c r="E531" s="69"/>
      <c r="M531" s="68"/>
      <c r="O531" s="68"/>
      <c r="P531" s="68"/>
      <c r="Q531" s="68"/>
      <c r="R531" s="68"/>
      <c r="S531" s="68"/>
    </row>
    <row r="532" spans="1:19" ht="15.75" customHeight="1">
      <c r="A532" s="68"/>
      <c r="B532" s="68"/>
      <c r="D532" s="68"/>
      <c r="E532" s="69"/>
      <c r="M532" s="68"/>
      <c r="O532" s="68"/>
      <c r="P532" s="68"/>
      <c r="Q532" s="68"/>
      <c r="R532" s="68"/>
      <c r="S532" s="68"/>
    </row>
    <row r="533" spans="1:19" ht="15.75" customHeight="1">
      <c r="A533" s="68"/>
      <c r="B533" s="68"/>
      <c r="D533" s="68"/>
      <c r="E533" s="69"/>
      <c r="M533" s="68"/>
      <c r="O533" s="68"/>
      <c r="P533" s="68"/>
      <c r="Q533" s="68"/>
      <c r="R533" s="68"/>
      <c r="S533" s="68"/>
    </row>
    <row r="534" spans="1:19" ht="15.75" customHeight="1">
      <c r="A534" s="68"/>
      <c r="B534" s="68"/>
      <c r="D534" s="68"/>
      <c r="E534" s="69"/>
      <c r="M534" s="68"/>
      <c r="O534" s="68"/>
      <c r="P534" s="68"/>
      <c r="Q534" s="68"/>
      <c r="R534" s="68"/>
      <c r="S534" s="68"/>
    </row>
    <row r="535" spans="1:19" ht="15.75" customHeight="1">
      <c r="A535" s="68"/>
      <c r="B535" s="68"/>
      <c r="D535" s="68"/>
      <c r="E535" s="69"/>
      <c r="M535" s="68"/>
      <c r="O535" s="68"/>
      <c r="P535" s="68"/>
      <c r="Q535" s="68"/>
      <c r="R535" s="68"/>
      <c r="S535" s="68"/>
    </row>
    <row r="536" spans="1:19" ht="15.75" customHeight="1">
      <c r="A536" s="68"/>
      <c r="B536" s="68"/>
      <c r="D536" s="68"/>
      <c r="E536" s="69"/>
      <c r="M536" s="68"/>
      <c r="O536" s="68"/>
      <c r="P536" s="68"/>
      <c r="Q536" s="68"/>
      <c r="R536" s="68"/>
      <c r="S536" s="68"/>
    </row>
    <row r="537" spans="1:19" ht="15.75" customHeight="1">
      <c r="A537" s="68"/>
      <c r="B537" s="68"/>
      <c r="D537" s="68"/>
      <c r="E537" s="69"/>
      <c r="M537" s="68"/>
      <c r="O537" s="68"/>
      <c r="P537" s="68"/>
      <c r="Q537" s="68"/>
      <c r="R537" s="68"/>
      <c r="S537" s="68"/>
    </row>
    <row r="538" spans="1:19" ht="15.75" customHeight="1">
      <c r="A538" s="68"/>
      <c r="B538" s="68"/>
      <c r="D538" s="68"/>
      <c r="E538" s="69"/>
      <c r="M538" s="68"/>
      <c r="O538" s="68"/>
      <c r="P538" s="68"/>
      <c r="Q538" s="68"/>
      <c r="R538" s="68"/>
      <c r="S538" s="68"/>
    </row>
    <row r="539" spans="1:19" ht="15.75" customHeight="1">
      <c r="A539" s="68"/>
      <c r="B539" s="68"/>
      <c r="D539" s="68"/>
      <c r="E539" s="69"/>
      <c r="M539" s="68"/>
      <c r="O539" s="68"/>
      <c r="P539" s="68"/>
      <c r="Q539" s="68"/>
      <c r="R539" s="68"/>
      <c r="S539" s="68"/>
    </row>
    <row r="540" spans="1:19" ht="15.75" customHeight="1">
      <c r="A540" s="68"/>
      <c r="B540" s="68"/>
      <c r="D540" s="68"/>
      <c r="E540" s="69"/>
      <c r="M540" s="68"/>
      <c r="O540" s="68"/>
      <c r="P540" s="68"/>
      <c r="Q540" s="68"/>
      <c r="R540" s="68"/>
      <c r="S540" s="68"/>
    </row>
    <row r="541" spans="1:19" ht="15.75" customHeight="1">
      <c r="A541" s="68"/>
      <c r="B541" s="68"/>
      <c r="D541" s="68"/>
      <c r="E541" s="69"/>
      <c r="M541" s="68"/>
      <c r="O541" s="68"/>
      <c r="P541" s="68"/>
      <c r="Q541" s="68"/>
      <c r="R541" s="68"/>
      <c r="S541" s="68"/>
    </row>
    <row r="542" spans="1:19" ht="15.75" customHeight="1">
      <c r="A542" s="68"/>
      <c r="B542" s="68"/>
      <c r="D542" s="68"/>
      <c r="E542" s="69"/>
      <c r="M542" s="68"/>
      <c r="O542" s="68"/>
      <c r="P542" s="68"/>
      <c r="Q542" s="68"/>
      <c r="R542" s="68"/>
      <c r="S542" s="68"/>
    </row>
    <row r="543" spans="1:19" ht="15.75" customHeight="1">
      <c r="A543" s="68"/>
      <c r="B543" s="68"/>
      <c r="D543" s="68"/>
      <c r="E543" s="69"/>
      <c r="M543" s="68"/>
      <c r="O543" s="68"/>
      <c r="P543" s="68"/>
      <c r="Q543" s="68"/>
      <c r="R543" s="68"/>
      <c r="S543" s="68"/>
    </row>
    <row r="544" spans="1:19" ht="15.75" customHeight="1">
      <c r="A544" s="68"/>
      <c r="B544" s="68"/>
      <c r="D544" s="68"/>
      <c r="E544" s="69"/>
      <c r="M544" s="68"/>
      <c r="O544" s="68"/>
      <c r="P544" s="68"/>
      <c r="Q544" s="68"/>
      <c r="R544" s="68"/>
      <c r="S544" s="68"/>
    </row>
    <row r="545" spans="1:19" ht="15.75" customHeight="1">
      <c r="A545" s="68"/>
      <c r="B545" s="68"/>
      <c r="D545" s="68"/>
      <c r="E545" s="69"/>
      <c r="M545" s="68"/>
      <c r="O545" s="68"/>
      <c r="P545" s="68"/>
      <c r="Q545" s="68"/>
      <c r="R545" s="68"/>
      <c r="S545" s="68"/>
    </row>
    <row r="546" spans="1:19" ht="15.75" customHeight="1">
      <c r="A546" s="68"/>
      <c r="B546" s="68"/>
      <c r="D546" s="68"/>
      <c r="E546" s="69"/>
      <c r="M546" s="68"/>
      <c r="O546" s="68"/>
      <c r="P546" s="68"/>
      <c r="Q546" s="68"/>
      <c r="R546" s="68"/>
      <c r="S546" s="68"/>
    </row>
    <row r="547" spans="1:19" ht="15.75" customHeight="1">
      <c r="A547" s="68"/>
      <c r="B547" s="68"/>
      <c r="D547" s="68"/>
      <c r="E547" s="69"/>
      <c r="M547" s="68"/>
      <c r="O547" s="68"/>
      <c r="P547" s="68"/>
      <c r="Q547" s="68"/>
      <c r="R547" s="68"/>
      <c r="S547" s="68"/>
    </row>
    <row r="548" spans="1:19" ht="15.75" customHeight="1">
      <c r="A548" s="68"/>
      <c r="B548" s="68"/>
      <c r="D548" s="68"/>
      <c r="E548" s="69"/>
      <c r="M548" s="68"/>
      <c r="O548" s="68"/>
      <c r="P548" s="68"/>
      <c r="Q548" s="68"/>
      <c r="R548" s="68"/>
      <c r="S548" s="68"/>
    </row>
    <row r="549" spans="1:19" ht="15.75" customHeight="1">
      <c r="A549" s="68"/>
      <c r="B549" s="68"/>
      <c r="D549" s="68"/>
      <c r="E549" s="69"/>
      <c r="M549" s="68"/>
      <c r="O549" s="68"/>
      <c r="P549" s="68"/>
      <c r="Q549" s="68"/>
      <c r="R549" s="68"/>
      <c r="S549" s="68"/>
    </row>
    <row r="550" spans="1:19" ht="15.75" customHeight="1">
      <c r="A550" s="68"/>
      <c r="B550" s="68"/>
      <c r="D550" s="68"/>
      <c r="E550" s="69"/>
      <c r="M550" s="68"/>
      <c r="O550" s="68"/>
      <c r="P550" s="68"/>
      <c r="Q550" s="68"/>
      <c r="R550" s="68"/>
      <c r="S550" s="68"/>
    </row>
    <row r="551" spans="1:19" ht="15.75" customHeight="1">
      <c r="A551" s="68"/>
      <c r="B551" s="68"/>
      <c r="D551" s="68"/>
      <c r="E551" s="69"/>
      <c r="M551" s="68"/>
      <c r="O551" s="68"/>
      <c r="P551" s="68"/>
      <c r="Q551" s="68"/>
      <c r="R551" s="68"/>
      <c r="S551" s="68"/>
    </row>
    <row r="552" spans="1:19" ht="15.75" customHeight="1">
      <c r="A552" s="68"/>
      <c r="B552" s="68"/>
      <c r="D552" s="68"/>
      <c r="E552" s="69"/>
      <c r="M552" s="68"/>
      <c r="O552" s="68"/>
      <c r="P552" s="68"/>
      <c r="Q552" s="68"/>
      <c r="R552" s="68"/>
      <c r="S552" s="68"/>
    </row>
    <row r="553" spans="1:19" ht="15.75" customHeight="1">
      <c r="A553" s="68"/>
      <c r="B553" s="68"/>
      <c r="D553" s="68"/>
      <c r="E553" s="69"/>
      <c r="M553" s="68"/>
      <c r="O553" s="68"/>
      <c r="P553" s="68"/>
      <c r="Q553" s="68"/>
      <c r="R553" s="68"/>
      <c r="S553" s="68"/>
    </row>
    <row r="554" spans="1:19" ht="15.75" customHeight="1">
      <c r="A554" s="68"/>
      <c r="B554" s="68"/>
      <c r="D554" s="68"/>
      <c r="E554" s="69"/>
      <c r="M554" s="68"/>
      <c r="O554" s="68"/>
      <c r="P554" s="68"/>
      <c r="Q554" s="68"/>
      <c r="R554" s="68"/>
      <c r="S554" s="68"/>
    </row>
    <row r="555" spans="1:19" ht="15.75" customHeight="1">
      <c r="A555" s="68"/>
      <c r="B555" s="68"/>
      <c r="D555" s="68"/>
      <c r="E555" s="69"/>
      <c r="M555" s="68"/>
      <c r="O555" s="68"/>
      <c r="P555" s="68"/>
      <c r="Q555" s="68"/>
      <c r="R555" s="68"/>
      <c r="S555" s="68"/>
    </row>
    <row r="556" spans="1:19" ht="15.75" customHeight="1">
      <c r="A556" s="68"/>
      <c r="B556" s="68"/>
      <c r="D556" s="68"/>
      <c r="E556" s="69"/>
      <c r="M556" s="68"/>
      <c r="O556" s="68"/>
      <c r="P556" s="68"/>
      <c r="Q556" s="68"/>
      <c r="R556" s="68"/>
      <c r="S556" s="68"/>
    </row>
    <row r="557" spans="1:19" ht="15.75" customHeight="1">
      <c r="A557" s="68"/>
      <c r="B557" s="68"/>
      <c r="D557" s="68"/>
      <c r="E557" s="69"/>
      <c r="M557" s="68"/>
      <c r="O557" s="68"/>
      <c r="P557" s="68"/>
      <c r="Q557" s="68"/>
      <c r="R557" s="68"/>
      <c r="S557" s="68"/>
    </row>
    <row r="558" spans="1:19" ht="15.75" customHeight="1">
      <c r="A558" s="68"/>
      <c r="B558" s="68"/>
      <c r="D558" s="68"/>
      <c r="E558" s="69"/>
      <c r="M558" s="68"/>
      <c r="O558" s="68"/>
      <c r="P558" s="68"/>
      <c r="Q558" s="68"/>
      <c r="R558" s="68"/>
      <c r="S558" s="68"/>
    </row>
    <row r="559" spans="1:19" ht="15.75" customHeight="1">
      <c r="A559" s="68"/>
      <c r="B559" s="68"/>
      <c r="D559" s="68"/>
      <c r="E559" s="69"/>
      <c r="M559" s="68"/>
      <c r="O559" s="68"/>
      <c r="P559" s="68"/>
      <c r="Q559" s="68"/>
      <c r="R559" s="68"/>
      <c r="S559" s="68"/>
    </row>
    <row r="560" spans="1:19" ht="15.75" customHeight="1">
      <c r="A560" s="68"/>
      <c r="B560" s="68"/>
      <c r="D560" s="68"/>
      <c r="E560" s="69"/>
      <c r="M560" s="68"/>
      <c r="O560" s="68"/>
      <c r="P560" s="68"/>
      <c r="Q560" s="68"/>
      <c r="R560" s="68"/>
      <c r="S560" s="68"/>
    </row>
    <row r="561" spans="1:19" ht="15.75" customHeight="1">
      <c r="A561" s="68"/>
      <c r="B561" s="68"/>
      <c r="D561" s="68"/>
      <c r="E561" s="69"/>
      <c r="M561" s="68"/>
      <c r="O561" s="68"/>
      <c r="P561" s="68"/>
      <c r="Q561" s="68"/>
      <c r="R561" s="68"/>
      <c r="S561" s="68"/>
    </row>
    <row r="562" spans="1:19" ht="15.75" customHeight="1">
      <c r="A562" s="68"/>
      <c r="B562" s="68"/>
      <c r="D562" s="68"/>
      <c r="E562" s="69"/>
      <c r="M562" s="68"/>
      <c r="O562" s="68"/>
      <c r="P562" s="68"/>
      <c r="Q562" s="68"/>
      <c r="R562" s="68"/>
      <c r="S562" s="68"/>
    </row>
    <row r="563" spans="1:19" ht="15.75" customHeight="1">
      <c r="A563" s="68"/>
      <c r="B563" s="68"/>
      <c r="D563" s="68"/>
      <c r="E563" s="69"/>
      <c r="M563" s="68"/>
      <c r="O563" s="68"/>
      <c r="P563" s="68"/>
      <c r="Q563" s="68"/>
      <c r="R563" s="68"/>
      <c r="S563" s="68"/>
    </row>
    <row r="564" spans="1:19" ht="15.75" customHeight="1">
      <c r="A564" s="68"/>
      <c r="B564" s="68"/>
      <c r="D564" s="68"/>
      <c r="E564" s="69"/>
      <c r="M564" s="68"/>
      <c r="O564" s="68"/>
      <c r="P564" s="68"/>
      <c r="Q564" s="68"/>
      <c r="R564" s="68"/>
      <c r="S564" s="68"/>
    </row>
    <row r="565" spans="1:19" ht="15.75" customHeight="1">
      <c r="A565" s="68"/>
      <c r="B565" s="68"/>
      <c r="D565" s="68"/>
      <c r="E565" s="69"/>
      <c r="M565" s="68"/>
      <c r="O565" s="68"/>
      <c r="P565" s="68"/>
      <c r="Q565" s="68"/>
      <c r="R565" s="68"/>
      <c r="S565" s="68"/>
    </row>
    <row r="566" spans="1:19" ht="15.75" customHeight="1">
      <c r="A566" s="68"/>
      <c r="B566" s="68"/>
      <c r="D566" s="68"/>
      <c r="E566" s="69"/>
      <c r="M566" s="68"/>
      <c r="O566" s="68"/>
      <c r="P566" s="68"/>
      <c r="Q566" s="68"/>
      <c r="R566" s="68"/>
      <c r="S566" s="68"/>
    </row>
    <row r="567" spans="1:19" ht="15.75" customHeight="1">
      <c r="A567" s="68"/>
      <c r="B567" s="68"/>
      <c r="D567" s="68"/>
      <c r="E567" s="69"/>
      <c r="M567" s="68"/>
      <c r="O567" s="68"/>
      <c r="P567" s="68"/>
      <c r="Q567" s="68"/>
      <c r="R567" s="68"/>
      <c r="S567" s="68"/>
    </row>
    <row r="568" spans="1:19" ht="15.75" customHeight="1">
      <c r="A568" s="68"/>
      <c r="B568" s="68"/>
      <c r="D568" s="68"/>
      <c r="E568" s="69"/>
      <c r="M568" s="68"/>
      <c r="O568" s="68"/>
      <c r="P568" s="68"/>
      <c r="Q568" s="68"/>
      <c r="R568" s="68"/>
      <c r="S568" s="68"/>
    </row>
    <row r="569" spans="1:19" ht="15.75" customHeight="1">
      <c r="A569" s="68"/>
      <c r="B569" s="68"/>
      <c r="D569" s="68"/>
      <c r="E569" s="69"/>
      <c r="M569" s="68"/>
      <c r="O569" s="68"/>
      <c r="P569" s="68"/>
      <c r="Q569" s="68"/>
      <c r="R569" s="68"/>
      <c r="S569" s="68"/>
    </row>
    <row r="570" spans="1:19" ht="15.75" customHeight="1">
      <c r="A570" s="68"/>
      <c r="B570" s="68"/>
      <c r="D570" s="68"/>
      <c r="E570" s="69"/>
      <c r="M570" s="68"/>
      <c r="O570" s="68"/>
      <c r="P570" s="68"/>
      <c r="Q570" s="68"/>
      <c r="R570" s="68"/>
      <c r="S570" s="68"/>
    </row>
    <row r="571" spans="1:19" ht="15.75" customHeight="1">
      <c r="A571" s="68"/>
      <c r="B571" s="68"/>
      <c r="D571" s="68"/>
      <c r="E571" s="69"/>
      <c r="M571" s="68"/>
      <c r="O571" s="68"/>
      <c r="P571" s="68"/>
      <c r="Q571" s="68"/>
      <c r="R571" s="68"/>
      <c r="S571" s="68"/>
    </row>
    <row r="572" spans="1:19" ht="15.75" customHeight="1">
      <c r="A572" s="68"/>
      <c r="B572" s="68"/>
      <c r="D572" s="68"/>
      <c r="E572" s="69"/>
      <c r="M572" s="68"/>
      <c r="O572" s="68"/>
      <c r="P572" s="68"/>
      <c r="Q572" s="68"/>
      <c r="R572" s="68"/>
      <c r="S572" s="68"/>
    </row>
    <row r="573" spans="1:19" ht="15.75" customHeight="1">
      <c r="A573" s="68"/>
      <c r="B573" s="68"/>
      <c r="D573" s="68"/>
      <c r="E573" s="69"/>
      <c r="M573" s="68"/>
      <c r="O573" s="68"/>
      <c r="P573" s="68"/>
      <c r="Q573" s="68"/>
      <c r="R573" s="68"/>
      <c r="S573" s="68"/>
    </row>
    <row r="574" spans="1:19" ht="15.75" customHeight="1">
      <c r="A574" s="68"/>
      <c r="B574" s="68"/>
      <c r="D574" s="68"/>
      <c r="E574" s="69"/>
      <c r="M574" s="68"/>
      <c r="O574" s="68"/>
      <c r="P574" s="68"/>
      <c r="Q574" s="68"/>
      <c r="R574" s="68"/>
      <c r="S574" s="68"/>
    </row>
    <row r="575" spans="1:19" ht="15.75" customHeight="1">
      <c r="A575" s="68"/>
      <c r="B575" s="68"/>
      <c r="D575" s="68"/>
      <c r="E575" s="69"/>
      <c r="M575" s="68"/>
      <c r="O575" s="68"/>
      <c r="P575" s="68"/>
      <c r="Q575" s="68"/>
      <c r="R575" s="68"/>
      <c r="S575" s="68"/>
    </row>
    <row r="576" spans="1:19" ht="15.75" customHeight="1">
      <c r="A576" s="68"/>
      <c r="B576" s="68"/>
      <c r="D576" s="68"/>
      <c r="E576" s="69"/>
      <c r="M576" s="68"/>
      <c r="O576" s="68"/>
      <c r="P576" s="68"/>
      <c r="Q576" s="68"/>
      <c r="R576" s="68"/>
      <c r="S576" s="68"/>
    </row>
    <row r="577" spans="1:19" ht="15.75" customHeight="1">
      <c r="A577" s="68"/>
      <c r="B577" s="68"/>
      <c r="D577" s="68"/>
      <c r="E577" s="69"/>
      <c r="M577" s="68"/>
      <c r="O577" s="68"/>
      <c r="P577" s="68"/>
      <c r="Q577" s="68"/>
      <c r="R577" s="68"/>
      <c r="S577" s="68"/>
    </row>
    <row r="578" spans="1:19" ht="15.75" customHeight="1">
      <c r="A578" s="68"/>
      <c r="B578" s="68"/>
      <c r="D578" s="68"/>
      <c r="E578" s="69"/>
      <c r="M578" s="68"/>
      <c r="O578" s="68"/>
      <c r="P578" s="68"/>
      <c r="Q578" s="68"/>
      <c r="R578" s="68"/>
      <c r="S578" s="68"/>
    </row>
    <row r="579" spans="1:19" ht="15.75" customHeight="1">
      <c r="A579" s="68"/>
      <c r="B579" s="68"/>
      <c r="D579" s="68"/>
      <c r="E579" s="69"/>
      <c r="M579" s="68"/>
      <c r="O579" s="68"/>
      <c r="P579" s="68"/>
      <c r="Q579" s="68"/>
      <c r="R579" s="68"/>
      <c r="S579" s="68"/>
    </row>
    <row r="580" spans="1:19" ht="15.75" customHeight="1">
      <c r="A580" s="68"/>
      <c r="B580" s="68"/>
      <c r="D580" s="68"/>
      <c r="E580" s="69"/>
      <c r="M580" s="68"/>
      <c r="O580" s="68"/>
      <c r="P580" s="68"/>
      <c r="Q580" s="68"/>
      <c r="R580" s="68"/>
      <c r="S580" s="68"/>
    </row>
    <row r="581" spans="1:19" ht="15.75" customHeight="1">
      <c r="A581" s="68"/>
      <c r="B581" s="68"/>
      <c r="D581" s="68"/>
      <c r="E581" s="69"/>
      <c r="M581" s="68"/>
      <c r="O581" s="68"/>
      <c r="P581" s="68"/>
      <c r="Q581" s="68"/>
      <c r="R581" s="68"/>
      <c r="S581" s="68"/>
    </row>
    <row r="582" spans="1:19" ht="15.75" customHeight="1">
      <c r="A582" s="68"/>
      <c r="B582" s="68"/>
      <c r="D582" s="68"/>
      <c r="E582" s="69"/>
      <c r="M582" s="68"/>
      <c r="O582" s="68"/>
      <c r="P582" s="68"/>
      <c r="Q582" s="68"/>
      <c r="R582" s="68"/>
      <c r="S582" s="68"/>
    </row>
    <row r="583" spans="1:19" ht="15.75" customHeight="1">
      <c r="A583" s="68"/>
      <c r="B583" s="68"/>
      <c r="D583" s="68"/>
      <c r="E583" s="69"/>
      <c r="M583" s="68"/>
      <c r="O583" s="68"/>
      <c r="P583" s="68"/>
      <c r="Q583" s="68"/>
      <c r="R583" s="68"/>
      <c r="S583" s="68"/>
    </row>
    <row r="584" spans="1:19" ht="15.75" customHeight="1">
      <c r="A584" s="68"/>
      <c r="B584" s="68"/>
      <c r="D584" s="68"/>
      <c r="E584" s="69"/>
      <c r="M584" s="68"/>
      <c r="O584" s="68"/>
      <c r="P584" s="68"/>
      <c r="Q584" s="68"/>
      <c r="R584" s="68"/>
      <c r="S584" s="68"/>
    </row>
    <row r="585" spans="1:19" ht="15.75" customHeight="1">
      <c r="A585" s="68"/>
      <c r="B585" s="68"/>
      <c r="D585" s="68"/>
      <c r="E585" s="69"/>
      <c r="M585" s="68"/>
      <c r="O585" s="68"/>
      <c r="P585" s="68"/>
      <c r="Q585" s="68"/>
      <c r="R585" s="68"/>
      <c r="S585" s="68"/>
    </row>
    <row r="586" spans="1:19" ht="15.75" customHeight="1">
      <c r="A586" s="68"/>
      <c r="B586" s="68"/>
      <c r="D586" s="68"/>
      <c r="E586" s="69"/>
      <c r="M586" s="68"/>
      <c r="O586" s="68"/>
      <c r="P586" s="68"/>
      <c r="Q586" s="68"/>
      <c r="R586" s="68"/>
      <c r="S586" s="68"/>
    </row>
    <row r="587" spans="1:19" ht="15.75" customHeight="1">
      <c r="A587" s="68"/>
      <c r="B587" s="68"/>
      <c r="D587" s="68"/>
      <c r="E587" s="69"/>
      <c r="M587" s="68"/>
      <c r="O587" s="68"/>
      <c r="P587" s="68"/>
      <c r="Q587" s="68"/>
      <c r="R587" s="68"/>
      <c r="S587" s="68"/>
    </row>
    <row r="588" spans="1:19" ht="15.75" customHeight="1">
      <c r="A588" s="68"/>
      <c r="B588" s="68"/>
      <c r="D588" s="68"/>
      <c r="E588" s="69"/>
      <c r="M588" s="68"/>
      <c r="O588" s="68"/>
      <c r="P588" s="68"/>
      <c r="Q588" s="68"/>
      <c r="R588" s="68"/>
      <c r="S588" s="68"/>
    </row>
    <row r="589" spans="1:19" ht="15.75" customHeight="1">
      <c r="A589" s="68"/>
      <c r="B589" s="68"/>
      <c r="D589" s="68"/>
      <c r="E589" s="69"/>
      <c r="M589" s="68"/>
      <c r="O589" s="68"/>
      <c r="P589" s="68"/>
      <c r="Q589" s="68"/>
      <c r="R589" s="68"/>
      <c r="S589" s="68"/>
    </row>
    <row r="590" spans="1:19" ht="15.75" customHeight="1">
      <c r="A590" s="68"/>
      <c r="B590" s="68"/>
      <c r="D590" s="68"/>
      <c r="E590" s="69"/>
      <c r="M590" s="68"/>
      <c r="O590" s="68"/>
      <c r="P590" s="68"/>
      <c r="Q590" s="68"/>
      <c r="R590" s="68"/>
      <c r="S590" s="68"/>
    </row>
    <row r="591" spans="1:19" ht="15.75" customHeight="1">
      <c r="A591" s="68"/>
      <c r="B591" s="68"/>
      <c r="D591" s="68"/>
      <c r="E591" s="69"/>
      <c r="M591" s="68"/>
      <c r="O591" s="68"/>
      <c r="P591" s="68"/>
      <c r="Q591" s="68"/>
      <c r="R591" s="68"/>
      <c r="S591" s="68"/>
    </row>
    <row r="592" spans="1:19" ht="15.75" customHeight="1">
      <c r="A592" s="68"/>
      <c r="B592" s="68"/>
      <c r="D592" s="68"/>
      <c r="E592" s="69"/>
      <c r="M592" s="68"/>
      <c r="O592" s="68"/>
      <c r="P592" s="68"/>
      <c r="Q592" s="68"/>
      <c r="R592" s="68"/>
      <c r="S592" s="68"/>
    </row>
    <row r="593" spans="1:19" ht="15.75" customHeight="1">
      <c r="A593" s="68"/>
      <c r="B593" s="68"/>
      <c r="D593" s="68"/>
      <c r="E593" s="69"/>
      <c r="M593" s="68"/>
      <c r="O593" s="68"/>
      <c r="P593" s="68"/>
      <c r="Q593" s="68"/>
      <c r="R593" s="68"/>
      <c r="S593" s="68"/>
    </row>
    <row r="594" spans="1:19" ht="15.75" customHeight="1">
      <c r="A594" s="68"/>
      <c r="B594" s="68"/>
      <c r="D594" s="68"/>
      <c r="E594" s="69"/>
      <c r="M594" s="68"/>
      <c r="O594" s="68"/>
      <c r="P594" s="68"/>
      <c r="Q594" s="68"/>
      <c r="R594" s="68"/>
      <c r="S594" s="68"/>
    </row>
    <row r="595" spans="1:19" ht="15.75" customHeight="1">
      <c r="A595" s="68"/>
      <c r="B595" s="68"/>
      <c r="D595" s="68"/>
      <c r="E595" s="69"/>
      <c r="M595" s="68"/>
      <c r="O595" s="68"/>
      <c r="P595" s="68"/>
      <c r="Q595" s="68"/>
      <c r="R595" s="68"/>
      <c r="S595" s="68"/>
    </row>
    <row r="596" spans="1:19" ht="15.75" customHeight="1">
      <c r="A596" s="68"/>
      <c r="B596" s="68"/>
      <c r="D596" s="68"/>
      <c r="E596" s="69"/>
      <c r="M596" s="68"/>
      <c r="O596" s="68"/>
      <c r="P596" s="68"/>
      <c r="Q596" s="68"/>
      <c r="R596" s="68"/>
      <c r="S596" s="68"/>
    </row>
    <row r="597" spans="1:19" ht="15.75" customHeight="1">
      <c r="A597" s="68"/>
      <c r="B597" s="68"/>
      <c r="D597" s="68"/>
      <c r="E597" s="69"/>
      <c r="M597" s="68"/>
      <c r="O597" s="68"/>
      <c r="P597" s="68"/>
      <c r="Q597" s="68"/>
      <c r="R597" s="68"/>
      <c r="S597" s="68"/>
    </row>
    <row r="598" spans="1:19" ht="15.75" customHeight="1">
      <c r="A598" s="68"/>
      <c r="B598" s="68"/>
      <c r="D598" s="68"/>
      <c r="E598" s="69"/>
      <c r="M598" s="68"/>
      <c r="O598" s="68"/>
      <c r="P598" s="68"/>
      <c r="Q598" s="68"/>
      <c r="R598" s="68"/>
      <c r="S598" s="68"/>
    </row>
    <row r="599" spans="1:19" ht="15.75" customHeight="1">
      <c r="A599" s="68"/>
      <c r="B599" s="68"/>
      <c r="D599" s="68"/>
      <c r="E599" s="69"/>
      <c r="M599" s="68"/>
      <c r="O599" s="68"/>
      <c r="P599" s="68"/>
      <c r="Q599" s="68"/>
      <c r="R599" s="68"/>
      <c r="S599" s="68"/>
    </row>
    <row r="600" spans="1:19" ht="15.75" customHeight="1">
      <c r="A600" s="68"/>
      <c r="B600" s="68"/>
      <c r="D600" s="68"/>
      <c r="E600" s="69"/>
      <c r="M600" s="68"/>
      <c r="O600" s="68"/>
      <c r="P600" s="68"/>
      <c r="Q600" s="68"/>
      <c r="R600" s="68"/>
      <c r="S600" s="68"/>
    </row>
    <row r="601" spans="1:19" ht="15.75" customHeight="1">
      <c r="A601" s="68"/>
      <c r="B601" s="68"/>
      <c r="D601" s="68"/>
      <c r="E601" s="69"/>
      <c r="M601" s="68"/>
      <c r="O601" s="68"/>
      <c r="P601" s="68"/>
      <c r="Q601" s="68"/>
      <c r="R601" s="68"/>
      <c r="S601" s="68"/>
    </row>
    <row r="602" spans="1:19" ht="15.75" customHeight="1">
      <c r="A602" s="68"/>
      <c r="B602" s="68"/>
      <c r="D602" s="68"/>
      <c r="E602" s="69"/>
      <c r="M602" s="68"/>
      <c r="O602" s="68"/>
      <c r="P602" s="68"/>
      <c r="Q602" s="68"/>
      <c r="R602" s="68"/>
      <c r="S602" s="68"/>
    </row>
    <row r="603" spans="1:19" ht="15.75" customHeight="1">
      <c r="A603" s="68"/>
      <c r="B603" s="68"/>
      <c r="D603" s="68"/>
      <c r="E603" s="69"/>
      <c r="M603" s="68"/>
      <c r="O603" s="68"/>
      <c r="P603" s="68"/>
      <c r="Q603" s="68"/>
      <c r="R603" s="68"/>
      <c r="S603" s="68"/>
    </row>
    <row r="604" spans="1:19" ht="15.75" customHeight="1">
      <c r="A604" s="68"/>
      <c r="B604" s="68"/>
      <c r="D604" s="68"/>
      <c r="E604" s="69"/>
      <c r="M604" s="68"/>
      <c r="O604" s="68"/>
      <c r="P604" s="68"/>
      <c r="Q604" s="68"/>
      <c r="R604" s="68"/>
      <c r="S604" s="68"/>
    </row>
    <row r="605" spans="1:19" ht="15.75" customHeight="1">
      <c r="A605" s="68"/>
      <c r="B605" s="68"/>
      <c r="D605" s="68"/>
      <c r="E605" s="69"/>
      <c r="M605" s="68"/>
      <c r="O605" s="68"/>
      <c r="P605" s="68"/>
      <c r="Q605" s="68"/>
      <c r="R605" s="68"/>
      <c r="S605" s="68"/>
    </row>
    <row r="606" spans="1:19" ht="15.75" customHeight="1">
      <c r="A606" s="68"/>
      <c r="B606" s="68"/>
      <c r="D606" s="68"/>
      <c r="E606" s="69"/>
      <c r="M606" s="68"/>
      <c r="O606" s="68"/>
      <c r="P606" s="68"/>
      <c r="Q606" s="68"/>
      <c r="R606" s="68"/>
      <c r="S606" s="68"/>
    </row>
    <row r="607" spans="1:19" ht="15.75" customHeight="1">
      <c r="A607" s="68"/>
      <c r="B607" s="68"/>
      <c r="D607" s="68"/>
      <c r="E607" s="69"/>
      <c r="M607" s="68"/>
      <c r="O607" s="68"/>
      <c r="P607" s="68"/>
      <c r="Q607" s="68"/>
      <c r="R607" s="68"/>
      <c r="S607" s="68"/>
    </row>
    <row r="608" spans="1:19" ht="15.75" customHeight="1">
      <c r="A608" s="68"/>
      <c r="B608" s="68"/>
      <c r="D608" s="68"/>
      <c r="E608" s="69"/>
      <c r="M608" s="68"/>
      <c r="O608" s="68"/>
      <c r="P608" s="68"/>
      <c r="Q608" s="68"/>
      <c r="R608" s="68"/>
      <c r="S608" s="68"/>
    </row>
    <row r="609" spans="1:19" ht="15.75" customHeight="1">
      <c r="A609" s="68"/>
      <c r="B609" s="68"/>
      <c r="D609" s="68"/>
      <c r="E609" s="69"/>
      <c r="M609" s="68"/>
      <c r="O609" s="68"/>
      <c r="P609" s="68"/>
      <c r="Q609" s="68"/>
      <c r="R609" s="68"/>
      <c r="S609" s="68"/>
    </row>
    <row r="610" spans="1:19" ht="15.75" customHeight="1">
      <c r="A610" s="68"/>
      <c r="B610" s="68"/>
      <c r="D610" s="68"/>
      <c r="E610" s="69"/>
      <c r="M610" s="68"/>
      <c r="O610" s="68"/>
      <c r="P610" s="68"/>
      <c r="Q610" s="68"/>
      <c r="R610" s="68"/>
      <c r="S610" s="68"/>
    </row>
    <row r="611" spans="1:19" ht="15.75" customHeight="1">
      <c r="A611" s="68"/>
      <c r="B611" s="68"/>
      <c r="D611" s="68"/>
      <c r="E611" s="69"/>
      <c r="M611" s="68"/>
      <c r="O611" s="68"/>
      <c r="P611" s="68"/>
      <c r="Q611" s="68"/>
      <c r="R611" s="68"/>
      <c r="S611" s="68"/>
    </row>
    <row r="612" spans="1:19" ht="15.75" customHeight="1">
      <c r="A612" s="68"/>
      <c r="B612" s="68"/>
      <c r="D612" s="68"/>
      <c r="E612" s="69"/>
      <c r="M612" s="68"/>
      <c r="O612" s="68"/>
      <c r="P612" s="68"/>
      <c r="Q612" s="68"/>
      <c r="R612" s="68"/>
      <c r="S612" s="68"/>
    </row>
    <row r="613" spans="1:19" ht="15.75" customHeight="1">
      <c r="A613" s="68"/>
      <c r="B613" s="68"/>
      <c r="D613" s="68"/>
      <c r="E613" s="69"/>
      <c r="M613" s="68"/>
      <c r="O613" s="68"/>
      <c r="P613" s="68"/>
      <c r="Q613" s="68"/>
      <c r="R613" s="68"/>
      <c r="S613" s="68"/>
    </row>
    <row r="614" spans="1:19" ht="15.75" customHeight="1">
      <c r="A614" s="68"/>
      <c r="B614" s="68"/>
      <c r="D614" s="68"/>
      <c r="E614" s="69"/>
      <c r="M614" s="68"/>
      <c r="O614" s="68"/>
      <c r="P614" s="68"/>
      <c r="Q614" s="68"/>
      <c r="R614" s="68"/>
      <c r="S614" s="68"/>
    </row>
    <row r="615" spans="1:19" ht="15.75" customHeight="1">
      <c r="A615" s="68"/>
      <c r="B615" s="68"/>
      <c r="D615" s="68"/>
      <c r="E615" s="69"/>
      <c r="M615" s="68"/>
      <c r="O615" s="68"/>
      <c r="P615" s="68"/>
      <c r="Q615" s="68"/>
      <c r="R615" s="68"/>
      <c r="S615" s="68"/>
    </row>
    <row r="616" spans="1:19" ht="15.75" customHeight="1">
      <c r="A616" s="68"/>
      <c r="B616" s="68"/>
      <c r="D616" s="68"/>
      <c r="E616" s="69"/>
      <c r="M616" s="68"/>
      <c r="O616" s="68"/>
      <c r="P616" s="68"/>
      <c r="Q616" s="68"/>
      <c r="R616" s="68"/>
      <c r="S616" s="68"/>
    </row>
    <row r="617" spans="1:19" ht="15.75" customHeight="1">
      <c r="A617" s="68"/>
      <c r="B617" s="68"/>
      <c r="D617" s="68"/>
      <c r="E617" s="69"/>
      <c r="M617" s="68"/>
      <c r="O617" s="68"/>
      <c r="P617" s="68"/>
      <c r="Q617" s="68"/>
      <c r="R617" s="68"/>
      <c r="S617" s="68"/>
    </row>
    <row r="618" spans="1:19" ht="15.75" customHeight="1">
      <c r="A618" s="68"/>
      <c r="B618" s="68"/>
      <c r="D618" s="68"/>
      <c r="E618" s="69"/>
      <c r="M618" s="68"/>
      <c r="O618" s="68"/>
      <c r="P618" s="68"/>
      <c r="Q618" s="68"/>
      <c r="R618" s="68"/>
      <c r="S618" s="68"/>
    </row>
    <row r="619" spans="1:19" ht="15.75" customHeight="1">
      <c r="A619" s="68"/>
      <c r="B619" s="68"/>
      <c r="D619" s="68"/>
      <c r="E619" s="69"/>
      <c r="M619" s="68"/>
      <c r="O619" s="68"/>
      <c r="P619" s="68"/>
      <c r="Q619" s="68"/>
      <c r="R619" s="68"/>
      <c r="S619" s="68"/>
    </row>
    <row r="620" spans="1:19" ht="15.75" customHeight="1">
      <c r="A620" s="68"/>
      <c r="B620" s="68"/>
      <c r="D620" s="68"/>
      <c r="E620" s="69"/>
      <c r="M620" s="68"/>
      <c r="O620" s="68"/>
      <c r="P620" s="68"/>
      <c r="Q620" s="68"/>
      <c r="R620" s="68"/>
      <c r="S620" s="68"/>
    </row>
    <row r="621" spans="1:19" ht="15.75" customHeight="1">
      <c r="A621" s="68"/>
      <c r="B621" s="68"/>
      <c r="D621" s="68"/>
      <c r="E621" s="69"/>
      <c r="M621" s="68"/>
      <c r="O621" s="68"/>
      <c r="P621" s="68"/>
      <c r="Q621" s="68"/>
      <c r="R621" s="68"/>
      <c r="S621" s="68"/>
    </row>
    <row r="622" spans="1:19" ht="15.75" customHeight="1">
      <c r="A622" s="68"/>
      <c r="B622" s="68"/>
      <c r="D622" s="68"/>
      <c r="E622" s="69"/>
      <c r="M622" s="68"/>
      <c r="O622" s="68"/>
      <c r="P622" s="68"/>
      <c r="Q622" s="68"/>
      <c r="R622" s="68"/>
      <c r="S622" s="68"/>
    </row>
    <row r="623" spans="1:19" ht="15.75" customHeight="1">
      <c r="A623" s="68"/>
      <c r="B623" s="68"/>
      <c r="D623" s="68"/>
      <c r="E623" s="69"/>
      <c r="M623" s="68"/>
      <c r="O623" s="68"/>
      <c r="P623" s="68"/>
      <c r="Q623" s="68"/>
      <c r="R623" s="68"/>
      <c r="S623" s="68"/>
    </row>
    <row r="624" spans="1:19" ht="15.75" customHeight="1">
      <c r="A624" s="68"/>
      <c r="B624" s="68"/>
      <c r="D624" s="68"/>
      <c r="E624" s="69"/>
      <c r="M624" s="68"/>
      <c r="O624" s="68"/>
      <c r="P624" s="68"/>
      <c r="Q624" s="68"/>
      <c r="R624" s="68"/>
      <c r="S624" s="68"/>
    </row>
    <row r="625" spans="1:19" ht="15.75" customHeight="1">
      <c r="A625" s="68"/>
      <c r="B625" s="68"/>
      <c r="D625" s="68"/>
      <c r="E625" s="69"/>
      <c r="M625" s="68"/>
      <c r="O625" s="68"/>
      <c r="P625" s="68"/>
      <c r="Q625" s="68"/>
      <c r="R625" s="68"/>
      <c r="S625" s="68"/>
    </row>
    <row r="626" spans="1:19" ht="15.75" customHeight="1">
      <c r="A626" s="68"/>
      <c r="B626" s="68"/>
      <c r="D626" s="68"/>
      <c r="E626" s="69"/>
      <c r="M626" s="68"/>
      <c r="O626" s="68"/>
      <c r="P626" s="68"/>
      <c r="Q626" s="68"/>
      <c r="R626" s="68"/>
      <c r="S626" s="68"/>
    </row>
    <row r="627" spans="1:19" ht="15.75" customHeight="1">
      <c r="A627" s="68"/>
      <c r="B627" s="68"/>
      <c r="D627" s="68"/>
      <c r="E627" s="69"/>
      <c r="M627" s="68"/>
      <c r="O627" s="68"/>
      <c r="P627" s="68"/>
      <c r="Q627" s="68"/>
      <c r="R627" s="68"/>
      <c r="S627" s="68"/>
    </row>
    <row r="628" spans="1:19" ht="15.75" customHeight="1">
      <c r="A628" s="68"/>
      <c r="B628" s="68"/>
      <c r="D628" s="68"/>
      <c r="E628" s="69"/>
      <c r="M628" s="68"/>
      <c r="O628" s="68"/>
      <c r="P628" s="68"/>
      <c r="Q628" s="68"/>
      <c r="R628" s="68"/>
      <c r="S628" s="68"/>
    </row>
    <row r="629" spans="1:19" ht="15.75" customHeight="1">
      <c r="A629" s="68"/>
      <c r="B629" s="68"/>
      <c r="D629" s="68"/>
      <c r="E629" s="69"/>
      <c r="M629" s="68"/>
      <c r="O629" s="68"/>
      <c r="P629" s="68"/>
      <c r="Q629" s="68"/>
      <c r="R629" s="68"/>
      <c r="S629" s="68"/>
    </row>
    <row r="630" spans="1:19" ht="15.75" customHeight="1">
      <c r="A630" s="68"/>
      <c r="B630" s="68"/>
      <c r="D630" s="68"/>
      <c r="E630" s="69"/>
      <c r="M630" s="68"/>
      <c r="O630" s="68"/>
      <c r="P630" s="68"/>
      <c r="Q630" s="68"/>
      <c r="R630" s="68"/>
      <c r="S630" s="68"/>
    </row>
    <row r="631" spans="1:19" ht="15.75" customHeight="1">
      <c r="A631" s="68"/>
      <c r="B631" s="68"/>
      <c r="D631" s="68"/>
      <c r="E631" s="69"/>
      <c r="M631" s="68"/>
      <c r="O631" s="68"/>
      <c r="P631" s="68"/>
      <c r="Q631" s="68"/>
      <c r="R631" s="68"/>
      <c r="S631" s="68"/>
    </row>
    <row r="632" spans="1:19" ht="15.75" customHeight="1">
      <c r="A632" s="68"/>
      <c r="B632" s="68"/>
      <c r="D632" s="68"/>
      <c r="E632" s="69"/>
      <c r="M632" s="68"/>
      <c r="O632" s="68"/>
      <c r="P632" s="68"/>
      <c r="Q632" s="68"/>
      <c r="R632" s="68"/>
      <c r="S632" s="68"/>
    </row>
    <row r="633" spans="1:19" ht="15.75" customHeight="1">
      <c r="A633" s="68"/>
      <c r="B633" s="68"/>
      <c r="D633" s="68"/>
      <c r="E633" s="69"/>
      <c r="M633" s="68"/>
      <c r="O633" s="68"/>
      <c r="P633" s="68"/>
      <c r="Q633" s="68"/>
      <c r="R633" s="68"/>
      <c r="S633" s="68"/>
    </row>
    <row r="634" spans="1:19" ht="15.75" customHeight="1">
      <c r="A634" s="68"/>
      <c r="B634" s="68"/>
      <c r="D634" s="68"/>
      <c r="E634" s="69"/>
      <c r="M634" s="68"/>
      <c r="O634" s="68"/>
      <c r="P634" s="68"/>
      <c r="Q634" s="68"/>
      <c r="R634" s="68"/>
      <c r="S634" s="68"/>
    </row>
    <row r="635" spans="1:19" ht="15.75" customHeight="1">
      <c r="A635" s="68"/>
      <c r="B635" s="68"/>
      <c r="D635" s="68"/>
      <c r="E635" s="69"/>
      <c r="M635" s="68"/>
      <c r="O635" s="68"/>
      <c r="P635" s="68"/>
      <c r="Q635" s="68"/>
      <c r="R635" s="68"/>
      <c r="S635" s="68"/>
    </row>
    <row r="636" spans="1:19" ht="15.75" customHeight="1">
      <c r="A636" s="68"/>
      <c r="B636" s="68"/>
      <c r="D636" s="68"/>
      <c r="E636" s="69"/>
      <c r="M636" s="68"/>
      <c r="O636" s="68"/>
      <c r="P636" s="68"/>
      <c r="Q636" s="68"/>
      <c r="R636" s="68"/>
      <c r="S636" s="68"/>
    </row>
    <row r="637" spans="1:19" ht="15.75" customHeight="1">
      <c r="A637" s="68"/>
      <c r="B637" s="68"/>
      <c r="D637" s="68"/>
      <c r="E637" s="69"/>
      <c r="M637" s="68"/>
      <c r="O637" s="68"/>
      <c r="P637" s="68"/>
      <c r="Q637" s="68"/>
      <c r="R637" s="68"/>
      <c r="S637" s="68"/>
    </row>
    <row r="638" spans="1:19" ht="15.75" customHeight="1">
      <c r="A638" s="68"/>
      <c r="B638" s="68"/>
      <c r="D638" s="68"/>
      <c r="E638" s="69"/>
      <c r="M638" s="68"/>
      <c r="O638" s="68"/>
      <c r="P638" s="68"/>
      <c r="Q638" s="68"/>
      <c r="R638" s="68"/>
      <c r="S638" s="68"/>
    </row>
    <row r="639" spans="1:19" ht="15.75" customHeight="1">
      <c r="A639" s="68"/>
      <c r="B639" s="68"/>
      <c r="D639" s="68"/>
      <c r="E639" s="69"/>
      <c r="M639" s="68"/>
      <c r="O639" s="68"/>
      <c r="P639" s="68"/>
      <c r="Q639" s="68"/>
      <c r="R639" s="68"/>
      <c r="S639" s="68"/>
    </row>
    <row r="640" spans="1:19" ht="15.75" customHeight="1">
      <c r="A640" s="68"/>
      <c r="B640" s="68"/>
      <c r="D640" s="68"/>
      <c r="E640" s="69"/>
      <c r="M640" s="68"/>
      <c r="O640" s="68"/>
      <c r="P640" s="68"/>
      <c r="Q640" s="68"/>
      <c r="R640" s="68"/>
      <c r="S640" s="68"/>
    </row>
    <row r="641" spans="1:19" ht="15.75" customHeight="1">
      <c r="A641" s="68"/>
      <c r="B641" s="68"/>
      <c r="D641" s="68"/>
      <c r="E641" s="69"/>
      <c r="M641" s="68"/>
      <c r="O641" s="68"/>
      <c r="P641" s="68"/>
      <c r="Q641" s="68"/>
      <c r="R641" s="68"/>
      <c r="S641" s="68"/>
    </row>
    <row r="642" spans="1:19" ht="15.75" customHeight="1">
      <c r="A642" s="68"/>
      <c r="B642" s="68"/>
      <c r="D642" s="68"/>
      <c r="E642" s="69"/>
      <c r="M642" s="68"/>
      <c r="O642" s="68"/>
      <c r="P642" s="68"/>
      <c r="Q642" s="68"/>
      <c r="R642" s="68"/>
      <c r="S642" s="68"/>
    </row>
    <row r="643" spans="1:19" ht="15.75" customHeight="1">
      <c r="A643" s="68"/>
      <c r="B643" s="68"/>
      <c r="D643" s="68"/>
      <c r="E643" s="69"/>
      <c r="M643" s="68"/>
      <c r="O643" s="68"/>
      <c r="P643" s="68"/>
      <c r="Q643" s="68"/>
      <c r="R643" s="68"/>
      <c r="S643" s="68"/>
    </row>
    <row r="644" spans="1:19" ht="15.75" customHeight="1">
      <c r="A644" s="68"/>
      <c r="B644" s="68"/>
      <c r="D644" s="68"/>
      <c r="E644" s="69"/>
      <c r="M644" s="68"/>
      <c r="O644" s="68"/>
      <c r="P644" s="68"/>
      <c r="Q644" s="68"/>
      <c r="R644" s="68"/>
      <c r="S644" s="68"/>
    </row>
    <row r="645" spans="1:19" ht="15.75" customHeight="1">
      <c r="A645" s="68"/>
      <c r="B645" s="68"/>
      <c r="D645" s="68"/>
      <c r="E645" s="69"/>
      <c r="M645" s="68"/>
      <c r="O645" s="68"/>
      <c r="P645" s="68"/>
      <c r="Q645" s="68"/>
      <c r="R645" s="68"/>
      <c r="S645" s="68"/>
    </row>
    <row r="646" spans="1:19" ht="15.75" customHeight="1">
      <c r="A646" s="68"/>
      <c r="B646" s="68"/>
      <c r="D646" s="68"/>
      <c r="E646" s="69"/>
      <c r="M646" s="68"/>
      <c r="O646" s="68"/>
      <c r="P646" s="68"/>
      <c r="Q646" s="68"/>
      <c r="R646" s="68"/>
      <c r="S646" s="68"/>
    </row>
    <row r="647" spans="1:19" ht="15.75" customHeight="1">
      <c r="A647" s="68"/>
      <c r="B647" s="68"/>
      <c r="D647" s="68"/>
      <c r="E647" s="69"/>
      <c r="M647" s="68"/>
      <c r="O647" s="68"/>
      <c r="P647" s="68"/>
      <c r="Q647" s="68"/>
      <c r="R647" s="68"/>
      <c r="S647" s="68"/>
    </row>
    <row r="648" spans="1:19" ht="15.75" customHeight="1">
      <c r="A648" s="68"/>
      <c r="B648" s="68"/>
      <c r="D648" s="68"/>
      <c r="E648" s="69"/>
      <c r="M648" s="68"/>
      <c r="O648" s="68"/>
      <c r="P648" s="68"/>
      <c r="Q648" s="68"/>
      <c r="R648" s="68"/>
      <c r="S648" s="68"/>
    </row>
    <row r="649" spans="1:19" ht="15.75" customHeight="1">
      <c r="A649" s="68"/>
      <c r="B649" s="68"/>
      <c r="D649" s="68"/>
      <c r="E649" s="69"/>
      <c r="M649" s="68"/>
      <c r="O649" s="68"/>
      <c r="P649" s="68"/>
      <c r="Q649" s="68"/>
      <c r="R649" s="68"/>
      <c r="S649" s="68"/>
    </row>
    <row r="650" spans="1:19" ht="15.75" customHeight="1">
      <c r="A650" s="68"/>
      <c r="B650" s="68"/>
      <c r="D650" s="68"/>
      <c r="E650" s="69"/>
      <c r="M650" s="68"/>
      <c r="O650" s="68"/>
      <c r="P650" s="68"/>
      <c r="Q650" s="68"/>
      <c r="R650" s="68"/>
      <c r="S650" s="68"/>
    </row>
    <row r="651" spans="1:19" ht="15.75" customHeight="1">
      <c r="A651" s="68"/>
      <c r="B651" s="68"/>
      <c r="D651" s="68"/>
      <c r="E651" s="69"/>
      <c r="M651" s="68"/>
      <c r="O651" s="68"/>
      <c r="P651" s="68"/>
      <c r="Q651" s="68"/>
      <c r="R651" s="68"/>
      <c r="S651" s="68"/>
    </row>
    <row r="652" spans="1:19" ht="15.75" customHeight="1">
      <c r="A652" s="68"/>
      <c r="B652" s="68"/>
      <c r="D652" s="68"/>
      <c r="E652" s="69"/>
      <c r="M652" s="68"/>
      <c r="O652" s="68"/>
      <c r="P652" s="68"/>
      <c r="Q652" s="68"/>
      <c r="R652" s="68"/>
      <c r="S652" s="68"/>
    </row>
    <row r="653" spans="1:19" ht="15.75" customHeight="1">
      <c r="A653" s="68"/>
      <c r="B653" s="68"/>
      <c r="D653" s="68"/>
      <c r="E653" s="69"/>
      <c r="M653" s="68"/>
      <c r="O653" s="68"/>
      <c r="P653" s="68"/>
      <c r="Q653" s="68"/>
      <c r="R653" s="68"/>
      <c r="S653" s="68"/>
    </row>
    <row r="654" spans="1:19" ht="15.75" customHeight="1">
      <c r="A654" s="68"/>
      <c r="B654" s="68"/>
      <c r="D654" s="68"/>
      <c r="E654" s="69"/>
      <c r="M654" s="68"/>
      <c r="O654" s="68"/>
      <c r="P654" s="68"/>
      <c r="Q654" s="68"/>
      <c r="R654" s="68"/>
      <c r="S654" s="68"/>
    </row>
    <row r="655" spans="1:19" ht="15.75" customHeight="1">
      <c r="A655" s="68"/>
      <c r="B655" s="68"/>
      <c r="D655" s="68"/>
      <c r="E655" s="69"/>
      <c r="M655" s="68"/>
      <c r="O655" s="68"/>
      <c r="P655" s="68"/>
      <c r="Q655" s="68"/>
      <c r="R655" s="68"/>
      <c r="S655" s="68"/>
    </row>
    <row r="656" spans="1:19" ht="15.75" customHeight="1">
      <c r="A656" s="68"/>
      <c r="B656" s="68"/>
      <c r="D656" s="68"/>
      <c r="E656" s="69"/>
      <c r="M656" s="68"/>
      <c r="O656" s="68"/>
      <c r="P656" s="68"/>
      <c r="Q656" s="68"/>
      <c r="R656" s="68"/>
      <c r="S656" s="68"/>
    </row>
    <row r="657" spans="1:19" ht="15.75" customHeight="1">
      <c r="A657" s="68"/>
      <c r="B657" s="68"/>
      <c r="D657" s="68"/>
      <c r="E657" s="69"/>
      <c r="M657" s="68"/>
      <c r="O657" s="68"/>
      <c r="P657" s="68"/>
      <c r="Q657" s="68"/>
      <c r="R657" s="68"/>
      <c r="S657" s="68"/>
    </row>
    <row r="658" spans="1:19" ht="15.75" customHeight="1">
      <c r="A658" s="68"/>
      <c r="B658" s="68"/>
      <c r="D658" s="68"/>
      <c r="E658" s="69"/>
      <c r="M658" s="68"/>
      <c r="O658" s="68"/>
      <c r="P658" s="68"/>
      <c r="Q658" s="68"/>
      <c r="R658" s="68"/>
      <c r="S658" s="68"/>
    </row>
    <row r="659" spans="1:19" ht="15.75" customHeight="1">
      <c r="A659" s="68"/>
      <c r="B659" s="68"/>
      <c r="D659" s="68"/>
      <c r="E659" s="69"/>
      <c r="M659" s="68"/>
      <c r="O659" s="68"/>
      <c r="P659" s="68"/>
      <c r="Q659" s="68"/>
      <c r="R659" s="68"/>
      <c r="S659" s="68"/>
    </row>
    <row r="660" spans="1:19" ht="15.75" customHeight="1">
      <c r="A660" s="68"/>
      <c r="B660" s="68"/>
      <c r="D660" s="68"/>
      <c r="E660" s="69"/>
      <c r="M660" s="68"/>
      <c r="O660" s="68"/>
      <c r="P660" s="68"/>
      <c r="Q660" s="68"/>
      <c r="R660" s="68"/>
      <c r="S660" s="68"/>
    </row>
    <row r="661" spans="1:19" ht="15.75" customHeight="1">
      <c r="A661" s="68"/>
      <c r="B661" s="68"/>
      <c r="D661" s="68"/>
      <c r="E661" s="69"/>
      <c r="M661" s="68"/>
      <c r="O661" s="68"/>
      <c r="P661" s="68"/>
      <c r="Q661" s="68"/>
      <c r="R661" s="68"/>
      <c r="S661" s="68"/>
    </row>
    <row r="662" spans="1:19" ht="15.75" customHeight="1">
      <c r="A662" s="68"/>
      <c r="B662" s="68"/>
      <c r="D662" s="68"/>
      <c r="E662" s="69"/>
      <c r="M662" s="68"/>
      <c r="O662" s="68"/>
      <c r="P662" s="68"/>
      <c r="Q662" s="68"/>
      <c r="R662" s="68"/>
      <c r="S662" s="68"/>
    </row>
    <row r="663" spans="1:19" ht="15.75" customHeight="1">
      <c r="A663" s="68"/>
      <c r="B663" s="68"/>
      <c r="D663" s="68"/>
      <c r="E663" s="69"/>
      <c r="M663" s="68"/>
      <c r="O663" s="68"/>
      <c r="P663" s="68"/>
      <c r="Q663" s="68"/>
      <c r="R663" s="68"/>
      <c r="S663" s="68"/>
    </row>
    <row r="664" spans="1:19" ht="15.75" customHeight="1">
      <c r="A664" s="68"/>
      <c r="B664" s="68"/>
      <c r="D664" s="68"/>
      <c r="E664" s="69"/>
      <c r="M664" s="68"/>
      <c r="O664" s="68"/>
      <c r="P664" s="68"/>
      <c r="Q664" s="68"/>
      <c r="R664" s="68"/>
      <c r="S664" s="68"/>
    </row>
    <row r="665" spans="1:19" ht="15.75" customHeight="1">
      <c r="A665" s="68"/>
      <c r="B665" s="68"/>
      <c r="D665" s="68"/>
      <c r="E665" s="69"/>
      <c r="M665" s="68"/>
      <c r="O665" s="68"/>
      <c r="P665" s="68"/>
      <c r="Q665" s="68"/>
      <c r="R665" s="68"/>
      <c r="S665" s="68"/>
    </row>
    <row r="666" spans="1:19" ht="15.75" customHeight="1">
      <c r="A666" s="68"/>
      <c r="B666" s="68"/>
      <c r="D666" s="68"/>
      <c r="E666" s="69"/>
      <c r="M666" s="68"/>
      <c r="O666" s="68"/>
      <c r="P666" s="68"/>
      <c r="Q666" s="68"/>
      <c r="R666" s="68"/>
      <c r="S666" s="68"/>
    </row>
    <row r="667" spans="1:19" ht="15.75" customHeight="1">
      <c r="A667" s="68"/>
      <c r="B667" s="68"/>
      <c r="D667" s="68"/>
      <c r="E667" s="69"/>
      <c r="M667" s="68"/>
      <c r="O667" s="68"/>
      <c r="P667" s="68"/>
      <c r="Q667" s="68"/>
      <c r="R667" s="68"/>
      <c r="S667" s="68"/>
    </row>
    <row r="668" spans="1:19" ht="15.75" customHeight="1">
      <c r="A668" s="68"/>
      <c r="B668" s="68"/>
      <c r="D668" s="68"/>
      <c r="E668" s="69"/>
      <c r="M668" s="68"/>
      <c r="O668" s="68"/>
      <c r="P668" s="68"/>
      <c r="Q668" s="68"/>
      <c r="R668" s="68"/>
      <c r="S668" s="68"/>
    </row>
    <row r="669" spans="1:19" ht="15.75" customHeight="1">
      <c r="A669" s="68"/>
      <c r="B669" s="68"/>
      <c r="D669" s="68"/>
      <c r="E669" s="69"/>
      <c r="M669" s="68"/>
      <c r="O669" s="68"/>
      <c r="P669" s="68"/>
      <c r="Q669" s="68"/>
      <c r="R669" s="68"/>
      <c r="S669" s="68"/>
    </row>
    <row r="670" spans="1:19" ht="15.75" customHeight="1">
      <c r="A670" s="68"/>
      <c r="B670" s="68"/>
      <c r="D670" s="68"/>
      <c r="E670" s="69"/>
      <c r="M670" s="68"/>
      <c r="O670" s="68"/>
      <c r="P670" s="68"/>
      <c r="Q670" s="68"/>
      <c r="R670" s="68"/>
      <c r="S670" s="68"/>
    </row>
    <row r="671" spans="1:19" ht="15.75" customHeight="1">
      <c r="A671" s="68"/>
      <c r="B671" s="68"/>
      <c r="D671" s="68"/>
      <c r="E671" s="69"/>
      <c r="M671" s="68"/>
      <c r="O671" s="68"/>
      <c r="P671" s="68"/>
      <c r="Q671" s="68"/>
      <c r="R671" s="68"/>
      <c r="S671" s="68"/>
    </row>
    <row r="672" spans="1:19" ht="15.75" customHeight="1">
      <c r="A672" s="68"/>
      <c r="B672" s="68"/>
      <c r="D672" s="68"/>
      <c r="E672" s="69"/>
      <c r="M672" s="68"/>
      <c r="O672" s="68"/>
      <c r="P672" s="68"/>
      <c r="Q672" s="68"/>
      <c r="R672" s="68"/>
      <c r="S672" s="68"/>
    </row>
    <row r="673" spans="1:19" ht="15.75" customHeight="1">
      <c r="A673" s="68"/>
      <c r="B673" s="68"/>
      <c r="D673" s="68"/>
      <c r="E673" s="69"/>
      <c r="M673" s="68"/>
      <c r="O673" s="68"/>
      <c r="P673" s="68"/>
      <c r="Q673" s="68"/>
      <c r="R673" s="68"/>
      <c r="S673" s="68"/>
    </row>
    <row r="674" spans="1:19" ht="15.75" customHeight="1">
      <c r="A674" s="68"/>
      <c r="B674" s="68"/>
      <c r="D674" s="68"/>
      <c r="E674" s="69"/>
      <c r="M674" s="68"/>
      <c r="O674" s="68"/>
      <c r="P674" s="68"/>
      <c r="Q674" s="68"/>
      <c r="R674" s="68"/>
      <c r="S674" s="68"/>
    </row>
    <row r="675" spans="1:19" ht="15.75" customHeight="1">
      <c r="A675" s="68"/>
      <c r="B675" s="68"/>
      <c r="D675" s="68"/>
      <c r="E675" s="69"/>
      <c r="M675" s="68"/>
      <c r="O675" s="68"/>
      <c r="P675" s="68"/>
      <c r="Q675" s="68"/>
      <c r="R675" s="68"/>
      <c r="S675" s="68"/>
    </row>
    <row r="676" spans="1:19" ht="15.75" customHeight="1">
      <c r="A676" s="68"/>
      <c r="B676" s="68"/>
      <c r="D676" s="68"/>
      <c r="E676" s="69"/>
      <c r="M676" s="68"/>
      <c r="O676" s="68"/>
      <c r="P676" s="68"/>
      <c r="Q676" s="68"/>
      <c r="R676" s="68"/>
      <c r="S676" s="68"/>
    </row>
    <row r="677" spans="1:19" ht="15.75" customHeight="1">
      <c r="A677" s="68"/>
      <c r="B677" s="68"/>
      <c r="D677" s="68"/>
      <c r="E677" s="69"/>
      <c r="M677" s="68"/>
      <c r="O677" s="68"/>
      <c r="P677" s="68"/>
      <c r="Q677" s="68"/>
      <c r="R677" s="68"/>
      <c r="S677" s="68"/>
    </row>
    <row r="678" spans="1:19" ht="15.75" customHeight="1">
      <c r="A678" s="68"/>
      <c r="B678" s="68"/>
      <c r="D678" s="68"/>
      <c r="E678" s="69"/>
      <c r="M678" s="68"/>
      <c r="O678" s="68"/>
      <c r="P678" s="68"/>
      <c r="Q678" s="68"/>
      <c r="R678" s="68"/>
      <c r="S678" s="68"/>
    </row>
    <row r="679" spans="1:19" ht="15.75" customHeight="1">
      <c r="A679" s="68"/>
      <c r="B679" s="68"/>
      <c r="D679" s="68"/>
      <c r="E679" s="69"/>
      <c r="M679" s="68"/>
      <c r="O679" s="68"/>
      <c r="P679" s="68"/>
      <c r="Q679" s="68"/>
      <c r="R679" s="68"/>
      <c r="S679" s="68"/>
    </row>
    <row r="680" spans="1:19" ht="15.75" customHeight="1">
      <c r="A680" s="68"/>
      <c r="B680" s="68"/>
      <c r="D680" s="68"/>
      <c r="E680" s="69"/>
      <c r="M680" s="68"/>
      <c r="O680" s="68"/>
      <c r="P680" s="68"/>
      <c r="Q680" s="68"/>
      <c r="R680" s="68"/>
      <c r="S680" s="68"/>
    </row>
    <row r="681" spans="1:19" ht="15.75" customHeight="1">
      <c r="A681" s="68"/>
      <c r="B681" s="68"/>
      <c r="D681" s="68"/>
      <c r="E681" s="69"/>
      <c r="M681" s="68"/>
      <c r="O681" s="68"/>
      <c r="P681" s="68"/>
      <c r="Q681" s="68"/>
      <c r="R681" s="68"/>
      <c r="S681" s="68"/>
    </row>
    <row r="682" spans="1:19" ht="15.75" customHeight="1">
      <c r="A682" s="68"/>
      <c r="B682" s="68"/>
      <c r="D682" s="68"/>
      <c r="E682" s="69"/>
      <c r="M682" s="68"/>
      <c r="O682" s="68"/>
      <c r="P682" s="68"/>
      <c r="Q682" s="68"/>
      <c r="R682" s="68"/>
      <c r="S682" s="68"/>
    </row>
    <row r="683" spans="1:19" ht="15.75" customHeight="1">
      <c r="A683" s="68"/>
      <c r="B683" s="68"/>
      <c r="D683" s="68"/>
      <c r="E683" s="69"/>
      <c r="M683" s="68"/>
      <c r="O683" s="68"/>
      <c r="P683" s="68"/>
      <c r="Q683" s="68"/>
      <c r="R683" s="68"/>
      <c r="S683" s="68"/>
    </row>
    <row r="684" spans="1:19" ht="15.75" customHeight="1">
      <c r="A684" s="68"/>
      <c r="B684" s="68"/>
      <c r="D684" s="68"/>
      <c r="E684" s="69"/>
      <c r="M684" s="68"/>
      <c r="O684" s="68"/>
      <c r="P684" s="68"/>
      <c r="Q684" s="68"/>
      <c r="R684" s="68"/>
      <c r="S684" s="68"/>
    </row>
    <row r="685" spans="1:19" ht="15.75" customHeight="1">
      <c r="A685" s="68"/>
      <c r="B685" s="68"/>
      <c r="D685" s="68"/>
      <c r="E685" s="69"/>
      <c r="M685" s="68"/>
      <c r="O685" s="68"/>
      <c r="P685" s="68"/>
      <c r="Q685" s="68"/>
      <c r="R685" s="68"/>
      <c r="S685" s="68"/>
    </row>
    <row r="686" spans="1:19" ht="15.75" customHeight="1">
      <c r="A686" s="68"/>
      <c r="B686" s="68"/>
      <c r="D686" s="68"/>
      <c r="E686" s="69"/>
      <c r="M686" s="68"/>
      <c r="O686" s="68"/>
      <c r="P686" s="68"/>
      <c r="Q686" s="68"/>
      <c r="R686" s="68"/>
      <c r="S686" s="68"/>
    </row>
    <row r="687" spans="1:19" ht="15.75" customHeight="1">
      <c r="A687" s="68"/>
      <c r="B687" s="68"/>
      <c r="D687" s="68"/>
      <c r="E687" s="69"/>
      <c r="M687" s="68"/>
      <c r="O687" s="68"/>
      <c r="P687" s="68"/>
      <c r="Q687" s="68"/>
      <c r="R687" s="68"/>
      <c r="S687" s="68"/>
    </row>
    <row r="688" spans="1:19" ht="15.75" customHeight="1">
      <c r="A688" s="68"/>
      <c r="B688" s="68"/>
      <c r="D688" s="68"/>
      <c r="E688" s="69"/>
      <c r="M688" s="68"/>
      <c r="O688" s="68"/>
      <c r="P688" s="68"/>
      <c r="Q688" s="68"/>
      <c r="R688" s="68"/>
      <c r="S688" s="68"/>
    </row>
    <row r="689" spans="1:19" ht="15.75" customHeight="1">
      <c r="A689" s="68"/>
      <c r="B689" s="68"/>
      <c r="D689" s="68"/>
      <c r="E689" s="69"/>
      <c r="M689" s="68"/>
      <c r="O689" s="68"/>
      <c r="P689" s="68"/>
      <c r="Q689" s="68"/>
      <c r="R689" s="68"/>
      <c r="S689" s="68"/>
    </row>
    <row r="690" spans="1:19" ht="15.75" customHeight="1">
      <c r="A690" s="68"/>
      <c r="B690" s="68"/>
      <c r="D690" s="68"/>
      <c r="E690" s="69"/>
      <c r="M690" s="68"/>
      <c r="O690" s="68"/>
      <c r="P690" s="68"/>
      <c r="Q690" s="68"/>
      <c r="R690" s="68"/>
      <c r="S690" s="68"/>
    </row>
    <row r="691" spans="1:19" ht="15.75" customHeight="1">
      <c r="A691" s="68"/>
      <c r="B691" s="68"/>
      <c r="D691" s="68"/>
      <c r="E691" s="69"/>
      <c r="M691" s="68"/>
      <c r="O691" s="68"/>
      <c r="P691" s="68"/>
      <c r="Q691" s="68"/>
      <c r="R691" s="68"/>
      <c r="S691" s="68"/>
    </row>
    <row r="692" spans="1:19" ht="15.75" customHeight="1">
      <c r="A692" s="68"/>
      <c r="B692" s="68"/>
      <c r="D692" s="68"/>
      <c r="E692" s="69"/>
      <c r="M692" s="68"/>
      <c r="O692" s="68"/>
      <c r="P692" s="68"/>
      <c r="Q692" s="68"/>
      <c r="R692" s="68"/>
      <c r="S692" s="68"/>
    </row>
    <row r="693" spans="1:19" ht="15.75" customHeight="1">
      <c r="A693" s="68"/>
      <c r="B693" s="68"/>
      <c r="D693" s="68"/>
      <c r="E693" s="69"/>
      <c r="M693" s="68"/>
      <c r="O693" s="68"/>
      <c r="P693" s="68"/>
      <c r="Q693" s="68"/>
      <c r="R693" s="68"/>
      <c r="S693" s="68"/>
    </row>
    <row r="694" spans="1:19" ht="15.75" customHeight="1">
      <c r="A694" s="68"/>
      <c r="B694" s="68"/>
      <c r="D694" s="68"/>
      <c r="E694" s="69"/>
      <c r="M694" s="68"/>
      <c r="O694" s="68"/>
      <c r="P694" s="68"/>
      <c r="Q694" s="68"/>
      <c r="R694" s="68"/>
      <c r="S694" s="68"/>
    </row>
    <row r="695" spans="1:19" ht="15.75" customHeight="1">
      <c r="A695" s="68"/>
      <c r="B695" s="68"/>
      <c r="D695" s="68"/>
      <c r="E695" s="69"/>
      <c r="M695" s="68"/>
      <c r="O695" s="68"/>
      <c r="P695" s="68"/>
      <c r="Q695" s="68"/>
      <c r="R695" s="68"/>
      <c r="S695" s="68"/>
    </row>
    <row r="696" spans="1:19" ht="15.75" customHeight="1">
      <c r="A696" s="68"/>
      <c r="B696" s="68"/>
      <c r="D696" s="68"/>
      <c r="E696" s="69"/>
      <c r="M696" s="68"/>
      <c r="O696" s="68"/>
      <c r="P696" s="68"/>
      <c r="Q696" s="68"/>
      <c r="R696" s="68"/>
      <c r="S696" s="68"/>
    </row>
    <row r="697" spans="1:19" ht="15.75" customHeight="1">
      <c r="A697" s="68"/>
      <c r="B697" s="68"/>
      <c r="D697" s="68"/>
      <c r="E697" s="69"/>
      <c r="M697" s="68"/>
      <c r="O697" s="68"/>
      <c r="P697" s="68"/>
      <c r="Q697" s="68"/>
      <c r="R697" s="68"/>
      <c r="S697" s="68"/>
    </row>
    <row r="698" spans="1:19" ht="15.75" customHeight="1">
      <c r="A698" s="68"/>
      <c r="B698" s="68"/>
      <c r="D698" s="68"/>
      <c r="E698" s="69"/>
      <c r="M698" s="68"/>
      <c r="O698" s="68"/>
      <c r="P698" s="68"/>
      <c r="Q698" s="68"/>
      <c r="R698" s="68"/>
      <c r="S698" s="68"/>
    </row>
    <row r="699" spans="1:19" ht="15.75" customHeight="1">
      <c r="A699" s="68"/>
      <c r="B699" s="68"/>
      <c r="D699" s="68"/>
      <c r="E699" s="69"/>
      <c r="M699" s="68"/>
      <c r="O699" s="68"/>
      <c r="P699" s="68"/>
      <c r="Q699" s="68"/>
      <c r="R699" s="68"/>
      <c r="S699" s="68"/>
    </row>
    <row r="700" spans="1:19" ht="15.75" customHeight="1">
      <c r="A700" s="68"/>
      <c r="B700" s="68"/>
      <c r="D700" s="68"/>
      <c r="E700" s="69"/>
      <c r="M700" s="68"/>
      <c r="O700" s="68"/>
      <c r="P700" s="68"/>
      <c r="Q700" s="68"/>
      <c r="R700" s="68"/>
      <c r="S700" s="68"/>
    </row>
    <row r="701" spans="1:19" ht="15.75" customHeight="1">
      <c r="A701" s="68"/>
      <c r="B701" s="68"/>
      <c r="D701" s="68"/>
      <c r="E701" s="69"/>
      <c r="M701" s="68"/>
      <c r="O701" s="68"/>
      <c r="P701" s="68"/>
      <c r="Q701" s="68"/>
      <c r="R701" s="68"/>
      <c r="S701" s="68"/>
    </row>
    <row r="702" spans="1:19" ht="15.75" customHeight="1">
      <c r="A702" s="68"/>
      <c r="B702" s="68"/>
      <c r="D702" s="68"/>
      <c r="E702" s="69"/>
      <c r="M702" s="68"/>
      <c r="O702" s="68"/>
      <c r="P702" s="68"/>
      <c r="Q702" s="68"/>
      <c r="R702" s="68"/>
      <c r="S702" s="68"/>
    </row>
    <row r="703" spans="1:19" ht="15.75" customHeight="1">
      <c r="A703" s="68"/>
      <c r="B703" s="68"/>
      <c r="D703" s="68"/>
      <c r="E703" s="69"/>
      <c r="M703" s="68"/>
      <c r="O703" s="68"/>
      <c r="P703" s="68"/>
      <c r="Q703" s="68"/>
      <c r="R703" s="68"/>
      <c r="S703" s="68"/>
    </row>
    <row r="704" spans="1:19" ht="15.75" customHeight="1">
      <c r="A704" s="68"/>
      <c r="B704" s="68"/>
      <c r="D704" s="68"/>
      <c r="E704" s="69"/>
      <c r="M704" s="68"/>
      <c r="O704" s="68"/>
      <c r="P704" s="68"/>
      <c r="Q704" s="68"/>
      <c r="R704" s="68"/>
      <c r="S704" s="68"/>
    </row>
    <row r="705" spans="1:19" ht="15.75" customHeight="1">
      <c r="A705" s="68"/>
      <c r="B705" s="68"/>
      <c r="D705" s="68"/>
      <c r="E705" s="69"/>
      <c r="M705" s="68"/>
      <c r="O705" s="68"/>
      <c r="P705" s="68"/>
      <c r="Q705" s="68"/>
      <c r="R705" s="68"/>
      <c r="S705" s="68"/>
    </row>
    <row r="706" spans="1:19" ht="15.75" customHeight="1">
      <c r="A706" s="68"/>
      <c r="B706" s="68"/>
      <c r="D706" s="68"/>
      <c r="E706" s="69"/>
      <c r="M706" s="68"/>
      <c r="O706" s="68"/>
      <c r="P706" s="68"/>
      <c r="Q706" s="68"/>
      <c r="R706" s="68"/>
      <c r="S706" s="68"/>
    </row>
    <row r="707" spans="1:19" ht="15.75" customHeight="1">
      <c r="A707" s="68"/>
      <c r="B707" s="68"/>
      <c r="D707" s="68"/>
      <c r="E707" s="69"/>
      <c r="M707" s="68"/>
      <c r="O707" s="68"/>
      <c r="P707" s="68"/>
      <c r="Q707" s="68"/>
      <c r="R707" s="68"/>
      <c r="S707" s="68"/>
    </row>
    <row r="708" spans="1:19" ht="15.75" customHeight="1">
      <c r="A708" s="68"/>
      <c r="B708" s="68"/>
      <c r="D708" s="68"/>
      <c r="E708" s="69"/>
      <c r="M708" s="68"/>
      <c r="O708" s="68"/>
      <c r="P708" s="68"/>
      <c r="Q708" s="68"/>
      <c r="R708" s="68"/>
      <c r="S708" s="68"/>
    </row>
    <row r="709" spans="1:19" ht="15.75" customHeight="1">
      <c r="A709" s="68"/>
      <c r="B709" s="68"/>
      <c r="D709" s="68"/>
      <c r="E709" s="69"/>
      <c r="M709" s="68"/>
      <c r="O709" s="68"/>
      <c r="P709" s="68"/>
      <c r="Q709" s="68"/>
      <c r="R709" s="68"/>
      <c r="S709" s="68"/>
    </row>
    <row r="710" spans="1:19" ht="15.75" customHeight="1">
      <c r="A710" s="68"/>
      <c r="B710" s="68"/>
      <c r="D710" s="68"/>
      <c r="E710" s="69"/>
      <c r="M710" s="68"/>
      <c r="O710" s="68"/>
      <c r="P710" s="68"/>
      <c r="Q710" s="68"/>
      <c r="R710" s="68"/>
      <c r="S710" s="68"/>
    </row>
    <row r="711" spans="1:19" ht="15.75" customHeight="1">
      <c r="A711" s="68"/>
      <c r="B711" s="68"/>
      <c r="D711" s="68"/>
      <c r="E711" s="69"/>
      <c r="M711" s="68"/>
      <c r="O711" s="68"/>
      <c r="P711" s="68"/>
      <c r="Q711" s="68"/>
      <c r="R711" s="68"/>
      <c r="S711" s="68"/>
    </row>
    <row r="712" spans="1:19" ht="15.75" customHeight="1">
      <c r="A712" s="68"/>
      <c r="B712" s="68"/>
      <c r="D712" s="68"/>
      <c r="E712" s="69"/>
      <c r="M712" s="68"/>
      <c r="O712" s="68"/>
      <c r="P712" s="68"/>
      <c r="Q712" s="68"/>
      <c r="R712" s="68"/>
      <c r="S712" s="68"/>
    </row>
    <row r="713" spans="1:19" ht="15.75" customHeight="1">
      <c r="A713" s="68"/>
      <c r="B713" s="68"/>
      <c r="D713" s="68"/>
      <c r="E713" s="69"/>
      <c r="M713" s="68"/>
      <c r="O713" s="68"/>
      <c r="P713" s="68"/>
      <c r="Q713" s="68"/>
      <c r="R713" s="68"/>
      <c r="S713" s="68"/>
    </row>
    <row r="714" spans="1:19" ht="15.75" customHeight="1">
      <c r="A714" s="68"/>
      <c r="B714" s="68"/>
      <c r="D714" s="68"/>
      <c r="E714" s="69"/>
      <c r="M714" s="68"/>
      <c r="O714" s="68"/>
      <c r="P714" s="68"/>
      <c r="Q714" s="68"/>
      <c r="R714" s="68"/>
      <c r="S714" s="68"/>
    </row>
    <row r="715" spans="1:19" ht="15.75" customHeight="1">
      <c r="A715" s="68"/>
      <c r="B715" s="68"/>
      <c r="D715" s="68"/>
      <c r="E715" s="69"/>
      <c r="M715" s="68"/>
      <c r="O715" s="68"/>
      <c r="P715" s="68"/>
      <c r="Q715" s="68"/>
      <c r="R715" s="68"/>
      <c r="S715" s="68"/>
    </row>
    <row r="716" spans="1:19" ht="15.75" customHeight="1">
      <c r="A716" s="68"/>
      <c r="B716" s="68"/>
      <c r="D716" s="68"/>
      <c r="E716" s="69"/>
      <c r="M716" s="68"/>
      <c r="O716" s="68"/>
      <c r="P716" s="68"/>
      <c r="Q716" s="68"/>
      <c r="R716" s="68"/>
      <c r="S716" s="68"/>
    </row>
    <row r="717" spans="1:19" ht="15.75" customHeight="1">
      <c r="A717" s="68"/>
      <c r="B717" s="68"/>
      <c r="D717" s="68"/>
      <c r="E717" s="69"/>
      <c r="M717" s="68"/>
      <c r="O717" s="68"/>
      <c r="P717" s="68"/>
      <c r="Q717" s="68"/>
      <c r="R717" s="68"/>
      <c r="S717" s="68"/>
    </row>
    <row r="718" spans="1:19" ht="15.75" customHeight="1">
      <c r="A718" s="68"/>
      <c r="B718" s="68"/>
      <c r="D718" s="68"/>
      <c r="E718" s="69"/>
      <c r="M718" s="68"/>
      <c r="O718" s="68"/>
      <c r="P718" s="68"/>
      <c r="Q718" s="68"/>
      <c r="R718" s="68"/>
      <c r="S718" s="68"/>
    </row>
    <row r="719" spans="1:19" ht="15.75" customHeight="1">
      <c r="A719" s="68"/>
      <c r="B719" s="68"/>
      <c r="D719" s="68"/>
      <c r="E719" s="69"/>
      <c r="M719" s="68"/>
      <c r="O719" s="68"/>
      <c r="P719" s="68"/>
      <c r="Q719" s="68"/>
      <c r="R719" s="68"/>
      <c r="S719" s="68"/>
    </row>
    <row r="720" spans="1:19" ht="15.75" customHeight="1">
      <c r="A720" s="68"/>
      <c r="B720" s="68"/>
      <c r="D720" s="68"/>
      <c r="E720" s="69"/>
      <c r="M720" s="68"/>
      <c r="O720" s="68"/>
      <c r="P720" s="68"/>
      <c r="Q720" s="68"/>
      <c r="R720" s="68"/>
      <c r="S720" s="68"/>
    </row>
    <row r="721" spans="1:19" ht="15.75" customHeight="1">
      <c r="A721" s="68"/>
      <c r="B721" s="68"/>
      <c r="D721" s="68"/>
      <c r="E721" s="69"/>
      <c r="M721" s="68"/>
      <c r="O721" s="68"/>
      <c r="P721" s="68"/>
      <c r="Q721" s="68"/>
      <c r="R721" s="68"/>
      <c r="S721" s="68"/>
    </row>
    <row r="722" spans="1:19" ht="15.75" customHeight="1">
      <c r="A722" s="68"/>
      <c r="B722" s="68"/>
      <c r="D722" s="68"/>
      <c r="E722" s="69"/>
      <c r="M722" s="68"/>
      <c r="O722" s="68"/>
      <c r="P722" s="68"/>
      <c r="Q722" s="68"/>
      <c r="R722" s="68"/>
      <c r="S722" s="68"/>
    </row>
    <row r="723" spans="1:19" ht="15.75" customHeight="1">
      <c r="A723" s="68"/>
      <c r="B723" s="68"/>
      <c r="D723" s="68"/>
      <c r="E723" s="69"/>
      <c r="M723" s="68"/>
      <c r="O723" s="68"/>
      <c r="P723" s="68"/>
      <c r="Q723" s="68"/>
      <c r="R723" s="68"/>
      <c r="S723" s="68"/>
    </row>
    <row r="724" spans="1:19" ht="15.75" customHeight="1">
      <c r="A724" s="68"/>
      <c r="B724" s="68"/>
      <c r="D724" s="68"/>
      <c r="E724" s="69"/>
      <c r="M724" s="68"/>
      <c r="O724" s="68"/>
      <c r="P724" s="68"/>
      <c r="Q724" s="68"/>
      <c r="R724" s="68"/>
      <c r="S724" s="68"/>
    </row>
    <row r="725" spans="1:19" ht="15.75" customHeight="1">
      <c r="A725" s="68"/>
      <c r="B725" s="68"/>
      <c r="D725" s="68"/>
      <c r="E725" s="69"/>
      <c r="M725" s="68"/>
      <c r="O725" s="68"/>
      <c r="P725" s="68"/>
      <c r="Q725" s="68"/>
      <c r="R725" s="68"/>
      <c r="S725" s="68"/>
    </row>
    <row r="726" spans="1:19" ht="15.75" customHeight="1">
      <c r="A726" s="68"/>
      <c r="B726" s="68"/>
      <c r="D726" s="68"/>
      <c r="E726" s="69"/>
      <c r="M726" s="68"/>
      <c r="O726" s="68"/>
      <c r="P726" s="68"/>
      <c r="Q726" s="68"/>
      <c r="R726" s="68"/>
      <c r="S726" s="68"/>
    </row>
    <row r="727" spans="1:19" ht="15.75" customHeight="1">
      <c r="A727" s="68"/>
      <c r="B727" s="68"/>
      <c r="D727" s="68"/>
      <c r="E727" s="69"/>
      <c r="M727" s="68"/>
      <c r="O727" s="68"/>
      <c r="P727" s="68"/>
      <c r="Q727" s="68"/>
      <c r="R727" s="68"/>
      <c r="S727" s="68"/>
    </row>
    <row r="728" spans="1:19" ht="15.75" customHeight="1">
      <c r="A728" s="68"/>
      <c r="B728" s="68"/>
      <c r="D728" s="68"/>
      <c r="E728" s="69"/>
      <c r="M728" s="68"/>
      <c r="O728" s="68"/>
      <c r="P728" s="68"/>
      <c r="Q728" s="68"/>
      <c r="R728" s="68"/>
      <c r="S728" s="68"/>
    </row>
    <row r="729" spans="1:19" ht="15.75" customHeight="1">
      <c r="A729" s="68"/>
      <c r="B729" s="68"/>
      <c r="D729" s="68"/>
      <c r="E729" s="69"/>
      <c r="M729" s="68"/>
      <c r="O729" s="68"/>
      <c r="P729" s="68"/>
      <c r="Q729" s="68"/>
      <c r="R729" s="68"/>
      <c r="S729" s="68"/>
    </row>
    <row r="730" spans="1:19" ht="15.75" customHeight="1">
      <c r="A730" s="68"/>
      <c r="B730" s="68"/>
      <c r="D730" s="68"/>
      <c r="E730" s="69"/>
      <c r="M730" s="68"/>
      <c r="O730" s="68"/>
      <c r="P730" s="68"/>
      <c r="Q730" s="68"/>
      <c r="R730" s="68"/>
      <c r="S730" s="68"/>
    </row>
    <row r="731" spans="1:19" ht="15.75" customHeight="1">
      <c r="A731" s="68"/>
      <c r="B731" s="68"/>
      <c r="D731" s="68"/>
      <c r="E731" s="69"/>
      <c r="M731" s="68"/>
      <c r="O731" s="68"/>
      <c r="P731" s="68"/>
      <c r="Q731" s="68"/>
      <c r="R731" s="68"/>
      <c r="S731" s="68"/>
    </row>
    <row r="732" spans="1:19" ht="15.75" customHeight="1">
      <c r="A732" s="68"/>
      <c r="B732" s="68"/>
      <c r="D732" s="68"/>
      <c r="E732" s="69"/>
      <c r="M732" s="68"/>
      <c r="O732" s="68"/>
      <c r="P732" s="68"/>
      <c r="Q732" s="68"/>
      <c r="R732" s="68"/>
      <c r="S732" s="68"/>
    </row>
    <row r="733" spans="1:19" ht="15.75" customHeight="1">
      <c r="A733" s="68"/>
      <c r="B733" s="68"/>
      <c r="D733" s="68"/>
      <c r="E733" s="69"/>
      <c r="M733" s="68"/>
      <c r="O733" s="68"/>
      <c r="P733" s="68"/>
      <c r="Q733" s="68"/>
      <c r="R733" s="68"/>
      <c r="S733" s="68"/>
    </row>
    <row r="734" spans="1:19" ht="15.75" customHeight="1">
      <c r="A734" s="68"/>
      <c r="B734" s="68"/>
      <c r="D734" s="68"/>
      <c r="E734" s="69"/>
      <c r="M734" s="68"/>
      <c r="O734" s="68"/>
      <c r="P734" s="68"/>
      <c r="Q734" s="68"/>
      <c r="R734" s="68"/>
      <c r="S734" s="68"/>
    </row>
    <row r="735" spans="1:19" ht="15.75" customHeight="1">
      <c r="A735" s="68"/>
      <c r="B735" s="68"/>
      <c r="D735" s="68"/>
      <c r="E735" s="69"/>
      <c r="M735" s="68"/>
      <c r="O735" s="68"/>
      <c r="P735" s="68"/>
      <c r="Q735" s="68"/>
      <c r="R735" s="68"/>
      <c r="S735" s="68"/>
    </row>
    <row r="736" spans="1:19" ht="15.75" customHeight="1">
      <c r="A736" s="68"/>
      <c r="B736" s="68"/>
      <c r="D736" s="68"/>
      <c r="E736" s="69"/>
      <c r="M736" s="68"/>
      <c r="O736" s="68"/>
      <c r="P736" s="68"/>
      <c r="Q736" s="68"/>
      <c r="R736" s="68"/>
      <c r="S736" s="68"/>
    </row>
    <row r="737" spans="1:19" ht="15.75" customHeight="1">
      <c r="A737" s="68"/>
      <c r="B737" s="68"/>
      <c r="D737" s="68"/>
      <c r="E737" s="69"/>
      <c r="M737" s="68"/>
      <c r="O737" s="68"/>
      <c r="P737" s="68"/>
      <c r="Q737" s="68"/>
      <c r="R737" s="68"/>
      <c r="S737" s="68"/>
    </row>
    <row r="738" spans="1:19" ht="15.75" customHeight="1">
      <c r="A738" s="68"/>
      <c r="B738" s="68"/>
      <c r="D738" s="68"/>
      <c r="E738" s="69"/>
      <c r="M738" s="68"/>
      <c r="O738" s="68"/>
      <c r="P738" s="68"/>
      <c r="Q738" s="68"/>
      <c r="R738" s="68"/>
      <c r="S738" s="68"/>
    </row>
    <row r="739" spans="1:19" ht="15.75" customHeight="1">
      <c r="A739" s="68"/>
      <c r="B739" s="68"/>
      <c r="D739" s="68"/>
      <c r="E739" s="69"/>
      <c r="M739" s="68"/>
      <c r="O739" s="68"/>
      <c r="P739" s="68"/>
      <c r="Q739" s="68"/>
      <c r="R739" s="68"/>
      <c r="S739" s="68"/>
    </row>
    <row r="740" spans="1:19" ht="15.75" customHeight="1">
      <c r="A740" s="68"/>
      <c r="B740" s="68"/>
      <c r="D740" s="68"/>
      <c r="E740" s="69"/>
      <c r="M740" s="68"/>
      <c r="O740" s="68"/>
      <c r="P740" s="68"/>
      <c r="Q740" s="68"/>
      <c r="R740" s="68"/>
      <c r="S740" s="68"/>
    </row>
    <row r="741" spans="1:19" ht="15.75" customHeight="1">
      <c r="A741" s="68"/>
      <c r="B741" s="68"/>
      <c r="D741" s="68"/>
      <c r="E741" s="69"/>
      <c r="M741" s="68"/>
      <c r="O741" s="68"/>
      <c r="P741" s="68"/>
      <c r="Q741" s="68"/>
      <c r="R741" s="68"/>
      <c r="S741" s="68"/>
    </row>
    <row r="742" spans="1:19" ht="15.75" customHeight="1">
      <c r="A742" s="68"/>
      <c r="B742" s="68"/>
      <c r="D742" s="68"/>
      <c r="E742" s="69"/>
      <c r="M742" s="68"/>
      <c r="O742" s="68"/>
      <c r="P742" s="68"/>
      <c r="Q742" s="68"/>
      <c r="R742" s="68"/>
      <c r="S742" s="68"/>
    </row>
    <row r="743" spans="1:19" ht="15.75" customHeight="1">
      <c r="A743" s="68"/>
      <c r="B743" s="68"/>
      <c r="D743" s="68"/>
      <c r="E743" s="69"/>
      <c r="M743" s="68"/>
      <c r="O743" s="68"/>
      <c r="P743" s="68"/>
      <c r="Q743" s="68"/>
      <c r="R743" s="68"/>
      <c r="S743" s="68"/>
    </row>
    <row r="744" spans="1:19" ht="15.75" customHeight="1">
      <c r="A744" s="68"/>
      <c r="B744" s="68"/>
      <c r="D744" s="68"/>
      <c r="E744" s="69"/>
      <c r="M744" s="68"/>
      <c r="O744" s="68"/>
      <c r="P744" s="68"/>
      <c r="Q744" s="68"/>
      <c r="R744" s="68"/>
      <c r="S744" s="68"/>
    </row>
    <row r="745" spans="1:19" ht="15.75" customHeight="1">
      <c r="A745" s="68"/>
      <c r="B745" s="68"/>
      <c r="D745" s="68"/>
      <c r="E745" s="69"/>
      <c r="M745" s="68"/>
      <c r="O745" s="68"/>
      <c r="P745" s="68"/>
      <c r="Q745" s="68"/>
      <c r="R745" s="68"/>
      <c r="S745" s="68"/>
    </row>
    <row r="746" spans="1:19" ht="15.75" customHeight="1">
      <c r="A746" s="68"/>
      <c r="B746" s="68"/>
      <c r="D746" s="68"/>
      <c r="E746" s="69"/>
      <c r="M746" s="68"/>
      <c r="O746" s="68"/>
      <c r="P746" s="68"/>
      <c r="Q746" s="68"/>
      <c r="R746" s="68"/>
      <c r="S746" s="68"/>
    </row>
    <row r="747" spans="1:19" ht="15.75" customHeight="1">
      <c r="A747" s="68"/>
      <c r="B747" s="68"/>
      <c r="D747" s="68"/>
      <c r="E747" s="69"/>
      <c r="M747" s="68"/>
      <c r="O747" s="68"/>
      <c r="P747" s="68"/>
      <c r="Q747" s="68"/>
      <c r="R747" s="68"/>
      <c r="S747" s="68"/>
    </row>
    <row r="748" spans="1:19" ht="15.75" customHeight="1">
      <c r="A748" s="68"/>
      <c r="B748" s="68"/>
      <c r="D748" s="68"/>
      <c r="E748" s="69"/>
      <c r="M748" s="68"/>
      <c r="O748" s="68"/>
      <c r="P748" s="68"/>
      <c r="Q748" s="68"/>
      <c r="R748" s="68"/>
      <c r="S748" s="68"/>
    </row>
    <row r="749" spans="1:19" ht="15.75" customHeight="1">
      <c r="A749" s="68"/>
      <c r="B749" s="68"/>
      <c r="D749" s="68"/>
      <c r="E749" s="69"/>
      <c r="M749" s="68"/>
      <c r="O749" s="68"/>
      <c r="P749" s="68"/>
      <c r="Q749" s="68"/>
      <c r="R749" s="68"/>
      <c r="S749" s="68"/>
    </row>
    <row r="750" spans="1:19" ht="15.75" customHeight="1">
      <c r="A750" s="68"/>
      <c r="B750" s="68"/>
      <c r="D750" s="68"/>
      <c r="E750" s="69"/>
      <c r="M750" s="68"/>
      <c r="O750" s="68"/>
      <c r="P750" s="68"/>
      <c r="Q750" s="68"/>
      <c r="R750" s="68"/>
      <c r="S750" s="68"/>
    </row>
    <row r="751" spans="1:19" ht="15.75" customHeight="1">
      <c r="A751" s="68"/>
      <c r="B751" s="68"/>
      <c r="D751" s="68"/>
      <c r="E751" s="69"/>
      <c r="M751" s="68"/>
      <c r="O751" s="68"/>
      <c r="P751" s="68"/>
      <c r="Q751" s="68"/>
      <c r="R751" s="68"/>
      <c r="S751" s="68"/>
    </row>
    <row r="752" spans="1:19" ht="15.75" customHeight="1">
      <c r="A752" s="68"/>
      <c r="B752" s="68"/>
      <c r="D752" s="68"/>
      <c r="E752" s="69"/>
      <c r="M752" s="68"/>
      <c r="O752" s="68"/>
      <c r="P752" s="68"/>
      <c r="Q752" s="68"/>
      <c r="R752" s="68"/>
      <c r="S752" s="68"/>
    </row>
    <row r="753" spans="1:19" ht="15.75" customHeight="1">
      <c r="A753" s="68"/>
      <c r="B753" s="68"/>
      <c r="D753" s="68"/>
      <c r="E753" s="69"/>
      <c r="M753" s="68"/>
      <c r="O753" s="68"/>
      <c r="P753" s="68"/>
      <c r="Q753" s="68"/>
      <c r="R753" s="68"/>
      <c r="S753" s="68"/>
    </row>
    <row r="754" spans="1:19" ht="15.75" customHeight="1">
      <c r="A754" s="68"/>
      <c r="B754" s="68"/>
      <c r="D754" s="68"/>
      <c r="E754" s="69"/>
      <c r="M754" s="68"/>
      <c r="O754" s="68"/>
      <c r="P754" s="68"/>
      <c r="Q754" s="68"/>
      <c r="R754" s="68"/>
      <c r="S754" s="68"/>
    </row>
    <row r="755" spans="1:19" ht="15.75" customHeight="1">
      <c r="A755" s="68"/>
      <c r="B755" s="68"/>
      <c r="D755" s="68"/>
      <c r="E755" s="69"/>
      <c r="M755" s="68"/>
      <c r="O755" s="68"/>
      <c r="P755" s="68"/>
      <c r="Q755" s="68"/>
      <c r="R755" s="68"/>
      <c r="S755" s="68"/>
    </row>
    <row r="756" spans="1:19" ht="15.75" customHeight="1">
      <c r="A756" s="68"/>
      <c r="B756" s="68"/>
      <c r="D756" s="68"/>
      <c r="E756" s="69"/>
      <c r="M756" s="68"/>
      <c r="O756" s="68"/>
      <c r="P756" s="68"/>
      <c r="Q756" s="68"/>
      <c r="R756" s="68"/>
      <c r="S756" s="68"/>
    </row>
    <row r="757" spans="1:19" ht="15.75" customHeight="1">
      <c r="A757" s="68"/>
      <c r="B757" s="68"/>
      <c r="D757" s="68"/>
      <c r="E757" s="69"/>
      <c r="M757" s="68"/>
      <c r="O757" s="68"/>
      <c r="P757" s="68"/>
      <c r="Q757" s="68"/>
      <c r="R757" s="68"/>
      <c r="S757" s="68"/>
    </row>
    <row r="758" spans="1:19" ht="15.75" customHeight="1">
      <c r="A758" s="68"/>
      <c r="B758" s="68"/>
      <c r="D758" s="68"/>
      <c r="E758" s="69"/>
      <c r="M758" s="68"/>
      <c r="O758" s="68"/>
      <c r="P758" s="68"/>
      <c r="Q758" s="68"/>
      <c r="R758" s="68"/>
      <c r="S758" s="68"/>
    </row>
    <row r="759" spans="1:19" ht="15.75" customHeight="1">
      <c r="A759" s="68"/>
      <c r="B759" s="68"/>
      <c r="D759" s="68"/>
      <c r="E759" s="69"/>
      <c r="M759" s="68"/>
      <c r="O759" s="68"/>
      <c r="P759" s="68"/>
      <c r="Q759" s="68"/>
      <c r="R759" s="68"/>
      <c r="S759" s="68"/>
    </row>
    <row r="760" spans="1:19" ht="15.75" customHeight="1">
      <c r="A760" s="68"/>
      <c r="B760" s="68"/>
      <c r="D760" s="68"/>
      <c r="E760" s="69"/>
      <c r="M760" s="68"/>
      <c r="O760" s="68"/>
      <c r="P760" s="68"/>
      <c r="Q760" s="68"/>
      <c r="R760" s="68"/>
      <c r="S760" s="68"/>
    </row>
    <row r="761" spans="1:19" ht="15.75" customHeight="1">
      <c r="A761" s="68"/>
      <c r="B761" s="68"/>
      <c r="D761" s="68"/>
      <c r="E761" s="69"/>
      <c r="M761" s="68"/>
      <c r="O761" s="68"/>
      <c r="P761" s="68"/>
      <c r="Q761" s="68"/>
      <c r="R761" s="68"/>
      <c r="S761" s="68"/>
    </row>
    <row r="762" spans="1:19" ht="15.75" customHeight="1">
      <c r="A762" s="68"/>
      <c r="B762" s="68"/>
      <c r="D762" s="68"/>
      <c r="E762" s="69"/>
      <c r="M762" s="68"/>
      <c r="O762" s="68"/>
      <c r="P762" s="68"/>
      <c r="Q762" s="68"/>
      <c r="R762" s="68"/>
      <c r="S762" s="68"/>
    </row>
    <row r="763" spans="1:19" ht="15.75" customHeight="1">
      <c r="A763" s="68"/>
      <c r="B763" s="68"/>
      <c r="D763" s="68"/>
      <c r="E763" s="69"/>
      <c r="M763" s="68"/>
      <c r="O763" s="68"/>
      <c r="P763" s="68"/>
      <c r="Q763" s="68"/>
      <c r="R763" s="68"/>
      <c r="S763" s="68"/>
    </row>
    <row r="764" spans="1:19" ht="15.75" customHeight="1">
      <c r="A764" s="68"/>
      <c r="B764" s="68"/>
      <c r="D764" s="68"/>
      <c r="E764" s="69"/>
      <c r="M764" s="68"/>
      <c r="O764" s="68"/>
      <c r="P764" s="68"/>
      <c r="Q764" s="68"/>
      <c r="R764" s="68"/>
      <c r="S764" s="68"/>
    </row>
    <row r="765" spans="1:19" ht="15.75" customHeight="1">
      <c r="A765" s="68"/>
      <c r="B765" s="68"/>
      <c r="D765" s="68"/>
      <c r="E765" s="69"/>
      <c r="M765" s="68"/>
      <c r="O765" s="68"/>
      <c r="P765" s="68"/>
      <c r="Q765" s="68"/>
      <c r="R765" s="68"/>
      <c r="S765" s="68"/>
    </row>
    <row r="766" spans="1:19" ht="15.75" customHeight="1">
      <c r="A766" s="68"/>
      <c r="B766" s="68"/>
      <c r="D766" s="68"/>
      <c r="E766" s="69"/>
      <c r="M766" s="68"/>
      <c r="O766" s="68"/>
      <c r="P766" s="68"/>
      <c r="Q766" s="68"/>
      <c r="R766" s="68"/>
      <c r="S766" s="68"/>
    </row>
    <row r="767" spans="1:19" ht="15.75" customHeight="1">
      <c r="A767" s="68"/>
      <c r="B767" s="68"/>
      <c r="D767" s="68"/>
      <c r="E767" s="69"/>
      <c r="M767" s="68"/>
      <c r="O767" s="68"/>
      <c r="P767" s="68"/>
      <c r="Q767" s="68"/>
      <c r="R767" s="68"/>
      <c r="S767" s="68"/>
    </row>
    <row r="768" spans="1:19" ht="15.75" customHeight="1">
      <c r="A768" s="68"/>
      <c r="B768" s="68"/>
      <c r="D768" s="68"/>
      <c r="E768" s="69"/>
      <c r="M768" s="68"/>
      <c r="O768" s="68"/>
      <c r="P768" s="68"/>
      <c r="Q768" s="68"/>
      <c r="R768" s="68"/>
      <c r="S768" s="68"/>
    </row>
    <row r="769" spans="1:19" ht="15.75" customHeight="1">
      <c r="A769" s="68"/>
      <c r="B769" s="68"/>
      <c r="D769" s="68"/>
      <c r="E769" s="69"/>
      <c r="M769" s="68"/>
      <c r="O769" s="68"/>
      <c r="P769" s="68"/>
      <c r="Q769" s="68"/>
      <c r="R769" s="68"/>
      <c r="S769" s="68"/>
    </row>
    <row r="770" spans="1:19" ht="15.75" customHeight="1">
      <c r="A770" s="68"/>
      <c r="B770" s="68"/>
      <c r="D770" s="68"/>
      <c r="E770" s="69"/>
      <c r="M770" s="68"/>
      <c r="O770" s="68"/>
      <c r="P770" s="68"/>
      <c r="Q770" s="68"/>
      <c r="R770" s="68"/>
      <c r="S770" s="68"/>
    </row>
    <row r="771" spans="1:19" ht="15.75" customHeight="1">
      <c r="A771" s="68"/>
      <c r="B771" s="68"/>
      <c r="D771" s="68"/>
      <c r="E771" s="69"/>
      <c r="M771" s="68"/>
      <c r="O771" s="68"/>
      <c r="P771" s="68"/>
      <c r="Q771" s="68"/>
      <c r="R771" s="68"/>
      <c r="S771" s="68"/>
    </row>
    <row r="772" spans="1:19" ht="15.75" customHeight="1">
      <c r="A772" s="68"/>
      <c r="B772" s="68"/>
      <c r="D772" s="68"/>
      <c r="E772" s="69"/>
      <c r="M772" s="68"/>
      <c r="O772" s="68"/>
      <c r="P772" s="68"/>
      <c r="Q772" s="68"/>
      <c r="R772" s="68"/>
      <c r="S772" s="68"/>
    </row>
    <row r="773" spans="1:19" ht="15.75" customHeight="1">
      <c r="A773" s="68"/>
      <c r="B773" s="68"/>
      <c r="D773" s="68"/>
      <c r="E773" s="69"/>
      <c r="M773" s="68"/>
      <c r="O773" s="68"/>
      <c r="P773" s="68"/>
      <c r="Q773" s="68"/>
      <c r="R773" s="68"/>
      <c r="S773" s="68"/>
    </row>
    <row r="774" spans="1:19" ht="15.75" customHeight="1">
      <c r="A774" s="68"/>
      <c r="B774" s="68"/>
      <c r="D774" s="68"/>
      <c r="E774" s="69"/>
      <c r="M774" s="68"/>
      <c r="O774" s="68"/>
      <c r="P774" s="68"/>
      <c r="Q774" s="68"/>
      <c r="R774" s="68"/>
      <c r="S774" s="68"/>
    </row>
    <row r="775" spans="1:19" ht="15.75" customHeight="1">
      <c r="A775" s="68"/>
      <c r="B775" s="68"/>
      <c r="D775" s="68"/>
      <c r="E775" s="69"/>
      <c r="M775" s="68"/>
      <c r="O775" s="68"/>
      <c r="P775" s="68"/>
      <c r="Q775" s="68"/>
      <c r="R775" s="68"/>
      <c r="S775" s="68"/>
    </row>
    <row r="776" spans="1:19" ht="15.75" customHeight="1">
      <c r="A776" s="68"/>
      <c r="B776" s="68"/>
      <c r="D776" s="68"/>
      <c r="E776" s="69"/>
      <c r="M776" s="68"/>
      <c r="O776" s="68"/>
      <c r="P776" s="68"/>
      <c r="Q776" s="68"/>
      <c r="R776" s="68"/>
      <c r="S776" s="68"/>
    </row>
    <row r="777" spans="1:19" ht="15.75" customHeight="1">
      <c r="A777" s="68"/>
      <c r="B777" s="68"/>
      <c r="D777" s="68"/>
      <c r="E777" s="69"/>
      <c r="M777" s="68"/>
      <c r="O777" s="68"/>
      <c r="P777" s="68"/>
      <c r="Q777" s="68"/>
      <c r="R777" s="68"/>
      <c r="S777" s="68"/>
    </row>
    <row r="778" spans="1:19" ht="15.75" customHeight="1">
      <c r="A778" s="68"/>
      <c r="B778" s="68"/>
      <c r="D778" s="68"/>
      <c r="E778" s="69"/>
      <c r="M778" s="68"/>
      <c r="O778" s="68"/>
      <c r="P778" s="68"/>
      <c r="Q778" s="68"/>
      <c r="R778" s="68"/>
      <c r="S778" s="68"/>
    </row>
    <row r="779" spans="1:19" ht="15.75" customHeight="1">
      <c r="A779" s="68"/>
      <c r="B779" s="68"/>
      <c r="D779" s="68"/>
      <c r="E779" s="69"/>
      <c r="M779" s="68"/>
      <c r="O779" s="68"/>
      <c r="P779" s="68"/>
      <c r="Q779" s="68"/>
      <c r="R779" s="68"/>
      <c r="S779" s="68"/>
    </row>
    <row r="780" spans="1:19" ht="15.75" customHeight="1">
      <c r="A780" s="68"/>
      <c r="B780" s="68"/>
      <c r="D780" s="68"/>
      <c r="E780" s="69"/>
      <c r="M780" s="68"/>
      <c r="O780" s="68"/>
      <c r="P780" s="68"/>
      <c r="Q780" s="68"/>
      <c r="R780" s="68"/>
      <c r="S780" s="68"/>
    </row>
    <row r="781" spans="1:19" ht="15.75" customHeight="1">
      <c r="A781" s="68"/>
      <c r="B781" s="68"/>
      <c r="D781" s="68"/>
      <c r="E781" s="69"/>
      <c r="M781" s="68"/>
      <c r="O781" s="68"/>
      <c r="P781" s="68"/>
      <c r="Q781" s="68"/>
      <c r="R781" s="68"/>
      <c r="S781" s="68"/>
    </row>
    <row r="782" spans="1:19" ht="15.75" customHeight="1">
      <c r="A782" s="68"/>
      <c r="B782" s="68"/>
      <c r="D782" s="68"/>
      <c r="E782" s="69"/>
      <c r="M782" s="68"/>
      <c r="O782" s="68"/>
      <c r="P782" s="68"/>
      <c r="Q782" s="68"/>
      <c r="R782" s="68"/>
      <c r="S782" s="68"/>
    </row>
    <row r="783" spans="1:19" ht="15.75" customHeight="1">
      <c r="A783" s="68"/>
      <c r="B783" s="68"/>
      <c r="D783" s="68"/>
      <c r="E783" s="69"/>
      <c r="M783" s="68"/>
      <c r="O783" s="68"/>
      <c r="P783" s="68"/>
      <c r="Q783" s="68"/>
      <c r="R783" s="68"/>
      <c r="S783" s="68"/>
    </row>
    <row r="784" spans="1:19" ht="15.75" customHeight="1">
      <c r="A784" s="68"/>
      <c r="B784" s="68"/>
      <c r="D784" s="68"/>
      <c r="E784" s="69"/>
      <c r="M784" s="68"/>
      <c r="O784" s="68"/>
      <c r="P784" s="68"/>
      <c r="Q784" s="68"/>
      <c r="R784" s="68"/>
      <c r="S784" s="68"/>
    </row>
    <row r="785" spans="1:19" ht="15.75" customHeight="1">
      <c r="A785" s="68"/>
      <c r="B785" s="68"/>
      <c r="D785" s="68"/>
      <c r="E785" s="69"/>
      <c r="M785" s="68"/>
      <c r="O785" s="68"/>
      <c r="P785" s="68"/>
      <c r="Q785" s="68"/>
      <c r="R785" s="68"/>
      <c r="S785" s="68"/>
    </row>
    <row r="786" spans="1:19" ht="15.75" customHeight="1">
      <c r="A786" s="68"/>
      <c r="B786" s="68"/>
      <c r="D786" s="68"/>
      <c r="E786" s="69"/>
      <c r="M786" s="68"/>
      <c r="O786" s="68"/>
      <c r="P786" s="68"/>
      <c r="Q786" s="68"/>
      <c r="R786" s="68"/>
      <c r="S786" s="68"/>
    </row>
    <row r="787" spans="1:19" ht="15.75" customHeight="1">
      <c r="A787" s="68"/>
      <c r="B787" s="68"/>
      <c r="D787" s="68"/>
      <c r="E787" s="69"/>
      <c r="M787" s="68"/>
      <c r="O787" s="68"/>
      <c r="P787" s="68"/>
      <c r="Q787" s="68"/>
      <c r="R787" s="68"/>
      <c r="S787" s="68"/>
    </row>
    <row r="788" spans="1:19" ht="15.75" customHeight="1">
      <c r="A788" s="68"/>
      <c r="B788" s="68"/>
      <c r="D788" s="68"/>
      <c r="E788" s="69"/>
      <c r="M788" s="68"/>
      <c r="O788" s="68"/>
      <c r="P788" s="68"/>
      <c r="Q788" s="68"/>
      <c r="R788" s="68"/>
      <c r="S788" s="68"/>
    </row>
    <row r="789" spans="1:19" ht="15.75" customHeight="1">
      <c r="A789" s="68"/>
      <c r="B789" s="68"/>
      <c r="D789" s="68"/>
      <c r="E789" s="69"/>
      <c r="M789" s="68"/>
      <c r="O789" s="68"/>
      <c r="P789" s="68"/>
      <c r="Q789" s="68"/>
      <c r="R789" s="68"/>
      <c r="S789" s="68"/>
    </row>
    <row r="790" spans="1:19" ht="15.75" customHeight="1">
      <c r="A790" s="68"/>
      <c r="B790" s="68"/>
      <c r="D790" s="68"/>
      <c r="E790" s="69"/>
      <c r="M790" s="68"/>
      <c r="O790" s="68"/>
      <c r="P790" s="68"/>
      <c r="Q790" s="68"/>
      <c r="R790" s="68"/>
      <c r="S790" s="68"/>
    </row>
    <row r="791" spans="1:19" ht="15.75" customHeight="1">
      <c r="A791" s="68"/>
      <c r="B791" s="68"/>
      <c r="D791" s="68"/>
      <c r="E791" s="69"/>
      <c r="M791" s="68"/>
      <c r="O791" s="68"/>
      <c r="P791" s="68"/>
      <c r="Q791" s="68"/>
      <c r="R791" s="68"/>
      <c r="S791" s="68"/>
    </row>
    <row r="792" spans="1:19" ht="15.75" customHeight="1">
      <c r="A792" s="68"/>
      <c r="B792" s="68"/>
      <c r="D792" s="68"/>
      <c r="E792" s="69"/>
      <c r="M792" s="68"/>
      <c r="O792" s="68"/>
      <c r="P792" s="68"/>
      <c r="Q792" s="68"/>
      <c r="R792" s="68"/>
      <c r="S792" s="68"/>
    </row>
    <row r="793" spans="1:19" ht="15.75" customHeight="1">
      <c r="A793" s="68"/>
      <c r="B793" s="68"/>
      <c r="D793" s="68"/>
      <c r="E793" s="69"/>
      <c r="M793" s="68"/>
      <c r="O793" s="68"/>
      <c r="P793" s="68"/>
      <c r="Q793" s="68"/>
      <c r="R793" s="68"/>
      <c r="S793" s="68"/>
    </row>
    <row r="794" spans="1:19" ht="15.75" customHeight="1">
      <c r="A794" s="68"/>
      <c r="B794" s="68"/>
      <c r="D794" s="68"/>
      <c r="E794" s="69"/>
      <c r="M794" s="68"/>
      <c r="O794" s="68"/>
      <c r="P794" s="68"/>
      <c r="Q794" s="68"/>
      <c r="R794" s="68"/>
      <c r="S794" s="68"/>
    </row>
    <row r="795" spans="1:19" ht="15.75" customHeight="1">
      <c r="A795" s="68"/>
      <c r="B795" s="68"/>
      <c r="D795" s="68"/>
      <c r="E795" s="69"/>
      <c r="M795" s="68"/>
      <c r="O795" s="68"/>
      <c r="P795" s="68"/>
      <c r="Q795" s="68"/>
      <c r="R795" s="68"/>
      <c r="S795" s="68"/>
    </row>
    <row r="796" spans="1:19" ht="15.75" customHeight="1">
      <c r="A796" s="68"/>
      <c r="B796" s="68"/>
      <c r="D796" s="68"/>
      <c r="E796" s="69"/>
      <c r="M796" s="68"/>
      <c r="O796" s="68"/>
      <c r="P796" s="68"/>
      <c r="Q796" s="68"/>
      <c r="R796" s="68"/>
      <c r="S796" s="68"/>
    </row>
    <row r="797" spans="1:19" ht="15.75" customHeight="1">
      <c r="A797" s="68"/>
      <c r="B797" s="68"/>
      <c r="D797" s="68"/>
      <c r="E797" s="69"/>
      <c r="M797" s="68"/>
      <c r="O797" s="68"/>
      <c r="P797" s="68"/>
      <c r="Q797" s="68"/>
      <c r="R797" s="68"/>
      <c r="S797" s="68"/>
    </row>
    <row r="798" spans="1:19" ht="15.75" customHeight="1">
      <c r="A798" s="68"/>
      <c r="B798" s="68"/>
      <c r="D798" s="68"/>
      <c r="E798" s="69"/>
      <c r="M798" s="68"/>
      <c r="O798" s="68"/>
      <c r="P798" s="68"/>
      <c r="Q798" s="68"/>
      <c r="R798" s="68"/>
      <c r="S798" s="68"/>
    </row>
    <row r="799" spans="1:19" ht="15.75" customHeight="1">
      <c r="A799" s="68"/>
      <c r="B799" s="68"/>
      <c r="D799" s="68"/>
      <c r="E799" s="69"/>
      <c r="M799" s="68"/>
      <c r="O799" s="68"/>
      <c r="P799" s="68"/>
      <c r="Q799" s="68"/>
      <c r="R799" s="68"/>
      <c r="S799" s="68"/>
    </row>
    <row r="800" spans="1:19" ht="15.75" customHeight="1">
      <c r="A800" s="68"/>
      <c r="B800" s="68"/>
      <c r="D800" s="68"/>
      <c r="E800" s="69"/>
      <c r="M800" s="68"/>
      <c r="O800" s="68"/>
      <c r="P800" s="68"/>
      <c r="Q800" s="68"/>
      <c r="R800" s="68"/>
      <c r="S800" s="68"/>
    </row>
    <row r="801" spans="1:19" ht="15.75" customHeight="1">
      <c r="A801" s="68"/>
      <c r="B801" s="68"/>
      <c r="D801" s="68"/>
      <c r="E801" s="69"/>
      <c r="M801" s="68"/>
      <c r="O801" s="68"/>
      <c r="P801" s="68"/>
      <c r="Q801" s="68"/>
      <c r="R801" s="68"/>
      <c r="S801" s="68"/>
    </row>
    <row r="802" spans="1:19" ht="15.75" customHeight="1">
      <c r="A802" s="68"/>
      <c r="B802" s="68"/>
      <c r="D802" s="68"/>
      <c r="E802" s="69"/>
      <c r="M802" s="68"/>
      <c r="O802" s="68"/>
      <c r="P802" s="68"/>
      <c r="Q802" s="68"/>
      <c r="R802" s="68"/>
      <c r="S802" s="68"/>
    </row>
    <row r="803" spans="1:19" ht="15.75" customHeight="1">
      <c r="A803" s="68"/>
      <c r="B803" s="68"/>
      <c r="D803" s="68"/>
      <c r="E803" s="69"/>
      <c r="M803" s="68"/>
      <c r="O803" s="68"/>
      <c r="P803" s="68"/>
      <c r="Q803" s="68"/>
      <c r="R803" s="68"/>
      <c r="S803" s="68"/>
    </row>
    <row r="804" spans="1:19" ht="15.75" customHeight="1">
      <c r="A804" s="68"/>
      <c r="B804" s="68"/>
      <c r="D804" s="68"/>
      <c r="E804" s="69"/>
      <c r="M804" s="68"/>
      <c r="O804" s="68"/>
      <c r="P804" s="68"/>
      <c r="Q804" s="68"/>
      <c r="R804" s="68"/>
      <c r="S804" s="68"/>
    </row>
    <row r="805" spans="1:19" ht="15.75" customHeight="1">
      <c r="A805" s="68"/>
      <c r="B805" s="68"/>
      <c r="D805" s="68"/>
      <c r="E805" s="69"/>
      <c r="M805" s="68"/>
      <c r="O805" s="68"/>
      <c r="P805" s="68"/>
      <c r="Q805" s="68"/>
      <c r="R805" s="68"/>
      <c r="S805" s="68"/>
    </row>
    <row r="806" spans="1:19" ht="15.75" customHeight="1">
      <c r="A806" s="68"/>
      <c r="B806" s="68"/>
      <c r="D806" s="68"/>
      <c r="E806" s="69"/>
      <c r="M806" s="68"/>
      <c r="O806" s="68"/>
      <c r="P806" s="68"/>
      <c r="Q806" s="68"/>
      <c r="R806" s="68"/>
      <c r="S806" s="68"/>
    </row>
    <row r="807" spans="1:19" ht="15.75" customHeight="1">
      <c r="A807" s="68"/>
      <c r="B807" s="68"/>
      <c r="D807" s="68"/>
      <c r="E807" s="69"/>
      <c r="M807" s="68"/>
      <c r="O807" s="68"/>
      <c r="P807" s="68"/>
      <c r="Q807" s="68"/>
      <c r="R807" s="68"/>
      <c r="S807" s="68"/>
    </row>
    <row r="808" spans="1:19" ht="15.75" customHeight="1">
      <c r="A808" s="68"/>
      <c r="B808" s="68"/>
      <c r="D808" s="68"/>
      <c r="E808" s="69"/>
      <c r="M808" s="68"/>
      <c r="O808" s="68"/>
      <c r="P808" s="68"/>
      <c r="Q808" s="68"/>
      <c r="R808" s="68"/>
      <c r="S808" s="68"/>
    </row>
    <row r="809" spans="1:19" ht="15.75" customHeight="1">
      <c r="A809" s="68"/>
      <c r="B809" s="68"/>
      <c r="D809" s="68"/>
      <c r="E809" s="69"/>
      <c r="M809" s="68"/>
      <c r="O809" s="68"/>
      <c r="P809" s="68"/>
      <c r="Q809" s="68"/>
      <c r="R809" s="68"/>
      <c r="S809" s="68"/>
    </row>
    <row r="810" spans="1:19" ht="15.75" customHeight="1">
      <c r="A810" s="68"/>
      <c r="B810" s="68"/>
      <c r="D810" s="68"/>
      <c r="E810" s="69"/>
      <c r="M810" s="68"/>
      <c r="O810" s="68"/>
      <c r="P810" s="68"/>
      <c r="Q810" s="68"/>
      <c r="R810" s="68"/>
      <c r="S810" s="68"/>
    </row>
    <row r="811" spans="1:19" ht="15.75" customHeight="1">
      <c r="A811" s="68"/>
      <c r="B811" s="68"/>
      <c r="D811" s="68"/>
      <c r="E811" s="69"/>
      <c r="M811" s="68"/>
      <c r="O811" s="68"/>
      <c r="P811" s="68"/>
      <c r="Q811" s="68"/>
      <c r="R811" s="68"/>
      <c r="S811" s="68"/>
    </row>
    <row r="812" spans="1:19" ht="15.75" customHeight="1">
      <c r="A812" s="68"/>
      <c r="B812" s="68"/>
      <c r="D812" s="68"/>
      <c r="E812" s="69"/>
      <c r="M812" s="68"/>
      <c r="O812" s="68"/>
      <c r="P812" s="68"/>
      <c r="Q812" s="68"/>
      <c r="R812" s="68"/>
      <c r="S812" s="68"/>
    </row>
    <row r="813" spans="1:19" ht="15.75" customHeight="1">
      <c r="A813" s="68"/>
      <c r="B813" s="68"/>
      <c r="D813" s="68"/>
      <c r="E813" s="69"/>
      <c r="M813" s="68"/>
      <c r="O813" s="68"/>
      <c r="P813" s="68"/>
      <c r="Q813" s="68"/>
      <c r="R813" s="68"/>
      <c r="S813" s="68"/>
    </row>
    <row r="814" spans="1:19" ht="15.75" customHeight="1">
      <c r="A814" s="68"/>
      <c r="B814" s="68"/>
      <c r="D814" s="68"/>
      <c r="E814" s="69"/>
      <c r="M814" s="68"/>
      <c r="O814" s="68"/>
      <c r="P814" s="68"/>
      <c r="Q814" s="68"/>
      <c r="R814" s="68"/>
      <c r="S814" s="68"/>
    </row>
    <row r="815" spans="1:19" ht="15.75" customHeight="1">
      <c r="A815" s="68"/>
      <c r="B815" s="68"/>
      <c r="D815" s="68"/>
      <c r="E815" s="69"/>
      <c r="M815" s="68"/>
      <c r="O815" s="68"/>
      <c r="P815" s="68"/>
      <c r="Q815" s="68"/>
      <c r="R815" s="68"/>
      <c r="S815" s="68"/>
    </row>
    <row r="816" spans="1:19" ht="15.75" customHeight="1">
      <c r="A816" s="68"/>
      <c r="B816" s="68"/>
      <c r="D816" s="68"/>
      <c r="E816" s="69"/>
      <c r="M816" s="68"/>
      <c r="O816" s="68"/>
      <c r="P816" s="68"/>
      <c r="Q816" s="68"/>
      <c r="R816" s="68"/>
      <c r="S816" s="68"/>
    </row>
    <row r="817" spans="1:19" ht="15.75" customHeight="1">
      <c r="A817" s="68"/>
      <c r="B817" s="68"/>
      <c r="D817" s="68"/>
      <c r="E817" s="69"/>
      <c r="M817" s="68"/>
      <c r="O817" s="68"/>
      <c r="P817" s="68"/>
      <c r="Q817" s="68"/>
      <c r="R817" s="68"/>
      <c r="S817" s="68"/>
    </row>
    <row r="818" spans="1:19" ht="15.75" customHeight="1">
      <c r="A818" s="68"/>
      <c r="B818" s="68"/>
      <c r="D818" s="68"/>
      <c r="E818" s="69"/>
      <c r="M818" s="68"/>
      <c r="O818" s="68"/>
      <c r="P818" s="68"/>
      <c r="Q818" s="68"/>
      <c r="R818" s="68"/>
      <c r="S818" s="68"/>
    </row>
    <row r="819" spans="1:19" ht="15.75" customHeight="1">
      <c r="A819" s="68"/>
      <c r="B819" s="68"/>
      <c r="D819" s="68"/>
      <c r="E819" s="69"/>
      <c r="M819" s="68"/>
      <c r="O819" s="68"/>
      <c r="P819" s="68"/>
      <c r="Q819" s="68"/>
      <c r="R819" s="68"/>
      <c r="S819" s="68"/>
    </row>
    <row r="820" spans="1:19" ht="15.75" customHeight="1">
      <c r="A820" s="68"/>
      <c r="B820" s="68"/>
      <c r="D820" s="68"/>
      <c r="E820" s="69"/>
      <c r="M820" s="68"/>
      <c r="O820" s="68"/>
      <c r="P820" s="68"/>
      <c r="Q820" s="68"/>
      <c r="R820" s="68"/>
      <c r="S820" s="68"/>
    </row>
    <row r="821" spans="1:19" ht="15.75" customHeight="1">
      <c r="A821" s="68"/>
      <c r="B821" s="68"/>
      <c r="D821" s="68"/>
      <c r="E821" s="69"/>
      <c r="M821" s="68"/>
      <c r="O821" s="68"/>
      <c r="P821" s="68"/>
      <c r="Q821" s="68"/>
      <c r="R821" s="68"/>
      <c r="S821" s="68"/>
    </row>
    <row r="822" spans="1:19" ht="15.75" customHeight="1">
      <c r="A822" s="68"/>
      <c r="B822" s="68"/>
      <c r="D822" s="68"/>
      <c r="E822" s="69"/>
      <c r="M822" s="68"/>
      <c r="O822" s="68"/>
      <c r="P822" s="68"/>
      <c r="Q822" s="68"/>
      <c r="R822" s="68"/>
      <c r="S822" s="68"/>
    </row>
    <row r="823" spans="1:19" ht="15.75" customHeight="1">
      <c r="A823" s="68"/>
      <c r="B823" s="68"/>
      <c r="D823" s="68"/>
      <c r="E823" s="69"/>
      <c r="M823" s="68"/>
      <c r="O823" s="68"/>
      <c r="P823" s="68"/>
      <c r="Q823" s="68"/>
      <c r="R823" s="68"/>
      <c r="S823" s="68"/>
    </row>
    <row r="824" spans="1:19" ht="15.75" customHeight="1">
      <c r="A824" s="68"/>
      <c r="B824" s="68"/>
      <c r="D824" s="68"/>
      <c r="E824" s="69"/>
      <c r="M824" s="68"/>
      <c r="O824" s="68"/>
      <c r="P824" s="68"/>
      <c r="Q824" s="68"/>
      <c r="R824" s="68"/>
      <c r="S824" s="68"/>
    </row>
    <row r="825" spans="1:19" ht="15.75" customHeight="1">
      <c r="A825" s="68"/>
      <c r="B825" s="68"/>
      <c r="D825" s="68"/>
      <c r="E825" s="69"/>
      <c r="M825" s="68"/>
      <c r="O825" s="68"/>
      <c r="P825" s="68"/>
      <c r="Q825" s="68"/>
      <c r="R825" s="68"/>
      <c r="S825" s="68"/>
    </row>
    <row r="826" spans="1:19" ht="15.75" customHeight="1">
      <c r="A826" s="68"/>
      <c r="B826" s="68"/>
      <c r="D826" s="68"/>
      <c r="E826" s="69"/>
      <c r="M826" s="68"/>
      <c r="O826" s="68"/>
      <c r="P826" s="68"/>
      <c r="Q826" s="68"/>
      <c r="R826" s="68"/>
      <c r="S826" s="68"/>
    </row>
    <row r="827" spans="1:19" ht="15.75" customHeight="1">
      <c r="A827" s="68"/>
      <c r="B827" s="68"/>
      <c r="D827" s="68"/>
      <c r="E827" s="69"/>
      <c r="M827" s="68"/>
      <c r="O827" s="68"/>
      <c r="P827" s="68"/>
      <c r="Q827" s="68"/>
      <c r="R827" s="68"/>
      <c r="S827" s="68"/>
    </row>
    <row r="828" spans="1:19" ht="15.75" customHeight="1">
      <c r="A828" s="68"/>
      <c r="B828" s="68"/>
      <c r="D828" s="68"/>
      <c r="E828" s="69"/>
      <c r="M828" s="68"/>
      <c r="O828" s="68"/>
      <c r="P828" s="68"/>
      <c r="Q828" s="68"/>
      <c r="R828" s="68"/>
      <c r="S828" s="68"/>
    </row>
    <row r="829" spans="1:19" ht="15.75" customHeight="1">
      <c r="A829" s="68"/>
      <c r="B829" s="68"/>
      <c r="D829" s="68"/>
      <c r="E829" s="69"/>
      <c r="M829" s="68"/>
      <c r="O829" s="68"/>
      <c r="P829" s="68"/>
      <c r="Q829" s="68"/>
      <c r="R829" s="68"/>
      <c r="S829" s="68"/>
    </row>
    <row r="830" spans="1:19" ht="15.75" customHeight="1">
      <c r="A830" s="68"/>
      <c r="B830" s="68"/>
      <c r="D830" s="68"/>
      <c r="E830" s="69"/>
      <c r="M830" s="68"/>
      <c r="O830" s="68"/>
      <c r="P830" s="68"/>
      <c r="Q830" s="68"/>
      <c r="R830" s="68"/>
      <c r="S830" s="68"/>
    </row>
    <row r="831" spans="1:19" ht="15.75" customHeight="1">
      <c r="A831" s="68"/>
      <c r="B831" s="68"/>
      <c r="D831" s="68"/>
      <c r="E831" s="69"/>
      <c r="M831" s="68"/>
      <c r="O831" s="68"/>
      <c r="P831" s="68"/>
      <c r="Q831" s="68"/>
      <c r="R831" s="68"/>
      <c r="S831" s="68"/>
    </row>
    <row r="832" spans="1:19" ht="15.75" customHeight="1">
      <c r="A832" s="68"/>
      <c r="B832" s="68"/>
      <c r="D832" s="68"/>
      <c r="E832" s="69"/>
      <c r="M832" s="68"/>
      <c r="O832" s="68"/>
      <c r="P832" s="68"/>
      <c r="Q832" s="68"/>
      <c r="R832" s="68"/>
      <c r="S832" s="68"/>
    </row>
    <row r="833" spans="1:19" ht="15.75" customHeight="1">
      <c r="A833" s="68"/>
      <c r="B833" s="68"/>
      <c r="D833" s="68"/>
      <c r="E833" s="69"/>
      <c r="M833" s="68"/>
      <c r="O833" s="68"/>
      <c r="P833" s="68"/>
      <c r="Q833" s="68"/>
      <c r="R833" s="68"/>
      <c r="S833" s="68"/>
    </row>
    <row r="834" spans="1:19" ht="15.75" customHeight="1">
      <c r="A834" s="68"/>
      <c r="B834" s="68"/>
      <c r="D834" s="68"/>
      <c r="E834" s="69"/>
      <c r="M834" s="68"/>
      <c r="O834" s="68"/>
      <c r="P834" s="68"/>
      <c r="Q834" s="68"/>
      <c r="R834" s="68"/>
      <c r="S834" s="68"/>
    </row>
    <row r="835" spans="1:19" ht="15.75" customHeight="1">
      <c r="A835" s="68"/>
      <c r="B835" s="68"/>
      <c r="D835" s="68"/>
      <c r="E835" s="69"/>
      <c r="M835" s="68"/>
      <c r="O835" s="68"/>
      <c r="P835" s="68"/>
      <c r="Q835" s="68"/>
      <c r="R835" s="68"/>
      <c r="S835" s="68"/>
    </row>
    <row r="836" spans="1:19" ht="15.75" customHeight="1">
      <c r="A836" s="68"/>
      <c r="B836" s="68"/>
      <c r="D836" s="68"/>
      <c r="E836" s="69"/>
      <c r="M836" s="68"/>
      <c r="O836" s="68"/>
      <c r="P836" s="68"/>
      <c r="Q836" s="68"/>
      <c r="R836" s="68"/>
      <c r="S836" s="68"/>
    </row>
    <row r="837" spans="1:19" ht="15.75" customHeight="1">
      <c r="A837" s="68"/>
      <c r="B837" s="68"/>
      <c r="D837" s="68"/>
      <c r="E837" s="69"/>
      <c r="M837" s="68"/>
      <c r="O837" s="68"/>
      <c r="P837" s="68"/>
      <c r="Q837" s="68"/>
      <c r="R837" s="68"/>
      <c r="S837" s="68"/>
    </row>
    <row r="838" spans="1:19" ht="15.75" customHeight="1">
      <c r="A838" s="68"/>
      <c r="B838" s="68"/>
      <c r="D838" s="68"/>
      <c r="E838" s="69"/>
      <c r="M838" s="68"/>
      <c r="O838" s="68"/>
      <c r="P838" s="68"/>
      <c r="Q838" s="68"/>
      <c r="R838" s="68"/>
      <c r="S838" s="68"/>
    </row>
    <row r="839" spans="1:19" ht="15.75" customHeight="1">
      <c r="A839" s="68"/>
      <c r="B839" s="68"/>
      <c r="D839" s="68"/>
      <c r="E839" s="69"/>
      <c r="M839" s="68"/>
      <c r="O839" s="68"/>
      <c r="P839" s="68"/>
      <c r="Q839" s="68"/>
      <c r="R839" s="68"/>
      <c r="S839" s="68"/>
    </row>
    <row r="840" spans="1:19" ht="15.75" customHeight="1">
      <c r="A840" s="68"/>
      <c r="B840" s="68"/>
      <c r="D840" s="68"/>
      <c r="E840" s="69"/>
      <c r="M840" s="68"/>
      <c r="O840" s="68"/>
      <c r="P840" s="68"/>
      <c r="Q840" s="68"/>
      <c r="R840" s="68"/>
      <c r="S840" s="68"/>
    </row>
    <row r="841" spans="1:19" ht="15.75" customHeight="1">
      <c r="A841" s="68"/>
      <c r="B841" s="68"/>
      <c r="D841" s="68"/>
      <c r="E841" s="69"/>
      <c r="M841" s="68"/>
      <c r="O841" s="68"/>
      <c r="P841" s="68"/>
      <c r="Q841" s="68"/>
      <c r="R841" s="68"/>
      <c r="S841" s="68"/>
    </row>
    <row r="842" spans="1:19" ht="15.75" customHeight="1">
      <c r="A842" s="68"/>
      <c r="B842" s="68"/>
      <c r="D842" s="68"/>
      <c r="E842" s="69"/>
      <c r="M842" s="68"/>
      <c r="O842" s="68"/>
      <c r="P842" s="68"/>
      <c r="Q842" s="68"/>
      <c r="R842" s="68"/>
      <c r="S842" s="68"/>
    </row>
    <row r="843" spans="1:19" ht="15.75" customHeight="1">
      <c r="A843" s="68"/>
      <c r="B843" s="68"/>
      <c r="D843" s="68"/>
      <c r="E843" s="69"/>
      <c r="M843" s="68"/>
      <c r="O843" s="68"/>
      <c r="P843" s="68"/>
      <c r="Q843" s="68"/>
      <c r="R843" s="68"/>
      <c r="S843" s="68"/>
    </row>
    <row r="844" spans="1:19" ht="15.75" customHeight="1">
      <c r="A844" s="68"/>
      <c r="B844" s="68"/>
      <c r="D844" s="68"/>
      <c r="E844" s="69"/>
      <c r="M844" s="68"/>
      <c r="O844" s="68"/>
      <c r="P844" s="68"/>
      <c r="Q844" s="68"/>
      <c r="R844" s="68"/>
      <c r="S844" s="68"/>
    </row>
    <row r="845" spans="1:19" ht="15.75" customHeight="1">
      <c r="A845" s="68"/>
      <c r="B845" s="68"/>
      <c r="D845" s="68"/>
      <c r="E845" s="69"/>
      <c r="M845" s="68"/>
      <c r="O845" s="68"/>
      <c r="P845" s="68"/>
      <c r="Q845" s="68"/>
      <c r="R845" s="68"/>
      <c r="S845" s="68"/>
    </row>
    <row r="846" spans="1:19" ht="15.75" customHeight="1">
      <c r="A846" s="68"/>
      <c r="B846" s="68"/>
      <c r="D846" s="68"/>
      <c r="E846" s="69"/>
      <c r="M846" s="68"/>
      <c r="O846" s="68"/>
      <c r="P846" s="68"/>
      <c r="Q846" s="68"/>
      <c r="R846" s="68"/>
      <c r="S846" s="68"/>
    </row>
    <row r="847" spans="1:19" ht="15.75" customHeight="1">
      <c r="A847" s="68"/>
      <c r="B847" s="68"/>
      <c r="D847" s="68"/>
      <c r="E847" s="69"/>
      <c r="M847" s="68"/>
      <c r="O847" s="68"/>
      <c r="P847" s="68"/>
      <c r="Q847" s="68"/>
      <c r="R847" s="68"/>
      <c r="S847" s="68"/>
    </row>
    <row r="848" spans="1:19" ht="15.75" customHeight="1">
      <c r="A848" s="68"/>
      <c r="B848" s="68"/>
      <c r="D848" s="68"/>
      <c r="E848" s="69"/>
      <c r="M848" s="68"/>
      <c r="O848" s="68"/>
      <c r="P848" s="68"/>
      <c r="Q848" s="68"/>
      <c r="R848" s="68"/>
      <c r="S848" s="68"/>
    </row>
    <row r="849" spans="1:19" ht="15.75" customHeight="1">
      <c r="A849" s="68"/>
      <c r="B849" s="68"/>
      <c r="D849" s="68"/>
      <c r="E849" s="69"/>
      <c r="M849" s="68"/>
      <c r="O849" s="68"/>
      <c r="P849" s="68"/>
      <c r="Q849" s="68"/>
      <c r="R849" s="68"/>
      <c r="S849" s="68"/>
    </row>
    <row r="850" spans="1:19" ht="15.75" customHeight="1">
      <c r="A850" s="68"/>
      <c r="B850" s="68"/>
      <c r="D850" s="68"/>
      <c r="E850" s="69"/>
      <c r="M850" s="68"/>
      <c r="O850" s="68"/>
      <c r="P850" s="68"/>
      <c r="Q850" s="68"/>
      <c r="R850" s="68"/>
      <c r="S850" s="68"/>
    </row>
    <row r="851" spans="1:19" ht="15.75" customHeight="1">
      <c r="A851" s="68"/>
      <c r="B851" s="68"/>
      <c r="D851" s="68"/>
      <c r="E851" s="69"/>
      <c r="M851" s="68"/>
      <c r="O851" s="68"/>
      <c r="P851" s="68"/>
      <c r="Q851" s="68"/>
      <c r="R851" s="68"/>
      <c r="S851" s="68"/>
    </row>
    <row r="852" spans="1:19" ht="15.75" customHeight="1">
      <c r="A852" s="68"/>
      <c r="B852" s="68"/>
      <c r="D852" s="68"/>
      <c r="E852" s="69"/>
      <c r="M852" s="68"/>
      <c r="O852" s="68"/>
      <c r="P852" s="68"/>
      <c r="Q852" s="68"/>
      <c r="R852" s="68"/>
      <c r="S852" s="68"/>
    </row>
    <row r="853" spans="1:19" ht="15.75" customHeight="1">
      <c r="A853" s="68"/>
      <c r="B853" s="68"/>
      <c r="D853" s="68"/>
      <c r="E853" s="69"/>
      <c r="M853" s="68"/>
      <c r="O853" s="68"/>
      <c r="P853" s="68"/>
      <c r="Q853" s="68"/>
      <c r="R853" s="68"/>
      <c r="S853" s="68"/>
    </row>
    <row r="854" spans="1:19" ht="15.75" customHeight="1">
      <c r="A854" s="68"/>
      <c r="B854" s="68"/>
      <c r="D854" s="68"/>
      <c r="E854" s="69"/>
      <c r="M854" s="68"/>
      <c r="O854" s="68"/>
      <c r="P854" s="68"/>
      <c r="Q854" s="68"/>
      <c r="R854" s="68"/>
      <c r="S854" s="68"/>
    </row>
    <row r="855" spans="1:19" ht="15.75" customHeight="1">
      <c r="A855" s="68"/>
      <c r="B855" s="68"/>
      <c r="D855" s="68"/>
      <c r="E855" s="69"/>
      <c r="M855" s="68"/>
      <c r="O855" s="68"/>
      <c r="P855" s="68"/>
      <c r="Q855" s="68"/>
      <c r="R855" s="68"/>
      <c r="S855" s="68"/>
    </row>
    <row r="856" spans="1:19" ht="15.75" customHeight="1">
      <c r="A856" s="68"/>
      <c r="B856" s="68"/>
      <c r="D856" s="68"/>
      <c r="E856" s="69"/>
      <c r="M856" s="68"/>
      <c r="O856" s="68"/>
      <c r="P856" s="68"/>
      <c r="Q856" s="68"/>
      <c r="R856" s="68"/>
      <c r="S856" s="68"/>
    </row>
    <row r="857" spans="1:19" ht="15.75" customHeight="1">
      <c r="A857" s="68"/>
      <c r="B857" s="68"/>
      <c r="D857" s="68"/>
      <c r="E857" s="69"/>
      <c r="M857" s="68"/>
      <c r="O857" s="68"/>
      <c r="P857" s="68"/>
      <c r="Q857" s="68"/>
      <c r="R857" s="68"/>
      <c r="S857" s="68"/>
    </row>
    <row r="858" spans="1:19" ht="15.75" customHeight="1">
      <c r="A858" s="68"/>
      <c r="B858" s="68"/>
      <c r="D858" s="68"/>
      <c r="E858" s="69"/>
      <c r="M858" s="68"/>
      <c r="O858" s="68"/>
      <c r="P858" s="68"/>
      <c r="Q858" s="68"/>
      <c r="R858" s="68"/>
      <c r="S858" s="68"/>
    </row>
    <row r="859" spans="1:19" ht="15.75" customHeight="1">
      <c r="A859" s="68"/>
      <c r="B859" s="68"/>
      <c r="D859" s="68"/>
      <c r="E859" s="69"/>
      <c r="M859" s="68"/>
      <c r="O859" s="68"/>
      <c r="P859" s="68"/>
      <c r="Q859" s="68"/>
      <c r="R859" s="68"/>
      <c r="S859" s="68"/>
    </row>
    <row r="860" spans="1:19" ht="15.75" customHeight="1">
      <c r="A860" s="68"/>
      <c r="B860" s="68"/>
      <c r="D860" s="68"/>
      <c r="E860" s="69"/>
      <c r="M860" s="68"/>
      <c r="O860" s="68"/>
      <c r="P860" s="68"/>
      <c r="Q860" s="68"/>
      <c r="R860" s="68"/>
      <c r="S860" s="68"/>
    </row>
    <row r="861" spans="1:19" ht="15.75" customHeight="1">
      <c r="A861" s="68"/>
      <c r="B861" s="68"/>
      <c r="D861" s="68"/>
      <c r="E861" s="69"/>
      <c r="M861" s="68"/>
      <c r="O861" s="68"/>
      <c r="P861" s="68"/>
      <c r="Q861" s="68"/>
      <c r="R861" s="68"/>
      <c r="S861" s="68"/>
    </row>
    <row r="862" spans="1:19" ht="15.75" customHeight="1">
      <c r="A862" s="68"/>
      <c r="B862" s="68"/>
      <c r="D862" s="68"/>
      <c r="E862" s="69"/>
      <c r="M862" s="68"/>
      <c r="O862" s="68"/>
      <c r="P862" s="68"/>
      <c r="Q862" s="68"/>
      <c r="R862" s="68"/>
      <c r="S862" s="68"/>
    </row>
    <row r="863" spans="1:19" ht="15.75" customHeight="1">
      <c r="A863" s="68"/>
      <c r="B863" s="68"/>
      <c r="D863" s="68"/>
      <c r="E863" s="69"/>
      <c r="M863" s="68"/>
      <c r="O863" s="68"/>
      <c r="P863" s="68"/>
      <c r="Q863" s="68"/>
      <c r="R863" s="68"/>
      <c r="S863" s="68"/>
    </row>
    <row r="864" spans="1:19" ht="15.75" customHeight="1">
      <c r="A864" s="68"/>
      <c r="B864" s="68"/>
      <c r="D864" s="68"/>
      <c r="E864" s="69"/>
      <c r="M864" s="68"/>
      <c r="O864" s="68"/>
      <c r="P864" s="68"/>
      <c r="Q864" s="68"/>
      <c r="R864" s="68"/>
      <c r="S864" s="68"/>
    </row>
    <row r="865" spans="1:19" ht="15.75" customHeight="1">
      <c r="A865" s="68"/>
      <c r="B865" s="68"/>
      <c r="D865" s="68"/>
      <c r="E865" s="69"/>
      <c r="M865" s="68"/>
      <c r="O865" s="68"/>
      <c r="P865" s="68"/>
      <c r="Q865" s="68"/>
      <c r="R865" s="68"/>
      <c r="S865" s="68"/>
    </row>
    <row r="866" spans="1:19" ht="15.75" customHeight="1">
      <c r="A866" s="68"/>
      <c r="B866" s="68"/>
      <c r="D866" s="68"/>
      <c r="E866" s="69"/>
      <c r="M866" s="68"/>
      <c r="O866" s="68"/>
      <c r="P866" s="68"/>
      <c r="Q866" s="68"/>
      <c r="R866" s="68"/>
      <c r="S866" s="68"/>
    </row>
    <row r="867" spans="1:19" ht="15.75" customHeight="1">
      <c r="A867" s="68"/>
      <c r="B867" s="68"/>
      <c r="D867" s="68"/>
      <c r="E867" s="69"/>
      <c r="M867" s="68"/>
      <c r="O867" s="68"/>
      <c r="P867" s="68"/>
      <c r="Q867" s="68"/>
      <c r="R867" s="68"/>
      <c r="S867" s="68"/>
    </row>
    <row r="868" spans="1:19" ht="15.75" customHeight="1">
      <c r="A868" s="68"/>
      <c r="B868" s="68"/>
      <c r="D868" s="68"/>
      <c r="E868" s="69"/>
      <c r="M868" s="68"/>
      <c r="O868" s="68"/>
      <c r="P868" s="68"/>
      <c r="Q868" s="68"/>
      <c r="R868" s="68"/>
      <c r="S868" s="68"/>
    </row>
    <row r="869" spans="1:19" ht="15.75" customHeight="1">
      <c r="A869" s="68"/>
      <c r="B869" s="68"/>
      <c r="D869" s="68"/>
      <c r="E869" s="69"/>
      <c r="M869" s="68"/>
      <c r="O869" s="68"/>
      <c r="P869" s="68"/>
      <c r="Q869" s="68"/>
      <c r="R869" s="68"/>
      <c r="S869" s="68"/>
    </row>
    <row r="870" spans="1:19" ht="15.75" customHeight="1">
      <c r="A870" s="68"/>
      <c r="B870" s="68"/>
      <c r="D870" s="68"/>
      <c r="E870" s="69"/>
      <c r="M870" s="68"/>
      <c r="O870" s="68"/>
      <c r="P870" s="68"/>
      <c r="Q870" s="68"/>
      <c r="R870" s="68"/>
      <c r="S870" s="68"/>
    </row>
    <row r="871" spans="1:19" ht="15.75" customHeight="1">
      <c r="A871" s="68"/>
      <c r="B871" s="68"/>
      <c r="D871" s="68"/>
      <c r="E871" s="69"/>
      <c r="M871" s="68"/>
      <c r="O871" s="68"/>
      <c r="P871" s="68"/>
      <c r="Q871" s="68"/>
      <c r="R871" s="68"/>
      <c r="S871" s="68"/>
    </row>
    <row r="872" spans="1:19" ht="15.75" customHeight="1">
      <c r="A872" s="68"/>
      <c r="B872" s="68"/>
      <c r="D872" s="68"/>
      <c r="E872" s="69"/>
      <c r="M872" s="68"/>
      <c r="O872" s="68"/>
      <c r="P872" s="68"/>
      <c r="Q872" s="68"/>
      <c r="R872" s="68"/>
      <c r="S872" s="68"/>
    </row>
    <row r="873" spans="1:19" ht="15.75" customHeight="1">
      <c r="A873" s="68"/>
      <c r="B873" s="68"/>
      <c r="D873" s="68"/>
      <c r="E873" s="69"/>
      <c r="M873" s="68"/>
      <c r="O873" s="68"/>
      <c r="P873" s="68"/>
      <c r="Q873" s="68"/>
      <c r="R873" s="68"/>
      <c r="S873" s="68"/>
    </row>
    <row r="874" spans="1:19" ht="15.75" customHeight="1">
      <c r="A874" s="68"/>
      <c r="B874" s="68"/>
      <c r="D874" s="68"/>
      <c r="E874" s="69"/>
      <c r="M874" s="68"/>
      <c r="O874" s="68"/>
      <c r="P874" s="68"/>
      <c r="Q874" s="68"/>
      <c r="R874" s="68"/>
      <c r="S874" s="68"/>
    </row>
    <row r="875" spans="1:19" ht="15.75" customHeight="1">
      <c r="A875" s="68"/>
      <c r="B875" s="68"/>
      <c r="D875" s="68"/>
      <c r="E875" s="69"/>
      <c r="M875" s="68"/>
      <c r="O875" s="68"/>
      <c r="P875" s="68"/>
      <c r="Q875" s="68"/>
      <c r="R875" s="68"/>
      <c r="S875" s="68"/>
    </row>
    <row r="876" spans="1:19" ht="15.75" customHeight="1">
      <c r="A876" s="68"/>
      <c r="B876" s="68"/>
      <c r="D876" s="68"/>
      <c r="E876" s="69"/>
      <c r="M876" s="68"/>
      <c r="O876" s="68"/>
      <c r="P876" s="68"/>
      <c r="Q876" s="68"/>
      <c r="R876" s="68"/>
      <c r="S876" s="68"/>
    </row>
    <row r="877" spans="1:19" ht="15.75" customHeight="1">
      <c r="A877" s="68"/>
      <c r="B877" s="68"/>
      <c r="D877" s="68"/>
      <c r="E877" s="69"/>
      <c r="M877" s="68"/>
      <c r="O877" s="68"/>
      <c r="P877" s="68"/>
      <c r="Q877" s="68"/>
      <c r="R877" s="68"/>
      <c r="S877" s="68"/>
    </row>
    <row r="878" spans="1:19" ht="15.75" customHeight="1">
      <c r="A878" s="68"/>
      <c r="B878" s="68"/>
      <c r="D878" s="68"/>
      <c r="E878" s="69"/>
      <c r="M878" s="68"/>
      <c r="O878" s="68"/>
      <c r="P878" s="68"/>
      <c r="Q878" s="68"/>
      <c r="R878" s="68"/>
      <c r="S878" s="68"/>
    </row>
    <row r="879" spans="1:19" ht="15.75" customHeight="1">
      <c r="A879" s="68"/>
      <c r="B879" s="68"/>
      <c r="D879" s="68"/>
      <c r="E879" s="69"/>
      <c r="M879" s="68"/>
      <c r="O879" s="68"/>
      <c r="P879" s="68"/>
      <c r="Q879" s="68"/>
      <c r="R879" s="68"/>
      <c r="S879" s="68"/>
    </row>
    <row r="880" spans="1:19" ht="15.75" customHeight="1">
      <c r="A880" s="68"/>
      <c r="B880" s="68"/>
      <c r="D880" s="68"/>
      <c r="E880" s="69"/>
      <c r="M880" s="68"/>
      <c r="O880" s="68"/>
      <c r="P880" s="68"/>
      <c r="Q880" s="68"/>
      <c r="R880" s="68"/>
      <c r="S880" s="68"/>
    </row>
    <row r="881" spans="1:19" ht="15.75" customHeight="1">
      <c r="A881" s="68"/>
      <c r="B881" s="68"/>
      <c r="D881" s="68"/>
      <c r="E881" s="69"/>
      <c r="M881" s="68"/>
      <c r="O881" s="68"/>
      <c r="P881" s="68"/>
      <c r="Q881" s="68"/>
      <c r="R881" s="68"/>
      <c r="S881" s="68"/>
    </row>
    <row r="882" spans="1:19" ht="15.75" customHeight="1">
      <c r="A882" s="68"/>
      <c r="B882" s="68"/>
      <c r="D882" s="68"/>
      <c r="E882" s="69"/>
      <c r="M882" s="68"/>
      <c r="O882" s="68"/>
      <c r="P882" s="68"/>
      <c r="Q882" s="68"/>
      <c r="R882" s="68"/>
      <c r="S882" s="68"/>
    </row>
    <row r="883" spans="1:19" ht="15.75" customHeight="1">
      <c r="A883" s="68"/>
      <c r="B883" s="68"/>
      <c r="D883" s="68"/>
      <c r="E883" s="69"/>
      <c r="M883" s="68"/>
      <c r="O883" s="68"/>
      <c r="P883" s="68"/>
      <c r="Q883" s="68"/>
      <c r="R883" s="68"/>
      <c r="S883" s="68"/>
    </row>
    <row r="884" spans="1:19" ht="15.75" customHeight="1">
      <c r="A884" s="68"/>
      <c r="B884" s="68"/>
      <c r="D884" s="68"/>
      <c r="E884" s="69"/>
      <c r="M884" s="68"/>
      <c r="O884" s="68"/>
      <c r="P884" s="68"/>
      <c r="Q884" s="68"/>
      <c r="R884" s="68"/>
      <c r="S884" s="68"/>
    </row>
    <row r="885" spans="1:19" ht="15.75" customHeight="1">
      <c r="A885" s="68"/>
      <c r="B885" s="68"/>
      <c r="D885" s="68"/>
      <c r="E885" s="69"/>
      <c r="M885" s="68"/>
      <c r="O885" s="68"/>
      <c r="P885" s="68"/>
      <c r="Q885" s="68"/>
      <c r="R885" s="68"/>
      <c r="S885" s="68"/>
    </row>
    <row r="886" spans="1:19" ht="15.75" customHeight="1">
      <c r="A886" s="68"/>
      <c r="B886" s="68"/>
      <c r="D886" s="68"/>
      <c r="E886" s="69"/>
      <c r="M886" s="68"/>
      <c r="O886" s="68"/>
      <c r="P886" s="68"/>
      <c r="Q886" s="68"/>
      <c r="R886" s="68"/>
      <c r="S886" s="68"/>
    </row>
    <row r="887" spans="1:19" ht="15.75" customHeight="1">
      <c r="A887" s="68"/>
      <c r="B887" s="68"/>
      <c r="D887" s="68"/>
      <c r="E887" s="69"/>
      <c r="M887" s="68"/>
      <c r="O887" s="68"/>
      <c r="P887" s="68"/>
      <c r="Q887" s="68"/>
      <c r="R887" s="68"/>
      <c r="S887" s="68"/>
    </row>
    <row r="888" spans="1:19" ht="15.75" customHeight="1">
      <c r="A888" s="68"/>
      <c r="B888" s="68"/>
      <c r="D888" s="68"/>
      <c r="E888" s="69"/>
      <c r="M888" s="68"/>
      <c r="O888" s="68"/>
      <c r="P888" s="68"/>
      <c r="Q888" s="68"/>
      <c r="R888" s="68"/>
      <c r="S888" s="68"/>
    </row>
    <row r="889" spans="1:19" ht="15.75" customHeight="1">
      <c r="A889" s="68"/>
      <c r="B889" s="68"/>
      <c r="D889" s="68"/>
      <c r="E889" s="69"/>
      <c r="M889" s="68"/>
      <c r="O889" s="68"/>
      <c r="P889" s="68"/>
      <c r="Q889" s="68"/>
      <c r="R889" s="68"/>
      <c r="S889" s="68"/>
    </row>
    <row r="890" spans="1:19" ht="15.75" customHeight="1">
      <c r="A890" s="68"/>
      <c r="B890" s="68"/>
      <c r="D890" s="68"/>
      <c r="E890" s="69"/>
      <c r="M890" s="68"/>
      <c r="O890" s="68"/>
      <c r="P890" s="68"/>
      <c r="Q890" s="68"/>
      <c r="R890" s="68"/>
      <c r="S890" s="68"/>
    </row>
    <row r="891" spans="1:19" ht="15.75" customHeight="1">
      <c r="A891" s="68"/>
      <c r="B891" s="68"/>
      <c r="D891" s="68"/>
      <c r="E891" s="69"/>
      <c r="M891" s="68"/>
      <c r="O891" s="68"/>
      <c r="P891" s="68"/>
      <c r="Q891" s="68"/>
      <c r="R891" s="68"/>
      <c r="S891" s="68"/>
    </row>
    <row r="892" spans="1:19" ht="15.75" customHeight="1">
      <c r="A892" s="68"/>
      <c r="B892" s="68"/>
      <c r="D892" s="68"/>
      <c r="E892" s="69"/>
      <c r="M892" s="68"/>
      <c r="O892" s="68"/>
      <c r="P892" s="68"/>
      <c r="Q892" s="68"/>
      <c r="R892" s="68"/>
      <c r="S892" s="68"/>
    </row>
    <row r="893" spans="1:19" ht="15.75" customHeight="1">
      <c r="A893" s="68"/>
      <c r="B893" s="68"/>
      <c r="D893" s="68"/>
      <c r="E893" s="69"/>
      <c r="M893" s="68"/>
      <c r="O893" s="68"/>
      <c r="P893" s="68"/>
      <c r="Q893" s="68"/>
      <c r="R893" s="68"/>
      <c r="S893" s="68"/>
    </row>
    <row r="894" spans="1:19" ht="15.75" customHeight="1">
      <c r="A894" s="68"/>
      <c r="B894" s="68"/>
      <c r="D894" s="68"/>
      <c r="E894" s="69"/>
      <c r="M894" s="68"/>
      <c r="O894" s="68"/>
      <c r="P894" s="68"/>
      <c r="Q894" s="68"/>
      <c r="R894" s="68"/>
      <c r="S894" s="68"/>
    </row>
    <row r="895" spans="1:19" ht="15.75" customHeight="1">
      <c r="A895" s="68"/>
      <c r="B895" s="68"/>
      <c r="D895" s="68"/>
      <c r="E895" s="69"/>
      <c r="M895" s="68"/>
      <c r="O895" s="68"/>
      <c r="P895" s="68"/>
      <c r="Q895" s="68"/>
      <c r="R895" s="68"/>
      <c r="S895" s="68"/>
    </row>
    <row r="896" spans="1:19" ht="15.75" customHeight="1">
      <c r="A896" s="68"/>
      <c r="B896" s="68"/>
      <c r="D896" s="68"/>
      <c r="E896" s="69"/>
      <c r="M896" s="68"/>
      <c r="O896" s="68"/>
      <c r="P896" s="68"/>
      <c r="Q896" s="68"/>
      <c r="R896" s="68"/>
      <c r="S896" s="68"/>
    </row>
    <row r="897" spans="1:19" ht="15.75" customHeight="1">
      <c r="A897" s="68"/>
      <c r="B897" s="68"/>
      <c r="D897" s="68"/>
      <c r="E897" s="69"/>
      <c r="M897" s="68"/>
      <c r="O897" s="68"/>
      <c r="P897" s="68"/>
      <c r="Q897" s="68"/>
      <c r="R897" s="68"/>
      <c r="S897" s="68"/>
    </row>
    <row r="898" spans="1:19" ht="15.75" customHeight="1">
      <c r="A898" s="68"/>
      <c r="B898" s="68"/>
      <c r="D898" s="68"/>
      <c r="E898" s="69"/>
      <c r="M898" s="68"/>
      <c r="O898" s="68"/>
      <c r="P898" s="68"/>
      <c r="Q898" s="68"/>
      <c r="R898" s="68"/>
      <c r="S898" s="68"/>
    </row>
    <row r="899" spans="1:19" ht="15.75" customHeight="1">
      <c r="A899" s="68"/>
      <c r="B899" s="68"/>
      <c r="D899" s="68"/>
      <c r="E899" s="69"/>
      <c r="M899" s="68"/>
      <c r="O899" s="68"/>
      <c r="P899" s="68"/>
      <c r="Q899" s="68"/>
      <c r="R899" s="68"/>
      <c r="S899" s="68"/>
    </row>
    <row r="900" spans="1:19" ht="15.75" customHeight="1">
      <c r="A900" s="68"/>
      <c r="B900" s="68"/>
      <c r="D900" s="68"/>
      <c r="E900" s="69"/>
      <c r="M900" s="68"/>
      <c r="O900" s="68"/>
      <c r="P900" s="68"/>
      <c r="Q900" s="68"/>
      <c r="R900" s="68"/>
      <c r="S900" s="68"/>
    </row>
    <row r="901" spans="1:19" ht="15.75" customHeight="1">
      <c r="A901" s="68"/>
      <c r="B901" s="68"/>
      <c r="D901" s="68"/>
      <c r="E901" s="69"/>
      <c r="M901" s="68"/>
      <c r="O901" s="68"/>
      <c r="P901" s="68"/>
      <c r="Q901" s="68"/>
      <c r="R901" s="68"/>
      <c r="S901" s="68"/>
    </row>
    <row r="902" spans="1:19" ht="15.75" customHeight="1">
      <c r="A902" s="68"/>
      <c r="B902" s="68"/>
      <c r="D902" s="68"/>
      <c r="E902" s="69"/>
      <c r="M902" s="68"/>
      <c r="O902" s="68"/>
      <c r="P902" s="68"/>
      <c r="Q902" s="68"/>
      <c r="R902" s="68"/>
      <c r="S902" s="68"/>
    </row>
    <row r="903" spans="1:19" ht="15.75" customHeight="1">
      <c r="A903" s="68"/>
      <c r="B903" s="68"/>
      <c r="D903" s="68"/>
      <c r="E903" s="69"/>
      <c r="M903" s="68"/>
      <c r="O903" s="68"/>
      <c r="P903" s="68"/>
      <c r="Q903" s="68"/>
      <c r="R903" s="68"/>
      <c r="S903" s="68"/>
    </row>
    <row r="904" spans="1:19" ht="15.75" customHeight="1">
      <c r="A904" s="68"/>
      <c r="B904" s="68"/>
      <c r="D904" s="68"/>
      <c r="E904" s="69"/>
      <c r="M904" s="68"/>
      <c r="O904" s="68"/>
      <c r="P904" s="68"/>
      <c r="Q904" s="68"/>
      <c r="R904" s="68"/>
      <c r="S904" s="68"/>
    </row>
    <row r="905" spans="1:19" ht="15.75" customHeight="1">
      <c r="A905" s="68"/>
      <c r="B905" s="68"/>
      <c r="D905" s="68"/>
      <c r="E905" s="69"/>
      <c r="M905" s="68"/>
      <c r="O905" s="68"/>
      <c r="P905" s="68"/>
      <c r="Q905" s="68"/>
      <c r="R905" s="68"/>
      <c r="S905" s="68"/>
    </row>
    <row r="906" spans="1:19" ht="15.75" customHeight="1">
      <c r="A906" s="68"/>
      <c r="B906" s="68"/>
      <c r="D906" s="68"/>
      <c r="E906" s="69"/>
      <c r="M906" s="68"/>
      <c r="O906" s="68"/>
      <c r="P906" s="68"/>
      <c r="Q906" s="68"/>
      <c r="R906" s="68"/>
      <c r="S906" s="68"/>
    </row>
    <row r="907" spans="1:19" ht="15.75" customHeight="1">
      <c r="A907" s="68"/>
      <c r="B907" s="68"/>
      <c r="D907" s="68"/>
      <c r="E907" s="69"/>
      <c r="M907" s="68"/>
      <c r="O907" s="68"/>
      <c r="P907" s="68"/>
      <c r="Q907" s="68"/>
      <c r="R907" s="68"/>
      <c r="S907" s="68"/>
    </row>
    <row r="908" spans="1:19" ht="15.75" customHeight="1">
      <c r="A908" s="68"/>
      <c r="B908" s="68"/>
      <c r="D908" s="68"/>
      <c r="E908" s="69"/>
      <c r="M908" s="68"/>
      <c r="O908" s="68"/>
      <c r="P908" s="68"/>
      <c r="Q908" s="68"/>
      <c r="R908" s="68"/>
      <c r="S908" s="68"/>
    </row>
    <row r="909" spans="1:19" ht="15.75" customHeight="1">
      <c r="A909" s="68"/>
      <c r="B909" s="68"/>
      <c r="D909" s="68"/>
      <c r="E909" s="69"/>
      <c r="M909" s="68"/>
      <c r="O909" s="68"/>
      <c r="P909" s="68"/>
      <c r="Q909" s="68"/>
      <c r="R909" s="68"/>
      <c r="S909" s="68"/>
    </row>
    <row r="910" spans="1:19" ht="15.75" customHeight="1">
      <c r="A910" s="68"/>
      <c r="B910" s="68"/>
      <c r="D910" s="68"/>
      <c r="E910" s="69"/>
      <c r="M910" s="68"/>
      <c r="O910" s="68"/>
      <c r="P910" s="68"/>
      <c r="Q910" s="68"/>
      <c r="R910" s="68"/>
      <c r="S910" s="68"/>
    </row>
    <row r="911" spans="1:19" ht="15.75" customHeight="1">
      <c r="A911" s="68"/>
      <c r="B911" s="68"/>
      <c r="D911" s="68"/>
      <c r="E911" s="69"/>
      <c r="M911" s="68"/>
      <c r="O911" s="68"/>
      <c r="P911" s="68"/>
      <c r="Q911" s="68"/>
      <c r="R911" s="68"/>
      <c r="S911" s="68"/>
    </row>
    <row r="912" spans="1:19" ht="15.75" customHeight="1">
      <c r="A912" s="68"/>
      <c r="B912" s="68"/>
      <c r="D912" s="68"/>
      <c r="E912" s="69"/>
      <c r="M912" s="68"/>
      <c r="O912" s="68"/>
      <c r="P912" s="68"/>
      <c r="Q912" s="68"/>
      <c r="R912" s="68"/>
      <c r="S912" s="68"/>
    </row>
    <row r="913" spans="1:19" ht="15.75" customHeight="1">
      <c r="A913" s="68"/>
      <c r="B913" s="68"/>
      <c r="D913" s="68"/>
      <c r="E913" s="69"/>
      <c r="M913" s="68"/>
      <c r="O913" s="68"/>
      <c r="P913" s="68"/>
      <c r="Q913" s="68"/>
      <c r="R913" s="68"/>
      <c r="S913" s="68"/>
    </row>
    <row r="914" spans="1:19" ht="15.75" customHeight="1">
      <c r="A914" s="68"/>
      <c r="B914" s="68"/>
      <c r="D914" s="68"/>
      <c r="E914" s="69"/>
      <c r="M914" s="68"/>
      <c r="O914" s="68"/>
      <c r="P914" s="68"/>
      <c r="Q914" s="68"/>
      <c r="R914" s="68"/>
      <c r="S914" s="68"/>
    </row>
    <row r="915" spans="1:19" ht="15.75" customHeight="1">
      <c r="A915" s="68"/>
      <c r="B915" s="68"/>
      <c r="D915" s="68"/>
      <c r="E915" s="69"/>
      <c r="M915" s="68"/>
      <c r="O915" s="68"/>
      <c r="P915" s="68"/>
      <c r="Q915" s="68"/>
      <c r="R915" s="68"/>
      <c r="S915" s="68"/>
    </row>
    <row r="916" spans="1:19" ht="15.75" customHeight="1">
      <c r="A916" s="68"/>
      <c r="B916" s="68"/>
      <c r="D916" s="68"/>
      <c r="E916" s="69"/>
      <c r="M916" s="68"/>
      <c r="O916" s="68"/>
      <c r="P916" s="68"/>
      <c r="Q916" s="68"/>
      <c r="R916" s="68"/>
      <c r="S916" s="68"/>
    </row>
    <row r="917" spans="1:19" ht="15.75" customHeight="1">
      <c r="A917" s="68"/>
      <c r="B917" s="68"/>
      <c r="D917" s="68"/>
      <c r="E917" s="69"/>
      <c r="M917" s="68"/>
      <c r="O917" s="68"/>
      <c r="P917" s="68"/>
      <c r="Q917" s="68"/>
      <c r="R917" s="68"/>
      <c r="S917" s="68"/>
    </row>
    <row r="918" spans="1:19" ht="15.75" customHeight="1">
      <c r="A918" s="68"/>
      <c r="B918" s="68"/>
      <c r="D918" s="68"/>
      <c r="E918" s="69"/>
      <c r="M918" s="68"/>
      <c r="O918" s="68"/>
      <c r="P918" s="68"/>
      <c r="Q918" s="68"/>
      <c r="R918" s="68"/>
      <c r="S918" s="68"/>
    </row>
    <row r="919" spans="1:19" ht="15.75" customHeight="1">
      <c r="A919" s="68"/>
      <c r="B919" s="68"/>
      <c r="D919" s="68"/>
      <c r="E919" s="69"/>
      <c r="M919" s="68"/>
      <c r="O919" s="68"/>
      <c r="P919" s="68"/>
      <c r="Q919" s="68"/>
      <c r="R919" s="68"/>
      <c r="S919" s="68"/>
    </row>
    <row r="920" spans="1:19" ht="15.75" customHeight="1">
      <c r="A920" s="68"/>
      <c r="B920" s="68"/>
      <c r="D920" s="68"/>
      <c r="E920" s="69"/>
      <c r="M920" s="68"/>
      <c r="O920" s="68"/>
      <c r="P920" s="68"/>
      <c r="Q920" s="68"/>
      <c r="R920" s="68"/>
      <c r="S920" s="68"/>
    </row>
    <row r="921" spans="1:19" ht="15.75" customHeight="1">
      <c r="A921" s="68"/>
      <c r="B921" s="68"/>
      <c r="D921" s="68"/>
      <c r="E921" s="69"/>
      <c r="M921" s="68"/>
      <c r="O921" s="68"/>
      <c r="P921" s="68"/>
      <c r="Q921" s="68"/>
      <c r="R921" s="68"/>
      <c r="S921" s="68"/>
    </row>
    <row r="922" spans="1:19" ht="15.75" customHeight="1">
      <c r="A922" s="68"/>
      <c r="B922" s="68"/>
      <c r="D922" s="68"/>
      <c r="E922" s="69"/>
      <c r="M922" s="68"/>
      <c r="O922" s="68"/>
      <c r="P922" s="68"/>
      <c r="Q922" s="68"/>
      <c r="R922" s="68"/>
      <c r="S922" s="68"/>
    </row>
    <row r="923" spans="1:19" ht="15.75" customHeight="1">
      <c r="A923" s="68"/>
      <c r="B923" s="68"/>
      <c r="D923" s="68"/>
      <c r="E923" s="69"/>
      <c r="M923" s="68"/>
      <c r="O923" s="68"/>
      <c r="P923" s="68"/>
      <c r="Q923" s="68"/>
      <c r="R923" s="68"/>
      <c r="S923" s="68"/>
    </row>
    <row r="924" spans="1:19" ht="15.75" customHeight="1">
      <c r="A924" s="68"/>
      <c r="B924" s="68"/>
      <c r="D924" s="68"/>
      <c r="E924" s="69"/>
      <c r="M924" s="68"/>
      <c r="O924" s="68"/>
      <c r="P924" s="68"/>
      <c r="Q924" s="68"/>
      <c r="R924" s="68"/>
      <c r="S924" s="68"/>
    </row>
    <row r="925" spans="1:19" ht="15.75" customHeight="1">
      <c r="A925" s="68"/>
      <c r="B925" s="68"/>
      <c r="D925" s="68"/>
      <c r="E925" s="69"/>
      <c r="M925" s="68"/>
      <c r="O925" s="68"/>
      <c r="P925" s="68"/>
      <c r="Q925" s="68"/>
      <c r="R925" s="68"/>
      <c r="S925" s="68"/>
    </row>
    <row r="926" spans="1:19" ht="15.75" customHeight="1">
      <c r="A926" s="68"/>
      <c r="B926" s="68"/>
      <c r="D926" s="68"/>
      <c r="E926" s="69"/>
      <c r="M926" s="68"/>
      <c r="O926" s="68"/>
      <c r="P926" s="68"/>
      <c r="Q926" s="68"/>
      <c r="R926" s="68"/>
      <c r="S926" s="68"/>
    </row>
    <row r="927" spans="1:19" ht="15.75" customHeight="1">
      <c r="A927" s="68"/>
      <c r="B927" s="68"/>
      <c r="D927" s="68"/>
      <c r="E927" s="69"/>
      <c r="M927" s="68"/>
      <c r="O927" s="68"/>
      <c r="P927" s="68"/>
      <c r="Q927" s="68"/>
      <c r="R927" s="68"/>
      <c r="S927" s="68"/>
    </row>
    <row r="928" spans="1:19" ht="15.75" customHeight="1">
      <c r="A928" s="68"/>
      <c r="B928" s="68"/>
      <c r="D928" s="68"/>
      <c r="E928" s="69"/>
      <c r="M928" s="68"/>
      <c r="O928" s="68"/>
      <c r="P928" s="68"/>
      <c r="Q928" s="68"/>
      <c r="R928" s="68"/>
      <c r="S928" s="68"/>
    </row>
    <row r="929" spans="1:19" ht="15.75" customHeight="1">
      <c r="A929" s="68"/>
      <c r="B929" s="68"/>
      <c r="D929" s="68"/>
      <c r="E929" s="69"/>
      <c r="M929" s="68"/>
      <c r="O929" s="68"/>
      <c r="P929" s="68"/>
      <c r="Q929" s="68"/>
      <c r="R929" s="68"/>
      <c r="S929" s="68"/>
    </row>
    <row r="930" spans="1:19" ht="15.75" customHeight="1">
      <c r="A930" s="68"/>
      <c r="B930" s="68"/>
      <c r="D930" s="68"/>
      <c r="E930" s="69"/>
      <c r="M930" s="68"/>
      <c r="O930" s="68"/>
      <c r="P930" s="68"/>
      <c r="Q930" s="68"/>
      <c r="R930" s="68"/>
      <c r="S930" s="68"/>
    </row>
    <row r="931" spans="1:19" ht="15.75" customHeight="1">
      <c r="A931" s="68"/>
      <c r="B931" s="68"/>
      <c r="D931" s="68"/>
      <c r="E931" s="69"/>
      <c r="M931" s="68"/>
      <c r="O931" s="68"/>
      <c r="P931" s="68"/>
      <c r="Q931" s="68"/>
      <c r="R931" s="68"/>
      <c r="S931" s="68"/>
    </row>
    <row r="932" spans="1:19" ht="15.75" customHeight="1">
      <c r="A932" s="68"/>
      <c r="B932" s="68"/>
      <c r="D932" s="68"/>
      <c r="E932" s="69"/>
      <c r="M932" s="68"/>
      <c r="O932" s="68"/>
      <c r="P932" s="68"/>
      <c r="Q932" s="68"/>
      <c r="R932" s="68"/>
      <c r="S932" s="68"/>
    </row>
    <row r="933" spans="1:19" ht="15.75" customHeight="1">
      <c r="A933" s="68"/>
      <c r="B933" s="68"/>
      <c r="D933" s="68"/>
      <c r="E933" s="69"/>
      <c r="M933" s="68"/>
      <c r="O933" s="68"/>
      <c r="P933" s="68"/>
      <c r="Q933" s="68"/>
      <c r="R933" s="68"/>
      <c r="S933" s="68"/>
    </row>
    <row r="934" spans="1:19" ht="15.75" customHeight="1">
      <c r="A934" s="68"/>
      <c r="B934" s="68"/>
      <c r="D934" s="68"/>
      <c r="E934" s="69"/>
      <c r="M934" s="68"/>
      <c r="O934" s="68"/>
      <c r="P934" s="68"/>
      <c r="Q934" s="68"/>
      <c r="R934" s="68"/>
      <c r="S934" s="68"/>
    </row>
    <row r="935" spans="1:19" ht="15.75" customHeight="1">
      <c r="A935" s="68"/>
      <c r="B935" s="68"/>
      <c r="D935" s="68"/>
      <c r="E935" s="69"/>
      <c r="M935" s="68"/>
      <c r="O935" s="68"/>
      <c r="P935" s="68"/>
      <c r="Q935" s="68"/>
      <c r="R935" s="68"/>
      <c r="S935" s="68"/>
    </row>
    <row r="936" spans="1:19" ht="15.75" customHeight="1">
      <c r="A936" s="68"/>
      <c r="B936" s="68"/>
      <c r="D936" s="68"/>
      <c r="E936" s="69"/>
      <c r="M936" s="68"/>
      <c r="O936" s="68"/>
      <c r="P936" s="68"/>
      <c r="Q936" s="68"/>
      <c r="R936" s="68"/>
      <c r="S936" s="68"/>
    </row>
    <row r="937" spans="1:19" ht="15.75" customHeight="1">
      <c r="A937" s="68"/>
      <c r="B937" s="68"/>
      <c r="D937" s="68"/>
      <c r="E937" s="69"/>
      <c r="M937" s="68"/>
      <c r="O937" s="68"/>
      <c r="P937" s="68"/>
      <c r="Q937" s="68"/>
      <c r="R937" s="68"/>
      <c r="S937" s="68"/>
    </row>
    <row r="938" spans="1:19" ht="15.75" customHeight="1">
      <c r="A938" s="68"/>
      <c r="B938" s="68"/>
      <c r="D938" s="68"/>
      <c r="E938" s="69"/>
      <c r="M938" s="68"/>
      <c r="O938" s="68"/>
      <c r="P938" s="68"/>
      <c r="Q938" s="68"/>
      <c r="R938" s="68"/>
      <c r="S938" s="68"/>
    </row>
    <row r="939" spans="1:19" ht="15.75" customHeight="1">
      <c r="A939" s="68"/>
      <c r="B939" s="68"/>
      <c r="D939" s="68"/>
      <c r="E939" s="69"/>
      <c r="M939" s="68"/>
      <c r="O939" s="68"/>
      <c r="P939" s="68"/>
      <c r="Q939" s="68"/>
      <c r="R939" s="68"/>
      <c r="S939" s="68"/>
    </row>
    <row r="940" spans="1:19" ht="15.75" customHeight="1">
      <c r="A940" s="68"/>
      <c r="B940" s="68"/>
      <c r="D940" s="68"/>
      <c r="E940" s="69"/>
      <c r="M940" s="68"/>
      <c r="O940" s="68"/>
      <c r="P940" s="68"/>
      <c r="Q940" s="68"/>
      <c r="R940" s="68"/>
      <c r="S940" s="68"/>
    </row>
    <row r="941" spans="1:19" ht="15.75" customHeight="1">
      <c r="A941" s="68"/>
      <c r="B941" s="68"/>
      <c r="D941" s="68"/>
      <c r="E941" s="69"/>
      <c r="M941" s="68"/>
      <c r="O941" s="68"/>
      <c r="P941" s="68"/>
      <c r="Q941" s="68"/>
      <c r="R941" s="68"/>
      <c r="S941" s="68"/>
    </row>
    <row r="942" spans="1:19" ht="15.75" customHeight="1">
      <c r="A942" s="68"/>
      <c r="B942" s="68"/>
      <c r="D942" s="68"/>
      <c r="E942" s="69"/>
      <c r="M942" s="68"/>
      <c r="O942" s="68"/>
      <c r="P942" s="68"/>
      <c r="Q942" s="68"/>
      <c r="R942" s="68"/>
      <c r="S942" s="68"/>
    </row>
    <row r="943" spans="1:19" ht="15.75" customHeight="1">
      <c r="A943" s="68"/>
      <c r="B943" s="68"/>
      <c r="D943" s="68"/>
      <c r="E943" s="69"/>
      <c r="M943" s="68"/>
      <c r="O943" s="68"/>
      <c r="P943" s="68"/>
      <c r="Q943" s="68"/>
      <c r="R943" s="68"/>
      <c r="S943" s="68"/>
    </row>
    <row r="944" spans="1:19" ht="15.75" customHeight="1">
      <c r="A944" s="68"/>
      <c r="B944" s="68"/>
      <c r="D944" s="68"/>
      <c r="E944" s="69"/>
      <c r="M944" s="68"/>
      <c r="O944" s="68"/>
      <c r="P944" s="68"/>
      <c r="Q944" s="68"/>
      <c r="R944" s="68"/>
      <c r="S944" s="68"/>
    </row>
    <row r="945" spans="1:19" ht="15.75" customHeight="1">
      <c r="A945" s="68"/>
      <c r="B945" s="68"/>
      <c r="D945" s="68"/>
      <c r="E945" s="69"/>
      <c r="M945" s="68"/>
      <c r="O945" s="68"/>
      <c r="P945" s="68"/>
      <c r="Q945" s="68"/>
      <c r="R945" s="68"/>
      <c r="S945" s="68"/>
    </row>
    <row r="946" spans="1:19" ht="15.75" customHeight="1">
      <c r="A946" s="68"/>
      <c r="B946" s="68"/>
      <c r="D946" s="68"/>
      <c r="E946" s="69"/>
      <c r="M946" s="68"/>
      <c r="O946" s="68"/>
      <c r="P946" s="68"/>
      <c r="Q946" s="68"/>
      <c r="R946" s="68"/>
      <c r="S946" s="68"/>
    </row>
    <row r="947" spans="1:19" ht="15.75" customHeight="1">
      <c r="A947" s="68"/>
      <c r="B947" s="68"/>
      <c r="D947" s="68"/>
      <c r="E947" s="69"/>
      <c r="M947" s="68"/>
      <c r="O947" s="68"/>
      <c r="P947" s="68"/>
      <c r="Q947" s="68"/>
      <c r="R947" s="68"/>
      <c r="S947" s="68"/>
    </row>
    <row r="948" spans="1:19" ht="15.75" customHeight="1">
      <c r="A948" s="68"/>
      <c r="B948" s="68"/>
      <c r="D948" s="68"/>
      <c r="E948" s="69"/>
      <c r="M948" s="68"/>
      <c r="O948" s="68"/>
      <c r="P948" s="68"/>
      <c r="Q948" s="68"/>
      <c r="R948" s="68"/>
      <c r="S948" s="68"/>
    </row>
    <row r="949" spans="1:19" ht="15.75" customHeight="1">
      <c r="A949" s="68"/>
      <c r="B949" s="68"/>
      <c r="D949" s="68"/>
      <c r="E949" s="69"/>
      <c r="M949" s="68"/>
      <c r="O949" s="68"/>
      <c r="P949" s="68"/>
      <c r="Q949" s="68"/>
      <c r="R949" s="68"/>
      <c r="S949" s="68"/>
    </row>
    <row r="950" spans="1:19" ht="15.75" customHeight="1">
      <c r="A950" s="68"/>
      <c r="B950" s="68"/>
      <c r="D950" s="68"/>
      <c r="E950" s="69"/>
      <c r="M950" s="68"/>
      <c r="O950" s="68"/>
      <c r="P950" s="68"/>
      <c r="Q950" s="68"/>
      <c r="R950" s="68"/>
      <c r="S950" s="68"/>
    </row>
    <row r="951" spans="1:19" ht="15.75" customHeight="1">
      <c r="A951" s="68"/>
      <c r="B951" s="68"/>
      <c r="D951" s="68"/>
      <c r="E951" s="69"/>
      <c r="M951" s="68"/>
      <c r="O951" s="68"/>
      <c r="P951" s="68"/>
      <c r="Q951" s="68"/>
      <c r="R951" s="68"/>
      <c r="S951" s="68"/>
    </row>
    <row r="952" spans="1:19" ht="15.75" customHeight="1">
      <c r="A952" s="68"/>
      <c r="B952" s="68"/>
      <c r="D952" s="68"/>
      <c r="E952" s="69"/>
      <c r="M952" s="68"/>
      <c r="O952" s="68"/>
      <c r="P952" s="68"/>
      <c r="Q952" s="68"/>
      <c r="R952" s="68"/>
      <c r="S952" s="68"/>
    </row>
    <row r="953" spans="1:19" ht="15.75" customHeight="1">
      <c r="A953" s="68"/>
      <c r="B953" s="68"/>
      <c r="D953" s="68"/>
      <c r="E953" s="69"/>
      <c r="M953" s="68"/>
      <c r="O953" s="68"/>
      <c r="P953" s="68"/>
      <c r="Q953" s="68"/>
      <c r="R953" s="68"/>
      <c r="S953" s="68"/>
    </row>
    <row r="954" spans="1:19" ht="15.75" customHeight="1">
      <c r="A954" s="68"/>
      <c r="B954" s="68"/>
      <c r="D954" s="68"/>
      <c r="E954" s="69"/>
      <c r="M954" s="68"/>
      <c r="O954" s="68"/>
      <c r="P954" s="68"/>
      <c r="Q954" s="68"/>
      <c r="R954" s="68"/>
      <c r="S954" s="68"/>
    </row>
    <row r="955" spans="1:19" ht="15.75" customHeight="1">
      <c r="A955" s="68"/>
      <c r="B955" s="68"/>
      <c r="D955" s="68"/>
      <c r="E955" s="69"/>
      <c r="M955" s="68"/>
      <c r="O955" s="68"/>
      <c r="P955" s="68"/>
      <c r="Q955" s="68"/>
      <c r="R955" s="68"/>
      <c r="S955" s="68"/>
    </row>
    <row r="956" spans="1:19" ht="15.75" customHeight="1">
      <c r="A956" s="68"/>
      <c r="B956" s="68"/>
      <c r="D956" s="68"/>
      <c r="E956" s="69"/>
      <c r="M956" s="68"/>
      <c r="O956" s="68"/>
      <c r="P956" s="68"/>
      <c r="Q956" s="68"/>
      <c r="R956" s="68"/>
      <c r="S956" s="68"/>
    </row>
    <row r="957" spans="1:19" ht="15.75" customHeight="1">
      <c r="A957" s="68"/>
      <c r="B957" s="68"/>
      <c r="D957" s="68"/>
      <c r="E957" s="69"/>
      <c r="M957" s="68"/>
      <c r="O957" s="68"/>
      <c r="P957" s="68"/>
      <c r="Q957" s="68"/>
      <c r="R957" s="68"/>
      <c r="S957" s="68"/>
    </row>
    <row r="958" spans="1:19" ht="15.75" customHeight="1">
      <c r="A958" s="68"/>
      <c r="B958" s="68"/>
      <c r="D958" s="68"/>
      <c r="E958" s="69"/>
      <c r="M958" s="68"/>
      <c r="O958" s="68"/>
      <c r="P958" s="68"/>
      <c r="Q958" s="68"/>
      <c r="R958" s="68"/>
      <c r="S958" s="68"/>
    </row>
    <row r="959" spans="1:19" ht="15.75" customHeight="1">
      <c r="A959" s="68"/>
      <c r="B959" s="68"/>
      <c r="D959" s="68"/>
      <c r="E959" s="69"/>
      <c r="M959" s="68"/>
      <c r="O959" s="68"/>
      <c r="P959" s="68"/>
      <c r="Q959" s="68"/>
      <c r="R959" s="68"/>
      <c r="S959" s="68"/>
    </row>
    <row r="960" spans="1:19" ht="15.75" customHeight="1">
      <c r="A960" s="68"/>
      <c r="B960" s="68"/>
      <c r="D960" s="68"/>
      <c r="E960" s="69"/>
      <c r="M960" s="68"/>
      <c r="O960" s="68"/>
      <c r="P960" s="68"/>
      <c r="Q960" s="68"/>
      <c r="R960" s="68"/>
      <c r="S960" s="68"/>
    </row>
    <row r="961" spans="1:19" ht="15.75" customHeight="1">
      <c r="A961" s="68"/>
      <c r="B961" s="68"/>
      <c r="D961" s="68"/>
      <c r="E961" s="69"/>
      <c r="M961" s="68"/>
      <c r="O961" s="68"/>
      <c r="P961" s="68"/>
      <c r="Q961" s="68"/>
      <c r="R961" s="68"/>
      <c r="S961" s="68"/>
    </row>
    <row r="962" spans="1:19" ht="15.75" customHeight="1">
      <c r="A962" s="68"/>
      <c r="B962" s="68"/>
      <c r="D962" s="68"/>
      <c r="E962" s="69"/>
      <c r="M962" s="68"/>
      <c r="O962" s="68"/>
      <c r="P962" s="68"/>
      <c r="Q962" s="68"/>
      <c r="R962" s="68"/>
      <c r="S962" s="68"/>
    </row>
    <row r="963" spans="1:19" ht="15.75" customHeight="1">
      <c r="A963" s="68"/>
      <c r="B963" s="68"/>
      <c r="D963" s="68"/>
      <c r="E963" s="69"/>
      <c r="M963" s="68"/>
      <c r="O963" s="68"/>
      <c r="P963" s="68"/>
      <c r="Q963" s="68"/>
      <c r="R963" s="68"/>
      <c r="S963" s="68"/>
    </row>
    <row r="964" spans="1:19" ht="15.75" customHeight="1">
      <c r="A964" s="68"/>
      <c r="B964" s="68"/>
      <c r="D964" s="68"/>
      <c r="E964" s="69"/>
      <c r="M964" s="68"/>
      <c r="O964" s="68"/>
      <c r="P964" s="68"/>
      <c r="Q964" s="68"/>
      <c r="R964" s="68"/>
      <c r="S964" s="68"/>
    </row>
    <row r="965" spans="1:19" ht="15.75" customHeight="1">
      <c r="A965" s="68"/>
      <c r="B965" s="68"/>
      <c r="D965" s="68"/>
      <c r="E965" s="69"/>
      <c r="M965" s="68"/>
      <c r="O965" s="68"/>
      <c r="P965" s="68"/>
      <c r="Q965" s="68"/>
      <c r="R965" s="68"/>
      <c r="S965" s="68"/>
    </row>
    <row r="966" spans="1:19" ht="15.75" customHeight="1">
      <c r="A966" s="68"/>
      <c r="B966" s="68"/>
      <c r="D966" s="68"/>
      <c r="E966" s="69"/>
      <c r="M966" s="68"/>
      <c r="O966" s="68"/>
      <c r="P966" s="68"/>
      <c r="Q966" s="68"/>
      <c r="R966" s="68"/>
      <c r="S966" s="68"/>
    </row>
    <row r="967" spans="1:19" ht="15.75" customHeight="1">
      <c r="A967" s="68"/>
      <c r="B967" s="68"/>
      <c r="D967" s="68"/>
      <c r="E967" s="69"/>
      <c r="M967" s="68"/>
      <c r="O967" s="68"/>
      <c r="P967" s="68"/>
      <c r="Q967" s="68"/>
      <c r="R967" s="68"/>
      <c r="S967" s="68"/>
    </row>
    <row r="968" spans="1:19" ht="15.75" customHeight="1">
      <c r="A968" s="68"/>
      <c r="B968" s="68"/>
      <c r="D968" s="68"/>
      <c r="E968" s="69"/>
      <c r="M968" s="68"/>
      <c r="O968" s="68"/>
      <c r="P968" s="68"/>
      <c r="Q968" s="68"/>
      <c r="R968" s="68"/>
      <c r="S968" s="68"/>
    </row>
    <row r="969" spans="1:19" ht="15.75" customHeight="1">
      <c r="A969" s="68"/>
      <c r="B969" s="68"/>
      <c r="D969" s="68"/>
      <c r="E969" s="69"/>
      <c r="M969" s="68"/>
      <c r="O969" s="68"/>
      <c r="P969" s="68"/>
      <c r="Q969" s="68"/>
      <c r="R969" s="68"/>
      <c r="S969" s="68"/>
    </row>
    <row r="970" spans="1:19" ht="15.75" customHeight="1">
      <c r="A970" s="68"/>
      <c r="B970" s="68"/>
      <c r="D970" s="68"/>
      <c r="E970" s="69"/>
      <c r="M970" s="68"/>
      <c r="O970" s="68"/>
      <c r="P970" s="68"/>
      <c r="Q970" s="68"/>
      <c r="R970" s="68"/>
      <c r="S970" s="68"/>
    </row>
    <row r="971" spans="1:19" ht="15.75" customHeight="1">
      <c r="A971" s="68"/>
      <c r="B971" s="68"/>
      <c r="D971" s="68"/>
      <c r="E971" s="69"/>
      <c r="M971" s="68"/>
      <c r="O971" s="68"/>
      <c r="P971" s="68"/>
      <c r="Q971" s="68"/>
      <c r="R971" s="68"/>
      <c r="S971" s="68"/>
    </row>
    <row r="972" spans="1:19" ht="15.75" customHeight="1">
      <c r="A972" s="68"/>
      <c r="B972" s="68"/>
      <c r="D972" s="68"/>
      <c r="E972" s="69"/>
      <c r="M972" s="68"/>
      <c r="O972" s="68"/>
      <c r="P972" s="68"/>
      <c r="Q972" s="68"/>
      <c r="R972" s="68"/>
      <c r="S972" s="68"/>
    </row>
    <row r="973" spans="1:19" ht="15.75" customHeight="1">
      <c r="A973" s="68"/>
      <c r="B973" s="68"/>
      <c r="D973" s="68"/>
      <c r="E973" s="69"/>
      <c r="M973" s="68"/>
      <c r="O973" s="68"/>
      <c r="P973" s="68"/>
      <c r="Q973" s="68"/>
      <c r="R973" s="68"/>
      <c r="S973" s="68"/>
    </row>
    <row r="974" spans="1:19" ht="15.75" customHeight="1">
      <c r="A974" s="68"/>
      <c r="B974" s="68"/>
      <c r="D974" s="68"/>
      <c r="E974" s="69"/>
      <c r="M974" s="68"/>
      <c r="O974" s="68"/>
      <c r="P974" s="68"/>
      <c r="Q974" s="68"/>
      <c r="R974" s="68"/>
      <c r="S974" s="68"/>
    </row>
    <row r="975" spans="1:19" ht="15.75" customHeight="1">
      <c r="A975" s="68"/>
      <c r="B975" s="68"/>
      <c r="D975" s="68"/>
      <c r="E975" s="69"/>
      <c r="M975" s="68"/>
      <c r="O975" s="68"/>
      <c r="P975" s="68"/>
      <c r="Q975" s="68"/>
      <c r="R975" s="68"/>
      <c r="S975" s="68"/>
    </row>
    <row r="976" spans="1:19" ht="15.75" customHeight="1">
      <c r="A976" s="68"/>
      <c r="B976" s="68"/>
      <c r="D976" s="68"/>
      <c r="E976" s="69"/>
      <c r="M976" s="68"/>
      <c r="O976" s="68"/>
      <c r="P976" s="68"/>
      <c r="Q976" s="68"/>
      <c r="R976" s="68"/>
      <c r="S976" s="68"/>
    </row>
    <row r="977" spans="1:19" ht="15.75" customHeight="1">
      <c r="A977" s="68"/>
      <c r="B977" s="68"/>
      <c r="D977" s="68"/>
      <c r="E977" s="69"/>
      <c r="M977" s="68"/>
      <c r="O977" s="68"/>
      <c r="P977" s="68"/>
      <c r="Q977" s="68"/>
      <c r="R977" s="68"/>
      <c r="S977" s="68"/>
    </row>
    <row r="978" spans="1:19" ht="15.75" customHeight="1">
      <c r="A978" s="68"/>
      <c r="B978" s="68"/>
      <c r="D978" s="68"/>
      <c r="E978" s="69"/>
      <c r="M978" s="68"/>
      <c r="O978" s="68"/>
      <c r="P978" s="68"/>
      <c r="Q978" s="68"/>
      <c r="R978" s="68"/>
      <c r="S978" s="68"/>
    </row>
    <row r="979" spans="1:19" ht="15.75" customHeight="1">
      <c r="A979" s="68"/>
      <c r="B979" s="68"/>
      <c r="D979" s="68"/>
      <c r="E979" s="69"/>
      <c r="M979" s="68"/>
      <c r="O979" s="68"/>
      <c r="P979" s="68"/>
      <c r="Q979" s="68"/>
      <c r="R979" s="68"/>
      <c r="S979" s="68"/>
    </row>
    <row r="980" spans="1:19" ht="15.75" customHeight="1">
      <c r="A980" s="68"/>
      <c r="B980" s="68"/>
      <c r="D980" s="68"/>
      <c r="E980" s="69"/>
      <c r="M980" s="68"/>
      <c r="O980" s="68"/>
      <c r="P980" s="68"/>
      <c r="Q980" s="68"/>
      <c r="R980" s="68"/>
      <c r="S980" s="68"/>
    </row>
    <row r="981" spans="1:19" ht="15.75" customHeight="1">
      <c r="A981" s="68"/>
      <c r="B981" s="68"/>
      <c r="D981" s="68"/>
      <c r="E981" s="69"/>
      <c r="M981" s="68"/>
      <c r="O981" s="68"/>
      <c r="P981" s="68"/>
      <c r="Q981" s="68"/>
      <c r="R981" s="68"/>
      <c r="S981" s="68"/>
    </row>
    <row r="982" spans="1:19" ht="15.75" customHeight="1">
      <c r="A982" s="68"/>
      <c r="B982" s="68"/>
      <c r="D982" s="68"/>
      <c r="E982" s="69"/>
      <c r="M982" s="68"/>
      <c r="O982" s="68"/>
      <c r="P982" s="68"/>
      <c r="Q982" s="68"/>
      <c r="R982" s="68"/>
      <c r="S982" s="68"/>
    </row>
    <row r="983" spans="1:19" ht="15.75" customHeight="1">
      <c r="A983" s="68"/>
      <c r="B983" s="68"/>
      <c r="D983" s="68"/>
      <c r="E983" s="69"/>
      <c r="M983" s="68"/>
      <c r="O983" s="68"/>
      <c r="P983" s="68"/>
      <c r="Q983" s="68"/>
      <c r="R983" s="68"/>
      <c r="S983" s="68"/>
    </row>
    <row r="984" spans="1:19" ht="15.75" customHeight="1">
      <c r="A984" s="68"/>
      <c r="B984" s="68"/>
      <c r="D984" s="68"/>
      <c r="E984" s="69"/>
      <c r="M984" s="68"/>
      <c r="O984" s="68"/>
      <c r="P984" s="68"/>
      <c r="Q984" s="68"/>
      <c r="R984" s="68"/>
      <c r="S984" s="68"/>
    </row>
    <row r="985" spans="1:19" ht="15.75" customHeight="1">
      <c r="A985" s="68"/>
      <c r="B985" s="68"/>
      <c r="D985" s="68"/>
      <c r="E985" s="69"/>
      <c r="M985" s="68"/>
      <c r="O985" s="68"/>
      <c r="P985" s="68"/>
      <c r="Q985" s="68"/>
      <c r="R985" s="68"/>
      <c r="S985" s="68"/>
    </row>
    <row r="986" spans="1:19" ht="15.75" customHeight="1">
      <c r="A986" s="68"/>
      <c r="B986" s="68"/>
      <c r="D986" s="68"/>
      <c r="E986" s="69"/>
      <c r="M986" s="68"/>
      <c r="O986" s="68"/>
      <c r="P986" s="68"/>
      <c r="Q986" s="68"/>
      <c r="R986" s="68"/>
      <c r="S986" s="68"/>
    </row>
    <row r="987" spans="1:19" ht="15.75" customHeight="1">
      <c r="A987" s="68"/>
      <c r="B987" s="68"/>
      <c r="D987" s="68"/>
      <c r="E987" s="69"/>
      <c r="M987" s="68"/>
      <c r="O987" s="68"/>
      <c r="P987" s="68"/>
      <c r="Q987" s="68"/>
      <c r="R987" s="68"/>
      <c r="S987" s="68"/>
    </row>
    <row r="988" spans="1:19" ht="15.75" customHeight="1">
      <c r="A988" s="68"/>
      <c r="B988" s="68"/>
      <c r="D988" s="68"/>
      <c r="E988" s="69"/>
      <c r="M988" s="68"/>
      <c r="O988" s="68"/>
      <c r="P988" s="68"/>
      <c r="Q988" s="68"/>
      <c r="R988" s="68"/>
      <c r="S988" s="68"/>
    </row>
    <row r="989" spans="1:19" ht="15.75" customHeight="1">
      <c r="A989" s="68"/>
      <c r="B989" s="68"/>
      <c r="D989" s="68"/>
      <c r="E989" s="69"/>
      <c r="M989" s="68"/>
      <c r="O989" s="68"/>
      <c r="P989" s="68"/>
      <c r="Q989" s="68"/>
      <c r="R989" s="68"/>
      <c r="S989" s="68"/>
    </row>
    <row r="990" spans="1:19" ht="15.75" customHeight="1">
      <c r="A990" s="68"/>
      <c r="B990" s="68"/>
      <c r="D990" s="68"/>
      <c r="E990" s="69"/>
      <c r="M990" s="68"/>
      <c r="O990" s="68"/>
      <c r="P990" s="68"/>
      <c r="Q990" s="68"/>
      <c r="R990" s="68"/>
      <c r="S990" s="68"/>
    </row>
    <row r="991" spans="1:19" ht="15.75" customHeight="1">
      <c r="A991" s="68"/>
      <c r="B991" s="68"/>
      <c r="D991" s="68"/>
      <c r="E991" s="69"/>
      <c r="M991" s="68"/>
      <c r="O991" s="68"/>
      <c r="P991" s="68"/>
      <c r="Q991" s="68"/>
      <c r="R991" s="68"/>
      <c r="S991" s="68"/>
    </row>
    <row r="992" spans="1:19" ht="15.75" customHeight="1">
      <c r="A992" s="68"/>
      <c r="B992" s="68"/>
      <c r="D992" s="68"/>
      <c r="E992" s="69"/>
      <c r="M992" s="68"/>
      <c r="O992" s="68"/>
      <c r="P992" s="68"/>
      <c r="Q992" s="68"/>
      <c r="R992" s="68"/>
      <c r="S992" s="68"/>
    </row>
    <row r="993" spans="1:19" ht="15.75" customHeight="1">
      <c r="A993" s="68"/>
      <c r="B993" s="68"/>
      <c r="D993" s="68"/>
      <c r="E993" s="69"/>
      <c r="M993" s="68"/>
      <c r="O993" s="68"/>
      <c r="P993" s="68"/>
      <c r="Q993" s="68"/>
      <c r="R993" s="68"/>
      <c r="S993" s="68"/>
    </row>
    <row r="994" spans="1:19" ht="15.75" customHeight="1">
      <c r="A994" s="68"/>
      <c r="B994" s="68"/>
      <c r="D994" s="68"/>
      <c r="E994" s="69"/>
      <c r="M994" s="68"/>
      <c r="O994" s="68"/>
      <c r="P994" s="68"/>
      <c r="Q994" s="68"/>
      <c r="R994" s="68"/>
      <c r="S994" s="68"/>
    </row>
    <row r="995" spans="1:19" ht="15.75" customHeight="1">
      <c r="A995" s="68"/>
      <c r="B995" s="68"/>
      <c r="D995" s="68"/>
      <c r="E995" s="69"/>
      <c r="M995" s="68"/>
      <c r="O995" s="68"/>
      <c r="P995" s="68"/>
      <c r="Q995" s="68"/>
      <c r="R995" s="68"/>
      <c r="S995" s="68"/>
    </row>
    <row r="996" spans="1:19" ht="15.75" customHeight="1">
      <c r="A996" s="68"/>
      <c r="B996" s="68"/>
      <c r="D996" s="68"/>
      <c r="E996" s="69"/>
      <c r="M996" s="68"/>
      <c r="O996" s="68"/>
      <c r="P996" s="68"/>
      <c r="Q996" s="68"/>
      <c r="R996" s="68"/>
      <c r="S996" s="68"/>
    </row>
    <row r="997" spans="1:19" ht="15.75" customHeight="1">
      <c r="A997" s="68"/>
      <c r="B997" s="68"/>
      <c r="D997" s="68"/>
      <c r="E997" s="69"/>
      <c r="M997" s="68"/>
      <c r="O997" s="68"/>
      <c r="P997" s="68"/>
      <c r="Q997" s="68"/>
      <c r="R997" s="68"/>
      <c r="S997" s="68"/>
    </row>
    <row r="998" spans="1:19" ht="15.75" customHeight="1">
      <c r="A998" s="68"/>
      <c r="B998" s="68"/>
      <c r="D998" s="68"/>
      <c r="E998" s="69"/>
      <c r="M998" s="68"/>
      <c r="O998" s="68"/>
      <c r="P998" s="68"/>
      <c r="Q998" s="68"/>
      <c r="R998" s="68"/>
      <c r="S998" s="68"/>
    </row>
    <row r="999" spans="1:19" ht="15.75" customHeight="1">
      <c r="A999" s="68"/>
      <c r="B999" s="68"/>
      <c r="D999" s="68"/>
      <c r="E999" s="69"/>
      <c r="M999" s="68"/>
      <c r="O999" s="68"/>
      <c r="P999" s="68"/>
      <c r="Q999" s="68"/>
      <c r="R999" s="68"/>
      <c r="S999" s="68"/>
    </row>
    <row r="1000" spans="1:19" ht="15.75" customHeight="1">
      <c r="A1000" s="68"/>
      <c r="B1000" s="68"/>
      <c r="D1000" s="68"/>
      <c r="E1000" s="69"/>
      <c r="M1000" s="68"/>
      <c r="O1000" s="68"/>
      <c r="P1000" s="68"/>
      <c r="Q1000" s="68"/>
      <c r="R1000" s="68"/>
      <c r="S1000" s="68"/>
    </row>
  </sheetData>
  <mergeCells count="96">
    <mergeCell ref="E132:E133"/>
    <mergeCell ref="E134:E135"/>
    <mergeCell ref="E138:E139"/>
    <mergeCell ref="E140:E143"/>
    <mergeCell ref="H120:H121"/>
    <mergeCell ref="H142:H143"/>
    <mergeCell ref="A136:A137"/>
    <mergeCell ref="B136:B137"/>
    <mergeCell ref="D155:D158"/>
    <mergeCell ref="E155:E156"/>
    <mergeCell ref="E157:E158"/>
    <mergeCell ref="A155:A158"/>
    <mergeCell ref="B155:B158"/>
    <mergeCell ref="A138:A154"/>
    <mergeCell ref="B138:B154"/>
    <mergeCell ref="D136:D137"/>
    <mergeCell ref="D138:D154"/>
    <mergeCell ref="E144:E145"/>
    <mergeCell ref="E146:E147"/>
    <mergeCell ref="E150:E151"/>
    <mergeCell ref="E152:E153"/>
    <mergeCell ref="A94:A95"/>
    <mergeCell ref="B94:B95"/>
    <mergeCell ref="D94:D95"/>
    <mergeCell ref="A96:A129"/>
    <mergeCell ref="D104:D111"/>
    <mergeCell ref="D124:D129"/>
    <mergeCell ref="D96:D103"/>
    <mergeCell ref="B104:B111"/>
    <mergeCell ref="B96:B103"/>
    <mergeCell ref="B112:B123"/>
    <mergeCell ref="B124:B129"/>
    <mergeCell ref="B130:B135"/>
    <mergeCell ref="D130:D135"/>
    <mergeCell ref="A130:A135"/>
    <mergeCell ref="E96:E97"/>
    <mergeCell ref="E98:E99"/>
    <mergeCell ref="E100:E101"/>
    <mergeCell ref="E102:E103"/>
    <mergeCell ref="E104:E105"/>
    <mergeCell ref="E106:E107"/>
    <mergeCell ref="E126:E127"/>
    <mergeCell ref="E128:E129"/>
    <mergeCell ref="D112:D123"/>
    <mergeCell ref="E120:E122"/>
    <mergeCell ref="E124:E125"/>
    <mergeCell ref="E108:E109"/>
    <mergeCell ref="E110:E111"/>
    <mergeCell ref="E89:E90"/>
    <mergeCell ref="F89:F90"/>
    <mergeCell ref="G89:G90"/>
    <mergeCell ref="A81:A82"/>
    <mergeCell ref="B81:B82"/>
    <mergeCell ref="A84:A93"/>
    <mergeCell ref="B84:B93"/>
    <mergeCell ref="D84:D93"/>
    <mergeCell ref="D81:D82"/>
    <mergeCell ref="M81:M82"/>
    <mergeCell ref="A72:A80"/>
    <mergeCell ref="B72:B80"/>
    <mergeCell ref="D72:D80"/>
    <mergeCell ref="E72:E75"/>
    <mergeCell ref="A34:A49"/>
    <mergeCell ref="B34:B49"/>
    <mergeCell ref="D34:D49"/>
    <mergeCell ref="A50:A65"/>
    <mergeCell ref="B50:B65"/>
    <mergeCell ref="D50:D65"/>
    <mergeCell ref="A66:A71"/>
    <mergeCell ref="B66:B71"/>
    <mergeCell ref="D66:D71"/>
    <mergeCell ref="F72:F73"/>
    <mergeCell ref="H72:H73"/>
    <mergeCell ref="F16:F17"/>
    <mergeCell ref="G16:G17"/>
    <mergeCell ref="G18:G19"/>
    <mergeCell ref="H29:H30"/>
    <mergeCell ref="A15:A33"/>
    <mergeCell ref="B15:B33"/>
    <mergeCell ref="D15:D33"/>
    <mergeCell ref="E22:E23"/>
    <mergeCell ref="E24:E28"/>
    <mergeCell ref="F24:F28"/>
    <mergeCell ref="G24:G28"/>
    <mergeCell ref="E29:E30"/>
    <mergeCell ref="F29:F30"/>
    <mergeCell ref="G29:G30"/>
    <mergeCell ref="F18:F19"/>
    <mergeCell ref="H18:H19"/>
    <mergeCell ref="A6:A8"/>
    <mergeCell ref="A9:A14"/>
    <mergeCell ref="B9:B14"/>
    <mergeCell ref="D9:D11"/>
    <mergeCell ref="E18:E19"/>
    <mergeCell ref="D12:D14"/>
    <mergeCell ref="E15:E17"/>
  </mergeCells>
  <conditionalFormatting sqref="I3:J3">
    <cfRule type="cellIs" dxfId="855" priority="1" stopIfTrue="1" operator="equal">
      <formula>"OK"</formula>
    </cfRule>
  </conditionalFormatting>
  <conditionalFormatting sqref="I3:J3">
    <cfRule type="cellIs" dxfId="854" priority="2" stopIfTrue="1" operator="equal">
      <formula>"Fail"</formula>
    </cfRule>
  </conditionalFormatting>
  <conditionalFormatting sqref="I3:J3">
    <cfRule type="cellIs" dxfId="853" priority="3" stopIfTrue="1" operator="equal">
      <formula>"OK"</formula>
    </cfRule>
  </conditionalFormatting>
  <conditionalFormatting sqref="I3:J3">
    <cfRule type="cellIs" dxfId="852" priority="4" stopIfTrue="1" operator="equal">
      <formula>"Fail"</formula>
    </cfRule>
  </conditionalFormatting>
  <conditionalFormatting sqref="K3:L3 K5:K83 L5:L8 L83 L94:L158 K101:K158">
    <cfRule type="containsText" dxfId="851" priority="5" operator="containsText" text="NG">
      <formula>NOT(ISERROR(SEARCH(("NG"),(K3))))</formula>
    </cfRule>
  </conditionalFormatting>
  <conditionalFormatting sqref="K3:L3 K5:K83 L5:L8 L83 L94:L158 K101:K158">
    <cfRule type="containsText" dxfId="850" priority="6" operator="containsText" text="OK">
      <formula>NOT(ISERROR(SEARCH(("OK"),(K3))))</formula>
    </cfRule>
  </conditionalFormatting>
  <conditionalFormatting sqref="I5:J8 I83:J83">
    <cfRule type="cellIs" dxfId="849" priority="7" stopIfTrue="1" operator="equal">
      <formula>"OK"</formula>
    </cfRule>
  </conditionalFormatting>
  <conditionalFormatting sqref="I5:J8 I83:J83">
    <cfRule type="cellIs" dxfId="848" priority="8" stopIfTrue="1" operator="equal">
      <formula>"Fail"</formula>
    </cfRule>
  </conditionalFormatting>
  <conditionalFormatting sqref="I5:J8 I83:J83">
    <cfRule type="cellIs" dxfId="847" priority="9" stopIfTrue="1" operator="equal">
      <formula>"OK"</formula>
    </cfRule>
  </conditionalFormatting>
  <conditionalFormatting sqref="I5:J8 I83:J83">
    <cfRule type="cellIs" dxfId="846" priority="10" stopIfTrue="1" operator="equal">
      <formula>"Fail"</formula>
    </cfRule>
  </conditionalFormatting>
  <conditionalFormatting sqref="L6:L8">
    <cfRule type="containsText" dxfId="845" priority="11" operator="containsText" text="NG">
      <formula>NOT(ISERROR(SEARCH(("NG"),(L6))))</formula>
    </cfRule>
  </conditionalFormatting>
  <conditionalFormatting sqref="L6:L8">
    <cfRule type="containsText" dxfId="844" priority="12" operator="containsText" text="OK">
      <formula>NOT(ISERROR(SEARCH(("OK"),(L6))))</formula>
    </cfRule>
  </conditionalFormatting>
  <conditionalFormatting sqref="L9:L14">
    <cfRule type="containsText" dxfId="843" priority="13" operator="containsText" text="NG">
      <formula>NOT(ISERROR(SEARCH(("NG"),(L9))))</formula>
    </cfRule>
  </conditionalFormatting>
  <conditionalFormatting sqref="L9:L14">
    <cfRule type="containsText" dxfId="842" priority="14" operator="containsText" text="OK">
      <formula>NOT(ISERROR(SEARCH(("OK"),(L9))))</formula>
    </cfRule>
  </conditionalFormatting>
  <conditionalFormatting sqref="L15:L24 L29:L33">
    <cfRule type="containsText" dxfId="841" priority="15" operator="containsText" text="NG">
      <formula>NOT(ISERROR(SEARCH(("NG"),(L15))))</formula>
    </cfRule>
  </conditionalFormatting>
  <conditionalFormatting sqref="L15:L24 L29:L33">
    <cfRule type="containsText" dxfId="840" priority="16" operator="containsText" text="OK">
      <formula>NOT(ISERROR(SEARCH(("OK"),(L15))))</formula>
    </cfRule>
  </conditionalFormatting>
  <conditionalFormatting sqref="L34:L71">
    <cfRule type="containsText" dxfId="839" priority="17" operator="containsText" text="NG">
      <formula>NOT(ISERROR(SEARCH(("NG"),(L34))))</formula>
    </cfRule>
  </conditionalFormatting>
  <conditionalFormatting sqref="L34:L71">
    <cfRule type="containsText" dxfId="838" priority="18" operator="containsText" text="OK">
      <formula>NOT(ISERROR(SEARCH(("OK"),(L34))))</formula>
    </cfRule>
  </conditionalFormatting>
  <conditionalFormatting sqref="L72:L80">
    <cfRule type="containsText" dxfId="837" priority="19" operator="containsText" text="NG">
      <formula>NOT(ISERROR(SEARCH(("NG"),(L72))))</formula>
    </cfRule>
  </conditionalFormatting>
  <conditionalFormatting sqref="L72:L80">
    <cfRule type="containsText" dxfId="836" priority="20" operator="containsText" text="OK">
      <formula>NOT(ISERROR(SEARCH(("OK"),(L72))))</formula>
    </cfRule>
  </conditionalFormatting>
  <conditionalFormatting sqref="L7">
    <cfRule type="containsText" dxfId="835" priority="21" operator="containsText" text="NG">
      <formula>NOT(ISERROR(SEARCH(("NG"),(L7))))</formula>
    </cfRule>
  </conditionalFormatting>
  <conditionalFormatting sqref="L7">
    <cfRule type="containsText" dxfId="834" priority="22" operator="containsText" text="OK">
      <formula>NOT(ISERROR(SEARCH(("OK"),(L7))))</formula>
    </cfRule>
  </conditionalFormatting>
  <conditionalFormatting sqref="L8">
    <cfRule type="containsText" dxfId="833" priority="23" operator="containsText" text="NG">
      <formula>NOT(ISERROR(SEARCH(("NG"),(L8))))</formula>
    </cfRule>
  </conditionalFormatting>
  <conditionalFormatting sqref="L8">
    <cfRule type="containsText" dxfId="832" priority="24" operator="containsText" text="OK">
      <formula>NOT(ISERROR(SEARCH(("OK"),(L8))))</formula>
    </cfRule>
  </conditionalFormatting>
  <conditionalFormatting sqref="L6">
    <cfRule type="containsText" dxfId="831" priority="25" operator="containsText" text="NG">
      <formula>NOT(ISERROR(SEARCH(("NG"),(L6))))</formula>
    </cfRule>
  </conditionalFormatting>
  <conditionalFormatting sqref="L6">
    <cfRule type="containsText" dxfId="830" priority="26" operator="containsText" text="OK">
      <formula>NOT(ISERROR(SEARCH(("OK"),(L6))))</formula>
    </cfRule>
  </conditionalFormatting>
  <conditionalFormatting sqref="L84:L92">
    <cfRule type="containsText" dxfId="829" priority="27" operator="containsText" text="NG">
      <formula>NOT(ISERROR(SEARCH(("NG"),(L84))))</formula>
    </cfRule>
  </conditionalFormatting>
  <conditionalFormatting sqref="L84:L92">
    <cfRule type="containsText" dxfId="828" priority="28" operator="containsText" text="OK">
      <formula>NOT(ISERROR(SEARCH(("OK"),(L84))))</formula>
    </cfRule>
  </conditionalFormatting>
  <conditionalFormatting sqref="L81:L82">
    <cfRule type="containsText" dxfId="827" priority="29" operator="containsText" text="NG">
      <formula>NOT(ISERROR(SEARCH(("NG"),(L81))))</formula>
    </cfRule>
  </conditionalFormatting>
  <conditionalFormatting sqref="L81:L82">
    <cfRule type="containsText" dxfId="826" priority="30" operator="containsText" text="OK">
      <formula>NOT(ISERROR(SEARCH(("OK"),(L81))))</formula>
    </cfRule>
  </conditionalFormatting>
  <conditionalFormatting sqref="L81:L82">
    <cfRule type="containsText" dxfId="825" priority="31" operator="containsText" text="NG">
      <formula>NOT(ISERROR(SEARCH(("NG"),(L81))))</formula>
    </cfRule>
  </conditionalFormatting>
  <conditionalFormatting sqref="L81:L82">
    <cfRule type="containsText" dxfId="824" priority="32" operator="containsText" text="OK">
      <formula>NOT(ISERROR(SEARCH(("OK"),(L81))))</formula>
    </cfRule>
  </conditionalFormatting>
  <conditionalFormatting sqref="L4">
    <cfRule type="containsText" dxfId="823" priority="33" operator="containsText" text="NG">
      <formula>NOT(ISERROR(SEARCH(("NG"),(L4))))</formula>
    </cfRule>
  </conditionalFormatting>
  <conditionalFormatting sqref="L4">
    <cfRule type="containsText" dxfId="822" priority="34" operator="containsText" text="OK">
      <formula>NOT(ISERROR(SEARCH(("OK"),(L4))))</formula>
    </cfRule>
  </conditionalFormatting>
  <conditionalFormatting sqref="I4:J4">
    <cfRule type="cellIs" dxfId="821" priority="35" stopIfTrue="1" operator="equal">
      <formula>"OK"</formula>
    </cfRule>
  </conditionalFormatting>
  <conditionalFormatting sqref="I4:J4">
    <cfRule type="cellIs" dxfId="820" priority="36" stopIfTrue="1" operator="equal">
      <formula>"Fail"</formula>
    </cfRule>
  </conditionalFormatting>
  <conditionalFormatting sqref="I4:J4">
    <cfRule type="cellIs" dxfId="819" priority="37" stopIfTrue="1" operator="equal">
      <formula>"OK"</formula>
    </cfRule>
  </conditionalFormatting>
  <conditionalFormatting sqref="I4:J4">
    <cfRule type="cellIs" dxfId="818" priority="38" stopIfTrue="1" operator="equal">
      <formula>"Fail"</formula>
    </cfRule>
  </conditionalFormatting>
  <conditionalFormatting sqref="L4">
    <cfRule type="containsText" dxfId="817" priority="39" operator="containsText" text="NG">
      <formula>NOT(ISERROR(SEARCH(("NG"),(L4))))</formula>
    </cfRule>
  </conditionalFormatting>
  <conditionalFormatting sqref="L4">
    <cfRule type="containsText" dxfId="816" priority="40" operator="containsText" text="OK">
      <formula>NOT(ISERROR(SEARCH(("OK"),(L4))))</formula>
    </cfRule>
  </conditionalFormatting>
  <conditionalFormatting sqref="L4">
    <cfRule type="containsText" dxfId="815" priority="41" operator="containsText" text="NG">
      <formula>NOT(ISERROR(SEARCH(("NG"),(L4))))</formula>
    </cfRule>
  </conditionalFormatting>
  <conditionalFormatting sqref="L4">
    <cfRule type="containsText" dxfId="814" priority="42" operator="containsText" text="OK">
      <formula>NOT(ISERROR(SEARCH(("OK"),(L4))))</formula>
    </cfRule>
  </conditionalFormatting>
  <conditionalFormatting sqref="K4">
    <cfRule type="containsText" dxfId="813" priority="43" operator="containsText" text="NG">
      <formula>NOT(ISERROR(SEARCH(("NG"),(K4))))</formula>
    </cfRule>
  </conditionalFormatting>
  <conditionalFormatting sqref="K4">
    <cfRule type="containsText" dxfId="812" priority="44" operator="containsText" text="OK">
      <formula>NOT(ISERROR(SEARCH(("OK"),(K4))))</formula>
    </cfRule>
  </conditionalFormatting>
  <conditionalFormatting sqref="K84:K92">
    <cfRule type="containsText" dxfId="811" priority="45" operator="containsText" text="NG">
      <formula>NOT(ISERROR(SEARCH(("NG"),(K84))))</formula>
    </cfRule>
  </conditionalFormatting>
  <conditionalFormatting sqref="K84:K92">
    <cfRule type="containsText" dxfId="810" priority="46" operator="containsText" text="OK">
      <formula>NOT(ISERROR(SEARCH(("OK"),(K84))))</formula>
    </cfRule>
  </conditionalFormatting>
  <conditionalFormatting sqref="L93">
    <cfRule type="containsText" dxfId="809" priority="47" operator="containsText" text="NG">
      <formula>NOT(ISERROR(SEARCH(("NG"),(L93))))</formula>
    </cfRule>
  </conditionalFormatting>
  <conditionalFormatting sqref="L93">
    <cfRule type="containsText" dxfId="808" priority="48" operator="containsText" text="OK">
      <formula>NOT(ISERROR(SEARCH(("OK"),(L93))))</formula>
    </cfRule>
  </conditionalFormatting>
  <conditionalFormatting sqref="K93:K100">
    <cfRule type="containsText" dxfId="807" priority="49" operator="containsText" text="NG">
      <formula>NOT(ISERROR(SEARCH(("NG"),(K93))))</formula>
    </cfRule>
  </conditionalFormatting>
  <conditionalFormatting sqref="K93:K100">
    <cfRule type="containsText" dxfId="806" priority="50" operator="containsText" text="OK">
      <formula>NOT(ISERROR(SEARCH(("OK"),(K93))))</formula>
    </cfRule>
  </conditionalFormatting>
  <dataValidations count="5">
    <dataValidation type="list" allowBlank="1" showErrorMessage="1" sqref="O4:P4 O6:P14 O15:O17 O18:P33 O34:O35 O36:P43 O44:O45 O46:P93 P94:P95 O96:P158">
      <formula1>"필수,중요,선택"</formula1>
    </dataValidation>
    <dataValidation type="list" allowBlank="1" showErrorMessage="1" sqref="K4:L158">
      <formula1>"Pass,Fail,NA"</formula1>
    </dataValidation>
    <dataValidation type="list" allowBlank="1" showInputMessage="1" showErrorMessage="1" prompt="[사양 무관: 빈칸]_x000a_[해당 사양에서만 사용되는 T/C 일 경우에만 선택]_x000a_" sqref="R7:R8">
      <formula1>$BI$2:$BI$10</formula1>
    </dataValidation>
    <dataValidation type="list" allowBlank="1" showInputMessage="1" showErrorMessage="1" prompt="[사양 무관: 빈칸]_x000a_[해당 사양에서만 사용되는 T/C 일 경우에만 선택]_x000a_" sqref="R4 R84:R93 R6">
      <formula1>$BI$2:$BI$5</formula1>
    </dataValidation>
    <dataValidation type="list" allowBlank="1" showInputMessage="1" showErrorMessage="1" prompt="[사양 무관: 빈칸]_x000a_[해당 사양에서만 사용되는 T/C 일 경우에만 선택]_x000a_" sqref="R9:R80 R94:R158">
      <formula1>$BH$2:$BH$18</formula1>
    </dataValidation>
  </dataValidations>
  <pageMargins left="0.7" right="0.7" top="0.75" bottom="0.75" header="0" footer="0"/>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2060"/>
  </sheetPr>
  <dimension ref="A1:AA1000"/>
  <sheetViews>
    <sheetView topLeftCell="G1" workbookViewId="0">
      <pane ySplit="2" topLeftCell="A3" activePane="bottomLeft" state="frozen"/>
      <selection pane="bottomLeft" activeCell="J5" sqref="J5"/>
    </sheetView>
  </sheetViews>
  <sheetFormatPr defaultColWidth="14.42578125" defaultRowHeight="15" customHeight="1"/>
  <cols>
    <col min="1" max="1" width="51.85546875" customWidth="1"/>
    <col min="2" max="3" width="9" customWidth="1"/>
    <col min="4" max="5" width="43.28515625" customWidth="1"/>
    <col min="6" max="7" width="5.42578125" customWidth="1"/>
    <col min="8" max="8" width="47.42578125" customWidth="1"/>
    <col min="9" max="9" width="44.5703125" customWidth="1"/>
    <col min="10" max="10" width="44.5703125" style="326" customWidth="1"/>
    <col min="11" max="11" width="9" customWidth="1"/>
    <col min="12" max="12" width="15.28515625" customWidth="1"/>
    <col min="13" max="15" width="9" customWidth="1"/>
    <col min="16" max="17" width="7.42578125" customWidth="1"/>
    <col min="18" max="18" width="23.140625" customWidth="1"/>
    <col min="19" max="19" width="7.42578125" customWidth="1"/>
    <col min="20" max="27" width="9" customWidth="1"/>
  </cols>
  <sheetData>
    <row r="1" spans="1:27" ht="39.75" customHeight="1">
      <c r="A1" s="8"/>
      <c r="B1" s="11" t="str">
        <f t="array" ref="B1">"INF_"&amp;TEXT(MAX(IFERROR(--MID($B$2:$B$5000,5,3),0)),"000")</f>
        <v>INF_019</v>
      </c>
      <c r="C1" s="3"/>
      <c r="D1" s="8"/>
      <c r="E1" s="9"/>
      <c r="F1" s="3"/>
      <c r="G1" s="3"/>
      <c r="H1" s="7"/>
      <c r="I1" s="7"/>
      <c r="J1" s="10"/>
      <c r="K1" s="11"/>
      <c r="L1" s="3"/>
      <c r="M1" s="11"/>
      <c r="N1" s="3"/>
      <c r="O1" s="11"/>
      <c r="P1" s="11"/>
      <c r="Q1" s="11"/>
      <c r="R1" s="11"/>
      <c r="S1" s="11"/>
    </row>
    <row r="2" spans="1:27" ht="39" customHeight="1">
      <c r="A2" s="12" t="s">
        <v>309</v>
      </c>
      <c r="B2" s="70" t="s">
        <v>310</v>
      </c>
      <c r="C2" s="70" t="s">
        <v>311</v>
      </c>
      <c r="D2" s="12" t="s">
        <v>312</v>
      </c>
      <c r="E2" s="12" t="s">
        <v>313</v>
      </c>
      <c r="F2" s="70" t="s">
        <v>314</v>
      </c>
      <c r="G2" s="70" t="s">
        <v>315</v>
      </c>
      <c r="H2" s="12" t="s">
        <v>316</v>
      </c>
      <c r="I2" s="12" t="s">
        <v>317</v>
      </c>
      <c r="J2" s="70" t="s">
        <v>7999</v>
      </c>
      <c r="K2" s="70" t="s">
        <v>291</v>
      </c>
      <c r="L2" s="70" t="s">
        <v>318</v>
      </c>
      <c r="M2" s="70" t="s">
        <v>293</v>
      </c>
      <c r="N2" s="13"/>
      <c r="O2" s="70" t="s">
        <v>319</v>
      </c>
      <c r="P2" s="70" t="s">
        <v>320</v>
      </c>
      <c r="Q2" s="70" t="s">
        <v>321</v>
      </c>
      <c r="R2" s="70" t="s">
        <v>1</v>
      </c>
      <c r="S2" s="70" t="s">
        <v>322</v>
      </c>
      <c r="T2" s="14"/>
      <c r="U2" s="14"/>
      <c r="V2" s="14"/>
      <c r="W2" s="14"/>
      <c r="X2" s="14"/>
      <c r="Y2" s="14"/>
      <c r="Z2" s="14"/>
      <c r="AA2" s="14"/>
    </row>
    <row r="3" spans="1:27" ht="37.5">
      <c r="A3" s="15" t="s">
        <v>3844</v>
      </c>
      <c r="B3" s="16"/>
      <c r="C3" s="16"/>
      <c r="D3" s="17"/>
      <c r="E3" s="18"/>
      <c r="F3" s="19"/>
      <c r="G3" s="19"/>
      <c r="H3" s="17"/>
      <c r="I3" s="20"/>
      <c r="J3" s="20"/>
      <c r="K3" s="16"/>
      <c r="L3" s="16"/>
      <c r="M3" s="71"/>
      <c r="N3" s="3"/>
      <c r="O3" s="16"/>
      <c r="P3" s="16"/>
      <c r="Q3" s="16"/>
      <c r="R3" s="16"/>
      <c r="S3" s="16"/>
    </row>
    <row r="4" spans="1:27" ht="15.75">
      <c r="A4" s="355" t="s">
        <v>3845</v>
      </c>
      <c r="B4" s="350" t="s">
        <v>124</v>
      </c>
      <c r="C4" s="31">
        <v>1</v>
      </c>
      <c r="D4" s="372" t="s">
        <v>3846</v>
      </c>
      <c r="E4" s="364" t="s">
        <v>3847</v>
      </c>
      <c r="F4" s="371" t="s">
        <v>361</v>
      </c>
      <c r="G4" s="371" t="s">
        <v>327</v>
      </c>
      <c r="H4" s="109" t="s">
        <v>3848</v>
      </c>
      <c r="I4" s="63" t="s">
        <v>3849</v>
      </c>
      <c r="J4" s="171"/>
      <c r="K4" s="25" t="s">
        <v>294</v>
      </c>
      <c r="L4" s="57"/>
      <c r="M4" s="26"/>
      <c r="N4" s="55"/>
      <c r="O4" s="28"/>
      <c r="P4" s="28"/>
      <c r="Q4" s="154" t="s">
        <v>140</v>
      </c>
      <c r="R4" s="25"/>
      <c r="S4" s="154"/>
      <c r="T4" s="30"/>
      <c r="U4" s="30"/>
      <c r="V4" s="30"/>
      <c r="W4" s="30"/>
      <c r="X4" s="30"/>
      <c r="Y4" s="30"/>
      <c r="Z4" s="30"/>
      <c r="AA4" s="30"/>
    </row>
    <row r="5" spans="1:27" ht="45">
      <c r="A5" s="344"/>
      <c r="B5" s="344"/>
      <c r="C5" s="31">
        <v>2</v>
      </c>
      <c r="D5" s="344"/>
      <c r="E5" s="344"/>
      <c r="F5" s="345"/>
      <c r="G5" s="345"/>
      <c r="H5" s="109" t="s">
        <v>3850</v>
      </c>
      <c r="I5" s="63" t="s">
        <v>3851</v>
      </c>
      <c r="J5" s="171"/>
      <c r="K5" s="25"/>
      <c r="L5" s="57"/>
      <c r="M5" s="26"/>
      <c r="N5" s="55"/>
      <c r="O5" s="28" t="s">
        <v>140</v>
      </c>
      <c r="P5" s="28"/>
      <c r="Q5" s="25" t="s">
        <v>282</v>
      </c>
      <c r="R5" s="25"/>
      <c r="S5" s="25"/>
      <c r="T5" s="30"/>
      <c r="U5" s="30"/>
      <c r="V5" s="30"/>
      <c r="W5" s="30"/>
      <c r="X5" s="30"/>
      <c r="Y5" s="30"/>
      <c r="Z5" s="30"/>
      <c r="AA5" s="30"/>
    </row>
    <row r="6" spans="1:27" ht="15.75">
      <c r="A6" s="344"/>
      <c r="B6" s="344"/>
      <c r="C6" s="31">
        <v>3</v>
      </c>
      <c r="D6" s="344"/>
      <c r="E6" s="344"/>
      <c r="F6" s="371" t="s">
        <v>361</v>
      </c>
      <c r="G6" s="371" t="s">
        <v>327</v>
      </c>
      <c r="H6" s="109" t="s">
        <v>3852</v>
      </c>
      <c r="I6" s="63" t="s">
        <v>3853</v>
      </c>
      <c r="J6" s="171"/>
      <c r="K6" s="25" t="s">
        <v>294</v>
      </c>
      <c r="L6" s="57"/>
      <c r="M6" s="26"/>
      <c r="N6" s="55"/>
      <c r="O6" s="28"/>
      <c r="P6" s="28"/>
      <c r="Q6" s="154" t="s">
        <v>140</v>
      </c>
      <c r="R6" s="25"/>
      <c r="S6" s="154"/>
      <c r="T6" s="30"/>
      <c r="U6" s="30"/>
      <c r="V6" s="30"/>
      <c r="W6" s="30"/>
      <c r="X6" s="30"/>
      <c r="Y6" s="30"/>
      <c r="Z6" s="30"/>
      <c r="AA6" s="30"/>
    </row>
    <row r="7" spans="1:27" ht="30">
      <c r="A7" s="344"/>
      <c r="B7" s="344"/>
      <c r="C7" s="31">
        <v>4</v>
      </c>
      <c r="D7" s="344"/>
      <c r="E7" s="345"/>
      <c r="F7" s="345"/>
      <c r="G7" s="345"/>
      <c r="H7" s="109" t="s">
        <v>3850</v>
      </c>
      <c r="I7" s="63" t="s">
        <v>3854</v>
      </c>
      <c r="J7" s="171"/>
      <c r="K7" s="25"/>
      <c r="L7" s="57"/>
      <c r="M7" s="26"/>
      <c r="N7" s="55"/>
      <c r="O7" s="28" t="s">
        <v>140</v>
      </c>
      <c r="P7" s="28"/>
      <c r="Q7" s="25" t="s">
        <v>282</v>
      </c>
      <c r="R7" s="25"/>
      <c r="S7" s="25"/>
      <c r="T7" s="30"/>
      <c r="U7" s="30"/>
      <c r="V7" s="30"/>
      <c r="W7" s="30"/>
      <c r="X7" s="30"/>
      <c r="Y7" s="30"/>
      <c r="Z7" s="30"/>
      <c r="AA7" s="30"/>
    </row>
    <row r="8" spans="1:27" ht="15.75">
      <c r="A8" s="344"/>
      <c r="B8" s="344"/>
      <c r="C8" s="31">
        <v>5</v>
      </c>
      <c r="D8" s="344"/>
      <c r="E8" s="364" t="s">
        <v>3855</v>
      </c>
      <c r="F8" s="371" t="s">
        <v>361</v>
      </c>
      <c r="G8" s="371" t="s">
        <v>327</v>
      </c>
      <c r="H8" s="109" t="s">
        <v>3856</v>
      </c>
      <c r="I8" s="63" t="s">
        <v>3857</v>
      </c>
      <c r="J8" s="171"/>
      <c r="K8" s="25" t="s">
        <v>294</v>
      </c>
      <c r="L8" s="57"/>
      <c r="M8" s="26"/>
      <c r="N8" s="55"/>
      <c r="O8" s="28"/>
      <c r="P8" s="28"/>
      <c r="Q8" s="154" t="s">
        <v>140</v>
      </c>
      <c r="R8" s="25"/>
      <c r="S8" s="154"/>
      <c r="T8" s="30"/>
      <c r="U8" s="30"/>
      <c r="V8" s="30"/>
      <c r="W8" s="30"/>
      <c r="X8" s="30"/>
      <c r="Y8" s="30"/>
      <c r="Z8" s="30"/>
      <c r="AA8" s="30"/>
    </row>
    <row r="9" spans="1:27" ht="45">
      <c r="A9" s="344"/>
      <c r="B9" s="344"/>
      <c r="C9" s="31">
        <v>6</v>
      </c>
      <c r="D9" s="344"/>
      <c r="E9" s="344"/>
      <c r="F9" s="345"/>
      <c r="G9" s="345"/>
      <c r="H9" s="109" t="s">
        <v>3850</v>
      </c>
      <c r="I9" s="63" t="s">
        <v>3851</v>
      </c>
      <c r="J9" s="171"/>
      <c r="K9" s="25"/>
      <c r="L9" s="57"/>
      <c r="M9" s="26"/>
      <c r="N9" s="55"/>
      <c r="O9" s="28" t="s">
        <v>140</v>
      </c>
      <c r="P9" s="28"/>
      <c r="Q9" s="25" t="s">
        <v>282</v>
      </c>
      <c r="R9" s="25"/>
      <c r="S9" s="25"/>
      <c r="T9" s="30"/>
      <c r="U9" s="30"/>
      <c r="V9" s="30"/>
      <c r="W9" s="30"/>
      <c r="X9" s="30"/>
      <c r="Y9" s="30"/>
      <c r="Z9" s="30"/>
      <c r="AA9" s="30"/>
    </row>
    <row r="10" spans="1:27" ht="15.75">
      <c r="A10" s="344"/>
      <c r="B10" s="344"/>
      <c r="C10" s="31">
        <v>7</v>
      </c>
      <c r="D10" s="344"/>
      <c r="E10" s="344"/>
      <c r="F10" s="371" t="s">
        <v>361</v>
      </c>
      <c r="G10" s="371" t="s">
        <v>327</v>
      </c>
      <c r="H10" s="109" t="s">
        <v>3858</v>
      </c>
      <c r="I10" s="63" t="s">
        <v>3859</v>
      </c>
      <c r="J10" s="171"/>
      <c r="K10" s="25" t="s">
        <v>294</v>
      </c>
      <c r="L10" s="57"/>
      <c r="M10" s="26"/>
      <c r="N10" s="55"/>
      <c r="O10" s="28"/>
      <c r="P10" s="28"/>
      <c r="Q10" s="154" t="s">
        <v>140</v>
      </c>
      <c r="R10" s="25"/>
      <c r="S10" s="154"/>
      <c r="T10" s="30"/>
      <c r="U10" s="30"/>
      <c r="V10" s="30"/>
      <c r="W10" s="30"/>
      <c r="X10" s="30"/>
      <c r="Y10" s="30"/>
      <c r="Z10" s="30"/>
      <c r="AA10" s="30"/>
    </row>
    <row r="11" spans="1:27" ht="30">
      <c r="A11" s="344"/>
      <c r="B11" s="344"/>
      <c r="C11" s="31">
        <v>8</v>
      </c>
      <c r="D11" s="344"/>
      <c r="E11" s="345"/>
      <c r="F11" s="345"/>
      <c r="G11" s="345"/>
      <c r="H11" s="109" t="s">
        <v>3850</v>
      </c>
      <c r="I11" s="63" t="s">
        <v>3854</v>
      </c>
      <c r="J11" s="171"/>
      <c r="K11" s="25"/>
      <c r="L11" s="57"/>
      <c r="M11" s="26"/>
      <c r="N11" s="55"/>
      <c r="O11" s="28" t="s">
        <v>140</v>
      </c>
      <c r="P11" s="28"/>
      <c r="Q11" s="25" t="s">
        <v>282</v>
      </c>
      <c r="R11" s="25"/>
      <c r="S11" s="25"/>
      <c r="T11" s="30"/>
      <c r="U11" s="30"/>
      <c r="V11" s="30"/>
      <c r="W11" s="30"/>
      <c r="X11" s="30"/>
      <c r="Y11" s="30"/>
      <c r="Z11" s="30"/>
      <c r="AA11" s="30"/>
    </row>
    <row r="12" spans="1:27" ht="31.5" customHeight="1">
      <c r="A12" s="344"/>
      <c r="B12" s="344"/>
      <c r="C12" s="31">
        <v>9</v>
      </c>
      <c r="D12" s="344"/>
      <c r="E12" s="364" t="s">
        <v>3860</v>
      </c>
      <c r="F12" s="371" t="s">
        <v>361</v>
      </c>
      <c r="G12" s="371" t="s">
        <v>327</v>
      </c>
      <c r="H12" s="109" t="s">
        <v>3861</v>
      </c>
      <c r="I12" s="63" t="s">
        <v>3862</v>
      </c>
      <c r="J12" s="171"/>
      <c r="K12" s="25" t="s">
        <v>294</v>
      </c>
      <c r="L12" s="57"/>
      <c r="M12" s="26"/>
      <c r="N12" s="55"/>
      <c r="O12" s="28"/>
      <c r="P12" s="28"/>
      <c r="Q12" s="154" t="s">
        <v>140</v>
      </c>
      <c r="R12" s="25"/>
      <c r="S12" s="154"/>
      <c r="T12" s="30"/>
      <c r="U12" s="30"/>
      <c r="V12" s="30"/>
      <c r="W12" s="30"/>
      <c r="X12" s="30"/>
      <c r="Y12" s="30"/>
      <c r="Z12" s="30"/>
      <c r="AA12" s="30"/>
    </row>
    <row r="13" spans="1:27" ht="45">
      <c r="A13" s="344"/>
      <c r="B13" s="344"/>
      <c r="C13" s="31">
        <v>10</v>
      </c>
      <c r="D13" s="344"/>
      <c r="E13" s="344"/>
      <c r="F13" s="345"/>
      <c r="G13" s="345"/>
      <c r="H13" s="109" t="s">
        <v>3850</v>
      </c>
      <c r="I13" s="63" t="s">
        <v>3851</v>
      </c>
      <c r="J13" s="171"/>
      <c r="K13" s="25"/>
      <c r="L13" s="57"/>
      <c r="M13" s="26"/>
      <c r="N13" s="55"/>
      <c r="O13" s="28" t="s">
        <v>140</v>
      </c>
      <c r="P13" s="28"/>
      <c r="Q13" s="25" t="s">
        <v>282</v>
      </c>
      <c r="R13" s="25"/>
      <c r="S13" s="25"/>
      <c r="T13" s="30"/>
      <c r="U13" s="30"/>
      <c r="V13" s="30"/>
      <c r="W13" s="30"/>
      <c r="X13" s="30"/>
      <c r="Y13" s="30"/>
      <c r="Z13" s="30"/>
      <c r="AA13" s="30"/>
    </row>
    <row r="14" spans="1:27" ht="31.5" customHeight="1">
      <c r="A14" s="344"/>
      <c r="B14" s="344"/>
      <c r="C14" s="31">
        <v>11</v>
      </c>
      <c r="D14" s="344"/>
      <c r="E14" s="344"/>
      <c r="F14" s="371" t="s">
        <v>361</v>
      </c>
      <c r="G14" s="371" t="s">
        <v>327</v>
      </c>
      <c r="H14" s="109" t="s">
        <v>3863</v>
      </c>
      <c r="I14" s="63" t="s">
        <v>3864</v>
      </c>
      <c r="J14" s="171"/>
      <c r="K14" s="25" t="s">
        <v>294</v>
      </c>
      <c r="L14" s="57"/>
      <c r="M14" s="26"/>
      <c r="N14" s="55"/>
      <c r="O14" s="28"/>
      <c r="P14" s="28"/>
      <c r="Q14" s="154" t="s">
        <v>140</v>
      </c>
      <c r="R14" s="25"/>
      <c r="S14" s="154"/>
      <c r="T14" s="30"/>
      <c r="U14" s="30"/>
      <c r="V14" s="30"/>
      <c r="W14" s="30"/>
      <c r="X14" s="30"/>
      <c r="Y14" s="30"/>
      <c r="Z14" s="30"/>
      <c r="AA14" s="30"/>
    </row>
    <row r="15" spans="1:27" ht="30">
      <c r="A15" s="344"/>
      <c r="B15" s="344"/>
      <c r="C15" s="31">
        <v>12</v>
      </c>
      <c r="D15" s="344"/>
      <c r="E15" s="345"/>
      <c r="F15" s="345"/>
      <c r="G15" s="345"/>
      <c r="H15" s="109" t="s">
        <v>3850</v>
      </c>
      <c r="I15" s="63" t="s">
        <v>3854</v>
      </c>
      <c r="J15" s="171"/>
      <c r="K15" s="25"/>
      <c r="L15" s="57"/>
      <c r="M15" s="26"/>
      <c r="N15" s="55"/>
      <c r="O15" s="28" t="s">
        <v>140</v>
      </c>
      <c r="P15" s="28"/>
      <c r="Q15" s="25" t="s">
        <v>282</v>
      </c>
      <c r="R15" s="25"/>
      <c r="S15" s="25"/>
      <c r="T15" s="30"/>
      <c r="U15" s="30"/>
      <c r="V15" s="30"/>
      <c r="W15" s="30"/>
      <c r="X15" s="30"/>
      <c r="Y15" s="30"/>
      <c r="Z15" s="30"/>
      <c r="AA15" s="30"/>
    </row>
    <row r="16" spans="1:27" ht="15.75">
      <c r="A16" s="344"/>
      <c r="B16" s="344"/>
      <c r="C16" s="31">
        <v>13</v>
      </c>
      <c r="D16" s="344"/>
      <c r="E16" s="364" t="s">
        <v>3865</v>
      </c>
      <c r="F16" s="371" t="s">
        <v>361</v>
      </c>
      <c r="G16" s="371" t="s">
        <v>327</v>
      </c>
      <c r="H16" s="109" t="s">
        <v>3866</v>
      </c>
      <c r="I16" s="63" t="s">
        <v>3867</v>
      </c>
      <c r="J16" s="171"/>
      <c r="K16" s="25" t="s">
        <v>294</v>
      </c>
      <c r="L16" s="57"/>
      <c r="M16" s="26"/>
      <c r="N16" s="55"/>
      <c r="O16" s="28"/>
      <c r="P16" s="28"/>
      <c r="Q16" s="154" t="s">
        <v>140</v>
      </c>
      <c r="R16" s="25"/>
      <c r="S16" s="154"/>
      <c r="T16" s="30"/>
      <c r="U16" s="30"/>
      <c r="V16" s="30"/>
      <c r="W16" s="30"/>
      <c r="X16" s="30"/>
      <c r="Y16" s="30"/>
      <c r="Z16" s="30"/>
      <c r="AA16" s="30"/>
    </row>
    <row r="17" spans="1:27" ht="45">
      <c r="A17" s="344"/>
      <c r="B17" s="344"/>
      <c r="C17" s="31">
        <v>14</v>
      </c>
      <c r="D17" s="344"/>
      <c r="E17" s="344"/>
      <c r="F17" s="345"/>
      <c r="G17" s="345"/>
      <c r="H17" s="109" t="s">
        <v>3850</v>
      </c>
      <c r="I17" s="63" t="s">
        <v>3851</v>
      </c>
      <c r="J17" s="171"/>
      <c r="K17" s="25"/>
      <c r="L17" s="57"/>
      <c r="M17" s="26"/>
      <c r="N17" s="55"/>
      <c r="O17" s="28" t="s">
        <v>140</v>
      </c>
      <c r="P17" s="28"/>
      <c r="Q17" s="25" t="s">
        <v>282</v>
      </c>
      <c r="R17" s="25"/>
      <c r="S17" s="25"/>
      <c r="T17" s="30"/>
      <c r="U17" s="30"/>
      <c r="V17" s="30"/>
      <c r="W17" s="30"/>
      <c r="X17" s="30"/>
      <c r="Y17" s="30"/>
      <c r="Z17" s="30"/>
      <c r="AA17" s="30"/>
    </row>
    <row r="18" spans="1:27" ht="15.75">
      <c r="A18" s="344"/>
      <c r="B18" s="344"/>
      <c r="C18" s="31">
        <v>15</v>
      </c>
      <c r="D18" s="344"/>
      <c r="E18" s="344"/>
      <c r="F18" s="371" t="s">
        <v>361</v>
      </c>
      <c r="G18" s="371" t="s">
        <v>327</v>
      </c>
      <c r="H18" s="109" t="s">
        <v>3868</v>
      </c>
      <c r="I18" s="63" t="s">
        <v>3869</v>
      </c>
      <c r="J18" s="171"/>
      <c r="K18" s="25" t="s">
        <v>294</v>
      </c>
      <c r="L18" s="57"/>
      <c r="M18" s="26"/>
      <c r="N18" s="55"/>
      <c r="O18" s="28"/>
      <c r="P18" s="28"/>
      <c r="Q18" s="154" t="s">
        <v>140</v>
      </c>
      <c r="R18" s="25"/>
      <c r="S18" s="154"/>
      <c r="T18" s="30"/>
      <c r="U18" s="30"/>
      <c r="V18" s="30"/>
      <c r="W18" s="30"/>
      <c r="X18" s="30"/>
      <c r="Y18" s="30"/>
      <c r="Z18" s="30"/>
      <c r="AA18" s="30"/>
    </row>
    <row r="19" spans="1:27" ht="30">
      <c r="A19" s="344"/>
      <c r="B19" s="344"/>
      <c r="C19" s="31">
        <v>16</v>
      </c>
      <c r="D19" s="344"/>
      <c r="E19" s="345"/>
      <c r="F19" s="345"/>
      <c r="G19" s="345"/>
      <c r="H19" s="109" t="s">
        <v>3850</v>
      </c>
      <c r="I19" s="63" t="s">
        <v>3854</v>
      </c>
      <c r="J19" s="171"/>
      <c r="K19" s="25"/>
      <c r="L19" s="57"/>
      <c r="M19" s="26"/>
      <c r="N19" s="55"/>
      <c r="O19" s="28" t="s">
        <v>140</v>
      </c>
      <c r="P19" s="28"/>
      <c r="Q19" s="25" t="s">
        <v>282</v>
      </c>
      <c r="R19" s="25"/>
      <c r="S19" s="25"/>
      <c r="T19" s="30"/>
      <c r="U19" s="30"/>
      <c r="V19" s="30"/>
      <c r="W19" s="30"/>
      <c r="X19" s="30"/>
      <c r="Y19" s="30"/>
      <c r="Z19" s="30"/>
      <c r="AA19" s="30"/>
    </row>
    <row r="20" spans="1:27" ht="15.75">
      <c r="A20" s="344"/>
      <c r="B20" s="344"/>
      <c r="C20" s="31">
        <v>17</v>
      </c>
      <c r="D20" s="344"/>
      <c r="E20" s="364" t="s">
        <v>3870</v>
      </c>
      <c r="F20" s="371" t="s">
        <v>361</v>
      </c>
      <c r="G20" s="371" t="s">
        <v>327</v>
      </c>
      <c r="H20" s="109" t="s">
        <v>3871</v>
      </c>
      <c r="I20" s="63" t="s">
        <v>3872</v>
      </c>
      <c r="J20" s="171"/>
      <c r="K20" s="25" t="s">
        <v>294</v>
      </c>
      <c r="L20" s="57"/>
      <c r="M20" s="26"/>
      <c r="N20" s="55"/>
      <c r="O20" s="28"/>
      <c r="P20" s="28"/>
      <c r="Q20" s="154" t="s">
        <v>140</v>
      </c>
      <c r="R20" s="25"/>
      <c r="S20" s="154"/>
      <c r="T20" s="30"/>
      <c r="U20" s="30"/>
      <c r="V20" s="30"/>
      <c r="W20" s="30"/>
      <c r="X20" s="30"/>
      <c r="Y20" s="30"/>
      <c r="Z20" s="30"/>
      <c r="AA20" s="30"/>
    </row>
    <row r="21" spans="1:27" ht="15.75" customHeight="1">
      <c r="A21" s="344"/>
      <c r="B21" s="344"/>
      <c r="C21" s="31">
        <v>18</v>
      </c>
      <c r="D21" s="344"/>
      <c r="E21" s="344"/>
      <c r="F21" s="345"/>
      <c r="G21" s="345"/>
      <c r="H21" s="109" t="s">
        <v>3850</v>
      </c>
      <c r="I21" s="63" t="s">
        <v>3851</v>
      </c>
      <c r="J21" s="171"/>
      <c r="K21" s="25"/>
      <c r="L21" s="57"/>
      <c r="M21" s="26"/>
      <c r="N21" s="55"/>
      <c r="O21" s="28" t="s">
        <v>140</v>
      </c>
      <c r="P21" s="28"/>
      <c r="Q21" s="25" t="s">
        <v>282</v>
      </c>
      <c r="R21" s="25"/>
      <c r="S21" s="25"/>
      <c r="T21" s="30"/>
      <c r="U21" s="30"/>
      <c r="V21" s="30"/>
      <c r="W21" s="30"/>
      <c r="X21" s="30"/>
      <c r="Y21" s="30"/>
      <c r="Z21" s="30"/>
      <c r="AA21" s="30"/>
    </row>
    <row r="22" spans="1:27" ht="15.75" customHeight="1">
      <c r="A22" s="344"/>
      <c r="B22" s="344"/>
      <c r="C22" s="31">
        <v>19</v>
      </c>
      <c r="D22" s="344"/>
      <c r="E22" s="344"/>
      <c r="F22" s="371" t="s">
        <v>361</v>
      </c>
      <c r="G22" s="371" t="s">
        <v>327</v>
      </c>
      <c r="H22" s="109" t="s">
        <v>3873</v>
      </c>
      <c r="I22" s="63" t="s">
        <v>3874</v>
      </c>
      <c r="J22" s="171"/>
      <c r="K22" s="25" t="s">
        <v>294</v>
      </c>
      <c r="L22" s="57"/>
      <c r="M22" s="26"/>
      <c r="N22" s="55"/>
      <c r="O22" s="28"/>
      <c r="P22" s="28"/>
      <c r="Q22" s="154" t="s">
        <v>140</v>
      </c>
      <c r="R22" s="25"/>
      <c r="S22" s="154"/>
      <c r="T22" s="30"/>
      <c r="U22" s="30"/>
      <c r="V22" s="30"/>
      <c r="W22" s="30"/>
      <c r="X22" s="30"/>
      <c r="Y22" s="30"/>
      <c r="Z22" s="30"/>
      <c r="AA22" s="30"/>
    </row>
    <row r="23" spans="1:27" ht="15.75" customHeight="1">
      <c r="A23" s="344"/>
      <c r="B23" s="344"/>
      <c r="C23" s="31">
        <v>20</v>
      </c>
      <c r="D23" s="344"/>
      <c r="E23" s="345"/>
      <c r="F23" s="345"/>
      <c r="G23" s="345"/>
      <c r="H23" s="109" t="s">
        <v>3850</v>
      </c>
      <c r="I23" s="63" t="s">
        <v>3854</v>
      </c>
      <c r="J23" s="171"/>
      <c r="K23" s="25"/>
      <c r="L23" s="57"/>
      <c r="M23" s="26"/>
      <c r="N23" s="55"/>
      <c r="O23" s="28" t="s">
        <v>140</v>
      </c>
      <c r="P23" s="28"/>
      <c r="Q23" s="25" t="s">
        <v>282</v>
      </c>
      <c r="R23" s="25"/>
      <c r="S23" s="25"/>
      <c r="T23" s="30"/>
      <c r="U23" s="30"/>
      <c r="V23" s="30"/>
      <c r="W23" s="30"/>
      <c r="X23" s="30"/>
      <c r="Y23" s="30"/>
      <c r="Z23" s="30"/>
      <c r="AA23" s="30"/>
    </row>
    <row r="24" spans="1:27" ht="15.75" customHeight="1">
      <c r="A24" s="344"/>
      <c r="B24" s="344"/>
      <c r="C24" s="31">
        <v>21</v>
      </c>
      <c r="D24" s="344"/>
      <c r="E24" s="364" t="s">
        <v>3875</v>
      </c>
      <c r="F24" s="371" t="s">
        <v>361</v>
      </c>
      <c r="G24" s="371" t="s">
        <v>327</v>
      </c>
      <c r="H24" s="109" t="s">
        <v>3876</v>
      </c>
      <c r="I24" s="63" t="s">
        <v>3877</v>
      </c>
      <c r="J24" s="171"/>
      <c r="K24" s="25" t="s">
        <v>294</v>
      </c>
      <c r="L24" s="57"/>
      <c r="M24" s="26"/>
      <c r="N24" s="55"/>
      <c r="O24" s="28"/>
      <c r="P24" s="28"/>
      <c r="Q24" s="154" t="s">
        <v>140</v>
      </c>
      <c r="R24" s="25"/>
      <c r="S24" s="154"/>
      <c r="T24" s="30"/>
      <c r="U24" s="30"/>
      <c r="V24" s="30"/>
      <c r="W24" s="30"/>
      <c r="X24" s="30"/>
      <c r="Y24" s="30"/>
      <c r="Z24" s="30"/>
      <c r="AA24" s="30"/>
    </row>
    <row r="25" spans="1:27" ht="15.75" customHeight="1">
      <c r="A25" s="344"/>
      <c r="B25" s="344"/>
      <c r="C25" s="31">
        <v>22</v>
      </c>
      <c r="D25" s="344"/>
      <c r="E25" s="344"/>
      <c r="F25" s="345"/>
      <c r="G25" s="345"/>
      <c r="H25" s="109" t="s">
        <v>3850</v>
      </c>
      <c r="I25" s="63" t="s">
        <v>3851</v>
      </c>
      <c r="J25" s="171"/>
      <c r="K25" s="25"/>
      <c r="L25" s="57"/>
      <c r="M25" s="26"/>
      <c r="N25" s="55"/>
      <c r="O25" s="28" t="s">
        <v>140</v>
      </c>
      <c r="P25" s="28"/>
      <c r="Q25" s="25" t="s">
        <v>282</v>
      </c>
      <c r="R25" s="25"/>
      <c r="S25" s="25"/>
      <c r="T25" s="30"/>
      <c r="U25" s="30"/>
      <c r="V25" s="30"/>
      <c r="W25" s="30"/>
      <c r="X25" s="30"/>
      <c r="Y25" s="30"/>
      <c r="Z25" s="30"/>
      <c r="AA25" s="30"/>
    </row>
    <row r="26" spans="1:27" ht="15.75" customHeight="1">
      <c r="A26" s="344"/>
      <c r="B26" s="344"/>
      <c r="C26" s="31">
        <v>23</v>
      </c>
      <c r="D26" s="344"/>
      <c r="E26" s="344"/>
      <c r="F26" s="371" t="s">
        <v>361</v>
      </c>
      <c r="G26" s="371" t="s">
        <v>327</v>
      </c>
      <c r="H26" s="109" t="s">
        <v>3878</v>
      </c>
      <c r="I26" s="63" t="s">
        <v>3879</v>
      </c>
      <c r="J26" s="171"/>
      <c r="K26" s="25" t="s">
        <v>294</v>
      </c>
      <c r="L26" s="57"/>
      <c r="M26" s="26"/>
      <c r="N26" s="55"/>
      <c r="O26" s="28"/>
      <c r="P26" s="28"/>
      <c r="Q26" s="154" t="s">
        <v>140</v>
      </c>
      <c r="R26" s="25"/>
      <c r="S26" s="154"/>
      <c r="T26" s="30"/>
      <c r="U26" s="30"/>
      <c r="V26" s="30"/>
      <c r="W26" s="30"/>
      <c r="X26" s="30"/>
      <c r="Y26" s="30"/>
      <c r="Z26" s="30"/>
      <c r="AA26" s="30"/>
    </row>
    <row r="27" spans="1:27" ht="15.75" customHeight="1">
      <c r="A27" s="345"/>
      <c r="B27" s="345"/>
      <c r="C27" s="31">
        <v>24</v>
      </c>
      <c r="D27" s="345"/>
      <c r="E27" s="345"/>
      <c r="F27" s="345"/>
      <c r="G27" s="345"/>
      <c r="H27" s="109" t="s">
        <v>3850</v>
      </c>
      <c r="I27" s="63" t="s">
        <v>3854</v>
      </c>
      <c r="J27" s="171"/>
      <c r="K27" s="25"/>
      <c r="L27" s="57"/>
      <c r="M27" s="26"/>
      <c r="N27" s="55"/>
      <c r="O27" s="28" t="s">
        <v>140</v>
      </c>
      <c r="P27" s="28"/>
      <c r="Q27" s="25" t="s">
        <v>282</v>
      </c>
      <c r="R27" s="25"/>
      <c r="S27" s="25"/>
      <c r="T27" s="30"/>
      <c r="U27" s="30"/>
      <c r="V27" s="30"/>
      <c r="W27" s="30"/>
      <c r="X27" s="30"/>
      <c r="Y27" s="30"/>
      <c r="Z27" s="30"/>
      <c r="AA27" s="30"/>
    </row>
    <row r="28" spans="1:27" ht="15.75" customHeight="1">
      <c r="A28" s="355" t="s">
        <v>3880</v>
      </c>
      <c r="B28" s="350" t="s">
        <v>81</v>
      </c>
      <c r="C28" s="74">
        <v>1</v>
      </c>
      <c r="D28" s="364" t="s">
        <v>3881</v>
      </c>
      <c r="E28" s="80" t="s">
        <v>3882</v>
      </c>
      <c r="F28" s="74" t="s">
        <v>2</v>
      </c>
      <c r="G28" s="74" t="s">
        <v>2</v>
      </c>
      <c r="H28" s="47" t="s">
        <v>3883</v>
      </c>
      <c r="I28" s="47" t="s">
        <v>3884</v>
      </c>
      <c r="J28" s="168"/>
      <c r="K28" s="25"/>
      <c r="L28" s="57"/>
      <c r="M28" s="26"/>
      <c r="N28" s="27"/>
      <c r="O28" s="25"/>
      <c r="P28" s="25"/>
      <c r="Q28" s="25" t="s">
        <v>282</v>
      </c>
      <c r="R28" s="25"/>
      <c r="S28" s="25"/>
      <c r="T28" s="65"/>
      <c r="U28" s="65"/>
      <c r="V28" s="65"/>
      <c r="W28" s="65"/>
      <c r="X28" s="65"/>
      <c r="Y28" s="65"/>
      <c r="Z28" s="65"/>
      <c r="AA28" s="65"/>
    </row>
    <row r="29" spans="1:27" ht="15.75" customHeight="1">
      <c r="A29" s="344"/>
      <c r="B29" s="344"/>
      <c r="C29" s="74">
        <v>2</v>
      </c>
      <c r="D29" s="344"/>
      <c r="E29" s="80" t="s">
        <v>3885</v>
      </c>
      <c r="F29" s="74" t="s">
        <v>2</v>
      </c>
      <c r="G29" s="74" t="s">
        <v>2</v>
      </c>
      <c r="H29" s="47" t="s">
        <v>3883</v>
      </c>
      <c r="I29" s="47" t="s">
        <v>3886</v>
      </c>
      <c r="J29" s="168"/>
      <c r="K29" s="25"/>
      <c r="L29" s="57"/>
      <c r="M29" s="26"/>
      <c r="N29" s="27"/>
      <c r="O29" s="25"/>
      <c r="P29" s="25"/>
      <c r="Q29" s="25" t="s">
        <v>282</v>
      </c>
      <c r="R29" s="25" t="s">
        <v>7</v>
      </c>
      <c r="S29" s="25"/>
      <c r="T29" s="65"/>
      <c r="U29" s="65"/>
      <c r="V29" s="65"/>
      <c r="W29" s="65"/>
      <c r="X29" s="65"/>
      <c r="Y29" s="65"/>
      <c r="Z29" s="65"/>
      <c r="AA29" s="65"/>
    </row>
    <row r="30" spans="1:27" ht="15.75" customHeight="1">
      <c r="A30" s="344"/>
      <c r="B30" s="344"/>
      <c r="C30" s="74">
        <v>3</v>
      </c>
      <c r="D30" s="344"/>
      <c r="E30" s="80" t="s">
        <v>3887</v>
      </c>
      <c r="F30" s="74" t="s">
        <v>2</v>
      </c>
      <c r="G30" s="74" t="s">
        <v>2</v>
      </c>
      <c r="H30" s="47" t="s">
        <v>3883</v>
      </c>
      <c r="I30" s="47" t="s">
        <v>3884</v>
      </c>
      <c r="J30" s="168"/>
      <c r="K30" s="25"/>
      <c r="L30" s="57"/>
      <c r="M30" s="26"/>
      <c r="N30" s="27"/>
      <c r="O30" s="25"/>
      <c r="P30" s="25"/>
      <c r="Q30" s="25" t="s">
        <v>282</v>
      </c>
      <c r="R30" s="25"/>
      <c r="S30" s="25"/>
      <c r="T30" s="65"/>
      <c r="U30" s="65"/>
      <c r="V30" s="65"/>
      <c r="W30" s="65"/>
      <c r="X30" s="65"/>
      <c r="Y30" s="65"/>
      <c r="Z30" s="65"/>
      <c r="AA30" s="65"/>
    </row>
    <row r="31" spans="1:27" ht="15.75" customHeight="1">
      <c r="A31" s="344"/>
      <c r="B31" s="344"/>
      <c r="C31" s="74">
        <v>4</v>
      </c>
      <c r="D31" s="344"/>
      <c r="E31" s="80" t="s">
        <v>3888</v>
      </c>
      <c r="F31" s="74" t="s">
        <v>2</v>
      </c>
      <c r="G31" s="74" t="s">
        <v>2</v>
      </c>
      <c r="H31" s="47" t="s">
        <v>3883</v>
      </c>
      <c r="I31" s="47" t="s">
        <v>3886</v>
      </c>
      <c r="J31" s="168"/>
      <c r="K31" s="25"/>
      <c r="L31" s="57"/>
      <c r="M31" s="26"/>
      <c r="N31" s="27"/>
      <c r="O31" s="25"/>
      <c r="P31" s="25"/>
      <c r="Q31" s="25" t="s">
        <v>282</v>
      </c>
      <c r="R31" s="25" t="s">
        <v>7</v>
      </c>
      <c r="S31" s="25"/>
      <c r="T31" s="65"/>
      <c r="U31" s="65"/>
      <c r="V31" s="65"/>
      <c r="W31" s="65"/>
      <c r="X31" s="65"/>
      <c r="Y31" s="65"/>
      <c r="Z31" s="65"/>
      <c r="AA31" s="65"/>
    </row>
    <row r="32" spans="1:27" ht="15.75" customHeight="1">
      <c r="A32" s="344"/>
      <c r="B32" s="344"/>
      <c r="C32" s="74">
        <v>5</v>
      </c>
      <c r="D32" s="344"/>
      <c r="E32" s="80" t="s">
        <v>3889</v>
      </c>
      <c r="F32" s="74" t="s">
        <v>2</v>
      </c>
      <c r="G32" s="74" t="s">
        <v>2</v>
      </c>
      <c r="H32" s="47" t="s">
        <v>3883</v>
      </c>
      <c r="I32" s="47" t="s">
        <v>3884</v>
      </c>
      <c r="J32" s="168"/>
      <c r="K32" s="25"/>
      <c r="L32" s="57"/>
      <c r="M32" s="26"/>
      <c r="N32" s="27"/>
      <c r="O32" s="25"/>
      <c r="P32" s="25"/>
      <c r="Q32" s="25" t="s">
        <v>282</v>
      </c>
      <c r="R32" s="25"/>
      <c r="S32" s="25"/>
      <c r="T32" s="65"/>
      <c r="U32" s="65"/>
      <c r="V32" s="65"/>
      <c r="W32" s="65"/>
      <c r="X32" s="65"/>
      <c r="Y32" s="65"/>
      <c r="Z32" s="65"/>
      <c r="AA32" s="65"/>
    </row>
    <row r="33" spans="1:27" ht="15.75" customHeight="1">
      <c r="A33" s="344"/>
      <c r="B33" s="344"/>
      <c r="C33" s="74">
        <v>6</v>
      </c>
      <c r="D33" s="344"/>
      <c r="E33" s="80" t="s">
        <v>3890</v>
      </c>
      <c r="F33" s="74" t="s">
        <v>2</v>
      </c>
      <c r="G33" s="74" t="s">
        <v>2</v>
      </c>
      <c r="H33" s="47" t="s">
        <v>3883</v>
      </c>
      <c r="I33" s="47" t="s">
        <v>3886</v>
      </c>
      <c r="J33" s="168"/>
      <c r="K33" s="25"/>
      <c r="L33" s="57"/>
      <c r="M33" s="26"/>
      <c r="N33" s="27"/>
      <c r="O33" s="25"/>
      <c r="P33" s="25"/>
      <c r="Q33" s="25" t="s">
        <v>282</v>
      </c>
      <c r="R33" s="25" t="s">
        <v>7</v>
      </c>
      <c r="S33" s="25"/>
      <c r="T33" s="65"/>
      <c r="U33" s="65"/>
      <c r="V33" s="65"/>
      <c r="W33" s="65"/>
      <c r="X33" s="65"/>
      <c r="Y33" s="65"/>
      <c r="Z33" s="65"/>
      <c r="AA33" s="65"/>
    </row>
    <row r="34" spans="1:27" ht="15.75" customHeight="1">
      <c r="A34" s="344"/>
      <c r="B34" s="344"/>
      <c r="C34" s="74">
        <v>7</v>
      </c>
      <c r="D34" s="344"/>
      <c r="E34" s="80" t="s">
        <v>3891</v>
      </c>
      <c r="F34" s="74" t="s">
        <v>2</v>
      </c>
      <c r="G34" s="74" t="s">
        <v>2</v>
      </c>
      <c r="H34" s="47" t="s">
        <v>3883</v>
      </c>
      <c r="I34" s="47" t="s">
        <v>3892</v>
      </c>
      <c r="J34" s="168"/>
      <c r="K34" s="25"/>
      <c r="L34" s="57"/>
      <c r="M34" s="26"/>
      <c r="N34" s="27"/>
      <c r="O34" s="25"/>
      <c r="P34" s="25"/>
      <c r="Q34" s="25" t="s">
        <v>282</v>
      </c>
      <c r="R34" s="25"/>
      <c r="S34" s="25"/>
      <c r="T34" s="65"/>
      <c r="U34" s="65"/>
      <c r="V34" s="65"/>
      <c r="W34" s="65"/>
      <c r="X34" s="65"/>
      <c r="Y34" s="65"/>
      <c r="Z34" s="65"/>
      <c r="AA34" s="65"/>
    </row>
    <row r="35" spans="1:27" ht="15.75" customHeight="1">
      <c r="A35" s="344"/>
      <c r="B35" s="344"/>
      <c r="C35" s="74">
        <v>8</v>
      </c>
      <c r="D35" s="344"/>
      <c r="E35" s="80" t="s">
        <v>3893</v>
      </c>
      <c r="F35" s="74" t="s">
        <v>2</v>
      </c>
      <c r="G35" s="74" t="s">
        <v>2</v>
      </c>
      <c r="H35" s="47" t="s">
        <v>3883</v>
      </c>
      <c r="I35" s="47" t="s">
        <v>3886</v>
      </c>
      <c r="J35" s="168"/>
      <c r="K35" s="25"/>
      <c r="L35" s="57"/>
      <c r="M35" s="26"/>
      <c r="N35" s="27"/>
      <c r="O35" s="25"/>
      <c r="P35" s="25"/>
      <c r="Q35" s="25" t="s">
        <v>282</v>
      </c>
      <c r="R35" s="25" t="s">
        <v>298</v>
      </c>
      <c r="S35" s="25"/>
      <c r="T35" s="65"/>
      <c r="U35" s="65"/>
      <c r="V35" s="65"/>
      <c r="W35" s="65"/>
      <c r="X35" s="65"/>
      <c r="Y35" s="65"/>
      <c r="Z35" s="65"/>
      <c r="AA35" s="65"/>
    </row>
    <row r="36" spans="1:27" ht="15.75" customHeight="1">
      <c r="A36" s="353"/>
      <c r="B36" s="353"/>
      <c r="C36" s="86">
        <v>9</v>
      </c>
      <c r="D36" s="353"/>
      <c r="E36" s="181" t="s">
        <v>3894</v>
      </c>
      <c r="F36" s="86" t="s">
        <v>2</v>
      </c>
      <c r="G36" s="86" t="s">
        <v>2</v>
      </c>
      <c r="H36" s="175" t="s">
        <v>3895</v>
      </c>
      <c r="I36" s="47" t="s">
        <v>3896</v>
      </c>
      <c r="J36" s="168"/>
      <c r="K36" s="25"/>
      <c r="L36" s="57"/>
      <c r="M36" s="26"/>
      <c r="N36" s="27"/>
      <c r="O36" s="25"/>
      <c r="P36" s="25"/>
      <c r="Q36" s="25" t="s">
        <v>3897</v>
      </c>
      <c r="R36" s="25" t="s">
        <v>305</v>
      </c>
      <c r="S36" s="25"/>
      <c r="T36" s="65"/>
      <c r="U36" s="65"/>
      <c r="V36" s="65"/>
      <c r="W36" s="65"/>
      <c r="X36" s="65"/>
      <c r="Y36" s="65"/>
      <c r="Z36" s="65"/>
      <c r="AA36" s="65"/>
    </row>
    <row r="37" spans="1:27" ht="15.75" customHeight="1">
      <c r="A37" s="350" t="s">
        <v>3898</v>
      </c>
      <c r="B37" s="350" t="s">
        <v>82</v>
      </c>
      <c r="C37" s="74">
        <v>1</v>
      </c>
      <c r="D37" s="364" t="s">
        <v>3899</v>
      </c>
      <c r="E37" s="80" t="s">
        <v>3900</v>
      </c>
      <c r="F37" s="74" t="s">
        <v>361</v>
      </c>
      <c r="G37" s="74" t="s">
        <v>327</v>
      </c>
      <c r="H37" s="47" t="s">
        <v>3901</v>
      </c>
      <c r="I37" s="47" t="s">
        <v>3902</v>
      </c>
      <c r="J37" s="168"/>
      <c r="K37" s="25"/>
      <c r="L37" s="57"/>
      <c r="M37" s="26"/>
      <c r="N37" s="197"/>
      <c r="O37" s="50"/>
      <c r="P37" s="50"/>
      <c r="Q37" s="25" t="s">
        <v>282</v>
      </c>
      <c r="R37" s="50"/>
      <c r="S37" s="25"/>
      <c r="T37" s="51"/>
      <c r="U37" s="51"/>
      <c r="V37" s="51"/>
      <c r="W37" s="51"/>
      <c r="X37" s="51"/>
      <c r="Y37" s="51"/>
      <c r="Z37" s="51"/>
      <c r="AA37" s="51"/>
    </row>
    <row r="38" spans="1:27" ht="15.75" customHeight="1">
      <c r="A38" s="344"/>
      <c r="B38" s="344"/>
      <c r="C38" s="74">
        <v>2</v>
      </c>
      <c r="D38" s="344"/>
      <c r="E38" s="80" t="s">
        <v>3903</v>
      </c>
      <c r="F38" s="74" t="s">
        <v>361</v>
      </c>
      <c r="G38" s="74" t="s">
        <v>327</v>
      </c>
      <c r="H38" s="47" t="s">
        <v>3901</v>
      </c>
      <c r="I38" s="47" t="s">
        <v>3902</v>
      </c>
      <c r="J38" s="168"/>
      <c r="K38" s="25"/>
      <c r="L38" s="57"/>
      <c r="M38" s="26"/>
      <c r="N38" s="197"/>
      <c r="O38" s="50"/>
      <c r="P38" s="50"/>
      <c r="Q38" s="25" t="s">
        <v>282</v>
      </c>
      <c r="R38" s="50"/>
      <c r="S38" s="25"/>
      <c r="T38" s="51"/>
      <c r="U38" s="51"/>
      <c r="V38" s="51"/>
      <c r="W38" s="51"/>
      <c r="X38" s="51"/>
      <c r="Y38" s="51"/>
      <c r="Z38" s="51"/>
      <c r="AA38" s="51"/>
    </row>
    <row r="39" spans="1:27" ht="15.75" customHeight="1">
      <c r="A39" s="344"/>
      <c r="B39" s="344"/>
      <c r="C39" s="74">
        <v>3</v>
      </c>
      <c r="D39" s="344"/>
      <c r="E39" s="80" t="s">
        <v>3904</v>
      </c>
      <c r="F39" s="74" t="s">
        <v>361</v>
      </c>
      <c r="G39" s="74" t="s">
        <v>327</v>
      </c>
      <c r="H39" s="47" t="s">
        <v>3901</v>
      </c>
      <c r="I39" s="47" t="s">
        <v>3902</v>
      </c>
      <c r="J39" s="168"/>
      <c r="K39" s="25"/>
      <c r="L39" s="57"/>
      <c r="M39" s="26"/>
      <c r="N39" s="197"/>
      <c r="O39" s="50"/>
      <c r="P39" s="50"/>
      <c r="Q39" s="25" t="s">
        <v>282</v>
      </c>
      <c r="R39" s="50"/>
      <c r="S39" s="25"/>
      <c r="T39" s="51"/>
      <c r="U39" s="51"/>
      <c r="V39" s="51"/>
      <c r="W39" s="51"/>
      <c r="X39" s="51"/>
      <c r="Y39" s="51"/>
      <c r="Z39" s="51"/>
      <c r="AA39" s="51"/>
    </row>
    <row r="40" spans="1:27" ht="15.75" customHeight="1">
      <c r="A40" s="344"/>
      <c r="B40" s="344"/>
      <c r="C40" s="74">
        <v>4</v>
      </c>
      <c r="D40" s="344"/>
      <c r="E40" s="80" t="s">
        <v>3905</v>
      </c>
      <c r="F40" s="74" t="s">
        <v>361</v>
      </c>
      <c r="G40" s="74" t="s">
        <v>327</v>
      </c>
      <c r="H40" s="47" t="s">
        <v>3901</v>
      </c>
      <c r="I40" s="47" t="s">
        <v>3902</v>
      </c>
      <c r="J40" s="168"/>
      <c r="K40" s="25"/>
      <c r="L40" s="57"/>
      <c r="M40" s="26"/>
      <c r="N40" s="100"/>
      <c r="O40" s="25"/>
      <c r="P40" s="25"/>
      <c r="Q40" s="25" t="s">
        <v>282</v>
      </c>
      <c r="R40" s="25"/>
      <c r="S40" s="25"/>
      <c r="T40" s="51"/>
      <c r="U40" s="51"/>
      <c r="V40" s="51"/>
      <c r="W40" s="51"/>
      <c r="X40" s="51"/>
      <c r="Y40" s="51"/>
      <c r="Z40" s="51"/>
      <c r="AA40" s="51"/>
    </row>
    <row r="41" spans="1:27" ht="15.75" customHeight="1">
      <c r="A41" s="344"/>
      <c r="B41" s="344"/>
      <c r="C41" s="74">
        <v>5</v>
      </c>
      <c r="D41" s="344"/>
      <c r="E41" s="80" t="s">
        <v>3906</v>
      </c>
      <c r="F41" s="74" t="s">
        <v>361</v>
      </c>
      <c r="G41" s="74" t="s">
        <v>327</v>
      </c>
      <c r="H41" s="47" t="s">
        <v>3901</v>
      </c>
      <c r="I41" s="47" t="s">
        <v>3902</v>
      </c>
      <c r="J41" s="168"/>
      <c r="K41" s="25"/>
      <c r="L41" s="57"/>
      <c r="M41" s="26"/>
      <c r="N41" s="100"/>
      <c r="O41" s="25"/>
      <c r="P41" s="25"/>
      <c r="Q41" s="25" t="s">
        <v>282</v>
      </c>
      <c r="R41" s="25"/>
      <c r="S41" s="25"/>
      <c r="T41" s="51"/>
      <c r="U41" s="51"/>
      <c r="V41" s="51"/>
      <c r="W41" s="51"/>
      <c r="X41" s="51"/>
      <c r="Y41" s="51"/>
      <c r="Z41" s="51"/>
      <c r="AA41" s="51"/>
    </row>
    <row r="42" spans="1:27" ht="15.75" customHeight="1">
      <c r="A42" s="344"/>
      <c r="B42" s="344"/>
      <c r="C42" s="74">
        <v>6</v>
      </c>
      <c r="D42" s="344"/>
      <c r="E42" s="80" t="s">
        <v>3907</v>
      </c>
      <c r="F42" s="74" t="s">
        <v>361</v>
      </c>
      <c r="G42" s="74" t="s">
        <v>327</v>
      </c>
      <c r="H42" s="47" t="s">
        <v>3901</v>
      </c>
      <c r="I42" s="47" t="s">
        <v>3902</v>
      </c>
      <c r="J42" s="168"/>
      <c r="K42" s="25"/>
      <c r="L42" s="57"/>
      <c r="M42" s="26"/>
      <c r="N42" s="100"/>
      <c r="O42" s="25"/>
      <c r="P42" s="25"/>
      <c r="Q42" s="25" t="s">
        <v>282</v>
      </c>
      <c r="R42" s="25"/>
      <c r="S42" s="25"/>
      <c r="T42" s="51"/>
      <c r="U42" s="51"/>
      <c r="V42" s="51"/>
      <c r="W42" s="51"/>
      <c r="X42" s="51"/>
      <c r="Y42" s="51"/>
      <c r="Z42" s="51"/>
      <c r="AA42" s="51"/>
    </row>
    <row r="43" spans="1:27" ht="15.75" customHeight="1">
      <c r="A43" s="344"/>
      <c r="B43" s="344"/>
      <c r="C43" s="74">
        <v>7</v>
      </c>
      <c r="D43" s="344"/>
      <c r="E43" s="80" t="s">
        <v>3908</v>
      </c>
      <c r="F43" s="74" t="s">
        <v>361</v>
      </c>
      <c r="G43" s="74" t="s">
        <v>327</v>
      </c>
      <c r="H43" s="47" t="s">
        <v>3901</v>
      </c>
      <c r="I43" s="47" t="s">
        <v>3902</v>
      </c>
      <c r="J43" s="168"/>
      <c r="K43" s="25"/>
      <c r="L43" s="57"/>
      <c r="M43" s="26"/>
      <c r="N43" s="197"/>
      <c r="O43" s="50"/>
      <c r="P43" s="50"/>
      <c r="Q43" s="25" t="s">
        <v>282</v>
      </c>
      <c r="R43" s="50"/>
      <c r="S43" s="25"/>
      <c r="T43" s="51"/>
      <c r="U43" s="51"/>
      <c r="V43" s="51"/>
      <c r="W43" s="51"/>
      <c r="X43" s="51"/>
      <c r="Y43" s="51"/>
      <c r="Z43" s="51"/>
      <c r="AA43" s="51"/>
    </row>
    <row r="44" spans="1:27" ht="15.75" customHeight="1">
      <c r="A44" s="344"/>
      <c r="B44" s="344"/>
      <c r="C44" s="74">
        <v>8</v>
      </c>
      <c r="D44" s="344"/>
      <c r="E44" s="80" t="s">
        <v>3893</v>
      </c>
      <c r="F44" s="74" t="s">
        <v>361</v>
      </c>
      <c r="G44" s="74" t="s">
        <v>327</v>
      </c>
      <c r="H44" s="47" t="s">
        <v>3901</v>
      </c>
      <c r="I44" s="47" t="s">
        <v>3902</v>
      </c>
      <c r="J44" s="168"/>
      <c r="K44" s="25"/>
      <c r="L44" s="57"/>
      <c r="M44" s="26"/>
      <c r="N44" s="197"/>
      <c r="O44" s="50"/>
      <c r="P44" s="50"/>
      <c r="Q44" s="25" t="s">
        <v>3897</v>
      </c>
      <c r="R44" s="50" t="s">
        <v>298</v>
      </c>
      <c r="S44" s="25"/>
      <c r="T44" s="51"/>
      <c r="U44" s="51"/>
      <c r="V44" s="51"/>
      <c r="W44" s="51"/>
      <c r="X44" s="51"/>
      <c r="Y44" s="51"/>
      <c r="Z44" s="51"/>
      <c r="AA44" s="51"/>
    </row>
    <row r="45" spans="1:27" ht="15.75" customHeight="1">
      <c r="A45" s="353"/>
      <c r="B45" s="353"/>
      <c r="C45" s="86">
        <v>9</v>
      </c>
      <c r="D45" s="353"/>
      <c r="E45" s="181" t="s">
        <v>3909</v>
      </c>
      <c r="F45" s="86" t="s">
        <v>361</v>
      </c>
      <c r="G45" s="86" t="s">
        <v>327</v>
      </c>
      <c r="H45" s="175" t="s">
        <v>3901</v>
      </c>
      <c r="I45" s="47" t="s">
        <v>3902</v>
      </c>
      <c r="J45" s="168"/>
      <c r="K45" s="25"/>
      <c r="L45" s="57"/>
      <c r="M45" s="26"/>
      <c r="N45" s="197"/>
      <c r="O45" s="50"/>
      <c r="P45" s="50"/>
      <c r="Q45" s="25" t="s">
        <v>3897</v>
      </c>
      <c r="R45" s="50" t="s">
        <v>305</v>
      </c>
      <c r="S45" s="25"/>
      <c r="T45" s="51"/>
      <c r="U45" s="51"/>
      <c r="V45" s="51"/>
      <c r="W45" s="51"/>
      <c r="X45" s="51"/>
      <c r="Y45" s="51"/>
      <c r="Z45" s="51"/>
      <c r="AA45" s="51"/>
    </row>
    <row r="46" spans="1:27" ht="15.75" customHeight="1">
      <c r="A46" s="355" t="s">
        <v>3910</v>
      </c>
      <c r="B46" s="350" t="s">
        <v>3911</v>
      </c>
      <c r="C46" s="31">
        <v>1</v>
      </c>
      <c r="D46" s="364" t="s">
        <v>3912</v>
      </c>
      <c r="E46" s="73" t="s">
        <v>3847</v>
      </c>
      <c r="F46" s="46" t="s">
        <v>361</v>
      </c>
      <c r="G46" s="46" t="s">
        <v>327</v>
      </c>
      <c r="H46" s="35" t="s">
        <v>3913</v>
      </c>
      <c r="I46" s="35" t="s">
        <v>3914</v>
      </c>
      <c r="J46" s="172"/>
      <c r="K46" s="25"/>
      <c r="L46" s="57"/>
      <c r="M46" s="26"/>
      <c r="N46" s="55"/>
      <c r="O46" s="25"/>
      <c r="P46" s="25"/>
      <c r="Q46" s="25" t="s">
        <v>282</v>
      </c>
      <c r="R46" s="25"/>
      <c r="S46" s="25"/>
      <c r="T46" s="30"/>
      <c r="U46" s="30"/>
      <c r="V46" s="30"/>
      <c r="W46" s="30"/>
      <c r="X46" s="30"/>
      <c r="Y46" s="30"/>
      <c r="Z46" s="30"/>
      <c r="AA46" s="30"/>
    </row>
    <row r="47" spans="1:27" ht="15.75" customHeight="1">
      <c r="A47" s="344"/>
      <c r="B47" s="344"/>
      <c r="C47" s="31">
        <v>2</v>
      </c>
      <c r="D47" s="344"/>
      <c r="E47" s="73" t="s">
        <v>3855</v>
      </c>
      <c r="F47" s="46" t="s">
        <v>361</v>
      </c>
      <c r="G47" s="46" t="s">
        <v>327</v>
      </c>
      <c r="H47" s="35" t="s">
        <v>3913</v>
      </c>
      <c r="I47" s="35" t="s">
        <v>3914</v>
      </c>
      <c r="J47" s="172"/>
      <c r="K47" s="25"/>
      <c r="L47" s="57"/>
      <c r="M47" s="26"/>
      <c r="N47" s="55"/>
      <c r="O47" s="25"/>
      <c r="P47" s="25"/>
      <c r="Q47" s="25" t="s">
        <v>282</v>
      </c>
      <c r="R47" s="25"/>
      <c r="S47" s="25"/>
      <c r="T47" s="30"/>
      <c r="U47" s="30"/>
      <c r="V47" s="30"/>
      <c r="W47" s="30"/>
      <c r="X47" s="30"/>
      <c r="Y47" s="30"/>
      <c r="Z47" s="30"/>
      <c r="AA47" s="30"/>
    </row>
    <row r="48" spans="1:27" ht="15.75" customHeight="1">
      <c r="A48" s="344"/>
      <c r="B48" s="344"/>
      <c r="C48" s="31">
        <v>3</v>
      </c>
      <c r="D48" s="344"/>
      <c r="E48" s="73" t="s">
        <v>3860</v>
      </c>
      <c r="F48" s="46" t="s">
        <v>361</v>
      </c>
      <c r="G48" s="46" t="s">
        <v>327</v>
      </c>
      <c r="H48" s="35" t="s">
        <v>3913</v>
      </c>
      <c r="I48" s="35" t="s">
        <v>3914</v>
      </c>
      <c r="J48" s="172"/>
      <c r="K48" s="25"/>
      <c r="L48" s="57"/>
      <c r="M48" s="26"/>
      <c r="N48" s="55"/>
      <c r="O48" s="25"/>
      <c r="P48" s="25"/>
      <c r="Q48" s="25" t="s">
        <v>282</v>
      </c>
      <c r="R48" s="25"/>
      <c r="S48" s="25"/>
      <c r="T48" s="30"/>
      <c r="U48" s="30"/>
      <c r="V48" s="30"/>
      <c r="W48" s="30"/>
      <c r="X48" s="30"/>
      <c r="Y48" s="30"/>
      <c r="Z48" s="30"/>
      <c r="AA48" s="30"/>
    </row>
    <row r="49" spans="1:27" ht="15.75" customHeight="1">
      <c r="A49" s="344"/>
      <c r="B49" s="344"/>
      <c r="C49" s="31">
        <v>4</v>
      </c>
      <c r="D49" s="344"/>
      <c r="E49" s="73" t="s">
        <v>3865</v>
      </c>
      <c r="F49" s="46" t="s">
        <v>361</v>
      </c>
      <c r="G49" s="46" t="s">
        <v>327</v>
      </c>
      <c r="H49" s="35" t="s">
        <v>3913</v>
      </c>
      <c r="I49" s="35" t="s">
        <v>3914</v>
      </c>
      <c r="J49" s="172"/>
      <c r="K49" s="25"/>
      <c r="L49" s="57"/>
      <c r="M49" s="26"/>
      <c r="N49" s="55"/>
      <c r="O49" s="25"/>
      <c r="P49" s="25"/>
      <c r="Q49" s="25" t="s">
        <v>282</v>
      </c>
      <c r="R49" s="25"/>
      <c r="S49" s="25"/>
      <c r="T49" s="30"/>
      <c r="U49" s="30"/>
      <c r="V49" s="30"/>
      <c r="W49" s="30"/>
      <c r="X49" s="30"/>
      <c r="Y49" s="30"/>
      <c r="Z49" s="30"/>
      <c r="AA49" s="30"/>
    </row>
    <row r="50" spans="1:27" ht="15.75" customHeight="1">
      <c r="A50" s="344"/>
      <c r="B50" s="344"/>
      <c r="C50" s="31">
        <v>5</v>
      </c>
      <c r="D50" s="344"/>
      <c r="E50" s="73" t="s">
        <v>3915</v>
      </c>
      <c r="F50" s="46" t="s">
        <v>361</v>
      </c>
      <c r="G50" s="46" t="s">
        <v>327</v>
      </c>
      <c r="H50" s="35" t="s">
        <v>3916</v>
      </c>
      <c r="I50" s="35" t="s">
        <v>3917</v>
      </c>
      <c r="J50" s="172"/>
      <c r="K50" s="25"/>
      <c r="L50" s="57"/>
      <c r="M50" s="26"/>
      <c r="N50" s="55"/>
      <c r="O50" s="25"/>
      <c r="P50" s="25"/>
      <c r="Q50" s="25" t="s">
        <v>282</v>
      </c>
      <c r="R50" s="25"/>
      <c r="S50" s="25"/>
      <c r="T50" s="30"/>
      <c r="U50" s="30"/>
      <c r="V50" s="30"/>
      <c r="W50" s="30"/>
      <c r="X50" s="30"/>
      <c r="Y50" s="30"/>
      <c r="Z50" s="30"/>
      <c r="AA50" s="30"/>
    </row>
    <row r="51" spans="1:27" ht="15.75" customHeight="1">
      <c r="A51" s="344"/>
      <c r="B51" s="344"/>
      <c r="C51" s="31">
        <v>6</v>
      </c>
      <c r="D51" s="344"/>
      <c r="E51" s="73" t="s">
        <v>3918</v>
      </c>
      <c r="F51" s="46" t="s">
        <v>361</v>
      </c>
      <c r="G51" s="46" t="s">
        <v>327</v>
      </c>
      <c r="H51" s="35" t="s">
        <v>3919</v>
      </c>
      <c r="I51" s="35" t="s">
        <v>3920</v>
      </c>
      <c r="J51" s="172"/>
      <c r="K51" s="25"/>
      <c r="L51" s="57"/>
      <c r="M51" s="26"/>
      <c r="N51" s="55"/>
      <c r="O51" s="25"/>
      <c r="P51" s="25"/>
      <c r="Q51" s="25" t="s">
        <v>282</v>
      </c>
      <c r="R51" s="25"/>
      <c r="S51" s="25"/>
      <c r="T51" s="30"/>
      <c r="U51" s="30"/>
      <c r="V51" s="30"/>
      <c r="W51" s="30"/>
      <c r="X51" s="30"/>
      <c r="Y51" s="30"/>
      <c r="Z51" s="30"/>
      <c r="AA51" s="30"/>
    </row>
    <row r="52" spans="1:27" ht="15.75" customHeight="1">
      <c r="A52" s="344"/>
      <c r="B52" s="344"/>
      <c r="C52" s="31">
        <v>7</v>
      </c>
      <c r="D52" s="344"/>
      <c r="E52" s="73" t="s">
        <v>3875</v>
      </c>
      <c r="F52" s="46" t="s">
        <v>361</v>
      </c>
      <c r="G52" s="46" t="s">
        <v>327</v>
      </c>
      <c r="H52" s="35" t="s">
        <v>3921</v>
      </c>
      <c r="I52" s="35" t="s">
        <v>3922</v>
      </c>
      <c r="J52" s="172"/>
      <c r="K52" s="25"/>
      <c r="L52" s="57"/>
      <c r="M52" s="26"/>
      <c r="N52" s="55"/>
      <c r="O52" s="25"/>
      <c r="P52" s="25"/>
      <c r="Q52" s="25" t="s">
        <v>282</v>
      </c>
      <c r="R52" s="25"/>
      <c r="S52" s="25"/>
      <c r="T52" s="30"/>
      <c r="U52" s="30"/>
      <c r="V52" s="30"/>
      <c r="W52" s="30"/>
      <c r="X52" s="30"/>
      <c r="Y52" s="30"/>
      <c r="Z52" s="30"/>
      <c r="AA52" s="30"/>
    </row>
    <row r="53" spans="1:27" ht="15.75" customHeight="1">
      <c r="A53" s="344"/>
      <c r="B53" s="344"/>
      <c r="C53" s="31">
        <v>8</v>
      </c>
      <c r="D53" s="344"/>
      <c r="E53" s="73" t="s">
        <v>3923</v>
      </c>
      <c r="F53" s="46" t="s">
        <v>361</v>
      </c>
      <c r="G53" s="46" t="s">
        <v>327</v>
      </c>
      <c r="H53" s="35" t="s">
        <v>3924</v>
      </c>
      <c r="I53" s="35" t="s">
        <v>3922</v>
      </c>
      <c r="J53" s="172"/>
      <c r="K53" s="25"/>
      <c r="L53" s="57"/>
      <c r="M53" s="26"/>
      <c r="N53" s="55"/>
      <c r="O53" s="25"/>
      <c r="P53" s="25"/>
      <c r="Q53" s="25" t="s">
        <v>282</v>
      </c>
      <c r="R53" s="25"/>
      <c r="S53" s="25"/>
      <c r="T53" s="30"/>
      <c r="U53" s="30"/>
      <c r="V53" s="30"/>
      <c r="W53" s="30"/>
      <c r="X53" s="30"/>
      <c r="Y53" s="30"/>
      <c r="Z53" s="30"/>
      <c r="AA53" s="30"/>
    </row>
    <row r="54" spans="1:27" ht="15.75" customHeight="1">
      <c r="A54" s="344"/>
      <c r="B54" s="344"/>
      <c r="C54" s="31">
        <v>9</v>
      </c>
      <c r="D54" s="344"/>
      <c r="E54" s="73" t="s">
        <v>3925</v>
      </c>
      <c r="F54" s="46" t="s">
        <v>361</v>
      </c>
      <c r="G54" s="46" t="s">
        <v>524</v>
      </c>
      <c r="H54" s="35" t="s">
        <v>3926</v>
      </c>
      <c r="I54" s="35" t="s">
        <v>3927</v>
      </c>
      <c r="J54" s="172"/>
      <c r="K54" s="25"/>
      <c r="L54" s="57"/>
      <c r="M54" s="26"/>
      <c r="N54" s="55"/>
      <c r="O54" s="25"/>
      <c r="P54" s="25"/>
      <c r="Q54" s="25" t="s">
        <v>282</v>
      </c>
      <c r="R54" s="25"/>
      <c r="S54" s="25"/>
      <c r="T54" s="30"/>
      <c r="U54" s="30"/>
      <c r="V54" s="30"/>
      <c r="W54" s="30"/>
      <c r="X54" s="30"/>
      <c r="Y54" s="30"/>
      <c r="Z54" s="30"/>
      <c r="AA54" s="30"/>
    </row>
    <row r="55" spans="1:27" ht="15.75" customHeight="1">
      <c r="A55" s="345"/>
      <c r="B55" s="345"/>
      <c r="C55" s="31">
        <v>10</v>
      </c>
      <c r="D55" s="345"/>
      <c r="E55" s="73" t="s">
        <v>3928</v>
      </c>
      <c r="F55" s="46" t="s">
        <v>361</v>
      </c>
      <c r="G55" s="46" t="s">
        <v>524</v>
      </c>
      <c r="H55" s="35" t="s">
        <v>3929</v>
      </c>
      <c r="I55" s="35" t="s">
        <v>3930</v>
      </c>
      <c r="J55" s="172"/>
      <c r="K55" s="25"/>
      <c r="L55" s="57"/>
      <c r="M55" s="26"/>
      <c r="N55" s="55"/>
      <c r="O55" s="25"/>
      <c r="P55" s="25"/>
      <c r="Q55" s="25" t="s">
        <v>282</v>
      </c>
      <c r="R55" s="25"/>
      <c r="S55" s="25"/>
      <c r="T55" s="30"/>
      <c r="U55" s="30"/>
      <c r="V55" s="30"/>
      <c r="W55" s="30"/>
      <c r="X55" s="30"/>
      <c r="Y55" s="30"/>
      <c r="Z55" s="30"/>
      <c r="AA55" s="30"/>
    </row>
    <row r="56" spans="1:27" ht="15.75" customHeight="1">
      <c r="A56" s="355" t="s">
        <v>3931</v>
      </c>
      <c r="B56" s="350" t="s">
        <v>3932</v>
      </c>
      <c r="C56" s="31">
        <v>1</v>
      </c>
      <c r="D56" s="355" t="s">
        <v>3931</v>
      </c>
      <c r="E56" s="39" t="s">
        <v>3847</v>
      </c>
      <c r="F56" s="31" t="s">
        <v>361</v>
      </c>
      <c r="G56" s="31" t="s">
        <v>327</v>
      </c>
      <c r="H56" s="23" t="s">
        <v>3933</v>
      </c>
      <c r="I56" s="23" t="s">
        <v>3934</v>
      </c>
      <c r="J56" s="170"/>
      <c r="K56" s="25"/>
      <c r="L56" s="57"/>
      <c r="M56" s="26"/>
      <c r="N56" s="55"/>
      <c r="O56" s="25"/>
      <c r="P56" s="25"/>
      <c r="Q56" s="25" t="s">
        <v>282</v>
      </c>
      <c r="R56" s="25"/>
      <c r="S56" s="25"/>
      <c r="T56" s="30"/>
      <c r="U56" s="30"/>
      <c r="V56" s="30"/>
      <c r="W56" s="30"/>
      <c r="X56" s="30"/>
      <c r="Y56" s="30"/>
      <c r="Z56" s="30"/>
      <c r="AA56" s="30"/>
    </row>
    <row r="57" spans="1:27" ht="15.75" customHeight="1">
      <c r="A57" s="344"/>
      <c r="B57" s="344"/>
      <c r="C57" s="31">
        <v>2</v>
      </c>
      <c r="D57" s="344"/>
      <c r="E57" s="39" t="s">
        <v>3855</v>
      </c>
      <c r="F57" s="31" t="s">
        <v>361</v>
      </c>
      <c r="G57" s="31" t="s">
        <v>327</v>
      </c>
      <c r="H57" s="23" t="s">
        <v>3933</v>
      </c>
      <c r="I57" s="23" t="s">
        <v>3934</v>
      </c>
      <c r="J57" s="170"/>
      <c r="K57" s="25"/>
      <c r="L57" s="57"/>
      <c r="M57" s="26"/>
      <c r="N57" s="55"/>
      <c r="O57" s="25"/>
      <c r="P57" s="25"/>
      <c r="Q57" s="25" t="s">
        <v>282</v>
      </c>
      <c r="R57" s="25"/>
      <c r="S57" s="25"/>
      <c r="T57" s="30"/>
      <c r="U57" s="30"/>
      <c r="V57" s="30"/>
      <c r="W57" s="30"/>
      <c r="X57" s="30"/>
      <c r="Y57" s="30"/>
      <c r="Z57" s="30"/>
      <c r="AA57" s="30"/>
    </row>
    <row r="58" spans="1:27" ht="15.75" customHeight="1">
      <c r="A58" s="344"/>
      <c r="B58" s="344"/>
      <c r="C58" s="41">
        <v>3</v>
      </c>
      <c r="D58" s="344"/>
      <c r="E58" s="146" t="s">
        <v>3860</v>
      </c>
      <c r="F58" s="41" t="s">
        <v>361</v>
      </c>
      <c r="G58" s="41" t="s">
        <v>327</v>
      </c>
      <c r="H58" s="58" t="s">
        <v>3933</v>
      </c>
      <c r="I58" s="58" t="s">
        <v>3935</v>
      </c>
      <c r="J58" s="253"/>
      <c r="K58" s="25"/>
      <c r="L58" s="57"/>
      <c r="M58" s="48"/>
      <c r="N58" s="4"/>
      <c r="O58" s="50"/>
      <c r="P58" s="50"/>
      <c r="Q58" s="25" t="s">
        <v>282</v>
      </c>
      <c r="R58" s="50"/>
      <c r="S58" s="25"/>
      <c r="T58" s="51"/>
      <c r="U58" s="51"/>
      <c r="V58" s="51"/>
      <c r="W58" s="51"/>
      <c r="X58" s="51"/>
      <c r="Y58" s="51"/>
      <c r="Z58" s="51"/>
      <c r="AA58" s="51"/>
    </row>
    <row r="59" spans="1:27" ht="15.75" customHeight="1">
      <c r="A59" s="344"/>
      <c r="B59" s="344"/>
      <c r="C59" s="31">
        <v>4</v>
      </c>
      <c r="D59" s="344"/>
      <c r="E59" s="39" t="s">
        <v>3865</v>
      </c>
      <c r="F59" s="31" t="s">
        <v>361</v>
      </c>
      <c r="G59" s="31" t="s">
        <v>327</v>
      </c>
      <c r="H59" s="23" t="s">
        <v>3933</v>
      </c>
      <c r="I59" s="23" t="s">
        <v>3934</v>
      </c>
      <c r="J59" s="170"/>
      <c r="K59" s="25"/>
      <c r="L59" s="57"/>
      <c r="M59" s="26"/>
      <c r="N59" s="55"/>
      <c r="O59" s="25"/>
      <c r="P59" s="25"/>
      <c r="Q59" s="25" t="s">
        <v>282</v>
      </c>
      <c r="R59" s="25"/>
      <c r="S59" s="25"/>
      <c r="T59" s="30"/>
      <c r="U59" s="30"/>
      <c r="V59" s="30"/>
      <c r="W59" s="30"/>
      <c r="X59" s="30"/>
      <c r="Y59" s="30"/>
      <c r="Z59" s="30"/>
      <c r="AA59" s="30"/>
    </row>
    <row r="60" spans="1:27" ht="15.75" customHeight="1">
      <c r="A60" s="344"/>
      <c r="B60" s="344"/>
      <c r="C60" s="31">
        <v>5</v>
      </c>
      <c r="D60" s="344"/>
      <c r="E60" s="39" t="s">
        <v>3915</v>
      </c>
      <c r="F60" s="31" t="s">
        <v>361</v>
      </c>
      <c r="G60" s="31" t="s">
        <v>327</v>
      </c>
      <c r="H60" s="23" t="s">
        <v>3936</v>
      </c>
      <c r="I60" s="23" t="s">
        <v>3937</v>
      </c>
      <c r="J60" s="170"/>
      <c r="K60" s="25"/>
      <c r="L60" s="57"/>
      <c r="M60" s="26"/>
      <c r="N60" s="55"/>
      <c r="O60" s="25"/>
      <c r="P60" s="25"/>
      <c r="Q60" s="25" t="s">
        <v>282</v>
      </c>
      <c r="R60" s="25"/>
      <c r="S60" s="25"/>
      <c r="T60" s="30"/>
      <c r="U60" s="30"/>
      <c r="V60" s="30"/>
      <c r="W60" s="30"/>
      <c r="X60" s="30"/>
      <c r="Y60" s="30"/>
      <c r="Z60" s="30"/>
      <c r="AA60" s="30"/>
    </row>
    <row r="61" spans="1:27" ht="15.75" customHeight="1">
      <c r="A61" s="344"/>
      <c r="B61" s="344"/>
      <c r="C61" s="31">
        <v>6</v>
      </c>
      <c r="D61" s="344"/>
      <c r="E61" s="39" t="s">
        <v>3918</v>
      </c>
      <c r="F61" s="31" t="s">
        <v>361</v>
      </c>
      <c r="G61" s="31" t="s">
        <v>327</v>
      </c>
      <c r="H61" s="23" t="s">
        <v>3936</v>
      </c>
      <c r="I61" s="23" t="s">
        <v>3938</v>
      </c>
      <c r="J61" s="170"/>
      <c r="K61" s="25"/>
      <c r="L61" s="57"/>
      <c r="M61" s="26"/>
      <c r="N61" s="55"/>
      <c r="O61" s="25"/>
      <c r="P61" s="25"/>
      <c r="Q61" s="25" t="s">
        <v>282</v>
      </c>
      <c r="R61" s="25"/>
      <c r="S61" s="25"/>
      <c r="T61" s="30"/>
      <c r="U61" s="30"/>
      <c r="V61" s="30"/>
      <c r="W61" s="30"/>
      <c r="X61" s="30"/>
      <c r="Y61" s="30"/>
      <c r="Z61" s="30"/>
      <c r="AA61" s="30"/>
    </row>
    <row r="62" spans="1:27" ht="15.75" customHeight="1">
      <c r="A62" s="344"/>
      <c r="B62" s="344"/>
      <c r="C62" s="31">
        <v>7</v>
      </c>
      <c r="D62" s="344"/>
      <c r="E62" s="39" t="s">
        <v>3875</v>
      </c>
      <c r="F62" s="31" t="s">
        <v>361</v>
      </c>
      <c r="G62" s="31" t="s">
        <v>327</v>
      </c>
      <c r="H62" s="23" t="s">
        <v>3939</v>
      </c>
      <c r="I62" s="23" t="s">
        <v>3940</v>
      </c>
      <c r="J62" s="170"/>
      <c r="K62" s="25"/>
      <c r="L62" s="57"/>
      <c r="M62" s="26"/>
      <c r="N62" s="55"/>
      <c r="O62" s="25"/>
      <c r="P62" s="25"/>
      <c r="Q62" s="25" t="s">
        <v>282</v>
      </c>
      <c r="R62" s="25"/>
      <c r="S62" s="25"/>
      <c r="T62" s="30"/>
      <c r="U62" s="30"/>
      <c r="V62" s="30"/>
      <c r="W62" s="30"/>
      <c r="X62" s="30"/>
      <c r="Y62" s="30"/>
      <c r="Z62" s="30"/>
      <c r="AA62" s="30"/>
    </row>
    <row r="63" spans="1:27" ht="15.75" customHeight="1">
      <c r="A63" s="345"/>
      <c r="B63" s="345"/>
      <c r="C63" s="31">
        <v>8</v>
      </c>
      <c r="D63" s="345"/>
      <c r="E63" s="39" t="s">
        <v>3923</v>
      </c>
      <c r="F63" s="31" t="s">
        <v>361</v>
      </c>
      <c r="G63" s="31" t="s">
        <v>327</v>
      </c>
      <c r="H63" s="23" t="s">
        <v>3939</v>
      </c>
      <c r="I63" s="23" t="s">
        <v>3941</v>
      </c>
      <c r="J63" s="170"/>
      <c r="K63" s="25"/>
      <c r="L63" s="57"/>
      <c r="M63" s="26"/>
      <c r="N63" s="55"/>
      <c r="O63" s="25"/>
      <c r="P63" s="25"/>
      <c r="Q63" s="25" t="s">
        <v>282</v>
      </c>
      <c r="R63" s="25"/>
      <c r="S63" s="25"/>
      <c r="T63" s="30"/>
      <c r="U63" s="30"/>
      <c r="V63" s="30"/>
      <c r="W63" s="30"/>
      <c r="X63" s="30"/>
      <c r="Y63" s="30"/>
      <c r="Z63" s="30"/>
      <c r="AA63" s="30"/>
    </row>
    <row r="64" spans="1:27" ht="15.75" customHeight="1">
      <c r="A64" s="356" t="s">
        <v>3942</v>
      </c>
      <c r="B64" s="360" t="s">
        <v>3943</v>
      </c>
      <c r="C64" s="31">
        <v>1</v>
      </c>
      <c r="D64" s="356" t="s">
        <v>3942</v>
      </c>
      <c r="E64" s="39" t="s">
        <v>3847</v>
      </c>
      <c r="F64" s="31" t="s">
        <v>361</v>
      </c>
      <c r="G64" s="31" t="s">
        <v>524</v>
      </c>
      <c r="H64" s="23" t="s">
        <v>3944</v>
      </c>
      <c r="I64" s="23" t="s">
        <v>3934</v>
      </c>
      <c r="J64" s="170"/>
      <c r="K64" s="25"/>
      <c r="L64" s="57"/>
      <c r="M64" s="26"/>
      <c r="N64" s="55"/>
      <c r="O64" s="25"/>
      <c r="P64" s="25"/>
      <c r="Q64" s="25" t="s">
        <v>282</v>
      </c>
      <c r="R64" s="25" t="s">
        <v>7</v>
      </c>
      <c r="S64" s="25"/>
      <c r="T64" s="30"/>
      <c r="U64" s="30"/>
      <c r="V64" s="30"/>
      <c r="W64" s="30"/>
      <c r="X64" s="30"/>
      <c r="Y64" s="30"/>
      <c r="Z64" s="30"/>
      <c r="AA64" s="30"/>
    </row>
    <row r="65" spans="1:27" ht="15.75" customHeight="1">
      <c r="A65" s="344"/>
      <c r="B65" s="344"/>
      <c r="C65" s="31">
        <v>2</v>
      </c>
      <c r="D65" s="344"/>
      <c r="E65" s="39" t="s">
        <v>3855</v>
      </c>
      <c r="F65" s="31" t="s">
        <v>361</v>
      </c>
      <c r="G65" s="31" t="s">
        <v>524</v>
      </c>
      <c r="H65" s="23" t="s">
        <v>3945</v>
      </c>
      <c r="I65" s="23" t="s">
        <v>3946</v>
      </c>
      <c r="J65" s="170"/>
      <c r="K65" s="25"/>
      <c r="L65" s="57"/>
      <c r="M65" s="26"/>
      <c r="N65" s="55"/>
      <c r="O65" s="25"/>
      <c r="P65" s="25"/>
      <c r="Q65" s="25" t="s">
        <v>282</v>
      </c>
      <c r="R65" s="25" t="s">
        <v>7</v>
      </c>
      <c r="S65" s="25"/>
      <c r="T65" s="30"/>
      <c r="U65" s="30"/>
      <c r="V65" s="30"/>
      <c r="W65" s="30"/>
      <c r="X65" s="30"/>
      <c r="Y65" s="30"/>
      <c r="Z65" s="30"/>
      <c r="AA65" s="30"/>
    </row>
    <row r="66" spans="1:27" ht="15.75" customHeight="1">
      <c r="A66" s="344"/>
      <c r="B66" s="344"/>
      <c r="C66" s="31">
        <v>3</v>
      </c>
      <c r="D66" s="344"/>
      <c r="E66" s="39" t="s">
        <v>3860</v>
      </c>
      <c r="F66" s="31" t="s">
        <v>361</v>
      </c>
      <c r="G66" s="31" t="s">
        <v>524</v>
      </c>
      <c r="H66" s="23" t="s">
        <v>3947</v>
      </c>
      <c r="I66" s="23" t="s">
        <v>3948</v>
      </c>
      <c r="J66" s="170"/>
      <c r="K66" s="25"/>
      <c r="L66" s="57"/>
      <c r="M66" s="26"/>
      <c r="N66" s="55"/>
      <c r="O66" s="25"/>
      <c r="P66" s="25"/>
      <c r="Q66" s="25" t="s">
        <v>282</v>
      </c>
      <c r="R66" s="25" t="s">
        <v>7</v>
      </c>
      <c r="S66" s="25"/>
      <c r="T66" s="51"/>
      <c r="U66" s="51"/>
      <c r="V66" s="51"/>
      <c r="W66" s="51"/>
      <c r="X66" s="51"/>
      <c r="Y66" s="51"/>
      <c r="Z66" s="51"/>
      <c r="AA66" s="51"/>
    </row>
    <row r="67" spans="1:27" ht="15.75" customHeight="1">
      <c r="A67" s="344"/>
      <c r="B67" s="344"/>
      <c r="C67" s="31">
        <v>4</v>
      </c>
      <c r="D67" s="344"/>
      <c r="E67" s="39" t="s">
        <v>3865</v>
      </c>
      <c r="F67" s="31" t="s">
        <v>361</v>
      </c>
      <c r="G67" s="31" t="s">
        <v>524</v>
      </c>
      <c r="H67" s="23" t="s">
        <v>3949</v>
      </c>
      <c r="I67" s="23" t="s">
        <v>3946</v>
      </c>
      <c r="J67" s="170"/>
      <c r="K67" s="25"/>
      <c r="L67" s="57"/>
      <c r="M67" s="26"/>
      <c r="N67" s="55"/>
      <c r="O67" s="25"/>
      <c r="P67" s="25"/>
      <c r="Q67" s="25" t="s">
        <v>282</v>
      </c>
      <c r="R67" s="25" t="s">
        <v>7</v>
      </c>
      <c r="S67" s="25"/>
      <c r="T67" s="30"/>
      <c r="U67" s="30"/>
      <c r="V67" s="30"/>
      <c r="W67" s="30"/>
      <c r="X67" s="30"/>
      <c r="Y67" s="30"/>
      <c r="Z67" s="30"/>
      <c r="AA67" s="30"/>
    </row>
    <row r="68" spans="1:27" ht="15.75" customHeight="1">
      <c r="A68" s="344"/>
      <c r="B68" s="344"/>
      <c r="C68" s="31">
        <v>5</v>
      </c>
      <c r="D68" s="344"/>
      <c r="E68" s="39" t="s">
        <v>3915</v>
      </c>
      <c r="F68" s="31" t="s">
        <v>361</v>
      </c>
      <c r="G68" s="31" t="s">
        <v>524</v>
      </c>
      <c r="H68" s="35" t="s">
        <v>3950</v>
      </c>
      <c r="I68" s="35" t="s">
        <v>3917</v>
      </c>
      <c r="J68" s="172"/>
      <c r="K68" s="25"/>
      <c r="L68" s="57"/>
      <c r="M68" s="26"/>
      <c r="N68" s="55"/>
      <c r="O68" s="25"/>
      <c r="P68" s="25"/>
      <c r="Q68" s="25" t="s">
        <v>282</v>
      </c>
      <c r="R68" s="25" t="s">
        <v>7</v>
      </c>
      <c r="S68" s="25"/>
      <c r="T68" s="30"/>
      <c r="U68" s="30"/>
      <c r="V68" s="30"/>
      <c r="W68" s="30"/>
      <c r="X68" s="30"/>
      <c r="Y68" s="30"/>
      <c r="Z68" s="30"/>
      <c r="AA68" s="30"/>
    </row>
    <row r="69" spans="1:27" ht="15.75" customHeight="1">
      <c r="A69" s="344"/>
      <c r="B69" s="344"/>
      <c r="C69" s="31">
        <v>6</v>
      </c>
      <c r="D69" s="344"/>
      <c r="E69" s="39" t="s">
        <v>3918</v>
      </c>
      <c r="F69" s="31" t="s">
        <v>361</v>
      </c>
      <c r="G69" s="31" t="s">
        <v>524</v>
      </c>
      <c r="H69" s="23" t="s">
        <v>3951</v>
      </c>
      <c r="I69" s="23" t="s">
        <v>3938</v>
      </c>
      <c r="J69" s="170"/>
      <c r="K69" s="25"/>
      <c r="L69" s="57"/>
      <c r="M69" s="26"/>
      <c r="N69" s="55"/>
      <c r="O69" s="25"/>
      <c r="P69" s="25"/>
      <c r="Q69" s="25" t="s">
        <v>282</v>
      </c>
      <c r="R69" s="25" t="s">
        <v>7</v>
      </c>
      <c r="S69" s="25"/>
      <c r="T69" s="30"/>
      <c r="U69" s="30"/>
      <c r="V69" s="30"/>
      <c r="W69" s="30"/>
      <c r="X69" s="30"/>
      <c r="Y69" s="30"/>
      <c r="Z69" s="30"/>
      <c r="AA69" s="30"/>
    </row>
    <row r="70" spans="1:27" ht="15.75" customHeight="1">
      <c r="A70" s="344"/>
      <c r="B70" s="344"/>
      <c r="C70" s="31">
        <v>7</v>
      </c>
      <c r="D70" s="344"/>
      <c r="E70" s="39" t="s">
        <v>3875</v>
      </c>
      <c r="F70" s="31" t="s">
        <v>361</v>
      </c>
      <c r="G70" s="31" t="s">
        <v>524</v>
      </c>
      <c r="H70" s="23" t="s">
        <v>3939</v>
      </c>
      <c r="I70" s="23" t="s">
        <v>3952</v>
      </c>
      <c r="J70" s="170"/>
      <c r="K70" s="25"/>
      <c r="L70" s="57"/>
      <c r="M70" s="26"/>
      <c r="N70" s="55"/>
      <c r="O70" s="25"/>
      <c r="P70" s="25"/>
      <c r="Q70" s="25" t="s">
        <v>282</v>
      </c>
      <c r="R70" s="25" t="s">
        <v>7</v>
      </c>
      <c r="S70" s="25"/>
      <c r="T70" s="30"/>
      <c r="U70" s="30"/>
      <c r="V70" s="30"/>
      <c r="W70" s="30"/>
      <c r="X70" s="30"/>
      <c r="Y70" s="30"/>
      <c r="Z70" s="30"/>
      <c r="AA70" s="30"/>
    </row>
    <row r="71" spans="1:27" ht="15.75" customHeight="1">
      <c r="A71" s="345"/>
      <c r="B71" s="345"/>
      <c r="C71" s="31">
        <v>8</v>
      </c>
      <c r="D71" s="345"/>
      <c r="E71" s="39" t="s">
        <v>3923</v>
      </c>
      <c r="F71" s="31" t="s">
        <v>361</v>
      </c>
      <c r="G71" s="31" t="s">
        <v>524</v>
      </c>
      <c r="H71" s="23" t="s">
        <v>3939</v>
      </c>
      <c r="I71" s="23" t="s">
        <v>3953</v>
      </c>
      <c r="J71" s="170"/>
      <c r="K71" s="25"/>
      <c r="L71" s="57"/>
      <c r="M71" s="26"/>
      <c r="N71" s="55"/>
      <c r="O71" s="25"/>
      <c r="P71" s="25"/>
      <c r="Q71" s="25" t="s">
        <v>282</v>
      </c>
      <c r="R71" s="25" t="s">
        <v>7</v>
      </c>
      <c r="S71" s="25"/>
      <c r="T71" s="30"/>
      <c r="U71" s="30"/>
      <c r="V71" s="30"/>
      <c r="W71" s="30"/>
      <c r="X71" s="30"/>
      <c r="Y71" s="30"/>
      <c r="Z71" s="30"/>
      <c r="AA71" s="30"/>
    </row>
    <row r="72" spans="1:27" ht="15.75" customHeight="1">
      <c r="A72" s="356" t="s">
        <v>3954</v>
      </c>
      <c r="B72" s="360" t="s">
        <v>3955</v>
      </c>
      <c r="C72" s="31">
        <v>1</v>
      </c>
      <c r="D72" s="356" t="s">
        <v>3956</v>
      </c>
      <c r="E72" s="39" t="s">
        <v>3847</v>
      </c>
      <c r="F72" s="31" t="s">
        <v>361</v>
      </c>
      <c r="G72" s="31" t="s">
        <v>524</v>
      </c>
      <c r="H72" s="23" t="s">
        <v>3957</v>
      </c>
      <c r="I72" s="23" t="s">
        <v>3958</v>
      </c>
      <c r="J72" s="170"/>
      <c r="K72" s="25"/>
      <c r="L72" s="57"/>
      <c r="M72" s="26"/>
      <c r="N72" s="55"/>
      <c r="O72" s="25"/>
      <c r="P72" s="25"/>
      <c r="Q72" s="25" t="s">
        <v>282</v>
      </c>
      <c r="R72" s="25" t="s">
        <v>7</v>
      </c>
      <c r="S72" s="25"/>
      <c r="T72" s="30"/>
      <c r="U72" s="30"/>
      <c r="V72" s="30"/>
      <c r="W72" s="30"/>
      <c r="X72" s="30"/>
      <c r="Y72" s="30"/>
      <c r="Z72" s="30"/>
      <c r="AA72" s="30"/>
    </row>
    <row r="73" spans="1:27" ht="15.75" customHeight="1">
      <c r="A73" s="344"/>
      <c r="B73" s="344"/>
      <c r="C73" s="31">
        <v>2</v>
      </c>
      <c r="D73" s="344"/>
      <c r="E73" s="39" t="s">
        <v>3915</v>
      </c>
      <c r="F73" s="31" t="s">
        <v>361</v>
      </c>
      <c r="G73" s="31" t="s">
        <v>524</v>
      </c>
      <c r="H73" s="23" t="s">
        <v>3959</v>
      </c>
      <c r="I73" s="23" t="s">
        <v>3960</v>
      </c>
      <c r="J73" s="170"/>
      <c r="K73" s="25"/>
      <c r="L73" s="57"/>
      <c r="M73" s="26"/>
      <c r="N73" s="55"/>
      <c r="O73" s="25"/>
      <c r="P73" s="25"/>
      <c r="Q73" s="25" t="s">
        <v>282</v>
      </c>
      <c r="R73" s="25" t="s">
        <v>7</v>
      </c>
      <c r="S73" s="25"/>
      <c r="T73" s="30"/>
      <c r="U73" s="30"/>
      <c r="V73" s="30"/>
      <c r="W73" s="30"/>
      <c r="X73" s="30"/>
      <c r="Y73" s="30"/>
      <c r="Z73" s="30"/>
      <c r="AA73" s="30"/>
    </row>
    <row r="74" spans="1:27" ht="15.75" customHeight="1">
      <c r="A74" s="344"/>
      <c r="B74" s="344"/>
      <c r="C74" s="31">
        <v>3</v>
      </c>
      <c r="D74" s="344"/>
      <c r="E74" s="39" t="s">
        <v>3918</v>
      </c>
      <c r="F74" s="31" t="s">
        <v>361</v>
      </c>
      <c r="G74" s="31" t="s">
        <v>524</v>
      </c>
      <c r="H74" s="23" t="s">
        <v>3961</v>
      </c>
      <c r="I74" s="23" t="s">
        <v>3962</v>
      </c>
      <c r="J74" s="170"/>
      <c r="K74" s="25"/>
      <c r="L74" s="57"/>
      <c r="M74" s="26"/>
      <c r="N74" s="55"/>
      <c r="O74" s="25"/>
      <c r="P74" s="25"/>
      <c r="Q74" s="25" t="s">
        <v>282</v>
      </c>
      <c r="R74" s="25" t="s">
        <v>7</v>
      </c>
      <c r="S74" s="25"/>
      <c r="T74" s="30"/>
      <c r="U74" s="30"/>
      <c r="V74" s="30"/>
      <c r="W74" s="30"/>
      <c r="X74" s="30"/>
      <c r="Y74" s="30"/>
      <c r="Z74" s="30"/>
      <c r="AA74" s="30"/>
    </row>
    <row r="75" spans="1:27" ht="15.75" customHeight="1">
      <c r="A75" s="344"/>
      <c r="B75" s="344"/>
      <c r="C75" s="31">
        <v>4</v>
      </c>
      <c r="D75" s="344"/>
      <c r="E75" s="39" t="s">
        <v>3875</v>
      </c>
      <c r="F75" s="31" t="s">
        <v>361</v>
      </c>
      <c r="G75" s="31" t="s">
        <v>524</v>
      </c>
      <c r="H75" s="23" t="s">
        <v>3939</v>
      </c>
      <c r="I75" s="23" t="s">
        <v>3963</v>
      </c>
      <c r="J75" s="170"/>
      <c r="K75" s="25"/>
      <c r="L75" s="57"/>
      <c r="M75" s="26"/>
      <c r="N75" s="55"/>
      <c r="O75" s="25"/>
      <c r="P75" s="25"/>
      <c r="Q75" s="25" t="s">
        <v>282</v>
      </c>
      <c r="R75" s="25" t="s">
        <v>7</v>
      </c>
      <c r="S75" s="25"/>
      <c r="T75" s="30"/>
      <c r="U75" s="30"/>
      <c r="V75" s="30"/>
      <c r="W75" s="30"/>
      <c r="X75" s="30"/>
      <c r="Y75" s="30"/>
      <c r="Z75" s="30"/>
      <c r="AA75" s="30"/>
    </row>
    <row r="76" spans="1:27" ht="15.75" customHeight="1">
      <c r="A76" s="345"/>
      <c r="B76" s="345"/>
      <c r="C76" s="31">
        <v>5</v>
      </c>
      <c r="D76" s="345"/>
      <c r="E76" s="39" t="s">
        <v>3923</v>
      </c>
      <c r="F76" s="31" t="s">
        <v>361</v>
      </c>
      <c r="G76" s="31" t="s">
        <v>524</v>
      </c>
      <c r="H76" s="23" t="s">
        <v>3939</v>
      </c>
      <c r="I76" s="23" t="s">
        <v>3964</v>
      </c>
      <c r="J76" s="170"/>
      <c r="K76" s="25"/>
      <c r="L76" s="57"/>
      <c r="M76" s="26"/>
      <c r="N76" s="55"/>
      <c r="O76" s="25"/>
      <c r="P76" s="25"/>
      <c r="Q76" s="25" t="s">
        <v>282</v>
      </c>
      <c r="R76" s="25" t="s">
        <v>7</v>
      </c>
      <c r="S76" s="25"/>
      <c r="T76" s="30"/>
      <c r="U76" s="30"/>
      <c r="V76" s="30"/>
      <c r="W76" s="30"/>
      <c r="X76" s="30"/>
      <c r="Y76" s="30"/>
      <c r="Z76" s="30"/>
      <c r="AA76" s="30"/>
    </row>
    <row r="77" spans="1:27" ht="15.75" customHeight="1">
      <c r="A77" s="355" t="s">
        <v>3965</v>
      </c>
      <c r="B77" s="350" t="s">
        <v>3966</v>
      </c>
      <c r="C77" s="31">
        <v>1</v>
      </c>
      <c r="D77" s="355" t="s">
        <v>3965</v>
      </c>
      <c r="E77" s="39" t="s">
        <v>3847</v>
      </c>
      <c r="F77" s="31" t="s">
        <v>361</v>
      </c>
      <c r="G77" s="31" t="s">
        <v>524</v>
      </c>
      <c r="H77" s="23" t="s">
        <v>3967</v>
      </c>
      <c r="I77" s="23" t="s">
        <v>3934</v>
      </c>
      <c r="J77" s="170"/>
      <c r="K77" s="25"/>
      <c r="L77" s="57"/>
      <c r="M77" s="26"/>
      <c r="N77" s="55"/>
      <c r="O77" s="25"/>
      <c r="P77" s="25"/>
      <c r="Q77" s="25" t="s">
        <v>282</v>
      </c>
      <c r="R77" s="25" t="s">
        <v>7</v>
      </c>
      <c r="S77" s="25"/>
      <c r="T77" s="30"/>
      <c r="U77" s="30"/>
      <c r="V77" s="30"/>
      <c r="W77" s="30"/>
      <c r="X77" s="30"/>
      <c r="Y77" s="30"/>
      <c r="Z77" s="30"/>
      <c r="AA77" s="30"/>
    </row>
    <row r="78" spans="1:27" ht="15.75" customHeight="1">
      <c r="A78" s="344"/>
      <c r="B78" s="344"/>
      <c r="C78" s="31">
        <v>2</v>
      </c>
      <c r="D78" s="344"/>
      <c r="E78" s="39" t="s">
        <v>3855</v>
      </c>
      <c r="F78" s="31" t="s">
        <v>361</v>
      </c>
      <c r="G78" s="31" t="s">
        <v>524</v>
      </c>
      <c r="H78" s="23" t="s">
        <v>3968</v>
      </c>
      <c r="I78" s="23" t="s">
        <v>3946</v>
      </c>
      <c r="J78" s="170"/>
      <c r="K78" s="25"/>
      <c r="L78" s="57"/>
      <c r="M78" s="26"/>
      <c r="N78" s="55"/>
      <c r="O78" s="25"/>
      <c r="P78" s="25"/>
      <c r="Q78" s="25" t="s">
        <v>282</v>
      </c>
      <c r="R78" s="25" t="s">
        <v>7</v>
      </c>
      <c r="S78" s="25"/>
      <c r="T78" s="30"/>
      <c r="U78" s="30"/>
      <c r="V78" s="30"/>
      <c r="W78" s="30"/>
      <c r="X78" s="30"/>
      <c r="Y78" s="30"/>
      <c r="Z78" s="30"/>
      <c r="AA78" s="30"/>
    </row>
    <row r="79" spans="1:27" ht="15.75" customHeight="1">
      <c r="A79" s="344"/>
      <c r="B79" s="344"/>
      <c r="C79" s="31">
        <v>3</v>
      </c>
      <c r="D79" s="344"/>
      <c r="E79" s="39" t="s">
        <v>3860</v>
      </c>
      <c r="F79" s="31" t="s">
        <v>361</v>
      </c>
      <c r="G79" s="31" t="s">
        <v>524</v>
      </c>
      <c r="H79" s="23" t="s">
        <v>3969</v>
      </c>
      <c r="I79" s="23" t="s">
        <v>3948</v>
      </c>
      <c r="J79" s="170"/>
      <c r="K79" s="25"/>
      <c r="L79" s="57"/>
      <c r="M79" s="26"/>
      <c r="N79" s="55"/>
      <c r="O79" s="25"/>
      <c r="P79" s="25"/>
      <c r="Q79" s="25" t="s">
        <v>282</v>
      </c>
      <c r="R79" s="25" t="s">
        <v>7</v>
      </c>
      <c r="S79" s="25"/>
      <c r="T79" s="51"/>
      <c r="U79" s="51"/>
      <c r="V79" s="51"/>
      <c r="W79" s="51"/>
      <c r="X79" s="51"/>
      <c r="Y79" s="51"/>
      <c r="Z79" s="51"/>
      <c r="AA79" s="51"/>
    </row>
    <row r="80" spans="1:27" ht="15.75" customHeight="1">
      <c r="A80" s="344"/>
      <c r="B80" s="344"/>
      <c r="C80" s="31">
        <v>4</v>
      </c>
      <c r="D80" s="344"/>
      <c r="E80" s="39" t="s">
        <v>3865</v>
      </c>
      <c r="F80" s="31" t="s">
        <v>361</v>
      </c>
      <c r="G80" s="31" t="s">
        <v>524</v>
      </c>
      <c r="H80" s="23" t="s">
        <v>3970</v>
      </c>
      <c r="I80" s="23" t="s">
        <v>3946</v>
      </c>
      <c r="J80" s="170"/>
      <c r="K80" s="25"/>
      <c r="L80" s="57"/>
      <c r="M80" s="26"/>
      <c r="N80" s="55"/>
      <c r="O80" s="25"/>
      <c r="P80" s="25"/>
      <c r="Q80" s="25" t="s">
        <v>282</v>
      </c>
      <c r="R80" s="25" t="s">
        <v>7</v>
      </c>
      <c r="S80" s="25"/>
      <c r="T80" s="30"/>
      <c r="U80" s="30"/>
      <c r="V80" s="30"/>
      <c r="W80" s="30"/>
      <c r="X80" s="30"/>
      <c r="Y80" s="30"/>
      <c r="Z80" s="30"/>
      <c r="AA80" s="30"/>
    </row>
    <row r="81" spans="1:27" ht="15.75" customHeight="1">
      <c r="A81" s="344"/>
      <c r="B81" s="344"/>
      <c r="C81" s="31">
        <v>5</v>
      </c>
      <c r="D81" s="344"/>
      <c r="E81" s="39" t="s">
        <v>3915</v>
      </c>
      <c r="F81" s="31" t="s">
        <v>361</v>
      </c>
      <c r="G81" s="31" t="s">
        <v>524</v>
      </c>
      <c r="H81" s="23" t="s">
        <v>3971</v>
      </c>
      <c r="I81" s="23" t="s">
        <v>3937</v>
      </c>
      <c r="J81" s="170"/>
      <c r="K81" s="25"/>
      <c r="L81" s="57"/>
      <c r="M81" s="26"/>
      <c r="N81" s="55"/>
      <c r="O81" s="25"/>
      <c r="P81" s="25"/>
      <c r="Q81" s="25" t="s">
        <v>282</v>
      </c>
      <c r="R81" s="25" t="s">
        <v>7</v>
      </c>
      <c r="S81" s="25"/>
      <c r="T81" s="30"/>
      <c r="U81" s="30"/>
      <c r="V81" s="30"/>
      <c r="W81" s="30"/>
      <c r="X81" s="30"/>
      <c r="Y81" s="30"/>
      <c r="Z81" s="30"/>
      <c r="AA81" s="30"/>
    </row>
    <row r="82" spans="1:27" ht="15.75" customHeight="1">
      <c r="A82" s="344"/>
      <c r="B82" s="344"/>
      <c r="C82" s="31">
        <v>6</v>
      </c>
      <c r="D82" s="344"/>
      <c r="E82" s="39" t="s">
        <v>3918</v>
      </c>
      <c r="F82" s="31" t="s">
        <v>361</v>
      </c>
      <c r="G82" s="31" t="s">
        <v>524</v>
      </c>
      <c r="H82" s="23" t="s">
        <v>3951</v>
      </c>
      <c r="I82" s="23" t="s">
        <v>3938</v>
      </c>
      <c r="J82" s="170"/>
      <c r="K82" s="25"/>
      <c r="L82" s="57"/>
      <c r="M82" s="26"/>
      <c r="N82" s="55"/>
      <c r="O82" s="25"/>
      <c r="P82" s="25"/>
      <c r="Q82" s="25" t="s">
        <v>282</v>
      </c>
      <c r="R82" s="25" t="s">
        <v>7</v>
      </c>
      <c r="S82" s="25"/>
      <c r="T82" s="30"/>
      <c r="U82" s="30"/>
      <c r="V82" s="30"/>
      <c r="W82" s="30"/>
      <c r="X82" s="30"/>
      <c r="Y82" s="30"/>
      <c r="Z82" s="30"/>
      <c r="AA82" s="30"/>
    </row>
    <row r="83" spans="1:27" ht="15.75" customHeight="1">
      <c r="A83" s="344"/>
      <c r="B83" s="344"/>
      <c r="C83" s="31">
        <v>7</v>
      </c>
      <c r="D83" s="344"/>
      <c r="E83" s="39" t="s">
        <v>3875</v>
      </c>
      <c r="F83" s="31" t="s">
        <v>361</v>
      </c>
      <c r="G83" s="31" t="s">
        <v>524</v>
      </c>
      <c r="H83" s="23" t="s">
        <v>3939</v>
      </c>
      <c r="I83" s="23" t="s">
        <v>3952</v>
      </c>
      <c r="J83" s="170"/>
      <c r="K83" s="25"/>
      <c r="L83" s="57"/>
      <c r="M83" s="26"/>
      <c r="N83" s="55"/>
      <c r="O83" s="25"/>
      <c r="P83" s="25"/>
      <c r="Q83" s="25" t="s">
        <v>282</v>
      </c>
      <c r="R83" s="25" t="s">
        <v>7</v>
      </c>
      <c r="S83" s="25"/>
      <c r="T83" s="30"/>
      <c r="U83" s="30"/>
      <c r="V83" s="30"/>
      <c r="W83" s="30"/>
      <c r="X83" s="30"/>
      <c r="Y83" s="30"/>
      <c r="Z83" s="30"/>
      <c r="AA83" s="30"/>
    </row>
    <row r="84" spans="1:27" ht="15.75" customHeight="1">
      <c r="A84" s="345"/>
      <c r="B84" s="345"/>
      <c r="C84" s="31">
        <v>8</v>
      </c>
      <c r="D84" s="345"/>
      <c r="E84" s="39" t="s">
        <v>3923</v>
      </c>
      <c r="F84" s="31" t="s">
        <v>361</v>
      </c>
      <c r="G84" s="31" t="s">
        <v>524</v>
      </c>
      <c r="H84" s="23" t="s">
        <v>3939</v>
      </c>
      <c r="I84" s="23" t="s">
        <v>3953</v>
      </c>
      <c r="J84" s="170"/>
      <c r="K84" s="25"/>
      <c r="L84" s="57"/>
      <c r="M84" s="26"/>
      <c r="N84" s="55"/>
      <c r="O84" s="25"/>
      <c r="P84" s="25"/>
      <c r="Q84" s="25" t="s">
        <v>282</v>
      </c>
      <c r="R84" s="25" t="s">
        <v>7</v>
      </c>
      <c r="S84" s="25"/>
      <c r="T84" s="30"/>
      <c r="U84" s="30"/>
      <c r="V84" s="30"/>
      <c r="W84" s="30"/>
      <c r="X84" s="30"/>
      <c r="Y84" s="30"/>
      <c r="Z84" s="30"/>
      <c r="AA84" s="30"/>
    </row>
    <row r="85" spans="1:27" ht="15.75" customHeight="1">
      <c r="A85" s="355" t="s">
        <v>3972</v>
      </c>
      <c r="B85" s="350" t="s">
        <v>262</v>
      </c>
      <c r="C85" s="31">
        <v>1</v>
      </c>
      <c r="D85" s="355" t="s">
        <v>3973</v>
      </c>
      <c r="E85" s="39" t="s">
        <v>3847</v>
      </c>
      <c r="F85" s="31" t="s">
        <v>2</v>
      </c>
      <c r="G85" s="31" t="s">
        <v>2</v>
      </c>
      <c r="H85" s="23" t="s">
        <v>3974</v>
      </c>
      <c r="I85" s="23" t="s">
        <v>3934</v>
      </c>
      <c r="J85" s="170"/>
      <c r="K85" s="25"/>
      <c r="L85" s="57"/>
      <c r="M85" s="26"/>
      <c r="N85" s="55"/>
      <c r="O85" s="25"/>
      <c r="P85" s="25"/>
      <c r="Q85" s="25" t="s">
        <v>282</v>
      </c>
      <c r="R85" s="25"/>
      <c r="S85" s="25"/>
      <c r="T85" s="30"/>
      <c r="U85" s="30"/>
      <c r="V85" s="30"/>
      <c r="W85" s="30"/>
      <c r="X85" s="30"/>
      <c r="Y85" s="30"/>
      <c r="Z85" s="30"/>
      <c r="AA85" s="30"/>
    </row>
    <row r="86" spans="1:27" ht="15.75" customHeight="1">
      <c r="A86" s="344"/>
      <c r="B86" s="344"/>
      <c r="C86" s="31">
        <v>2</v>
      </c>
      <c r="D86" s="344"/>
      <c r="E86" s="39" t="s">
        <v>3855</v>
      </c>
      <c r="F86" s="31" t="s">
        <v>2</v>
      </c>
      <c r="G86" s="31" t="s">
        <v>2</v>
      </c>
      <c r="H86" s="23" t="s">
        <v>3975</v>
      </c>
      <c r="I86" s="23" t="s">
        <v>3976</v>
      </c>
      <c r="J86" s="170"/>
      <c r="K86" s="25"/>
      <c r="L86" s="57"/>
      <c r="M86" s="26"/>
      <c r="N86" s="55"/>
      <c r="O86" s="25"/>
      <c r="P86" s="25"/>
      <c r="Q86" s="25" t="s">
        <v>282</v>
      </c>
      <c r="R86" s="25"/>
      <c r="S86" s="25"/>
      <c r="T86" s="30"/>
      <c r="U86" s="30"/>
      <c r="V86" s="30"/>
      <c r="W86" s="30"/>
      <c r="X86" s="30"/>
      <c r="Y86" s="30"/>
      <c r="Z86" s="30"/>
      <c r="AA86" s="30"/>
    </row>
    <row r="87" spans="1:27" ht="15.75" customHeight="1">
      <c r="A87" s="344"/>
      <c r="B87" s="344"/>
      <c r="C87" s="41">
        <v>3</v>
      </c>
      <c r="D87" s="344"/>
      <c r="E87" s="146" t="s">
        <v>3860</v>
      </c>
      <c r="F87" s="41" t="s">
        <v>2</v>
      </c>
      <c r="G87" s="41" t="s">
        <v>2</v>
      </c>
      <c r="H87" s="58" t="s">
        <v>3977</v>
      </c>
      <c r="I87" s="58" t="s">
        <v>3978</v>
      </c>
      <c r="J87" s="253"/>
      <c r="K87" s="25"/>
      <c r="L87" s="57"/>
      <c r="M87" s="48"/>
      <c r="N87" s="4"/>
      <c r="O87" s="50"/>
      <c r="P87" s="50"/>
      <c r="Q87" s="25" t="s">
        <v>282</v>
      </c>
      <c r="R87" s="50"/>
      <c r="S87" s="25"/>
      <c r="T87" s="51"/>
      <c r="U87" s="51"/>
      <c r="V87" s="51"/>
      <c r="W87" s="51"/>
      <c r="X87" s="51"/>
      <c r="Y87" s="51"/>
      <c r="Z87" s="51"/>
      <c r="AA87" s="51"/>
    </row>
    <row r="88" spans="1:27" ht="15.75" customHeight="1">
      <c r="A88" s="344"/>
      <c r="B88" s="344"/>
      <c r="C88" s="31">
        <v>4</v>
      </c>
      <c r="D88" s="344"/>
      <c r="E88" s="39" t="s">
        <v>3865</v>
      </c>
      <c r="F88" s="31" t="s">
        <v>2</v>
      </c>
      <c r="G88" s="31" t="s">
        <v>2</v>
      </c>
      <c r="H88" s="23" t="s">
        <v>3977</v>
      </c>
      <c r="I88" s="23" t="s">
        <v>3934</v>
      </c>
      <c r="J88" s="170"/>
      <c r="K88" s="25"/>
      <c r="L88" s="57"/>
      <c r="M88" s="26"/>
      <c r="N88" s="55"/>
      <c r="O88" s="25"/>
      <c r="P88" s="25"/>
      <c r="Q88" s="25" t="s">
        <v>282</v>
      </c>
      <c r="R88" s="25"/>
      <c r="S88" s="25"/>
      <c r="T88" s="30"/>
      <c r="U88" s="30"/>
      <c r="V88" s="30"/>
      <c r="W88" s="30"/>
      <c r="X88" s="30"/>
      <c r="Y88" s="30"/>
      <c r="Z88" s="30"/>
      <c r="AA88" s="30"/>
    </row>
    <row r="89" spans="1:27" ht="15.75" customHeight="1">
      <c r="A89" s="344"/>
      <c r="B89" s="344"/>
      <c r="C89" s="31">
        <v>5</v>
      </c>
      <c r="D89" s="344"/>
      <c r="E89" s="39" t="s">
        <v>3915</v>
      </c>
      <c r="F89" s="31" t="s">
        <v>2</v>
      </c>
      <c r="G89" s="31" t="s">
        <v>2</v>
      </c>
      <c r="H89" s="23" t="s">
        <v>3979</v>
      </c>
      <c r="I89" s="23" t="s">
        <v>3937</v>
      </c>
      <c r="J89" s="170"/>
      <c r="K89" s="25"/>
      <c r="L89" s="57"/>
      <c r="M89" s="26"/>
      <c r="N89" s="55"/>
      <c r="O89" s="25"/>
      <c r="P89" s="25"/>
      <c r="Q89" s="25" t="s">
        <v>282</v>
      </c>
      <c r="R89" s="25"/>
      <c r="S89" s="25"/>
      <c r="T89" s="30"/>
      <c r="U89" s="30"/>
      <c r="V89" s="30"/>
      <c r="W89" s="30"/>
      <c r="X89" s="30"/>
      <c r="Y89" s="30"/>
      <c r="Z89" s="30"/>
      <c r="AA89" s="30"/>
    </row>
    <row r="90" spans="1:27" ht="15.75" customHeight="1">
      <c r="A90" s="344"/>
      <c r="B90" s="344"/>
      <c r="C90" s="31">
        <v>6</v>
      </c>
      <c r="D90" s="344"/>
      <c r="E90" s="39" t="s">
        <v>3918</v>
      </c>
      <c r="F90" s="31" t="s">
        <v>2</v>
      </c>
      <c r="G90" s="31" t="s">
        <v>2</v>
      </c>
      <c r="H90" s="23" t="s">
        <v>3979</v>
      </c>
      <c r="I90" s="23" t="s">
        <v>3938</v>
      </c>
      <c r="J90" s="170"/>
      <c r="K90" s="25"/>
      <c r="L90" s="57"/>
      <c r="M90" s="26"/>
      <c r="N90" s="55"/>
      <c r="O90" s="25"/>
      <c r="P90" s="25"/>
      <c r="Q90" s="25" t="s">
        <v>282</v>
      </c>
      <c r="R90" s="25"/>
      <c r="S90" s="25"/>
      <c r="T90" s="30"/>
      <c r="U90" s="30"/>
      <c r="V90" s="30"/>
      <c r="W90" s="30"/>
      <c r="X90" s="30"/>
      <c r="Y90" s="30"/>
      <c r="Z90" s="30"/>
      <c r="AA90" s="30"/>
    </row>
    <row r="91" spans="1:27" ht="15.75" customHeight="1">
      <c r="A91" s="344"/>
      <c r="B91" s="344"/>
      <c r="C91" s="31">
        <v>7</v>
      </c>
      <c r="D91" s="344"/>
      <c r="E91" s="39" t="s">
        <v>3875</v>
      </c>
      <c r="F91" s="31" t="s">
        <v>2</v>
      </c>
      <c r="G91" s="31" t="s">
        <v>2</v>
      </c>
      <c r="H91" s="23" t="s">
        <v>3939</v>
      </c>
      <c r="I91" s="23" t="s">
        <v>3940</v>
      </c>
      <c r="J91" s="170"/>
      <c r="K91" s="25"/>
      <c r="L91" s="57"/>
      <c r="M91" s="26"/>
      <c r="N91" s="55"/>
      <c r="O91" s="25"/>
      <c r="P91" s="25"/>
      <c r="Q91" s="25" t="s">
        <v>282</v>
      </c>
      <c r="R91" s="25"/>
      <c r="S91" s="25"/>
      <c r="T91" s="30"/>
      <c r="U91" s="30"/>
      <c r="V91" s="30"/>
      <c r="W91" s="30"/>
      <c r="X91" s="30"/>
      <c r="Y91" s="30"/>
      <c r="Z91" s="30"/>
      <c r="AA91" s="30"/>
    </row>
    <row r="92" spans="1:27" ht="15.75" customHeight="1">
      <c r="A92" s="345"/>
      <c r="B92" s="345"/>
      <c r="C92" s="31">
        <v>8</v>
      </c>
      <c r="D92" s="345"/>
      <c r="E92" s="39" t="s">
        <v>3923</v>
      </c>
      <c r="F92" s="31" t="s">
        <v>2</v>
      </c>
      <c r="G92" s="31" t="s">
        <v>2</v>
      </c>
      <c r="H92" s="23" t="s">
        <v>3939</v>
      </c>
      <c r="I92" s="23" t="s">
        <v>3941</v>
      </c>
      <c r="J92" s="170"/>
      <c r="K92" s="25"/>
      <c r="L92" s="57"/>
      <c r="M92" s="26"/>
      <c r="N92" s="55"/>
      <c r="O92" s="25"/>
      <c r="P92" s="25"/>
      <c r="Q92" s="25" t="s">
        <v>282</v>
      </c>
      <c r="R92" s="25"/>
      <c r="S92" s="25"/>
      <c r="T92" s="30"/>
      <c r="U92" s="30"/>
      <c r="V92" s="30"/>
      <c r="W92" s="30"/>
      <c r="X92" s="30"/>
      <c r="Y92" s="30"/>
      <c r="Z92" s="30"/>
      <c r="AA92" s="30"/>
    </row>
    <row r="93" spans="1:27" ht="15.75" customHeight="1">
      <c r="A93" s="364" t="s">
        <v>3980</v>
      </c>
      <c r="B93" s="363" t="s">
        <v>83</v>
      </c>
      <c r="C93" s="74">
        <v>1</v>
      </c>
      <c r="D93" s="364" t="s">
        <v>3980</v>
      </c>
      <c r="E93" s="80" t="s">
        <v>3847</v>
      </c>
      <c r="F93" s="74" t="s">
        <v>361</v>
      </c>
      <c r="G93" s="74" t="s">
        <v>524</v>
      </c>
      <c r="H93" s="47" t="s">
        <v>3974</v>
      </c>
      <c r="I93" s="63" t="s">
        <v>3934</v>
      </c>
      <c r="J93" s="171"/>
      <c r="K93" s="25"/>
      <c r="L93" s="57"/>
      <c r="M93" s="26"/>
      <c r="N93" s="55"/>
      <c r="O93" s="25"/>
      <c r="P93" s="25"/>
      <c r="Q93" s="25" t="s">
        <v>282</v>
      </c>
      <c r="R93" s="25" t="s">
        <v>298</v>
      </c>
      <c r="S93" s="25"/>
      <c r="T93" s="30"/>
      <c r="U93" s="30"/>
      <c r="V93" s="30"/>
      <c r="W93" s="30"/>
      <c r="X93" s="30"/>
      <c r="Y93" s="30"/>
      <c r="Z93" s="30"/>
      <c r="AA93" s="30"/>
    </row>
    <row r="94" spans="1:27" ht="15.75" customHeight="1">
      <c r="A94" s="344"/>
      <c r="B94" s="344"/>
      <c r="C94" s="74">
        <v>2</v>
      </c>
      <c r="D94" s="344"/>
      <c r="E94" s="80" t="s">
        <v>3855</v>
      </c>
      <c r="F94" s="74" t="s">
        <v>361</v>
      </c>
      <c r="G94" s="74" t="s">
        <v>524</v>
      </c>
      <c r="H94" s="47" t="s">
        <v>3975</v>
      </c>
      <c r="I94" s="63" t="s">
        <v>3946</v>
      </c>
      <c r="J94" s="171"/>
      <c r="K94" s="25"/>
      <c r="L94" s="57"/>
      <c r="M94" s="26"/>
      <c r="N94" s="55"/>
      <c r="O94" s="25"/>
      <c r="P94" s="25"/>
      <c r="Q94" s="25" t="s">
        <v>282</v>
      </c>
      <c r="R94" s="25" t="s">
        <v>298</v>
      </c>
      <c r="S94" s="25"/>
      <c r="T94" s="30"/>
      <c r="U94" s="30"/>
      <c r="V94" s="30"/>
      <c r="W94" s="30"/>
      <c r="X94" s="30"/>
      <c r="Y94" s="30"/>
      <c r="Z94" s="30"/>
      <c r="AA94" s="30"/>
    </row>
    <row r="95" spans="1:27" ht="15.75" customHeight="1">
      <c r="A95" s="344"/>
      <c r="B95" s="344"/>
      <c r="C95" s="74">
        <v>3</v>
      </c>
      <c r="D95" s="344"/>
      <c r="E95" s="80" t="s">
        <v>3860</v>
      </c>
      <c r="F95" s="74" t="s">
        <v>361</v>
      </c>
      <c r="G95" s="74" t="s">
        <v>524</v>
      </c>
      <c r="H95" s="47" t="s">
        <v>3947</v>
      </c>
      <c r="I95" s="63" t="s">
        <v>3948</v>
      </c>
      <c r="J95" s="171"/>
      <c r="K95" s="25"/>
      <c r="L95" s="57"/>
      <c r="M95" s="26"/>
      <c r="N95" s="55"/>
      <c r="O95" s="25"/>
      <c r="P95" s="25"/>
      <c r="Q95" s="25" t="s">
        <v>282</v>
      </c>
      <c r="R95" s="25" t="s">
        <v>298</v>
      </c>
      <c r="S95" s="25"/>
      <c r="T95" s="30"/>
      <c r="U95" s="30"/>
      <c r="V95" s="30"/>
      <c r="W95" s="30"/>
      <c r="X95" s="30"/>
      <c r="Y95" s="30"/>
      <c r="Z95" s="30"/>
      <c r="AA95" s="30"/>
    </row>
    <row r="96" spans="1:27" ht="15.75" customHeight="1">
      <c r="A96" s="344"/>
      <c r="B96" s="344"/>
      <c r="C96" s="74">
        <v>4</v>
      </c>
      <c r="D96" s="344"/>
      <c r="E96" s="80" t="s">
        <v>3865</v>
      </c>
      <c r="F96" s="74" t="s">
        <v>361</v>
      </c>
      <c r="G96" s="74" t="s">
        <v>524</v>
      </c>
      <c r="H96" s="47" t="s">
        <v>3949</v>
      </c>
      <c r="I96" s="63" t="s">
        <v>3946</v>
      </c>
      <c r="J96" s="171"/>
      <c r="K96" s="25"/>
      <c r="L96" s="57"/>
      <c r="M96" s="26"/>
      <c r="N96" s="55"/>
      <c r="O96" s="25"/>
      <c r="P96" s="25"/>
      <c r="Q96" s="25" t="s">
        <v>282</v>
      </c>
      <c r="R96" s="25" t="s">
        <v>298</v>
      </c>
      <c r="S96" s="25"/>
      <c r="T96" s="30"/>
      <c r="U96" s="30"/>
      <c r="V96" s="30"/>
      <c r="W96" s="30"/>
      <c r="X96" s="30"/>
      <c r="Y96" s="30"/>
      <c r="Z96" s="30"/>
      <c r="AA96" s="30"/>
    </row>
    <row r="97" spans="1:27" ht="15.75" customHeight="1">
      <c r="A97" s="344"/>
      <c r="B97" s="344"/>
      <c r="C97" s="74">
        <v>5</v>
      </c>
      <c r="D97" s="344"/>
      <c r="E97" s="80" t="s">
        <v>3915</v>
      </c>
      <c r="F97" s="74" t="s">
        <v>361</v>
      </c>
      <c r="G97" s="74" t="s">
        <v>524</v>
      </c>
      <c r="H97" s="47" t="s">
        <v>3950</v>
      </c>
      <c r="I97" s="63" t="s">
        <v>3917</v>
      </c>
      <c r="J97" s="171"/>
      <c r="K97" s="25"/>
      <c r="L97" s="57"/>
      <c r="M97" s="26"/>
      <c r="N97" s="55"/>
      <c r="O97" s="25"/>
      <c r="P97" s="25"/>
      <c r="Q97" s="25" t="s">
        <v>282</v>
      </c>
      <c r="R97" s="25" t="s">
        <v>298</v>
      </c>
      <c r="S97" s="25"/>
      <c r="T97" s="30"/>
      <c r="U97" s="30"/>
      <c r="V97" s="30"/>
      <c r="W97" s="30"/>
      <c r="X97" s="30"/>
      <c r="Y97" s="30"/>
      <c r="Z97" s="30"/>
      <c r="AA97" s="30"/>
    </row>
    <row r="98" spans="1:27" ht="15.75" customHeight="1">
      <c r="A98" s="344"/>
      <c r="B98" s="344"/>
      <c r="C98" s="74">
        <v>6</v>
      </c>
      <c r="D98" s="344"/>
      <c r="E98" s="80" t="s">
        <v>3918</v>
      </c>
      <c r="F98" s="74" t="s">
        <v>361</v>
      </c>
      <c r="G98" s="74" t="s">
        <v>524</v>
      </c>
      <c r="H98" s="47" t="s">
        <v>3951</v>
      </c>
      <c r="I98" s="63" t="s">
        <v>3938</v>
      </c>
      <c r="J98" s="171"/>
      <c r="K98" s="25"/>
      <c r="L98" s="57"/>
      <c r="M98" s="26"/>
      <c r="N98" s="55"/>
      <c r="O98" s="25"/>
      <c r="P98" s="25"/>
      <c r="Q98" s="25" t="s">
        <v>282</v>
      </c>
      <c r="R98" s="25" t="s">
        <v>298</v>
      </c>
      <c r="S98" s="25"/>
      <c r="T98" s="30"/>
      <c r="U98" s="30"/>
      <c r="V98" s="30"/>
      <c r="W98" s="30"/>
      <c r="X98" s="30"/>
      <c r="Y98" s="30"/>
      <c r="Z98" s="30"/>
      <c r="AA98" s="30"/>
    </row>
    <row r="99" spans="1:27" ht="15.75" customHeight="1">
      <c r="A99" s="344"/>
      <c r="B99" s="344"/>
      <c r="C99" s="74">
        <v>7</v>
      </c>
      <c r="D99" s="344"/>
      <c r="E99" s="80" t="s">
        <v>3875</v>
      </c>
      <c r="F99" s="74" t="s">
        <v>361</v>
      </c>
      <c r="G99" s="74" t="s">
        <v>524</v>
      </c>
      <c r="H99" s="47" t="s">
        <v>3939</v>
      </c>
      <c r="I99" s="63" t="s">
        <v>3952</v>
      </c>
      <c r="J99" s="171"/>
      <c r="K99" s="25"/>
      <c r="L99" s="57"/>
      <c r="M99" s="26"/>
      <c r="N99" s="55"/>
      <c r="O99" s="25"/>
      <c r="P99" s="25"/>
      <c r="Q99" s="25" t="s">
        <v>282</v>
      </c>
      <c r="R99" s="25" t="s">
        <v>298</v>
      </c>
      <c r="S99" s="25"/>
      <c r="T99" s="30"/>
      <c r="U99" s="30"/>
      <c r="V99" s="30"/>
      <c r="W99" s="30"/>
      <c r="X99" s="30"/>
      <c r="Y99" s="30"/>
      <c r="Z99" s="30"/>
      <c r="AA99" s="30"/>
    </row>
    <row r="100" spans="1:27" ht="15.75" customHeight="1">
      <c r="A100" s="345"/>
      <c r="B100" s="345"/>
      <c r="C100" s="74">
        <v>8</v>
      </c>
      <c r="D100" s="345"/>
      <c r="E100" s="80" t="s">
        <v>3923</v>
      </c>
      <c r="F100" s="74" t="s">
        <v>361</v>
      </c>
      <c r="G100" s="74" t="s">
        <v>524</v>
      </c>
      <c r="H100" s="47" t="s">
        <v>3939</v>
      </c>
      <c r="I100" s="63" t="s">
        <v>3953</v>
      </c>
      <c r="J100" s="171"/>
      <c r="K100" s="25"/>
      <c r="L100" s="57"/>
      <c r="M100" s="26"/>
      <c r="N100" s="55"/>
      <c r="O100" s="25"/>
      <c r="P100" s="25"/>
      <c r="Q100" s="25" t="s">
        <v>282</v>
      </c>
      <c r="R100" s="25" t="s">
        <v>298</v>
      </c>
      <c r="S100" s="25"/>
      <c r="T100" s="30"/>
      <c r="U100" s="30"/>
      <c r="V100" s="30"/>
      <c r="W100" s="30"/>
      <c r="X100" s="30"/>
      <c r="Y100" s="30"/>
      <c r="Z100" s="30"/>
      <c r="AA100" s="30"/>
    </row>
    <row r="101" spans="1:27" ht="15.75" customHeight="1">
      <c r="A101" s="364" t="s">
        <v>3981</v>
      </c>
      <c r="B101" s="363" t="s">
        <v>84</v>
      </c>
      <c r="C101" s="74">
        <v>1</v>
      </c>
      <c r="D101" s="364" t="s">
        <v>3982</v>
      </c>
      <c r="E101" s="80" t="s">
        <v>3847</v>
      </c>
      <c r="F101" s="74" t="s">
        <v>361</v>
      </c>
      <c r="G101" s="74" t="s">
        <v>524</v>
      </c>
      <c r="H101" s="47" t="s">
        <v>3974</v>
      </c>
      <c r="I101" s="63" t="s">
        <v>3934</v>
      </c>
      <c r="J101" s="171"/>
      <c r="K101" s="25"/>
      <c r="L101" s="57"/>
      <c r="M101" s="26"/>
      <c r="N101" s="55"/>
      <c r="O101" s="25"/>
      <c r="P101" s="25"/>
      <c r="Q101" s="25" t="s">
        <v>282</v>
      </c>
      <c r="R101" s="25" t="s">
        <v>298</v>
      </c>
      <c r="S101" s="25"/>
      <c r="T101" s="30"/>
      <c r="U101" s="30"/>
      <c r="V101" s="30"/>
      <c r="W101" s="30"/>
      <c r="X101" s="30"/>
      <c r="Y101" s="30"/>
      <c r="Z101" s="30"/>
      <c r="AA101" s="30"/>
    </row>
    <row r="102" spans="1:27" ht="15.75" customHeight="1">
      <c r="A102" s="344"/>
      <c r="B102" s="344"/>
      <c r="C102" s="74">
        <v>2</v>
      </c>
      <c r="D102" s="344"/>
      <c r="E102" s="80" t="s">
        <v>3855</v>
      </c>
      <c r="F102" s="74" t="s">
        <v>361</v>
      </c>
      <c r="G102" s="74" t="s">
        <v>524</v>
      </c>
      <c r="H102" s="47" t="s">
        <v>3975</v>
      </c>
      <c r="I102" s="63" t="s">
        <v>3946</v>
      </c>
      <c r="J102" s="171"/>
      <c r="K102" s="25"/>
      <c r="L102" s="57"/>
      <c r="M102" s="26"/>
      <c r="N102" s="55"/>
      <c r="O102" s="25"/>
      <c r="P102" s="25"/>
      <c r="Q102" s="25" t="s">
        <v>282</v>
      </c>
      <c r="R102" s="25" t="s">
        <v>298</v>
      </c>
      <c r="S102" s="25"/>
      <c r="T102" s="30"/>
      <c r="U102" s="30"/>
      <c r="V102" s="30"/>
      <c r="W102" s="30"/>
      <c r="X102" s="30"/>
      <c r="Y102" s="30"/>
      <c r="Z102" s="30"/>
      <c r="AA102" s="30"/>
    </row>
    <row r="103" spans="1:27" ht="15.75" customHeight="1">
      <c r="A103" s="344"/>
      <c r="B103" s="344"/>
      <c r="C103" s="74">
        <v>3</v>
      </c>
      <c r="D103" s="344"/>
      <c r="E103" s="80" t="s">
        <v>3860</v>
      </c>
      <c r="F103" s="74" t="s">
        <v>361</v>
      </c>
      <c r="G103" s="74" t="s">
        <v>524</v>
      </c>
      <c r="H103" s="47" t="s">
        <v>3947</v>
      </c>
      <c r="I103" s="63" t="s">
        <v>3948</v>
      </c>
      <c r="J103" s="171"/>
      <c r="K103" s="25"/>
      <c r="L103" s="57"/>
      <c r="M103" s="26"/>
      <c r="N103" s="55"/>
      <c r="O103" s="25"/>
      <c r="P103" s="25"/>
      <c r="Q103" s="25" t="s">
        <v>282</v>
      </c>
      <c r="R103" s="25" t="s">
        <v>298</v>
      </c>
      <c r="S103" s="25"/>
      <c r="T103" s="30"/>
      <c r="U103" s="30"/>
      <c r="V103" s="30"/>
      <c r="W103" s="30"/>
      <c r="X103" s="30"/>
      <c r="Y103" s="30"/>
      <c r="Z103" s="30"/>
      <c r="AA103" s="30"/>
    </row>
    <row r="104" spans="1:27" ht="15.75" customHeight="1">
      <c r="A104" s="344"/>
      <c r="B104" s="344"/>
      <c r="C104" s="74">
        <v>4</v>
      </c>
      <c r="D104" s="344"/>
      <c r="E104" s="80" t="s">
        <v>3865</v>
      </c>
      <c r="F104" s="74" t="s">
        <v>361</v>
      </c>
      <c r="G104" s="74" t="s">
        <v>524</v>
      </c>
      <c r="H104" s="47" t="s">
        <v>3949</v>
      </c>
      <c r="I104" s="63" t="s">
        <v>3946</v>
      </c>
      <c r="J104" s="171"/>
      <c r="K104" s="25"/>
      <c r="L104" s="57"/>
      <c r="M104" s="26"/>
      <c r="N104" s="55"/>
      <c r="O104" s="25"/>
      <c r="P104" s="25"/>
      <c r="Q104" s="25" t="s">
        <v>282</v>
      </c>
      <c r="R104" s="25" t="s">
        <v>298</v>
      </c>
      <c r="S104" s="25"/>
      <c r="T104" s="30"/>
      <c r="U104" s="30"/>
      <c r="V104" s="30"/>
      <c r="W104" s="30"/>
      <c r="X104" s="30"/>
      <c r="Y104" s="30"/>
      <c r="Z104" s="30"/>
      <c r="AA104" s="30"/>
    </row>
    <row r="105" spans="1:27" ht="15.75" customHeight="1">
      <c r="A105" s="344"/>
      <c r="B105" s="344"/>
      <c r="C105" s="74">
        <v>5</v>
      </c>
      <c r="D105" s="344"/>
      <c r="E105" s="80" t="s">
        <v>3915</v>
      </c>
      <c r="F105" s="74" t="s">
        <v>361</v>
      </c>
      <c r="G105" s="74" t="s">
        <v>524</v>
      </c>
      <c r="H105" s="47" t="s">
        <v>3950</v>
      </c>
      <c r="I105" s="63" t="s">
        <v>3917</v>
      </c>
      <c r="J105" s="171"/>
      <c r="K105" s="25"/>
      <c r="L105" s="57"/>
      <c r="M105" s="26"/>
      <c r="N105" s="55"/>
      <c r="O105" s="25"/>
      <c r="P105" s="25"/>
      <c r="Q105" s="25" t="s">
        <v>282</v>
      </c>
      <c r="R105" s="25" t="s">
        <v>298</v>
      </c>
      <c r="S105" s="25"/>
      <c r="T105" s="30"/>
      <c r="U105" s="30"/>
      <c r="V105" s="30"/>
      <c r="W105" s="30"/>
      <c r="X105" s="30"/>
      <c r="Y105" s="30"/>
      <c r="Z105" s="30"/>
      <c r="AA105" s="30"/>
    </row>
    <row r="106" spans="1:27" ht="15.75" customHeight="1">
      <c r="A106" s="344"/>
      <c r="B106" s="344"/>
      <c r="C106" s="74">
        <v>6</v>
      </c>
      <c r="D106" s="344"/>
      <c r="E106" s="80" t="s">
        <v>3918</v>
      </c>
      <c r="F106" s="74" t="s">
        <v>361</v>
      </c>
      <c r="G106" s="74" t="s">
        <v>524</v>
      </c>
      <c r="H106" s="47" t="s">
        <v>3951</v>
      </c>
      <c r="I106" s="63" t="s">
        <v>3938</v>
      </c>
      <c r="J106" s="171"/>
      <c r="K106" s="25"/>
      <c r="L106" s="57"/>
      <c r="M106" s="26"/>
      <c r="N106" s="55"/>
      <c r="O106" s="25"/>
      <c r="P106" s="25"/>
      <c r="Q106" s="25" t="s">
        <v>282</v>
      </c>
      <c r="R106" s="25" t="s">
        <v>298</v>
      </c>
      <c r="S106" s="25"/>
      <c r="T106" s="30"/>
      <c r="U106" s="30"/>
      <c r="V106" s="30"/>
      <c r="W106" s="30"/>
      <c r="X106" s="30"/>
      <c r="Y106" s="30"/>
      <c r="Z106" s="30"/>
      <c r="AA106" s="30"/>
    </row>
    <row r="107" spans="1:27" ht="15.75" customHeight="1">
      <c r="A107" s="344"/>
      <c r="B107" s="344"/>
      <c r="C107" s="74">
        <v>7</v>
      </c>
      <c r="D107" s="344"/>
      <c r="E107" s="80" t="s">
        <v>3875</v>
      </c>
      <c r="F107" s="74" t="s">
        <v>361</v>
      </c>
      <c r="G107" s="74" t="s">
        <v>524</v>
      </c>
      <c r="H107" s="47" t="s">
        <v>3939</v>
      </c>
      <c r="I107" s="63" t="s">
        <v>3952</v>
      </c>
      <c r="J107" s="171"/>
      <c r="K107" s="25"/>
      <c r="L107" s="57"/>
      <c r="M107" s="26"/>
      <c r="N107" s="55"/>
      <c r="O107" s="25"/>
      <c r="P107" s="25"/>
      <c r="Q107" s="25" t="s">
        <v>282</v>
      </c>
      <c r="R107" s="25" t="s">
        <v>298</v>
      </c>
      <c r="S107" s="25"/>
      <c r="T107" s="30"/>
      <c r="U107" s="30"/>
      <c r="V107" s="30"/>
      <c r="W107" s="30"/>
      <c r="X107" s="30"/>
      <c r="Y107" s="30"/>
      <c r="Z107" s="30"/>
      <c r="AA107" s="30"/>
    </row>
    <row r="108" spans="1:27" ht="15.75" customHeight="1">
      <c r="A108" s="345"/>
      <c r="B108" s="345"/>
      <c r="C108" s="74">
        <v>8</v>
      </c>
      <c r="D108" s="345"/>
      <c r="E108" s="80" t="s">
        <v>3923</v>
      </c>
      <c r="F108" s="74" t="s">
        <v>361</v>
      </c>
      <c r="G108" s="74" t="s">
        <v>524</v>
      </c>
      <c r="H108" s="47" t="s">
        <v>3939</v>
      </c>
      <c r="I108" s="63" t="s">
        <v>3953</v>
      </c>
      <c r="J108" s="171"/>
      <c r="K108" s="25"/>
      <c r="L108" s="57"/>
      <c r="M108" s="26"/>
      <c r="N108" s="55"/>
      <c r="O108" s="25"/>
      <c r="P108" s="25"/>
      <c r="Q108" s="25" t="s">
        <v>282</v>
      </c>
      <c r="R108" s="25" t="s">
        <v>298</v>
      </c>
      <c r="S108" s="25"/>
      <c r="T108" s="30"/>
      <c r="U108" s="30"/>
      <c r="V108" s="30"/>
      <c r="W108" s="30"/>
      <c r="X108" s="30"/>
      <c r="Y108" s="30"/>
      <c r="Z108" s="30"/>
      <c r="AA108" s="30"/>
    </row>
    <row r="109" spans="1:27" ht="15.75" customHeight="1">
      <c r="A109" s="355" t="s">
        <v>3983</v>
      </c>
      <c r="B109" s="350" t="s">
        <v>3984</v>
      </c>
      <c r="C109" s="31">
        <v>1</v>
      </c>
      <c r="D109" s="355" t="s">
        <v>3983</v>
      </c>
      <c r="E109" s="39" t="s">
        <v>3900</v>
      </c>
      <c r="F109" s="31" t="s">
        <v>361</v>
      </c>
      <c r="G109" s="31" t="s">
        <v>524</v>
      </c>
      <c r="H109" s="23" t="s">
        <v>3929</v>
      </c>
      <c r="I109" s="23" t="s">
        <v>3985</v>
      </c>
      <c r="J109" s="170"/>
      <c r="K109" s="25"/>
      <c r="L109" s="57"/>
      <c r="M109" s="26"/>
      <c r="N109" s="55"/>
      <c r="O109" s="25"/>
      <c r="P109" s="25"/>
      <c r="Q109" s="25" t="s">
        <v>282</v>
      </c>
      <c r="R109" s="25"/>
      <c r="S109" s="25"/>
      <c r="T109" s="30"/>
      <c r="U109" s="30"/>
      <c r="V109" s="30"/>
      <c r="W109" s="30"/>
      <c r="X109" s="30"/>
      <c r="Y109" s="30"/>
      <c r="Z109" s="30"/>
      <c r="AA109" s="30"/>
    </row>
    <row r="110" spans="1:27" ht="15.75" customHeight="1">
      <c r="A110" s="345"/>
      <c r="B110" s="345"/>
      <c r="C110" s="31">
        <v>2</v>
      </c>
      <c r="D110" s="345"/>
      <c r="E110" s="39" t="s">
        <v>3905</v>
      </c>
      <c r="F110" s="31" t="s">
        <v>361</v>
      </c>
      <c r="G110" s="31" t="s">
        <v>327</v>
      </c>
      <c r="H110" s="23" t="s">
        <v>3986</v>
      </c>
      <c r="I110" s="23" t="s">
        <v>3985</v>
      </c>
      <c r="J110" s="170"/>
      <c r="K110" s="25"/>
      <c r="L110" s="57"/>
      <c r="M110" s="26"/>
      <c r="N110" s="55"/>
      <c r="O110" s="25"/>
      <c r="P110" s="25"/>
      <c r="Q110" s="25" t="s">
        <v>282</v>
      </c>
      <c r="R110" s="25" t="s">
        <v>7</v>
      </c>
      <c r="S110" s="25"/>
      <c r="T110" s="30"/>
      <c r="U110" s="30"/>
      <c r="V110" s="30"/>
      <c r="W110" s="30"/>
      <c r="X110" s="30"/>
      <c r="Y110" s="30"/>
      <c r="Z110" s="30"/>
      <c r="AA110" s="30"/>
    </row>
    <row r="111" spans="1:27" ht="15.75" customHeight="1">
      <c r="A111" s="355" t="s">
        <v>3987</v>
      </c>
      <c r="B111" s="350" t="s">
        <v>257</v>
      </c>
      <c r="C111" s="31">
        <v>1</v>
      </c>
      <c r="D111" s="355" t="s">
        <v>3988</v>
      </c>
      <c r="E111" s="368" t="s">
        <v>3989</v>
      </c>
      <c r="F111" s="31"/>
      <c r="G111" s="31"/>
      <c r="H111" s="23" t="s">
        <v>3990</v>
      </c>
      <c r="I111" s="39" t="s">
        <v>3991</v>
      </c>
      <c r="J111" s="289"/>
      <c r="K111" s="25"/>
      <c r="L111" s="57"/>
      <c r="M111" s="26"/>
      <c r="N111" s="55"/>
      <c r="O111" s="25"/>
      <c r="P111" s="25"/>
      <c r="Q111" s="25" t="s">
        <v>282</v>
      </c>
      <c r="R111" s="25"/>
      <c r="S111" s="25"/>
      <c r="T111" s="65"/>
      <c r="U111" s="65"/>
      <c r="V111" s="65"/>
      <c r="W111" s="65"/>
      <c r="X111" s="65"/>
      <c r="Y111" s="65"/>
      <c r="Z111" s="65"/>
      <c r="AA111" s="65"/>
    </row>
    <row r="112" spans="1:27" ht="15.75" customHeight="1">
      <c r="A112" s="344"/>
      <c r="B112" s="344"/>
      <c r="C112" s="31">
        <v>2</v>
      </c>
      <c r="D112" s="344"/>
      <c r="E112" s="344"/>
      <c r="F112" s="31"/>
      <c r="G112" s="31"/>
      <c r="H112" s="23" t="s">
        <v>3992</v>
      </c>
      <c r="I112" s="39" t="s">
        <v>3991</v>
      </c>
      <c r="J112" s="289"/>
      <c r="K112" s="25"/>
      <c r="L112" s="57"/>
      <c r="M112" s="26"/>
      <c r="N112" s="55"/>
      <c r="O112" s="25"/>
      <c r="P112" s="25"/>
      <c r="Q112" s="25" t="s">
        <v>282</v>
      </c>
      <c r="R112" s="25"/>
      <c r="S112" s="25"/>
      <c r="T112" s="65"/>
      <c r="U112" s="65"/>
      <c r="V112" s="65"/>
      <c r="W112" s="65"/>
      <c r="X112" s="65"/>
      <c r="Y112" s="65"/>
      <c r="Z112" s="65"/>
      <c r="AA112" s="65"/>
    </row>
    <row r="113" spans="1:27" ht="15.75" customHeight="1">
      <c r="A113" s="344"/>
      <c r="B113" s="344"/>
      <c r="C113" s="31">
        <v>3</v>
      </c>
      <c r="D113" s="344"/>
      <c r="E113" s="344"/>
      <c r="F113" s="31"/>
      <c r="G113" s="31"/>
      <c r="H113" s="23" t="s">
        <v>3993</v>
      </c>
      <c r="I113" s="39" t="s">
        <v>3991</v>
      </c>
      <c r="J113" s="289"/>
      <c r="K113" s="25"/>
      <c r="L113" s="57"/>
      <c r="M113" s="26"/>
      <c r="N113" s="55"/>
      <c r="O113" s="25"/>
      <c r="P113" s="25"/>
      <c r="Q113" s="25" t="s">
        <v>282</v>
      </c>
      <c r="R113" s="25"/>
      <c r="S113" s="25"/>
      <c r="T113" s="65"/>
      <c r="U113" s="65"/>
      <c r="V113" s="65"/>
      <c r="W113" s="65"/>
      <c r="X113" s="65"/>
      <c r="Y113" s="65"/>
      <c r="Z113" s="65"/>
      <c r="AA113" s="65"/>
    </row>
    <row r="114" spans="1:27" ht="15.75" customHeight="1">
      <c r="A114" s="344"/>
      <c r="B114" s="344"/>
      <c r="C114" s="31">
        <v>4</v>
      </c>
      <c r="D114" s="344"/>
      <c r="E114" s="344"/>
      <c r="F114" s="31"/>
      <c r="G114" s="31"/>
      <c r="H114" s="23" t="s">
        <v>3994</v>
      </c>
      <c r="I114" s="39" t="s">
        <v>3991</v>
      </c>
      <c r="J114" s="289"/>
      <c r="K114" s="25"/>
      <c r="L114" s="57"/>
      <c r="M114" s="26"/>
      <c r="N114" s="55"/>
      <c r="O114" s="25"/>
      <c r="P114" s="25"/>
      <c r="Q114" s="25" t="s">
        <v>282</v>
      </c>
      <c r="R114" s="25"/>
      <c r="S114" s="25"/>
      <c r="T114" s="65"/>
      <c r="U114" s="65"/>
      <c r="V114" s="65"/>
      <c r="W114" s="65"/>
      <c r="X114" s="65"/>
      <c r="Y114" s="65"/>
      <c r="Z114" s="65"/>
      <c r="AA114" s="65"/>
    </row>
    <row r="115" spans="1:27" ht="15.75" customHeight="1">
      <c r="A115" s="344"/>
      <c r="B115" s="344"/>
      <c r="C115" s="31">
        <v>5</v>
      </c>
      <c r="D115" s="344"/>
      <c r="E115" s="344"/>
      <c r="F115" s="31"/>
      <c r="G115" s="31"/>
      <c r="H115" s="23" t="s">
        <v>3995</v>
      </c>
      <c r="I115" s="39" t="s">
        <v>3991</v>
      </c>
      <c r="J115" s="289"/>
      <c r="K115" s="25"/>
      <c r="L115" s="57"/>
      <c r="M115" s="26"/>
      <c r="N115" s="55"/>
      <c r="O115" s="25"/>
      <c r="P115" s="25"/>
      <c r="Q115" s="25" t="s">
        <v>282</v>
      </c>
      <c r="R115" s="25"/>
      <c r="S115" s="25"/>
      <c r="T115" s="65"/>
      <c r="U115" s="65"/>
      <c r="V115" s="65"/>
      <c r="W115" s="65"/>
      <c r="X115" s="65"/>
      <c r="Y115" s="65"/>
      <c r="Z115" s="65"/>
      <c r="AA115" s="65"/>
    </row>
    <row r="116" spans="1:27" ht="15.75" customHeight="1">
      <c r="A116" s="344"/>
      <c r="B116" s="344"/>
      <c r="C116" s="31">
        <v>6</v>
      </c>
      <c r="D116" s="344"/>
      <c r="E116" s="345"/>
      <c r="F116" s="31"/>
      <c r="G116" s="31"/>
      <c r="H116" s="23" t="s">
        <v>3996</v>
      </c>
      <c r="I116" s="39" t="s">
        <v>3991</v>
      </c>
      <c r="J116" s="289"/>
      <c r="K116" s="25"/>
      <c r="L116" s="57"/>
      <c r="M116" s="26"/>
      <c r="N116" s="55"/>
      <c r="O116" s="25"/>
      <c r="P116" s="25"/>
      <c r="Q116" s="25" t="s">
        <v>282</v>
      </c>
      <c r="R116" s="25"/>
      <c r="S116" s="25"/>
      <c r="T116" s="65"/>
      <c r="U116" s="65"/>
      <c r="V116" s="65"/>
      <c r="W116" s="65"/>
      <c r="X116" s="65"/>
      <c r="Y116" s="65"/>
      <c r="Z116" s="65"/>
      <c r="AA116" s="65"/>
    </row>
    <row r="117" spans="1:27" ht="15.75" customHeight="1">
      <c r="A117" s="344"/>
      <c r="B117" s="344"/>
      <c r="C117" s="31">
        <v>7</v>
      </c>
      <c r="D117" s="344"/>
      <c r="E117" s="368" t="s">
        <v>3997</v>
      </c>
      <c r="F117" s="31"/>
      <c r="G117" s="31"/>
      <c r="H117" s="23" t="s">
        <v>3998</v>
      </c>
      <c r="I117" s="39" t="s">
        <v>3991</v>
      </c>
      <c r="J117" s="289"/>
      <c r="K117" s="25"/>
      <c r="L117" s="57"/>
      <c r="M117" s="26"/>
      <c r="N117" s="55"/>
      <c r="O117" s="25"/>
      <c r="P117" s="25"/>
      <c r="Q117" s="25" t="s">
        <v>282</v>
      </c>
      <c r="R117" s="25"/>
      <c r="S117" s="25"/>
      <c r="T117" s="65"/>
      <c r="U117" s="65"/>
      <c r="V117" s="65"/>
      <c r="W117" s="65"/>
      <c r="X117" s="65"/>
      <c r="Y117" s="65"/>
      <c r="Z117" s="65"/>
      <c r="AA117" s="65"/>
    </row>
    <row r="118" spans="1:27" ht="15.75" customHeight="1">
      <c r="A118" s="344"/>
      <c r="B118" s="344"/>
      <c r="C118" s="31">
        <v>8</v>
      </c>
      <c r="D118" s="344"/>
      <c r="E118" s="344"/>
      <c r="F118" s="31"/>
      <c r="G118" s="31"/>
      <c r="H118" s="23" t="s">
        <v>3999</v>
      </c>
      <c r="I118" s="39" t="s">
        <v>3991</v>
      </c>
      <c r="J118" s="289"/>
      <c r="K118" s="25"/>
      <c r="L118" s="57"/>
      <c r="M118" s="26"/>
      <c r="N118" s="55"/>
      <c r="O118" s="25"/>
      <c r="P118" s="25"/>
      <c r="Q118" s="25" t="s">
        <v>282</v>
      </c>
      <c r="R118" s="25"/>
      <c r="S118" s="25"/>
      <c r="T118" s="65"/>
      <c r="U118" s="65"/>
      <c r="V118" s="65"/>
      <c r="W118" s="65"/>
      <c r="X118" s="65"/>
      <c r="Y118" s="65"/>
      <c r="Z118" s="65"/>
      <c r="AA118" s="65"/>
    </row>
    <row r="119" spans="1:27" ht="15.75" customHeight="1">
      <c r="A119" s="344"/>
      <c r="B119" s="344"/>
      <c r="C119" s="31">
        <v>9</v>
      </c>
      <c r="D119" s="344"/>
      <c r="E119" s="344"/>
      <c r="F119" s="31"/>
      <c r="G119" s="31"/>
      <c r="H119" s="23" t="s">
        <v>4000</v>
      </c>
      <c r="I119" s="39" t="s">
        <v>3991</v>
      </c>
      <c r="J119" s="289"/>
      <c r="K119" s="25"/>
      <c r="L119" s="57"/>
      <c r="M119" s="26"/>
      <c r="N119" s="55"/>
      <c r="O119" s="25"/>
      <c r="P119" s="25"/>
      <c r="Q119" s="25" t="s">
        <v>282</v>
      </c>
      <c r="R119" s="25"/>
      <c r="S119" s="25"/>
      <c r="T119" s="65"/>
      <c r="U119" s="65"/>
      <c r="V119" s="65"/>
      <c r="W119" s="65"/>
      <c r="X119" s="65"/>
      <c r="Y119" s="65"/>
      <c r="Z119" s="65"/>
      <c r="AA119" s="65"/>
    </row>
    <row r="120" spans="1:27" ht="15.75" customHeight="1">
      <c r="A120" s="344"/>
      <c r="B120" s="344"/>
      <c r="C120" s="31">
        <v>10</v>
      </c>
      <c r="D120" s="344"/>
      <c r="E120" s="344"/>
      <c r="F120" s="31"/>
      <c r="G120" s="31"/>
      <c r="H120" s="23" t="s">
        <v>4001</v>
      </c>
      <c r="I120" s="39" t="s">
        <v>3991</v>
      </c>
      <c r="J120" s="289"/>
      <c r="K120" s="25"/>
      <c r="L120" s="57"/>
      <c r="M120" s="26"/>
      <c r="N120" s="55"/>
      <c r="O120" s="25"/>
      <c r="P120" s="25"/>
      <c r="Q120" s="25" t="s">
        <v>282</v>
      </c>
      <c r="R120" s="25"/>
      <c r="S120" s="25"/>
      <c r="T120" s="65"/>
      <c r="U120" s="65"/>
      <c r="V120" s="65"/>
      <c r="W120" s="65"/>
      <c r="X120" s="65"/>
      <c r="Y120" s="65"/>
      <c r="Z120" s="65"/>
      <c r="AA120" s="65"/>
    </row>
    <row r="121" spans="1:27" ht="15.75" customHeight="1">
      <c r="A121" s="344"/>
      <c r="B121" s="344"/>
      <c r="C121" s="31">
        <v>11</v>
      </c>
      <c r="D121" s="344"/>
      <c r="E121" s="344"/>
      <c r="F121" s="31"/>
      <c r="G121" s="31"/>
      <c r="H121" s="23" t="s">
        <v>3995</v>
      </c>
      <c r="I121" s="39" t="s">
        <v>3991</v>
      </c>
      <c r="J121" s="289"/>
      <c r="K121" s="25"/>
      <c r="L121" s="57"/>
      <c r="M121" s="26"/>
      <c r="N121" s="55"/>
      <c r="O121" s="25"/>
      <c r="P121" s="25"/>
      <c r="Q121" s="25" t="s">
        <v>282</v>
      </c>
      <c r="R121" s="25"/>
      <c r="S121" s="25"/>
      <c r="T121" s="65"/>
      <c r="U121" s="65"/>
      <c r="V121" s="65"/>
      <c r="W121" s="65"/>
      <c r="X121" s="65"/>
      <c r="Y121" s="65"/>
      <c r="Z121" s="65"/>
      <c r="AA121" s="65"/>
    </row>
    <row r="122" spans="1:27" ht="15.75" customHeight="1">
      <c r="A122" s="344"/>
      <c r="B122" s="344"/>
      <c r="C122" s="31">
        <v>12</v>
      </c>
      <c r="D122" s="344"/>
      <c r="E122" s="345"/>
      <c r="F122" s="31"/>
      <c r="G122" s="31"/>
      <c r="H122" s="23" t="s">
        <v>3996</v>
      </c>
      <c r="I122" s="39" t="s">
        <v>3991</v>
      </c>
      <c r="J122" s="289"/>
      <c r="K122" s="25"/>
      <c r="L122" s="57"/>
      <c r="M122" s="26"/>
      <c r="N122" s="55"/>
      <c r="O122" s="25"/>
      <c r="P122" s="25"/>
      <c r="Q122" s="25" t="s">
        <v>282</v>
      </c>
      <c r="R122" s="25"/>
      <c r="S122" s="25"/>
      <c r="T122" s="65"/>
      <c r="U122" s="65"/>
      <c r="V122" s="65"/>
      <c r="W122" s="65"/>
      <c r="X122" s="65"/>
      <c r="Y122" s="65"/>
      <c r="Z122" s="65"/>
      <c r="AA122" s="65"/>
    </row>
    <row r="123" spans="1:27" ht="15.75" customHeight="1">
      <c r="A123" s="344"/>
      <c r="B123" s="344"/>
      <c r="C123" s="31">
        <v>13</v>
      </c>
      <c r="D123" s="344"/>
      <c r="E123" s="146" t="s">
        <v>4002</v>
      </c>
      <c r="F123" s="31"/>
      <c r="G123" s="31"/>
      <c r="H123" s="23" t="s">
        <v>4003</v>
      </c>
      <c r="I123" s="39" t="s">
        <v>3991</v>
      </c>
      <c r="J123" s="289"/>
      <c r="K123" s="25"/>
      <c r="L123" s="57"/>
      <c r="M123" s="26"/>
      <c r="N123" s="55"/>
      <c r="O123" s="25"/>
      <c r="P123" s="25"/>
      <c r="Q123" s="25" t="s">
        <v>282</v>
      </c>
      <c r="R123" s="25"/>
      <c r="S123" s="25"/>
      <c r="T123" s="65"/>
      <c r="U123" s="65"/>
      <c r="V123" s="65"/>
      <c r="W123" s="65"/>
      <c r="X123" s="65"/>
      <c r="Y123" s="65"/>
      <c r="Z123" s="65"/>
      <c r="AA123" s="65"/>
    </row>
    <row r="124" spans="1:27" ht="15.75" customHeight="1">
      <c r="A124" s="344"/>
      <c r="B124" s="344"/>
      <c r="C124" s="31">
        <v>14</v>
      </c>
      <c r="D124" s="344"/>
      <c r="E124" s="146" t="s">
        <v>4004</v>
      </c>
      <c r="F124" s="31"/>
      <c r="G124" s="31"/>
      <c r="H124" s="23" t="s">
        <v>4005</v>
      </c>
      <c r="I124" s="39" t="s">
        <v>3991</v>
      </c>
      <c r="J124" s="289"/>
      <c r="K124" s="25"/>
      <c r="L124" s="57"/>
      <c r="M124" s="26"/>
      <c r="N124" s="55"/>
      <c r="O124" s="25"/>
      <c r="P124" s="25"/>
      <c r="Q124" s="25" t="s">
        <v>282</v>
      </c>
      <c r="R124" s="25"/>
      <c r="S124" s="25"/>
      <c r="T124" s="65"/>
      <c r="U124" s="65"/>
      <c r="V124" s="65"/>
      <c r="W124" s="65"/>
      <c r="X124" s="65"/>
      <c r="Y124" s="65"/>
      <c r="Z124" s="65"/>
      <c r="AA124" s="65"/>
    </row>
    <row r="125" spans="1:27" ht="15.75" customHeight="1">
      <c r="A125" s="344"/>
      <c r="B125" s="344"/>
      <c r="C125" s="31">
        <v>15</v>
      </c>
      <c r="D125" s="344"/>
      <c r="E125" s="146" t="s">
        <v>4006</v>
      </c>
      <c r="F125" s="31"/>
      <c r="G125" s="31"/>
      <c r="H125" s="23" t="s">
        <v>4007</v>
      </c>
      <c r="I125" s="39" t="s">
        <v>3991</v>
      </c>
      <c r="J125" s="289"/>
      <c r="K125" s="25"/>
      <c r="L125" s="57"/>
      <c r="M125" s="26" t="s">
        <v>4008</v>
      </c>
      <c r="N125" s="55"/>
      <c r="O125" s="25"/>
      <c r="P125" s="25"/>
      <c r="Q125" s="25" t="s">
        <v>282</v>
      </c>
      <c r="R125" s="25"/>
      <c r="S125" s="25"/>
      <c r="T125" s="65"/>
      <c r="U125" s="65"/>
      <c r="V125" s="65"/>
      <c r="W125" s="65"/>
      <c r="X125" s="65"/>
      <c r="Y125" s="65"/>
      <c r="Z125" s="65"/>
      <c r="AA125" s="65"/>
    </row>
    <row r="126" spans="1:27" ht="15.75" customHeight="1">
      <c r="A126" s="344"/>
      <c r="B126" s="344"/>
      <c r="C126" s="31">
        <v>16</v>
      </c>
      <c r="D126" s="345"/>
      <c r="E126" s="146" t="s">
        <v>4009</v>
      </c>
      <c r="F126" s="31"/>
      <c r="G126" s="31"/>
      <c r="H126" s="23" t="s">
        <v>4010</v>
      </c>
      <c r="I126" s="39" t="s">
        <v>3991</v>
      </c>
      <c r="J126" s="289"/>
      <c r="K126" s="25"/>
      <c r="L126" s="57"/>
      <c r="M126" s="26" t="s">
        <v>4011</v>
      </c>
      <c r="N126" s="55"/>
      <c r="O126" s="25"/>
      <c r="P126" s="25"/>
      <c r="Q126" s="25" t="s">
        <v>282</v>
      </c>
      <c r="R126" s="25"/>
      <c r="S126" s="25"/>
      <c r="T126" s="65"/>
      <c r="U126" s="65"/>
      <c r="V126" s="65"/>
      <c r="W126" s="65"/>
      <c r="X126" s="65"/>
      <c r="Y126" s="65"/>
      <c r="Z126" s="65"/>
      <c r="AA126" s="65"/>
    </row>
    <row r="127" spans="1:27" ht="15.75" customHeight="1">
      <c r="A127" s="344"/>
      <c r="B127" s="344"/>
      <c r="C127" s="31">
        <v>17</v>
      </c>
      <c r="D127" s="355" t="s">
        <v>4012</v>
      </c>
      <c r="E127" s="368" t="s">
        <v>4013</v>
      </c>
      <c r="F127" s="31"/>
      <c r="G127" s="31"/>
      <c r="H127" s="23" t="s">
        <v>4014</v>
      </c>
      <c r="I127" s="39" t="s">
        <v>3991</v>
      </c>
      <c r="J127" s="289"/>
      <c r="K127" s="25"/>
      <c r="L127" s="57"/>
      <c r="M127" s="26"/>
      <c r="N127" s="55"/>
      <c r="O127" s="25"/>
      <c r="P127" s="25"/>
      <c r="Q127" s="25" t="s">
        <v>282</v>
      </c>
      <c r="R127" s="25"/>
      <c r="S127" s="25"/>
      <c r="T127" s="65"/>
      <c r="U127" s="65"/>
      <c r="V127" s="65"/>
      <c r="W127" s="65"/>
      <c r="X127" s="65"/>
      <c r="Y127" s="65"/>
      <c r="Z127" s="65"/>
      <c r="AA127" s="65"/>
    </row>
    <row r="128" spans="1:27" ht="15.75" customHeight="1">
      <c r="A128" s="344"/>
      <c r="B128" s="344"/>
      <c r="C128" s="31">
        <v>18</v>
      </c>
      <c r="D128" s="344"/>
      <c r="E128" s="344"/>
      <c r="F128" s="31"/>
      <c r="G128" s="31"/>
      <c r="H128" s="23" t="s">
        <v>4015</v>
      </c>
      <c r="I128" s="39" t="s">
        <v>3991</v>
      </c>
      <c r="J128" s="289"/>
      <c r="K128" s="25"/>
      <c r="L128" s="57"/>
      <c r="M128" s="26"/>
      <c r="N128" s="55"/>
      <c r="O128" s="25"/>
      <c r="P128" s="25"/>
      <c r="Q128" s="25" t="s">
        <v>282</v>
      </c>
      <c r="R128" s="25"/>
      <c r="S128" s="25"/>
      <c r="T128" s="65"/>
      <c r="U128" s="65"/>
      <c r="V128" s="65"/>
      <c r="W128" s="65"/>
      <c r="X128" s="65"/>
      <c r="Y128" s="65"/>
      <c r="Z128" s="65"/>
      <c r="AA128" s="65"/>
    </row>
    <row r="129" spans="1:27" ht="15.75" customHeight="1">
      <c r="A129" s="344"/>
      <c r="B129" s="344"/>
      <c r="C129" s="31">
        <v>19</v>
      </c>
      <c r="D129" s="344"/>
      <c r="E129" s="344"/>
      <c r="F129" s="31"/>
      <c r="G129" s="31"/>
      <c r="H129" s="23" t="s">
        <v>4016</v>
      </c>
      <c r="I129" s="39" t="s">
        <v>3991</v>
      </c>
      <c r="J129" s="289"/>
      <c r="K129" s="25"/>
      <c r="L129" s="57"/>
      <c r="M129" s="26"/>
      <c r="N129" s="55"/>
      <c r="O129" s="25"/>
      <c r="P129" s="25"/>
      <c r="Q129" s="25" t="s">
        <v>282</v>
      </c>
      <c r="R129" s="25"/>
      <c r="S129" s="25"/>
      <c r="T129" s="65"/>
      <c r="U129" s="65"/>
      <c r="V129" s="65"/>
      <c r="W129" s="65"/>
      <c r="X129" s="65"/>
      <c r="Y129" s="65"/>
      <c r="Z129" s="65"/>
      <c r="AA129" s="65"/>
    </row>
    <row r="130" spans="1:27" ht="15.75" customHeight="1">
      <c r="A130" s="344"/>
      <c r="B130" s="344"/>
      <c r="C130" s="31">
        <v>20</v>
      </c>
      <c r="D130" s="344"/>
      <c r="E130" s="344"/>
      <c r="F130" s="31"/>
      <c r="G130" s="31"/>
      <c r="H130" s="23" t="s">
        <v>4017</v>
      </c>
      <c r="I130" s="39" t="s">
        <v>3991</v>
      </c>
      <c r="J130" s="289"/>
      <c r="K130" s="25"/>
      <c r="L130" s="57"/>
      <c r="M130" s="26"/>
      <c r="N130" s="55"/>
      <c r="O130" s="25"/>
      <c r="P130" s="25"/>
      <c r="Q130" s="25" t="s">
        <v>282</v>
      </c>
      <c r="R130" s="25"/>
      <c r="S130" s="25"/>
      <c r="T130" s="65"/>
      <c r="U130" s="65"/>
      <c r="V130" s="65"/>
      <c r="W130" s="65"/>
      <c r="X130" s="65"/>
      <c r="Y130" s="65"/>
      <c r="Z130" s="65"/>
      <c r="AA130" s="65"/>
    </row>
    <row r="131" spans="1:27" ht="15.75" customHeight="1">
      <c r="A131" s="344"/>
      <c r="B131" s="344"/>
      <c r="C131" s="31">
        <v>21</v>
      </c>
      <c r="D131" s="344"/>
      <c r="E131" s="344"/>
      <c r="F131" s="31"/>
      <c r="G131" s="31"/>
      <c r="H131" s="23" t="s">
        <v>3995</v>
      </c>
      <c r="I131" s="39" t="s">
        <v>3991</v>
      </c>
      <c r="J131" s="289"/>
      <c r="K131" s="25"/>
      <c r="L131" s="57"/>
      <c r="M131" s="26"/>
      <c r="N131" s="55"/>
      <c r="O131" s="25"/>
      <c r="P131" s="25"/>
      <c r="Q131" s="25" t="s">
        <v>282</v>
      </c>
      <c r="R131" s="25"/>
      <c r="S131" s="25"/>
      <c r="T131" s="65"/>
      <c r="U131" s="65"/>
      <c r="V131" s="65"/>
      <c r="W131" s="65"/>
      <c r="X131" s="65"/>
      <c r="Y131" s="65"/>
      <c r="Z131" s="65"/>
      <c r="AA131" s="65"/>
    </row>
    <row r="132" spans="1:27" ht="15.75" customHeight="1">
      <c r="A132" s="344"/>
      <c r="B132" s="344"/>
      <c r="C132" s="31">
        <v>22</v>
      </c>
      <c r="D132" s="344"/>
      <c r="E132" s="345"/>
      <c r="F132" s="31"/>
      <c r="G132" s="31"/>
      <c r="H132" s="23" t="s">
        <v>3996</v>
      </c>
      <c r="I132" s="39" t="s">
        <v>3991</v>
      </c>
      <c r="J132" s="289"/>
      <c r="K132" s="25"/>
      <c r="L132" s="57"/>
      <c r="M132" s="26"/>
      <c r="N132" s="55"/>
      <c r="O132" s="25"/>
      <c r="P132" s="25"/>
      <c r="Q132" s="25" t="s">
        <v>282</v>
      </c>
      <c r="R132" s="25"/>
      <c r="S132" s="25"/>
      <c r="T132" s="65"/>
      <c r="U132" s="65"/>
      <c r="V132" s="65"/>
      <c r="W132" s="65"/>
      <c r="X132" s="65"/>
      <c r="Y132" s="65"/>
      <c r="Z132" s="65"/>
      <c r="AA132" s="65"/>
    </row>
    <row r="133" spans="1:27" ht="15.75" customHeight="1">
      <c r="A133" s="344"/>
      <c r="B133" s="344"/>
      <c r="C133" s="31">
        <v>23</v>
      </c>
      <c r="D133" s="344"/>
      <c r="E133" s="368" t="s">
        <v>4018</v>
      </c>
      <c r="F133" s="31"/>
      <c r="G133" s="31"/>
      <c r="H133" s="23" t="s">
        <v>4019</v>
      </c>
      <c r="I133" s="39" t="s">
        <v>3991</v>
      </c>
      <c r="J133" s="289"/>
      <c r="K133" s="25"/>
      <c r="L133" s="57"/>
      <c r="M133" s="26"/>
      <c r="N133" s="55"/>
      <c r="O133" s="25"/>
      <c r="P133" s="25"/>
      <c r="Q133" s="25" t="s">
        <v>282</v>
      </c>
      <c r="R133" s="25"/>
      <c r="S133" s="25"/>
      <c r="T133" s="65"/>
      <c r="U133" s="65"/>
      <c r="V133" s="65"/>
      <c r="W133" s="65"/>
      <c r="X133" s="65"/>
      <c r="Y133" s="65"/>
      <c r="Z133" s="65"/>
      <c r="AA133" s="65"/>
    </row>
    <row r="134" spans="1:27" ht="15.75" customHeight="1">
      <c r="A134" s="344"/>
      <c r="B134" s="344"/>
      <c r="C134" s="31">
        <v>24</v>
      </c>
      <c r="D134" s="344"/>
      <c r="E134" s="344"/>
      <c r="F134" s="31"/>
      <c r="G134" s="31"/>
      <c r="H134" s="23" t="s">
        <v>4020</v>
      </c>
      <c r="I134" s="39" t="s">
        <v>3991</v>
      </c>
      <c r="J134" s="289"/>
      <c r="K134" s="25"/>
      <c r="L134" s="57"/>
      <c r="M134" s="26"/>
      <c r="N134" s="55"/>
      <c r="O134" s="25"/>
      <c r="P134" s="25"/>
      <c r="Q134" s="25" t="s">
        <v>282</v>
      </c>
      <c r="R134" s="25"/>
      <c r="S134" s="25"/>
      <c r="T134" s="65"/>
      <c r="U134" s="65"/>
      <c r="V134" s="65"/>
      <c r="W134" s="65"/>
      <c r="X134" s="65"/>
      <c r="Y134" s="65"/>
      <c r="Z134" s="65"/>
      <c r="AA134" s="65"/>
    </row>
    <row r="135" spans="1:27" ht="15.75" customHeight="1">
      <c r="A135" s="344"/>
      <c r="B135" s="344"/>
      <c r="C135" s="31">
        <v>25</v>
      </c>
      <c r="D135" s="344"/>
      <c r="E135" s="344"/>
      <c r="F135" s="31"/>
      <c r="G135" s="31"/>
      <c r="H135" s="23" t="s">
        <v>4021</v>
      </c>
      <c r="I135" s="39" t="s">
        <v>3991</v>
      </c>
      <c r="J135" s="289"/>
      <c r="K135" s="25"/>
      <c r="L135" s="57"/>
      <c r="M135" s="26"/>
      <c r="N135" s="55"/>
      <c r="O135" s="25"/>
      <c r="P135" s="25"/>
      <c r="Q135" s="25" t="s">
        <v>282</v>
      </c>
      <c r="R135" s="25"/>
      <c r="S135" s="25"/>
      <c r="T135" s="65"/>
      <c r="U135" s="65"/>
      <c r="V135" s="65"/>
      <c r="W135" s="65"/>
      <c r="X135" s="65"/>
      <c r="Y135" s="65"/>
      <c r="Z135" s="65"/>
      <c r="AA135" s="65"/>
    </row>
    <row r="136" spans="1:27" ht="15.75" customHeight="1">
      <c r="A136" s="344"/>
      <c r="B136" s="344"/>
      <c r="C136" s="31">
        <v>26</v>
      </c>
      <c r="D136" s="344"/>
      <c r="E136" s="344"/>
      <c r="F136" s="31"/>
      <c r="G136" s="31"/>
      <c r="H136" s="23" t="s">
        <v>4022</v>
      </c>
      <c r="I136" s="39" t="s">
        <v>3991</v>
      </c>
      <c r="J136" s="289"/>
      <c r="K136" s="25"/>
      <c r="L136" s="57"/>
      <c r="M136" s="26"/>
      <c r="N136" s="55"/>
      <c r="O136" s="25"/>
      <c r="P136" s="25"/>
      <c r="Q136" s="25" t="s">
        <v>282</v>
      </c>
      <c r="R136" s="25"/>
      <c r="S136" s="25"/>
      <c r="T136" s="65"/>
      <c r="U136" s="65"/>
      <c r="V136" s="65"/>
      <c r="W136" s="65"/>
      <c r="X136" s="65"/>
      <c r="Y136" s="65"/>
      <c r="Z136" s="65"/>
      <c r="AA136" s="65"/>
    </row>
    <row r="137" spans="1:27" ht="15.75" customHeight="1">
      <c r="A137" s="344"/>
      <c r="B137" s="344"/>
      <c r="C137" s="31">
        <v>27</v>
      </c>
      <c r="D137" s="344"/>
      <c r="E137" s="344"/>
      <c r="F137" s="31"/>
      <c r="G137" s="31"/>
      <c r="H137" s="23" t="s">
        <v>3995</v>
      </c>
      <c r="I137" s="39" t="s">
        <v>3991</v>
      </c>
      <c r="J137" s="289"/>
      <c r="K137" s="25"/>
      <c r="L137" s="57"/>
      <c r="M137" s="26"/>
      <c r="N137" s="55"/>
      <c r="O137" s="25"/>
      <c r="P137" s="25"/>
      <c r="Q137" s="25" t="s">
        <v>282</v>
      </c>
      <c r="R137" s="25"/>
      <c r="S137" s="25"/>
      <c r="T137" s="65"/>
      <c r="U137" s="65"/>
      <c r="V137" s="65"/>
      <c r="W137" s="65"/>
      <c r="X137" s="65"/>
      <c r="Y137" s="65"/>
      <c r="Z137" s="65"/>
      <c r="AA137" s="65"/>
    </row>
    <row r="138" spans="1:27" ht="15.75" customHeight="1">
      <c r="A138" s="344"/>
      <c r="B138" s="344"/>
      <c r="C138" s="31">
        <v>28</v>
      </c>
      <c r="D138" s="344"/>
      <c r="E138" s="345"/>
      <c r="F138" s="31"/>
      <c r="G138" s="31"/>
      <c r="H138" s="23" t="s">
        <v>3996</v>
      </c>
      <c r="I138" s="39" t="s">
        <v>3991</v>
      </c>
      <c r="J138" s="289"/>
      <c r="K138" s="25"/>
      <c r="L138" s="57"/>
      <c r="M138" s="26"/>
      <c r="N138" s="55"/>
      <c r="O138" s="25"/>
      <c r="P138" s="25"/>
      <c r="Q138" s="25" t="s">
        <v>282</v>
      </c>
      <c r="R138" s="25"/>
      <c r="S138" s="25"/>
      <c r="T138" s="65"/>
      <c r="U138" s="65"/>
      <c r="V138" s="65"/>
      <c r="W138" s="65"/>
      <c r="X138" s="65"/>
      <c r="Y138" s="65"/>
      <c r="Z138" s="65"/>
      <c r="AA138" s="65"/>
    </row>
    <row r="139" spans="1:27" ht="15.75" customHeight="1">
      <c r="A139" s="344"/>
      <c r="B139" s="344"/>
      <c r="C139" s="31">
        <v>29</v>
      </c>
      <c r="D139" s="344"/>
      <c r="E139" s="146" t="s">
        <v>4013</v>
      </c>
      <c r="F139" s="31"/>
      <c r="G139" s="31"/>
      <c r="H139" s="23" t="s">
        <v>4023</v>
      </c>
      <c r="I139" s="39" t="s">
        <v>3991</v>
      </c>
      <c r="J139" s="289"/>
      <c r="K139" s="25"/>
      <c r="L139" s="57"/>
      <c r="M139" s="26"/>
      <c r="N139" s="55"/>
      <c r="O139" s="25"/>
      <c r="P139" s="25"/>
      <c r="Q139" s="25" t="s">
        <v>282</v>
      </c>
      <c r="R139" s="25"/>
      <c r="S139" s="25"/>
      <c r="T139" s="65"/>
      <c r="U139" s="65"/>
      <c r="V139" s="65"/>
      <c r="W139" s="65"/>
      <c r="X139" s="65"/>
      <c r="Y139" s="65"/>
      <c r="Z139" s="65"/>
      <c r="AA139" s="65"/>
    </row>
    <row r="140" spans="1:27" ht="15.75" customHeight="1">
      <c r="A140" s="369"/>
      <c r="B140" s="369"/>
      <c r="C140" s="31">
        <v>30</v>
      </c>
      <c r="D140" s="344"/>
      <c r="E140" s="146" t="s">
        <v>4018</v>
      </c>
      <c r="F140" s="31"/>
      <c r="G140" s="31"/>
      <c r="H140" s="23" t="s">
        <v>4024</v>
      </c>
      <c r="I140" s="39" t="s">
        <v>3991</v>
      </c>
      <c r="J140" s="289"/>
      <c r="K140" s="25"/>
      <c r="L140" s="57"/>
      <c r="M140" s="26"/>
      <c r="N140" s="55"/>
      <c r="O140" s="25"/>
      <c r="P140" s="25"/>
      <c r="Q140" s="25" t="s">
        <v>282</v>
      </c>
      <c r="R140" s="25"/>
      <c r="S140" s="25"/>
      <c r="T140" s="65"/>
      <c r="U140" s="65"/>
      <c r="V140" s="65"/>
      <c r="W140" s="65"/>
      <c r="X140" s="65"/>
      <c r="Y140" s="65"/>
      <c r="Z140" s="65"/>
      <c r="AA140" s="65"/>
    </row>
    <row r="141" spans="1:27" ht="15.75" customHeight="1">
      <c r="A141" s="357" t="s">
        <v>4025</v>
      </c>
      <c r="B141" s="354" t="s">
        <v>4026</v>
      </c>
      <c r="C141" s="34">
        <v>1</v>
      </c>
      <c r="D141" s="351" t="s">
        <v>4027</v>
      </c>
      <c r="E141" s="351" t="s">
        <v>4028</v>
      </c>
      <c r="F141" s="34"/>
      <c r="G141" s="34"/>
      <c r="H141" s="33" t="s">
        <v>4029</v>
      </c>
      <c r="I141" s="39" t="s">
        <v>4030</v>
      </c>
      <c r="J141" s="289"/>
      <c r="K141" s="25"/>
      <c r="L141" s="57"/>
      <c r="M141" s="26"/>
      <c r="N141" s="55"/>
      <c r="O141" s="25"/>
      <c r="P141" s="25"/>
      <c r="Q141" s="25" t="s">
        <v>282</v>
      </c>
      <c r="R141" s="25" t="s">
        <v>300</v>
      </c>
      <c r="S141" s="25"/>
      <c r="T141" s="65"/>
      <c r="U141" s="65"/>
      <c r="V141" s="65"/>
      <c r="W141" s="65"/>
      <c r="X141" s="65"/>
      <c r="Y141" s="65"/>
      <c r="Z141" s="65"/>
      <c r="AA141" s="65"/>
    </row>
    <row r="142" spans="1:27" ht="15.75" customHeight="1">
      <c r="A142" s="344"/>
      <c r="B142" s="344"/>
      <c r="C142" s="34">
        <v>2</v>
      </c>
      <c r="D142" s="344"/>
      <c r="E142" s="344"/>
      <c r="F142" s="34"/>
      <c r="G142" s="34"/>
      <c r="H142" s="33" t="s">
        <v>4031</v>
      </c>
      <c r="I142" s="39" t="s">
        <v>4032</v>
      </c>
      <c r="J142" s="289"/>
      <c r="K142" s="25"/>
      <c r="L142" s="57"/>
      <c r="M142" s="26"/>
      <c r="N142" s="55"/>
      <c r="O142" s="25"/>
      <c r="P142" s="25"/>
      <c r="Q142" s="25" t="s">
        <v>282</v>
      </c>
      <c r="R142" s="25" t="s">
        <v>300</v>
      </c>
      <c r="S142" s="25"/>
      <c r="T142" s="65"/>
      <c r="U142" s="65"/>
      <c r="V142" s="65"/>
      <c r="W142" s="65"/>
      <c r="X142" s="65"/>
      <c r="Y142" s="65"/>
      <c r="Z142" s="65"/>
      <c r="AA142" s="65"/>
    </row>
    <row r="143" spans="1:27" ht="15.75" customHeight="1">
      <c r="A143" s="344"/>
      <c r="B143" s="344"/>
      <c r="C143" s="34">
        <v>3</v>
      </c>
      <c r="D143" s="344"/>
      <c r="E143" s="344"/>
      <c r="F143" s="34"/>
      <c r="G143" s="34"/>
      <c r="H143" s="54" t="s">
        <v>4033</v>
      </c>
      <c r="I143" s="39" t="s">
        <v>4034</v>
      </c>
      <c r="J143" s="289"/>
      <c r="K143" s="25"/>
      <c r="L143" s="57"/>
      <c r="M143" s="25"/>
      <c r="N143" s="55"/>
      <c r="O143" s="25"/>
      <c r="P143" s="25"/>
      <c r="Q143" s="25" t="s">
        <v>282</v>
      </c>
      <c r="R143" s="25" t="s">
        <v>300</v>
      </c>
      <c r="S143" s="25"/>
      <c r="T143" s="65"/>
      <c r="U143" s="65"/>
      <c r="V143" s="65"/>
      <c r="W143" s="65"/>
      <c r="X143" s="65"/>
      <c r="Y143" s="65"/>
      <c r="Z143" s="65"/>
      <c r="AA143" s="65"/>
    </row>
    <row r="144" spans="1:27" ht="15.75" customHeight="1">
      <c r="A144" s="344"/>
      <c r="B144" s="344"/>
      <c r="C144" s="34">
        <v>4</v>
      </c>
      <c r="D144" s="344"/>
      <c r="E144" s="344"/>
      <c r="F144" s="34"/>
      <c r="G144" s="34"/>
      <c r="H144" s="54" t="s">
        <v>4035</v>
      </c>
      <c r="I144" s="39" t="s">
        <v>4036</v>
      </c>
      <c r="J144" s="289"/>
      <c r="K144" s="25"/>
      <c r="L144" s="57"/>
      <c r="M144" s="25"/>
      <c r="N144" s="55"/>
      <c r="O144" s="25"/>
      <c r="P144" s="25"/>
      <c r="Q144" s="25" t="s">
        <v>282</v>
      </c>
      <c r="R144" s="25" t="s">
        <v>300</v>
      </c>
      <c r="S144" s="25"/>
      <c r="T144" s="65"/>
      <c r="U144" s="65"/>
      <c r="V144" s="65"/>
      <c r="W144" s="65"/>
      <c r="X144" s="65"/>
      <c r="Y144" s="65"/>
      <c r="Z144" s="65"/>
      <c r="AA144" s="65"/>
    </row>
    <row r="145" spans="1:27" ht="15.75" customHeight="1">
      <c r="A145" s="344"/>
      <c r="B145" s="344"/>
      <c r="C145" s="34">
        <v>5</v>
      </c>
      <c r="D145" s="344"/>
      <c r="E145" s="344"/>
      <c r="F145" s="34"/>
      <c r="G145" s="34"/>
      <c r="H145" s="54" t="s">
        <v>4037</v>
      </c>
      <c r="I145" s="39" t="s">
        <v>4038</v>
      </c>
      <c r="J145" s="289"/>
      <c r="K145" s="25"/>
      <c r="L145" s="57"/>
      <c r="M145" s="25"/>
      <c r="N145" s="55"/>
      <c r="O145" s="25"/>
      <c r="P145" s="25"/>
      <c r="Q145" s="25" t="s">
        <v>282</v>
      </c>
      <c r="R145" s="25" t="s">
        <v>300</v>
      </c>
      <c r="S145" s="25"/>
      <c r="T145" s="65"/>
      <c r="U145" s="65"/>
      <c r="V145" s="65"/>
      <c r="W145" s="65"/>
      <c r="X145" s="65"/>
      <c r="Y145" s="65"/>
      <c r="Z145" s="65"/>
      <c r="AA145" s="65"/>
    </row>
    <row r="146" spans="1:27" ht="15.75" customHeight="1">
      <c r="A146" s="344"/>
      <c r="B146" s="344"/>
      <c r="C146" s="34">
        <v>6</v>
      </c>
      <c r="D146" s="344"/>
      <c r="E146" s="344"/>
      <c r="F146" s="34"/>
      <c r="G146" s="34"/>
      <c r="H146" s="54" t="s">
        <v>4039</v>
      </c>
      <c r="I146" s="39" t="s">
        <v>4040</v>
      </c>
      <c r="J146" s="289"/>
      <c r="K146" s="25"/>
      <c r="L146" s="57"/>
      <c r="M146" s="25"/>
      <c r="N146" s="55"/>
      <c r="O146" s="25"/>
      <c r="P146" s="25"/>
      <c r="Q146" s="25" t="s">
        <v>282</v>
      </c>
      <c r="R146" s="25" t="s">
        <v>300</v>
      </c>
      <c r="S146" s="25"/>
      <c r="T146" s="65"/>
      <c r="U146" s="65"/>
      <c r="V146" s="65"/>
      <c r="W146" s="65"/>
      <c r="X146" s="65"/>
      <c r="Y146" s="65"/>
      <c r="Z146" s="65"/>
      <c r="AA146" s="65"/>
    </row>
    <row r="147" spans="1:27" ht="15.75" customHeight="1">
      <c r="A147" s="344"/>
      <c r="B147" s="344"/>
      <c r="C147" s="34">
        <v>7</v>
      </c>
      <c r="D147" s="344"/>
      <c r="E147" s="344"/>
      <c r="F147" s="34"/>
      <c r="G147" s="34"/>
      <c r="H147" s="54" t="s">
        <v>4041</v>
      </c>
      <c r="I147" s="39" t="s">
        <v>4042</v>
      </c>
      <c r="J147" s="289"/>
      <c r="K147" s="25"/>
      <c r="L147" s="57"/>
      <c r="M147" s="25"/>
      <c r="N147" s="55"/>
      <c r="O147" s="25"/>
      <c r="P147" s="25"/>
      <c r="Q147" s="25" t="s">
        <v>282</v>
      </c>
      <c r="R147" s="25" t="s">
        <v>300</v>
      </c>
      <c r="S147" s="25"/>
      <c r="T147" s="65"/>
      <c r="U147" s="65"/>
      <c r="V147" s="65"/>
      <c r="W147" s="65"/>
      <c r="X147" s="65"/>
      <c r="Y147" s="65"/>
      <c r="Z147" s="65"/>
      <c r="AA147" s="65"/>
    </row>
    <row r="148" spans="1:27" ht="15.75" customHeight="1">
      <c r="A148" s="344"/>
      <c r="B148" s="344"/>
      <c r="C148" s="34">
        <v>8</v>
      </c>
      <c r="D148" s="344"/>
      <c r="E148" s="344"/>
      <c r="F148" s="34"/>
      <c r="G148" s="34"/>
      <c r="H148" s="54" t="s">
        <v>4043</v>
      </c>
      <c r="I148" s="39" t="s">
        <v>4032</v>
      </c>
      <c r="J148" s="289"/>
      <c r="K148" s="25"/>
      <c r="L148" s="57"/>
      <c r="M148" s="25"/>
      <c r="N148" s="55"/>
      <c r="O148" s="25"/>
      <c r="P148" s="25"/>
      <c r="Q148" s="25" t="s">
        <v>282</v>
      </c>
      <c r="R148" s="25" t="s">
        <v>300</v>
      </c>
      <c r="S148" s="25"/>
      <c r="T148" s="65"/>
      <c r="U148" s="65"/>
      <c r="V148" s="65"/>
      <c r="W148" s="65"/>
      <c r="X148" s="65"/>
      <c r="Y148" s="65"/>
      <c r="Z148" s="65"/>
      <c r="AA148" s="65"/>
    </row>
    <row r="149" spans="1:27" ht="15.75" customHeight="1">
      <c r="A149" s="344"/>
      <c r="B149" s="344"/>
      <c r="C149" s="34">
        <v>9</v>
      </c>
      <c r="D149" s="344"/>
      <c r="E149" s="344"/>
      <c r="F149" s="34"/>
      <c r="G149" s="34"/>
      <c r="H149" s="54" t="s">
        <v>4044</v>
      </c>
      <c r="I149" s="39" t="s">
        <v>4045</v>
      </c>
      <c r="J149" s="289"/>
      <c r="K149" s="25"/>
      <c r="L149" s="57"/>
      <c r="M149" s="25"/>
      <c r="N149" s="55"/>
      <c r="O149" s="25"/>
      <c r="P149" s="25"/>
      <c r="Q149" s="25" t="s">
        <v>282</v>
      </c>
      <c r="R149" s="25" t="s">
        <v>300</v>
      </c>
      <c r="S149" s="25"/>
      <c r="T149" s="65"/>
      <c r="U149" s="65"/>
      <c r="V149" s="65"/>
      <c r="W149" s="65"/>
      <c r="X149" s="65"/>
      <c r="Y149" s="65"/>
      <c r="Z149" s="65"/>
      <c r="AA149" s="65"/>
    </row>
    <row r="150" spans="1:27" ht="15.75" customHeight="1">
      <c r="A150" s="344"/>
      <c r="B150" s="344"/>
      <c r="C150" s="34">
        <v>10</v>
      </c>
      <c r="D150" s="344"/>
      <c r="E150" s="344"/>
      <c r="F150" s="34"/>
      <c r="G150" s="34"/>
      <c r="H150" s="54" t="s">
        <v>4046</v>
      </c>
      <c r="I150" s="39" t="s">
        <v>4047</v>
      </c>
      <c r="J150" s="289"/>
      <c r="K150" s="25"/>
      <c r="L150" s="57"/>
      <c r="M150" s="25"/>
      <c r="N150" s="55"/>
      <c r="O150" s="25"/>
      <c r="P150" s="25"/>
      <c r="Q150" s="25" t="s">
        <v>282</v>
      </c>
      <c r="R150" s="25" t="s">
        <v>300</v>
      </c>
      <c r="S150" s="25"/>
      <c r="T150" s="65"/>
      <c r="U150" s="65"/>
      <c r="V150" s="65"/>
      <c r="W150" s="65"/>
      <c r="X150" s="65"/>
      <c r="Y150" s="65"/>
      <c r="Z150" s="65"/>
      <c r="AA150" s="65"/>
    </row>
    <row r="151" spans="1:27" ht="49.5" customHeight="1">
      <c r="A151" s="344"/>
      <c r="B151" s="344"/>
      <c r="C151" s="34">
        <v>11</v>
      </c>
      <c r="D151" s="344"/>
      <c r="E151" s="344"/>
      <c r="F151" s="34"/>
      <c r="G151" s="34"/>
      <c r="H151" s="54" t="s">
        <v>4048</v>
      </c>
      <c r="I151" s="39" t="s">
        <v>4042</v>
      </c>
      <c r="J151" s="289"/>
      <c r="K151" s="25"/>
      <c r="L151" s="57"/>
      <c r="M151" s="25"/>
      <c r="N151" s="55"/>
      <c r="O151" s="25"/>
      <c r="P151" s="25"/>
      <c r="Q151" s="25" t="s">
        <v>282</v>
      </c>
      <c r="R151" s="25" t="s">
        <v>300</v>
      </c>
      <c r="S151" s="25"/>
      <c r="T151" s="65"/>
      <c r="U151" s="65"/>
      <c r="V151" s="65"/>
      <c r="W151" s="65"/>
      <c r="X151" s="65"/>
      <c r="Y151" s="65"/>
      <c r="Z151" s="65"/>
      <c r="AA151" s="65"/>
    </row>
    <row r="152" spans="1:27" ht="15.75" customHeight="1">
      <c r="A152" s="344"/>
      <c r="B152" s="344"/>
      <c r="C152" s="34">
        <v>12</v>
      </c>
      <c r="D152" s="344"/>
      <c r="E152" s="344"/>
      <c r="F152" s="34"/>
      <c r="G152" s="34"/>
      <c r="H152" s="54" t="s">
        <v>4049</v>
      </c>
      <c r="I152" s="39" t="s">
        <v>4050</v>
      </c>
      <c r="J152" s="289"/>
      <c r="K152" s="25"/>
      <c r="L152" s="57"/>
      <c r="M152" s="25"/>
      <c r="N152" s="55"/>
      <c r="O152" s="25"/>
      <c r="P152" s="25"/>
      <c r="Q152" s="25" t="s">
        <v>282</v>
      </c>
      <c r="R152" s="25" t="s">
        <v>300</v>
      </c>
      <c r="S152" s="25"/>
      <c r="T152" s="65"/>
      <c r="U152" s="65"/>
      <c r="V152" s="65"/>
      <c r="W152" s="65"/>
      <c r="X152" s="65"/>
      <c r="Y152" s="65"/>
      <c r="Z152" s="65"/>
      <c r="AA152" s="65"/>
    </row>
    <row r="153" spans="1:27" ht="49.5" customHeight="1">
      <c r="A153" s="344"/>
      <c r="B153" s="344"/>
      <c r="C153" s="34">
        <v>13</v>
      </c>
      <c r="D153" s="344"/>
      <c r="E153" s="344"/>
      <c r="F153" s="34"/>
      <c r="G153" s="34"/>
      <c r="H153" s="54" t="s">
        <v>4051</v>
      </c>
      <c r="I153" s="39" t="s">
        <v>4050</v>
      </c>
      <c r="J153" s="289"/>
      <c r="K153" s="25"/>
      <c r="L153" s="57"/>
      <c r="M153" s="25"/>
      <c r="N153" s="55"/>
      <c r="O153" s="25"/>
      <c r="P153" s="25"/>
      <c r="Q153" s="25" t="s">
        <v>282</v>
      </c>
      <c r="R153" s="25" t="s">
        <v>300</v>
      </c>
      <c r="S153" s="25"/>
      <c r="T153" s="65"/>
      <c r="U153" s="65"/>
      <c r="V153" s="65"/>
      <c r="W153" s="65"/>
      <c r="X153" s="65"/>
      <c r="Y153" s="65"/>
      <c r="Z153" s="65"/>
      <c r="AA153" s="65"/>
    </row>
    <row r="154" spans="1:27" ht="49.5" customHeight="1">
      <c r="A154" s="344"/>
      <c r="B154" s="344"/>
      <c r="C154" s="34">
        <v>14</v>
      </c>
      <c r="D154" s="344"/>
      <c r="E154" s="344"/>
      <c r="F154" s="34"/>
      <c r="G154" s="34"/>
      <c r="H154" s="54" t="s">
        <v>4052</v>
      </c>
      <c r="I154" s="39" t="s">
        <v>4050</v>
      </c>
      <c r="J154" s="289"/>
      <c r="K154" s="25"/>
      <c r="L154" s="57"/>
      <c r="M154" s="25"/>
      <c r="N154" s="55"/>
      <c r="O154" s="25"/>
      <c r="P154" s="25"/>
      <c r="Q154" s="25" t="s">
        <v>282</v>
      </c>
      <c r="R154" s="25" t="s">
        <v>300</v>
      </c>
      <c r="S154" s="25"/>
      <c r="T154" s="65"/>
      <c r="U154" s="65"/>
      <c r="V154" s="65"/>
      <c r="W154" s="65"/>
      <c r="X154" s="65"/>
      <c r="Y154" s="65"/>
      <c r="Z154" s="65"/>
      <c r="AA154" s="65"/>
    </row>
    <row r="155" spans="1:27" ht="49.5" customHeight="1">
      <c r="A155" s="344"/>
      <c r="B155" s="344"/>
      <c r="C155" s="34">
        <v>15</v>
      </c>
      <c r="D155" s="344"/>
      <c r="E155" s="344"/>
      <c r="F155" s="34"/>
      <c r="G155" s="34"/>
      <c r="H155" s="54" t="s">
        <v>4053</v>
      </c>
      <c r="I155" s="39" t="s">
        <v>4032</v>
      </c>
      <c r="J155" s="289"/>
      <c r="K155" s="25"/>
      <c r="L155" s="57"/>
      <c r="M155" s="25"/>
      <c r="N155" s="55"/>
      <c r="O155" s="25"/>
      <c r="P155" s="25"/>
      <c r="Q155" s="25" t="s">
        <v>282</v>
      </c>
      <c r="R155" s="25" t="s">
        <v>300</v>
      </c>
      <c r="S155" s="25"/>
      <c r="T155" s="65"/>
      <c r="U155" s="65"/>
      <c r="V155" s="65"/>
      <c r="W155" s="65"/>
      <c r="X155" s="65"/>
      <c r="Y155" s="65"/>
      <c r="Z155" s="65"/>
      <c r="AA155" s="65"/>
    </row>
    <row r="156" spans="1:27" ht="15.75" customHeight="1">
      <c r="A156" s="344"/>
      <c r="B156" s="344"/>
      <c r="C156" s="34">
        <v>16</v>
      </c>
      <c r="D156" s="344"/>
      <c r="E156" s="344"/>
      <c r="F156" s="34"/>
      <c r="G156" s="34"/>
      <c r="H156" s="54" t="s">
        <v>4054</v>
      </c>
      <c r="I156" s="39" t="s">
        <v>4055</v>
      </c>
      <c r="J156" s="289"/>
      <c r="K156" s="25"/>
      <c r="L156" s="57"/>
      <c r="M156" s="26"/>
      <c r="N156" s="55"/>
      <c r="O156" s="25"/>
      <c r="P156" s="25"/>
      <c r="Q156" s="25" t="s">
        <v>282</v>
      </c>
      <c r="R156" s="25" t="s">
        <v>300</v>
      </c>
      <c r="S156" s="25"/>
      <c r="T156" s="65"/>
      <c r="U156" s="65"/>
      <c r="V156" s="65"/>
      <c r="W156" s="65"/>
      <c r="X156" s="65"/>
      <c r="Y156" s="65"/>
      <c r="Z156" s="65"/>
      <c r="AA156" s="65"/>
    </row>
    <row r="157" spans="1:27" ht="15.75" customHeight="1">
      <c r="A157" s="344"/>
      <c r="B157" s="344"/>
      <c r="C157" s="34">
        <v>17</v>
      </c>
      <c r="D157" s="344"/>
      <c r="E157" s="344"/>
      <c r="F157" s="34"/>
      <c r="G157" s="34"/>
      <c r="H157" s="54" t="s">
        <v>4056</v>
      </c>
      <c r="I157" s="39" t="s">
        <v>4057</v>
      </c>
      <c r="J157" s="289"/>
      <c r="K157" s="25"/>
      <c r="L157" s="57"/>
      <c r="M157" s="26"/>
      <c r="N157" s="55"/>
      <c r="O157" s="25"/>
      <c r="P157" s="25"/>
      <c r="Q157" s="25" t="s">
        <v>282</v>
      </c>
      <c r="R157" s="25" t="s">
        <v>300</v>
      </c>
      <c r="S157" s="25"/>
      <c r="T157" s="65"/>
      <c r="U157" s="65"/>
      <c r="V157" s="65"/>
      <c r="W157" s="65"/>
      <c r="X157" s="65"/>
      <c r="Y157" s="65"/>
      <c r="Z157" s="65"/>
      <c r="AA157" s="65"/>
    </row>
    <row r="158" spans="1:27" ht="15.75" customHeight="1">
      <c r="A158" s="344"/>
      <c r="B158" s="344"/>
      <c r="C158" s="34">
        <v>18</v>
      </c>
      <c r="D158" s="344"/>
      <c r="E158" s="344"/>
      <c r="F158" s="198"/>
      <c r="G158" s="199"/>
      <c r="H158" s="54" t="s">
        <v>4058</v>
      </c>
      <c r="I158" s="39" t="s">
        <v>4050</v>
      </c>
      <c r="J158" s="289"/>
      <c r="K158" s="25"/>
      <c r="L158" s="57"/>
      <c r="M158" s="26"/>
      <c r="N158" s="55"/>
      <c r="O158" s="25"/>
      <c r="P158" s="25"/>
      <c r="Q158" s="25" t="s">
        <v>282</v>
      </c>
      <c r="R158" s="25" t="s">
        <v>300</v>
      </c>
      <c r="S158" s="25"/>
      <c r="T158" s="65"/>
      <c r="U158" s="65"/>
      <c r="V158" s="65"/>
      <c r="W158" s="65"/>
      <c r="X158" s="65"/>
      <c r="Y158" s="65"/>
      <c r="Z158" s="65"/>
      <c r="AA158" s="65"/>
    </row>
    <row r="159" spans="1:27" ht="15.75" customHeight="1">
      <c r="A159" s="345"/>
      <c r="B159" s="345"/>
      <c r="C159" s="34">
        <v>19</v>
      </c>
      <c r="D159" s="345"/>
      <c r="E159" s="345"/>
      <c r="F159" s="34"/>
      <c r="G159" s="34"/>
      <c r="H159" s="200" t="s">
        <v>4059</v>
      </c>
      <c r="I159" s="73" t="s">
        <v>4050</v>
      </c>
      <c r="J159" s="79"/>
      <c r="K159" s="25"/>
      <c r="L159" s="57"/>
      <c r="M159" s="26"/>
      <c r="N159" s="55"/>
      <c r="O159" s="25"/>
      <c r="P159" s="25"/>
      <c r="Q159" s="25" t="s">
        <v>282</v>
      </c>
      <c r="R159" s="25" t="s">
        <v>300</v>
      </c>
      <c r="S159" s="25"/>
      <c r="T159" s="65"/>
      <c r="U159" s="65"/>
      <c r="V159" s="65"/>
      <c r="W159" s="65"/>
      <c r="X159" s="65"/>
      <c r="Y159" s="65"/>
      <c r="Z159" s="65"/>
      <c r="AA159" s="65"/>
    </row>
    <row r="160" spans="1:27" ht="15.75" customHeight="1">
      <c r="A160" s="351" t="s">
        <v>4060</v>
      </c>
      <c r="B160" s="354" t="s">
        <v>173</v>
      </c>
      <c r="C160" s="34">
        <v>1</v>
      </c>
      <c r="D160" s="351" t="s">
        <v>4061</v>
      </c>
      <c r="E160" s="361" t="s">
        <v>4062</v>
      </c>
      <c r="F160" s="34"/>
      <c r="G160" s="34"/>
      <c r="H160" s="33" t="s">
        <v>4063</v>
      </c>
      <c r="I160" s="39" t="s">
        <v>4030</v>
      </c>
      <c r="J160" s="289"/>
      <c r="K160" s="25"/>
      <c r="L160" s="57"/>
      <c r="M160" s="25"/>
      <c r="N160" s="55"/>
      <c r="O160" s="25"/>
      <c r="P160" s="25"/>
      <c r="Q160" s="25" t="s">
        <v>282</v>
      </c>
      <c r="R160" s="25" t="s">
        <v>300</v>
      </c>
      <c r="S160" s="25"/>
      <c r="T160" s="65"/>
      <c r="U160" s="65"/>
      <c r="V160" s="65"/>
      <c r="W160" s="65"/>
      <c r="X160" s="65"/>
      <c r="Y160" s="65"/>
      <c r="Z160" s="65"/>
      <c r="AA160" s="65"/>
    </row>
    <row r="161" spans="1:27" ht="15.75" customHeight="1">
      <c r="A161" s="344"/>
      <c r="B161" s="344"/>
      <c r="C161" s="34">
        <v>2</v>
      </c>
      <c r="D161" s="344"/>
      <c r="E161" s="344"/>
      <c r="F161" s="34"/>
      <c r="G161" s="34"/>
      <c r="H161" s="33" t="s">
        <v>4064</v>
      </c>
      <c r="I161" s="39" t="s">
        <v>4032</v>
      </c>
      <c r="J161" s="289"/>
      <c r="K161" s="25"/>
      <c r="L161" s="57"/>
      <c r="M161" s="25"/>
      <c r="N161" s="55"/>
      <c r="O161" s="25"/>
      <c r="P161" s="25"/>
      <c r="Q161" s="25" t="s">
        <v>282</v>
      </c>
      <c r="R161" s="25" t="s">
        <v>300</v>
      </c>
      <c r="S161" s="25"/>
      <c r="T161" s="65"/>
      <c r="U161" s="65"/>
      <c r="V161" s="65"/>
      <c r="W161" s="65"/>
      <c r="X161" s="65"/>
      <c r="Y161" s="65"/>
      <c r="Z161" s="65"/>
      <c r="AA161" s="65"/>
    </row>
    <row r="162" spans="1:27" ht="15.75" customHeight="1">
      <c r="A162" s="344"/>
      <c r="B162" s="344"/>
      <c r="C162" s="34">
        <v>3</v>
      </c>
      <c r="D162" s="344"/>
      <c r="E162" s="344"/>
      <c r="F162" s="34"/>
      <c r="G162" s="34"/>
      <c r="H162" s="54" t="s">
        <v>4065</v>
      </c>
      <c r="I162" s="39" t="s">
        <v>4034</v>
      </c>
      <c r="J162" s="289"/>
      <c r="K162" s="25"/>
      <c r="L162" s="57"/>
      <c r="M162" s="25"/>
      <c r="N162" s="55"/>
      <c r="O162" s="25"/>
      <c r="P162" s="25"/>
      <c r="Q162" s="25" t="s">
        <v>282</v>
      </c>
      <c r="R162" s="25" t="s">
        <v>300</v>
      </c>
      <c r="S162" s="25"/>
      <c r="T162" s="65"/>
      <c r="U162" s="65"/>
      <c r="V162" s="65"/>
      <c r="W162" s="65"/>
      <c r="X162" s="65"/>
      <c r="Y162" s="65"/>
      <c r="Z162" s="65"/>
      <c r="AA162" s="65"/>
    </row>
    <row r="163" spans="1:27" ht="15.75" customHeight="1">
      <c r="A163" s="344"/>
      <c r="B163" s="344"/>
      <c r="C163" s="34">
        <v>4</v>
      </c>
      <c r="D163" s="344"/>
      <c r="E163" s="344"/>
      <c r="F163" s="34"/>
      <c r="G163" s="34"/>
      <c r="H163" s="54" t="s">
        <v>4066</v>
      </c>
      <c r="I163" s="39" t="s">
        <v>4036</v>
      </c>
      <c r="J163" s="289"/>
      <c r="K163" s="25"/>
      <c r="L163" s="57"/>
      <c r="M163" s="25"/>
      <c r="N163" s="55"/>
      <c r="O163" s="25"/>
      <c r="P163" s="25"/>
      <c r="Q163" s="25" t="s">
        <v>282</v>
      </c>
      <c r="R163" s="25" t="s">
        <v>300</v>
      </c>
      <c r="S163" s="25"/>
      <c r="T163" s="65"/>
      <c r="U163" s="65"/>
      <c r="V163" s="65"/>
      <c r="W163" s="65"/>
      <c r="X163" s="65"/>
      <c r="Y163" s="65"/>
      <c r="Z163" s="65"/>
      <c r="AA163" s="65"/>
    </row>
    <row r="164" spans="1:27" ht="15.75" customHeight="1">
      <c r="A164" s="344"/>
      <c r="B164" s="344"/>
      <c r="C164" s="34">
        <v>5</v>
      </c>
      <c r="D164" s="344"/>
      <c r="E164" s="344"/>
      <c r="F164" s="34"/>
      <c r="G164" s="34"/>
      <c r="H164" s="54" t="s">
        <v>4067</v>
      </c>
      <c r="I164" s="39" t="s">
        <v>4038</v>
      </c>
      <c r="J164" s="289"/>
      <c r="K164" s="25"/>
      <c r="L164" s="57"/>
      <c r="M164" s="25"/>
      <c r="N164" s="55"/>
      <c r="O164" s="25"/>
      <c r="P164" s="25"/>
      <c r="Q164" s="25" t="s">
        <v>282</v>
      </c>
      <c r="R164" s="25" t="s">
        <v>300</v>
      </c>
      <c r="S164" s="25"/>
      <c r="T164" s="65"/>
      <c r="U164" s="65"/>
      <c r="V164" s="65"/>
      <c r="W164" s="65"/>
      <c r="X164" s="65"/>
      <c r="Y164" s="65"/>
      <c r="Z164" s="65"/>
      <c r="AA164" s="65"/>
    </row>
    <row r="165" spans="1:27" ht="15.75" customHeight="1">
      <c r="A165" s="344"/>
      <c r="B165" s="344"/>
      <c r="C165" s="34">
        <v>6</v>
      </c>
      <c r="D165" s="344"/>
      <c r="E165" s="344"/>
      <c r="F165" s="34"/>
      <c r="G165" s="34"/>
      <c r="H165" s="54" t="s">
        <v>4068</v>
      </c>
      <c r="I165" s="39" t="s">
        <v>4040</v>
      </c>
      <c r="J165" s="289"/>
      <c r="K165" s="25"/>
      <c r="L165" s="57"/>
      <c r="M165" s="25"/>
      <c r="N165" s="55"/>
      <c r="O165" s="25"/>
      <c r="P165" s="25"/>
      <c r="Q165" s="25" t="s">
        <v>282</v>
      </c>
      <c r="R165" s="25" t="s">
        <v>300</v>
      </c>
      <c r="S165" s="25"/>
      <c r="T165" s="65"/>
      <c r="U165" s="65"/>
      <c r="V165" s="65"/>
      <c r="W165" s="65"/>
      <c r="X165" s="65"/>
      <c r="Y165" s="65"/>
      <c r="Z165" s="65"/>
      <c r="AA165" s="65"/>
    </row>
    <row r="166" spans="1:27" ht="15.75" customHeight="1">
      <c r="A166" s="344"/>
      <c r="B166" s="344"/>
      <c r="C166" s="34">
        <v>7</v>
      </c>
      <c r="D166" s="344"/>
      <c r="E166" s="344"/>
      <c r="F166" s="34"/>
      <c r="G166" s="34"/>
      <c r="H166" s="54" t="s">
        <v>4069</v>
      </c>
      <c r="I166" s="39" t="s">
        <v>4042</v>
      </c>
      <c r="J166" s="289"/>
      <c r="K166" s="25"/>
      <c r="L166" s="57"/>
      <c r="M166" s="25"/>
      <c r="N166" s="55"/>
      <c r="O166" s="25"/>
      <c r="P166" s="25"/>
      <c r="Q166" s="25" t="s">
        <v>282</v>
      </c>
      <c r="R166" s="25" t="s">
        <v>300</v>
      </c>
      <c r="S166" s="25"/>
      <c r="T166" s="65"/>
      <c r="U166" s="65"/>
      <c r="V166" s="65"/>
      <c r="W166" s="65"/>
      <c r="X166" s="65"/>
      <c r="Y166" s="65"/>
      <c r="Z166" s="65"/>
      <c r="AA166" s="65"/>
    </row>
    <row r="167" spans="1:27" ht="15.75" customHeight="1">
      <c r="A167" s="344"/>
      <c r="B167" s="344"/>
      <c r="C167" s="34">
        <v>8</v>
      </c>
      <c r="D167" s="344"/>
      <c r="E167" s="344"/>
      <c r="F167" s="34"/>
      <c r="G167" s="34"/>
      <c r="H167" s="54" t="s">
        <v>4070</v>
      </c>
      <c r="I167" s="39" t="s">
        <v>4032</v>
      </c>
      <c r="J167" s="289"/>
      <c r="K167" s="25"/>
      <c r="L167" s="57"/>
      <c r="M167" s="25"/>
      <c r="N167" s="55"/>
      <c r="O167" s="25"/>
      <c r="P167" s="25"/>
      <c r="Q167" s="25" t="s">
        <v>282</v>
      </c>
      <c r="R167" s="25" t="s">
        <v>300</v>
      </c>
      <c r="S167" s="25"/>
      <c r="T167" s="65"/>
      <c r="U167" s="65"/>
      <c r="V167" s="65"/>
      <c r="W167" s="65"/>
      <c r="X167" s="65"/>
      <c r="Y167" s="65"/>
      <c r="Z167" s="65"/>
      <c r="AA167" s="65"/>
    </row>
    <row r="168" spans="1:27" ht="15.75" customHeight="1">
      <c r="A168" s="344"/>
      <c r="B168" s="344"/>
      <c r="C168" s="34">
        <v>9</v>
      </c>
      <c r="D168" s="344"/>
      <c r="E168" s="344"/>
      <c r="F168" s="34"/>
      <c r="G168" s="34"/>
      <c r="H168" s="54" t="s">
        <v>4071</v>
      </c>
      <c r="I168" s="39" t="s">
        <v>4045</v>
      </c>
      <c r="J168" s="289"/>
      <c r="K168" s="25"/>
      <c r="L168" s="57"/>
      <c r="M168" s="25"/>
      <c r="N168" s="55"/>
      <c r="O168" s="25"/>
      <c r="P168" s="25"/>
      <c r="Q168" s="25" t="s">
        <v>282</v>
      </c>
      <c r="R168" s="25" t="s">
        <v>300</v>
      </c>
      <c r="S168" s="25"/>
      <c r="T168" s="65"/>
      <c r="U168" s="65"/>
      <c r="V168" s="65"/>
      <c r="W168" s="65"/>
      <c r="X168" s="65"/>
      <c r="Y168" s="65"/>
      <c r="Z168" s="65"/>
      <c r="AA168" s="65"/>
    </row>
    <row r="169" spans="1:27" ht="15.75" customHeight="1">
      <c r="A169" s="344"/>
      <c r="B169" s="344"/>
      <c r="C169" s="34">
        <v>10</v>
      </c>
      <c r="D169" s="344"/>
      <c r="E169" s="344"/>
      <c r="F169" s="34"/>
      <c r="G169" s="34"/>
      <c r="H169" s="54" t="s">
        <v>4072</v>
      </c>
      <c r="I169" s="39" t="s">
        <v>4047</v>
      </c>
      <c r="J169" s="289"/>
      <c r="K169" s="25"/>
      <c r="L169" s="57"/>
      <c r="M169" s="25"/>
      <c r="N169" s="55"/>
      <c r="O169" s="25"/>
      <c r="P169" s="25"/>
      <c r="Q169" s="25" t="s">
        <v>282</v>
      </c>
      <c r="R169" s="25" t="s">
        <v>300</v>
      </c>
      <c r="S169" s="25"/>
      <c r="T169" s="65"/>
      <c r="U169" s="65"/>
      <c r="V169" s="65"/>
      <c r="W169" s="65"/>
      <c r="X169" s="65"/>
      <c r="Y169" s="65"/>
      <c r="Z169" s="65"/>
      <c r="AA169" s="65"/>
    </row>
    <row r="170" spans="1:27" ht="15.75" customHeight="1">
      <c r="A170" s="344"/>
      <c r="B170" s="344"/>
      <c r="C170" s="34">
        <v>11</v>
      </c>
      <c r="D170" s="344"/>
      <c r="E170" s="344"/>
      <c r="F170" s="34"/>
      <c r="G170" s="34"/>
      <c r="H170" s="54" t="s">
        <v>4073</v>
      </c>
      <c r="I170" s="39" t="s">
        <v>4042</v>
      </c>
      <c r="J170" s="289"/>
      <c r="K170" s="25"/>
      <c r="L170" s="57"/>
      <c r="M170" s="25"/>
      <c r="N170" s="55"/>
      <c r="O170" s="25"/>
      <c r="P170" s="25"/>
      <c r="Q170" s="25" t="s">
        <v>282</v>
      </c>
      <c r="R170" s="25" t="s">
        <v>300</v>
      </c>
      <c r="S170" s="25"/>
      <c r="T170" s="65"/>
      <c r="U170" s="65"/>
      <c r="V170" s="65"/>
      <c r="W170" s="65"/>
      <c r="X170" s="65"/>
      <c r="Y170" s="65"/>
      <c r="Z170" s="65"/>
      <c r="AA170" s="65"/>
    </row>
    <row r="171" spans="1:27" ht="15.75" customHeight="1">
      <c r="A171" s="344"/>
      <c r="B171" s="344"/>
      <c r="C171" s="34">
        <v>12</v>
      </c>
      <c r="D171" s="344"/>
      <c r="E171" s="344"/>
      <c r="F171" s="34"/>
      <c r="G171" s="34"/>
      <c r="H171" s="54" t="s">
        <v>4074</v>
      </c>
      <c r="I171" s="39" t="s">
        <v>4050</v>
      </c>
      <c r="J171" s="289"/>
      <c r="K171" s="25"/>
      <c r="L171" s="57"/>
      <c r="M171" s="25"/>
      <c r="N171" s="55"/>
      <c r="O171" s="25"/>
      <c r="P171" s="25"/>
      <c r="Q171" s="25" t="s">
        <v>282</v>
      </c>
      <c r="R171" s="25" t="s">
        <v>300</v>
      </c>
      <c r="S171" s="25"/>
      <c r="T171" s="65"/>
      <c r="U171" s="65"/>
      <c r="V171" s="65"/>
      <c r="W171" s="65"/>
      <c r="X171" s="65"/>
      <c r="Y171" s="65"/>
      <c r="Z171" s="65"/>
      <c r="AA171" s="65"/>
    </row>
    <row r="172" spans="1:27" ht="15.75" customHeight="1">
      <c r="A172" s="344"/>
      <c r="B172" s="344"/>
      <c r="C172" s="34">
        <v>13</v>
      </c>
      <c r="D172" s="344"/>
      <c r="E172" s="344"/>
      <c r="F172" s="34"/>
      <c r="G172" s="34"/>
      <c r="H172" s="54" t="s">
        <v>4075</v>
      </c>
      <c r="I172" s="39" t="s">
        <v>4050</v>
      </c>
      <c r="J172" s="289"/>
      <c r="K172" s="25"/>
      <c r="L172" s="57"/>
      <c r="M172" s="25"/>
      <c r="N172" s="55"/>
      <c r="O172" s="25"/>
      <c r="P172" s="25"/>
      <c r="Q172" s="25" t="s">
        <v>282</v>
      </c>
      <c r="R172" s="25" t="s">
        <v>300</v>
      </c>
      <c r="S172" s="25"/>
      <c r="T172" s="65"/>
      <c r="U172" s="65"/>
      <c r="V172" s="65"/>
      <c r="W172" s="65"/>
      <c r="X172" s="65"/>
      <c r="Y172" s="65"/>
      <c r="Z172" s="65"/>
      <c r="AA172" s="65"/>
    </row>
    <row r="173" spans="1:27" ht="15.75" customHeight="1">
      <c r="A173" s="344"/>
      <c r="B173" s="344"/>
      <c r="C173" s="34">
        <v>14</v>
      </c>
      <c r="D173" s="344"/>
      <c r="E173" s="344"/>
      <c r="F173" s="34"/>
      <c r="G173" s="34"/>
      <c r="H173" s="54" t="s">
        <v>4076</v>
      </c>
      <c r="I173" s="39" t="s">
        <v>4050</v>
      </c>
      <c r="J173" s="289"/>
      <c r="K173" s="25"/>
      <c r="L173" s="57"/>
      <c r="M173" s="25"/>
      <c r="N173" s="55"/>
      <c r="O173" s="25"/>
      <c r="P173" s="25"/>
      <c r="Q173" s="25" t="s">
        <v>282</v>
      </c>
      <c r="R173" s="25" t="s">
        <v>300</v>
      </c>
      <c r="S173" s="25"/>
      <c r="T173" s="65"/>
      <c r="U173" s="65"/>
      <c r="V173" s="65"/>
      <c r="W173" s="65"/>
      <c r="X173" s="65"/>
      <c r="Y173" s="65"/>
      <c r="Z173" s="65"/>
      <c r="AA173" s="65"/>
    </row>
    <row r="174" spans="1:27" ht="15.75" customHeight="1">
      <c r="A174" s="344"/>
      <c r="B174" s="344"/>
      <c r="C174" s="34">
        <v>15</v>
      </c>
      <c r="D174" s="344"/>
      <c r="E174" s="344"/>
      <c r="F174" s="34"/>
      <c r="G174" s="34"/>
      <c r="H174" s="54" t="s">
        <v>4077</v>
      </c>
      <c r="I174" s="39" t="s">
        <v>4032</v>
      </c>
      <c r="J174" s="289"/>
      <c r="K174" s="25"/>
      <c r="L174" s="57"/>
      <c r="M174" s="25"/>
      <c r="N174" s="55"/>
      <c r="O174" s="25"/>
      <c r="P174" s="25"/>
      <c r="Q174" s="25" t="s">
        <v>282</v>
      </c>
      <c r="R174" s="25" t="s">
        <v>300</v>
      </c>
      <c r="S174" s="25"/>
      <c r="T174" s="65"/>
      <c r="U174" s="65"/>
      <c r="V174" s="65"/>
      <c r="W174" s="65"/>
      <c r="X174" s="65"/>
      <c r="Y174" s="65"/>
      <c r="Z174" s="65"/>
      <c r="AA174" s="65"/>
    </row>
    <row r="175" spans="1:27" ht="15.75" customHeight="1">
      <c r="A175" s="344"/>
      <c r="B175" s="344"/>
      <c r="C175" s="34">
        <v>16</v>
      </c>
      <c r="D175" s="344"/>
      <c r="E175" s="344"/>
      <c r="F175" s="34"/>
      <c r="G175" s="34"/>
      <c r="H175" s="54" t="s">
        <v>4078</v>
      </c>
      <c r="I175" s="39" t="s">
        <v>4055</v>
      </c>
      <c r="J175" s="289"/>
      <c r="K175" s="25"/>
      <c r="L175" s="57"/>
      <c r="M175" s="26"/>
      <c r="N175" s="55"/>
      <c r="O175" s="25"/>
      <c r="P175" s="25"/>
      <c r="Q175" s="25" t="s">
        <v>282</v>
      </c>
      <c r="R175" s="25" t="s">
        <v>300</v>
      </c>
      <c r="S175" s="25"/>
      <c r="T175" s="65"/>
      <c r="U175" s="65"/>
      <c r="V175" s="65"/>
      <c r="W175" s="65"/>
      <c r="X175" s="65"/>
      <c r="Y175" s="65"/>
      <c r="Z175" s="65"/>
      <c r="AA175" s="65"/>
    </row>
    <row r="176" spans="1:27" ht="15.75" customHeight="1">
      <c r="A176" s="344"/>
      <c r="B176" s="344"/>
      <c r="C176" s="34">
        <v>17</v>
      </c>
      <c r="D176" s="344"/>
      <c r="E176" s="344"/>
      <c r="F176" s="34"/>
      <c r="G176" s="34"/>
      <c r="H176" s="54" t="s">
        <v>4079</v>
      </c>
      <c r="I176" s="39" t="s">
        <v>4057</v>
      </c>
      <c r="J176" s="289"/>
      <c r="K176" s="25"/>
      <c r="L176" s="57"/>
      <c r="M176" s="26"/>
      <c r="N176" s="55"/>
      <c r="O176" s="25"/>
      <c r="P176" s="25"/>
      <c r="Q176" s="25" t="s">
        <v>282</v>
      </c>
      <c r="R176" s="25" t="s">
        <v>300</v>
      </c>
      <c r="S176" s="25"/>
      <c r="T176" s="65"/>
      <c r="U176" s="65"/>
      <c r="V176" s="65"/>
      <c r="W176" s="65"/>
      <c r="X176" s="65"/>
      <c r="Y176" s="65"/>
      <c r="Z176" s="65"/>
      <c r="AA176" s="65"/>
    </row>
    <row r="177" spans="1:27" ht="15.75" customHeight="1">
      <c r="A177" s="344"/>
      <c r="B177" s="344"/>
      <c r="C177" s="34">
        <v>18</v>
      </c>
      <c r="D177" s="344"/>
      <c r="E177" s="344"/>
      <c r="F177" s="34"/>
      <c r="G177" s="34"/>
      <c r="H177" s="54" t="s">
        <v>4080</v>
      </c>
      <c r="I177" s="39" t="s">
        <v>4050</v>
      </c>
      <c r="J177" s="289"/>
      <c r="K177" s="25"/>
      <c r="L177" s="57"/>
      <c r="M177" s="26"/>
      <c r="N177" s="55"/>
      <c r="O177" s="25"/>
      <c r="P177" s="25"/>
      <c r="Q177" s="25" t="s">
        <v>282</v>
      </c>
      <c r="R177" s="25" t="s">
        <v>300</v>
      </c>
      <c r="S177" s="25"/>
      <c r="T177" s="65"/>
      <c r="U177" s="65"/>
      <c r="V177" s="65"/>
      <c r="W177" s="65"/>
      <c r="X177" s="65"/>
      <c r="Y177" s="65"/>
      <c r="Z177" s="65"/>
      <c r="AA177" s="65"/>
    </row>
    <row r="178" spans="1:27" ht="15.75" customHeight="1">
      <c r="A178" s="345"/>
      <c r="B178" s="345"/>
      <c r="C178" s="34">
        <v>19</v>
      </c>
      <c r="D178" s="345"/>
      <c r="E178" s="345"/>
      <c r="F178" s="34"/>
      <c r="G178" s="34"/>
      <c r="H178" s="200" t="s">
        <v>4081</v>
      </c>
      <c r="I178" s="73" t="s">
        <v>4050</v>
      </c>
      <c r="J178" s="79"/>
      <c r="K178" s="25"/>
      <c r="L178" s="57"/>
      <c r="M178" s="26"/>
      <c r="N178" s="55"/>
      <c r="O178" s="25"/>
      <c r="P178" s="25"/>
      <c r="Q178" s="25" t="s">
        <v>282</v>
      </c>
      <c r="R178" s="25" t="s">
        <v>300</v>
      </c>
      <c r="S178" s="25"/>
      <c r="T178" s="65"/>
      <c r="U178" s="65"/>
      <c r="V178" s="65"/>
      <c r="W178" s="65"/>
      <c r="X178" s="65"/>
      <c r="Y178" s="65"/>
      <c r="Z178" s="65"/>
      <c r="AA178" s="65"/>
    </row>
    <row r="179" spans="1:27" ht="15.75" customHeight="1">
      <c r="A179" s="351" t="s">
        <v>4082</v>
      </c>
      <c r="B179" s="354" t="s">
        <v>4083</v>
      </c>
      <c r="C179" s="34">
        <v>1</v>
      </c>
      <c r="D179" s="351" t="s">
        <v>4084</v>
      </c>
      <c r="E179" s="361" t="s">
        <v>4085</v>
      </c>
      <c r="F179" s="34"/>
      <c r="G179" s="34"/>
      <c r="H179" s="33" t="s">
        <v>4086</v>
      </c>
      <c r="I179" s="39" t="s">
        <v>4030</v>
      </c>
      <c r="J179" s="289"/>
      <c r="K179" s="25"/>
      <c r="L179" s="57"/>
      <c r="M179" s="25"/>
      <c r="N179" s="55"/>
      <c r="O179" s="25"/>
      <c r="P179" s="25"/>
      <c r="Q179" s="25" t="s">
        <v>282</v>
      </c>
      <c r="R179" s="25" t="s">
        <v>300</v>
      </c>
      <c r="S179" s="25"/>
      <c r="T179" s="65"/>
      <c r="U179" s="65"/>
      <c r="V179" s="65"/>
      <c r="W179" s="65"/>
      <c r="X179" s="65"/>
      <c r="Y179" s="65"/>
      <c r="Z179" s="65"/>
      <c r="AA179" s="65"/>
    </row>
    <row r="180" spans="1:27" ht="15.75" customHeight="1">
      <c r="A180" s="344"/>
      <c r="B180" s="344"/>
      <c r="C180" s="34">
        <v>2</v>
      </c>
      <c r="D180" s="344"/>
      <c r="E180" s="344"/>
      <c r="F180" s="34"/>
      <c r="G180" s="34"/>
      <c r="H180" s="33" t="s">
        <v>4087</v>
      </c>
      <c r="I180" s="39" t="s">
        <v>4032</v>
      </c>
      <c r="J180" s="289"/>
      <c r="K180" s="25"/>
      <c r="L180" s="57"/>
      <c r="M180" s="25"/>
      <c r="N180" s="55"/>
      <c r="O180" s="25"/>
      <c r="P180" s="25"/>
      <c r="Q180" s="25" t="s">
        <v>282</v>
      </c>
      <c r="R180" s="25" t="s">
        <v>300</v>
      </c>
      <c r="S180" s="25"/>
      <c r="T180" s="65"/>
      <c r="U180" s="65"/>
      <c r="V180" s="65"/>
      <c r="W180" s="65"/>
      <c r="X180" s="65"/>
      <c r="Y180" s="65"/>
      <c r="Z180" s="65"/>
      <c r="AA180" s="65"/>
    </row>
    <row r="181" spans="1:27" ht="15.75" customHeight="1">
      <c r="A181" s="344"/>
      <c r="B181" s="344"/>
      <c r="C181" s="34">
        <v>3</v>
      </c>
      <c r="D181" s="344"/>
      <c r="E181" s="344"/>
      <c r="F181" s="34"/>
      <c r="G181" s="34"/>
      <c r="H181" s="54" t="s">
        <v>4088</v>
      </c>
      <c r="I181" s="39" t="s">
        <v>4034</v>
      </c>
      <c r="J181" s="289"/>
      <c r="K181" s="25"/>
      <c r="L181" s="57"/>
      <c r="M181" s="25"/>
      <c r="N181" s="55"/>
      <c r="O181" s="25"/>
      <c r="P181" s="25"/>
      <c r="Q181" s="25" t="s">
        <v>282</v>
      </c>
      <c r="R181" s="25" t="s">
        <v>300</v>
      </c>
      <c r="S181" s="25"/>
      <c r="T181" s="65"/>
      <c r="U181" s="65"/>
      <c r="V181" s="65"/>
      <c r="W181" s="65"/>
      <c r="X181" s="65"/>
      <c r="Y181" s="65"/>
      <c r="Z181" s="65"/>
      <c r="AA181" s="65"/>
    </row>
    <row r="182" spans="1:27" ht="15.75" customHeight="1">
      <c r="A182" s="344"/>
      <c r="B182" s="344"/>
      <c r="C182" s="34">
        <v>4</v>
      </c>
      <c r="D182" s="344"/>
      <c r="E182" s="344"/>
      <c r="F182" s="34"/>
      <c r="G182" s="34"/>
      <c r="H182" s="54" t="s">
        <v>4089</v>
      </c>
      <c r="I182" s="39" t="s">
        <v>4036</v>
      </c>
      <c r="J182" s="289"/>
      <c r="K182" s="25"/>
      <c r="L182" s="57"/>
      <c r="M182" s="25"/>
      <c r="N182" s="55"/>
      <c r="O182" s="25"/>
      <c r="P182" s="25"/>
      <c r="Q182" s="25" t="s">
        <v>282</v>
      </c>
      <c r="R182" s="25" t="s">
        <v>300</v>
      </c>
      <c r="S182" s="25"/>
      <c r="T182" s="65"/>
      <c r="U182" s="65"/>
      <c r="V182" s="65"/>
      <c r="W182" s="65"/>
      <c r="X182" s="65"/>
      <c r="Y182" s="65"/>
      <c r="Z182" s="65"/>
      <c r="AA182" s="65"/>
    </row>
    <row r="183" spans="1:27" ht="15.75" customHeight="1">
      <c r="A183" s="344"/>
      <c r="B183" s="344"/>
      <c r="C183" s="34">
        <v>5</v>
      </c>
      <c r="D183" s="344"/>
      <c r="E183" s="344"/>
      <c r="F183" s="34"/>
      <c r="G183" s="34"/>
      <c r="H183" s="54" t="s">
        <v>4090</v>
      </c>
      <c r="I183" s="39" t="s">
        <v>4038</v>
      </c>
      <c r="J183" s="289"/>
      <c r="K183" s="25"/>
      <c r="L183" s="57"/>
      <c r="M183" s="25"/>
      <c r="N183" s="55"/>
      <c r="O183" s="25"/>
      <c r="P183" s="25"/>
      <c r="Q183" s="25" t="s">
        <v>282</v>
      </c>
      <c r="R183" s="25" t="s">
        <v>300</v>
      </c>
      <c r="S183" s="25"/>
      <c r="T183" s="65"/>
      <c r="U183" s="65"/>
      <c r="V183" s="65"/>
      <c r="W183" s="65"/>
      <c r="X183" s="65"/>
      <c r="Y183" s="65"/>
      <c r="Z183" s="65"/>
      <c r="AA183" s="65"/>
    </row>
    <row r="184" spans="1:27" ht="15.75" customHeight="1">
      <c r="A184" s="344"/>
      <c r="B184" s="344"/>
      <c r="C184" s="34">
        <v>6</v>
      </c>
      <c r="D184" s="344"/>
      <c r="E184" s="344"/>
      <c r="F184" s="34"/>
      <c r="G184" s="34"/>
      <c r="H184" s="54" t="s">
        <v>4091</v>
      </c>
      <c r="I184" s="39" t="s">
        <v>4040</v>
      </c>
      <c r="J184" s="289"/>
      <c r="K184" s="25"/>
      <c r="L184" s="57"/>
      <c r="M184" s="25"/>
      <c r="N184" s="55"/>
      <c r="O184" s="25"/>
      <c r="P184" s="25"/>
      <c r="Q184" s="25" t="s">
        <v>282</v>
      </c>
      <c r="R184" s="25" t="s">
        <v>300</v>
      </c>
      <c r="S184" s="25"/>
      <c r="T184" s="65"/>
      <c r="U184" s="65"/>
      <c r="V184" s="65"/>
      <c r="W184" s="65"/>
      <c r="X184" s="65"/>
      <c r="Y184" s="65"/>
      <c r="Z184" s="65"/>
      <c r="AA184" s="65"/>
    </row>
    <row r="185" spans="1:27" ht="15.75" customHeight="1">
      <c r="A185" s="344"/>
      <c r="B185" s="344"/>
      <c r="C185" s="34">
        <v>7</v>
      </c>
      <c r="D185" s="344"/>
      <c r="E185" s="344"/>
      <c r="F185" s="34"/>
      <c r="G185" s="34"/>
      <c r="H185" s="54" t="s">
        <v>4092</v>
      </c>
      <c r="I185" s="39" t="s">
        <v>4042</v>
      </c>
      <c r="J185" s="289"/>
      <c r="K185" s="25"/>
      <c r="L185" s="57"/>
      <c r="M185" s="25"/>
      <c r="N185" s="55"/>
      <c r="O185" s="25"/>
      <c r="P185" s="25"/>
      <c r="Q185" s="25" t="s">
        <v>282</v>
      </c>
      <c r="R185" s="25" t="s">
        <v>300</v>
      </c>
      <c r="S185" s="25"/>
      <c r="T185" s="65"/>
      <c r="U185" s="65"/>
      <c r="V185" s="65"/>
      <c r="W185" s="65"/>
      <c r="X185" s="65"/>
      <c r="Y185" s="65"/>
      <c r="Z185" s="65"/>
      <c r="AA185" s="65"/>
    </row>
    <row r="186" spans="1:27" ht="15.75" customHeight="1">
      <c r="A186" s="344"/>
      <c r="B186" s="344"/>
      <c r="C186" s="34">
        <v>8</v>
      </c>
      <c r="D186" s="344"/>
      <c r="E186" s="344"/>
      <c r="F186" s="34"/>
      <c r="G186" s="34"/>
      <c r="H186" s="54" t="s">
        <v>4093</v>
      </c>
      <c r="I186" s="39" t="s">
        <v>4032</v>
      </c>
      <c r="J186" s="289"/>
      <c r="K186" s="25"/>
      <c r="L186" s="57"/>
      <c r="M186" s="25"/>
      <c r="N186" s="55"/>
      <c r="O186" s="25"/>
      <c r="P186" s="25"/>
      <c r="Q186" s="25" t="s">
        <v>282</v>
      </c>
      <c r="R186" s="25" t="s">
        <v>300</v>
      </c>
      <c r="S186" s="25"/>
      <c r="T186" s="65"/>
      <c r="U186" s="65"/>
      <c r="V186" s="65"/>
      <c r="W186" s="65"/>
      <c r="X186" s="65"/>
      <c r="Y186" s="65"/>
      <c r="Z186" s="65"/>
      <c r="AA186" s="65"/>
    </row>
    <row r="187" spans="1:27" ht="15.75" customHeight="1">
      <c r="A187" s="344"/>
      <c r="B187" s="344"/>
      <c r="C187" s="34">
        <v>9</v>
      </c>
      <c r="D187" s="344"/>
      <c r="E187" s="344"/>
      <c r="F187" s="34"/>
      <c r="G187" s="34"/>
      <c r="H187" s="54" t="s">
        <v>4094</v>
      </c>
      <c r="I187" s="39" t="s">
        <v>4045</v>
      </c>
      <c r="J187" s="289"/>
      <c r="K187" s="25"/>
      <c r="L187" s="57"/>
      <c r="M187" s="25"/>
      <c r="N187" s="55"/>
      <c r="O187" s="25"/>
      <c r="P187" s="25"/>
      <c r="Q187" s="25" t="s">
        <v>282</v>
      </c>
      <c r="R187" s="25" t="s">
        <v>300</v>
      </c>
      <c r="S187" s="25"/>
      <c r="T187" s="65"/>
      <c r="U187" s="65"/>
      <c r="V187" s="65"/>
      <c r="W187" s="65"/>
      <c r="X187" s="65"/>
      <c r="Y187" s="65"/>
      <c r="Z187" s="65"/>
      <c r="AA187" s="65"/>
    </row>
    <row r="188" spans="1:27" ht="15.75" customHeight="1">
      <c r="A188" s="344"/>
      <c r="B188" s="344"/>
      <c r="C188" s="34">
        <v>10</v>
      </c>
      <c r="D188" s="344"/>
      <c r="E188" s="344"/>
      <c r="F188" s="34"/>
      <c r="G188" s="34"/>
      <c r="H188" s="54" t="s">
        <v>4095</v>
      </c>
      <c r="I188" s="39" t="s">
        <v>4047</v>
      </c>
      <c r="J188" s="289"/>
      <c r="K188" s="25"/>
      <c r="L188" s="57"/>
      <c r="M188" s="25"/>
      <c r="N188" s="55"/>
      <c r="O188" s="25"/>
      <c r="P188" s="25"/>
      <c r="Q188" s="25" t="s">
        <v>282</v>
      </c>
      <c r="R188" s="25" t="s">
        <v>300</v>
      </c>
      <c r="S188" s="25"/>
      <c r="T188" s="65"/>
      <c r="U188" s="65"/>
      <c r="V188" s="65"/>
      <c r="W188" s="65"/>
      <c r="X188" s="65"/>
      <c r="Y188" s="65"/>
      <c r="Z188" s="65"/>
      <c r="AA188" s="65"/>
    </row>
    <row r="189" spans="1:27" ht="15.75" customHeight="1">
      <c r="A189" s="344"/>
      <c r="B189" s="344"/>
      <c r="C189" s="34">
        <v>11</v>
      </c>
      <c r="D189" s="344"/>
      <c r="E189" s="344"/>
      <c r="F189" s="34"/>
      <c r="G189" s="34"/>
      <c r="H189" s="54" t="s">
        <v>4096</v>
      </c>
      <c r="I189" s="39" t="s">
        <v>4042</v>
      </c>
      <c r="J189" s="289"/>
      <c r="K189" s="25"/>
      <c r="L189" s="57"/>
      <c r="M189" s="25"/>
      <c r="N189" s="55"/>
      <c r="O189" s="25"/>
      <c r="P189" s="25"/>
      <c r="Q189" s="25" t="s">
        <v>282</v>
      </c>
      <c r="R189" s="25" t="s">
        <v>300</v>
      </c>
      <c r="S189" s="25"/>
      <c r="T189" s="65"/>
      <c r="U189" s="65"/>
      <c r="V189" s="65"/>
      <c r="W189" s="65"/>
      <c r="X189" s="65"/>
      <c r="Y189" s="65"/>
      <c r="Z189" s="65"/>
      <c r="AA189" s="65"/>
    </row>
    <row r="190" spans="1:27" ht="15.75" customHeight="1">
      <c r="A190" s="344"/>
      <c r="B190" s="344"/>
      <c r="C190" s="34">
        <v>12</v>
      </c>
      <c r="D190" s="344"/>
      <c r="E190" s="344"/>
      <c r="F190" s="34"/>
      <c r="G190" s="34"/>
      <c r="H190" s="54" t="s">
        <v>4097</v>
      </c>
      <c r="I190" s="39" t="s">
        <v>4050</v>
      </c>
      <c r="J190" s="289"/>
      <c r="K190" s="25"/>
      <c r="L190" s="57"/>
      <c r="M190" s="25"/>
      <c r="N190" s="55"/>
      <c r="O190" s="25"/>
      <c r="P190" s="25"/>
      <c r="Q190" s="25" t="s">
        <v>282</v>
      </c>
      <c r="R190" s="25" t="s">
        <v>300</v>
      </c>
      <c r="S190" s="25"/>
      <c r="T190" s="65"/>
      <c r="U190" s="65"/>
      <c r="V190" s="65"/>
      <c r="W190" s="65"/>
      <c r="X190" s="65"/>
      <c r="Y190" s="65"/>
      <c r="Z190" s="65"/>
      <c r="AA190" s="65"/>
    </row>
    <row r="191" spans="1:27" ht="15.75" customHeight="1">
      <c r="A191" s="344"/>
      <c r="B191" s="344"/>
      <c r="C191" s="34">
        <v>13</v>
      </c>
      <c r="D191" s="344"/>
      <c r="E191" s="344"/>
      <c r="F191" s="34"/>
      <c r="G191" s="34"/>
      <c r="H191" s="54" t="s">
        <v>4098</v>
      </c>
      <c r="I191" s="39" t="s">
        <v>4050</v>
      </c>
      <c r="J191" s="289"/>
      <c r="K191" s="25"/>
      <c r="L191" s="57"/>
      <c r="M191" s="25"/>
      <c r="N191" s="55"/>
      <c r="O191" s="25"/>
      <c r="P191" s="25"/>
      <c r="Q191" s="25" t="s">
        <v>282</v>
      </c>
      <c r="R191" s="25" t="s">
        <v>300</v>
      </c>
      <c r="S191" s="25"/>
      <c r="T191" s="65"/>
      <c r="U191" s="65"/>
      <c r="V191" s="65"/>
      <c r="W191" s="65"/>
      <c r="X191" s="65"/>
      <c r="Y191" s="65"/>
      <c r="Z191" s="65"/>
      <c r="AA191" s="65"/>
    </row>
    <row r="192" spans="1:27" ht="15.75" customHeight="1">
      <c r="A192" s="344"/>
      <c r="B192" s="344"/>
      <c r="C192" s="34">
        <v>14</v>
      </c>
      <c r="D192" s="344"/>
      <c r="E192" s="344"/>
      <c r="F192" s="34"/>
      <c r="G192" s="34"/>
      <c r="H192" s="54" t="s">
        <v>4099</v>
      </c>
      <c r="I192" s="39" t="s">
        <v>4050</v>
      </c>
      <c r="J192" s="289"/>
      <c r="K192" s="25"/>
      <c r="L192" s="57"/>
      <c r="M192" s="25"/>
      <c r="N192" s="55"/>
      <c r="O192" s="25"/>
      <c r="P192" s="25"/>
      <c r="Q192" s="25" t="s">
        <v>282</v>
      </c>
      <c r="R192" s="25" t="s">
        <v>300</v>
      </c>
      <c r="S192" s="25"/>
      <c r="T192" s="65"/>
      <c r="U192" s="65"/>
      <c r="V192" s="65"/>
      <c r="W192" s="65"/>
      <c r="X192" s="65"/>
      <c r="Y192" s="65"/>
      <c r="Z192" s="65"/>
      <c r="AA192" s="65"/>
    </row>
    <row r="193" spans="1:27" ht="15.75" customHeight="1">
      <c r="A193" s="344"/>
      <c r="B193" s="344"/>
      <c r="C193" s="34">
        <v>15</v>
      </c>
      <c r="D193" s="344"/>
      <c r="E193" s="344"/>
      <c r="F193" s="34"/>
      <c r="G193" s="34"/>
      <c r="H193" s="54" t="s">
        <v>4100</v>
      </c>
      <c r="I193" s="39" t="s">
        <v>4032</v>
      </c>
      <c r="J193" s="289"/>
      <c r="K193" s="25"/>
      <c r="L193" s="57"/>
      <c r="M193" s="25"/>
      <c r="N193" s="55"/>
      <c r="O193" s="25"/>
      <c r="P193" s="25"/>
      <c r="Q193" s="25" t="s">
        <v>282</v>
      </c>
      <c r="R193" s="25" t="s">
        <v>300</v>
      </c>
      <c r="S193" s="25"/>
      <c r="T193" s="65"/>
      <c r="U193" s="65"/>
      <c r="V193" s="65"/>
      <c r="W193" s="65"/>
      <c r="X193" s="65"/>
      <c r="Y193" s="65"/>
      <c r="Z193" s="65"/>
      <c r="AA193" s="65"/>
    </row>
    <row r="194" spans="1:27" ht="15.75" customHeight="1">
      <c r="A194" s="344"/>
      <c r="B194" s="344"/>
      <c r="C194" s="34">
        <v>16</v>
      </c>
      <c r="D194" s="344"/>
      <c r="E194" s="344"/>
      <c r="F194" s="34"/>
      <c r="G194" s="34"/>
      <c r="H194" s="54" t="s">
        <v>4101</v>
      </c>
      <c r="I194" s="39" t="s">
        <v>4055</v>
      </c>
      <c r="J194" s="289"/>
      <c r="K194" s="25"/>
      <c r="L194" s="57"/>
      <c r="M194" s="26"/>
      <c r="N194" s="55"/>
      <c r="O194" s="25"/>
      <c r="P194" s="25"/>
      <c r="Q194" s="25" t="s">
        <v>282</v>
      </c>
      <c r="R194" s="25" t="s">
        <v>300</v>
      </c>
      <c r="S194" s="25"/>
      <c r="T194" s="65"/>
      <c r="U194" s="65"/>
      <c r="V194" s="65"/>
      <c r="W194" s="65"/>
      <c r="X194" s="65"/>
      <c r="Y194" s="65"/>
      <c r="Z194" s="65"/>
      <c r="AA194" s="65"/>
    </row>
    <row r="195" spans="1:27" ht="15.75" customHeight="1">
      <c r="A195" s="344"/>
      <c r="B195" s="344"/>
      <c r="C195" s="34">
        <v>17</v>
      </c>
      <c r="D195" s="344"/>
      <c r="E195" s="344"/>
      <c r="F195" s="34"/>
      <c r="G195" s="34"/>
      <c r="H195" s="54" t="s">
        <v>4102</v>
      </c>
      <c r="I195" s="39" t="s">
        <v>4057</v>
      </c>
      <c r="J195" s="289"/>
      <c r="K195" s="25"/>
      <c r="L195" s="57"/>
      <c r="M195" s="26"/>
      <c r="N195" s="55"/>
      <c r="O195" s="25"/>
      <c r="P195" s="25"/>
      <c r="Q195" s="25" t="s">
        <v>282</v>
      </c>
      <c r="R195" s="25" t="s">
        <v>300</v>
      </c>
      <c r="S195" s="25"/>
      <c r="T195" s="65"/>
      <c r="U195" s="65"/>
      <c r="V195" s="65"/>
      <c r="W195" s="65"/>
      <c r="X195" s="65"/>
      <c r="Y195" s="65"/>
      <c r="Z195" s="65"/>
      <c r="AA195" s="65"/>
    </row>
    <row r="196" spans="1:27" ht="15.75" customHeight="1">
      <c r="A196" s="344"/>
      <c r="B196" s="344"/>
      <c r="C196" s="34">
        <v>18</v>
      </c>
      <c r="D196" s="344"/>
      <c r="E196" s="344"/>
      <c r="F196" s="34"/>
      <c r="G196" s="34"/>
      <c r="H196" s="54" t="s">
        <v>4103</v>
      </c>
      <c r="I196" s="39" t="s">
        <v>4050</v>
      </c>
      <c r="J196" s="289"/>
      <c r="K196" s="25"/>
      <c r="L196" s="57"/>
      <c r="M196" s="26"/>
      <c r="N196" s="55"/>
      <c r="O196" s="25"/>
      <c r="P196" s="25"/>
      <c r="Q196" s="25" t="s">
        <v>282</v>
      </c>
      <c r="R196" s="25" t="s">
        <v>300</v>
      </c>
      <c r="S196" s="25"/>
      <c r="T196" s="65"/>
      <c r="U196" s="65"/>
      <c r="V196" s="65"/>
      <c r="W196" s="65"/>
      <c r="X196" s="65"/>
      <c r="Y196" s="65"/>
      <c r="Z196" s="65"/>
      <c r="AA196" s="65"/>
    </row>
    <row r="197" spans="1:27" ht="15.75" customHeight="1">
      <c r="A197" s="345"/>
      <c r="B197" s="345"/>
      <c r="C197" s="34">
        <v>19</v>
      </c>
      <c r="D197" s="345"/>
      <c r="E197" s="345"/>
      <c r="F197" s="34"/>
      <c r="G197" s="34"/>
      <c r="H197" s="200" t="s">
        <v>4104</v>
      </c>
      <c r="I197" s="73" t="s">
        <v>4050</v>
      </c>
      <c r="J197" s="79"/>
      <c r="K197" s="25"/>
      <c r="L197" s="57"/>
      <c r="M197" s="26"/>
      <c r="N197" s="55"/>
      <c r="O197" s="25"/>
      <c r="P197" s="25"/>
      <c r="Q197" s="25" t="s">
        <v>282</v>
      </c>
      <c r="R197" s="25" t="s">
        <v>300</v>
      </c>
      <c r="S197" s="25"/>
      <c r="T197" s="65"/>
      <c r="U197" s="65"/>
      <c r="V197" s="65"/>
      <c r="W197" s="65"/>
      <c r="X197" s="65"/>
      <c r="Y197" s="65"/>
      <c r="Z197" s="65"/>
      <c r="AA197" s="65"/>
    </row>
    <row r="198" spans="1:27" ht="15.75" customHeight="1">
      <c r="A198" s="351" t="s">
        <v>4105</v>
      </c>
      <c r="B198" s="354" t="s">
        <v>4106</v>
      </c>
      <c r="C198" s="86">
        <v>1</v>
      </c>
      <c r="D198" s="351" t="s">
        <v>4107</v>
      </c>
      <c r="E198" s="361" t="s">
        <v>4108</v>
      </c>
      <c r="F198" s="86"/>
      <c r="G198" s="86"/>
      <c r="H198" s="175" t="s">
        <v>4109</v>
      </c>
      <c r="I198" s="39" t="s">
        <v>4030</v>
      </c>
      <c r="J198" s="289"/>
      <c r="K198" s="25"/>
      <c r="L198" s="57"/>
      <c r="M198" s="25"/>
      <c r="N198" s="55"/>
      <c r="O198" s="25"/>
      <c r="P198" s="25"/>
      <c r="Q198" s="25" t="s">
        <v>282</v>
      </c>
      <c r="R198" s="50" t="s">
        <v>301</v>
      </c>
      <c r="S198" s="25"/>
      <c r="T198" s="65"/>
      <c r="U198" s="65"/>
      <c r="V198" s="65"/>
      <c r="W198" s="65"/>
      <c r="X198" s="65"/>
      <c r="Y198" s="65"/>
      <c r="Z198" s="65"/>
      <c r="AA198" s="65"/>
    </row>
    <row r="199" spans="1:27" ht="15.75" customHeight="1">
      <c r="A199" s="352"/>
      <c r="B199" s="352"/>
      <c r="C199" s="86">
        <v>2</v>
      </c>
      <c r="D199" s="352"/>
      <c r="E199" s="352"/>
      <c r="F199" s="86"/>
      <c r="G199" s="86"/>
      <c r="H199" s="175" t="s">
        <v>4110</v>
      </c>
      <c r="I199" s="39" t="s">
        <v>4032</v>
      </c>
      <c r="J199" s="289"/>
      <c r="K199" s="25"/>
      <c r="L199" s="57"/>
      <c r="M199" s="25"/>
      <c r="N199" s="55"/>
      <c r="O199" s="25"/>
      <c r="P199" s="25"/>
      <c r="Q199" s="25" t="s">
        <v>282</v>
      </c>
      <c r="R199" s="50" t="s">
        <v>301</v>
      </c>
      <c r="S199" s="25"/>
      <c r="T199" s="65"/>
      <c r="U199" s="65"/>
      <c r="V199" s="65"/>
      <c r="W199" s="65"/>
      <c r="X199" s="65"/>
      <c r="Y199" s="65"/>
      <c r="Z199" s="65"/>
      <c r="AA199" s="65"/>
    </row>
    <row r="200" spans="1:27" ht="15.75" customHeight="1">
      <c r="A200" s="352"/>
      <c r="B200" s="352"/>
      <c r="C200" s="86">
        <v>3</v>
      </c>
      <c r="D200" s="352"/>
      <c r="E200" s="352"/>
      <c r="F200" s="86"/>
      <c r="G200" s="86"/>
      <c r="H200" s="181" t="s">
        <v>4111</v>
      </c>
      <c r="I200" s="39" t="s">
        <v>4034</v>
      </c>
      <c r="J200" s="289"/>
      <c r="K200" s="25"/>
      <c r="L200" s="57"/>
      <c r="M200" s="25"/>
      <c r="N200" s="55"/>
      <c r="O200" s="25"/>
      <c r="P200" s="25"/>
      <c r="Q200" s="25" t="s">
        <v>282</v>
      </c>
      <c r="R200" s="50" t="s">
        <v>301</v>
      </c>
      <c r="S200" s="25"/>
      <c r="T200" s="65"/>
      <c r="U200" s="65"/>
      <c r="V200" s="65"/>
      <c r="W200" s="65"/>
      <c r="X200" s="65"/>
      <c r="Y200" s="65"/>
      <c r="Z200" s="65"/>
      <c r="AA200" s="65"/>
    </row>
    <row r="201" spans="1:27" ht="15.75" customHeight="1">
      <c r="A201" s="352"/>
      <c r="B201" s="352"/>
      <c r="C201" s="86">
        <v>4</v>
      </c>
      <c r="D201" s="352"/>
      <c r="E201" s="352"/>
      <c r="F201" s="86"/>
      <c r="G201" s="86"/>
      <c r="H201" s="181" t="s">
        <v>4112</v>
      </c>
      <c r="I201" s="39" t="s">
        <v>4050</v>
      </c>
      <c r="J201" s="289"/>
      <c r="K201" s="25"/>
      <c r="L201" s="57"/>
      <c r="M201" s="25"/>
      <c r="N201" s="55"/>
      <c r="O201" s="25"/>
      <c r="P201" s="25"/>
      <c r="Q201" s="25" t="s">
        <v>282</v>
      </c>
      <c r="R201" s="50" t="s">
        <v>301</v>
      </c>
      <c r="S201" s="25"/>
      <c r="T201" s="65"/>
      <c r="U201" s="65"/>
      <c r="V201" s="65"/>
      <c r="W201" s="65"/>
      <c r="X201" s="65"/>
      <c r="Y201" s="65"/>
      <c r="Z201" s="65"/>
      <c r="AA201" s="65"/>
    </row>
    <row r="202" spans="1:27" ht="15.75" customHeight="1">
      <c r="A202" s="352"/>
      <c r="B202" s="352"/>
      <c r="C202" s="86">
        <v>5</v>
      </c>
      <c r="D202" s="352"/>
      <c r="E202" s="352"/>
      <c r="F202" s="86"/>
      <c r="G202" s="86"/>
      <c r="H202" s="181" t="s">
        <v>4113</v>
      </c>
      <c r="I202" s="39" t="s">
        <v>4050</v>
      </c>
      <c r="J202" s="289"/>
      <c r="K202" s="25"/>
      <c r="L202" s="57"/>
      <c r="M202" s="25"/>
      <c r="N202" s="55"/>
      <c r="O202" s="25"/>
      <c r="P202" s="25"/>
      <c r="Q202" s="25" t="s">
        <v>282</v>
      </c>
      <c r="R202" s="50" t="s">
        <v>301</v>
      </c>
      <c r="S202" s="25"/>
      <c r="T202" s="65"/>
      <c r="U202" s="65"/>
      <c r="V202" s="65"/>
      <c r="W202" s="65"/>
      <c r="X202" s="65"/>
      <c r="Y202" s="65"/>
      <c r="Z202" s="65"/>
      <c r="AA202" s="65"/>
    </row>
    <row r="203" spans="1:27" ht="15.75" customHeight="1">
      <c r="A203" s="352"/>
      <c r="B203" s="352"/>
      <c r="C203" s="86">
        <v>6</v>
      </c>
      <c r="D203" s="352"/>
      <c r="E203" s="352"/>
      <c r="F203" s="86"/>
      <c r="G203" s="86"/>
      <c r="H203" s="181" t="s">
        <v>4114</v>
      </c>
      <c r="I203" s="39" t="s">
        <v>4050</v>
      </c>
      <c r="J203" s="289"/>
      <c r="K203" s="25"/>
      <c r="L203" s="57"/>
      <c r="M203" s="25"/>
      <c r="N203" s="55"/>
      <c r="O203" s="25"/>
      <c r="P203" s="25"/>
      <c r="Q203" s="25" t="s">
        <v>282</v>
      </c>
      <c r="R203" s="50" t="s">
        <v>301</v>
      </c>
      <c r="S203" s="25"/>
      <c r="T203" s="65"/>
      <c r="U203" s="65"/>
      <c r="V203" s="65"/>
      <c r="W203" s="65"/>
      <c r="X203" s="65"/>
      <c r="Y203" s="65"/>
      <c r="Z203" s="65"/>
      <c r="AA203" s="65"/>
    </row>
    <row r="204" spans="1:27" ht="15.75" customHeight="1">
      <c r="A204" s="352"/>
      <c r="B204" s="352"/>
      <c r="C204" s="86">
        <v>7</v>
      </c>
      <c r="D204" s="352"/>
      <c r="E204" s="352"/>
      <c r="F204" s="86"/>
      <c r="G204" s="86"/>
      <c r="H204" s="181" t="s">
        <v>4115</v>
      </c>
      <c r="I204" s="39" t="s">
        <v>4050</v>
      </c>
      <c r="J204" s="289"/>
      <c r="K204" s="25"/>
      <c r="L204" s="57"/>
      <c r="M204" s="25"/>
      <c r="N204" s="55"/>
      <c r="O204" s="25"/>
      <c r="P204" s="25"/>
      <c r="Q204" s="25" t="s">
        <v>282</v>
      </c>
      <c r="R204" s="50" t="s">
        <v>301</v>
      </c>
      <c r="S204" s="25"/>
      <c r="T204" s="65"/>
      <c r="U204" s="65"/>
      <c r="V204" s="65"/>
      <c r="W204" s="65"/>
      <c r="X204" s="65"/>
      <c r="Y204" s="65"/>
      <c r="Z204" s="65"/>
      <c r="AA204" s="65"/>
    </row>
    <row r="205" spans="1:27" ht="15.75" customHeight="1">
      <c r="A205" s="352"/>
      <c r="B205" s="352"/>
      <c r="C205" s="86">
        <v>8</v>
      </c>
      <c r="D205" s="352"/>
      <c r="E205" s="352"/>
      <c r="F205" s="86"/>
      <c r="G205" s="86"/>
      <c r="H205" s="181" t="s">
        <v>4116</v>
      </c>
      <c r="I205" s="39" t="s">
        <v>4032</v>
      </c>
      <c r="J205" s="289"/>
      <c r="K205" s="25"/>
      <c r="L205" s="57"/>
      <c r="M205" s="25"/>
      <c r="N205" s="55"/>
      <c r="O205" s="25"/>
      <c r="P205" s="25"/>
      <c r="Q205" s="25" t="s">
        <v>282</v>
      </c>
      <c r="R205" s="50" t="s">
        <v>301</v>
      </c>
      <c r="S205" s="25"/>
      <c r="T205" s="65"/>
      <c r="U205" s="65"/>
      <c r="V205" s="65"/>
      <c r="W205" s="65"/>
      <c r="X205" s="65"/>
      <c r="Y205" s="65"/>
      <c r="Z205" s="65"/>
      <c r="AA205" s="65"/>
    </row>
    <row r="206" spans="1:27" ht="15.75" customHeight="1">
      <c r="A206" s="352"/>
      <c r="B206" s="352"/>
      <c r="C206" s="86">
        <v>9</v>
      </c>
      <c r="D206" s="352"/>
      <c r="E206" s="352"/>
      <c r="F206" s="86"/>
      <c r="G206" s="86"/>
      <c r="H206" s="181" t="s">
        <v>4117</v>
      </c>
      <c r="I206" s="39" t="s">
        <v>4045</v>
      </c>
      <c r="J206" s="289"/>
      <c r="K206" s="25"/>
      <c r="L206" s="57"/>
      <c r="M206" s="25"/>
      <c r="N206" s="55"/>
      <c r="O206" s="25"/>
      <c r="P206" s="25"/>
      <c r="Q206" s="25" t="s">
        <v>282</v>
      </c>
      <c r="R206" s="50" t="s">
        <v>301</v>
      </c>
      <c r="S206" s="25"/>
      <c r="T206" s="65"/>
      <c r="U206" s="65"/>
      <c r="V206" s="65"/>
      <c r="W206" s="65"/>
      <c r="X206" s="65"/>
      <c r="Y206" s="65"/>
      <c r="Z206" s="65"/>
      <c r="AA206" s="65"/>
    </row>
    <row r="207" spans="1:27" ht="15.75" customHeight="1">
      <c r="A207" s="352"/>
      <c r="B207" s="352"/>
      <c r="C207" s="86">
        <v>10</v>
      </c>
      <c r="D207" s="352"/>
      <c r="E207" s="352"/>
      <c r="F207" s="86"/>
      <c r="G207" s="86"/>
      <c r="H207" s="181" t="s">
        <v>4118</v>
      </c>
      <c r="I207" s="39" t="s">
        <v>4047</v>
      </c>
      <c r="J207" s="289"/>
      <c r="K207" s="25"/>
      <c r="L207" s="57"/>
      <c r="M207" s="25"/>
      <c r="N207" s="55"/>
      <c r="O207" s="25"/>
      <c r="P207" s="25"/>
      <c r="Q207" s="25" t="s">
        <v>282</v>
      </c>
      <c r="R207" s="50" t="s">
        <v>301</v>
      </c>
      <c r="S207" s="25"/>
      <c r="T207" s="65"/>
      <c r="U207" s="65"/>
      <c r="V207" s="65"/>
      <c r="W207" s="65"/>
      <c r="X207" s="65"/>
      <c r="Y207" s="65"/>
      <c r="Z207" s="65"/>
      <c r="AA207" s="65"/>
    </row>
    <row r="208" spans="1:27" ht="15.75" customHeight="1">
      <c r="A208" s="352"/>
      <c r="B208" s="352"/>
      <c r="C208" s="86">
        <v>11</v>
      </c>
      <c r="D208" s="352"/>
      <c r="E208" s="352"/>
      <c r="F208" s="86"/>
      <c r="G208" s="86"/>
      <c r="H208" s="181" t="s">
        <v>4119</v>
      </c>
      <c r="I208" s="39" t="s">
        <v>4050</v>
      </c>
      <c r="J208" s="289"/>
      <c r="K208" s="25"/>
      <c r="L208" s="57"/>
      <c r="M208" s="25"/>
      <c r="N208" s="55"/>
      <c r="O208" s="25"/>
      <c r="P208" s="25"/>
      <c r="Q208" s="25" t="s">
        <v>282</v>
      </c>
      <c r="R208" s="50" t="s">
        <v>301</v>
      </c>
      <c r="S208" s="25"/>
      <c r="T208" s="65"/>
      <c r="U208" s="65"/>
      <c r="V208" s="65"/>
      <c r="W208" s="65"/>
      <c r="X208" s="65"/>
      <c r="Y208" s="65"/>
      <c r="Z208" s="65"/>
      <c r="AA208" s="65"/>
    </row>
    <row r="209" spans="1:27" ht="15.75" customHeight="1">
      <c r="A209" s="352"/>
      <c r="B209" s="352"/>
      <c r="C209" s="86">
        <v>12</v>
      </c>
      <c r="D209" s="352"/>
      <c r="E209" s="352"/>
      <c r="F209" s="86"/>
      <c r="G209" s="86"/>
      <c r="H209" s="181" t="s">
        <v>4120</v>
      </c>
      <c r="I209" s="39" t="s">
        <v>4050</v>
      </c>
      <c r="J209" s="289"/>
      <c r="K209" s="25"/>
      <c r="L209" s="57"/>
      <c r="M209" s="25"/>
      <c r="N209" s="55"/>
      <c r="O209" s="25"/>
      <c r="P209" s="25"/>
      <c r="Q209" s="25" t="s">
        <v>282</v>
      </c>
      <c r="R209" s="50" t="s">
        <v>301</v>
      </c>
      <c r="S209" s="25"/>
      <c r="T209" s="65"/>
      <c r="U209" s="65"/>
      <c r="V209" s="65"/>
      <c r="W209" s="65"/>
      <c r="X209" s="65"/>
      <c r="Y209" s="65"/>
      <c r="Z209" s="65"/>
      <c r="AA209" s="65"/>
    </row>
    <row r="210" spans="1:27" ht="15.75" customHeight="1">
      <c r="A210" s="352"/>
      <c r="B210" s="352"/>
      <c r="C210" s="86">
        <v>13</v>
      </c>
      <c r="D210" s="352"/>
      <c r="E210" s="352"/>
      <c r="F210" s="86"/>
      <c r="G210" s="86"/>
      <c r="H210" s="181" t="s">
        <v>4121</v>
      </c>
      <c r="I210" s="39" t="s">
        <v>4050</v>
      </c>
      <c r="J210" s="289"/>
      <c r="K210" s="25"/>
      <c r="L210" s="57"/>
      <c r="M210" s="25"/>
      <c r="N210" s="55"/>
      <c r="O210" s="25"/>
      <c r="P210" s="25"/>
      <c r="Q210" s="25" t="s">
        <v>282</v>
      </c>
      <c r="R210" s="50" t="s">
        <v>301</v>
      </c>
      <c r="S210" s="25"/>
      <c r="T210" s="65"/>
      <c r="U210" s="65"/>
      <c r="V210" s="65"/>
      <c r="W210" s="65"/>
      <c r="X210" s="65"/>
      <c r="Y210" s="65"/>
      <c r="Z210" s="65"/>
      <c r="AA210" s="65"/>
    </row>
    <row r="211" spans="1:27" ht="15.75" customHeight="1">
      <c r="A211" s="352"/>
      <c r="B211" s="352"/>
      <c r="C211" s="86">
        <v>14</v>
      </c>
      <c r="D211" s="352"/>
      <c r="E211" s="352"/>
      <c r="F211" s="86"/>
      <c r="G211" s="86"/>
      <c r="H211" s="181" t="s">
        <v>4122</v>
      </c>
      <c r="I211" s="39" t="s">
        <v>4050</v>
      </c>
      <c r="J211" s="289"/>
      <c r="K211" s="25"/>
      <c r="L211" s="57"/>
      <c r="M211" s="25"/>
      <c r="N211" s="55"/>
      <c r="O211" s="25"/>
      <c r="P211" s="25"/>
      <c r="Q211" s="25" t="s">
        <v>282</v>
      </c>
      <c r="R211" s="50" t="s">
        <v>301</v>
      </c>
      <c r="S211" s="25"/>
      <c r="T211" s="65"/>
      <c r="U211" s="65"/>
      <c r="V211" s="65"/>
      <c r="W211" s="65"/>
      <c r="X211" s="65"/>
      <c r="Y211" s="65"/>
      <c r="Z211" s="65"/>
      <c r="AA211" s="65"/>
    </row>
    <row r="212" spans="1:27" ht="15.75" customHeight="1">
      <c r="A212" s="352"/>
      <c r="B212" s="352"/>
      <c r="C212" s="86">
        <v>15</v>
      </c>
      <c r="D212" s="352"/>
      <c r="E212" s="352"/>
      <c r="F212" s="86"/>
      <c r="G212" s="86"/>
      <c r="H212" s="181" t="s">
        <v>4123</v>
      </c>
      <c r="I212" s="39" t="s">
        <v>4050</v>
      </c>
      <c r="J212" s="289"/>
      <c r="K212" s="25"/>
      <c r="L212" s="57"/>
      <c r="M212" s="25"/>
      <c r="N212" s="55"/>
      <c r="O212" s="25"/>
      <c r="P212" s="25"/>
      <c r="Q212" s="25" t="s">
        <v>282</v>
      </c>
      <c r="R212" s="50" t="s">
        <v>301</v>
      </c>
      <c r="S212" s="25"/>
      <c r="T212" s="65"/>
      <c r="U212" s="65"/>
      <c r="V212" s="65"/>
      <c r="W212" s="65"/>
      <c r="X212" s="65"/>
      <c r="Y212" s="65"/>
      <c r="Z212" s="65"/>
      <c r="AA212" s="65"/>
    </row>
    <row r="213" spans="1:27" ht="15.75" customHeight="1">
      <c r="A213" s="352"/>
      <c r="B213" s="352"/>
      <c r="C213" s="86">
        <v>16</v>
      </c>
      <c r="D213" s="352"/>
      <c r="E213" s="352"/>
      <c r="F213" s="86"/>
      <c r="G213" s="86"/>
      <c r="H213" s="181" t="s">
        <v>4124</v>
      </c>
      <c r="I213" s="39" t="s">
        <v>4050</v>
      </c>
      <c r="J213" s="289"/>
      <c r="K213" s="25"/>
      <c r="L213" s="57"/>
      <c r="M213" s="26"/>
      <c r="N213" s="55"/>
      <c r="O213" s="25"/>
      <c r="P213" s="25"/>
      <c r="Q213" s="25" t="s">
        <v>282</v>
      </c>
      <c r="R213" s="50" t="s">
        <v>301</v>
      </c>
      <c r="S213" s="25"/>
      <c r="T213" s="65"/>
      <c r="U213" s="65"/>
      <c r="V213" s="65"/>
      <c r="W213" s="65"/>
      <c r="X213" s="65"/>
      <c r="Y213" s="65"/>
      <c r="Z213" s="65"/>
      <c r="AA213" s="65"/>
    </row>
    <row r="214" spans="1:27" ht="15.75" customHeight="1">
      <c r="A214" s="352"/>
      <c r="B214" s="352"/>
      <c r="C214" s="86">
        <v>17</v>
      </c>
      <c r="D214" s="352"/>
      <c r="E214" s="352"/>
      <c r="F214" s="86"/>
      <c r="G214" s="86"/>
      <c r="H214" s="181" t="s">
        <v>4125</v>
      </c>
      <c r="I214" s="39" t="s">
        <v>4050</v>
      </c>
      <c r="J214" s="289"/>
      <c r="K214" s="25"/>
      <c r="L214" s="57"/>
      <c r="M214" s="26"/>
      <c r="N214" s="55"/>
      <c r="O214" s="25"/>
      <c r="P214" s="25"/>
      <c r="Q214" s="25" t="s">
        <v>282</v>
      </c>
      <c r="R214" s="50" t="s">
        <v>301</v>
      </c>
      <c r="S214" s="25"/>
      <c r="T214" s="65"/>
      <c r="U214" s="65"/>
      <c r="V214" s="65"/>
      <c r="W214" s="65"/>
      <c r="X214" s="65"/>
      <c r="Y214" s="65"/>
      <c r="Z214" s="65"/>
      <c r="AA214" s="65"/>
    </row>
    <row r="215" spans="1:27" ht="15.75" customHeight="1">
      <c r="A215" s="352"/>
      <c r="B215" s="352"/>
      <c r="C215" s="86">
        <v>18</v>
      </c>
      <c r="D215" s="352"/>
      <c r="E215" s="352"/>
      <c r="F215" s="86"/>
      <c r="G215" s="86"/>
      <c r="H215" s="181" t="s">
        <v>4126</v>
      </c>
      <c r="I215" s="39" t="s">
        <v>4050</v>
      </c>
      <c r="J215" s="289"/>
      <c r="K215" s="25"/>
      <c r="L215" s="57"/>
      <c r="M215" s="25"/>
      <c r="N215" s="55"/>
      <c r="O215" s="25"/>
      <c r="P215" s="25"/>
      <c r="Q215" s="25" t="s">
        <v>282</v>
      </c>
      <c r="R215" s="50" t="s">
        <v>301</v>
      </c>
      <c r="S215" s="25"/>
      <c r="T215" s="65"/>
      <c r="U215" s="65"/>
      <c r="V215" s="65"/>
      <c r="W215" s="65"/>
      <c r="X215" s="65"/>
      <c r="Y215" s="65"/>
      <c r="Z215" s="65"/>
      <c r="AA215" s="65"/>
    </row>
    <row r="216" spans="1:27" ht="15.75" customHeight="1">
      <c r="A216" s="353"/>
      <c r="B216" s="353"/>
      <c r="C216" s="86">
        <v>19</v>
      </c>
      <c r="D216" s="353"/>
      <c r="E216" s="353"/>
      <c r="F216" s="86"/>
      <c r="G216" s="86"/>
      <c r="H216" s="200" t="s">
        <v>4127</v>
      </c>
      <c r="I216" s="73" t="s">
        <v>4050</v>
      </c>
      <c r="J216" s="79"/>
      <c r="K216" s="25"/>
      <c r="L216" s="57"/>
      <c r="M216" s="25"/>
      <c r="N216" s="55"/>
      <c r="O216" s="25"/>
      <c r="P216" s="25"/>
      <c r="Q216" s="25" t="s">
        <v>282</v>
      </c>
      <c r="R216" s="50" t="s">
        <v>301</v>
      </c>
      <c r="S216" s="25"/>
      <c r="T216" s="65"/>
      <c r="U216" s="65"/>
      <c r="V216" s="65"/>
      <c r="W216" s="65"/>
      <c r="X216" s="65"/>
      <c r="Y216" s="65"/>
      <c r="Z216" s="65"/>
      <c r="AA216" s="65"/>
    </row>
    <row r="217" spans="1:27" ht="15.75" customHeight="1">
      <c r="A217" s="355" t="s">
        <v>4128</v>
      </c>
      <c r="B217" s="350" t="s">
        <v>286</v>
      </c>
      <c r="C217" s="31">
        <v>1</v>
      </c>
      <c r="D217" s="355" t="s">
        <v>4129</v>
      </c>
      <c r="E217" s="368" t="s">
        <v>4130</v>
      </c>
      <c r="F217" s="31"/>
      <c r="G217" s="31"/>
      <c r="H217" s="39" t="s">
        <v>4131</v>
      </c>
      <c r="I217" s="39" t="s">
        <v>4050</v>
      </c>
      <c r="J217" s="289"/>
      <c r="K217" s="25"/>
      <c r="L217" s="57"/>
      <c r="M217" s="25"/>
      <c r="N217" s="55"/>
      <c r="O217" s="25"/>
      <c r="P217" s="25"/>
      <c r="Q217" s="25" t="s">
        <v>282</v>
      </c>
      <c r="R217" s="25"/>
      <c r="S217" s="25"/>
      <c r="T217" s="65"/>
      <c r="U217" s="65"/>
      <c r="V217" s="65"/>
      <c r="W217" s="65"/>
      <c r="X217" s="65"/>
      <c r="Y217" s="65"/>
      <c r="Z217" s="65"/>
      <c r="AA217" s="65"/>
    </row>
    <row r="218" spans="1:27" ht="15.75" customHeight="1">
      <c r="A218" s="344"/>
      <c r="B218" s="344"/>
      <c r="C218" s="31">
        <v>2</v>
      </c>
      <c r="D218" s="344"/>
      <c r="E218" s="344"/>
      <c r="F218" s="31"/>
      <c r="G218" s="31"/>
      <c r="H218" s="23" t="s">
        <v>4132</v>
      </c>
      <c r="I218" s="39" t="s">
        <v>4133</v>
      </c>
      <c r="J218" s="289"/>
      <c r="K218" s="25"/>
      <c r="L218" s="57"/>
      <c r="M218" s="26"/>
      <c r="N218" s="55"/>
      <c r="O218" s="25"/>
      <c r="P218" s="25"/>
      <c r="Q218" s="25" t="s">
        <v>282</v>
      </c>
      <c r="R218" s="25"/>
      <c r="S218" s="25"/>
      <c r="T218" s="65"/>
      <c r="U218" s="65"/>
      <c r="V218" s="65"/>
      <c r="W218" s="65"/>
      <c r="X218" s="65"/>
      <c r="Y218" s="65"/>
      <c r="Z218" s="65"/>
      <c r="AA218" s="65"/>
    </row>
    <row r="219" spans="1:27" ht="15.75" customHeight="1">
      <c r="A219" s="344"/>
      <c r="B219" s="344"/>
      <c r="C219" s="31">
        <v>3</v>
      </c>
      <c r="D219" s="344"/>
      <c r="E219" s="344"/>
      <c r="F219" s="31"/>
      <c r="G219" s="31"/>
      <c r="H219" s="23" t="s">
        <v>4134</v>
      </c>
      <c r="I219" s="39" t="s">
        <v>4135</v>
      </c>
      <c r="J219" s="289"/>
      <c r="K219" s="25"/>
      <c r="L219" s="57"/>
      <c r="M219" s="26"/>
      <c r="N219" s="55"/>
      <c r="O219" s="25"/>
      <c r="P219" s="25"/>
      <c r="Q219" s="25" t="s">
        <v>282</v>
      </c>
      <c r="R219" s="25"/>
      <c r="S219" s="25"/>
      <c r="T219" s="65"/>
      <c r="U219" s="65"/>
      <c r="V219" s="65"/>
      <c r="W219" s="65"/>
      <c r="X219" s="65"/>
      <c r="Y219" s="65"/>
      <c r="Z219" s="65"/>
      <c r="AA219" s="65"/>
    </row>
    <row r="220" spans="1:27" ht="15.75" customHeight="1">
      <c r="A220" s="344"/>
      <c r="B220" s="344"/>
      <c r="C220" s="31">
        <v>4</v>
      </c>
      <c r="D220" s="344"/>
      <c r="E220" s="345"/>
      <c r="F220" s="31"/>
      <c r="G220" s="31"/>
      <c r="H220" s="39" t="s">
        <v>4136</v>
      </c>
      <c r="I220" s="39" t="s">
        <v>4050</v>
      </c>
      <c r="J220" s="289"/>
      <c r="K220" s="25"/>
      <c r="L220" s="57"/>
      <c r="M220" s="25"/>
      <c r="N220" s="55"/>
      <c r="O220" s="25"/>
      <c r="P220" s="25"/>
      <c r="Q220" s="25" t="s">
        <v>282</v>
      </c>
      <c r="R220" s="25"/>
      <c r="S220" s="25"/>
      <c r="T220" s="65"/>
      <c r="U220" s="65"/>
      <c r="V220" s="65"/>
      <c r="W220" s="65"/>
      <c r="X220" s="65"/>
      <c r="Y220" s="65"/>
      <c r="Z220" s="65"/>
      <c r="AA220" s="65"/>
    </row>
    <row r="221" spans="1:27" ht="15.75" customHeight="1">
      <c r="A221" s="344"/>
      <c r="B221" s="344"/>
      <c r="C221" s="31">
        <v>5</v>
      </c>
      <c r="D221" s="344"/>
      <c r="E221" s="368" t="s">
        <v>4137</v>
      </c>
      <c r="F221" s="31"/>
      <c r="G221" s="31"/>
      <c r="H221" s="39" t="s">
        <v>4138</v>
      </c>
      <c r="I221" s="39" t="s">
        <v>4139</v>
      </c>
      <c r="J221" s="289"/>
      <c r="K221" s="25"/>
      <c r="L221" s="57"/>
      <c r="M221" s="25"/>
      <c r="N221" s="55"/>
      <c r="O221" s="25"/>
      <c r="P221" s="25"/>
      <c r="Q221" s="25" t="s">
        <v>282</v>
      </c>
      <c r="R221" s="25"/>
      <c r="S221" s="25"/>
      <c r="T221" s="65"/>
      <c r="U221" s="65"/>
      <c r="V221" s="65"/>
      <c r="W221" s="65"/>
      <c r="X221" s="65"/>
      <c r="Y221" s="65"/>
      <c r="Z221" s="65"/>
      <c r="AA221" s="65"/>
    </row>
    <row r="222" spans="1:27" ht="15.75" customHeight="1">
      <c r="A222" s="344"/>
      <c r="B222" s="344"/>
      <c r="C222" s="31">
        <v>6</v>
      </c>
      <c r="D222" s="344"/>
      <c r="E222" s="344"/>
      <c r="F222" s="31"/>
      <c r="G222" s="31"/>
      <c r="H222" s="39" t="s">
        <v>4140</v>
      </c>
      <c r="I222" s="39" t="s">
        <v>4141</v>
      </c>
      <c r="J222" s="289"/>
      <c r="K222" s="25"/>
      <c r="L222" s="57"/>
      <c r="M222" s="25"/>
      <c r="N222" s="55"/>
      <c r="O222" s="25"/>
      <c r="P222" s="25"/>
      <c r="Q222" s="25" t="s">
        <v>282</v>
      </c>
      <c r="R222" s="25"/>
      <c r="S222" s="25"/>
      <c r="T222" s="65"/>
      <c r="U222" s="65"/>
      <c r="V222" s="65"/>
      <c r="W222" s="65"/>
      <c r="X222" s="65"/>
      <c r="Y222" s="65"/>
      <c r="Z222" s="65"/>
      <c r="AA222" s="65"/>
    </row>
    <row r="223" spans="1:27" ht="15.75" customHeight="1">
      <c r="A223" s="344"/>
      <c r="B223" s="344"/>
      <c r="C223" s="31">
        <v>7</v>
      </c>
      <c r="D223" s="344"/>
      <c r="E223" s="344"/>
      <c r="F223" s="31"/>
      <c r="G223" s="31"/>
      <c r="H223" s="39" t="s">
        <v>4142</v>
      </c>
      <c r="I223" s="39" t="s">
        <v>4139</v>
      </c>
      <c r="J223" s="289"/>
      <c r="K223" s="25"/>
      <c r="L223" s="57"/>
      <c r="M223" s="25"/>
      <c r="N223" s="55"/>
      <c r="O223" s="25"/>
      <c r="P223" s="25"/>
      <c r="Q223" s="25" t="s">
        <v>282</v>
      </c>
      <c r="R223" s="25"/>
      <c r="S223" s="25"/>
      <c r="T223" s="65"/>
      <c r="U223" s="65"/>
      <c r="V223" s="65"/>
      <c r="W223" s="65"/>
      <c r="X223" s="65"/>
      <c r="Y223" s="65"/>
      <c r="Z223" s="65"/>
      <c r="AA223" s="65"/>
    </row>
    <row r="224" spans="1:27" ht="15.75" customHeight="1">
      <c r="A224" s="344"/>
      <c r="B224" s="344"/>
      <c r="C224" s="31">
        <v>8</v>
      </c>
      <c r="D224" s="344"/>
      <c r="E224" s="344"/>
      <c r="F224" s="31"/>
      <c r="G224" s="31"/>
      <c r="H224" s="39" t="s">
        <v>4143</v>
      </c>
      <c r="I224" s="39" t="s">
        <v>4144</v>
      </c>
      <c r="J224" s="289"/>
      <c r="K224" s="25"/>
      <c r="L224" s="57"/>
      <c r="M224" s="26"/>
      <c r="N224" s="55"/>
      <c r="O224" s="25"/>
      <c r="P224" s="25"/>
      <c r="Q224" s="25" t="s">
        <v>282</v>
      </c>
      <c r="R224" s="25"/>
      <c r="S224" s="25"/>
      <c r="T224" s="65"/>
      <c r="U224" s="65"/>
      <c r="V224" s="65"/>
      <c r="W224" s="65"/>
      <c r="X224" s="65"/>
      <c r="Y224" s="65"/>
      <c r="Z224" s="65"/>
      <c r="AA224" s="65"/>
    </row>
    <row r="225" spans="1:27" ht="15.75" customHeight="1">
      <c r="A225" s="344"/>
      <c r="B225" s="344"/>
      <c r="C225" s="31">
        <v>9</v>
      </c>
      <c r="D225" s="344"/>
      <c r="E225" s="344"/>
      <c r="F225" s="31"/>
      <c r="G225" s="31"/>
      <c r="H225" s="39" t="s">
        <v>4145</v>
      </c>
      <c r="I225" s="39" t="s">
        <v>4146</v>
      </c>
      <c r="J225" s="289"/>
      <c r="K225" s="25"/>
      <c r="L225" s="57"/>
      <c r="M225" s="26"/>
      <c r="N225" s="55"/>
      <c r="O225" s="25"/>
      <c r="P225" s="25"/>
      <c r="Q225" s="25" t="s">
        <v>282</v>
      </c>
      <c r="R225" s="25"/>
      <c r="S225" s="25"/>
      <c r="T225" s="65"/>
      <c r="U225" s="65"/>
      <c r="V225" s="65"/>
      <c r="W225" s="65"/>
      <c r="X225" s="65"/>
      <c r="Y225" s="65"/>
      <c r="Z225" s="65"/>
      <c r="AA225" s="65"/>
    </row>
    <row r="226" spans="1:27" ht="15.75" customHeight="1">
      <c r="A226" s="344"/>
      <c r="B226" s="344"/>
      <c r="C226" s="31">
        <v>10</v>
      </c>
      <c r="D226" s="344"/>
      <c r="E226" s="345"/>
      <c r="F226" s="31"/>
      <c r="G226" s="31"/>
      <c r="H226" s="39" t="s">
        <v>4147</v>
      </c>
      <c r="I226" s="39" t="s">
        <v>4146</v>
      </c>
      <c r="J226" s="289"/>
      <c r="K226" s="25"/>
      <c r="L226" s="57"/>
      <c r="M226" s="26"/>
      <c r="N226" s="55"/>
      <c r="O226" s="25"/>
      <c r="P226" s="25"/>
      <c r="Q226" s="25" t="s">
        <v>282</v>
      </c>
      <c r="R226" s="25"/>
      <c r="S226" s="25"/>
      <c r="T226" s="65"/>
      <c r="U226" s="65"/>
      <c r="V226" s="65"/>
      <c r="W226" s="65"/>
      <c r="X226" s="65"/>
      <c r="Y226" s="65"/>
      <c r="Z226" s="65"/>
      <c r="AA226" s="65"/>
    </row>
    <row r="227" spans="1:27" ht="15.75" customHeight="1">
      <c r="A227" s="344"/>
      <c r="B227" s="344"/>
      <c r="C227" s="31">
        <v>11</v>
      </c>
      <c r="D227" s="344"/>
      <c r="E227" s="376" t="s">
        <v>4148</v>
      </c>
      <c r="F227" s="61"/>
      <c r="G227" s="61"/>
      <c r="H227" s="109" t="s">
        <v>4149</v>
      </c>
      <c r="I227" s="109" t="s">
        <v>4150</v>
      </c>
      <c r="J227" s="109"/>
      <c r="K227" s="25"/>
      <c r="L227" s="57"/>
      <c r="M227" s="362" t="s">
        <v>4151</v>
      </c>
      <c r="N227" s="55"/>
      <c r="O227" s="25"/>
      <c r="P227" s="25"/>
      <c r="Q227" s="25" t="s">
        <v>282</v>
      </c>
      <c r="R227" s="25"/>
      <c r="S227" s="25"/>
      <c r="T227" s="65"/>
      <c r="U227" s="65"/>
      <c r="V227" s="65"/>
      <c r="W227" s="65"/>
      <c r="X227" s="65"/>
      <c r="Y227" s="65"/>
      <c r="Z227" s="65"/>
      <c r="AA227" s="65"/>
    </row>
    <row r="228" spans="1:27" ht="15.75" customHeight="1">
      <c r="A228" s="345"/>
      <c r="B228" s="345"/>
      <c r="C228" s="31">
        <v>12</v>
      </c>
      <c r="D228" s="345"/>
      <c r="E228" s="345"/>
      <c r="F228" s="61"/>
      <c r="G228" s="61"/>
      <c r="H228" s="109" t="s">
        <v>4152</v>
      </c>
      <c r="I228" s="109" t="s">
        <v>4153</v>
      </c>
      <c r="J228" s="109"/>
      <c r="K228" s="25"/>
      <c r="L228" s="57"/>
      <c r="M228" s="345"/>
      <c r="N228" s="55"/>
      <c r="O228" s="25"/>
      <c r="P228" s="25"/>
      <c r="Q228" s="25" t="s">
        <v>282</v>
      </c>
      <c r="R228" s="25"/>
      <c r="S228" s="25"/>
      <c r="T228" s="65"/>
      <c r="U228" s="65"/>
      <c r="V228" s="65"/>
      <c r="W228" s="65"/>
      <c r="X228" s="65"/>
      <c r="Y228" s="65"/>
      <c r="Z228" s="65"/>
      <c r="AA228" s="65"/>
    </row>
    <row r="229" spans="1:27" ht="66" customHeight="1">
      <c r="A229" s="354" t="s">
        <v>4154</v>
      </c>
      <c r="B229" s="354" t="s">
        <v>204</v>
      </c>
      <c r="C229" s="86">
        <v>1</v>
      </c>
      <c r="D229" s="351" t="s">
        <v>4155</v>
      </c>
      <c r="E229" s="181" t="s">
        <v>4156</v>
      </c>
      <c r="F229" s="86" t="s">
        <v>361</v>
      </c>
      <c r="G229" s="86" t="s">
        <v>327</v>
      </c>
      <c r="H229" s="175" t="s">
        <v>4157</v>
      </c>
      <c r="I229" s="63" t="s">
        <v>4158</v>
      </c>
      <c r="J229" s="171"/>
      <c r="K229" s="25"/>
      <c r="L229" s="66"/>
      <c r="M229" s="50"/>
      <c r="N229" s="3"/>
      <c r="O229" s="50"/>
      <c r="P229" s="50"/>
      <c r="Q229" s="25" t="s">
        <v>282</v>
      </c>
      <c r="R229" s="50" t="s">
        <v>305</v>
      </c>
      <c r="S229" s="25"/>
    </row>
    <row r="230" spans="1:27" ht="15.75" customHeight="1">
      <c r="A230" s="352"/>
      <c r="B230" s="352"/>
      <c r="C230" s="86">
        <v>2</v>
      </c>
      <c r="D230" s="352"/>
      <c r="E230" s="181" t="s">
        <v>4159</v>
      </c>
      <c r="F230" s="86" t="s">
        <v>361</v>
      </c>
      <c r="G230" s="86" t="s">
        <v>327</v>
      </c>
      <c r="H230" s="175" t="s">
        <v>4160</v>
      </c>
      <c r="I230" s="63" t="s">
        <v>4158</v>
      </c>
      <c r="J230" s="171"/>
      <c r="K230" s="25"/>
      <c r="L230" s="66"/>
      <c r="M230" s="50"/>
      <c r="N230" s="3"/>
      <c r="O230" s="50"/>
      <c r="P230" s="50"/>
      <c r="Q230" s="25" t="s">
        <v>282</v>
      </c>
      <c r="R230" s="50" t="s">
        <v>305</v>
      </c>
      <c r="S230" s="25"/>
    </row>
    <row r="231" spans="1:27" ht="15.75" customHeight="1">
      <c r="A231" s="352"/>
      <c r="B231" s="352"/>
      <c r="C231" s="86">
        <v>3</v>
      </c>
      <c r="D231" s="352"/>
      <c r="E231" s="351" t="s">
        <v>4161</v>
      </c>
      <c r="F231" s="86" t="s">
        <v>361</v>
      </c>
      <c r="G231" s="86" t="s">
        <v>327</v>
      </c>
      <c r="H231" s="175" t="s">
        <v>4162</v>
      </c>
      <c r="I231" s="35" t="s">
        <v>4163</v>
      </c>
      <c r="J231" s="172"/>
      <c r="K231" s="25"/>
      <c r="L231" s="66"/>
      <c r="M231" s="50"/>
      <c r="N231" s="3"/>
      <c r="O231" s="50"/>
      <c r="P231" s="50"/>
      <c r="Q231" s="25" t="s">
        <v>282</v>
      </c>
      <c r="R231" s="50" t="s">
        <v>305</v>
      </c>
      <c r="S231" s="25"/>
    </row>
    <row r="232" spans="1:27" ht="15.75" customHeight="1">
      <c r="A232" s="352"/>
      <c r="B232" s="352"/>
      <c r="C232" s="86">
        <v>4</v>
      </c>
      <c r="D232" s="352"/>
      <c r="E232" s="352"/>
      <c r="F232" s="86" t="s">
        <v>361</v>
      </c>
      <c r="G232" s="86" t="s">
        <v>327</v>
      </c>
      <c r="H232" s="175" t="s">
        <v>4164</v>
      </c>
      <c r="I232" s="35" t="s">
        <v>4165</v>
      </c>
      <c r="J232" s="172"/>
      <c r="K232" s="25"/>
      <c r="L232" s="66"/>
      <c r="M232" s="50"/>
      <c r="N232" s="3"/>
      <c r="O232" s="50"/>
      <c r="P232" s="50"/>
      <c r="Q232" s="25" t="s">
        <v>282</v>
      </c>
      <c r="R232" s="50" t="s">
        <v>305</v>
      </c>
      <c r="S232" s="25"/>
    </row>
    <row r="233" spans="1:27" ht="15.75" customHeight="1">
      <c r="A233" s="352"/>
      <c r="B233" s="352"/>
      <c r="C233" s="86">
        <v>5</v>
      </c>
      <c r="D233" s="352"/>
      <c r="E233" s="353"/>
      <c r="F233" s="86" t="s">
        <v>361</v>
      </c>
      <c r="G233" s="86" t="s">
        <v>327</v>
      </c>
      <c r="H233" s="175" t="s">
        <v>4166</v>
      </c>
      <c r="I233" s="35" t="s">
        <v>4163</v>
      </c>
      <c r="J233" s="172"/>
      <c r="K233" s="25"/>
      <c r="L233" s="66"/>
      <c r="M233" s="50"/>
      <c r="N233" s="3"/>
      <c r="O233" s="50"/>
      <c r="P233" s="50"/>
      <c r="Q233" s="25" t="s">
        <v>282</v>
      </c>
      <c r="R233" s="50" t="s">
        <v>305</v>
      </c>
      <c r="S233" s="25"/>
    </row>
    <row r="234" spans="1:27" ht="15.75" customHeight="1">
      <c r="A234" s="352"/>
      <c r="B234" s="352"/>
      <c r="C234" s="86">
        <v>6</v>
      </c>
      <c r="D234" s="352"/>
      <c r="E234" s="175" t="s">
        <v>4167</v>
      </c>
      <c r="F234" s="86" t="s">
        <v>361</v>
      </c>
      <c r="G234" s="86" t="s">
        <v>327</v>
      </c>
      <c r="H234" s="175" t="s">
        <v>4168</v>
      </c>
      <c r="I234" s="35" t="s">
        <v>4169</v>
      </c>
      <c r="J234" s="172"/>
      <c r="K234" s="25"/>
      <c r="L234" s="66"/>
      <c r="M234" s="50"/>
      <c r="N234" s="3"/>
      <c r="O234" s="50"/>
      <c r="P234" s="50"/>
      <c r="Q234" s="25" t="s">
        <v>282</v>
      </c>
      <c r="R234" s="50" t="s">
        <v>305</v>
      </c>
      <c r="S234" s="25"/>
    </row>
    <row r="235" spans="1:27" ht="15.75" customHeight="1">
      <c r="A235" s="352"/>
      <c r="B235" s="352"/>
      <c r="C235" s="86">
        <v>7</v>
      </c>
      <c r="D235" s="352"/>
      <c r="E235" s="181" t="s">
        <v>4170</v>
      </c>
      <c r="F235" s="86" t="s">
        <v>361</v>
      </c>
      <c r="G235" s="86" t="s">
        <v>327</v>
      </c>
      <c r="H235" s="175" t="s">
        <v>4171</v>
      </c>
      <c r="I235" s="63" t="s">
        <v>4172</v>
      </c>
      <c r="J235" s="171"/>
      <c r="K235" s="25"/>
      <c r="L235" s="66"/>
      <c r="M235" s="50"/>
      <c r="N235" s="3"/>
      <c r="O235" s="50"/>
      <c r="P235" s="50"/>
      <c r="Q235" s="25" t="s">
        <v>282</v>
      </c>
      <c r="R235" s="50" t="s">
        <v>305</v>
      </c>
      <c r="S235" s="25"/>
    </row>
    <row r="236" spans="1:27" ht="15.75" customHeight="1">
      <c r="A236" s="352"/>
      <c r="B236" s="352"/>
      <c r="C236" s="86">
        <v>8</v>
      </c>
      <c r="D236" s="352"/>
      <c r="E236" s="351" t="s">
        <v>3855</v>
      </c>
      <c r="F236" s="86" t="s">
        <v>361</v>
      </c>
      <c r="G236" s="86" t="s">
        <v>327</v>
      </c>
      <c r="H236" s="175" t="s">
        <v>4173</v>
      </c>
      <c r="I236" s="63" t="s">
        <v>4174</v>
      </c>
      <c r="J236" s="171"/>
      <c r="K236" s="25"/>
      <c r="L236" s="66"/>
      <c r="M236" s="50"/>
      <c r="N236" s="3"/>
      <c r="O236" s="50"/>
      <c r="P236" s="50"/>
      <c r="Q236" s="25" t="s">
        <v>282</v>
      </c>
      <c r="R236" s="50" t="s">
        <v>305</v>
      </c>
      <c r="S236" s="25"/>
    </row>
    <row r="237" spans="1:27" ht="15.75" customHeight="1">
      <c r="A237" s="352"/>
      <c r="B237" s="352"/>
      <c r="C237" s="86">
        <v>9</v>
      </c>
      <c r="D237" s="352"/>
      <c r="E237" s="353"/>
      <c r="F237" s="86" t="s">
        <v>361</v>
      </c>
      <c r="G237" s="86" t="s">
        <v>327</v>
      </c>
      <c r="H237" s="175" t="s">
        <v>4175</v>
      </c>
      <c r="I237" s="63" t="s">
        <v>4176</v>
      </c>
      <c r="J237" s="171"/>
      <c r="K237" s="25"/>
      <c r="L237" s="66"/>
      <c r="M237" s="50"/>
      <c r="N237" s="3"/>
      <c r="O237" s="50"/>
      <c r="P237" s="50"/>
      <c r="Q237" s="25" t="s">
        <v>282</v>
      </c>
      <c r="R237" s="50" t="s">
        <v>305</v>
      </c>
      <c r="S237" s="25"/>
    </row>
    <row r="238" spans="1:27" ht="15.75" customHeight="1">
      <c r="A238" s="352"/>
      <c r="B238" s="352"/>
      <c r="C238" s="86">
        <v>10</v>
      </c>
      <c r="D238" s="352"/>
      <c r="E238" s="351" t="s">
        <v>4177</v>
      </c>
      <c r="F238" s="86" t="s">
        <v>361</v>
      </c>
      <c r="G238" s="86" t="s">
        <v>327</v>
      </c>
      <c r="H238" s="175" t="s">
        <v>4178</v>
      </c>
      <c r="I238" s="63" t="s">
        <v>4158</v>
      </c>
      <c r="J238" s="171"/>
      <c r="K238" s="25"/>
      <c r="L238" s="66"/>
      <c r="M238" s="50"/>
      <c r="N238" s="3"/>
      <c r="O238" s="50"/>
      <c r="P238" s="50"/>
      <c r="Q238" s="25" t="s">
        <v>282</v>
      </c>
      <c r="R238" s="50" t="s">
        <v>305</v>
      </c>
      <c r="S238" s="25"/>
    </row>
    <row r="239" spans="1:27" ht="15.75" customHeight="1">
      <c r="A239" s="352"/>
      <c r="B239" s="352"/>
      <c r="C239" s="86">
        <v>11</v>
      </c>
      <c r="D239" s="352"/>
      <c r="E239" s="353"/>
      <c r="F239" s="86" t="s">
        <v>361</v>
      </c>
      <c r="G239" s="86" t="s">
        <v>327</v>
      </c>
      <c r="H239" s="175" t="s">
        <v>4179</v>
      </c>
      <c r="I239" s="63" t="s">
        <v>4176</v>
      </c>
      <c r="J239" s="171"/>
      <c r="K239" s="25"/>
      <c r="L239" s="66"/>
      <c r="M239" s="50"/>
      <c r="N239" s="3"/>
      <c r="O239" s="50"/>
      <c r="P239" s="50"/>
      <c r="Q239" s="25" t="s">
        <v>282</v>
      </c>
      <c r="R239" s="50" t="s">
        <v>305</v>
      </c>
      <c r="S239" s="25"/>
    </row>
    <row r="240" spans="1:27" ht="15.75" customHeight="1">
      <c r="A240" s="352"/>
      <c r="B240" s="352"/>
      <c r="C240" s="86">
        <v>12</v>
      </c>
      <c r="D240" s="352"/>
      <c r="E240" s="351" t="s">
        <v>4180</v>
      </c>
      <c r="F240" s="86" t="s">
        <v>361</v>
      </c>
      <c r="G240" s="86" t="s">
        <v>327</v>
      </c>
      <c r="H240" s="175" t="s">
        <v>4181</v>
      </c>
      <c r="I240" s="63" t="s">
        <v>4158</v>
      </c>
      <c r="J240" s="171"/>
      <c r="K240" s="25"/>
      <c r="L240" s="66"/>
      <c r="M240" s="50"/>
      <c r="N240" s="3"/>
      <c r="O240" s="50"/>
      <c r="P240" s="50"/>
      <c r="Q240" s="25" t="s">
        <v>282</v>
      </c>
      <c r="R240" s="50" t="s">
        <v>305</v>
      </c>
      <c r="S240" s="25"/>
    </row>
    <row r="241" spans="1:19" ht="15.75" customHeight="1">
      <c r="A241" s="352"/>
      <c r="B241" s="352"/>
      <c r="C241" s="86">
        <v>13</v>
      </c>
      <c r="D241" s="352"/>
      <c r="E241" s="353"/>
      <c r="F241" s="86" t="s">
        <v>361</v>
      </c>
      <c r="G241" s="86" t="s">
        <v>327</v>
      </c>
      <c r="H241" s="175" t="s">
        <v>4179</v>
      </c>
      <c r="I241" s="63" t="s">
        <v>4176</v>
      </c>
      <c r="J241" s="171"/>
      <c r="K241" s="25"/>
      <c r="L241" s="66"/>
      <c r="M241" s="50"/>
      <c r="N241" s="3"/>
      <c r="O241" s="50"/>
      <c r="P241" s="50"/>
      <c r="Q241" s="25" t="s">
        <v>282</v>
      </c>
      <c r="R241" s="50" t="s">
        <v>305</v>
      </c>
      <c r="S241" s="25"/>
    </row>
    <row r="242" spans="1:19" ht="15.75" customHeight="1">
      <c r="A242" s="352"/>
      <c r="B242" s="352"/>
      <c r="C242" s="86">
        <v>14</v>
      </c>
      <c r="D242" s="352"/>
      <c r="E242" s="175" t="s">
        <v>4182</v>
      </c>
      <c r="F242" s="86" t="s">
        <v>361</v>
      </c>
      <c r="G242" s="86" t="s">
        <v>327</v>
      </c>
      <c r="H242" s="175" t="s">
        <v>4183</v>
      </c>
      <c r="I242" s="63" t="s">
        <v>4184</v>
      </c>
      <c r="J242" s="171"/>
      <c r="K242" s="25"/>
      <c r="L242" s="66"/>
      <c r="M242" s="50"/>
      <c r="N242" s="3"/>
      <c r="O242" s="50"/>
      <c r="P242" s="50"/>
      <c r="Q242" s="25" t="s">
        <v>282</v>
      </c>
      <c r="R242" s="50" t="s">
        <v>305</v>
      </c>
      <c r="S242" s="25"/>
    </row>
    <row r="243" spans="1:19" ht="15.75" customHeight="1">
      <c r="A243" s="352"/>
      <c r="B243" s="352"/>
      <c r="C243" s="86">
        <v>15</v>
      </c>
      <c r="D243" s="352"/>
      <c r="E243" s="181" t="s">
        <v>4185</v>
      </c>
      <c r="F243" s="86" t="s">
        <v>361</v>
      </c>
      <c r="G243" s="86" t="s">
        <v>327</v>
      </c>
      <c r="H243" s="175" t="s">
        <v>4186</v>
      </c>
      <c r="I243" s="63" t="s">
        <v>4187</v>
      </c>
      <c r="J243" s="171"/>
      <c r="K243" s="25"/>
      <c r="L243" s="66"/>
      <c r="M243" s="50"/>
      <c r="N243" s="3"/>
      <c r="O243" s="50"/>
      <c r="P243" s="50"/>
      <c r="Q243" s="25" t="s">
        <v>282</v>
      </c>
      <c r="R243" s="50" t="s">
        <v>305</v>
      </c>
      <c r="S243" s="25"/>
    </row>
    <row r="244" spans="1:19" ht="15.75" customHeight="1">
      <c r="A244" s="352"/>
      <c r="B244" s="352"/>
      <c r="C244" s="86">
        <v>16</v>
      </c>
      <c r="D244" s="352"/>
      <c r="E244" s="181" t="s">
        <v>4188</v>
      </c>
      <c r="F244" s="86" t="s">
        <v>361</v>
      </c>
      <c r="G244" s="86" t="s">
        <v>327</v>
      </c>
      <c r="H244" s="175" t="s">
        <v>4189</v>
      </c>
      <c r="I244" s="63" t="s">
        <v>4190</v>
      </c>
      <c r="J244" s="171"/>
      <c r="K244" s="25"/>
      <c r="L244" s="66"/>
      <c r="M244" s="50"/>
      <c r="N244" s="3"/>
      <c r="O244" s="50"/>
      <c r="P244" s="50"/>
      <c r="Q244" s="25" t="s">
        <v>282</v>
      </c>
      <c r="R244" s="50" t="s">
        <v>305</v>
      </c>
      <c r="S244" s="25"/>
    </row>
    <row r="245" spans="1:19" ht="15.75" customHeight="1">
      <c r="A245" s="352"/>
      <c r="B245" s="352"/>
      <c r="C245" s="86">
        <v>17</v>
      </c>
      <c r="D245" s="352"/>
      <c r="E245" s="181" t="s">
        <v>4191</v>
      </c>
      <c r="F245" s="86" t="s">
        <v>361</v>
      </c>
      <c r="G245" s="86" t="s">
        <v>327</v>
      </c>
      <c r="H245" s="175" t="s">
        <v>4192</v>
      </c>
      <c r="I245" s="63" t="s">
        <v>4193</v>
      </c>
      <c r="J245" s="171"/>
      <c r="K245" s="25"/>
      <c r="L245" s="66"/>
      <c r="M245" s="50"/>
      <c r="N245" s="3"/>
      <c r="O245" s="50"/>
      <c r="P245" s="50"/>
      <c r="Q245" s="25" t="s">
        <v>282</v>
      </c>
      <c r="R245" s="50" t="s">
        <v>305</v>
      </c>
      <c r="S245" s="25"/>
    </row>
    <row r="246" spans="1:19" ht="15.75" customHeight="1">
      <c r="A246" s="352"/>
      <c r="B246" s="352"/>
      <c r="C246" s="86">
        <v>18</v>
      </c>
      <c r="D246" s="352"/>
      <c r="E246" s="181" t="s">
        <v>4194</v>
      </c>
      <c r="F246" s="86" t="s">
        <v>361</v>
      </c>
      <c r="G246" s="86" t="s">
        <v>327</v>
      </c>
      <c r="H246" s="175" t="s">
        <v>4195</v>
      </c>
      <c r="I246" s="63" t="s">
        <v>4196</v>
      </c>
      <c r="J246" s="171"/>
      <c r="K246" s="25"/>
      <c r="L246" s="66"/>
      <c r="M246" s="50"/>
      <c r="N246" s="3"/>
      <c r="O246" s="50"/>
      <c r="P246" s="50"/>
      <c r="Q246" s="25" t="s">
        <v>282</v>
      </c>
      <c r="R246" s="50" t="s">
        <v>305</v>
      </c>
      <c r="S246" s="25"/>
    </row>
    <row r="247" spans="1:19" ht="15.75" customHeight="1">
      <c r="A247" s="352"/>
      <c r="B247" s="352"/>
      <c r="C247" s="86">
        <v>19</v>
      </c>
      <c r="D247" s="352"/>
      <c r="E247" s="181" t="s">
        <v>4197</v>
      </c>
      <c r="F247" s="86" t="s">
        <v>361</v>
      </c>
      <c r="G247" s="86" t="s">
        <v>327</v>
      </c>
      <c r="H247" s="175" t="s">
        <v>4198</v>
      </c>
      <c r="I247" s="63" t="s">
        <v>4199</v>
      </c>
      <c r="J247" s="171"/>
      <c r="K247" s="25"/>
      <c r="L247" s="66"/>
      <c r="M247" s="50"/>
      <c r="N247" s="3"/>
      <c r="O247" s="50"/>
      <c r="P247" s="50"/>
      <c r="Q247" s="25" t="s">
        <v>282</v>
      </c>
      <c r="R247" s="50" t="s">
        <v>305</v>
      </c>
      <c r="S247" s="25"/>
    </row>
    <row r="248" spans="1:19" ht="15.75" customHeight="1">
      <c r="A248" s="353"/>
      <c r="B248" s="353"/>
      <c r="C248" s="86">
        <v>20</v>
      </c>
      <c r="D248" s="353"/>
      <c r="E248" s="175" t="s">
        <v>4200</v>
      </c>
      <c r="F248" s="86" t="s">
        <v>361</v>
      </c>
      <c r="G248" s="86" t="s">
        <v>327</v>
      </c>
      <c r="H248" s="175" t="s">
        <v>4201</v>
      </c>
      <c r="I248" s="35" t="s">
        <v>4202</v>
      </c>
      <c r="J248" s="172"/>
      <c r="K248" s="25"/>
      <c r="L248" s="66"/>
      <c r="M248" s="50"/>
      <c r="N248" s="3"/>
      <c r="O248" s="50"/>
      <c r="P248" s="50"/>
      <c r="Q248" s="25" t="s">
        <v>282</v>
      </c>
      <c r="R248" s="50" t="s">
        <v>305</v>
      </c>
      <c r="S248" s="25"/>
    </row>
    <row r="249" spans="1:19" ht="15.75" customHeight="1">
      <c r="A249" s="68"/>
      <c r="B249" s="68"/>
      <c r="D249" s="68"/>
      <c r="E249" s="69"/>
      <c r="K249" s="68"/>
      <c r="M249" s="68"/>
      <c r="O249" s="68"/>
      <c r="P249" s="68"/>
      <c r="Q249" s="68"/>
      <c r="R249" s="68"/>
      <c r="S249" s="68"/>
    </row>
    <row r="250" spans="1:19" ht="15.75" customHeight="1">
      <c r="A250" s="68"/>
      <c r="B250" s="68"/>
      <c r="D250" s="68"/>
      <c r="E250" s="69"/>
      <c r="K250" s="68"/>
      <c r="M250" s="68"/>
      <c r="O250" s="68"/>
      <c r="P250" s="68"/>
      <c r="Q250" s="68"/>
      <c r="R250" s="68"/>
      <c r="S250" s="68"/>
    </row>
    <row r="251" spans="1:19" ht="15.75" customHeight="1">
      <c r="A251" s="68"/>
      <c r="B251" s="68"/>
      <c r="D251" s="68"/>
      <c r="E251" s="69"/>
      <c r="K251" s="68"/>
      <c r="M251" s="68"/>
      <c r="O251" s="68"/>
      <c r="P251" s="68"/>
      <c r="Q251" s="68"/>
      <c r="R251" s="68"/>
      <c r="S251" s="68"/>
    </row>
    <row r="252" spans="1:19" ht="15.75" customHeight="1">
      <c r="A252" s="68"/>
      <c r="B252" s="68"/>
      <c r="D252" s="68"/>
      <c r="E252" s="69"/>
      <c r="K252" s="68"/>
      <c r="M252" s="68"/>
      <c r="O252" s="68"/>
      <c r="P252" s="68"/>
      <c r="Q252" s="68"/>
      <c r="R252" s="68"/>
      <c r="S252" s="68"/>
    </row>
    <row r="253" spans="1:19" ht="15.75" customHeight="1">
      <c r="A253" s="68"/>
      <c r="B253" s="68"/>
      <c r="D253" s="68"/>
      <c r="E253" s="69"/>
      <c r="K253" s="68"/>
      <c r="M253" s="68"/>
      <c r="O253" s="68"/>
      <c r="P253" s="68"/>
      <c r="Q253" s="68"/>
      <c r="R253" s="68"/>
      <c r="S253" s="68"/>
    </row>
    <row r="254" spans="1:19" ht="15.75" customHeight="1">
      <c r="A254" s="68"/>
      <c r="B254" s="68"/>
      <c r="D254" s="68"/>
      <c r="E254" s="69"/>
      <c r="K254" s="68"/>
      <c r="M254" s="68"/>
      <c r="O254" s="68"/>
      <c r="P254" s="68"/>
      <c r="Q254" s="68"/>
      <c r="R254" s="68"/>
      <c r="S254" s="68"/>
    </row>
    <row r="255" spans="1:19" ht="15.75" customHeight="1">
      <c r="A255" s="68"/>
      <c r="B255" s="68"/>
      <c r="D255" s="68"/>
      <c r="E255" s="69"/>
      <c r="K255" s="68"/>
      <c r="M255" s="68"/>
      <c r="O255" s="68"/>
      <c r="P255" s="68"/>
      <c r="Q255" s="68"/>
      <c r="R255" s="68"/>
      <c r="S255" s="68"/>
    </row>
    <row r="256" spans="1:19" ht="15.75" customHeight="1">
      <c r="A256" s="68"/>
      <c r="B256" s="68"/>
      <c r="D256" s="68"/>
      <c r="E256" s="69"/>
      <c r="K256" s="68"/>
      <c r="M256" s="68"/>
      <c r="O256" s="68"/>
      <c r="P256" s="68"/>
      <c r="Q256" s="68"/>
      <c r="R256" s="68"/>
      <c r="S256" s="68"/>
    </row>
    <row r="257" spans="1:19" ht="15.75" customHeight="1">
      <c r="A257" s="68"/>
      <c r="B257" s="68"/>
      <c r="D257" s="68"/>
      <c r="E257" s="69"/>
      <c r="K257" s="68"/>
      <c r="M257" s="68"/>
      <c r="O257" s="68"/>
      <c r="P257" s="68"/>
      <c r="Q257" s="68"/>
      <c r="R257" s="68"/>
      <c r="S257" s="68"/>
    </row>
    <row r="258" spans="1:19" ht="15.75" customHeight="1">
      <c r="A258" s="68"/>
      <c r="B258" s="68"/>
      <c r="D258" s="68"/>
      <c r="E258" s="69"/>
      <c r="K258" s="68"/>
      <c r="M258" s="68"/>
      <c r="O258" s="68"/>
      <c r="P258" s="68"/>
      <c r="Q258" s="68"/>
      <c r="R258" s="68"/>
      <c r="S258" s="68"/>
    </row>
    <row r="259" spans="1:19" ht="15.75" customHeight="1">
      <c r="A259" s="68"/>
      <c r="B259" s="68"/>
      <c r="D259" s="68"/>
      <c r="E259" s="69"/>
      <c r="K259" s="68"/>
      <c r="M259" s="68"/>
      <c r="O259" s="68"/>
      <c r="P259" s="68"/>
      <c r="Q259" s="68"/>
      <c r="R259" s="68"/>
      <c r="S259" s="68"/>
    </row>
    <row r="260" spans="1:19" ht="15.75" customHeight="1">
      <c r="A260" s="68"/>
      <c r="B260" s="68"/>
      <c r="D260" s="68"/>
      <c r="E260" s="69"/>
      <c r="K260" s="68"/>
      <c r="M260" s="68"/>
      <c r="O260" s="68"/>
      <c r="P260" s="68"/>
      <c r="Q260" s="68"/>
      <c r="R260" s="68"/>
      <c r="S260" s="68"/>
    </row>
    <row r="261" spans="1:19" ht="15.75" customHeight="1">
      <c r="A261" s="68"/>
      <c r="B261" s="68"/>
      <c r="D261" s="68"/>
      <c r="E261" s="69"/>
      <c r="K261" s="68"/>
      <c r="M261" s="68"/>
      <c r="O261" s="68"/>
      <c r="P261" s="68"/>
      <c r="Q261" s="68"/>
      <c r="R261" s="68"/>
      <c r="S261" s="68"/>
    </row>
    <row r="262" spans="1:19" ht="15.75" customHeight="1">
      <c r="A262" s="68"/>
      <c r="B262" s="68"/>
      <c r="D262" s="68"/>
      <c r="E262" s="69"/>
      <c r="K262" s="68"/>
      <c r="M262" s="68"/>
      <c r="O262" s="68"/>
      <c r="P262" s="68"/>
      <c r="Q262" s="68"/>
      <c r="R262" s="68"/>
      <c r="S262" s="68"/>
    </row>
    <row r="263" spans="1:19" ht="15.75" customHeight="1">
      <c r="A263" s="68"/>
      <c r="B263" s="68"/>
      <c r="D263" s="68"/>
      <c r="E263" s="69"/>
      <c r="K263" s="68"/>
      <c r="M263" s="68"/>
      <c r="O263" s="68"/>
      <c r="P263" s="68"/>
      <c r="Q263" s="68"/>
      <c r="R263" s="68"/>
      <c r="S263" s="68"/>
    </row>
    <row r="264" spans="1:19" ht="15.75" customHeight="1">
      <c r="A264" s="68"/>
      <c r="B264" s="68"/>
      <c r="D264" s="68"/>
      <c r="E264" s="69"/>
      <c r="K264" s="68"/>
      <c r="M264" s="68"/>
      <c r="O264" s="68"/>
      <c r="P264" s="68"/>
      <c r="Q264" s="68"/>
      <c r="R264" s="68"/>
      <c r="S264" s="68"/>
    </row>
    <row r="265" spans="1:19" ht="15.75" customHeight="1">
      <c r="A265" s="68"/>
      <c r="B265" s="68"/>
      <c r="D265" s="68"/>
      <c r="E265" s="69"/>
      <c r="K265" s="68"/>
      <c r="M265" s="68"/>
      <c r="O265" s="68"/>
      <c r="P265" s="68"/>
      <c r="Q265" s="68"/>
      <c r="R265" s="68"/>
      <c r="S265" s="68"/>
    </row>
    <row r="266" spans="1:19" ht="15.75" customHeight="1">
      <c r="A266" s="68"/>
      <c r="B266" s="68"/>
      <c r="D266" s="68"/>
      <c r="E266" s="69"/>
      <c r="K266" s="68"/>
      <c r="M266" s="68"/>
      <c r="O266" s="68"/>
      <c r="P266" s="68"/>
      <c r="Q266" s="68"/>
      <c r="R266" s="68"/>
      <c r="S266" s="68"/>
    </row>
    <row r="267" spans="1:19" ht="15.75" customHeight="1">
      <c r="A267" s="68"/>
      <c r="B267" s="68"/>
      <c r="D267" s="68"/>
      <c r="E267" s="69"/>
      <c r="K267" s="68"/>
      <c r="M267" s="68"/>
      <c r="O267" s="68"/>
      <c r="P267" s="68"/>
      <c r="Q267" s="68"/>
      <c r="R267" s="68"/>
      <c r="S267" s="68"/>
    </row>
    <row r="268" spans="1:19" ht="15.75" customHeight="1">
      <c r="A268" s="68"/>
      <c r="B268" s="68"/>
      <c r="D268" s="68"/>
      <c r="E268" s="69"/>
      <c r="K268" s="68"/>
      <c r="M268" s="68"/>
      <c r="O268" s="68"/>
      <c r="P268" s="68"/>
      <c r="Q268" s="68"/>
      <c r="R268" s="68"/>
      <c r="S268" s="68"/>
    </row>
    <row r="269" spans="1:19" ht="15.75" customHeight="1">
      <c r="A269" s="68"/>
      <c r="B269" s="68"/>
      <c r="D269" s="68"/>
      <c r="E269" s="69"/>
      <c r="K269" s="68"/>
      <c r="M269" s="68"/>
      <c r="O269" s="68"/>
      <c r="P269" s="68"/>
      <c r="Q269" s="68"/>
      <c r="R269" s="68"/>
      <c r="S269" s="68"/>
    </row>
    <row r="270" spans="1:19" ht="15.75" customHeight="1">
      <c r="A270" s="68"/>
      <c r="B270" s="68"/>
      <c r="D270" s="68"/>
      <c r="E270" s="69"/>
      <c r="K270" s="68"/>
      <c r="M270" s="68"/>
      <c r="O270" s="68"/>
      <c r="P270" s="68"/>
      <c r="Q270" s="68"/>
      <c r="R270" s="68"/>
      <c r="S270" s="68"/>
    </row>
    <row r="271" spans="1:19" ht="15.75" customHeight="1">
      <c r="A271" s="68"/>
      <c r="B271" s="68"/>
      <c r="D271" s="68"/>
      <c r="E271" s="69"/>
      <c r="K271" s="68"/>
      <c r="M271" s="68"/>
      <c r="O271" s="68"/>
      <c r="P271" s="68"/>
      <c r="Q271" s="68"/>
      <c r="R271" s="68"/>
      <c r="S271" s="68"/>
    </row>
    <row r="272" spans="1:19" ht="15.75" customHeight="1">
      <c r="A272" s="68"/>
      <c r="B272" s="68"/>
      <c r="D272" s="68"/>
      <c r="E272" s="69"/>
      <c r="K272" s="68"/>
      <c r="M272" s="68"/>
      <c r="O272" s="68"/>
      <c r="P272" s="68"/>
      <c r="Q272" s="68"/>
      <c r="R272" s="68"/>
      <c r="S272" s="68"/>
    </row>
    <row r="273" spans="1:19" ht="15.75" customHeight="1">
      <c r="A273" s="68"/>
      <c r="B273" s="68"/>
      <c r="D273" s="68"/>
      <c r="E273" s="69"/>
      <c r="K273" s="68"/>
      <c r="M273" s="68"/>
      <c r="O273" s="68"/>
      <c r="P273" s="68"/>
      <c r="Q273" s="68"/>
      <c r="R273" s="68"/>
      <c r="S273" s="68"/>
    </row>
    <row r="274" spans="1:19" ht="15.75" customHeight="1">
      <c r="A274" s="68"/>
      <c r="B274" s="68"/>
      <c r="D274" s="68"/>
      <c r="E274" s="69"/>
      <c r="K274" s="68"/>
      <c r="M274" s="68"/>
      <c r="O274" s="68"/>
      <c r="P274" s="68"/>
      <c r="Q274" s="68"/>
      <c r="R274" s="68"/>
      <c r="S274" s="68"/>
    </row>
    <row r="275" spans="1:19" ht="15.75" customHeight="1">
      <c r="A275" s="68"/>
      <c r="B275" s="68"/>
      <c r="D275" s="68"/>
      <c r="E275" s="69"/>
      <c r="K275" s="68"/>
      <c r="M275" s="68"/>
      <c r="O275" s="68"/>
      <c r="P275" s="68"/>
      <c r="Q275" s="68"/>
      <c r="R275" s="68"/>
      <c r="S275" s="68"/>
    </row>
    <row r="276" spans="1:19" ht="15.75" customHeight="1">
      <c r="A276" s="68"/>
      <c r="B276" s="68"/>
      <c r="D276" s="68"/>
      <c r="E276" s="69"/>
      <c r="K276" s="68"/>
      <c r="M276" s="68"/>
      <c r="O276" s="68"/>
      <c r="P276" s="68"/>
      <c r="Q276" s="68"/>
      <c r="R276" s="68"/>
      <c r="S276" s="68"/>
    </row>
    <row r="277" spans="1:19" ht="15.75" customHeight="1">
      <c r="A277" s="68"/>
      <c r="B277" s="68"/>
      <c r="D277" s="68"/>
      <c r="E277" s="69"/>
      <c r="K277" s="68"/>
      <c r="M277" s="68"/>
      <c r="O277" s="68"/>
      <c r="P277" s="68"/>
      <c r="Q277" s="68"/>
      <c r="R277" s="68"/>
      <c r="S277" s="68"/>
    </row>
    <row r="278" spans="1:19" ht="15.75" customHeight="1">
      <c r="A278" s="68"/>
      <c r="B278" s="68"/>
      <c r="D278" s="68"/>
      <c r="E278" s="69"/>
      <c r="K278" s="68"/>
      <c r="M278" s="68"/>
      <c r="O278" s="68"/>
      <c r="P278" s="68"/>
      <c r="Q278" s="68"/>
      <c r="R278" s="68"/>
      <c r="S278" s="68"/>
    </row>
    <row r="279" spans="1:19" ht="15.75" customHeight="1">
      <c r="A279" s="68"/>
      <c r="B279" s="68"/>
      <c r="D279" s="68"/>
      <c r="E279" s="69"/>
      <c r="K279" s="68"/>
      <c r="M279" s="68"/>
      <c r="O279" s="68"/>
      <c r="P279" s="68"/>
      <c r="Q279" s="68"/>
      <c r="R279" s="68"/>
      <c r="S279" s="68"/>
    </row>
    <row r="280" spans="1:19" ht="15.75" customHeight="1">
      <c r="A280" s="68"/>
      <c r="B280" s="68"/>
      <c r="D280" s="68"/>
      <c r="E280" s="69"/>
      <c r="K280" s="68"/>
      <c r="M280" s="68"/>
      <c r="O280" s="68"/>
      <c r="P280" s="68"/>
      <c r="Q280" s="68"/>
      <c r="R280" s="68"/>
      <c r="S280" s="68"/>
    </row>
    <row r="281" spans="1:19" ht="15.75" customHeight="1">
      <c r="A281" s="68"/>
      <c r="B281" s="68"/>
      <c r="D281" s="68"/>
      <c r="E281" s="69"/>
      <c r="K281" s="68"/>
      <c r="M281" s="68"/>
      <c r="O281" s="68"/>
      <c r="P281" s="68"/>
      <c r="Q281" s="68"/>
      <c r="R281" s="68"/>
      <c r="S281" s="68"/>
    </row>
    <row r="282" spans="1:19" ht="15.75" customHeight="1">
      <c r="A282" s="68"/>
      <c r="B282" s="68"/>
      <c r="D282" s="68"/>
      <c r="E282" s="69"/>
      <c r="K282" s="68"/>
      <c r="M282" s="68"/>
      <c r="O282" s="68"/>
      <c r="P282" s="68"/>
      <c r="Q282" s="68"/>
      <c r="R282" s="68"/>
      <c r="S282" s="68"/>
    </row>
    <row r="283" spans="1:19" ht="15.75" customHeight="1">
      <c r="A283" s="68"/>
      <c r="B283" s="68"/>
      <c r="D283" s="68"/>
      <c r="E283" s="69"/>
      <c r="K283" s="68"/>
      <c r="M283" s="68"/>
      <c r="O283" s="68"/>
      <c r="P283" s="68"/>
      <c r="Q283" s="68"/>
      <c r="R283" s="68"/>
      <c r="S283" s="68"/>
    </row>
    <row r="284" spans="1:19" ht="15.75" customHeight="1">
      <c r="A284" s="68"/>
      <c r="B284" s="68"/>
      <c r="D284" s="68"/>
      <c r="E284" s="69"/>
      <c r="K284" s="68"/>
      <c r="M284" s="68"/>
      <c r="O284" s="68"/>
      <c r="P284" s="68"/>
      <c r="Q284" s="68"/>
      <c r="R284" s="68"/>
      <c r="S284" s="68"/>
    </row>
    <row r="285" spans="1:19" ht="15.75" customHeight="1">
      <c r="A285" s="68"/>
      <c r="B285" s="68"/>
      <c r="D285" s="68"/>
      <c r="E285" s="69"/>
      <c r="K285" s="68"/>
      <c r="M285" s="68"/>
      <c r="O285" s="68"/>
      <c r="P285" s="68"/>
      <c r="Q285" s="68"/>
      <c r="R285" s="68"/>
      <c r="S285" s="68"/>
    </row>
    <row r="286" spans="1:19" ht="15.75" customHeight="1">
      <c r="A286" s="68"/>
      <c r="B286" s="68"/>
      <c r="D286" s="68"/>
      <c r="E286" s="69"/>
      <c r="K286" s="68"/>
      <c r="M286" s="68"/>
      <c r="O286" s="68"/>
      <c r="P286" s="68"/>
      <c r="Q286" s="68"/>
      <c r="R286" s="68"/>
      <c r="S286" s="68"/>
    </row>
    <row r="287" spans="1:19" ht="15.75" customHeight="1">
      <c r="A287" s="68"/>
      <c r="B287" s="68"/>
      <c r="D287" s="68"/>
      <c r="E287" s="69"/>
      <c r="K287" s="68"/>
      <c r="M287" s="68"/>
      <c r="O287" s="68"/>
      <c r="P287" s="68"/>
      <c r="Q287" s="68"/>
      <c r="R287" s="68"/>
      <c r="S287" s="68"/>
    </row>
    <row r="288" spans="1:19" ht="15.75" customHeight="1">
      <c r="A288" s="68"/>
      <c r="B288" s="68"/>
      <c r="D288" s="68"/>
      <c r="E288" s="69"/>
      <c r="K288" s="68"/>
      <c r="M288" s="68"/>
      <c r="O288" s="68"/>
      <c r="P288" s="68"/>
      <c r="Q288" s="68"/>
      <c r="R288" s="68"/>
      <c r="S288" s="68"/>
    </row>
    <row r="289" spans="1:19" ht="15.75" customHeight="1">
      <c r="A289" s="68"/>
      <c r="B289" s="68"/>
      <c r="D289" s="68"/>
      <c r="E289" s="69"/>
      <c r="K289" s="68"/>
      <c r="M289" s="68"/>
      <c r="O289" s="68"/>
      <c r="P289" s="68"/>
      <c r="Q289" s="68"/>
      <c r="R289" s="68"/>
      <c r="S289" s="68"/>
    </row>
    <row r="290" spans="1:19" ht="15.75" customHeight="1">
      <c r="A290" s="68"/>
      <c r="B290" s="68"/>
      <c r="D290" s="68"/>
      <c r="E290" s="69"/>
      <c r="K290" s="68"/>
      <c r="M290" s="68"/>
      <c r="O290" s="68"/>
      <c r="P290" s="68"/>
      <c r="Q290" s="68"/>
      <c r="R290" s="68"/>
      <c r="S290" s="68"/>
    </row>
    <row r="291" spans="1:19" ht="15.75" customHeight="1">
      <c r="A291" s="68"/>
      <c r="B291" s="68"/>
      <c r="D291" s="68"/>
      <c r="E291" s="69"/>
      <c r="K291" s="68"/>
      <c r="M291" s="68"/>
      <c r="O291" s="68"/>
      <c r="P291" s="68"/>
      <c r="Q291" s="68"/>
      <c r="R291" s="68"/>
      <c r="S291" s="68"/>
    </row>
    <row r="292" spans="1:19" ht="15.75" customHeight="1">
      <c r="A292" s="68"/>
      <c r="B292" s="68"/>
      <c r="D292" s="68"/>
      <c r="E292" s="69"/>
      <c r="K292" s="68"/>
      <c r="M292" s="68"/>
      <c r="O292" s="68"/>
      <c r="P292" s="68"/>
      <c r="Q292" s="68"/>
      <c r="R292" s="68"/>
      <c r="S292" s="68"/>
    </row>
    <row r="293" spans="1:19" ht="15.75" customHeight="1">
      <c r="A293" s="68"/>
      <c r="B293" s="68"/>
      <c r="D293" s="68"/>
      <c r="E293" s="69"/>
      <c r="K293" s="68"/>
      <c r="M293" s="68"/>
      <c r="O293" s="68"/>
      <c r="P293" s="68"/>
      <c r="Q293" s="68"/>
      <c r="R293" s="68"/>
      <c r="S293" s="68"/>
    </row>
    <row r="294" spans="1:19" ht="15.75" customHeight="1">
      <c r="A294" s="68"/>
      <c r="B294" s="68"/>
      <c r="D294" s="68"/>
      <c r="E294" s="69"/>
      <c r="K294" s="68"/>
      <c r="M294" s="68"/>
      <c r="O294" s="68"/>
      <c r="P294" s="68"/>
      <c r="Q294" s="68"/>
      <c r="R294" s="68"/>
      <c r="S294" s="68"/>
    </row>
    <row r="295" spans="1:19" ht="15.75" customHeight="1">
      <c r="A295" s="68"/>
      <c r="B295" s="68"/>
      <c r="D295" s="68"/>
      <c r="E295" s="69"/>
      <c r="K295" s="68"/>
      <c r="M295" s="68"/>
      <c r="O295" s="68"/>
      <c r="P295" s="68"/>
      <c r="Q295" s="68"/>
      <c r="R295" s="68"/>
      <c r="S295" s="68"/>
    </row>
    <row r="296" spans="1:19" ht="15.75" customHeight="1">
      <c r="A296" s="68"/>
      <c r="B296" s="68"/>
      <c r="D296" s="68"/>
      <c r="E296" s="69"/>
      <c r="K296" s="68"/>
      <c r="M296" s="68"/>
      <c r="O296" s="68"/>
      <c r="P296" s="68"/>
      <c r="Q296" s="68"/>
      <c r="R296" s="68"/>
      <c r="S296" s="68"/>
    </row>
    <row r="297" spans="1:19" ht="15.75" customHeight="1">
      <c r="A297" s="68"/>
      <c r="B297" s="68"/>
      <c r="D297" s="68"/>
      <c r="E297" s="69"/>
      <c r="K297" s="68"/>
      <c r="M297" s="68"/>
      <c r="O297" s="68"/>
      <c r="P297" s="68"/>
      <c r="Q297" s="68"/>
      <c r="R297" s="68"/>
      <c r="S297" s="68"/>
    </row>
    <row r="298" spans="1:19" ht="15.75" customHeight="1">
      <c r="A298" s="68"/>
      <c r="B298" s="68"/>
      <c r="D298" s="68"/>
      <c r="E298" s="69"/>
      <c r="K298" s="68"/>
      <c r="M298" s="68"/>
      <c r="O298" s="68"/>
      <c r="P298" s="68"/>
      <c r="Q298" s="68"/>
      <c r="R298" s="68"/>
      <c r="S298" s="68"/>
    </row>
    <row r="299" spans="1:19" ht="15.75" customHeight="1">
      <c r="A299" s="68"/>
      <c r="B299" s="68"/>
      <c r="D299" s="68"/>
      <c r="E299" s="69"/>
      <c r="K299" s="68"/>
      <c r="M299" s="68"/>
      <c r="O299" s="68"/>
      <c r="P299" s="68"/>
      <c r="Q299" s="68"/>
      <c r="R299" s="68"/>
      <c r="S299" s="68"/>
    </row>
    <row r="300" spans="1:19" ht="15.75" customHeight="1">
      <c r="A300" s="68"/>
      <c r="B300" s="68"/>
      <c r="D300" s="68"/>
      <c r="E300" s="69"/>
      <c r="K300" s="68"/>
      <c r="M300" s="68"/>
      <c r="O300" s="68"/>
      <c r="P300" s="68"/>
      <c r="Q300" s="68"/>
      <c r="R300" s="68"/>
      <c r="S300" s="68"/>
    </row>
    <row r="301" spans="1:19" ht="15.75" customHeight="1">
      <c r="A301" s="68"/>
      <c r="B301" s="68"/>
      <c r="D301" s="68"/>
      <c r="E301" s="69"/>
      <c r="K301" s="68"/>
      <c r="M301" s="68"/>
      <c r="O301" s="68"/>
      <c r="P301" s="68"/>
      <c r="Q301" s="68"/>
      <c r="R301" s="68"/>
      <c r="S301" s="68"/>
    </row>
    <row r="302" spans="1:19" ht="15.75" customHeight="1">
      <c r="A302" s="68"/>
      <c r="B302" s="68"/>
      <c r="D302" s="68"/>
      <c r="E302" s="69"/>
      <c r="K302" s="68"/>
      <c r="M302" s="68"/>
      <c r="O302" s="68"/>
      <c r="P302" s="68"/>
      <c r="Q302" s="68"/>
      <c r="R302" s="68"/>
      <c r="S302" s="68"/>
    </row>
    <row r="303" spans="1:19" ht="15.75" customHeight="1">
      <c r="A303" s="68"/>
      <c r="B303" s="68"/>
      <c r="D303" s="68"/>
      <c r="E303" s="69"/>
      <c r="K303" s="68"/>
      <c r="M303" s="68"/>
      <c r="O303" s="68"/>
      <c r="P303" s="68"/>
      <c r="Q303" s="68"/>
      <c r="R303" s="68"/>
      <c r="S303" s="68"/>
    </row>
    <row r="304" spans="1:19" ht="15.75" customHeight="1">
      <c r="A304" s="68"/>
      <c r="B304" s="68"/>
      <c r="D304" s="68"/>
      <c r="E304" s="69"/>
      <c r="K304" s="68"/>
      <c r="M304" s="68"/>
      <c r="O304" s="68"/>
      <c r="P304" s="68"/>
      <c r="Q304" s="68"/>
      <c r="R304" s="68"/>
      <c r="S304" s="68"/>
    </row>
    <row r="305" spans="1:19" ht="15.75" customHeight="1">
      <c r="A305" s="68"/>
      <c r="B305" s="68"/>
      <c r="D305" s="68"/>
      <c r="E305" s="69"/>
      <c r="K305" s="68"/>
      <c r="M305" s="68"/>
      <c r="O305" s="68"/>
      <c r="P305" s="68"/>
      <c r="Q305" s="68"/>
      <c r="R305" s="68"/>
      <c r="S305" s="68"/>
    </row>
    <row r="306" spans="1:19" ht="15.75" customHeight="1">
      <c r="A306" s="68"/>
      <c r="B306" s="68"/>
      <c r="D306" s="68"/>
      <c r="E306" s="69"/>
      <c r="K306" s="68"/>
      <c r="M306" s="68"/>
      <c r="O306" s="68"/>
      <c r="P306" s="68"/>
      <c r="Q306" s="68"/>
      <c r="R306" s="68"/>
      <c r="S306" s="68"/>
    </row>
    <row r="307" spans="1:19" ht="15.75" customHeight="1">
      <c r="A307" s="68"/>
      <c r="B307" s="68"/>
      <c r="D307" s="68"/>
      <c r="E307" s="69"/>
      <c r="K307" s="68"/>
      <c r="M307" s="68"/>
      <c r="O307" s="68"/>
      <c r="P307" s="68"/>
      <c r="Q307" s="68"/>
      <c r="R307" s="68"/>
      <c r="S307" s="68"/>
    </row>
    <row r="308" spans="1:19" ht="15.75" customHeight="1">
      <c r="A308" s="68"/>
      <c r="B308" s="68"/>
      <c r="D308" s="68"/>
      <c r="E308" s="69"/>
      <c r="K308" s="68"/>
      <c r="M308" s="68"/>
      <c r="O308" s="68"/>
      <c r="P308" s="68"/>
      <c r="Q308" s="68"/>
      <c r="R308" s="68"/>
      <c r="S308" s="68"/>
    </row>
    <row r="309" spans="1:19" ht="15.75" customHeight="1">
      <c r="A309" s="68"/>
      <c r="B309" s="68"/>
      <c r="D309" s="68"/>
      <c r="E309" s="69"/>
      <c r="K309" s="68"/>
      <c r="M309" s="68"/>
      <c r="O309" s="68"/>
      <c r="P309" s="68"/>
      <c r="Q309" s="68"/>
      <c r="R309" s="68"/>
      <c r="S309" s="68"/>
    </row>
    <row r="310" spans="1:19" ht="15.75" customHeight="1">
      <c r="A310" s="68"/>
      <c r="B310" s="68"/>
      <c r="D310" s="68"/>
      <c r="E310" s="69"/>
      <c r="K310" s="68"/>
      <c r="M310" s="68"/>
      <c r="O310" s="68"/>
      <c r="P310" s="68"/>
      <c r="Q310" s="68"/>
      <c r="R310" s="68"/>
      <c r="S310" s="68"/>
    </row>
    <row r="311" spans="1:19" ht="15.75" customHeight="1">
      <c r="A311" s="68"/>
      <c r="B311" s="68"/>
      <c r="D311" s="68"/>
      <c r="E311" s="69"/>
      <c r="K311" s="68"/>
      <c r="M311" s="68"/>
      <c r="O311" s="68"/>
      <c r="P311" s="68"/>
      <c r="Q311" s="68"/>
      <c r="R311" s="68"/>
      <c r="S311" s="68"/>
    </row>
    <row r="312" spans="1:19" ht="15.75" customHeight="1">
      <c r="A312" s="68"/>
      <c r="B312" s="68"/>
      <c r="D312" s="68"/>
      <c r="E312" s="69"/>
      <c r="K312" s="68"/>
      <c r="M312" s="68"/>
      <c r="O312" s="68"/>
      <c r="P312" s="68"/>
      <c r="Q312" s="68"/>
      <c r="R312" s="68"/>
      <c r="S312" s="68"/>
    </row>
    <row r="313" spans="1:19" ht="15.75" customHeight="1">
      <c r="A313" s="68"/>
      <c r="B313" s="68"/>
      <c r="D313" s="68"/>
      <c r="E313" s="69"/>
      <c r="K313" s="68"/>
      <c r="M313" s="68"/>
      <c r="O313" s="68"/>
      <c r="P313" s="68"/>
      <c r="Q313" s="68"/>
      <c r="R313" s="68"/>
      <c r="S313" s="68"/>
    </row>
    <row r="314" spans="1:19" ht="15.75" customHeight="1">
      <c r="A314" s="68"/>
      <c r="B314" s="68"/>
      <c r="D314" s="68"/>
      <c r="E314" s="69"/>
      <c r="K314" s="68"/>
      <c r="M314" s="68"/>
      <c r="O314" s="68"/>
      <c r="P314" s="68"/>
      <c r="Q314" s="68"/>
      <c r="R314" s="68"/>
      <c r="S314" s="68"/>
    </row>
    <row r="315" spans="1:19" ht="15.75" customHeight="1">
      <c r="A315" s="68"/>
      <c r="B315" s="68"/>
      <c r="D315" s="68"/>
      <c r="E315" s="69"/>
      <c r="K315" s="68"/>
      <c r="M315" s="68"/>
      <c r="O315" s="68"/>
      <c r="P315" s="68"/>
      <c r="Q315" s="68"/>
      <c r="R315" s="68"/>
      <c r="S315" s="68"/>
    </row>
    <row r="316" spans="1:19" ht="15.75" customHeight="1">
      <c r="A316" s="68"/>
      <c r="B316" s="68"/>
      <c r="D316" s="68"/>
      <c r="E316" s="69"/>
      <c r="K316" s="68"/>
      <c r="M316" s="68"/>
      <c r="O316" s="68"/>
      <c r="P316" s="68"/>
      <c r="Q316" s="68"/>
      <c r="R316" s="68"/>
      <c r="S316" s="68"/>
    </row>
    <row r="317" spans="1:19" ht="15.75" customHeight="1">
      <c r="A317" s="68"/>
      <c r="B317" s="68"/>
      <c r="D317" s="68"/>
      <c r="E317" s="69"/>
      <c r="K317" s="68"/>
      <c r="M317" s="68"/>
      <c r="O317" s="68"/>
      <c r="P317" s="68"/>
      <c r="Q317" s="68"/>
      <c r="R317" s="68"/>
      <c r="S317" s="68"/>
    </row>
    <row r="318" spans="1:19" ht="15.75" customHeight="1">
      <c r="A318" s="68"/>
      <c r="B318" s="68"/>
      <c r="D318" s="68"/>
      <c r="E318" s="69"/>
      <c r="K318" s="68"/>
      <c r="M318" s="68"/>
      <c r="O318" s="68"/>
      <c r="P318" s="68"/>
      <c r="Q318" s="68"/>
      <c r="R318" s="68"/>
      <c r="S318" s="68"/>
    </row>
    <row r="319" spans="1:19" ht="15.75" customHeight="1">
      <c r="A319" s="68"/>
      <c r="B319" s="68"/>
      <c r="D319" s="68"/>
      <c r="E319" s="69"/>
      <c r="K319" s="68"/>
      <c r="M319" s="68"/>
      <c r="O319" s="68"/>
      <c r="P319" s="68"/>
      <c r="Q319" s="68"/>
      <c r="R319" s="68"/>
      <c r="S319" s="68"/>
    </row>
    <row r="320" spans="1:19" ht="15.75" customHeight="1">
      <c r="A320" s="68"/>
      <c r="B320" s="68"/>
      <c r="D320" s="68"/>
      <c r="E320" s="69"/>
      <c r="K320" s="68"/>
      <c r="M320" s="68"/>
      <c r="O320" s="68"/>
      <c r="P320" s="68"/>
      <c r="Q320" s="68"/>
      <c r="R320" s="68"/>
      <c r="S320" s="68"/>
    </row>
    <row r="321" spans="1:19" ht="15.75" customHeight="1">
      <c r="A321" s="68"/>
      <c r="B321" s="68"/>
      <c r="D321" s="68"/>
      <c r="E321" s="69"/>
      <c r="K321" s="68"/>
      <c r="M321" s="68"/>
      <c r="O321" s="68"/>
      <c r="P321" s="68"/>
      <c r="Q321" s="68"/>
      <c r="R321" s="68"/>
      <c r="S321" s="68"/>
    </row>
    <row r="322" spans="1:19" ht="15.75" customHeight="1">
      <c r="A322" s="68"/>
      <c r="B322" s="68"/>
      <c r="D322" s="68"/>
      <c r="E322" s="69"/>
      <c r="K322" s="68"/>
      <c r="M322" s="68"/>
      <c r="O322" s="68"/>
      <c r="P322" s="68"/>
      <c r="Q322" s="68"/>
      <c r="R322" s="68"/>
      <c r="S322" s="68"/>
    </row>
    <row r="323" spans="1:19" ht="15.75" customHeight="1">
      <c r="A323" s="68"/>
      <c r="B323" s="68"/>
      <c r="D323" s="68"/>
      <c r="E323" s="69"/>
      <c r="K323" s="68"/>
      <c r="M323" s="68"/>
      <c r="O323" s="68"/>
      <c r="P323" s="68"/>
      <c r="Q323" s="68"/>
      <c r="R323" s="68"/>
      <c r="S323" s="68"/>
    </row>
    <row r="324" spans="1:19" ht="15.75" customHeight="1">
      <c r="A324" s="68"/>
      <c r="B324" s="68"/>
      <c r="D324" s="68"/>
      <c r="E324" s="69"/>
      <c r="K324" s="68"/>
      <c r="M324" s="68"/>
      <c r="O324" s="68"/>
      <c r="P324" s="68"/>
      <c r="Q324" s="68"/>
      <c r="R324" s="68"/>
      <c r="S324" s="68"/>
    </row>
    <row r="325" spans="1:19" ht="15.75" customHeight="1">
      <c r="A325" s="68"/>
      <c r="B325" s="68"/>
      <c r="D325" s="68"/>
      <c r="E325" s="69"/>
      <c r="K325" s="68"/>
      <c r="M325" s="68"/>
      <c r="O325" s="68"/>
      <c r="P325" s="68"/>
      <c r="Q325" s="68"/>
      <c r="R325" s="68"/>
      <c r="S325" s="68"/>
    </row>
    <row r="326" spans="1:19" ht="15.75" customHeight="1">
      <c r="A326" s="68"/>
      <c r="B326" s="68"/>
      <c r="D326" s="68"/>
      <c r="E326" s="69"/>
      <c r="K326" s="68"/>
      <c r="M326" s="68"/>
      <c r="O326" s="68"/>
      <c r="P326" s="68"/>
      <c r="Q326" s="68"/>
      <c r="R326" s="68"/>
      <c r="S326" s="68"/>
    </row>
    <row r="327" spans="1:19" ht="15.75" customHeight="1">
      <c r="A327" s="68"/>
      <c r="B327" s="68"/>
      <c r="D327" s="68"/>
      <c r="E327" s="69"/>
      <c r="K327" s="68"/>
      <c r="M327" s="68"/>
      <c r="O327" s="68"/>
      <c r="P327" s="68"/>
      <c r="Q327" s="68"/>
      <c r="R327" s="68"/>
      <c r="S327" s="68"/>
    </row>
    <row r="328" spans="1:19" ht="15.75" customHeight="1">
      <c r="A328" s="68"/>
      <c r="B328" s="68"/>
      <c r="D328" s="68"/>
      <c r="E328" s="69"/>
      <c r="K328" s="68"/>
      <c r="M328" s="68"/>
      <c r="O328" s="68"/>
      <c r="P328" s="68"/>
      <c r="Q328" s="68"/>
      <c r="R328" s="68"/>
      <c r="S328" s="68"/>
    </row>
    <row r="329" spans="1:19" ht="15.75" customHeight="1">
      <c r="A329" s="68"/>
      <c r="B329" s="68"/>
      <c r="D329" s="68"/>
      <c r="E329" s="69"/>
      <c r="K329" s="68"/>
      <c r="M329" s="68"/>
      <c r="O329" s="68"/>
      <c r="P329" s="68"/>
      <c r="Q329" s="68"/>
      <c r="R329" s="68"/>
      <c r="S329" s="68"/>
    </row>
    <row r="330" spans="1:19" ht="15.75" customHeight="1">
      <c r="A330" s="68"/>
      <c r="B330" s="68"/>
      <c r="D330" s="68"/>
      <c r="E330" s="69"/>
      <c r="K330" s="68"/>
      <c r="M330" s="68"/>
      <c r="O330" s="68"/>
      <c r="P330" s="68"/>
      <c r="Q330" s="68"/>
      <c r="R330" s="68"/>
      <c r="S330" s="68"/>
    </row>
    <row r="331" spans="1:19" ht="15.75" customHeight="1">
      <c r="A331" s="68"/>
      <c r="B331" s="68"/>
      <c r="D331" s="68"/>
      <c r="E331" s="69"/>
      <c r="K331" s="68"/>
      <c r="M331" s="68"/>
      <c r="O331" s="68"/>
      <c r="P331" s="68"/>
      <c r="Q331" s="68"/>
      <c r="R331" s="68"/>
      <c r="S331" s="68"/>
    </row>
    <row r="332" spans="1:19" ht="15.75" customHeight="1">
      <c r="A332" s="68"/>
      <c r="B332" s="68"/>
      <c r="D332" s="68"/>
      <c r="E332" s="69"/>
      <c r="K332" s="68"/>
      <c r="M332" s="68"/>
      <c r="O332" s="68"/>
      <c r="P332" s="68"/>
      <c r="Q332" s="68"/>
      <c r="R332" s="68"/>
      <c r="S332" s="68"/>
    </row>
    <row r="333" spans="1:19" ht="15.75" customHeight="1">
      <c r="A333" s="68"/>
      <c r="B333" s="68"/>
      <c r="D333" s="68"/>
      <c r="E333" s="69"/>
      <c r="K333" s="68"/>
      <c r="M333" s="68"/>
      <c r="O333" s="68"/>
      <c r="P333" s="68"/>
      <c r="Q333" s="68"/>
      <c r="R333" s="68"/>
      <c r="S333" s="68"/>
    </row>
    <row r="334" spans="1:19" ht="15.75" customHeight="1">
      <c r="A334" s="68"/>
      <c r="B334" s="68"/>
      <c r="D334" s="68"/>
      <c r="E334" s="69"/>
      <c r="K334" s="68"/>
      <c r="M334" s="68"/>
      <c r="O334" s="68"/>
      <c r="P334" s="68"/>
      <c r="Q334" s="68"/>
      <c r="R334" s="68"/>
      <c r="S334" s="68"/>
    </row>
    <row r="335" spans="1:19" ht="15.75" customHeight="1">
      <c r="A335" s="68"/>
      <c r="B335" s="68"/>
      <c r="D335" s="68"/>
      <c r="E335" s="69"/>
      <c r="K335" s="68"/>
      <c r="M335" s="68"/>
      <c r="O335" s="68"/>
      <c r="P335" s="68"/>
      <c r="Q335" s="68"/>
      <c r="R335" s="68"/>
      <c r="S335" s="68"/>
    </row>
    <row r="336" spans="1:19" ht="15.75" customHeight="1">
      <c r="A336" s="68"/>
      <c r="B336" s="68"/>
      <c r="D336" s="68"/>
      <c r="E336" s="69"/>
      <c r="K336" s="68"/>
      <c r="M336" s="68"/>
      <c r="O336" s="68"/>
      <c r="P336" s="68"/>
      <c r="Q336" s="68"/>
      <c r="R336" s="68"/>
      <c r="S336" s="68"/>
    </row>
    <row r="337" spans="1:19" ht="15.75" customHeight="1">
      <c r="A337" s="68"/>
      <c r="B337" s="68"/>
      <c r="D337" s="68"/>
      <c r="E337" s="69"/>
      <c r="K337" s="68"/>
      <c r="M337" s="68"/>
      <c r="O337" s="68"/>
      <c r="P337" s="68"/>
      <c r="Q337" s="68"/>
      <c r="R337" s="68"/>
      <c r="S337" s="68"/>
    </row>
    <row r="338" spans="1:19" ht="15.75" customHeight="1">
      <c r="A338" s="68"/>
      <c r="B338" s="68"/>
      <c r="D338" s="68"/>
      <c r="E338" s="69"/>
      <c r="K338" s="68"/>
      <c r="M338" s="68"/>
      <c r="O338" s="68"/>
      <c r="P338" s="68"/>
      <c r="Q338" s="68"/>
      <c r="R338" s="68"/>
      <c r="S338" s="68"/>
    </row>
    <row r="339" spans="1:19" ht="15.75" customHeight="1">
      <c r="A339" s="68"/>
      <c r="B339" s="68"/>
      <c r="D339" s="68"/>
      <c r="E339" s="69"/>
      <c r="K339" s="68"/>
      <c r="M339" s="68"/>
      <c r="O339" s="68"/>
      <c r="P339" s="68"/>
      <c r="Q339" s="68"/>
      <c r="R339" s="68"/>
      <c r="S339" s="68"/>
    </row>
    <row r="340" spans="1:19" ht="15.75" customHeight="1">
      <c r="A340" s="68"/>
      <c r="B340" s="68"/>
      <c r="D340" s="68"/>
      <c r="E340" s="69"/>
      <c r="K340" s="68"/>
      <c r="M340" s="68"/>
      <c r="O340" s="68"/>
      <c r="P340" s="68"/>
      <c r="Q340" s="68"/>
      <c r="R340" s="68"/>
      <c r="S340" s="68"/>
    </row>
    <row r="341" spans="1:19" ht="15.75" customHeight="1">
      <c r="A341" s="68"/>
      <c r="B341" s="68"/>
      <c r="D341" s="68"/>
      <c r="E341" s="69"/>
      <c r="K341" s="68"/>
      <c r="M341" s="68"/>
      <c r="O341" s="68"/>
      <c r="P341" s="68"/>
      <c r="Q341" s="68"/>
      <c r="R341" s="68"/>
      <c r="S341" s="68"/>
    </row>
    <row r="342" spans="1:19" ht="15.75" customHeight="1">
      <c r="A342" s="68"/>
      <c r="B342" s="68"/>
      <c r="D342" s="68"/>
      <c r="E342" s="69"/>
      <c r="K342" s="68"/>
      <c r="M342" s="68"/>
      <c r="O342" s="68"/>
      <c r="P342" s="68"/>
      <c r="Q342" s="68"/>
      <c r="R342" s="68"/>
      <c r="S342" s="68"/>
    </row>
    <row r="343" spans="1:19" ht="15.75" customHeight="1">
      <c r="A343" s="68"/>
      <c r="B343" s="68"/>
      <c r="D343" s="68"/>
      <c r="E343" s="69"/>
      <c r="K343" s="68"/>
      <c r="M343" s="68"/>
      <c r="O343" s="68"/>
      <c r="P343" s="68"/>
      <c r="Q343" s="68"/>
      <c r="R343" s="68"/>
      <c r="S343" s="68"/>
    </row>
    <row r="344" spans="1:19" ht="15.75" customHeight="1">
      <c r="A344" s="68"/>
      <c r="B344" s="68"/>
      <c r="D344" s="68"/>
      <c r="E344" s="69"/>
      <c r="K344" s="68"/>
      <c r="M344" s="68"/>
      <c r="O344" s="68"/>
      <c r="P344" s="68"/>
      <c r="Q344" s="68"/>
      <c r="R344" s="68"/>
      <c r="S344" s="68"/>
    </row>
    <row r="345" spans="1:19" ht="15.75" customHeight="1">
      <c r="A345" s="68"/>
      <c r="B345" s="68"/>
      <c r="D345" s="68"/>
      <c r="E345" s="69"/>
      <c r="K345" s="68"/>
      <c r="M345" s="68"/>
      <c r="O345" s="68"/>
      <c r="P345" s="68"/>
      <c r="Q345" s="68"/>
      <c r="R345" s="68"/>
      <c r="S345" s="68"/>
    </row>
    <row r="346" spans="1:19" ht="15.75" customHeight="1">
      <c r="A346" s="68"/>
      <c r="B346" s="68"/>
      <c r="D346" s="68"/>
      <c r="E346" s="69"/>
      <c r="K346" s="68"/>
      <c r="M346" s="68"/>
      <c r="O346" s="68"/>
      <c r="P346" s="68"/>
      <c r="Q346" s="68"/>
      <c r="R346" s="68"/>
      <c r="S346" s="68"/>
    </row>
    <row r="347" spans="1:19" ht="15.75" customHeight="1">
      <c r="A347" s="68"/>
      <c r="B347" s="68"/>
      <c r="D347" s="68"/>
      <c r="E347" s="69"/>
      <c r="K347" s="68"/>
      <c r="M347" s="68"/>
      <c r="O347" s="68"/>
      <c r="P347" s="68"/>
      <c r="Q347" s="68"/>
      <c r="R347" s="68"/>
      <c r="S347" s="68"/>
    </row>
    <row r="348" spans="1:19" ht="15.75" customHeight="1">
      <c r="A348" s="68"/>
      <c r="B348" s="68"/>
      <c r="D348" s="68"/>
      <c r="E348" s="69"/>
      <c r="K348" s="68"/>
      <c r="M348" s="68"/>
      <c r="O348" s="68"/>
      <c r="P348" s="68"/>
      <c r="Q348" s="68"/>
      <c r="R348" s="68"/>
      <c r="S348" s="68"/>
    </row>
    <row r="349" spans="1:19" ht="15.75" customHeight="1">
      <c r="A349" s="68"/>
      <c r="B349" s="68"/>
      <c r="D349" s="68"/>
      <c r="E349" s="69"/>
      <c r="K349" s="68"/>
      <c r="M349" s="68"/>
      <c r="O349" s="68"/>
      <c r="P349" s="68"/>
      <c r="Q349" s="68"/>
      <c r="R349" s="68"/>
      <c r="S349" s="68"/>
    </row>
    <row r="350" spans="1:19" ht="15.75" customHeight="1">
      <c r="A350" s="68"/>
      <c r="B350" s="68"/>
      <c r="D350" s="68"/>
      <c r="E350" s="69"/>
      <c r="K350" s="68"/>
      <c r="M350" s="68"/>
      <c r="O350" s="68"/>
      <c r="P350" s="68"/>
      <c r="Q350" s="68"/>
      <c r="R350" s="68"/>
      <c r="S350" s="68"/>
    </row>
    <row r="351" spans="1:19" ht="15.75" customHeight="1">
      <c r="A351" s="68"/>
      <c r="B351" s="68"/>
      <c r="D351" s="68"/>
      <c r="E351" s="69"/>
      <c r="K351" s="68"/>
      <c r="M351" s="68"/>
      <c r="O351" s="68"/>
      <c r="P351" s="68"/>
      <c r="Q351" s="68"/>
      <c r="R351" s="68"/>
      <c r="S351" s="68"/>
    </row>
    <row r="352" spans="1:19" ht="15.75" customHeight="1">
      <c r="A352" s="68"/>
      <c r="B352" s="68"/>
      <c r="D352" s="68"/>
      <c r="E352" s="69"/>
      <c r="K352" s="68"/>
      <c r="M352" s="68"/>
      <c r="O352" s="68"/>
      <c r="P352" s="68"/>
      <c r="Q352" s="68"/>
      <c r="R352" s="68"/>
      <c r="S352" s="68"/>
    </row>
    <row r="353" spans="1:19" ht="15.75" customHeight="1">
      <c r="A353" s="68"/>
      <c r="B353" s="68"/>
      <c r="D353" s="68"/>
      <c r="E353" s="69"/>
      <c r="K353" s="68"/>
      <c r="M353" s="68"/>
      <c r="O353" s="68"/>
      <c r="P353" s="68"/>
      <c r="Q353" s="68"/>
      <c r="R353" s="68"/>
      <c r="S353" s="68"/>
    </row>
    <row r="354" spans="1:19" ht="15.75" customHeight="1">
      <c r="A354" s="68"/>
      <c r="B354" s="68"/>
      <c r="D354" s="68"/>
      <c r="E354" s="69"/>
      <c r="K354" s="68"/>
      <c r="M354" s="68"/>
      <c r="O354" s="68"/>
      <c r="P354" s="68"/>
      <c r="Q354" s="68"/>
      <c r="R354" s="68"/>
      <c r="S354" s="68"/>
    </row>
    <row r="355" spans="1:19" ht="15.75" customHeight="1">
      <c r="A355" s="68"/>
      <c r="B355" s="68"/>
      <c r="D355" s="68"/>
      <c r="E355" s="69"/>
      <c r="K355" s="68"/>
      <c r="M355" s="68"/>
      <c r="O355" s="68"/>
      <c r="P355" s="68"/>
      <c r="Q355" s="68"/>
      <c r="R355" s="68"/>
      <c r="S355" s="68"/>
    </row>
    <row r="356" spans="1:19" ht="15.75" customHeight="1">
      <c r="A356" s="68"/>
      <c r="B356" s="68"/>
      <c r="D356" s="68"/>
      <c r="E356" s="69"/>
      <c r="K356" s="68"/>
      <c r="M356" s="68"/>
      <c r="O356" s="68"/>
      <c r="P356" s="68"/>
      <c r="Q356" s="68"/>
      <c r="R356" s="68"/>
      <c r="S356" s="68"/>
    </row>
    <row r="357" spans="1:19" ht="15.75" customHeight="1">
      <c r="A357" s="68"/>
      <c r="B357" s="68"/>
      <c r="D357" s="68"/>
      <c r="E357" s="69"/>
      <c r="K357" s="68"/>
      <c r="M357" s="68"/>
      <c r="O357" s="68"/>
      <c r="P357" s="68"/>
      <c r="Q357" s="68"/>
      <c r="R357" s="68"/>
      <c r="S357" s="68"/>
    </row>
    <row r="358" spans="1:19" ht="15.75" customHeight="1">
      <c r="A358" s="68"/>
      <c r="B358" s="68"/>
      <c r="D358" s="68"/>
      <c r="E358" s="69"/>
      <c r="K358" s="68"/>
      <c r="M358" s="68"/>
      <c r="O358" s="68"/>
      <c r="P358" s="68"/>
      <c r="Q358" s="68"/>
      <c r="R358" s="68"/>
      <c r="S358" s="68"/>
    </row>
    <row r="359" spans="1:19" ht="15.75" customHeight="1">
      <c r="A359" s="68"/>
      <c r="B359" s="68"/>
      <c r="D359" s="68"/>
      <c r="E359" s="69"/>
      <c r="K359" s="68"/>
      <c r="M359" s="68"/>
      <c r="O359" s="68"/>
      <c r="P359" s="68"/>
      <c r="Q359" s="68"/>
      <c r="R359" s="68"/>
      <c r="S359" s="68"/>
    </row>
    <row r="360" spans="1:19" ht="15.75" customHeight="1">
      <c r="A360" s="68"/>
      <c r="B360" s="68"/>
      <c r="D360" s="68"/>
      <c r="E360" s="69"/>
      <c r="K360" s="68"/>
      <c r="M360" s="68"/>
      <c r="O360" s="68"/>
      <c r="P360" s="68"/>
      <c r="Q360" s="68"/>
      <c r="R360" s="68"/>
      <c r="S360" s="68"/>
    </row>
    <row r="361" spans="1:19" ht="15.75" customHeight="1">
      <c r="A361" s="68"/>
      <c r="B361" s="68"/>
      <c r="D361" s="68"/>
      <c r="E361" s="69"/>
      <c r="K361" s="68"/>
      <c r="M361" s="68"/>
      <c r="O361" s="68"/>
      <c r="P361" s="68"/>
      <c r="Q361" s="68"/>
      <c r="R361" s="68"/>
      <c r="S361" s="68"/>
    </row>
    <row r="362" spans="1:19" ht="15.75" customHeight="1">
      <c r="A362" s="68"/>
      <c r="B362" s="68"/>
      <c r="D362" s="68"/>
      <c r="E362" s="69"/>
      <c r="K362" s="68"/>
      <c r="M362" s="68"/>
      <c r="O362" s="68"/>
      <c r="P362" s="68"/>
      <c r="Q362" s="68"/>
      <c r="R362" s="68"/>
      <c r="S362" s="68"/>
    </row>
    <row r="363" spans="1:19" ht="15.75" customHeight="1">
      <c r="A363" s="68"/>
      <c r="B363" s="68"/>
      <c r="D363" s="68"/>
      <c r="E363" s="69"/>
      <c r="K363" s="68"/>
      <c r="M363" s="68"/>
      <c r="O363" s="68"/>
      <c r="P363" s="68"/>
      <c r="Q363" s="68"/>
      <c r="R363" s="68"/>
      <c r="S363" s="68"/>
    </row>
    <row r="364" spans="1:19" ht="15.75" customHeight="1">
      <c r="A364" s="68"/>
      <c r="B364" s="68"/>
      <c r="D364" s="68"/>
      <c r="E364" s="69"/>
      <c r="K364" s="68"/>
      <c r="M364" s="68"/>
      <c r="O364" s="68"/>
      <c r="P364" s="68"/>
      <c r="Q364" s="68"/>
      <c r="R364" s="68"/>
      <c r="S364" s="68"/>
    </row>
    <row r="365" spans="1:19" ht="15.75" customHeight="1">
      <c r="A365" s="68"/>
      <c r="B365" s="68"/>
      <c r="D365" s="68"/>
      <c r="E365" s="69"/>
      <c r="K365" s="68"/>
      <c r="M365" s="68"/>
      <c r="O365" s="68"/>
      <c r="P365" s="68"/>
      <c r="Q365" s="68"/>
      <c r="R365" s="68"/>
      <c r="S365" s="68"/>
    </row>
    <row r="366" spans="1:19" ht="15.75" customHeight="1">
      <c r="A366" s="68"/>
      <c r="B366" s="68"/>
      <c r="D366" s="68"/>
      <c r="E366" s="69"/>
      <c r="K366" s="68"/>
      <c r="M366" s="68"/>
      <c r="O366" s="68"/>
      <c r="P366" s="68"/>
      <c r="Q366" s="68"/>
      <c r="R366" s="68"/>
      <c r="S366" s="68"/>
    </row>
    <row r="367" spans="1:19" ht="15.75" customHeight="1">
      <c r="A367" s="68"/>
      <c r="B367" s="68"/>
      <c r="D367" s="68"/>
      <c r="E367" s="69"/>
      <c r="K367" s="68"/>
      <c r="M367" s="68"/>
      <c r="O367" s="68"/>
      <c r="P367" s="68"/>
      <c r="Q367" s="68"/>
      <c r="R367" s="68"/>
      <c r="S367" s="68"/>
    </row>
    <row r="368" spans="1:19" ht="15.75" customHeight="1">
      <c r="A368" s="68"/>
      <c r="B368" s="68"/>
      <c r="D368" s="68"/>
      <c r="E368" s="69"/>
      <c r="K368" s="68"/>
      <c r="M368" s="68"/>
      <c r="O368" s="68"/>
      <c r="P368" s="68"/>
      <c r="Q368" s="68"/>
      <c r="R368" s="68"/>
      <c r="S368" s="68"/>
    </row>
    <row r="369" spans="1:19" ht="15.75" customHeight="1">
      <c r="A369" s="68"/>
      <c r="B369" s="68"/>
      <c r="D369" s="68"/>
      <c r="E369" s="69"/>
      <c r="K369" s="68"/>
      <c r="M369" s="68"/>
      <c r="O369" s="68"/>
      <c r="P369" s="68"/>
      <c r="Q369" s="68"/>
      <c r="R369" s="68"/>
      <c r="S369" s="68"/>
    </row>
    <row r="370" spans="1:19" ht="15.75" customHeight="1">
      <c r="A370" s="68"/>
      <c r="B370" s="68"/>
      <c r="D370" s="68"/>
      <c r="E370" s="69"/>
      <c r="K370" s="68"/>
      <c r="M370" s="68"/>
      <c r="O370" s="68"/>
      <c r="P370" s="68"/>
      <c r="Q370" s="68"/>
      <c r="R370" s="68"/>
      <c r="S370" s="68"/>
    </row>
    <row r="371" spans="1:19" ht="15.75" customHeight="1">
      <c r="A371" s="68"/>
      <c r="B371" s="68"/>
      <c r="D371" s="68"/>
      <c r="E371" s="69"/>
      <c r="K371" s="68"/>
      <c r="M371" s="68"/>
      <c r="O371" s="68"/>
      <c r="P371" s="68"/>
      <c r="Q371" s="68"/>
      <c r="R371" s="68"/>
      <c r="S371" s="68"/>
    </row>
    <row r="372" spans="1:19" ht="15.75" customHeight="1">
      <c r="A372" s="68"/>
      <c r="B372" s="68"/>
      <c r="D372" s="68"/>
      <c r="E372" s="69"/>
      <c r="K372" s="68"/>
      <c r="M372" s="68"/>
      <c r="O372" s="68"/>
      <c r="P372" s="68"/>
      <c r="Q372" s="68"/>
      <c r="R372" s="68"/>
      <c r="S372" s="68"/>
    </row>
    <row r="373" spans="1:19" ht="15.75" customHeight="1">
      <c r="A373" s="68"/>
      <c r="B373" s="68"/>
      <c r="D373" s="68"/>
      <c r="E373" s="69"/>
      <c r="K373" s="68"/>
      <c r="M373" s="68"/>
      <c r="O373" s="68"/>
      <c r="P373" s="68"/>
      <c r="Q373" s="68"/>
      <c r="R373" s="68"/>
      <c r="S373" s="68"/>
    </row>
    <row r="374" spans="1:19" ht="15.75" customHeight="1">
      <c r="A374" s="68"/>
      <c r="B374" s="68"/>
      <c r="D374" s="68"/>
      <c r="E374" s="69"/>
      <c r="K374" s="68"/>
      <c r="M374" s="68"/>
      <c r="O374" s="68"/>
      <c r="P374" s="68"/>
      <c r="Q374" s="68"/>
      <c r="R374" s="68"/>
      <c r="S374" s="68"/>
    </row>
    <row r="375" spans="1:19" ht="15.75" customHeight="1">
      <c r="A375" s="68"/>
      <c r="B375" s="68"/>
      <c r="D375" s="68"/>
      <c r="E375" s="69"/>
      <c r="K375" s="68"/>
      <c r="M375" s="68"/>
      <c r="O375" s="68"/>
      <c r="P375" s="68"/>
      <c r="Q375" s="68"/>
      <c r="R375" s="68"/>
      <c r="S375" s="68"/>
    </row>
    <row r="376" spans="1:19" ht="15.75" customHeight="1">
      <c r="A376" s="68"/>
      <c r="B376" s="68"/>
      <c r="D376" s="68"/>
      <c r="E376" s="69"/>
      <c r="K376" s="68"/>
      <c r="M376" s="68"/>
      <c r="O376" s="68"/>
      <c r="P376" s="68"/>
      <c r="Q376" s="68"/>
      <c r="R376" s="68"/>
      <c r="S376" s="68"/>
    </row>
    <row r="377" spans="1:19" ht="15.75" customHeight="1">
      <c r="A377" s="68"/>
      <c r="B377" s="68"/>
      <c r="D377" s="68"/>
      <c r="E377" s="69"/>
      <c r="K377" s="68"/>
      <c r="M377" s="68"/>
      <c r="O377" s="68"/>
      <c r="P377" s="68"/>
      <c r="Q377" s="68"/>
      <c r="R377" s="68"/>
      <c r="S377" s="68"/>
    </row>
    <row r="378" spans="1:19" ht="15.75" customHeight="1">
      <c r="A378" s="68"/>
      <c r="B378" s="68"/>
      <c r="D378" s="68"/>
      <c r="E378" s="69"/>
      <c r="K378" s="68"/>
      <c r="M378" s="68"/>
      <c r="O378" s="68"/>
      <c r="P378" s="68"/>
      <c r="Q378" s="68"/>
      <c r="R378" s="68"/>
      <c r="S378" s="68"/>
    </row>
    <row r="379" spans="1:19" ht="15.75" customHeight="1">
      <c r="A379" s="68"/>
      <c r="B379" s="68"/>
      <c r="D379" s="68"/>
      <c r="E379" s="69"/>
      <c r="K379" s="68"/>
      <c r="M379" s="68"/>
      <c r="O379" s="68"/>
      <c r="P379" s="68"/>
      <c r="Q379" s="68"/>
      <c r="R379" s="68"/>
      <c r="S379" s="68"/>
    </row>
    <row r="380" spans="1:19" ht="15.75" customHeight="1">
      <c r="A380" s="68"/>
      <c r="B380" s="68"/>
      <c r="D380" s="68"/>
      <c r="E380" s="69"/>
      <c r="K380" s="68"/>
      <c r="M380" s="68"/>
      <c r="O380" s="68"/>
      <c r="P380" s="68"/>
      <c r="Q380" s="68"/>
      <c r="R380" s="68"/>
      <c r="S380" s="68"/>
    </row>
    <row r="381" spans="1:19" ht="15.75" customHeight="1">
      <c r="A381" s="68"/>
      <c r="B381" s="68"/>
      <c r="D381" s="68"/>
      <c r="E381" s="69"/>
      <c r="K381" s="68"/>
      <c r="M381" s="68"/>
      <c r="O381" s="68"/>
      <c r="P381" s="68"/>
      <c r="Q381" s="68"/>
      <c r="R381" s="68"/>
      <c r="S381" s="68"/>
    </row>
    <row r="382" spans="1:19" ht="15.75" customHeight="1">
      <c r="A382" s="68"/>
      <c r="B382" s="68"/>
      <c r="D382" s="68"/>
      <c r="E382" s="69"/>
      <c r="K382" s="68"/>
      <c r="M382" s="68"/>
      <c r="O382" s="68"/>
      <c r="P382" s="68"/>
      <c r="Q382" s="68"/>
      <c r="R382" s="68"/>
      <c r="S382" s="68"/>
    </row>
    <row r="383" spans="1:19" ht="15.75" customHeight="1">
      <c r="A383" s="68"/>
      <c r="B383" s="68"/>
      <c r="D383" s="68"/>
      <c r="E383" s="69"/>
      <c r="K383" s="68"/>
      <c r="M383" s="68"/>
      <c r="O383" s="68"/>
      <c r="P383" s="68"/>
      <c r="Q383" s="68"/>
      <c r="R383" s="68"/>
      <c r="S383" s="68"/>
    </row>
    <row r="384" spans="1:19" ht="15.75" customHeight="1">
      <c r="A384" s="68"/>
      <c r="B384" s="68"/>
      <c r="D384" s="68"/>
      <c r="E384" s="69"/>
      <c r="K384" s="68"/>
      <c r="M384" s="68"/>
      <c r="O384" s="68"/>
      <c r="P384" s="68"/>
      <c r="Q384" s="68"/>
      <c r="R384" s="68"/>
      <c r="S384" s="68"/>
    </row>
    <row r="385" spans="1:19" ht="15.75" customHeight="1">
      <c r="A385" s="68"/>
      <c r="B385" s="68"/>
      <c r="D385" s="68"/>
      <c r="E385" s="69"/>
      <c r="K385" s="68"/>
      <c r="M385" s="68"/>
      <c r="O385" s="68"/>
      <c r="P385" s="68"/>
      <c r="Q385" s="68"/>
      <c r="R385" s="68"/>
      <c r="S385" s="68"/>
    </row>
    <row r="386" spans="1:19" ht="15.75" customHeight="1">
      <c r="A386" s="68"/>
      <c r="B386" s="68"/>
      <c r="D386" s="68"/>
      <c r="E386" s="69"/>
      <c r="K386" s="68"/>
      <c r="M386" s="68"/>
      <c r="O386" s="68"/>
      <c r="P386" s="68"/>
      <c r="Q386" s="68"/>
      <c r="R386" s="68"/>
      <c r="S386" s="68"/>
    </row>
    <row r="387" spans="1:19" ht="15.75" customHeight="1">
      <c r="A387" s="68"/>
      <c r="B387" s="68"/>
      <c r="D387" s="68"/>
      <c r="E387" s="69"/>
      <c r="K387" s="68"/>
      <c r="M387" s="68"/>
      <c r="O387" s="68"/>
      <c r="P387" s="68"/>
      <c r="Q387" s="68"/>
      <c r="R387" s="68"/>
      <c r="S387" s="68"/>
    </row>
    <row r="388" spans="1:19" ht="15.75" customHeight="1">
      <c r="A388" s="68"/>
      <c r="B388" s="68"/>
      <c r="D388" s="68"/>
      <c r="E388" s="69"/>
      <c r="K388" s="68"/>
      <c r="M388" s="68"/>
      <c r="O388" s="68"/>
      <c r="P388" s="68"/>
      <c r="Q388" s="68"/>
      <c r="R388" s="68"/>
      <c r="S388" s="68"/>
    </row>
    <row r="389" spans="1:19" ht="15.75" customHeight="1">
      <c r="A389" s="68"/>
      <c r="B389" s="68"/>
      <c r="D389" s="68"/>
      <c r="E389" s="69"/>
      <c r="K389" s="68"/>
      <c r="M389" s="68"/>
      <c r="O389" s="68"/>
      <c r="P389" s="68"/>
      <c r="Q389" s="68"/>
      <c r="R389" s="68"/>
      <c r="S389" s="68"/>
    </row>
    <row r="390" spans="1:19" ht="15.75" customHeight="1">
      <c r="A390" s="68"/>
      <c r="B390" s="68"/>
      <c r="D390" s="68"/>
      <c r="E390" s="69"/>
      <c r="K390" s="68"/>
      <c r="M390" s="68"/>
      <c r="O390" s="68"/>
      <c r="P390" s="68"/>
      <c r="Q390" s="68"/>
      <c r="R390" s="68"/>
      <c r="S390" s="68"/>
    </row>
    <row r="391" spans="1:19" ht="15.75" customHeight="1">
      <c r="A391" s="68"/>
      <c r="B391" s="68"/>
      <c r="D391" s="68"/>
      <c r="E391" s="69"/>
      <c r="K391" s="68"/>
      <c r="M391" s="68"/>
      <c r="O391" s="68"/>
      <c r="P391" s="68"/>
      <c r="Q391" s="68"/>
      <c r="R391" s="68"/>
      <c r="S391" s="68"/>
    </row>
    <row r="392" spans="1:19" ht="15.75" customHeight="1">
      <c r="A392" s="68"/>
      <c r="B392" s="68"/>
      <c r="D392" s="68"/>
      <c r="E392" s="69"/>
      <c r="K392" s="68"/>
      <c r="M392" s="68"/>
      <c r="O392" s="68"/>
      <c r="P392" s="68"/>
      <c r="Q392" s="68"/>
      <c r="R392" s="68"/>
      <c r="S392" s="68"/>
    </row>
    <row r="393" spans="1:19" ht="15.75" customHeight="1">
      <c r="A393" s="68"/>
      <c r="B393" s="68"/>
      <c r="D393" s="68"/>
      <c r="E393" s="69"/>
      <c r="K393" s="68"/>
      <c r="M393" s="68"/>
      <c r="O393" s="68"/>
      <c r="P393" s="68"/>
      <c r="Q393" s="68"/>
      <c r="R393" s="68"/>
      <c r="S393" s="68"/>
    </row>
    <row r="394" spans="1:19" ht="15.75" customHeight="1">
      <c r="A394" s="68"/>
      <c r="B394" s="68"/>
      <c r="D394" s="68"/>
      <c r="E394" s="69"/>
      <c r="K394" s="68"/>
      <c r="M394" s="68"/>
      <c r="O394" s="68"/>
      <c r="P394" s="68"/>
      <c r="Q394" s="68"/>
      <c r="R394" s="68"/>
      <c r="S394" s="68"/>
    </row>
    <row r="395" spans="1:19" ht="15.75" customHeight="1">
      <c r="A395" s="68"/>
      <c r="B395" s="68"/>
      <c r="D395" s="68"/>
      <c r="E395" s="69"/>
      <c r="K395" s="68"/>
      <c r="M395" s="68"/>
      <c r="O395" s="68"/>
      <c r="P395" s="68"/>
      <c r="Q395" s="68"/>
      <c r="R395" s="68"/>
      <c r="S395" s="68"/>
    </row>
    <row r="396" spans="1:19" ht="15.75" customHeight="1">
      <c r="A396" s="68"/>
      <c r="B396" s="68"/>
      <c r="D396" s="68"/>
      <c r="E396" s="69"/>
      <c r="K396" s="68"/>
      <c r="M396" s="68"/>
      <c r="O396" s="68"/>
      <c r="P396" s="68"/>
      <c r="Q396" s="68"/>
      <c r="R396" s="68"/>
      <c r="S396" s="68"/>
    </row>
    <row r="397" spans="1:19" ht="15.75" customHeight="1">
      <c r="A397" s="68"/>
      <c r="B397" s="68"/>
      <c r="D397" s="68"/>
      <c r="E397" s="69"/>
      <c r="K397" s="68"/>
      <c r="M397" s="68"/>
      <c r="O397" s="68"/>
      <c r="P397" s="68"/>
      <c r="Q397" s="68"/>
      <c r="R397" s="68"/>
      <c r="S397" s="68"/>
    </row>
    <row r="398" spans="1:19" ht="15.75" customHeight="1">
      <c r="A398" s="68"/>
      <c r="B398" s="68"/>
      <c r="D398" s="68"/>
      <c r="E398" s="69"/>
      <c r="K398" s="68"/>
      <c r="M398" s="68"/>
      <c r="O398" s="68"/>
      <c r="P398" s="68"/>
      <c r="Q398" s="68"/>
      <c r="R398" s="68"/>
      <c r="S398" s="68"/>
    </row>
    <row r="399" spans="1:19" ht="15.75" customHeight="1">
      <c r="A399" s="68"/>
      <c r="B399" s="68"/>
      <c r="D399" s="68"/>
      <c r="E399" s="69"/>
      <c r="K399" s="68"/>
      <c r="M399" s="68"/>
      <c r="O399" s="68"/>
      <c r="P399" s="68"/>
      <c r="Q399" s="68"/>
      <c r="R399" s="68"/>
      <c r="S399" s="68"/>
    </row>
    <row r="400" spans="1:19" ht="15.75" customHeight="1">
      <c r="A400" s="68"/>
      <c r="B400" s="68"/>
      <c r="D400" s="68"/>
      <c r="E400" s="69"/>
      <c r="K400" s="68"/>
      <c r="M400" s="68"/>
      <c r="O400" s="68"/>
      <c r="P400" s="68"/>
      <c r="Q400" s="68"/>
      <c r="R400" s="68"/>
      <c r="S400" s="68"/>
    </row>
    <row r="401" spans="1:19" ht="15.75" customHeight="1">
      <c r="A401" s="68"/>
      <c r="B401" s="68"/>
      <c r="D401" s="68"/>
      <c r="E401" s="69"/>
      <c r="K401" s="68"/>
      <c r="M401" s="68"/>
      <c r="O401" s="68"/>
      <c r="P401" s="68"/>
      <c r="Q401" s="68"/>
      <c r="R401" s="68"/>
      <c r="S401" s="68"/>
    </row>
    <row r="402" spans="1:19" ht="15.75" customHeight="1">
      <c r="A402" s="68"/>
      <c r="B402" s="68"/>
      <c r="D402" s="68"/>
      <c r="E402" s="69"/>
      <c r="K402" s="68"/>
      <c r="M402" s="68"/>
      <c r="O402" s="68"/>
      <c r="P402" s="68"/>
      <c r="Q402" s="68"/>
      <c r="R402" s="68"/>
      <c r="S402" s="68"/>
    </row>
    <row r="403" spans="1:19" ht="15.75" customHeight="1">
      <c r="A403" s="68"/>
      <c r="B403" s="68"/>
      <c r="D403" s="68"/>
      <c r="E403" s="69"/>
      <c r="K403" s="68"/>
      <c r="M403" s="68"/>
      <c r="O403" s="68"/>
      <c r="P403" s="68"/>
      <c r="Q403" s="68"/>
      <c r="R403" s="68"/>
      <c r="S403" s="68"/>
    </row>
    <row r="404" spans="1:19" ht="15.75" customHeight="1">
      <c r="A404" s="68"/>
      <c r="B404" s="68"/>
      <c r="D404" s="68"/>
      <c r="E404" s="69"/>
      <c r="K404" s="68"/>
      <c r="M404" s="68"/>
      <c r="O404" s="68"/>
      <c r="P404" s="68"/>
      <c r="Q404" s="68"/>
      <c r="R404" s="68"/>
      <c r="S404" s="68"/>
    </row>
    <row r="405" spans="1:19" ht="15.75" customHeight="1">
      <c r="A405" s="68"/>
      <c r="B405" s="68"/>
      <c r="D405" s="68"/>
      <c r="E405" s="69"/>
      <c r="K405" s="68"/>
      <c r="M405" s="68"/>
      <c r="O405" s="68"/>
      <c r="P405" s="68"/>
      <c r="Q405" s="68"/>
      <c r="R405" s="68"/>
      <c r="S405" s="68"/>
    </row>
    <row r="406" spans="1:19" ht="15.75" customHeight="1">
      <c r="A406" s="68"/>
      <c r="B406" s="68"/>
      <c r="D406" s="68"/>
      <c r="E406" s="69"/>
      <c r="K406" s="68"/>
      <c r="M406" s="68"/>
      <c r="O406" s="68"/>
      <c r="P406" s="68"/>
      <c r="Q406" s="68"/>
      <c r="R406" s="68"/>
      <c r="S406" s="68"/>
    </row>
    <row r="407" spans="1:19" ht="15.75" customHeight="1">
      <c r="A407" s="68"/>
      <c r="B407" s="68"/>
      <c r="D407" s="68"/>
      <c r="E407" s="69"/>
      <c r="K407" s="68"/>
      <c r="M407" s="68"/>
      <c r="O407" s="68"/>
      <c r="P407" s="68"/>
      <c r="Q407" s="68"/>
      <c r="R407" s="68"/>
      <c r="S407" s="68"/>
    </row>
    <row r="408" spans="1:19" ht="15.75" customHeight="1">
      <c r="A408" s="68"/>
      <c r="B408" s="68"/>
      <c r="D408" s="68"/>
      <c r="E408" s="69"/>
      <c r="K408" s="68"/>
      <c r="M408" s="68"/>
      <c r="O408" s="68"/>
      <c r="P408" s="68"/>
      <c r="Q408" s="68"/>
      <c r="R408" s="68"/>
      <c r="S408" s="68"/>
    </row>
    <row r="409" spans="1:19" ht="15.75" customHeight="1">
      <c r="A409" s="68"/>
      <c r="B409" s="68"/>
      <c r="D409" s="68"/>
      <c r="E409" s="69"/>
      <c r="K409" s="68"/>
      <c r="M409" s="68"/>
      <c r="O409" s="68"/>
      <c r="P409" s="68"/>
      <c r="Q409" s="68"/>
      <c r="R409" s="68"/>
      <c r="S409" s="68"/>
    </row>
    <row r="410" spans="1:19" ht="15.75" customHeight="1">
      <c r="A410" s="68"/>
      <c r="B410" s="68"/>
      <c r="D410" s="68"/>
      <c r="E410" s="69"/>
      <c r="K410" s="68"/>
      <c r="M410" s="68"/>
      <c r="O410" s="68"/>
      <c r="P410" s="68"/>
      <c r="Q410" s="68"/>
      <c r="R410" s="68"/>
      <c r="S410" s="68"/>
    </row>
    <row r="411" spans="1:19" ht="15.75" customHeight="1">
      <c r="A411" s="68"/>
      <c r="B411" s="68"/>
      <c r="D411" s="68"/>
      <c r="E411" s="69"/>
      <c r="K411" s="68"/>
      <c r="M411" s="68"/>
      <c r="O411" s="68"/>
      <c r="P411" s="68"/>
      <c r="Q411" s="68"/>
      <c r="R411" s="68"/>
      <c r="S411" s="68"/>
    </row>
    <row r="412" spans="1:19" ht="15.75" customHeight="1">
      <c r="A412" s="68"/>
      <c r="B412" s="68"/>
      <c r="D412" s="68"/>
      <c r="E412" s="69"/>
      <c r="K412" s="68"/>
      <c r="M412" s="68"/>
      <c r="O412" s="68"/>
      <c r="P412" s="68"/>
      <c r="Q412" s="68"/>
      <c r="R412" s="68"/>
      <c r="S412" s="68"/>
    </row>
    <row r="413" spans="1:19" ht="15.75" customHeight="1">
      <c r="A413" s="68"/>
      <c r="B413" s="68"/>
      <c r="D413" s="68"/>
      <c r="E413" s="69"/>
      <c r="K413" s="68"/>
      <c r="M413" s="68"/>
      <c r="O413" s="68"/>
      <c r="P413" s="68"/>
      <c r="Q413" s="68"/>
      <c r="R413" s="68"/>
      <c r="S413" s="68"/>
    </row>
    <row r="414" spans="1:19" ht="15.75" customHeight="1">
      <c r="A414" s="68"/>
      <c r="B414" s="68"/>
      <c r="D414" s="68"/>
      <c r="E414" s="69"/>
      <c r="K414" s="68"/>
      <c r="M414" s="68"/>
      <c r="O414" s="68"/>
      <c r="P414" s="68"/>
      <c r="Q414" s="68"/>
      <c r="R414" s="68"/>
      <c r="S414" s="68"/>
    </row>
    <row r="415" spans="1:19" ht="15.75" customHeight="1">
      <c r="A415" s="68"/>
      <c r="B415" s="68"/>
      <c r="D415" s="68"/>
      <c r="E415" s="69"/>
      <c r="K415" s="68"/>
      <c r="M415" s="68"/>
      <c r="O415" s="68"/>
      <c r="P415" s="68"/>
      <c r="Q415" s="68"/>
      <c r="R415" s="68"/>
      <c r="S415" s="68"/>
    </row>
    <row r="416" spans="1:19" ht="15.75" customHeight="1">
      <c r="A416" s="68"/>
      <c r="B416" s="68"/>
      <c r="D416" s="68"/>
      <c r="E416" s="69"/>
      <c r="K416" s="68"/>
      <c r="M416" s="68"/>
      <c r="O416" s="68"/>
      <c r="P416" s="68"/>
      <c r="Q416" s="68"/>
      <c r="R416" s="68"/>
      <c r="S416" s="68"/>
    </row>
    <row r="417" spans="1:19" ht="15.75" customHeight="1">
      <c r="A417" s="68"/>
      <c r="B417" s="68"/>
      <c r="D417" s="68"/>
      <c r="E417" s="69"/>
      <c r="K417" s="68"/>
      <c r="M417" s="68"/>
      <c r="O417" s="68"/>
      <c r="P417" s="68"/>
      <c r="Q417" s="68"/>
      <c r="R417" s="68"/>
      <c r="S417" s="68"/>
    </row>
    <row r="418" spans="1:19" ht="15.75" customHeight="1">
      <c r="A418" s="68"/>
      <c r="B418" s="68"/>
      <c r="D418" s="68"/>
      <c r="E418" s="69"/>
      <c r="K418" s="68"/>
      <c r="M418" s="68"/>
      <c r="O418" s="68"/>
      <c r="P418" s="68"/>
      <c r="Q418" s="68"/>
      <c r="R418" s="68"/>
      <c r="S418" s="68"/>
    </row>
    <row r="419" spans="1:19" ht="15.75" customHeight="1">
      <c r="A419" s="68"/>
      <c r="B419" s="68"/>
      <c r="D419" s="68"/>
      <c r="E419" s="69"/>
      <c r="K419" s="68"/>
      <c r="M419" s="68"/>
      <c r="O419" s="68"/>
      <c r="P419" s="68"/>
      <c r="Q419" s="68"/>
      <c r="R419" s="68"/>
      <c r="S419" s="68"/>
    </row>
    <row r="420" spans="1:19" ht="15.75" customHeight="1">
      <c r="A420" s="68"/>
      <c r="B420" s="68"/>
      <c r="D420" s="68"/>
      <c r="E420" s="69"/>
      <c r="K420" s="68"/>
      <c r="M420" s="68"/>
      <c r="O420" s="68"/>
      <c r="P420" s="68"/>
      <c r="Q420" s="68"/>
      <c r="R420" s="68"/>
      <c r="S420" s="68"/>
    </row>
    <row r="421" spans="1:19" ht="15.75" customHeight="1">
      <c r="A421" s="68"/>
      <c r="B421" s="68"/>
      <c r="D421" s="68"/>
      <c r="E421" s="69"/>
      <c r="K421" s="68"/>
      <c r="M421" s="68"/>
      <c r="O421" s="68"/>
      <c r="P421" s="68"/>
      <c r="Q421" s="68"/>
      <c r="R421" s="68"/>
      <c r="S421" s="68"/>
    </row>
    <row r="422" spans="1:19" ht="15.75" customHeight="1">
      <c r="A422" s="68"/>
      <c r="B422" s="68"/>
      <c r="D422" s="68"/>
      <c r="E422" s="69"/>
      <c r="K422" s="68"/>
      <c r="M422" s="68"/>
      <c r="O422" s="68"/>
      <c r="P422" s="68"/>
      <c r="Q422" s="68"/>
      <c r="R422" s="68"/>
      <c r="S422" s="68"/>
    </row>
    <row r="423" spans="1:19" ht="15.75" customHeight="1">
      <c r="A423" s="68"/>
      <c r="B423" s="68"/>
      <c r="D423" s="68"/>
      <c r="E423" s="69"/>
      <c r="K423" s="68"/>
      <c r="M423" s="68"/>
      <c r="O423" s="68"/>
      <c r="P423" s="68"/>
      <c r="Q423" s="68"/>
      <c r="R423" s="68"/>
      <c r="S423" s="68"/>
    </row>
    <row r="424" spans="1:19" ht="15.75" customHeight="1">
      <c r="A424" s="68"/>
      <c r="B424" s="68"/>
      <c r="D424" s="68"/>
      <c r="E424" s="69"/>
      <c r="K424" s="68"/>
      <c r="M424" s="68"/>
      <c r="O424" s="68"/>
      <c r="P424" s="68"/>
      <c r="Q424" s="68"/>
      <c r="R424" s="68"/>
      <c r="S424" s="68"/>
    </row>
    <row r="425" spans="1:19" ht="15.75" customHeight="1">
      <c r="A425" s="68"/>
      <c r="B425" s="68"/>
      <c r="D425" s="68"/>
      <c r="E425" s="69"/>
      <c r="K425" s="68"/>
      <c r="M425" s="68"/>
      <c r="O425" s="68"/>
      <c r="P425" s="68"/>
      <c r="Q425" s="68"/>
      <c r="R425" s="68"/>
      <c r="S425" s="68"/>
    </row>
    <row r="426" spans="1:19" ht="15.75" customHeight="1">
      <c r="A426" s="68"/>
      <c r="B426" s="68"/>
      <c r="D426" s="68"/>
      <c r="E426" s="69"/>
      <c r="K426" s="68"/>
      <c r="M426" s="68"/>
      <c r="O426" s="68"/>
      <c r="P426" s="68"/>
      <c r="Q426" s="68"/>
      <c r="R426" s="68"/>
      <c r="S426" s="68"/>
    </row>
    <row r="427" spans="1:19" ht="15.75" customHeight="1">
      <c r="A427" s="68"/>
      <c r="B427" s="68"/>
      <c r="D427" s="68"/>
      <c r="E427" s="69"/>
      <c r="K427" s="68"/>
      <c r="M427" s="68"/>
      <c r="O427" s="68"/>
      <c r="P427" s="68"/>
      <c r="Q427" s="68"/>
      <c r="R427" s="68"/>
      <c r="S427" s="68"/>
    </row>
    <row r="428" spans="1:19" ht="15.75" customHeight="1">
      <c r="A428" s="68"/>
      <c r="B428" s="68"/>
      <c r="D428" s="68"/>
      <c r="E428" s="69"/>
      <c r="K428" s="68"/>
      <c r="M428" s="68"/>
      <c r="O428" s="68"/>
      <c r="P428" s="68"/>
      <c r="Q428" s="68"/>
      <c r="R428" s="68"/>
      <c r="S428" s="68"/>
    </row>
    <row r="429" spans="1:19" ht="15.75" customHeight="1">
      <c r="A429" s="68"/>
      <c r="B429" s="68"/>
      <c r="D429" s="68"/>
      <c r="E429" s="69"/>
      <c r="K429" s="68"/>
      <c r="M429" s="68"/>
      <c r="O429" s="68"/>
      <c r="P429" s="68"/>
      <c r="Q429" s="68"/>
      <c r="R429" s="68"/>
      <c r="S429" s="68"/>
    </row>
    <row r="430" spans="1:19" ht="15.75" customHeight="1">
      <c r="A430" s="68"/>
      <c r="B430" s="68"/>
      <c r="D430" s="68"/>
      <c r="E430" s="69"/>
      <c r="K430" s="68"/>
      <c r="M430" s="68"/>
      <c r="O430" s="68"/>
      <c r="P430" s="68"/>
      <c r="Q430" s="68"/>
      <c r="R430" s="68"/>
      <c r="S430" s="68"/>
    </row>
    <row r="431" spans="1:19" ht="15.75" customHeight="1">
      <c r="A431" s="68"/>
      <c r="B431" s="68"/>
      <c r="D431" s="68"/>
      <c r="E431" s="69"/>
      <c r="K431" s="68"/>
      <c r="M431" s="68"/>
      <c r="O431" s="68"/>
      <c r="P431" s="68"/>
      <c r="Q431" s="68"/>
      <c r="R431" s="68"/>
      <c r="S431" s="68"/>
    </row>
    <row r="432" spans="1:19" ht="15.75" customHeight="1">
      <c r="A432" s="68"/>
      <c r="B432" s="68"/>
      <c r="D432" s="68"/>
      <c r="E432" s="69"/>
      <c r="K432" s="68"/>
      <c r="M432" s="68"/>
      <c r="O432" s="68"/>
      <c r="P432" s="68"/>
      <c r="Q432" s="68"/>
      <c r="R432" s="68"/>
      <c r="S432" s="68"/>
    </row>
    <row r="433" spans="1:19" ht="15.75" customHeight="1">
      <c r="A433" s="68"/>
      <c r="B433" s="68"/>
      <c r="D433" s="68"/>
      <c r="E433" s="69"/>
      <c r="K433" s="68"/>
      <c r="M433" s="68"/>
      <c r="O433" s="68"/>
      <c r="P433" s="68"/>
      <c r="Q433" s="68"/>
      <c r="R433" s="68"/>
      <c r="S433" s="68"/>
    </row>
    <row r="434" spans="1:19" ht="15.75" customHeight="1">
      <c r="A434" s="68"/>
      <c r="B434" s="68"/>
      <c r="D434" s="68"/>
      <c r="E434" s="69"/>
      <c r="K434" s="68"/>
      <c r="M434" s="68"/>
      <c r="O434" s="68"/>
      <c r="P434" s="68"/>
      <c r="Q434" s="68"/>
      <c r="R434" s="68"/>
      <c r="S434" s="68"/>
    </row>
    <row r="435" spans="1:19" ht="15.75" customHeight="1">
      <c r="A435" s="68"/>
      <c r="B435" s="68"/>
      <c r="D435" s="68"/>
      <c r="E435" s="69"/>
      <c r="K435" s="68"/>
      <c r="M435" s="68"/>
      <c r="O435" s="68"/>
      <c r="P435" s="68"/>
      <c r="Q435" s="68"/>
      <c r="R435" s="68"/>
      <c r="S435" s="68"/>
    </row>
    <row r="436" spans="1:19" ht="15.75" customHeight="1">
      <c r="A436" s="68"/>
      <c r="B436" s="68"/>
      <c r="D436" s="68"/>
      <c r="E436" s="69"/>
      <c r="K436" s="68"/>
      <c r="M436" s="68"/>
      <c r="O436" s="68"/>
      <c r="P436" s="68"/>
      <c r="Q436" s="68"/>
      <c r="R436" s="68"/>
      <c r="S436" s="68"/>
    </row>
    <row r="437" spans="1:19" ht="15.75" customHeight="1">
      <c r="A437" s="68"/>
      <c r="B437" s="68"/>
      <c r="D437" s="68"/>
      <c r="E437" s="69"/>
      <c r="K437" s="68"/>
      <c r="M437" s="68"/>
      <c r="O437" s="68"/>
      <c r="P437" s="68"/>
      <c r="Q437" s="68"/>
      <c r="R437" s="68"/>
      <c r="S437" s="68"/>
    </row>
    <row r="438" spans="1:19" ht="15.75" customHeight="1">
      <c r="A438" s="68"/>
      <c r="B438" s="68"/>
      <c r="D438" s="68"/>
      <c r="E438" s="69"/>
      <c r="K438" s="68"/>
      <c r="M438" s="68"/>
      <c r="O438" s="68"/>
      <c r="P438" s="68"/>
      <c r="Q438" s="68"/>
      <c r="R438" s="68"/>
      <c r="S438" s="68"/>
    </row>
    <row r="439" spans="1:19" ht="15.75" customHeight="1">
      <c r="A439" s="68"/>
      <c r="B439" s="68"/>
      <c r="D439" s="68"/>
      <c r="E439" s="69"/>
      <c r="K439" s="68"/>
      <c r="M439" s="68"/>
      <c r="O439" s="68"/>
      <c r="P439" s="68"/>
      <c r="Q439" s="68"/>
      <c r="R439" s="68"/>
      <c r="S439" s="68"/>
    </row>
    <row r="440" spans="1:19" ht="15.75" customHeight="1">
      <c r="A440" s="68"/>
      <c r="B440" s="68"/>
      <c r="D440" s="68"/>
      <c r="E440" s="69"/>
      <c r="K440" s="68"/>
      <c r="M440" s="68"/>
      <c r="O440" s="68"/>
      <c r="P440" s="68"/>
      <c r="Q440" s="68"/>
      <c r="R440" s="68"/>
      <c r="S440" s="68"/>
    </row>
    <row r="441" spans="1:19" ht="15.75" customHeight="1">
      <c r="A441" s="68"/>
      <c r="B441" s="68"/>
      <c r="D441" s="68"/>
      <c r="E441" s="69"/>
      <c r="K441" s="68"/>
      <c r="M441" s="68"/>
      <c r="O441" s="68"/>
      <c r="P441" s="68"/>
      <c r="Q441" s="68"/>
      <c r="R441" s="68"/>
      <c r="S441" s="68"/>
    </row>
    <row r="442" spans="1:19" ht="15.75" customHeight="1">
      <c r="A442" s="68"/>
      <c r="B442" s="68"/>
      <c r="D442" s="68"/>
      <c r="E442" s="69"/>
      <c r="K442" s="68"/>
      <c r="M442" s="68"/>
      <c r="O442" s="68"/>
      <c r="P442" s="68"/>
      <c r="Q442" s="68"/>
      <c r="R442" s="68"/>
      <c r="S442" s="68"/>
    </row>
    <row r="443" spans="1:19" ht="15.75" customHeight="1">
      <c r="A443" s="68"/>
      <c r="B443" s="68"/>
      <c r="D443" s="68"/>
      <c r="E443" s="69"/>
      <c r="K443" s="68"/>
      <c r="M443" s="68"/>
      <c r="O443" s="68"/>
      <c r="P443" s="68"/>
      <c r="Q443" s="68"/>
      <c r="R443" s="68"/>
      <c r="S443" s="68"/>
    </row>
    <row r="444" spans="1:19" ht="15.75" customHeight="1">
      <c r="A444" s="68"/>
      <c r="B444" s="68"/>
      <c r="D444" s="68"/>
      <c r="E444" s="69"/>
      <c r="K444" s="68"/>
      <c r="M444" s="68"/>
      <c r="O444" s="68"/>
      <c r="P444" s="68"/>
      <c r="Q444" s="68"/>
      <c r="R444" s="68"/>
      <c r="S444" s="68"/>
    </row>
    <row r="445" spans="1:19" ht="15.75" customHeight="1">
      <c r="A445" s="68"/>
      <c r="B445" s="68"/>
      <c r="D445" s="68"/>
      <c r="E445" s="69"/>
      <c r="K445" s="68"/>
      <c r="M445" s="68"/>
      <c r="O445" s="68"/>
      <c r="P445" s="68"/>
      <c r="Q445" s="68"/>
      <c r="R445" s="68"/>
      <c r="S445" s="68"/>
    </row>
    <row r="446" spans="1:19" ht="15.75" customHeight="1">
      <c r="A446" s="68"/>
      <c r="B446" s="68"/>
      <c r="D446" s="68"/>
      <c r="E446" s="69"/>
      <c r="K446" s="68"/>
      <c r="M446" s="68"/>
      <c r="O446" s="68"/>
      <c r="P446" s="68"/>
      <c r="Q446" s="68"/>
      <c r="R446" s="68"/>
      <c r="S446" s="68"/>
    </row>
    <row r="447" spans="1:19" ht="15.75" customHeight="1">
      <c r="A447" s="68"/>
      <c r="B447" s="68"/>
      <c r="D447" s="68"/>
      <c r="E447" s="69"/>
      <c r="K447" s="68"/>
      <c r="M447" s="68"/>
      <c r="O447" s="68"/>
      <c r="P447" s="68"/>
      <c r="Q447" s="68"/>
      <c r="R447" s="68"/>
      <c r="S447" s="68"/>
    </row>
    <row r="448" spans="1:19" ht="15.75" customHeight="1">
      <c r="A448" s="68"/>
      <c r="B448" s="68"/>
      <c r="D448" s="68"/>
      <c r="E448" s="69"/>
      <c r="K448" s="68"/>
      <c r="M448" s="68"/>
      <c r="O448" s="68"/>
      <c r="P448" s="68"/>
      <c r="Q448" s="68"/>
      <c r="R448" s="68"/>
      <c r="S448" s="68"/>
    </row>
    <row r="449" spans="1:19" ht="15.75" customHeight="1">
      <c r="A449" s="68"/>
      <c r="B449" s="68"/>
      <c r="D449" s="68"/>
      <c r="E449" s="69"/>
      <c r="K449" s="68"/>
      <c r="M449" s="68"/>
      <c r="O449" s="68"/>
      <c r="P449" s="68"/>
      <c r="Q449" s="68"/>
      <c r="R449" s="68"/>
      <c r="S449" s="68"/>
    </row>
    <row r="450" spans="1:19" ht="15.75" customHeight="1">
      <c r="A450" s="68"/>
      <c r="B450" s="68"/>
      <c r="D450" s="68"/>
      <c r="E450" s="69"/>
      <c r="K450" s="68"/>
      <c r="M450" s="68"/>
      <c r="O450" s="68"/>
      <c r="P450" s="68"/>
      <c r="Q450" s="68"/>
      <c r="R450" s="68"/>
      <c r="S450" s="68"/>
    </row>
    <row r="451" spans="1:19" ht="15.75" customHeight="1">
      <c r="A451" s="68"/>
      <c r="B451" s="68"/>
      <c r="D451" s="68"/>
      <c r="E451" s="69"/>
      <c r="K451" s="68"/>
      <c r="M451" s="68"/>
      <c r="O451" s="68"/>
      <c r="P451" s="68"/>
      <c r="Q451" s="68"/>
      <c r="R451" s="68"/>
      <c r="S451" s="68"/>
    </row>
    <row r="452" spans="1:19" ht="15.75" customHeight="1">
      <c r="A452" s="68"/>
      <c r="B452" s="68"/>
      <c r="D452" s="68"/>
      <c r="E452" s="69"/>
      <c r="K452" s="68"/>
      <c r="M452" s="68"/>
      <c r="O452" s="68"/>
      <c r="P452" s="68"/>
      <c r="Q452" s="68"/>
      <c r="R452" s="68"/>
      <c r="S452" s="68"/>
    </row>
    <row r="453" spans="1:19" ht="15.75" customHeight="1">
      <c r="A453" s="68"/>
      <c r="B453" s="68"/>
      <c r="D453" s="68"/>
      <c r="E453" s="69"/>
      <c r="K453" s="68"/>
      <c r="M453" s="68"/>
      <c r="O453" s="68"/>
      <c r="P453" s="68"/>
      <c r="Q453" s="68"/>
      <c r="R453" s="68"/>
      <c r="S453" s="68"/>
    </row>
    <row r="454" spans="1:19" ht="15.75" customHeight="1">
      <c r="A454" s="68"/>
      <c r="B454" s="68"/>
      <c r="D454" s="68"/>
      <c r="E454" s="69"/>
      <c r="K454" s="68"/>
      <c r="M454" s="68"/>
      <c r="O454" s="68"/>
      <c r="P454" s="68"/>
      <c r="Q454" s="68"/>
      <c r="R454" s="68"/>
      <c r="S454" s="68"/>
    </row>
    <row r="455" spans="1:19" ht="15.75" customHeight="1">
      <c r="A455" s="68"/>
      <c r="B455" s="68"/>
      <c r="D455" s="68"/>
      <c r="E455" s="69"/>
      <c r="K455" s="68"/>
      <c r="M455" s="68"/>
      <c r="O455" s="68"/>
      <c r="P455" s="68"/>
      <c r="Q455" s="68"/>
      <c r="R455" s="68"/>
      <c r="S455" s="68"/>
    </row>
    <row r="456" spans="1:19" ht="15.75" customHeight="1">
      <c r="A456" s="68"/>
      <c r="B456" s="68"/>
      <c r="D456" s="68"/>
      <c r="E456" s="69"/>
      <c r="K456" s="68"/>
      <c r="M456" s="68"/>
      <c r="O456" s="68"/>
      <c r="P456" s="68"/>
      <c r="Q456" s="68"/>
      <c r="R456" s="68"/>
      <c r="S456" s="68"/>
    </row>
    <row r="457" spans="1:19" ht="15.75" customHeight="1">
      <c r="A457" s="68"/>
      <c r="B457" s="68"/>
      <c r="D457" s="68"/>
      <c r="E457" s="69"/>
      <c r="K457" s="68"/>
      <c r="M457" s="68"/>
      <c r="O457" s="68"/>
      <c r="P457" s="68"/>
      <c r="Q457" s="68"/>
      <c r="R457" s="68"/>
      <c r="S457" s="68"/>
    </row>
    <row r="458" spans="1:19" ht="15.75" customHeight="1">
      <c r="A458" s="68"/>
      <c r="B458" s="68"/>
      <c r="D458" s="68"/>
      <c r="E458" s="69"/>
      <c r="K458" s="68"/>
      <c r="M458" s="68"/>
      <c r="O458" s="68"/>
      <c r="P458" s="68"/>
      <c r="Q458" s="68"/>
      <c r="R458" s="68"/>
      <c r="S458" s="68"/>
    </row>
    <row r="459" spans="1:19" ht="15.75" customHeight="1">
      <c r="A459" s="68"/>
      <c r="B459" s="68"/>
      <c r="D459" s="68"/>
      <c r="E459" s="69"/>
      <c r="K459" s="68"/>
      <c r="M459" s="68"/>
      <c r="O459" s="68"/>
      <c r="P459" s="68"/>
      <c r="Q459" s="68"/>
      <c r="R459" s="68"/>
      <c r="S459" s="68"/>
    </row>
    <row r="460" spans="1:19" ht="15.75" customHeight="1">
      <c r="A460" s="68"/>
      <c r="B460" s="68"/>
      <c r="D460" s="68"/>
      <c r="E460" s="69"/>
      <c r="K460" s="68"/>
      <c r="M460" s="68"/>
      <c r="O460" s="68"/>
      <c r="P460" s="68"/>
      <c r="Q460" s="68"/>
      <c r="R460" s="68"/>
      <c r="S460" s="68"/>
    </row>
    <row r="461" spans="1:19" ht="15.75" customHeight="1">
      <c r="A461" s="68"/>
      <c r="B461" s="68"/>
      <c r="D461" s="68"/>
      <c r="E461" s="69"/>
      <c r="K461" s="68"/>
      <c r="M461" s="68"/>
      <c r="O461" s="68"/>
      <c r="P461" s="68"/>
      <c r="Q461" s="68"/>
      <c r="R461" s="68"/>
      <c r="S461" s="68"/>
    </row>
    <row r="462" spans="1:19" ht="15.75" customHeight="1">
      <c r="A462" s="68"/>
      <c r="B462" s="68"/>
      <c r="D462" s="68"/>
      <c r="E462" s="69"/>
      <c r="K462" s="68"/>
      <c r="M462" s="68"/>
      <c r="O462" s="68"/>
      <c r="P462" s="68"/>
      <c r="Q462" s="68"/>
      <c r="R462" s="68"/>
      <c r="S462" s="68"/>
    </row>
    <row r="463" spans="1:19" ht="15.75" customHeight="1">
      <c r="A463" s="68"/>
      <c r="B463" s="68"/>
      <c r="D463" s="68"/>
      <c r="E463" s="69"/>
      <c r="K463" s="68"/>
      <c r="M463" s="68"/>
      <c r="O463" s="68"/>
      <c r="P463" s="68"/>
      <c r="Q463" s="68"/>
      <c r="R463" s="68"/>
      <c r="S463" s="68"/>
    </row>
    <row r="464" spans="1:19" ht="15.75" customHeight="1">
      <c r="A464" s="68"/>
      <c r="B464" s="68"/>
      <c r="D464" s="68"/>
      <c r="E464" s="69"/>
      <c r="K464" s="68"/>
      <c r="M464" s="68"/>
      <c r="O464" s="68"/>
      <c r="P464" s="68"/>
      <c r="Q464" s="68"/>
      <c r="R464" s="68"/>
      <c r="S464" s="68"/>
    </row>
    <row r="465" spans="1:19" ht="15.75" customHeight="1">
      <c r="A465" s="68"/>
      <c r="B465" s="68"/>
      <c r="D465" s="68"/>
      <c r="E465" s="69"/>
      <c r="K465" s="68"/>
      <c r="M465" s="68"/>
      <c r="O465" s="68"/>
      <c r="P465" s="68"/>
      <c r="Q465" s="68"/>
      <c r="R465" s="68"/>
      <c r="S465" s="68"/>
    </row>
    <row r="466" spans="1:19" ht="15.75" customHeight="1">
      <c r="A466" s="68"/>
      <c r="B466" s="68"/>
      <c r="D466" s="68"/>
      <c r="E466" s="69"/>
      <c r="K466" s="68"/>
      <c r="M466" s="68"/>
      <c r="O466" s="68"/>
      <c r="P466" s="68"/>
      <c r="Q466" s="68"/>
      <c r="R466" s="68"/>
      <c r="S466" s="68"/>
    </row>
    <row r="467" spans="1:19" ht="15.75" customHeight="1">
      <c r="A467" s="68"/>
      <c r="B467" s="68"/>
      <c r="D467" s="68"/>
      <c r="E467" s="69"/>
      <c r="K467" s="68"/>
      <c r="M467" s="68"/>
      <c r="O467" s="68"/>
      <c r="P467" s="68"/>
      <c r="Q467" s="68"/>
      <c r="R467" s="68"/>
      <c r="S467" s="68"/>
    </row>
    <row r="468" spans="1:19" ht="15.75" customHeight="1">
      <c r="A468" s="68"/>
      <c r="B468" s="68"/>
      <c r="D468" s="68"/>
      <c r="E468" s="69"/>
      <c r="K468" s="68"/>
      <c r="M468" s="68"/>
      <c r="O468" s="68"/>
      <c r="P468" s="68"/>
      <c r="Q468" s="68"/>
      <c r="R468" s="68"/>
      <c r="S468" s="68"/>
    </row>
    <row r="469" spans="1:19" ht="15.75" customHeight="1">
      <c r="A469" s="68"/>
      <c r="B469" s="68"/>
      <c r="D469" s="68"/>
      <c r="E469" s="69"/>
      <c r="K469" s="68"/>
      <c r="M469" s="68"/>
      <c r="O469" s="68"/>
      <c r="P469" s="68"/>
      <c r="Q469" s="68"/>
      <c r="R469" s="68"/>
      <c r="S469" s="68"/>
    </row>
    <row r="470" spans="1:19" ht="15.75" customHeight="1">
      <c r="A470" s="68"/>
      <c r="B470" s="68"/>
      <c r="D470" s="68"/>
      <c r="E470" s="69"/>
      <c r="K470" s="68"/>
      <c r="M470" s="68"/>
      <c r="O470" s="68"/>
      <c r="P470" s="68"/>
      <c r="Q470" s="68"/>
      <c r="R470" s="68"/>
      <c r="S470" s="68"/>
    </row>
    <row r="471" spans="1:19" ht="15.75" customHeight="1">
      <c r="A471" s="68"/>
      <c r="B471" s="68"/>
      <c r="D471" s="68"/>
      <c r="E471" s="69"/>
      <c r="K471" s="68"/>
      <c r="M471" s="68"/>
      <c r="O471" s="68"/>
      <c r="P471" s="68"/>
      <c r="Q471" s="68"/>
      <c r="R471" s="68"/>
      <c r="S471" s="68"/>
    </row>
    <row r="472" spans="1:19" ht="15.75" customHeight="1">
      <c r="A472" s="68"/>
      <c r="B472" s="68"/>
      <c r="D472" s="68"/>
      <c r="E472" s="69"/>
      <c r="K472" s="68"/>
      <c r="M472" s="68"/>
      <c r="O472" s="68"/>
      <c r="P472" s="68"/>
      <c r="Q472" s="68"/>
      <c r="R472" s="68"/>
      <c r="S472" s="68"/>
    </row>
    <row r="473" spans="1:19" ht="15.75" customHeight="1">
      <c r="A473" s="68"/>
      <c r="B473" s="68"/>
      <c r="D473" s="68"/>
      <c r="E473" s="69"/>
      <c r="K473" s="68"/>
      <c r="M473" s="68"/>
      <c r="O473" s="68"/>
      <c r="P473" s="68"/>
      <c r="Q473" s="68"/>
      <c r="R473" s="68"/>
      <c r="S473" s="68"/>
    </row>
    <row r="474" spans="1:19" ht="15.75" customHeight="1">
      <c r="A474" s="68"/>
      <c r="B474" s="68"/>
      <c r="D474" s="68"/>
      <c r="E474" s="69"/>
      <c r="K474" s="68"/>
      <c r="M474" s="68"/>
      <c r="O474" s="68"/>
      <c r="P474" s="68"/>
      <c r="Q474" s="68"/>
      <c r="R474" s="68"/>
      <c r="S474" s="68"/>
    </row>
    <row r="475" spans="1:19" ht="15.75" customHeight="1">
      <c r="A475" s="68"/>
      <c r="B475" s="68"/>
      <c r="D475" s="68"/>
      <c r="E475" s="69"/>
      <c r="K475" s="68"/>
      <c r="M475" s="68"/>
      <c r="O475" s="68"/>
      <c r="P475" s="68"/>
      <c r="Q475" s="68"/>
      <c r="R475" s="68"/>
      <c r="S475" s="68"/>
    </row>
    <row r="476" spans="1:19" ht="15.75" customHeight="1">
      <c r="A476" s="68"/>
      <c r="B476" s="68"/>
      <c r="D476" s="68"/>
      <c r="E476" s="69"/>
      <c r="K476" s="68"/>
      <c r="M476" s="68"/>
      <c r="O476" s="68"/>
      <c r="P476" s="68"/>
      <c r="Q476" s="68"/>
      <c r="R476" s="68"/>
      <c r="S476" s="68"/>
    </row>
    <row r="477" spans="1:19" ht="15.75" customHeight="1">
      <c r="A477" s="68"/>
      <c r="B477" s="68"/>
      <c r="D477" s="68"/>
      <c r="E477" s="69"/>
      <c r="K477" s="68"/>
      <c r="M477" s="68"/>
      <c r="O477" s="68"/>
      <c r="P477" s="68"/>
      <c r="Q477" s="68"/>
      <c r="R477" s="68"/>
      <c r="S477" s="68"/>
    </row>
    <row r="478" spans="1:19" ht="15.75" customHeight="1">
      <c r="A478" s="68"/>
      <c r="B478" s="68"/>
      <c r="D478" s="68"/>
      <c r="E478" s="69"/>
      <c r="K478" s="68"/>
      <c r="M478" s="68"/>
      <c r="O478" s="68"/>
      <c r="P478" s="68"/>
      <c r="Q478" s="68"/>
      <c r="R478" s="68"/>
      <c r="S478" s="68"/>
    </row>
    <row r="479" spans="1:19" ht="15.75" customHeight="1">
      <c r="A479" s="68"/>
      <c r="B479" s="68"/>
      <c r="D479" s="68"/>
      <c r="E479" s="69"/>
      <c r="K479" s="68"/>
      <c r="M479" s="68"/>
      <c r="O479" s="68"/>
      <c r="P479" s="68"/>
      <c r="Q479" s="68"/>
      <c r="R479" s="68"/>
      <c r="S479" s="68"/>
    </row>
    <row r="480" spans="1:19" ht="15.75" customHeight="1">
      <c r="A480" s="68"/>
      <c r="B480" s="68"/>
      <c r="D480" s="68"/>
      <c r="E480" s="69"/>
      <c r="K480" s="68"/>
      <c r="M480" s="68"/>
      <c r="O480" s="68"/>
      <c r="P480" s="68"/>
      <c r="Q480" s="68"/>
      <c r="R480" s="68"/>
      <c r="S480" s="68"/>
    </row>
    <row r="481" spans="1:19" ht="15.75" customHeight="1">
      <c r="A481" s="68"/>
      <c r="B481" s="68"/>
      <c r="D481" s="68"/>
      <c r="E481" s="69"/>
      <c r="K481" s="68"/>
      <c r="M481" s="68"/>
      <c r="O481" s="68"/>
      <c r="P481" s="68"/>
      <c r="Q481" s="68"/>
      <c r="R481" s="68"/>
      <c r="S481" s="68"/>
    </row>
    <row r="482" spans="1:19" ht="15.75" customHeight="1">
      <c r="A482" s="68"/>
      <c r="B482" s="68"/>
      <c r="D482" s="68"/>
      <c r="E482" s="69"/>
      <c r="K482" s="68"/>
      <c r="M482" s="68"/>
      <c r="O482" s="68"/>
      <c r="P482" s="68"/>
      <c r="Q482" s="68"/>
      <c r="R482" s="68"/>
      <c r="S482" s="68"/>
    </row>
    <row r="483" spans="1:19" ht="15.75" customHeight="1">
      <c r="A483" s="68"/>
      <c r="B483" s="68"/>
      <c r="D483" s="68"/>
      <c r="E483" s="69"/>
      <c r="K483" s="68"/>
      <c r="M483" s="68"/>
      <c r="O483" s="68"/>
      <c r="P483" s="68"/>
      <c r="Q483" s="68"/>
      <c r="R483" s="68"/>
      <c r="S483" s="68"/>
    </row>
    <row r="484" spans="1:19" ht="15.75" customHeight="1">
      <c r="A484" s="68"/>
      <c r="B484" s="68"/>
      <c r="D484" s="68"/>
      <c r="E484" s="69"/>
      <c r="K484" s="68"/>
      <c r="M484" s="68"/>
      <c r="O484" s="68"/>
      <c r="P484" s="68"/>
      <c r="Q484" s="68"/>
      <c r="R484" s="68"/>
      <c r="S484" s="68"/>
    </row>
    <row r="485" spans="1:19" ht="15.75" customHeight="1">
      <c r="A485" s="68"/>
      <c r="B485" s="68"/>
      <c r="D485" s="68"/>
      <c r="E485" s="69"/>
      <c r="K485" s="68"/>
      <c r="M485" s="68"/>
      <c r="O485" s="68"/>
      <c r="P485" s="68"/>
      <c r="Q485" s="68"/>
      <c r="R485" s="68"/>
      <c r="S485" s="68"/>
    </row>
    <row r="486" spans="1:19" ht="15.75" customHeight="1">
      <c r="A486" s="68"/>
      <c r="B486" s="68"/>
      <c r="D486" s="68"/>
      <c r="E486" s="69"/>
      <c r="K486" s="68"/>
      <c r="M486" s="68"/>
      <c r="O486" s="68"/>
      <c r="P486" s="68"/>
      <c r="Q486" s="68"/>
      <c r="R486" s="68"/>
      <c r="S486" s="68"/>
    </row>
    <row r="487" spans="1:19" ht="15.75" customHeight="1">
      <c r="A487" s="68"/>
      <c r="B487" s="68"/>
      <c r="D487" s="68"/>
      <c r="E487" s="69"/>
      <c r="K487" s="68"/>
      <c r="M487" s="68"/>
      <c r="O487" s="68"/>
      <c r="P487" s="68"/>
      <c r="Q487" s="68"/>
      <c r="R487" s="68"/>
      <c r="S487" s="68"/>
    </row>
    <row r="488" spans="1:19" ht="15.75" customHeight="1">
      <c r="A488" s="68"/>
      <c r="B488" s="68"/>
      <c r="D488" s="68"/>
      <c r="E488" s="69"/>
      <c r="K488" s="68"/>
      <c r="M488" s="68"/>
      <c r="O488" s="68"/>
      <c r="P488" s="68"/>
      <c r="Q488" s="68"/>
      <c r="R488" s="68"/>
      <c r="S488" s="68"/>
    </row>
    <row r="489" spans="1:19" ht="15.75" customHeight="1">
      <c r="A489" s="68"/>
      <c r="B489" s="68"/>
      <c r="D489" s="68"/>
      <c r="E489" s="69"/>
      <c r="K489" s="68"/>
      <c r="M489" s="68"/>
      <c r="O489" s="68"/>
      <c r="P489" s="68"/>
      <c r="Q489" s="68"/>
      <c r="R489" s="68"/>
      <c r="S489" s="68"/>
    </row>
    <row r="490" spans="1:19" ht="15.75" customHeight="1">
      <c r="A490" s="68"/>
      <c r="B490" s="68"/>
      <c r="D490" s="68"/>
      <c r="E490" s="69"/>
      <c r="K490" s="68"/>
      <c r="M490" s="68"/>
      <c r="O490" s="68"/>
      <c r="P490" s="68"/>
      <c r="Q490" s="68"/>
      <c r="R490" s="68"/>
      <c r="S490" s="68"/>
    </row>
    <row r="491" spans="1:19" ht="15.75" customHeight="1">
      <c r="A491" s="68"/>
      <c r="B491" s="68"/>
      <c r="D491" s="68"/>
      <c r="E491" s="69"/>
      <c r="K491" s="68"/>
      <c r="M491" s="68"/>
      <c r="O491" s="68"/>
      <c r="P491" s="68"/>
      <c r="Q491" s="68"/>
      <c r="R491" s="68"/>
      <c r="S491" s="68"/>
    </row>
    <row r="492" spans="1:19" ht="15.75" customHeight="1">
      <c r="A492" s="68"/>
      <c r="B492" s="68"/>
      <c r="D492" s="68"/>
      <c r="E492" s="69"/>
      <c r="K492" s="68"/>
      <c r="M492" s="68"/>
      <c r="O492" s="68"/>
      <c r="P492" s="68"/>
      <c r="Q492" s="68"/>
      <c r="R492" s="68"/>
      <c r="S492" s="68"/>
    </row>
    <row r="493" spans="1:19" ht="15.75" customHeight="1">
      <c r="A493" s="68"/>
      <c r="B493" s="68"/>
      <c r="D493" s="68"/>
      <c r="E493" s="69"/>
      <c r="K493" s="68"/>
      <c r="M493" s="68"/>
      <c r="O493" s="68"/>
      <c r="P493" s="68"/>
      <c r="Q493" s="68"/>
      <c r="R493" s="68"/>
      <c r="S493" s="68"/>
    </row>
    <row r="494" spans="1:19" ht="15.75" customHeight="1">
      <c r="A494" s="68"/>
      <c r="B494" s="68"/>
      <c r="D494" s="68"/>
      <c r="E494" s="69"/>
      <c r="K494" s="68"/>
      <c r="M494" s="68"/>
      <c r="O494" s="68"/>
      <c r="P494" s="68"/>
      <c r="Q494" s="68"/>
      <c r="R494" s="68"/>
      <c r="S494" s="68"/>
    </row>
    <row r="495" spans="1:19" ht="15.75" customHeight="1">
      <c r="A495" s="68"/>
      <c r="B495" s="68"/>
      <c r="D495" s="68"/>
      <c r="E495" s="69"/>
      <c r="K495" s="68"/>
      <c r="M495" s="68"/>
      <c r="O495" s="68"/>
      <c r="P495" s="68"/>
      <c r="Q495" s="68"/>
      <c r="R495" s="68"/>
      <c r="S495" s="68"/>
    </row>
    <row r="496" spans="1:19" ht="15.75" customHeight="1">
      <c r="A496" s="68"/>
      <c r="B496" s="68"/>
      <c r="D496" s="68"/>
      <c r="E496" s="69"/>
      <c r="K496" s="68"/>
      <c r="M496" s="68"/>
      <c r="O496" s="68"/>
      <c r="P496" s="68"/>
      <c r="Q496" s="68"/>
      <c r="R496" s="68"/>
      <c r="S496" s="68"/>
    </row>
    <row r="497" spans="1:19" ht="15.75" customHeight="1">
      <c r="A497" s="68"/>
      <c r="B497" s="68"/>
      <c r="D497" s="68"/>
      <c r="E497" s="69"/>
      <c r="K497" s="68"/>
      <c r="M497" s="68"/>
      <c r="O497" s="68"/>
      <c r="P497" s="68"/>
      <c r="Q497" s="68"/>
      <c r="R497" s="68"/>
      <c r="S497" s="68"/>
    </row>
    <row r="498" spans="1:19" ht="15.75" customHeight="1">
      <c r="A498" s="68"/>
      <c r="B498" s="68"/>
      <c r="D498" s="68"/>
      <c r="E498" s="69"/>
      <c r="K498" s="68"/>
      <c r="M498" s="68"/>
      <c r="O498" s="68"/>
      <c r="P498" s="68"/>
      <c r="Q498" s="68"/>
      <c r="R498" s="68"/>
      <c r="S498" s="68"/>
    </row>
    <row r="499" spans="1:19" ht="15.75" customHeight="1">
      <c r="A499" s="68"/>
      <c r="B499" s="68"/>
      <c r="D499" s="68"/>
      <c r="E499" s="69"/>
      <c r="K499" s="68"/>
      <c r="M499" s="68"/>
      <c r="O499" s="68"/>
      <c r="P499" s="68"/>
      <c r="Q499" s="68"/>
      <c r="R499" s="68"/>
      <c r="S499" s="68"/>
    </row>
    <row r="500" spans="1:19" ht="15.75" customHeight="1">
      <c r="A500" s="68"/>
      <c r="B500" s="68"/>
      <c r="D500" s="68"/>
      <c r="E500" s="69"/>
      <c r="K500" s="68"/>
      <c r="M500" s="68"/>
      <c r="O500" s="68"/>
      <c r="P500" s="68"/>
      <c r="Q500" s="68"/>
      <c r="R500" s="68"/>
      <c r="S500" s="68"/>
    </row>
    <row r="501" spans="1:19" ht="15.75" customHeight="1">
      <c r="A501" s="68"/>
      <c r="B501" s="68"/>
      <c r="D501" s="68"/>
      <c r="E501" s="69"/>
      <c r="K501" s="68"/>
      <c r="M501" s="68"/>
      <c r="O501" s="68"/>
      <c r="P501" s="68"/>
      <c r="Q501" s="68"/>
      <c r="R501" s="68"/>
      <c r="S501" s="68"/>
    </row>
    <row r="502" spans="1:19" ht="15.75" customHeight="1">
      <c r="A502" s="68"/>
      <c r="B502" s="68"/>
      <c r="D502" s="68"/>
      <c r="E502" s="69"/>
      <c r="K502" s="68"/>
      <c r="M502" s="68"/>
      <c r="O502" s="68"/>
      <c r="P502" s="68"/>
      <c r="Q502" s="68"/>
      <c r="R502" s="68"/>
      <c r="S502" s="68"/>
    </row>
    <row r="503" spans="1:19" ht="15.75" customHeight="1">
      <c r="A503" s="68"/>
      <c r="B503" s="68"/>
      <c r="D503" s="68"/>
      <c r="E503" s="69"/>
      <c r="K503" s="68"/>
      <c r="M503" s="68"/>
      <c r="O503" s="68"/>
      <c r="P503" s="68"/>
      <c r="Q503" s="68"/>
      <c r="R503" s="68"/>
      <c r="S503" s="68"/>
    </row>
    <row r="504" spans="1:19" ht="15.75" customHeight="1">
      <c r="A504" s="68"/>
      <c r="B504" s="68"/>
      <c r="D504" s="68"/>
      <c r="E504" s="69"/>
      <c r="K504" s="68"/>
      <c r="M504" s="68"/>
      <c r="O504" s="68"/>
      <c r="P504" s="68"/>
      <c r="Q504" s="68"/>
      <c r="R504" s="68"/>
      <c r="S504" s="68"/>
    </row>
    <row r="505" spans="1:19" ht="15.75" customHeight="1">
      <c r="A505" s="68"/>
      <c r="B505" s="68"/>
      <c r="D505" s="68"/>
      <c r="E505" s="69"/>
      <c r="K505" s="68"/>
      <c r="M505" s="68"/>
      <c r="O505" s="68"/>
      <c r="P505" s="68"/>
      <c r="Q505" s="68"/>
      <c r="R505" s="68"/>
      <c r="S505" s="68"/>
    </row>
    <row r="506" spans="1:19" ht="15.75" customHeight="1">
      <c r="A506" s="68"/>
      <c r="B506" s="68"/>
      <c r="D506" s="68"/>
      <c r="E506" s="69"/>
      <c r="K506" s="68"/>
      <c r="M506" s="68"/>
      <c r="O506" s="68"/>
      <c r="P506" s="68"/>
      <c r="Q506" s="68"/>
      <c r="R506" s="68"/>
      <c r="S506" s="68"/>
    </row>
    <row r="507" spans="1:19" ht="15.75" customHeight="1">
      <c r="A507" s="68"/>
      <c r="B507" s="68"/>
      <c r="D507" s="68"/>
      <c r="E507" s="69"/>
      <c r="K507" s="68"/>
      <c r="M507" s="68"/>
      <c r="O507" s="68"/>
      <c r="P507" s="68"/>
      <c r="Q507" s="68"/>
      <c r="R507" s="68"/>
      <c r="S507" s="68"/>
    </row>
    <row r="508" spans="1:19" ht="15.75" customHeight="1">
      <c r="A508" s="68"/>
      <c r="B508" s="68"/>
      <c r="D508" s="68"/>
      <c r="E508" s="69"/>
      <c r="K508" s="68"/>
      <c r="M508" s="68"/>
      <c r="O508" s="68"/>
      <c r="P508" s="68"/>
      <c r="Q508" s="68"/>
      <c r="R508" s="68"/>
      <c r="S508" s="68"/>
    </row>
    <row r="509" spans="1:19" ht="15.75" customHeight="1">
      <c r="A509" s="68"/>
      <c r="B509" s="68"/>
      <c r="D509" s="68"/>
      <c r="E509" s="69"/>
      <c r="K509" s="68"/>
      <c r="M509" s="68"/>
      <c r="O509" s="68"/>
      <c r="P509" s="68"/>
      <c r="Q509" s="68"/>
      <c r="R509" s="68"/>
      <c r="S509" s="68"/>
    </row>
    <row r="510" spans="1:19" ht="15.75" customHeight="1">
      <c r="A510" s="68"/>
      <c r="B510" s="68"/>
      <c r="D510" s="68"/>
      <c r="E510" s="69"/>
      <c r="K510" s="68"/>
      <c r="M510" s="68"/>
      <c r="O510" s="68"/>
      <c r="P510" s="68"/>
      <c r="Q510" s="68"/>
      <c r="R510" s="68"/>
      <c r="S510" s="68"/>
    </row>
    <row r="511" spans="1:19" ht="15.75" customHeight="1">
      <c r="A511" s="68"/>
      <c r="B511" s="68"/>
      <c r="D511" s="68"/>
      <c r="E511" s="69"/>
      <c r="K511" s="68"/>
      <c r="M511" s="68"/>
      <c r="O511" s="68"/>
      <c r="P511" s="68"/>
      <c r="Q511" s="68"/>
      <c r="R511" s="68"/>
      <c r="S511" s="68"/>
    </row>
    <row r="512" spans="1:19" ht="15.75" customHeight="1">
      <c r="A512" s="68"/>
      <c r="B512" s="68"/>
      <c r="D512" s="68"/>
      <c r="E512" s="69"/>
      <c r="K512" s="68"/>
      <c r="M512" s="68"/>
      <c r="O512" s="68"/>
      <c r="P512" s="68"/>
      <c r="Q512" s="68"/>
      <c r="R512" s="68"/>
      <c r="S512" s="68"/>
    </row>
    <row r="513" spans="1:19" ht="15.75" customHeight="1">
      <c r="A513" s="68"/>
      <c r="B513" s="68"/>
      <c r="D513" s="68"/>
      <c r="E513" s="69"/>
      <c r="K513" s="68"/>
      <c r="M513" s="68"/>
      <c r="O513" s="68"/>
      <c r="P513" s="68"/>
      <c r="Q513" s="68"/>
      <c r="R513" s="68"/>
      <c r="S513" s="68"/>
    </row>
    <row r="514" spans="1:19" ht="15.75" customHeight="1">
      <c r="A514" s="68"/>
      <c r="B514" s="68"/>
      <c r="D514" s="68"/>
      <c r="E514" s="69"/>
      <c r="K514" s="68"/>
      <c r="M514" s="68"/>
      <c r="O514" s="68"/>
      <c r="P514" s="68"/>
      <c r="Q514" s="68"/>
      <c r="R514" s="68"/>
      <c r="S514" s="68"/>
    </row>
    <row r="515" spans="1:19" ht="15.75" customHeight="1">
      <c r="A515" s="68"/>
      <c r="B515" s="68"/>
      <c r="D515" s="68"/>
      <c r="E515" s="69"/>
      <c r="K515" s="68"/>
      <c r="M515" s="68"/>
      <c r="O515" s="68"/>
      <c r="P515" s="68"/>
      <c r="Q515" s="68"/>
      <c r="R515" s="68"/>
      <c r="S515" s="68"/>
    </row>
    <row r="516" spans="1:19" ht="15.75" customHeight="1">
      <c r="A516" s="68"/>
      <c r="B516" s="68"/>
      <c r="D516" s="68"/>
      <c r="E516" s="69"/>
      <c r="K516" s="68"/>
      <c r="M516" s="68"/>
      <c r="O516" s="68"/>
      <c r="P516" s="68"/>
      <c r="Q516" s="68"/>
      <c r="R516" s="68"/>
      <c r="S516" s="68"/>
    </row>
    <row r="517" spans="1:19" ht="15.75" customHeight="1">
      <c r="A517" s="68"/>
      <c r="B517" s="68"/>
      <c r="D517" s="68"/>
      <c r="E517" s="69"/>
      <c r="K517" s="68"/>
      <c r="M517" s="68"/>
      <c r="O517" s="68"/>
      <c r="P517" s="68"/>
      <c r="Q517" s="68"/>
      <c r="R517" s="68"/>
      <c r="S517" s="68"/>
    </row>
    <row r="518" spans="1:19" ht="15.75" customHeight="1">
      <c r="A518" s="68"/>
      <c r="B518" s="68"/>
      <c r="D518" s="68"/>
      <c r="E518" s="69"/>
      <c r="K518" s="68"/>
      <c r="M518" s="68"/>
      <c r="O518" s="68"/>
      <c r="P518" s="68"/>
      <c r="Q518" s="68"/>
      <c r="R518" s="68"/>
      <c r="S518" s="68"/>
    </row>
    <row r="519" spans="1:19" ht="15.75" customHeight="1">
      <c r="A519" s="68"/>
      <c r="B519" s="68"/>
      <c r="D519" s="68"/>
      <c r="E519" s="69"/>
      <c r="K519" s="68"/>
      <c r="M519" s="68"/>
      <c r="O519" s="68"/>
      <c r="P519" s="68"/>
      <c r="Q519" s="68"/>
      <c r="R519" s="68"/>
      <c r="S519" s="68"/>
    </row>
    <row r="520" spans="1:19" ht="15.75" customHeight="1">
      <c r="A520" s="68"/>
      <c r="B520" s="68"/>
      <c r="D520" s="68"/>
      <c r="E520" s="69"/>
      <c r="K520" s="68"/>
      <c r="M520" s="68"/>
      <c r="O520" s="68"/>
      <c r="P520" s="68"/>
      <c r="Q520" s="68"/>
      <c r="R520" s="68"/>
      <c r="S520" s="68"/>
    </row>
    <row r="521" spans="1:19" ht="15.75" customHeight="1">
      <c r="A521" s="68"/>
      <c r="B521" s="68"/>
      <c r="D521" s="68"/>
      <c r="E521" s="69"/>
      <c r="K521" s="68"/>
      <c r="M521" s="68"/>
      <c r="O521" s="68"/>
      <c r="P521" s="68"/>
      <c r="Q521" s="68"/>
      <c r="R521" s="68"/>
      <c r="S521" s="68"/>
    </row>
    <row r="522" spans="1:19" ht="15.75" customHeight="1">
      <c r="A522" s="68"/>
      <c r="B522" s="68"/>
      <c r="D522" s="68"/>
      <c r="E522" s="69"/>
      <c r="K522" s="68"/>
      <c r="M522" s="68"/>
      <c r="O522" s="68"/>
      <c r="P522" s="68"/>
      <c r="Q522" s="68"/>
      <c r="R522" s="68"/>
      <c r="S522" s="68"/>
    </row>
    <row r="523" spans="1:19" ht="15.75" customHeight="1">
      <c r="A523" s="68"/>
      <c r="B523" s="68"/>
      <c r="D523" s="68"/>
      <c r="E523" s="69"/>
      <c r="K523" s="68"/>
      <c r="M523" s="68"/>
      <c r="O523" s="68"/>
      <c r="P523" s="68"/>
      <c r="Q523" s="68"/>
      <c r="R523" s="68"/>
      <c r="S523" s="68"/>
    </row>
    <row r="524" spans="1:19" ht="15.75" customHeight="1">
      <c r="A524" s="68"/>
      <c r="B524" s="68"/>
      <c r="D524" s="68"/>
      <c r="E524" s="69"/>
      <c r="K524" s="68"/>
      <c r="M524" s="68"/>
      <c r="O524" s="68"/>
      <c r="P524" s="68"/>
      <c r="Q524" s="68"/>
      <c r="R524" s="68"/>
      <c r="S524" s="68"/>
    </row>
    <row r="525" spans="1:19" ht="15.75" customHeight="1">
      <c r="A525" s="68"/>
      <c r="B525" s="68"/>
      <c r="D525" s="68"/>
      <c r="E525" s="69"/>
      <c r="K525" s="68"/>
      <c r="M525" s="68"/>
      <c r="O525" s="68"/>
      <c r="P525" s="68"/>
      <c r="Q525" s="68"/>
      <c r="R525" s="68"/>
      <c r="S525" s="68"/>
    </row>
    <row r="526" spans="1:19" ht="15.75" customHeight="1">
      <c r="A526" s="68"/>
      <c r="B526" s="68"/>
      <c r="D526" s="68"/>
      <c r="E526" s="69"/>
      <c r="K526" s="68"/>
      <c r="M526" s="68"/>
      <c r="O526" s="68"/>
      <c r="P526" s="68"/>
      <c r="Q526" s="68"/>
      <c r="R526" s="68"/>
      <c r="S526" s="68"/>
    </row>
    <row r="527" spans="1:19" ht="15.75" customHeight="1">
      <c r="A527" s="68"/>
      <c r="B527" s="68"/>
      <c r="D527" s="68"/>
      <c r="E527" s="69"/>
      <c r="K527" s="68"/>
      <c r="M527" s="68"/>
      <c r="O527" s="68"/>
      <c r="P527" s="68"/>
      <c r="Q527" s="68"/>
      <c r="R527" s="68"/>
      <c r="S527" s="68"/>
    </row>
    <row r="528" spans="1:19" ht="15.75" customHeight="1">
      <c r="A528" s="68"/>
      <c r="B528" s="68"/>
      <c r="D528" s="68"/>
      <c r="E528" s="69"/>
      <c r="K528" s="68"/>
      <c r="M528" s="68"/>
      <c r="O528" s="68"/>
      <c r="P528" s="68"/>
      <c r="Q528" s="68"/>
      <c r="R528" s="68"/>
      <c r="S528" s="68"/>
    </row>
    <row r="529" spans="1:19" ht="15.75" customHeight="1">
      <c r="A529" s="68"/>
      <c r="B529" s="68"/>
      <c r="D529" s="68"/>
      <c r="E529" s="69"/>
      <c r="K529" s="68"/>
      <c r="M529" s="68"/>
      <c r="O529" s="68"/>
      <c r="P529" s="68"/>
      <c r="Q529" s="68"/>
      <c r="R529" s="68"/>
      <c r="S529" s="68"/>
    </row>
    <row r="530" spans="1:19" ht="15.75" customHeight="1">
      <c r="A530" s="68"/>
      <c r="B530" s="68"/>
      <c r="D530" s="68"/>
      <c r="E530" s="69"/>
      <c r="K530" s="68"/>
      <c r="M530" s="68"/>
      <c r="O530" s="68"/>
      <c r="P530" s="68"/>
      <c r="Q530" s="68"/>
      <c r="R530" s="68"/>
      <c r="S530" s="68"/>
    </row>
    <row r="531" spans="1:19" ht="15.75" customHeight="1">
      <c r="A531" s="68"/>
      <c r="B531" s="68"/>
      <c r="D531" s="68"/>
      <c r="E531" s="69"/>
      <c r="K531" s="68"/>
      <c r="M531" s="68"/>
      <c r="O531" s="68"/>
      <c r="P531" s="68"/>
      <c r="Q531" s="68"/>
      <c r="R531" s="68"/>
      <c r="S531" s="68"/>
    </row>
    <row r="532" spans="1:19" ht="15.75" customHeight="1">
      <c r="A532" s="68"/>
      <c r="B532" s="68"/>
      <c r="D532" s="68"/>
      <c r="E532" s="69"/>
      <c r="K532" s="68"/>
      <c r="M532" s="68"/>
      <c r="O532" s="68"/>
      <c r="P532" s="68"/>
      <c r="Q532" s="68"/>
      <c r="R532" s="68"/>
      <c r="S532" s="68"/>
    </row>
    <row r="533" spans="1:19" ht="15.75" customHeight="1">
      <c r="A533" s="68"/>
      <c r="B533" s="68"/>
      <c r="D533" s="68"/>
      <c r="E533" s="69"/>
      <c r="K533" s="68"/>
      <c r="M533" s="68"/>
      <c r="O533" s="68"/>
      <c r="P533" s="68"/>
      <c r="Q533" s="68"/>
      <c r="R533" s="68"/>
      <c r="S533" s="68"/>
    </row>
    <row r="534" spans="1:19" ht="15.75" customHeight="1">
      <c r="A534" s="68"/>
      <c r="B534" s="68"/>
      <c r="D534" s="68"/>
      <c r="E534" s="69"/>
      <c r="K534" s="68"/>
      <c r="M534" s="68"/>
      <c r="O534" s="68"/>
      <c r="P534" s="68"/>
      <c r="Q534" s="68"/>
      <c r="R534" s="68"/>
      <c r="S534" s="68"/>
    </row>
    <row r="535" spans="1:19" ht="15.75" customHeight="1">
      <c r="A535" s="68"/>
      <c r="B535" s="68"/>
      <c r="D535" s="68"/>
      <c r="E535" s="69"/>
      <c r="K535" s="68"/>
      <c r="M535" s="68"/>
      <c r="O535" s="68"/>
      <c r="P535" s="68"/>
      <c r="Q535" s="68"/>
      <c r="R535" s="68"/>
      <c r="S535" s="68"/>
    </row>
    <row r="536" spans="1:19" ht="15.75" customHeight="1">
      <c r="A536" s="68"/>
      <c r="B536" s="68"/>
      <c r="D536" s="68"/>
      <c r="E536" s="69"/>
      <c r="K536" s="68"/>
      <c r="M536" s="68"/>
      <c r="O536" s="68"/>
      <c r="P536" s="68"/>
      <c r="Q536" s="68"/>
      <c r="R536" s="68"/>
      <c r="S536" s="68"/>
    </row>
    <row r="537" spans="1:19" ht="15.75" customHeight="1">
      <c r="A537" s="68"/>
      <c r="B537" s="68"/>
      <c r="D537" s="68"/>
      <c r="E537" s="69"/>
      <c r="K537" s="68"/>
      <c r="M537" s="68"/>
      <c r="O537" s="68"/>
      <c r="P537" s="68"/>
      <c r="Q537" s="68"/>
      <c r="R537" s="68"/>
      <c r="S537" s="68"/>
    </row>
    <row r="538" spans="1:19" ht="15.75" customHeight="1">
      <c r="A538" s="68"/>
      <c r="B538" s="68"/>
      <c r="D538" s="68"/>
      <c r="E538" s="69"/>
      <c r="K538" s="68"/>
      <c r="M538" s="68"/>
      <c r="O538" s="68"/>
      <c r="P538" s="68"/>
      <c r="Q538" s="68"/>
      <c r="R538" s="68"/>
      <c r="S538" s="68"/>
    </row>
    <row r="539" spans="1:19" ht="15.75" customHeight="1">
      <c r="A539" s="68"/>
      <c r="B539" s="68"/>
      <c r="D539" s="68"/>
      <c r="E539" s="69"/>
      <c r="K539" s="68"/>
      <c r="M539" s="68"/>
      <c r="O539" s="68"/>
      <c r="P539" s="68"/>
      <c r="Q539" s="68"/>
      <c r="R539" s="68"/>
      <c r="S539" s="68"/>
    </row>
    <row r="540" spans="1:19" ht="15.75" customHeight="1">
      <c r="A540" s="68"/>
      <c r="B540" s="68"/>
      <c r="D540" s="68"/>
      <c r="E540" s="69"/>
      <c r="K540" s="68"/>
      <c r="M540" s="68"/>
      <c r="O540" s="68"/>
      <c r="P540" s="68"/>
      <c r="Q540" s="68"/>
      <c r="R540" s="68"/>
      <c r="S540" s="68"/>
    </row>
    <row r="541" spans="1:19" ht="15.75" customHeight="1">
      <c r="A541" s="68"/>
      <c r="B541" s="68"/>
      <c r="D541" s="68"/>
      <c r="E541" s="69"/>
      <c r="K541" s="68"/>
      <c r="M541" s="68"/>
      <c r="O541" s="68"/>
      <c r="P541" s="68"/>
      <c r="Q541" s="68"/>
      <c r="R541" s="68"/>
      <c r="S541" s="68"/>
    </row>
    <row r="542" spans="1:19" ht="15.75" customHeight="1">
      <c r="A542" s="68"/>
      <c r="B542" s="68"/>
      <c r="D542" s="68"/>
      <c r="E542" s="69"/>
      <c r="K542" s="68"/>
      <c r="M542" s="68"/>
      <c r="O542" s="68"/>
      <c r="P542" s="68"/>
      <c r="Q542" s="68"/>
      <c r="R542" s="68"/>
      <c r="S542" s="68"/>
    </row>
    <row r="543" spans="1:19" ht="15.75" customHeight="1">
      <c r="A543" s="68"/>
      <c r="B543" s="68"/>
      <c r="D543" s="68"/>
      <c r="E543" s="69"/>
      <c r="K543" s="68"/>
      <c r="M543" s="68"/>
      <c r="O543" s="68"/>
      <c r="P543" s="68"/>
      <c r="Q543" s="68"/>
      <c r="R543" s="68"/>
      <c r="S543" s="68"/>
    </row>
    <row r="544" spans="1:19" ht="15.75" customHeight="1">
      <c r="A544" s="68"/>
      <c r="B544" s="68"/>
      <c r="D544" s="68"/>
      <c r="E544" s="69"/>
      <c r="K544" s="68"/>
      <c r="M544" s="68"/>
      <c r="O544" s="68"/>
      <c r="P544" s="68"/>
      <c r="Q544" s="68"/>
      <c r="R544" s="68"/>
      <c r="S544" s="68"/>
    </row>
    <row r="545" spans="1:19" ht="15.75" customHeight="1">
      <c r="A545" s="68"/>
      <c r="B545" s="68"/>
      <c r="D545" s="68"/>
      <c r="E545" s="69"/>
      <c r="K545" s="68"/>
      <c r="M545" s="68"/>
      <c r="O545" s="68"/>
      <c r="P545" s="68"/>
      <c r="Q545" s="68"/>
      <c r="R545" s="68"/>
      <c r="S545" s="68"/>
    </row>
    <row r="546" spans="1:19" ht="15.75" customHeight="1">
      <c r="A546" s="68"/>
      <c r="B546" s="68"/>
      <c r="D546" s="68"/>
      <c r="E546" s="69"/>
      <c r="K546" s="68"/>
      <c r="M546" s="68"/>
      <c r="O546" s="68"/>
      <c r="P546" s="68"/>
      <c r="Q546" s="68"/>
      <c r="R546" s="68"/>
      <c r="S546" s="68"/>
    </row>
    <row r="547" spans="1:19" ht="15.75" customHeight="1">
      <c r="A547" s="68"/>
      <c r="B547" s="68"/>
      <c r="D547" s="68"/>
      <c r="E547" s="69"/>
      <c r="K547" s="68"/>
      <c r="M547" s="68"/>
      <c r="O547" s="68"/>
      <c r="P547" s="68"/>
      <c r="Q547" s="68"/>
      <c r="R547" s="68"/>
      <c r="S547" s="68"/>
    </row>
    <row r="548" spans="1:19" ht="15.75" customHeight="1">
      <c r="A548" s="68"/>
      <c r="B548" s="68"/>
      <c r="D548" s="68"/>
      <c r="E548" s="69"/>
      <c r="K548" s="68"/>
      <c r="M548" s="68"/>
      <c r="O548" s="68"/>
      <c r="P548" s="68"/>
      <c r="Q548" s="68"/>
      <c r="R548" s="68"/>
      <c r="S548" s="68"/>
    </row>
    <row r="549" spans="1:19" ht="15.75" customHeight="1">
      <c r="A549" s="68"/>
      <c r="B549" s="68"/>
      <c r="D549" s="68"/>
      <c r="E549" s="69"/>
      <c r="K549" s="68"/>
      <c r="M549" s="68"/>
      <c r="O549" s="68"/>
      <c r="P549" s="68"/>
      <c r="Q549" s="68"/>
      <c r="R549" s="68"/>
      <c r="S549" s="68"/>
    </row>
    <row r="550" spans="1:19" ht="15.75" customHeight="1">
      <c r="A550" s="68"/>
      <c r="B550" s="68"/>
      <c r="D550" s="68"/>
      <c r="E550" s="69"/>
      <c r="K550" s="68"/>
      <c r="M550" s="68"/>
      <c r="O550" s="68"/>
      <c r="P550" s="68"/>
      <c r="Q550" s="68"/>
      <c r="R550" s="68"/>
      <c r="S550" s="68"/>
    </row>
    <row r="551" spans="1:19" ht="15.75" customHeight="1">
      <c r="A551" s="68"/>
      <c r="B551" s="68"/>
      <c r="D551" s="68"/>
      <c r="E551" s="69"/>
      <c r="K551" s="68"/>
      <c r="M551" s="68"/>
      <c r="O551" s="68"/>
      <c r="P551" s="68"/>
      <c r="Q551" s="68"/>
      <c r="R551" s="68"/>
      <c r="S551" s="68"/>
    </row>
    <row r="552" spans="1:19" ht="15.75" customHeight="1">
      <c r="A552" s="68"/>
      <c r="B552" s="68"/>
      <c r="D552" s="68"/>
      <c r="E552" s="69"/>
      <c r="K552" s="68"/>
      <c r="M552" s="68"/>
      <c r="O552" s="68"/>
      <c r="P552" s="68"/>
      <c r="Q552" s="68"/>
      <c r="R552" s="68"/>
      <c r="S552" s="68"/>
    </row>
    <row r="553" spans="1:19" ht="15.75" customHeight="1">
      <c r="A553" s="68"/>
      <c r="B553" s="68"/>
      <c r="D553" s="68"/>
      <c r="E553" s="69"/>
      <c r="K553" s="68"/>
      <c r="M553" s="68"/>
      <c r="O553" s="68"/>
      <c r="P553" s="68"/>
      <c r="Q553" s="68"/>
      <c r="R553" s="68"/>
      <c r="S553" s="68"/>
    </row>
    <row r="554" spans="1:19" ht="15.75" customHeight="1">
      <c r="A554" s="68"/>
      <c r="B554" s="68"/>
      <c r="D554" s="68"/>
      <c r="E554" s="69"/>
      <c r="K554" s="68"/>
      <c r="M554" s="68"/>
      <c r="O554" s="68"/>
      <c r="P554" s="68"/>
      <c r="Q554" s="68"/>
      <c r="R554" s="68"/>
      <c r="S554" s="68"/>
    </row>
    <row r="555" spans="1:19" ht="15.75" customHeight="1">
      <c r="A555" s="68"/>
      <c r="B555" s="68"/>
      <c r="D555" s="68"/>
      <c r="E555" s="69"/>
      <c r="K555" s="68"/>
      <c r="M555" s="68"/>
      <c r="O555" s="68"/>
      <c r="P555" s="68"/>
      <c r="Q555" s="68"/>
      <c r="R555" s="68"/>
      <c r="S555" s="68"/>
    </row>
    <row r="556" spans="1:19" ht="15.75" customHeight="1">
      <c r="A556" s="68"/>
      <c r="B556" s="68"/>
      <c r="D556" s="68"/>
      <c r="E556" s="69"/>
      <c r="K556" s="68"/>
      <c r="M556" s="68"/>
      <c r="O556" s="68"/>
      <c r="P556" s="68"/>
      <c r="Q556" s="68"/>
      <c r="R556" s="68"/>
      <c r="S556" s="68"/>
    </row>
    <row r="557" spans="1:19" ht="15.75" customHeight="1">
      <c r="A557" s="68"/>
      <c r="B557" s="68"/>
      <c r="D557" s="68"/>
      <c r="E557" s="69"/>
      <c r="K557" s="68"/>
      <c r="M557" s="68"/>
      <c r="O557" s="68"/>
      <c r="P557" s="68"/>
      <c r="Q557" s="68"/>
      <c r="R557" s="68"/>
      <c r="S557" s="68"/>
    </row>
    <row r="558" spans="1:19" ht="15.75" customHeight="1">
      <c r="A558" s="68"/>
      <c r="B558" s="68"/>
      <c r="D558" s="68"/>
      <c r="E558" s="69"/>
      <c r="K558" s="68"/>
      <c r="M558" s="68"/>
      <c r="O558" s="68"/>
      <c r="P558" s="68"/>
      <c r="Q558" s="68"/>
      <c r="R558" s="68"/>
      <c r="S558" s="68"/>
    </row>
    <row r="559" spans="1:19" ht="15.75" customHeight="1">
      <c r="A559" s="68"/>
      <c r="B559" s="68"/>
      <c r="D559" s="68"/>
      <c r="E559" s="69"/>
      <c r="K559" s="68"/>
      <c r="M559" s="68"/>
      <c r="O559" s="68"/>
      <c r="P559" s="68"/>
      <c r="Q559" s="68"/>
      <c r="R559" s="68"/>
      <c r="S559" s="68"/>
    </row>
    <row r="560" spans="1:19" ht="15.75" customHeight="1">
      <c r="A560" s="68"/>
      <c r="B560" s="68"/>
      <c r="D560" s="68"/>
      <c r="E560" s="69"/>
      <c r="K560" s="68"/>
      <c r="M560" s="68"/>
      <c r="O560" s="68"/>
      <c r="P560" s="68"/>
      <c r="Q560" s="68"/>
      <c r="R560" s="68"/>
      <c r="S560" s="68"/>
    </row>
    <row r="561" spans="1:19" ht="15.75" customHeight="1">
      <c r="A561" s="68"/>
      <c r="B561" s="68"/>
      <c r="D561" s="68"/>
      <c r="E561" s="69"/>
      <c r="K561" s="68"/>
      <c r="M561" s="68"/>
      <c r="O561" s="68"/>
      <c r="P561" s="68"/>
      <c r="Q561" s="68"/>
      <c r="R561" s="68"/>
      <c r="S561" s="68"/>
    </row>
    <row r="562" spans="1:19" ht="15.75" customHeight="1">
      <c r="A562" s="68"/>
      <c r="B562" s="68"/>
      <c r="D562" s="68"/>
      <c r="E562" s="69"/>
      <c r="K562" s="68"/>
      <c r="M562" s="68"/>
      <c r="O562" s="68"/>
      <c r="P562" s="68"/>
      <c r="Q562" s="68"/>
      <c r="R562" s="68"/>
      <c r="S562" s="68"/>
    </row>
    <row r="563" spans="1:19" ht="15.75" customHeight="1">
      <c r="A563" s="68"/>
      <c r="B563" s="68"/>
      <c r="D563" s="68"/>
      <c r="E563" s="69"/>
      <c r="K563" s="68"/>
      <c r="M563" s="68"/>
      <c r="O563" s="68"/>
      <c r="P563" s="68"/>
      <c r="Q563" s="68"/>
      <c r="R563" s="68"/>
      <c r="S563" s="68"/>
    </row>
    <row r="564" spans="1:19" ht="15.75" customHeight="1">
      <c r="A564" s="68"/>
      <c r="B564" s="68"/>
      <c r="D564" s="68"/>
      <c r="E564" s="69"/>
      <c r="K564" s="68"/>
      <c r="M564" s="68"/>
      <c r="O564" s="68"/>
      <c r="P564" s="68"/>
      <c r="Q564" s="68"/>
      <c r="R564" s="68"/>
      <c r="S564" s="68"/>
    </row>
    <row r="565" spans="1:19" ht="15.75" customHeight="1">
      <c r="A565" s="68"/>
      <c r="B565" s="68"/>
      <c r="D565" s="68"/>
      <c r="E565" s="69"/>
      <c r="K565" s="68"/>
      <c r="M565" s="68"/>
      <c r="O565" s="68"/>
      <c r="P565" s="68"/>
      <c r="Q565" s="68"/>
      <c r="R565" s="68"/>
      <c r="S565" s="68"/>
    </row>
    <row r="566" spans="1:19" ht="15.75" customHeight="1">
      <c r="A566" s="68"/>
      <c r="B566" s="68"/>
      <c r="D566" s="68"/>
      <c r="E566" s="69"/>
      <c r="K566" s="68"/>
      <c r="M566" s="68"/>
      <c r="O566" s="68"/>
      <c r="P566" s="68"/>
      <c r="Q566" s="68"/>
      <c r="R566" s="68"/>
      <c r="S566" s="68"/>
    </row>
    <row r="567" spans="1:19" ht="15.75" customHeight="1">
      <c r="A567" s="68"/>
      <c r="B567" s="68"/>
      <c r="D567" s="68"/>
      <c r="E567" s="69"/>
      <c r="K567" s="68"/>
      <c r="M567" s="68"/>
      <c r="O567" s="68"/>
      <c r="P567" s="68"/>
      <c r="Q567" s="68"/>
      <c r="R567" s="68"/>
      <c r="S567" s="68"/>
    </row>
    <row r="568" spans="1:19" ht="15.75" customHeight="1">
      <c r="A568" s="68"/>
      <c r="B568" s="68"/>
      <c r="D568" s="68"/>
      <c r="E568" s="69"/>
      <c r="K568" s="68"/>
      <c r="M568" s="68"/>
      <c r="O568" s="68"/>
      <c r="P568" s="68"/>
      <c r="Q568" s="68"/>
      <c r="R568" s="68"/>
      <c r="S568" s="68"/>
    </row>
    <row r="569" spans="1:19" ht="15.75" customHeight="1">
      <c r="A569" s="68"/>
      <c r="B569" s="68"/>
      <c r="D569" s="68"/>
      <c r="E569" s="69"/>
      <c r="K569" s="68"/>
      <c r="M569" s="68"/>
      <c r="O569" s="68"/>
      <c r="P569" s="68"/>
      <c r="Q569" s="68"/>
      <c r="R569" s="68"/>
      <c r="S569" s="68"/>
    </row>
    <row r="570" spans="1:19" ht="15.75" customHeight="1">
      <c r="A570" s="68"/>
      <c r="B570" s="68"/>
      <c r="D570" s="68"/>
      <c r="E570" s="69"/>
      <c r="K570" s="68"/>
      <c r="M570" s="68"/>
      <c r="O570" s="68"/>
      <c r="P570" s="68"/>
      <c r="Q570" s="68"/>
      <c r="R570" s="68"/>
      <c r="S570" s="68"/>
    </row>
    <row r="571" spans="1:19" ht="15.75" customHeight="1">
      <c r="A571" s="68"/>
      <c r="B571" s="68"/>
      <c r="D571" s="68"/>
      <c r="E571" s="69"/>
      <c r="K571" s="68"/>
      <c r="M571" s="68"/>
      <c r="O571" s="68"/>
      <c r="P571" s="68"/>
      <c r="Q571" s="68"/>
      <c r="R571" s="68"/>
      <c r="S571" s="68"/>
    </row>
    <row r="572" spans="1:19" ht="15.75" customHeight="1">
      <c r="A572" s="68"/>
      <c r="B572" s="68"/>
      <c r="D572" s="68"/>
      <c r="E572" s="69"/>
      <c r="K572" s="68"/>
      <c r="M572" s="68"/>
      <c r="O572" s="68"/>
      <c r="P572" s="68"/>
      <c r="Q572" s="68"/>
      <c r="R572" s="68"/>
      <c r="S572" s="68"/>
    </row>
    <row r="573" spans="1:19" ht="15.75" customHeight="1">
      <c r="A573" s="68"/>
      <c r="B573" s="68"/>
      <c r="D573" s="68"/>
      <c r="E573" s="69"/>
      <c r="K573" s="68"/>
      <c r="M573" s="68"/>
      <c r="O573" s="68"/>
      <c r="P573" s="68"/>
      <c r="Q573" s="68"/>
      <c r="R573" s="68"/>
      <c r="S573" s="68"/>
    </row>
    <row r="574" spans="1:19" ht="15.75" customHeight="1">
      <c r="A574" s="68"/>
      <c r="B574" s="68"/>
      <c r="D574" s="68"/>
      <c r="E574" s="69"/>
      <c r="K574" s="68"/>
      <c r="M574" s="68"/>
      <c r="O574" s="68"/>
      <c r="P574" s="68"/>
      <c r="Q574" s="68"/>
      <c r="R574" s="68"/>
      <c r="S574" s="68"/>
    </row>
    <row r="575" spans="1:19" ht="15.75" customHeight="1">
      <c r="A575" s="68"/>
      <c r="B575" s="68"/>
      <c r="D575" s="68"/>
      <c r="E575" s="69"/>
      <c r="K575" s="68"/>
      <c r="M575" s="68"/>
      <c r="O575" s="68"/>
      <c r="P575" s="68"/>
      <c r="Q575" s="68"/>
      <c r="R575" s="68"/>
      <c r="S575" s="68"/>
    </row>
    <row r="576" spans="1:19" ht="15.75" customHeight="1">
      <c r="A576" s="68"/>
      <c r="B576" s="68"/>
      <c r="D576" s="68"/>
      <c r="E576" s="69"/>
      <c r="K576" s="68"/>
      <c r="M576" s="68"/>
      <c r="O576" s="68"/>
      <c r="P576" s="68"/>
      <c r="Q576" s="68"/>
      <c r="R576" s="68"/>
      <c r="S576" s="68"/>
    </row>
    <row r="577" spans="1:19" ht="15.75" customHeight="1">
      <c r="A577" s="68"/>
      <c r="B577" s="68"/>
      <c r="D577" s="68"/>
      <c r="E577" s="69"/>
      <c r="K577" s="68"/>
      <c r="M577" s="68"/>
      <c r="O577" s="68"/>
      <c r="P577" s="68"/>
      <c r="Q577" s="68"/>
      <c r="R577" s="68"/>
      <c r="S577" s="68"/>
    </row>
    <row r="578" spans="1:19" ht="15.75" customHeight="1">
      <c r="A578" s="68"/>
      <c r="B578" s="68"/>
      <c r="D578" s="68"/>
      <c r="E578" s="69"/>
      <c r="K578" s="68"/>
      <c r="M578" s="68"/>
      <c r="O578" s="68"/>
      <c r="P578" s="68"/>
      <c r="Q578" s="68"/>
      <c r="R578" s="68"/>
      <c r="S578" s="68"/>
    </row>
    <row r="579" spans="1:19" ht="15.75" customHeight="1">
      <c r="A579" s="68"/>
      <c r="B579" s="68"/>
      <c r="D579" s="68"/>
      <c r="E579" s="69"/>
      <c r="K579" s="68"/>
      <c r="M579" s="68"/>
      <c r="O579" s="68"/>
      <c r="P579" s="68"/>
      <c r="Q579" s="68"/>
      <c r="R579" s="68"/>
      <c r="S579" s="68"/>
    </row>
    <row r="580" spans="1:19" ht="15.75" customHeight="1">
      <c r="A580" s="68"/>
      <c r="B580" s="68"/>
      <c r="D580" s="68"/>
      <c r="E580" s="69"/>
      <c r="K580" s="68"/>
      <c r="M580" s="68"/>
      <c r="O580" s="68"/>
      <c r="P580" s="68"/>
      <c r="Q580" s="68"/>
      <c r="R580" s="68"/>
      <c r="S580" s="68"/>
    </row>
    <row r="581" spans="1:19" ht="15.75" customHeight="1">
      <c r="A581" s="68"/>
      <c r="B581" s="68"/>
      <c r="D581" s="68"/>
      <c r="E581" s="69"/>
      <c r="K581" s="68"/>
      <c r="M581" s="68"/>
      <c r="O581" s="68"/>
      <c r="P581" s="68"/>
      <c r="Q581" s="68"/>
      <c r="R581" s="68"/>
      <c r="S581" s="68"/>
    </row>
    <row r="582" spans="1:19" ht="15.75" customHeight="1">
      <c r="A582" s="68"/>
      <c r="B582" s="68"/>
      <c r="D582" s="68"/>
      <c r="E582" s="69"/>
      <c r="K582" s="68"/>
      <c r="M582" s="68"/>
      <c r="O582" s="68"/>
      <c r="P582" s="68"/>
      <c r="Q582" s="68"/>
      <c r="R582" s="68"/>
      <c r="S582" s="68"/>
    </row>
    <row r="583" spans="1:19" ht="15.75" customHeight="1">
      <c r="A583" s="68"/>
      <c r="B583" s="68"/>
      <c r="D583" s="68"/>
      <c r="E583" s="69"/>
      <c r="K583" s="68"/>
      <c r="M583" s="68"/>
      <c r="O583" s="68"/>
      <c r="P583" s="68"/>
      <c r="Q583" s="68"/>
      <c r="R583" s="68"/>
      <c r="S583" s="68"/>
    </row>
    <row r="584" spans="1:19" ht="15.75" customHeight="1">
      <c r="A584" s="68"/>
      <c r="B584" s="68"/>
      <c r="D584" s="68"/>
      <c r="E584" s="69"/>
      <c r="K584" s="68"/>
      <c r="M584" s="68"/>
      <c r="O584" s="68"/>
      <c r="P584" s="68"/>
      <c r="Q584" s="68"/>
      <c r="R584" s="68"/>
      <c r="S584" s="68"/>
    </row>
    <row r="585" spans="1:19" ht="15.75" customHeight="1">
      <c r="A585" s="68"/>
      <c r="B585" s="68"/>
      <c r="D585" s="68"/>
      <c r="E585" s="69"/>
      <c r="K585" s="68"/>
      <c r="M585" s="68"/>
      <c r="O585" s="68"/>
      <c r="P585" s="68"/>
      <c r="Q585" s="68"/>
      <c r="R585" s="68"/>
      <c r="S585" s="68"/>
    </row>
    <row r="586" spans="1:19" ht="15.75" customHeight="1">
      <c r="A586" s="68"/>
      <c r="B586" s="68"/>
      <c r="D586" s="68"/>
      <c r="E586" s="69"/>
      <c r="K586" s="68"/>
      <c r="M586" s="68"/>
      <c r="O586" s="68"/>
      <c r="P586" s="68"/>
      <c r="Q586" s="68"/>
      <c r="R586" s="68"/>
      <c r="S586" s="68"/>
    </row>
    <row r="587" spans="1:19" ht="15.75" customHeight="1">
      <c r="A587" s="68"/>
      <c r="B587" s="68"/>
      <c r="D587" s="68"/>
      <c r="E587" s="69"/>
      <c r="K587" s="68"/>
      <c r="M587" s="68"/>
      <c r="O587" s="68"/>
      <c r="P587" s="68"/>
      <c r="Q587" s="68"/>
      <c r="R587" s="68"/>
      <c r="S587" s="68"/>
    </row>
    <row r="588" spans="1:19" ht="15.75" customHeight="1">
      <c r="A588" s="68"/>
      <c r="B588" s="68"/>
      <c r="D588" s="68"/>
      <c r="E588" s="69"/>
      <c r="K588" s="68"/>
      <c r="M588" s="68"/>
      <c r="O588" s="68"/>
      <c r="P588" s="68"/>
      <c r="Q588" s="68"/>
      <c r="R588" s="68"/>
      <c r="S588" s="68"/>
    </row>
    <row r="589" spans="1:19" ht="15.75" customHeight="1">
      <c r="A589" s="68"/>
      <c r="B589" s="68"/>
      <c r="D589" s="68"/>
      <c r="E589" s="69"/>
      <c r="K589" s="68"/>
      <c r="M589" s="68"/>
      <c r="O589" s="68"/>
      <c r="P589" s="68"/>
      <c r="Q589" s="68"/>
      <c r="R589" s="68"/>
      <c r="S589" s="68"/>
    </row>
    <row r="590" spans="1:19" ht="15.75" customHeight="1">
      <c r="A590" s="68"/>
      <c r="B590" s="68"/>
      <c r="D590" s="68"/>
      <c r="E590" s="69"/>
      <c r="K590" s="68"/>
      <c r="M590" s="68"/>
      <c r="O590" s="68"/>
      <c r="P590" s="68"/>
      <c r="Q590" s="68"/>
      <c r="R590" s="68"/>
      <c r="S590" s="68"/>
    </row>
    <row r="591" spans="1:19" ht="15.75" customHeight="1">
      <c r="A591" s="68"/>
      <c r="B591" s="68"/>
      <c r="D591" s="68"/>
      <c r="E591" s="69"/>
      <c r="K591" s="68"/>
      <c r="M591" s="68"/>
      <c r="O591" s="68"/>
      <c r="P591" s="68"/>
      <c r="Q591" s="68"/>
      <c r="R591" s="68"/>
      <c r="S591" s="68"/>
    </row>
    <row r="592" spans="1:19" ht="15.75" customHeight="1">
      <c r="A592" s="68"/>
      <c r="B592" s="68"/>
      <c r="D592" s="68"/>
      <c r="E592" s="69"/>
      <c r="K592" s="68"/>
      <c r="M592" s="68"/>
      <c r="O592" s="68"/>
      <c r="P592" s="68"/>
      <c r="Q592" s="68"/>
      <c r="R592" s="68"/>
      <c r="S592" s="68"/>
    </row>
    <row r="593" spans="1:19" ht="15.75" customHeight="1">
      <c r="A593" s="68"/>
      <c r="B593" s="68"/>
      <c r="D593" s="68"/>
      <c r="E593" s="69"/>
      <c r="K593" s="68"/>
      <c r="M593" s="68"/>
      <c r="O593" s="68"/>
      <c r="P593" s="68"/>
      <c r="Q593" s="68"/>
      <c r="R593" s="68"/>
      <c r="S593" s="68"/>
    </row>
    <row r="594" spans="1:19" ht="15.75" customHeight="1">
      <c r="A594" s="68"/>
      <c r="B594" s="68"/>
      <c r="D594" s="68"/>
      <c r="E594" s="69"/>
      <c r="K594" s="68"/>
      <c r="M594" s="68"/>
      <c r="O594" s="68"/>
      <c r="P594" s="68"/>
      <c r="Q594" s="68"/>
      <c r="R594" s="68"/>
      <c r="S594" s="68"/>
    </row>
    <row r="595" spans="1:19" ht="15.75" customHeight="1">
      <c r="A595" s="68"/>
      <c r="B595" s="68"/>
      <c r="D595" s="68"/>
      <c r="E595" s="69"/>
      <c r="K595" s="68"/>
      <c r="M595" s="68"/>
      <c r="O595" s="68"/>
      <c r="P595" s="68"/>
      <c r="Q595" s="68"/>
      <c r="R595" s="68"/>
      <c r="S595" s="68"/>
    </row>
    <row r="596" spans="1:19" ht="15.75" customHeight="1">
      <c r="A596" s="68"/>
      <c r="B596" s="68"/>
      <c r="D596" s="68"/>
      <c r="E596" s="69"/>
      <c r="K596" s="68"/>
      <c r="M596" s="68"/>
      <c r="O596" s="68"/>
      <c r="P596" s="68"/>
      <c r="Q596" s="68"/>
      <c r="R596" s="68"/>
      <c r="S596" s="68"/>
    </row>
    <row r="597" spans="1:19" ht="15.75" customHeight="1">
      <c r="A597" s="68"/>
      <c r="B597" s="68"/>
      <c r="D597" s="68"/>
      <c r="E597" s="69"/>
      <c r="K597" s="68"/>
      <c r="M597" s="68"/>
      <c r="O597" s="68"/>
      <c r="P597" s="68"/>
      <c r="Q597" s="68"/>
      <c r="R597" s="68"/>
      <c r="S597" s="68"/>
    </row>
    <row r="598" spans="1:19" ht="15.75" customHeight="1">
      <c r="A598" s="68"/>
      <c r="B598" s="68"/>
      <c r="D598" s="68"/>
      <c r="E598" s="69"/>
      <c r="K598" s="68"/>
      <c r="M598" s="68"/>
      <c r="O598" s="68"/>
      <c r="P598" s="68"/>
      <c r="Q598" s="68"/>
      <c r="R598" s="68"/>
      <c r="S598" s="68"/>
    </row>
    <row r="599" spans="1:19" ht="15.75" customHeight="1">
      <c r="A599" s="68"/>
      <c r="B599" s="68"/>
      <c r="D599" s="68"/>
      <c r="E599" s="69"/>
      <c r="K599" s="68"/>
      <c r="M599" s="68"/>
      <c r="O599" s="68"/>
      <c r="P599" s="68"/>
      <c r="Q599" s="68"/>
      <c r="R599" s="68"/>
      <c r="S599" s="68"/>
    </row>
    <row r="600" spans="1:19" ht="15.75" customHeight="1">
      <c r="A600" s="68"/>
      <c r="B600" s="68"/>
      <c r="D600" s="68"/>
      <c r="E600" s="69"/>
      <c r="K600" s="68"/>
      <c r="M600" s="68"/>
      <c r="O600" s="68"/>
      <c r="P600" s="68"/>
      <c r="Q600" s="68"/>
      <c r="R600" s="68"/>
      <c r="S600" s="68"/>
    </row>
    <row r="601" spans="1:19" ht="15.75" customHeight="1">
      <c r="A601" s="68"/>
      <c r="B601" s="68"/>
      <c r="D601" s="68"/>
      <c r="E601" s="69"/>
      <c r="K601" s="68"/>
      <c r="M601" s="68"/>
      <c r="O601" s="68"/>
      <c r="P601" s="68"/>
      <c r="Q601" s="68"/>
      <c r="R601" s="68"/>
      <c r="S601" s="68"/>
    </row>
    <row r="602" spans="1:19" ht="15.75" customHeight="1">
      <c r="A602" s="68"/>
      <c r="B602" s="68"/>
      <c r="D602" s="68"/>
      <c r="E602" s="69"/>
      <c r="K602" s="68"/>
      <c r="M602" s="68"/>
      <c r="O602" s="68"/>
      <c r="P602" s="68"/>
      <c r="Q602" s="68"/>
      <c r="R602" s="68"/>
      <c r="S602" s="68"/>
    </row>
    <row r="603" spans="1:19" ht="15.75" customHeight="1">
      <c r="A603" s="68"/>
      <c r="B603" s="68"/>
      <c r="D603" s="68"/>
      <c r="E603" s="69"/>
      <c r="K603" s="68"/>
      <c r="M603" s="68"/>
      <c r="O603" s="68"/>
      <c r="P603" s="68"/>
      <c r="Q603" s="68"/>
      <c r="R603" s="68"/>
      <c r="S603" s="68"/>
    </row>
    <row r="604" spans="1:19" ht="15.75" customHeight="1">
      <c r="A604" s="68"/>
      <c r="B604" s="68"/>
      <c r="D604" s="68"/>
      <c r="E604" s="69"/>
      <c r="K604" s="68"/>
      <c r="M604" s="68"/>
      <c r="O604" s="68"/>
      <c r="P604" s="68"/>
      <c r="Q604" s="68"/>
      <c r="R604" s="68"/>
      <c r="S604" s="68"/>
    </row>
    <row r="605" spans="1:19" ht="15.75" customHeight="1">
      <c r="A605" s="68"/>
      <c r="B605" s="68"/>
      <c r="D605" s="68"/>
      <c r="E605" s="69"/>
      <c r="K605" s="68"/>
      <c r="M605" s="68"/>
      <c r="O605" s="68"/>
      <c r="P605" s="68"/>
      <c r="Q605" s="68"/>
      <c r="R605" s="68"/>
      <c r="S605" s="68"/>
    </row>
    <row r="606" spans="1:19" ht="15.75" customHeight="1">
      <c r="A606" s="68"/>
      <c r="B606" s="68"/>
      <c r="D606" s="68"/>
      <c r="E606" s="69"/>
      <c r="K606" s="68"/>
      <c r="M606" s="68"/>
      <c r="O606" s="68"/>
      <c r="P606" s="68"/>
      <c r="Q606" s="68"/>
      <c r="R606" s="68"/>
      <c r="S606" s="68"/>
    </row>
    <row r="607" spans="1:19" ht="15.75" customHeight="1">
      <c r="A607" s="68"/>
      <c r="B607" s="68"/>
      <c r="D607" s="68"/>
      <c r="E607" s="69"/>
      <c r="K607" s="68"/>
      <c r="M607" s="68"/>
      <c r="O607" s="68"/>
      <c r="P607" s="68"/>
      <c r="Q607" s="68"/>
      <c r="R607" s="68"/>
      <c r="S607" s="68"/>
    </row>
    <row r="608" spans="1:19" ht="15.75" customHeight="1">
      <c r="A608" s="68"/>
      <c r="B608" s="68"/>
      <c r="D608" s="68"/>
      <c r="E608" s="69"/>
      <c r="K608" s="68"/>
      <c r="M608" s="68"/>
      <c r="O608" s="68"/>
      <c r="P608" s="68"/>
      <c r="Q608" s="68"/>
      <c r="R608" s="68"/>
      <c r="S608" s="68"/>
    </row>
    <row r="609" spans="1:19" ht="15.75" customHeight="1">
      <c r="A609" s="68"/>
      <c r="B609" s="68"/>
      <c r="D609" s="68"/>
      <c r="E609" s="69"/>
      <c r="K609" s="68"/>
      <c r="M609" s="68"/>
      <c r="O609" s="68"/>
      <c r="P609" s="68"/>
      <c r="Q609" s="68"/>
      <c r="R609" s="68"/>
      <c r="S609" s="68"/>
    </row>
    <row r="610" spans="1:19" ht="15.75" customHeight="1">
      <c r="A610" s="68"/>
      <c r="B610" s="68"/>
      <c r="D610" s="68"/>
      <c r="E610" s="69"/>
      <c r="K610" s="68"/>
      <c r="M610" s="68"/>
      <c r="O610" s="68"/>
      <c r="P610" s="68"/>
      <c r="Q610" s="68"/>
      <c r="R610" s="68"/>
      <c r="S610" s="68"/>
    </row>
    <row r="611" spans="1:19" ht="15.75" customHeight="1">
      <c r="A611" s="68"/>
      <c r="B611" s="68"/>
      <c r="D611" s="68"/>
      <c r="E611" s="69"/>
      <c r="K611" s="68"/>
      <c r="M611" s="68"/>
      <c r="O611" s="68"/>
      <c r="P611" s="68"/>
      <c r="Q611" s="68"/>
      <c r="R611" s="68"/>
      <c r="S611" s="68"/>
    </row>
    <row r="612" spans="1:19" ht="15.75" customHeight="1">
      <c r="A612" s="68"/>
      <c r="B612" s="68"/>
      <c r="D612" s="68"/>
      <c r="E612" s="69"/>
      <c r="K612" s="68"/>
      <c r="M612" s="68"/>
      <c r="O612" s="68"/>
      <c r="P612" s="68"/>
      <c r="Q612" s="68"/>
      <c r="R612" s="68"/>
      <c r="S612" s="68"/>
    </row>
    <row r="613" spans="1:19" ht="15.75" customHeight="1">
      <c r="A613" s="68"/>
      <c r="B613" s="68"/>
      <c r="D613" s="68"/>
      <c r="E613" s="69"/>
      <c r="K613" s="68"/>
      <c r="M613" s="68"/>
      <c r="O613" s="68"/>
      <c r="P613" s="68"/>
      <c r="Q613" s="68"/>
      <c r="R613" s="68"/>
      <c r="S613" s="68"/>
    </row>
    <row r="614" spans="1:19" ht="15.75" customHeight="1">
      <c r="A614" s="68"/>
      <c r="B614" s="68"/>
      <c r="D614" s="68"/>
      <c r="E614" s="69"/>
      <c r="K614" s="68"/>
      <c r="M614" s="68"/>
      <c r="O614" s="68"/>
      <c r="P614" s="68"/>
      <c r="Q614" s="68"/>
      <c r="R614" s="68"/>
      <c r="S614" s="68"/>
    </row>
    <row r="615" spans="1:19" ht="15.75" customHeight="1">
      <c r="A615" s="68"/>
      <c r="B615" s="68"/>
      <c r="D615" s="68"/>
      <c r="E615" s="69"/>
      <c r="K615" s="68"/>
      <c r="M615" s="68"/>
      <c r="O615" s="68"/>
      <c r="P615" s="68"/>
      <c r="Q615" s="68"/>
      <c r="R615" s="68"/>
      <c r="S615" s="68"/>
    </row>
    <row r="616" spans="1:19" ht="15.75" customHeight="1">
      <c r="A616" s="68"/>
      <c r="B616" s="68"/>
      <c r="D616" s="68"/>
      <c r="E616" s="69"/>
      <c r="K616" s="68"/>
      <c r="M616" s="68"/>
      <c r="O616" s="68"/>
      <c r="P616" s="68"/>
      <c r="Q616" s="68"/>
      <c r="R616" s="68"/>
      <c r="S616" s="68"/>
    </row>
    <row r="617" spans="1:19" ht="15.75" customHeight="1">
      <c r="A617" s="68"/>
      <c r="B617" s="68"/>
      <c r="D617" s="68"/>
      <c r="E617" s="69"/>
      <c r="K617" s="68"/>
      <c r="M617" s="68"/>
      <c r="O617" s="68"/>
      <c r="P617" s="68"/>
      <c r="Q617" s="68"/>
      <c r="R617" s="68"/>
      <c r="S617" s="68"/>
    </row>
    <row r="618" spans="1:19" ht="15.75" customHeight="1">
      <c r="A618" s="68"/>
      <c r="B618" s="68"/>
      <c r="D618" s="68"/>
      <c r="E618" s="69"/>
      <c r="K618" s="68"/>
      <c r="M618" s="68"/>
      <c r="O618" s="68"/>
      <c r="P618" s="68"/>
      <c r="Q618" s="68"/>
      <c r="R618" s="68"/>
      <c r="S618" s="68"/>
    </row>
    <row r="619" spans="1:19" ht="15.75" customHeight="1">
      <c r="A619" s="68"/>
      <c r="B619" s="68"/>
      <c r="D619" s="68"/>
      <c r="E619" s="69"/>
      <c r="K619" s="68"/>
      <c r="M619" s="68"/>
      <c r="O619" s="68"/>
      <c r="P619" s="68"/>
      <c r="Q619" s="68"/>
      <c r="R619" s="68"/>
      <c r="S619" s="68"/>
    </row>
    <row r="620" spans="1:19" ht="15.75" customHeight="1">
      <c r="A620" s="68"/>
      <c r="B620" s="68"/>
      <c r="D620" s="68"/>
      <c r="E620" s="69"/>
      <c r="K620" s="68"/>
      <c r="M620" s="68"/>
      <c r="O620" s="68"/>
      <c r="P620" s="68"/>
      <c r="Q620" s="68"/>
      <c r="R620" s="68"/>
      <c r="S620" s="68"/>
    </row>
    <row r="621" spans="1:19" ht="15.75" customHeight="1">
      <c r="A621" s="68"/>
      <c r="B621" s="68"/>
      <c r="D621" s="68"/>
      <c r="E621" s="69"/>
      <c r="K621" s="68"/>
      <c r="M621" s="68"/>
      <c r="O621" s="68"/>
      <c r="P621" s="68"/>
      <c r="Q621" s="68"/>
      <c r="R621" s="68"/>
      <c r="S621" s="68"/>
    </row>
    <row r="622" spans="1:19" ht="15.75" customHeight="1">
      <c r="A622" s="68"/>
      <c r="B622" s="68"/>
      <c r="D622" s="68"/>
      <c r="E622" s="69"/>
      <c r="K622" s="68"/>
      <c r="M622" s="68"/>
      <c r="O622" s="68"/>
      <c r="P622" s="68"/>
      <c r="Q622" s="68"/>
      <c r="R622" s="68"/>
      <c r="S622" s="68"/>
    </row>
    <row r="623" spans="1:19" ht="15.75" customHeight="1">
      <c r="A623" s="68"/>
      <c r="B623" s="68"/>
      <c r="D623" s="68"/>
      <c r="E623" s="69"/>
      <c r="K623" s="68"/>
      <c r="M623" s="68"/>
      <c r="O623" s="68"/>
      <c r="P623" s="68"/>
      <c r="Q623" s="68"/>
      <c r="R623" s="68"/>
      <c r="S623" s="68"/>
    </row>
    <row r="624" spans="1:19" ht="15.75" customHeight="1">
      <c r="A624" s="68"/>
      <c r="B624" s="68"/>
      <c r="D624" s="68"/>
      <c r="E624" s="69"/>
      <c r="K624" s="68"/>
      <c r="M624" s="68"/>
      <c r="O624" s="68"/>
      <c r="P624" s="68"/>
      <c r="Q624" s="68"/>
      <c r="R624" s="68"/>
      <c r="S624" s="68"/>
    </row>
    <row r="625" spans="1:19" ht="15.75" customHeight="1">
      <c r="A625" s="68"/>
      <c r="B625" s="68"/>
      <c r="D625" s="68"/>
      <c r="E625" s="69"/>
      <c r="K625" s="68"/>
      <c r="M625" s="68"/>
      <c r="O625" s="68"/>
      <c r="P625" s="68"/>
      <c r="Q625" s="68"/>
      <c r="R625" s="68"/>
      <c r="S625" s="68"/>
    </row>
    <row r="626" spans="1:19" ht="15.75" customHeight="1">
      <c r="A626" s="68"/>
      <c r="B626" s="68"/>
      <c r="D626" s="68"/>
      <c r="E626" s="69"/>
      <c r="K626" s="68"/>
      <c r="M626" s="68"/>
      <c r="O626" s="68"/>
      <c r="P626" s="68"/>
      <c r="Q626" s="68"/>
      <c r="R626" s="68"/>
      <c r="S626" s="68"/>
    </row>
    <row r="627" spans="1:19" ht="15.75" customHeight="1">
      <c r="A627" s="68"/>
      <c r="B627" s="68"/>
      <c r="D627" s="68"/>
      <c r="E627" s="69"/>
      <c r="K627" s="68"/>
      <c r="M627" s="68"/>
      <c r="O627" s="68"/>
      <c r="P627" s="68"/>
      <c r="Q627" s="68"/>
      <c r="R627" s="68"/>
      <c r="S627" s="68"/>
    </row>
    <row r="628" spans="1:19" ht="15.75" customHeight="1">
      <c r="A628" s="68"/>
      <c r="B628" s="68"/>
      <c r="D628" s="68"/>
      <c r="E628" s="69"/>
      <c r="K628" s="68"/>
      <c r="M628" s="68"/>
      <c r="O628" s="68"/>
      <c r="P628" s="68"/>
      <c r="Q628" s="68"/>
      <c r="R628" s="68"/>
      <c r="S628" s="68"/>
    </row>
    <row r="629" spans="1:19" ht="15.75" customHeight="1">
      <c r="A629" s="68"/>
      <c r="B629" s="68"/>
      <c r="D629" s="68"/>
      <c r="E629" s="69"/>
      <c r="K629" s="68"/>
      <c r="M629" s="68"/>
      <c r="O629" s="68"/>
      <c r="P629" s="68"/>
      <c r="Q629" s="68"/>
      <c r="R629" s="68"/>
      <c r="S629" s="68"/>
    </row>
    <row r="630" spans="1:19" ht="15.75" customHeight="1">
      <c r="A630" s="68"/>
      <c r="B630" s="68"/>
      <c r="D630" s="68"/>
      <c r="E630" s="69"/>
      <c r="K630" s="68"/>
      <c r="M630" s="68"/>
      <c r="O630" s="68"/>
      <c r="P630" s="68"/>
      <c r="Q630" s="68"/>
      <c r="R630" s="68"/>
      <c r="S630" s="68"/>
    </row>
    <row r="631" spans="1:19" ht="15.75" customHeight="1">
      <c r="A631" s="68"/>
      <c r="B631" s="68"/>
      <c r="D631" s="68"/>
      <c r="E631" s="69"/>
      <c r="K631" s="68"/>
      <c r="M631" s="68"/>
      <c r="O631" s="68"/>
      <c r="P631" s="68"/>
      <c r="Q631" s="68"/>
      <c r="R631" s="68"/>
      <c r="S631" s="68"/>
    </row>
    <row r="632" spans="1:19" ht="15.75" customHeight="1">
      <c r="A632" s="68"/>
      <c r="B632" s="68"/>
      <c r="D632" s="68"/>
      <c r="E632" s="69"/>
      <c r="K632" s="68"/>
      <c r="M632" s="68"/>
      <c r="O632" s="68"/>
      <c r="P632" s="68"/>
      <c r="Q632" s="68"/>
      <c r="R632" s="68"/>
      <c r="S632" s="68"/>
    </row>
    <row r="633" spans="1:19" ht="15.75" customHeight="1">
      <c r="A633" s="68"/>
      <c r="B633" s="68"/>
      <c r="D633" s="68"/>
      <c r="E633" s="69"/>
      <c r="K633" s="68"/>
      <c r="M633" s="68"/>
      <c r="O633" s="68"/>
      <c r="P633" s="68"/>
      <c r="Q633" s="68"/>
      <c r="R633" s="68"/>
      <c r="S633" s="68"/>
    </row>
    <row r="634" spans="1:19" ht="15.75" customHeight="1">
      <c r="A634" s="68"/>
      <c r="B634" s="68"/>
      <c r="D634" s="68"/>
      <c r="E634" s="69"/>
      <c r="K634" s="68"/>
      <c r="M634" s="68"/>
      <c r="O634" s="68"/>
      <c r="P634" s="68"/>
      <c r="Q634" s="68"/>
      <c r="R634" s="68"/>
      <c r="S634" s="68"/>
    </row>
    <row r="635" spans="1:19" ht="15.75" customHeight="1">
      <c r="A635" s="68"/>
      <c r="B635" s="68"/>
      <c r="D635" s="68"/>
      <c r="E635" s="69"/>
      <c r="K635" s="68"/>
      <c r="M635" s="68"/>
      <c r="O635" s="68"/>
      <c r="P635" s="68"/>
      <c r="Q635" s="68"/>
      <c r="R635" s="68"/>
      <c r="S635" s="68"/>
    </row>
    <row r="636" spans="1:19" ht="15.75" customHeight="1">
      <c r="A636" s="68"/>
      <c r="B636" s="68"/>
      <c r="D636" s="68"/>
      <c r="E636" s="69"/>
      <c r="K636" s="68"/>
      <c r="M636" s="68"/>
      <c r="O636" s="68"/>
      <c r="P636" s="68"/>
      <c r="Q636" s="68"/>
      <c r="R636" s="68"/>
      <c r="S636" s="68"/>
    </row>
    <row r="637" spans="1:19" ht="15.75" customHeight="1">
      <c r="A637" s="68"/>
      <c r="B637" s="68"/>
      <c r="D637" s="68"/>
      <c r="E637" s="69"/>
      <c r="K637" s="68"/>
      <c r="M637" s="68"/>
      <c r="O637" s="68"/>
      <c r="P637" s="68"/>
      <c r="Q637" s="68"/>
      <c r="R637" s="68"/>
      <c r="S637" s="68"/>
    </row>
    <row r="638" spans="1:19" ht="15.75" customHeight="1">
      <c r="A638" s="68"/>
      <c r="B638" s="68"/>
      <c r="D638" s="68"/>
      <c r="E638" s="69"/>
      <c r="K638" s="68"/>
      <c r="M638" s="68"/>
      <c r="O638" s="68"/>
      <c r="P638" s="68"/>
      <c r="Q638" s="68"/>
      <c r="R638" s="68"/>
      <c r="S638" s="68"/>
    </row>
    <row r="639" spans="1:19" ht="15.75" customHeight="1">
      <c r="A639" s="68"/>
      <c r="B639" s="68"/>
      <c r="D639" s="68"/>
      <c r="E639" s="69"/>
      <c r="K639" s="68"/>
      <c r="M639" s="68"/>
      <c r="O639" s="68"/>
      <c r="P639" s="68"/>
      <c r="Q639" s="68"/>
      <c r="R639" s="68"/>
      <c r="S639" s="68"/>
    </row>
    <row r="640" spans="1:19" ht="15.75" customHeight="1">
      <c r="A640" s="68"/>
      <c r="B640" s="68"/>
      <c r="D640" s="68"/>
      <c r="E640" s="69"/>
      <c r="K640" s="68"/>
      <c r="M640" s="68"/>
      <c r="O640" s="68"/>
      <c r="P640" s="68"/>
      <c r="Q640" s="68"/>
      <c r="R640" s="68"/>
      <c r="S640" s="68"/>
    </row>
    <row r="641" spans="1:19" ht="15.75" customHeight="1">
      <c r="A641" s="68"/>
      <c r="B641" s="68"/>
      <c r="D641" s="68"/>
      <c r="E641" s="69"/>
      <c r="K641" s="68"/>
      <c r="M641" s="68"/>
      <c r="O641" s="68"/>
      <c r="P641" s="68"/>
      <c r="Q641" s="68"/>
      <c r="R641" s="68"/>
      <c r="S641" s="68"/>
    </row>
    <row r="642" spans="1:19" ht="15.75" customHeight="1">
      <c r="A642" s="68"/>
      <c r="B642" s="68"/>
      <c r="D642" s="68"/>
      <c r="E642" s="69"/>
      <c r="K642" s="68"/>
      <c r="M642" s="68"/>
      <c r="O642" s="68"/>
      <c r="P642" s="68"/>
      <c r="Q642" s="68"/>
      <c r="R642" s="68"/>
      <c r="S642" s="68"/>
    </row>
    <row r="643" spans="1:19" ht="15.75" customHeight="1">
      <c r="A643" s="68"/>
      <c r="B643" s="68"/>
      <c r="D643" s="68"/>
      <c r="E643" s="69"/>
      <c r="K643" s="68"/>
      <c r="M643" s="68"/>
      <c r="O643" s="68"/>
      <c r="P643" s="68"/>
      <c r="Q643" s="68"/>
      <c r="R643" s="68"/>
      <c r="S643" s="68"/>
    </row>
    <row r="644" spans="1:19" ht="15.75" customHeight="1">
      <c r="A644" s="68"/>
      <c r="B644" s="68"/>
      <c r="D644" s="68"/>
      <c r="E644" s="69"/>
      <c r="K644" s="68"/>
      <c r="M644" s="68"/>
      <c r="O644" s="68"/>
      <c r="P644" s="68"/>
      <c r="Q644" s="68"/>
      <c r="R644" s="68"/>
      <c r="S644" s="68"/>
    </row>
    <row r="645" spans="1:19" ht="15.75" customHeight="1">
      <c r="A645" s="68"/>
      <c r="B645" s="68"/>
      <c r="D645" s="68"/>
      <c r="E645" s="69"/>
      <c r="K645" s="68"/>
      <c r="M645" s="68"/>
      <c r="O645" s="68"/>
      <c r="P645" s="68"/>
      <c r="Q645" s="68"/>
      <c r="R645" s="68"/>
      <c r="S645" s="68"/>
    </row>
    <row r="646" spans="1:19" ht="15.75" customHeight="1">
      <c r="A646" s="68"/>
      <c r="B646" s="68"/>
      <c r="D646" s="68"/>
      <c r="E646" s="69"/>
      <c r="K646" s="68"/>
      <c r="M646" s="68"/>
      <c r="O646" s="68"/>
      <c r="P646" s="68"/>
      <c r="Q646" s="68"/>
      <c r="R646" s="68"/>
      <c r="S646" s="68"/>
    </row>
    <row r="647" spans="1:19" ht="15.75" customHeight="1">
      <c r="A647" s="68"/>
      <c r="B647" s="68"/>
      <c r="D647" s="68"/>
      <c r="E647" s="69"/>
      <c r="K647" s="68"/>
      <c r="M647" s="68"/>
      <c r="O647" s="68"/>
      <c r="P647" s="68"/>
      <c r="Q647" s="68"/>
      <c r="R647" s="68"/>
      <c r="S647" s="68"/>
    </row>
    <row r="648" spans="1:19" ht="15.75" customHeight="1">
      <c r="A648" s="68"/>
      <c r="B648" s="68"/>
      <c r="D648" s="68"/>
      <c r="E648" s="69"/>
      <c r="K648" s="68"/>
      <c r="M648" s="68"/>
      <c r="O648" s="68"/>
      <c r="P648" s="68"/>
      <c r="Q648" s="68"/>
      <c r="R648" s="68"/>
      <c r="S648" s="68"/>
    </row>
    <row r="649" spans="1:19" ht="15.75" customHeight="1">
      <c r="A649" s="68"/>
      <c r="B649" s="68"/>
      <c r="D649" s="68"/>
      <c r="E649" s="69"/>
      <c r="K649" s="68"/>
      <c r="M649" s="68"/>
      <c r="O649" s="68"/>
      <c r="P649" s="68"/>
      <c r="Q649" s="68"/>
      <c r="R649" s="68"/>
      <c r="S649" s="68"/>
    </row>
    <row r="650" spans="1:19" ht="15.75" customHeight="1">
      <c r="A650" s="68"/>
      <c r="B650" s="68"/>
      <c r="D650" s="68"/>
      <c r="E650" s="69"/>
      <c r="K650" s="68"/>
      <c r="M650" s="68"/>
      <c r="O650" s="68"/>
      <c r="P650" s="68"/>
      <c r="Q650" s="68"/>
      <c r="R650" s="68"/>
      <c r="S650" s="68"/>
    </row>
    <row r="651" spans="1:19" ht="15.75" customHeight="1">
      <c r="A651" s="68"/>
      <c r="B651" s="68"/>
      <c r="D651" s="68"/>
      <c r="E651" s="69"/>
      <c r="K651" s="68"/>
      <c r="M651" s="68"/>
      <c r="O651" s="68"/>
      <c r="P651" s="68"/>
      <c r="Q651" s="68"/>
      <c r="R651" s="68"/>
      <c r="S651" s="68"/>
    </row>
    <row r="652" spans="1:19" ht="15.75" customHeight="1">
      <c r="A652" s="68"/>
      <c r="B652" s="68"/>
      <c r="D652" s="68"/>
      <c r="E652" s="69"/>
      <c r="K652" s="68"/>
      <c r="M652" s="68"/>
      <c r="O652" s="68"/>
      <c r="P652" s="68"/>
      <c r="Q652" s="68"/>
      <c r="R652" s="68"/>
      <c r="S652" s="68"/>
    </row>
    <row r="653" spans="1:19" ht="15.75" customHeight="1">
      <c r="A653" s="68"/>
      <c r="B653" s="68"/>
      <c r="D653" s="68"/>
      <c r="E653" s="69"/>
      <c r="K653" s="68"/>
      <c r="M653" s="68"/>
      <c r="O653" s="68"/>
      <c r="P653" s="68"/>
      <c r="Q653" s="68"/>
      <c r="R653" s="68"/>
      <c r="S653" s="68"/>
    </row>
    <row r="654" spans="1:19" ht="15.75" customHeight="1">
      <c r="A654" s="68"/>
      <c r="B654" s="68"/>
      <c r="D654" s="68"/>
      <c r="E654" s="69"/>
      <c r="K654" s="68"/>
      <c r="M654" s="68"/>
      <c r="O654" s="68"/>
      <c r="P654" s="68"/>
      <c r="Q654" s="68"/>
      <c r="R654" s="68"/>
      <c r="S654" s="68"/>
    </row>
    <row r="655" spans="1:19" ht="15.75" customHeight="1">
      <c r="A655" s="68"/>
      <c r="B655" s="68"/>
      <c r="D655" s="68"/>
      <c r="E655" s="69"/>
      <c r="K655" s="68"/>
      <c r="M655" s="68"/>
      <c r="O655" s="68"/>
      <c r="P655" s="68"/>
      <c r="Q655" s="68"/>
      <c r="R655" s="68"/>
      <c r="S655" s="68"/>
    </row>
    <row r="656" spans="1:19" ht="15.75" customHeight="1">
      <c r="A656" s="68"/>
      <c r="B656" s="68"/>
      <c r="D656" s="68"/>
      <c r="E656" s="69"/>
      <c r="K656" s="68"/>
      <c r="M656" s="68"/>
      <c r="O656" s="68"/>
      <c r="P656" s="68"/>
      <c r="Q656" s="68"/>
      <c r="R656" s="68"/>
      <c r="S656" s="68"/>
    </row>
    <row r="657" spans="1:19" ht="15.75" customHeight="1">
      <c r="A657" s="68"/>
      <c r="B657" s="68"/>
      <c r="D657" s="68"/>
      <c r="E657" s="69"/>
      <c r="K657" s="68"/>
      <c r="M657" s="68"/>
      <c r="O657" s="68"/>
      <c r="P657" s="68"/>
      <c r="Q657" s="68"/>
      <c r="R657" s="68"/>
      <c r="S657" s="68"/>
    </row>
    <row r="658" spans="1:19" ht="15.75" customHeight="1">
      <c r="A658" s="68"/>
      <c r="B658" s="68"/>
      <c r="D658" s="68"/>
      <c r="E658" s="69"/>
      <c r="K658" s="68"/>
      <c r="M658" s="68"/>
      <c r="O658" s="68"/>
      <c r="P658" s="68"/>
      <c r="Q658" s="68"/>
      <c r="R658" s="68"/>
      <c r="S658" s="68"/>
    </row>
    <row r="659" spans="1:19" ht="15.75" customHeight="1">
      <c r="A659" s="68"/>
      <c r="B659" s="68"/>
      <c r="D659" s="68"/>
      <c r="E659" s="69"/>
      <c r="K659" s="68"/>
      <c r="M659" s="68"/>
      <c r="O659" s="68"/>
      <c r="P659" s="68"/>
      <c r="Q659" s="68"/>
      <c r="R659" s="68"/>
      <c r="S659" s="68"/>
    </row>
    <row r="660" spans="1:19" ht="15.75" customHeight="1">
      <c r="A660" s="68"/>
      <c r="B660" s="68"/>
      <c r="D660" s="68"/>
      <c r="E660" s="69"/>
      <c r="K660" s="68"/>
      <c r="M660" s="68"/>
      <c r="O660" s="68"/>
      <c r="P660" s="68"/>
      <c r="Q660" s="68"/>
      <c r="R660" s="68"/>
      <c r="S660" s="68"/>
    </row>
    <row r="661" spans="1:19" ht="15.75" customHeight="1">
      <c r="A661" s="68"/>
      <c r="B661" s="68"/>
      <c r="D661" s="68"/>
      <c r="E661" s="69"/>
      <c r="K661" s="68"/>
      <c r="M661" s="68"/>
      <c r="O661" s="68"/>
      <c r="P661" s="68"/>
      <c r="Q661" s="68"/>
      <c r="R661" s="68"/>
      <c r="S661" s="68"/>
    </row>
    <row r="662" spans="1:19" ht="15.75" customHeight="1">
      <c r="A662" s="68"/>
      <c r="B662" s="68"/>
      <c r="D662" s="68"/>
      <c r="E662" s="69"/>
      <c r="K662" s="68"/>
      <c r="M662" s="68"/>
      <c r="O662" s="68"/>
      <c r="P662" s="68"/>
      <c r="Q662" s="68"/>
      <c r="R662" s="68"/>
      <c r="S662" s="68"/>
    </row>
    <row r="663" spans="1:19" ht="15.75" customHeight="1">
      <c r="A663" s="68"/>
      <c r="B663" s="68"/>
      <c r="D663" s="68"/>
      <c r="E663" s="69"/>
      <c r="K663" s="68"/>
      <c r="M663" s="68"/>
      <c r="O663" s="68"/>
      <c r="P663" s="68"/>
      <c r="Q663" s="68"/>
      <c r="R663" s="68"/>
      <c r="S663" s="68"/>
    </row>
    <row r="664" spans="1:19" ht="15.75" customHeight="1">
      <c r="A664" s="68"/>
      <c r="B664" s="68"/>
      <c r="D664" s="68"/>
      <c r="E664" s="69"/>
      <c r="K664" s="68"/>
      <c r="M664" s="68"/>
      <c r="O664" s="68"/>
      <c r="P664" s="68"/>
      <c r="Q664" s="68"/>
      <c r="R664" s="68"/>
      <c r="S664" s="68"/>
    </row>
    <row r="665" spans="1:19" ht="15.75" customHeight="1">
      <c r="A665" s="68"/>
      <c r="B665" s="68"/>
      <c r="D665" s="68"/>
      <c r="E665" s="69"/>
      <c r="K665" s="68"/>
      <c r="M665" s="68"/>
      <c r="O665" s="68"/>
      <c r="P665" s="68"/>
      <c r="Q665" s="68"/>
      <c r="R665" s="68"/>
      <c r="S665" s="68"/>
    </row>
    <row r="666" spans="1:19" ht="15.75" customHeight="1">
      <c r="A666" s="68"/>
      <c r="B666" s="68"/>
      <c r="D666" s="68"/>
      <c r="E666" s="69"/>
      <c r="K666" s="68"/>
      <c r="M666" s="68"/>
      <c r="O666" s="68"/>
      <c r="P666" s="68"/>
      <c r="Q666" s="68"/>
      <c r="R666" s="68"/>
      <c r="S666" s="68"/>
    </row>
    <row r="667" spans="1:19" ht="15.75" customHeight="1">
      <c r="A667" s="68"/>
      <c r="B667" s="68"/>
      <c r="D667" s="68"/>
      <c r="E667" s="69"/>
      <c r="K667" s="68"/>
      <c r="M667" s="68"/>
      <c r="O667" s="68"/>
      <c r="P667" s="68"/>
      <c r="Q667" s="68"/>
      <c r="R667" s="68"/>
      <c r="S667" s="68"/>
    </row>
    <row r="668" spans="1:19" ht="15.75" customHeight="1">
      <c r="A668" s="68"/>
      <c r="B668" s="68"/>
      <c r="D668" s="68"/>
      <c r="E668" s="69"/>
      <c r="K668" s="68"/>
      <c r="M668" s="68"/>
      <c r="O668" s="68"/>
      <c r="P668" s="68"/>
      <c r="Q668" s="68"/>
      <c r="R668" s="68"/>
      <c r="S668" s="68"/>
    </row>
    <row r="669" spans="1:19" ht="15.75" customHeight="1">
      <c r="A669" s="68"/>
      <c r="B669" s="68"/>
      <c r="D669" s="68"/>
      <c r="E669" s="69"/>
      <c r="K669" s="68"/>
      <c r="M669" s="68"/>
      <c r="O669" s="68"/>
      <c r="P669" s="68"/>
      <c r="Q669" s="68"/>
      <c r="R669" s="68"/>
      <c r="S669" s="68"/>
    </row>
    <row r="670" spans="1:19" ht="15.75" customHeight="1">
      <c r="A670" s="68"/>
      <c r="B670" s="68"/>
      <c r="D670" s="68"/>
      <c r="E670" s="69"/>
      <c r="K670" s="68"/>
      <c r="M670" s="68"/>
      <c r="O670" s="68"/>
      <c r="P670" s="68"/>
      <c r="Q670" s="68"/>
      <c r="R670" s="68"/>
      <c r="S670" s="68"/>
    </row>
    <row r="671" spans="1:19" ht="15.75" customHeight="1">
      <c r="A671" s="68"/>
      <c r="B671" s="68"/>
      <c r="D671" s="68"/>
      <c r="E671" s="69"/>
      <c r="K671" s="68"/>
      <c r="M671" s="68"/>
      <c r="O671" s="68"/>
      <c r="P671" s="68"/>
      <c r="Q671" s="68"/>
      <c r="R671" s="68"/>
      <c r="S671" s="68"/>
    </row>
    <row r="672" spans="1:19" ht="15.75" customHeight="1">
      <c r="A672" s="68"/>
      <c r="B672" s="68"/>
      <c r="D672" s="68"/>
      <c r="E672" s="69"/>
      <c r="K672" s="68"/>
      <c r="M672" s="68"/>
      <c r="O672" s="68"/>
      <c r="P672" s="68"/>
      <c r="Q672" s="68"/>
      <c r="R672" s="68"/>
      <c r="S672" s="68"/>
    </row>
    <row r="673" spans="1:19" ht="15.75" customHeight="1">
      <c r="A673" s="68"/>
      <c r="B673" s="68"/>
      <c r="D673" s="68"/>
      <c r="E673" s="69"/>
      <c r="K673" s="68"/>
      <c r="M673" s="68"/>
      <c r="O673" s="68"/>
      <c r="P673" s="68"/>
      <c r="Q673" s="68"/>
      <c r="R673" s="68"/>
      <c r="S673" s="68"/>
    </row>
    <row r="674" spans="1:19" ht="15.75" customHeight="1">
      <c r="A674" s="68"/>
      <c r="B674" s="68"/>
      <c r="D674" s="68"/>
      <c r="E674" s="69"/>
      <c r="K674" s="68"/>
      <c r="M674" s="68"/>
      <c r="O674" s="68"/>
      <c r="P674" s="68"/>
      <c r="Q674" s="68"/>
      <c r="R674" s="68"/>
      <c r="S674" s="68"/>
    </row>
    <row r="675" spans="1:19" ht="15.75" customHeight="1">
      <c r="A675" s="68"/>
      <c r="B675" s="68"/>
      <c r="D675" s="68"/>
      <c r="E675" s="69"/>
      <c r="K675" s="68"/>
      <c r="M675" s="68"/>
      <c r="O675" s="68"/>
      <c r="P675" s="68"/>
      <c r="Q675" s="68"/>
      <c r="R675" s="68"/>
      <c r="S675" s="68"/>
    </row>
    <row r="676" spans="1:19" ht="15.75" customHeight="1">
      <c r="A676" s="68"/>
      <c r="B676" s="68"/>
      <c r="D676" s="68"/>
      <c r="E676" s="69"/>
      <c r="K676" s="68"/>
      <c r="M676" s="68"/>
      <c r="O676" s="68"/>
      <c r="P676" s="68"/>
      <c r="Q676" s="68"/>
      <c r="R676" s="68"/>
      <c r="S676" s="68"/>
    </row>
    <row r="677" spans="1:19" ht="15.75" customHeight="1">
      <c r="A677" s="68"/>
      <c r="B677" s="68"/>
      <c r="D677" s="68"/>
      <c r="E677" s="69"/>
      <c r="K677" s="68"/>
      <c r="M677" s="68"/>
      <c r="O677" s="68"/>
      <c r="P677" s="68"/>
      <c r="Q677" s="68"/>
      <c r="R677" s="68"/>
      <c r="S677" s="68"/>
    </row>
    <row r="678" spans="1:19" ht="15.75" customHeight="1">
      <c r="A678" s="68"/>
      <c r="B678" s="68"/>
      <c r="D678" s="68"/>
      <c r="E678" s="69"/>
      <c r="K678" s="68"/>
      <c r="M678" s="68"/>
      <c r="O678" s="68"/>
      <c r="P678" s="68"/>
      <c r="Q678" s="68"/>
      <c r="R678" s="68"/>
      <c r="S678" s="68"/>
    </row>
    <row r="679" spans="1:19" ht="15.75" customHeight="1">
      <c r="A679" s="68"/>
      <c r="B679" s="68"/>
      <c r="D679" s="68"/>
      <c r="E679" s="69"/>
      <c r="K679" s="68"/>
      <c r="M679" s="68"/>
      <c r="O679" s="68"/>
      <c r="P679" s="68"/>
      <c r="Q679" s="68"/>
      <c r="R679" s="68"/>
      <c r="S679" s="68"/>
    </row>
    <row r="680" spans="1:19" ht="15.75" customHeight="1">
      <c r="A680" s="68"/>
      <c r="B680" s="68"/>
      <c r="D680" s="68"/>
      <c r="E680" s="69"/>
      <c r="K680" s="68"/>
      <c r="M680" s="68"/>
      <c r="O680" s="68"/>
      <c r="P680" s="68"/>
      <c r="Q680" s="68"/>
      <c r="R680" s="68"/>
      <c r="S680" s="68"/>
    </row>
    <row r="681" spans="1:19" ht="15.75" customHeight="1">
      <c r="A681" s="68"/>
      <c r="B681" s="68"/>
      <c r="D681" s="68"/>
      <c r="E681" s="69"/>
      <c r="K681" s="68"/>
      <c r="M681" s="68"/>
      <c r="O681" s="68"/>
      <c r="P681" s="68"/>
      <c r="Q681" s="68"/>
      <c r="R681" s="68"/>
      <c r="S681" s="68"/>
    </row>
    <row r="682" spans="1:19" ht="15.75" customHeight="1">
      <c r="A682" s="68"/>
      <c r="B682" s="68"/>
      <c r="D682" s="68"/>
      <c r="E682" s="69"/>
      <c r="K682" s="68"/>
      <c r="M682" s="68"/>
      <c r="O682" s="68"/>
      <c r="P682" s="68"/>
      <c r="Q682" s="68"/>
      <c r="R682" s="68"/>
      <c r="S682" s="68"/>
    </row>
    <row r="683" spans="1:19" ht="15.75" customHeight="1">
      <c r="A683" s="68"/>
      <c r="B683" s="68"/>
      <c r="D683" s="68"/>
      <c r="E683" s="69"/>
      <c r="K683" s="68"/>
      <c r="M683" s="68"/>
      <c r="O683" s="68"/>
      <c r="P683" s="68"/>
      <c r="Q683" s="68"/>
      <c r="R683" s="68"/>
      <c r="S683" s="68"/>
    </row>
    <row r="684" spans="1:19" ht="15.75" customHeight="1">
      <c r="A684" s="68"/>
      <c r="B684" s="68"/>
      <c r="D684" s="68"/>
      <c r="E684" s="69"/>
      <c r="K684" s="68"/>
      <c r="M684" s="68"/>
      <c r="O684" s="68"/>
      <c r="P684" s="68"/>
      <c r="Q684" s="68"/>
      <c r="R684" s="68"/>
      <c r="S684" s="68"/>
    </row>
    <row r="685" spans="1:19" ht="15.75" customHeight="1">
      <c r="A685" s="68"/>
      <c r="B685" s="68"/>
      <c r="D685" s="68"/>
      <c r="E685" s="69"/>
      <c r="K685" s="68"/>
      <c r="M685" s="68"/>
      <c r="O685" s="68"/>
      <c r="P685" s="68"/>
      <c r="Q685" s="68"/>
      <c r="R685" s="68"/>
      <c r="S685" s="68"/>
    </row>
    <row r="686" spans="1:19" ht="15.75" customHeight="1">
      <c r="A686" s="68"/>
      <c r="B686" s="68"/>
      <c r="D686" s="68"/>
      <c r="E686" s="69"/>
      <c r="K686" s="68"/>
      <c r="M686" s="68"/>
      <c r="O686" s="68"/>
      <c r="P686" s="68"/>
      <c r="Q686" s="68"/>
      <c r="R686" s="68"/>
      <c r="S686" s="68"/>
    </row>
    <row r="687" spans="1:19" ht="15.75" customHeight="1">
      <c r="A687" s="68"/>
      <c r="B687" s="68"/>
      <c r="D687" s="68"/>
      <c r="E687" s="69"/>
      <c r="K687" s="68"/>
      <c r="M687" s="68"/>
      <c r="O687" s="68"/>
      <c r="P687" s="68"/>
      <c r="Q687" s="68"/>
      <c r="R687" s="68"/>
      <c r="S687" s="68"/>
    </row>
    <row r="688" spans="1:19" ht="15.75" customHeight="1">
      <c r="A688" s="68"/>
      <c r="B688" s="68"/>
      <c r="D688" s="68"/>
      <c r="E688" s="69"/>
      <c r="K688" s="68"/>
      <c r="M688" s="68"/>
      <c r="O688" s="68"/>
      <c r="P688" s="68"/>
      <c r="Q688" s="68"/>
      <c r="R688" s="68"/>
      <c r="S688" s="68"/>
    </row>
    <row r="689" spans="1:19" ht="15.75" customHeight="1">
      <c r="A689" s="68"/>
      <c r="B689" s="68"/>
      <c r="D689" s="68"/>
      <c r="E689" s="69"/>
      <c r="K689" s="68"/>
      <c r="M689" s="68"/>
      <c r="O689" s="68"/>
      <c r="P689" s="68"/>
      <c r="Q689" s="68"/>
      <c r="R689" s="68"/>
      <c r="S689" s="68"/>
    </row>
    <row r="690" spans="1:19" ht="15.75" customHeight="1">
      <c r="A690" s="68"/>
      <c r="B690" s="68"/>
      <c r="D690" s="68"/>
      <c r="E690" s="69"/>
      <c r="K690" s="68"/>
      <c r="M690" s="68"/>
      <c r="O690" s="68"/>
      <c r="P690" s="68"/>
      <c r="Q690" s="68"/>
      <c r="R690" s="68"/>
      <c r="S690" s="68"/>
    </row>
    <row r="691" spans="1:19" ht="15.75" customHeight="1">
      <c r="A691" s="68"/>
      <c r="B691" s="68"/>
      <c r="D691" s="68"/>
      <c r="E691" s="69"/>
      <c r="K691" s="68"/>
      <c r="M691" s="68"/>
      <c r="O691" s="68"/>
      <c r="P691" s="68"/>
      <c r="Q691" s="68"/>
      <c r="R691" s="68"/>
      <c r="S691" s="68"/>
    </row>
    <row r="692" spans="1:19" ht="15.75" customHeight="1">
      <c r="A692" s="68"/>
      <c r="B692" s="68"/>
      <c r="D692" s="68"/>
      <c r="E692" s="69"/>
      <c r="K692" s="68"/>
      <c r="M692" s="68"/>
      <c r="O692" s="68"/>
      <c r="P692" s="68"/>
      <c r="Q692" s="68"/>
      <c r="R692" s="68"/>
      <c r="S692" s="68"/>
    </row>
    <row r="693" spans="1:19" ht="15.75" customHeight="1">
      <c r="A693" s="68"/>
      <c r="B693" s="68"/>
      <c r="D693" s="68"/>
      <c r="E693" s="69"/>
      <c r="K693" s="68"/>
      <c r="M693" s="68"/>
      <c r="O693" s="68"/>
      <c r="P693" s="68"/>
      <c r="Q693" s="68"/>
      <c r="R693" s="68"/>
      <c r="S693" s="68"/>
    </row>
    <row r="694" spans="1:19" ht="15.75" customHeight="1">
      <c r="A694" s="68"/>
      <c r="B694" s="68"/>
      <c r="D694" s="68"/>
      <c r="E694" s="69"/>
      <c r="K694" s="68"/>
      <c r="M694" s="68"/>
      <c r="O694" s="68"/>
      <c r="P694" s="68"/>
      <c r="Q694" s="68"/>
      <c r="R694" s="68"/>
      <c r="S694" s="68"/>
    </row>
    <row r="695" spans="1:19" ht="15.75" customHeight="1">
      <c r="A695" s="68"/>
      <c r="B695" s="68"/>
      <c r="D695" s="68"/>
      <c r="E695" s="69"/>
      <c r="K695" s="68"/>
      <c r="M695" s="68"/>
      <c r="O695" s="68"/>
      <c r="P695" s="68"/>
      <c r="Q695" s="68"/>
      <c r="R695" s="68"/>
      <c r="S695" s="68"/>
    </row>
    <row r="696" spans="1:19" ht="15.75" customHeight="1">
      <c r="A696" s="68"/>
      <c r="B696" s="68"/>
      <c r="D696" s="68"/>
      <c r="E696" s="69"/>
      <c r="K696" s="68"/>
      <c r="M696" s="68"/>
      <c r="O696" s="68"/>
      <c r="P696" s="68"/>
      <c r="Q696" s="68"/>
      <c r="R696" s="68"/>
      <c r="S696" s="68"/>
    </row>
    <row r="697" spans="1:19" ht="15.75" customHeight="1">
      <c r="A697" s="68"/>
      <c r="B697" s="68"/>
      <c r="D697" s="68"/>
      <c r="E697" s="69"/>
      <c r="K697" s="68"/>
      <c r="M697" s="68"/>
      <c r="O697" s="68"/>
      <c r="P697" s="68"/>
      <c r="Q697" s="68"/>
      <c r="R697" s="68"/>
      <c r="S697" s="68"/>
    </row>
    <row r="698" spans="1:19" ht="15.75" customHeight="1">
      <c r="A698" s="68"/>
      <c r="B698" s="68"/>
      <c r="D698" s="68"/>
      <c r="E698" s="69"/>
      <c r="K698" s="68"/>
      <c r="M698" s="68"/>
      <c r="O698" s="68"/>
      <c r="P698" s="68"/>
      <c r="Q698" s="68"/>
      <c r="R698" s="68"/>
      <c r="S698" s="68"/>
    </row>
    <row r="699" spans="1:19" ht="15.75" customHeight="1">
      <c r="A699" s="68"/>
      <c r="B699" s="68"/>
      <c r="D699" s="68"/>
      <c r="E699" s="69"/>
      <c r="K699" s="68"/>
      <c r="M699" s="68"/>
      <c r="O699" s="68"/>
      <c r="P699" s="68"/>
      <c r="Q699" s="68"/>
      <c r="R699" s="68"/>
      <c r="S699" s="68"/>
    </row>
    <row r="700" spans="1:19" ht="15.75" customHeight="1">
      <c r="A700" s="68"/>
      <c r="B700" s="68"/>
      <c r="D700" s="68"/>
      <c r="E700" s="69"/>
      <c r="K700" s="68"/>
      <c r="M700" s="68"/>
      <c r="O700" s="68"/>
      <c r="P700" s="68"/>
      <c r="Q700" s="68"/>
      <c r="R700" s="68"/>
      <c r="S700" s="68"/>
    </row>
    <row r="701" spans="1:19" ht="15.75" customHeight="1">
      <c r="A701" s="68"/>
      <c r="B701" s="68"/>
      <c r="D701" s="68"/>
      <c r="E701" s="69"/>
      <c r="K701" s="68"/>
      <c r="M701" s="68"/>
      <c r="O701" s="68"/>
      <c r="P701" s="68"/>
      <c r="Q701" s="68"/>
      <c r="R701" s="68"/>
      <c r="S701" s="68"/>
    </row>
    <row r="702" spans="1:19" ht="15.75" customHeight="1">
      <c r="A702" s="68"/>
      <c r="B702" s="68"/>
      <c r="D702" s="68"/>
      <c r="E702" s="69"/>
      <c r="K702" s="68"/>
      <c r="M702" s="68"/>
      <c r="O702" s="68"/>
      <c r="P702" s="68"/>
      <c r="Q702" s="68"/>
      <c r="R702" s="68"/>
      <c r="S702" s="68"/>
    </row>
    <row r="703" spans="1:19" ht="15.75" customHeight="1">
      <c r="A703" s="68"/>
      <c r="B703" s="68"/>
      <c r="D703" s="68"/>
      <c r="E703" s="69"/>
      <c r="K703" s="68"/>
      <c r="M703" s="68"/>
      <c r="O703" s="68"/>
      <c r="P703" s="68"/>
      <c r="Q703" s="68"/>
      <c r="R703" s="68"/>
      <c r="S703" s="68"/>
    </row>
    <row r="704" spans="1:19" ht="15.75" customHeight="1">
      <c r="A704" s="68"/>
      <c r="B704" s="68"/>
      <c r="D704" s="68"/>
      <c r="E704" s="69"/>
      <c r="K704" s="68"/>
      <c r="M704" s="68"/>
      <c r="O704" s="68"/>
      <c r="P704" s="68"/>
      <c r="Q704" s="68"/>
      <c r="R704" s="68"/>
      <c r="S704" s="68"/>
    </row>
    <row r="705" spans="1:19" ht="15.75" customHeight="1">
      <c r="A705" s="68"/>
      <c r="B705" s="68"/>
      <c r="D705" s="68"/>
      <c r="E705" s="69"/>
      <c r="K705" s="68"/>
      <c r="M705" s="68"/>
      <c r="O705" s="68"/>
      <c r="P705" s="68"/>
      <c r="Q705" s="68"/>
      <c r="R705" s="68"/>
      <c r="S705" s="68"/>
    </row>
    <row r="706" spans="1:19" ht="15.75" customHeight="1">
      <c r="A706" s="68"/>
      <c r="B706" s="68"/>
      <c r="D706" s="68"/>
      <c r="E706" s="69"/>
      <c r="K706" s="68"/>
      <c r="M706" s="68"/>
      <c r="O706" s="68"/>
      <c r="P706" s="68"/>
      <c r="Q706" s="68"/>
      <c r="R706" s="68"/>
      <c r="S706" s="68"/>
    </row>
    <row r="707" spans="1:19" ht="15.75" customHeight="1">
      <c r="A707" s="68"/>
      <c r="B707" s="68"/>
      <c r="D707" s="68"/>
      <c r="E707" s="69"/>
      <c r="K707" s="68"/>
      <c r="M707" s="68"/>
      <c r="O707" s="68"/>
      <c r="P707" s="68"/>
      <c r="Q707" s="68"/>
      <c r="R707" s="68"/>
      <c r="S707" s="68"/>
    </row>
    <row r="708" spans="1:19" ht="15.75" customHeight="1">
      <c r="A708" s="68"/>
      <c r="B708" s="68"/>
      <c r="D708" s="68"/>
      <c r="E708" s="69"/>
      <c r="K708" s="68"/>
      <c r="M708" s="68"/>
      <c r="O708" s="68"/>
      <c r="P708" s="68"/>
      <c r="Q708" s="68"/>
      <c r="R708" s="68"/>
      <c r="S708" s="68"/>
    </row>
    <row r="709" spans="1:19" ht="15.75" customHeight="1">
      <c r="A709" s="68"/>
      <c r="B709" s="68"/>
      <c r="D709" s="68"/>
      <c r="E709" s="69"/>
      <c r="K709" s="68"/>
      <c r="M709" s="68"/>
      <c r="O709" s="68"/>
      <c r="P709" s="68"/>
      <c r="Q709" s="68"/>
      <c r="R709" s="68"/>
      <c r="S709" s="68"/>
    </row>
    <row r="710" spans="1:19" ht="15.75" customHeight="1">
      <c r="A710" s="68"/>
      <c r="B710" s="68"/>
      <c r="D710" s="68"/>
      <c r="E710" s="69"/>
      <c r="K710" s="68"/>
      <c r="M710" s="68"/>
      <c r="O710" s="68"/>
      <c r="P710" s="68"/>
      <c r="Q710" s="68"/>
      <c r="R710" s="68"/>
      <c r="S710" s="68"/>
    </row>
    <row r="711" spans="1:19" ht="15.75" customHeight="1">
      <c r="A711" s="68"/>
      <c r="B711" s="68"/>
      <c r="D711" s="68"/>
      <c r="E711" s="69"/>
      <c r="K711" s="68"/>
      <c r="M711" s="68"/>
      <c r="O711" s="68"/>
      <c r="P711" s="68"/>
      <c r="Q711" s="68"/>
      <c r="R711" s="68"/>
      <c r="S711" s="68"/>
    </row>
    <row r="712" spans="1:19" ht="15.75" customHeight="1">
      <c r="A712" s="68"/>
      <c r="B712" s="68"/>
      <c r="D712" s="68"/>
      <c r="E712" s="69"/>
      <c r="K712" s="68"/>
      <c r="M712" s="68"/>
      <c r="O712" s="68"/>
      <c r="P712" s="68"/>
      <c r="Q712" s="68"/>
      <c r="R712" s="68"/>
      <c r="S712" s="68"/>
    </row>
    <row r="713" spans="1:19" ht="15.75" customHeight="1">
      <c r="A713" s="68"/>
      <c r="B713" s="68"/>
      <c r="D713" s="68"/>
      <c r="E713" s="69"/>
      <c r="K713" s="68"/>
      <c r="M713" s="68"/>
      <c r="O713" s="68"/>
      <c r="P713" s="68"/>
      <c r="Q713" s="68"/>
      <c r="R713" s="68"/>
      <c r="S713" s="68"/>
    </row>
    <row r="714" spans="1:19" ht="15.75" customHeight="1">
      <c r="A714" s="68"/>
      <c r="B714" s="68"/>
      <c r="D714" s="68"/>
      <c r="E714" s="69"/>
      <c r="K714" s="68"/>
      <c r="M714" s="68"/>
      <c r="O714" s="68"/>
      <c r="P714" s="68"/>
      <c r="Q714" s="68"/>
      <c r="R714" s="68"/>
      <c r="S714" s="68"/>
    </row>
    <row r="715" spans="1:19" ht="15.75" customHeight="1">
      <c r="A715" s="68"/>
      <c r="B715" s="68"/>
      <c r="D715" s="68"/>
      <c r="E715" s="69"/>
      <c r="K715" s="68"/>
      <c r="M715" s="68"/>
      <c r="O715" s="68"/>
      <c r="P715" s="68"/>
      <c r="Q715" s="68"/>
      <c r="R715" s="68"/>
      <c r="S715" s="68"/>
    </row>
    <row r="716" spans="1:19" ht="15.75" customHeight="1">
      <c r="A716" s="68"/>
      <c r="B716" s="68"/>
      <c r="D716" s="68"/>
      <c r="E716" s="69"/>
      <c r="K716" s="68"/>
      <c r="M716" s="68"/>
      <c r="O716" s="68"/>
      <c r="P716" s="68"/>
      <c r="Q716" s="68"/>
      <c r="R716" s="68"/>
      <c r="S716" s="68"/>
    </row>
    <row r="717" spans="1:19" ht="15.75" customHeight="1">
      <c r="A717" s="68"/>
      <c r="B717" s="68"/>
      <c r="D717" s="68"/>
      <c r="E717" s="69"/>
      <c r="K717" s="68"/>
      <c r="M717" s="68"/>
      <c r="O717" s="68"/>
      <c r="P717" s="68"/>
      <c r="Q717" s="68"/>
      <c r="R717" s="68"/>
      <c r="S717" s="68"/>
    </row>
    <row r="718" spans="1:19" ht="15.75" customHeight="1">
      <c r="A718" s="68"/>
      <c r="B718" s="68"/>
      <c r="D718" s="68"/>
      <c r="E718" s="69"/>
      <c r="K718" s="68"/>
      <c r="M718" s="68"/>
      <c r="O718" s="68"/>
      <c r="P718" s="68"/>
      <c r="Q718" s="68"/>
      <c r="R718" s="68"/>
      <c r="S718" s="68"/>
    </row>
    <row r="719" spans="1:19" ht="15.75" customHeight="1">
      <c r="A719" s="68"/>
      <c r="B719" s="68"/>
      <c r="D719" s="68"/>
      <c r="E719" s="69"/>
      <c r="K719" s="68"/>
      <c r="M719" s="68"/>
      <c r="O719" s="68"/>
      <c r="P719" s="68"/>
      <c r="Q719" s="68"/>
      <c r="R719" s="68"/>
      <c r="S719" s="68"/>
    </row>
    <row r="720" spans="1:19" ht="15.75" customHeight="1">
      <c r="A720" s="68"/>
      <c r="B720" s="68"/>
      <c r="D720" s="68"/>
      <c r="E720" s="69"/>
      <c r="K720" s="68"/>
      <c r="M720" s="68"/>
      <c r="O720" s="68"/>
      <c r="P720" s="68"/>
      <c r="Q720" s="68"/>
      <c r="R720" s="68"/>
      <c r="S720" s="68"/>
    </row>
    <row r="721" spans="1:19" ht="15.75" customHeight="1">
      <c r="A721" s="68"/>
      <c r="B721" s="68"/>
      <c r="D721" s="68"/>
      <c r="E721" s="69"/>
      <c r="K721" s="68"/>
      <c r="M721" s="68"/>
      <c r="O721" s="68"/>
      <c r="P721" s="68"/>
      <c r="Q721" s="68"/>
      <c r="R721" s="68"/>
      <c r="S721" s="68"/>
    </row>
    <row r="722" spans="1:19" ht="15.75" customHeight="1">
      <c r="A722" s="68"/>
      <c r="B722" s="68"/>
      <c r="D722" s="68"/>
      <c r="E722" s="69"/>
      <c r="K722" s="68"/>
      <c r="M722" s="68"/>
      <c r="O722" s="68"/>
      <c r="P722" s="68"/>
      <c r="Q722" s="68"/>
      <c r="R722" s="68"/>
      <c r="S722" s="68"/>
    </row>
    <row r="723" spans="1:19" ht="15.75" customHeight="1">
      <c r="A723" s="68"/>
      <c r="B723" s="68"/>
      <c r="D723" s="68"/>
      <c r="E723" s="69"/>
      <c r="K723" s="68"/>
      <c r="M723" s="68"/>
      <c r="O723" s="68"/>
      <c r="P723" s="68"/>
      <c r="Q723" s="68"/>
      <c r="R723" s="68"/>
      <c r="S723" s="68"/>
    </row>
    <row r="724" spans="1:19" ht="15.75" customHeight="1">
      <c r="A724" s="68"/>
      <c r="B724" s="68"/>
      <c r="D724" s="68"/>
      <c r="E724" s="69"/>
      <c r="K724" s="68"/>
      <c r="M724" s="68"/>
      <c r="O724" s="68"/>
      <c r="P724" s="68"/>
      <c r="Q724" s="68"/>
      <c r="R724" s="68"/>
      <c r="S724" s="68"/>
    </row>
    <row r="725" spans="1:19" ht="15.75" customHeight="1">
      <c r="A725" s="68"/>
      <c r="B725" s="68"/>
      <c r="D725" s="68"/>
      <c r="E725" s="69"/>
      <c r="K725" s="68"/>
      <c r="M725" s="68"/>
      <c r="O725" s="68"/>
      <c r="P725" s="68"/>
      <c r="Q725" s="68"/>
      <c r="R725" s="68"/>
      <c r="S725" s="68"/>
    </row>
    <row r="726" spans="1:19" ht="15.75" customHeight="1">
      <c r="A726" s="68"/>
      <c r="B726" s="68"/>
      <c r="D726" s="68"/>
      <c r="E726" s="69"/>
      <c r="K726" s="68"/>
      <c r="M726" s="68"/>
      <c r="O726" s="68"/>
      <c r="P726" s="68"/>
      <c r="Q726" s="68"/>
      <c r="R726" s="68"/>
      <c r="S726" s="68"/>
    </row>
    <row r="727" spans="1:19" ht="15.75" customHeight="1">
      <c r="A727" s="68"/>
      <c r="B727" s="68"/>
      <c r="D727" s="68"/>
      <c r="E727" s="69"/>
      <c r="K727" s="68"/>
      <c r="M727" s="68"/>
      <c r="O727" s="68"/>
      <c r="P727" s="68"/>
      <c r="Q727" s="68"/>
      <c r="R727" s="68"/>
      <c r="S727" s="68"/>
    </row>
    <row r="728" spans="1:19" ht="15.75" customHeight="1">
      <c r="A728" s="68"/>
      <c r="B728" s="68"/>
      <c r="D728" s="68"/>
      <c r="E728" s="69"/>
      <c r="K728" s="68"/>
      <c r="M728" s="68"/>
      <c r="O728" s="68"/>
      <c r="P728" s="68"/>
      <c r="Q728" s="68"/>
      <c r="R728" s="68"/>
      <c r="S728" s="68"/>
    </row>
    <row r="729" spans="1:19" ht="15.75" customHeight="1">
      <c r="A729" s="68"/>
      <c r="B729" s="68"/>
      <c r="D729" s="68"/>
      <c r="E729" s="69"/>
      <c r="K729" s="68"/>
      <c r="M729" s="68"/>
      <c r="O729" s="68"/>
      <c r="P729" s="68"/>
      <c r="Q729" s="68"/>
      <c r="R729" s="68"/>
      <c r="S729" s="68"/>
    </row>
    <row r="730" spans="1:19" ht="15.75" customHeight="1">
      <c r="A730" s="68"/>
      <c r="B730" s="68"/>
      <c r="D730" s="68"/>
      <c r="E730" s="69"/>
      <c r="K730" s="68"/>
      <c r="M730" s="68"/>
      <c r="O730" s="68"/>
      <c r="P730" s="68"/>
      <c r="Q730" s="68"/>
      <c r="R730" s="68"/>
      <c r="S730" s="68"/>
    </row>
    <row r="731" spans="1:19" ht="15.75" customHeight="1">
      <c r="A731" s="68"/>
      <c r="B731" s="68"/>
      <c r="D731" s="68"/>
      <c r="E731" s="69"/>
      <c r="K731" s="68"/>
      <c r="M731" s="68"/>
      <c r="O731" s="68"/>
      <c r="P731" s="68"/>
      <c r="Q731" s="68"/>
      <c r="R731" s="68"/>
      <c r="S731" s="68"/>
    </row>
    <row r="732" spans="1:19" ht="15.75" customHeight="1">
      <c r="A732" s="68"/>
      <c r="B732" s="68"/>
      <c r="D732" s="68"/>
      <c r="E732" s="69"/>
      <c r="K732" s="68"/>
      <c r="M732" s="68"/>
      <c r="O732" s="68"/>
      <c r="P732" s="68"/>
      <c r="Q732" s="68"/>
      <c r="R732" s="68"/>
      <c r="S732" s="68"/>
    </row>
    <row r="733" spans="1:19" ht="15.75" customHeight="1">
      <c r="A733" s="68"/>
      <c r="B733" s="68"/>
      <c r="D733" s="68"/>
      <c r="E733" s="69"/>
      <c r="K733" s="68"/>
      <c r="M733" s="68"/>
      <c r="O733" s="68"/>
      <c r="P733" s="68"/>
      <c r="Q733" s="68"/>
      <c r="R733" s="68"/>
      <c r="S733" s="68"/>
    </row>
    <row r="734" spans="1:19" ht="15.75" customHeight="1">
      <c r="A734" s="68"/>
      <c r="B734" s="68"/>
      <c r="D734" s="68"/>
      <c r="E734" s="69"/>
      <c r="K734" s="68"/>
      <c r="M734" s="68"/>
      <c r="O734" s="68"/>
      <c r="P734" s="68"/>
      <c r="Q734" s="68"/>
      <c r="R734" s="68"/>
      <c r="S734" s="68"/>
    </row>
    <row r="735" spans="1:19" ht="15.75" customHeight="1">
      <c r="A735" s="68"/>
      <c r="B735" s="68"/>
      <c r="D735" s="68"/>
      <c r="E735" s="69"/>
      <c r="K735" s="68"/>
      <c r="M735" s="68"/>
      <c r="O735" s="68"/>
      <c r="P735" s="68"/>
      <c r="Q735" s="68"/>
      <c r="R735" s="68"/>
      <c r="S735" s="68"/>
    </row>
    <row r="736" spans="1:19" ht="15.75" customHeight="1">
      <c r="A736" s="68"/>
      <c r="B736" s="68"/>
      <c r="D736" s="68"/>
      <c r="E736" s="69"/>
      <c r="K736" s="68"/>
      <c r="M736" s="68"/>
      <c r="O736" s="68"/>
      <c r="P736" s="68"/>
      <c r="Q736" s="68"/>
      <c r="R736" s="68"/>
      <c r="S736" s="68"/>
    </row>
    <row r="737" spans="1:19" ht="15.75" customHeight="1">
      <c r="A737" s="68"/>
      <c r="B737" s="68"/>
      <c r="D737" s="68"/>
      <c r="E737" s="69"/>
      <c r="K737" s="68"/>
      <c r="M737" s="68"/>
      <c r="O737" s="68"/>
      <c r="P737" s="68"/>
      <c r="Q737" s="68"/>
      <c r="R737" s="68"/>
      <c r="S737" s="68"/>
    </row>
    <row r="738" spans="1:19" ht="15.75" customHeight="1">
      <c r="A738" s="68"/>
      <c r="B738" s="68"/>
      <c r="D738" s="68"/>
      <c r="E738" s="69"/>
      <c r="K738" s="68"/>
      <c r="M738" s="68"/>
      <c r="O738" s="68"/>
      <c r="P738" s="68"/>
      <c r="Q738" s="68"/>
      <c r="R738" s="68"/>
      <c r="S738" s="68"/>
    </row>
    <row r="739" spans="1:19" ht="15.75" customHeight="1">
      <c r="A739" s="68"/>
      <c r="B739" s="68"/>
      <c r="D739" s="68"/>
      <c r="E739" s="69"/>
      <c r="K739" s="68"/>
      <c r="M739" s="68"/>
      <c r="O739" s="68"/>
      <c r="P739" s="68"/>
      <c r="Q739" s="68"/>
      <c r="R739" s="68"/>
      <c r="S739" s="68"/>
    </row>
    <row r="740" spans="1:19" ht="15.75" customHeight="1">
      <c r="A740" s="68"/>
      <c r="B740" s="68"/>
      <c r="D740" s="68"/>
      <c r="E740" s="69"/>
      <c r="K740" s="68"/>
      <c r="M740" s="68"/>
      <c r="O740" s="68"/>
      <c r="P740" s="68"/>
      <c r="Q740" s="68"/>
      <c r="R740" s="68"/>
      <c r="S740" s="68"/>
    </row>
    <row r="741" spans="1:19" ht="15.75" customHeight="1">
      <c r="A741" s="68"/>
      <c r="B741" s="68"/>
      <c r="D741" s="68"/>
      <c r="E741" s="69"/>
      <c r="K741" s="68"/>
      <c r="M741" s="68"/>
      <c r="O741" s="68"/>
      <c r="P741" s="68"/>
      <c r="Q741" s="68"/>
      <c r="R741" s="68"/>
      <c r="S741" s="68"/>
    </row>
    <row r="742" spans="1:19" ht="15.75" customHeight="1">
      <c r="A742" s="68"/>
      <c r="B742" s="68"/>
      <c r="D742" s="68"/>
      <c r="E742" s="69"/>
      <c r="K742" s="68"/>
      <c r="M742" s="68"/>
      <c r="O742" s="68"/>
      <c r="P742" s="68"/>
      <c r="Q742" s="68"/>
      <c r="R742" s="68"/>
      <c r="S742" s="68"/>
    </row>
    <row r="743" spans="1:19" ht="15.75" customHeight="1">
      <c r="A743" s="68"/>
      <c r="B743" s="68"/>
      <c r="D743" s="68"/>
      <c r="E743" s="69"/>
      <c r="K743" s="68"/>
      <c r="M743" s="68"/>
      <c r="O743" s="68"/>
      <c r="P743" s="68"/>
      <c r="Q743" s="68"/>
      <c r="R743" s="68"/>
      <c r="S743" s="68"/>
    </row>
    <row r="744" spans="1:19" ht="15.75" customHeight="1">
      <c r="A744" s="68"/>
      <c r="B744" s="68"/>
      <c r="D744" s="68"/>
      <c r="E744" s="69"/>
      <c r="K744" s="68"/>
      <c r="M744" s="68"/>
      <c r="O744" s="68"/>
      <c r="P744" s="68"/>
      <c r="Q744" s="68"/>
      <c r="R744" s="68"/>
      <c r="S744" s="68"/>
    </row>
    <row r="745" spans="1:19" ht="15.75" customHeight="1">
      <c r="A745" s="68"/>
      <c r="B745" s="68"/>
      <c r="D745" s="68"/>
      <c r="E745" s="69"/>
      <c r="K745" s="68"/>
      <c r="M745" s="68"/>
      <c r="O745" s="68"/>
      <c r="P745" s="68"/>
      <c r="Q745" s="68"/>
      <c r="R745" s="68"/>
      <c r="S745" s="68"/>
    </row>
    <row r="746" spans="1:19" ht="15.75" customHeight="1">
      <c r="A746" s="68"/>
      <c r="B746" s="68"/>
      <c r="D746" s="68"/>
      <c r="E746" s="69"/>
      <c r="K746" s="68"/>
      <c r="M746" s="68"/>
      <c r="O746" s="68"/>
      <c r="P746" s="68"/>
      <c r="Q746" s="68"/>
      <c r="R746" s="68"/>
      <c r="S746" s="68"/>
    </row>
    <row r="747" spans="1:19" ht="15.75" customHeight="1">
      <c r="A747" s="68"/>
      <c r="B747" s="68"/>
      <c r="D747" s="68"/>
      <c r="E747" s="69"/>
      <c r="K747" s="68"/>
      <c r="M747" s="68"/>
      <c r="O747" s="68"/>
      <c r="P747" s="68"/>
      <c r="Q747" s="68"/>
      <c r="R747" s="68"/>
      <c r="S747" s="68"/>
    </row>
    <row r="748" spans="1:19" ht="15.75" customHeight="1">
      <c r="A748" s="68"/>
      <c r="B748" s="68"/>
      <c r="D748" s="68"/>
      <c r="E748" s="69"/>
      <c r="K748" s="68"/>
      <c r="M748" s="68"/>
      <c r="O748" s="68"/>
      <c r="P748" s="68"/>
      <c r="Q748" s="68"/>
      <c r="R748" s="68"/>
      <c r="S748" s="68"/>
    </row>
    <row r="749" spans="1:19" ht="15.75" customHeight="1">
      <c r="A749" s="68"/>
      <c r="B749" s="68"/>
      <c r="D749" s="68"/>
      <c r="E749" s="69"/>
      <c r="K749" s="68"/>
      <c r="M749" s="68"/>
      <c r="O749" s="68"/>
      <c r="P749" s="68"/>
      <c r="Q749" s="68"/>
      <c r="R749" s="68"/>
      <c r="S749" s="68"/>
    </row>
    <row r="750" spans="1:19" ht="15.75" customHeight="1">
      <c r="A750" s="68"/>
      <c r="B750" s="68"/>
      <c r="D750" s="68"/>
      <c r="E750" s="69"/>
      <c r="K750" s="68"/>
      <c r="M750" s="68"/>
      <c r="O750" s="68"/>
      <c r="P750" s="68"/>
      <c r="Q750" s="68"/>
      <c r="R750" s="68"/>
      <c r="S750" s="68"/>
    </row>
    <row r="751" spans="1:19" ht="15.75" customHeight="1">
      <c r="A751" s="68"/>
      <c r="B751" s="68"/>
      <c r="D751" s="68"/>
      <c r="E751" s="69"/>
      <c r="K751" s="68"/>
      <c r="M751" s="68"/>
      <c r="O751" s="68"/>
      <c r="P751" s="68"/>
      <c r="Q751" s="68"/>
      <c r="R751" s="68"/>
      <c r="S751" s="68"/>
    </row>
    <row r="752" spans="1:19" ht="15.75" customHeight="1">
      <c r="A752" s="68"/>
      <c r="B752" s="68"/>
      <c r="D752" s="68"/>
      <c r="E752" s="69"/>
      <c r="K752" s="68"/>
      <c r="M752" s="68"/>
      <c r="O752" s="68"/>
      <c r="P752" s="68"/>
      <c r="Q752" s="68"/>
      <c r="R752" s="68"/>
      <c r="S752" s="68"/>
    </row>
    <row r="753" spans="1:19" ht="15.75" customHeight="1">
      <c r="A753" s="68"/>
      <c r="B753" s="68"/>
      <c r="D753" s="68"/>
      <c r="E753" s="69"/>
      <c r="K753" s="68"/>
      <c r="M753" s="68"/>
      <c r="O753" s="68"/>
      <c r="P753" s="68"/>
      <c r="Q753" s="68"/>
      <c r="R753" s="68"/>
      <c r="S753" s="68"/>
    </row>
    <row r="754" spans="1:19" ht="15.75" customHeight="1">
      <c r="A754" s="68"/>
      <c r="B754" s="68"/>
      <c r="D754" s="68"/>
      <c r="E754" s="69"/>
      <c r="K754" s="68"/>
      <c r="M754" s="68"/>
      <c r="O754" s="68"/>
      <c r="P754" s="68"/>
      <c r="Q754" s="68"/>
      <c r="R754" s="68"/>
      <c r="S754" s="68"/>
    </row>
    <row r="755" spans="1:19" ht="15.75" customHeight="1">
      <c r="A755" s="68"/>
      <c r="B755" s="68"/>
      <c r="D755" s="68"/>
      <c r="E755" s="69"/>
      <c r="K755" s="68"/>
      <c r="M755" s="68"/>
      <c r="O755" s="68"/>
      <c r="P755" s="68"/>
      <c r="Q755" s="68"/>
      <c r="R755" s="68"/>
      <c r="S755" s="68"/>
    </row>
    <row r="756" spans="1:19" ht="15.75" customHeight="1">
      <c r="A756" s="68"/>
      <c r="B756" s="68"/>
      <c r="D756" s="68"/>
      <c r="E756" s="69"/>
      <c r="K756" s="68"/>
      <c r="M756" s="68"/>
      <c r="O756" s="68"/>
      <c r="P756" s="68"/>
      <c r="Q756" s="68"/>
      <c r="R756" s="68"/>
      <c r="S756" s="68"/>
    </row>
    <row r="757" spans="1:19" ht="15.75" customHeight="1">
      <c r="A757" s="68"/>
      <c r="B757" s="68"/>
      <c r="D757" s="68"/>
      <c r="E757" s="69"/>
      <c r="K757" s="68"/>
      <c r="M757" s="68"/>
      <c r="O757" s="68"/>
      <c r="P757" s="68"/>
      <c r="Q757" s="68"/>
      <c r="R757" s="68"/>
      <c r="S757" s="68"/>
    </row>
    <row r="758" spans="1:19" ht="15.75" customHeight="1">
      <c r="A758" s="68"/>
      <c r="B758" s="68"/>
      <c r="D758" s="68"/>
      <c r="E758" s="69"/>
      <c r="K758" s="68"/>
      <c r="M758" s="68"/>
      <c r="O758" s="68"/>
      <c r="P758" s="68"/>
      <c r="Q758" s="68"/>
      <c r="R758" s="68"/>
      <c r="S758" s="68"/>
    </row>
    <row r="759" spans="1:19" ht="15.75" customHeight="1">
      <c r="A759" s="68"/>
      <c r="B759" s="68"/>
      <c r="D759" s="68"/>
      <c r="E759" s="69"/>
      <c r="K759" s="68"/>
      <c r="M759" s="68"/>
      <c r="O759" s="68"/>
      <c r="P759" s="68"/>
      <c r="Q759" s="68"/>
      <c r="R759" s="68"/>
      <c r="S759" s="68"/>
    </row>
    <row r="760" spans="1:19" ht="15.75" customHeight="1">
      <c r="A760" s="68"/>
      <c r="B760" s="68"/>
      <c r="D760" s="68"/>
      <c r="E760" s="69"/>
      <c r="K760" s="68"/>
      <c r="M760" s="68"/>
      <c r="O760" s="68"/>
      <c r="P760" s="68"/>
      <c r="Q760" s="68"/>
      <c r="R760" s="68"/>
      <c r="S760" s="68"/>
    </row>
    <row r="761" spans="1:19" ht="15.75" customHeight="1">
      <c r="A761" s="68"/>
      <c r="B761" s="68"/>
      <c r="D761" s="68"/>
      <c r="E761" s="69"/>
      <c r="K761" s="68"/>
      <c r="M761" s="68"/>
      <c r="O761" s="68"/>
      <c r="P761" s="68"/>
      <c r="Q761" s="68"/>
      <c r="R761" s="68"/>
      <c r="S761" s="68"/>
    </row>
    <row r="762" spans="1:19" ht="15.75" customHeight="1">
      <c r="A762" s="68"/>
      <c r="B762" s="68"/>
      <c r="D762" s="68"/>
      <c r="E762" s="69"/>
      <c r="K762" s="68"/>
      <c r="M762" s="68"/>
      <c r="O762" s="68"/>
      <c r="P762" s="68"/>
      <c r="Q762" s="68"/>
      <c r="R762" s="68"/>
      <c r="S762" s="68"/>
    </row>
    <row r="763" spans="1:19" ht="15.75" customHeight="1">
      <c r="A763" s="68"/>
      <c r="B763" s="68"/>
      <c r="D763" s="68"/>
      <c r="E763" s="69"/>
      <c r="K763" s="68"/>
      <c r="M763" s="68"/>
      <c r="O763" s="68"/>
      <c r="P763" s="68"/>
      <c r="Q763" s="68"/>
      <c r="R763" s="68"/>
      <c r="S763" s="68"/>
    </row>
    <row r="764" spans="1:19" ht="15.75" customHeight="1">
      <c r="A764" s="68"/>
      <c r="B764" s="68"/>
      <c r="D764" s="68"/>
      <c r="E764" s="69"/>
      <c r="K764" s="68"/>
      <c r="M764" s="68"/>
      <c r="O764" s="68"/>
      <c r="P764" s="68"/>
      <c r="Q764" s="68"/>
      <c r="R764" s="68"/>
      <c r="S764" s="68"/>
    </row>
    <row r="765" spans="1:19" ht="15.75" customHeight="1">
      <c r="A765" s="68"/>
      <c r="B765" s="68"/>
      <c r="D765" s="68"/>
      <c r="E765" s="69"/>
      <c r="K765" s="68"/>
      <c r="M765" s="68"/>
      <c r="O765" s="68"/>
      <c r="P765" s="68"/>
      <c r="Q765" s="68"/>
      <c r="R765" s="68"/>
      <c r="S765" s="68"/>
    </row>
    <row r="766" spans="1:19" ht="15.75" customHeight="1">
      <c r="A766" s="68"/>
      <c r="B766" s="68"/>
      <c r="D766" s="68"/>
      <c r="E766" s="69"/>
      <c r="K766" s="68"/>
      <c r="M766" s="68"/>
      <c r="O766" s="68"/>
      <c r="P766" s="68"/>
      <c r="Q766" s="68"/>
      <c r="R766" s="68"/>
      <c r="S766" s="68"/>
    </row>
    <row r="767" spans="1:19" ht="15.75" customHeight="1">
      <c r="A767" s="68"/>
      <c r="B767" s="68"/>
      <c r="D767" s="68"/>
      <c r="E767" s="69"/>
      <c r="K767" s="68"/>
      <c r="M767" s="68"/>
      <c r="O767" s="68"/>
      <c r="P767" s="68"/>
      <c r="Q767" s="68"/>
      <c r="R767" s="68"/>
      <c r="S767" s="68"/>
    </row>
    <row r="768" spans="1:19" ht="15.75" customHeight="1">
      <c r="A768" s="68"/>
      <c r="B768" s="68"/>
      <c r="D768" s="68"/>
      <c r="E768" s="69"/>
      <c r="K768" s="68"/>
      <c r="M768" s="68"/>
      <c r="O768" s="68"/>
      <c r="P768" s="68"/>
      <c r="Q768" s="68"/>
      <c r="R768" s="68"/>
      <c r="S768" s="68"/>
    </row>
    <row r="769" spans="1:19" ht="15.75" customHeight="1">
      <c r="A769" s="68"/>
      <c r="B769" s="68"/>
      <c r="D769" s="68"/>
      <c r="E769" s="69"/>
      <c r="K769" s="68"/>
      <c r="M769" s="68"/>
      <c r="O769" s="68"/>
      <c r="P769" s="68"/>
      <c r="Q769" s="68"/>
      <c r="R769" s="68"/>
      <c r="S769" s="68"/>
    </row>
    <row r="770" spans="1:19" ht="15.75" customHeight="1">
      <c r="A770" s="68"/>
      <c r="B770" s="68"/>
      <c r="D770" s="68"/>
      <c r="E770" s="69"/>
      <c r="K770" s="68"/>
      <c r="M770" s="68"/>
      <c r="O770" s="68"/>
      <c r="P770" s="68"/>
      <c r="Q770" s="68"/>
      <c r="R770" s="68"/>
      <c r="S770" s="68"/>
    </row>
    <row r="771" spans="1:19" ht="15.75" customHeight="1">
      <c r="A771" s="68"/>
      <c r="B771" s="68"/>
      <c r="D771" s="68"/>
      <c r="E771" s="69"/>
      <c r="K771" s="68"/>
      <c r="M771" s="68"/>
      <c r="O771" s="68"/>
      <c r="P771" s="68"/>
      <c r="Q771" s="68"/>
      <c r="R771" s="68"/>
      <c r="S771" s="68"/>
    </row>
    <row r="772" spans="1:19" ht="15.75" customHeight="1">
      <c r="A772" s="68"/>
      <c r="B772" s="68"/>
      <c r="D772" s="68"/>
      <c r="E772" s="69"/>
      <c r="K772" s="68"/>
      <c r="M772" s="68"/>
      <c r="O772" s="68"/>
      <c r="P772" s="68"/>
      <c r="Q772" s="68"/>
      <c r="R772" s="68"/>
      <c r="S772" s="68"/>
    </row>
    <row r="773" spans="1:19" ht="15.75" customHeight="1">
      <c r="A773" s="68"/>
      <c r="B773" s="68"/>
      <c r="D773" s="68"/>
      <c r="E773" s="69"/>
      <c r="K773" s="68"/>
      <c r="M773" s="68"/>
      <c r="O773" s="68"/>
      <c r="P773" s="68"/>
      <c r="Q773" s="68"/>
      <c r="R773" s="68"/>
      <c r="S773" s="68"/>
    </row>
    <row r="774" spans="1:19" ht="15.75" customHeight="1">
      <c r="A774" s="68"/>
      <c r="B774" s="68"/>
      <c r="D774" s="68"/>
      <c r="E774" s="69"/>
      <c r="K774" s="68"/>
      <c r="M774" s="68"/>
      <c r="O774" s="68"/>
      <c r="P774" s="68"/>
      <c r="Q774" s="68"/>
      <c r="R774" s="68"/>
      <c r="S774" s="68"/>
    </row>
    <row r="775" spans="1:19" ht="15.75" customHeight="1">
      <c r="A775" s="68"/>
      <c r="B775" s="68"/>
      <c r="D775" s="68"/>
      <c r="E775" s="69"/>
      <c r="K775" s="68"/>
      <c r="M775" s="68"/>
      <c r="O775" s="68"/>
      <c r="P775" s="68"/>
      <c r="Q775" s="68"/>
      <c r="R775" s="68"/>
      <c r="S775" s="68"/>
    </row>
    <row r="776" spans="1:19" ht="15.75" customHeight="1">
      <c r="A776" s="68"/>
      <c r="B776" s="68"/>
      <c r="D776" s="68"/>
      <c r="E776" s="69"/>
      <c r="K776" s="68"/>
      <c r="M776" s="68"/>
      <c r="O776" s="68"/>
      <c r="P776" s="68"/>
      <c r="Q776" s="68"/>
      <c r="R776" s="68"/>
      <c r="S776" s="68"/>
    </row>
    <row r="777" spans="1:19" ht="15.75" customHeight="1">
      <c r="A777" s="68"/>
      <c r="B777" s="68"/>
      <c r="D777" s="68"/>
      <c r="E777" s="69"/>
      <c r="K777" s="68"/>
      <c r="M777" s="68"/>
      <c r="O777" s="68"/>
      <c r="P777" s="68"/>
      <c r="Q777" s="68"/>
      <c r="R777" s="68"/>
      <c r="S777" s="68"/>
    </row>
    <row r="778" spans="1:19" ht="15.75" customHeight="1">
      <c r="A778" s="68"/>
      <c r="B778" s="68"/>
      <c r="D778" s="68"/>
      <c r="E778" s="69"/>
      <c r="K778" s="68"/>
      <c r="M778" s="68"/>
      <c r="O778" s="68"/>
      <c r="P778" s="68"/>
      <c r="Q778" s="68"/>
      <c r="R778" s="68"/>
      <c r="S778" s="68"/>
    </row>
    <row r="779" spans="1:19" ht="15.75" customHeight="1">
      <c r="A779" s="68"/>
      <c r="B779" s="68"/>
      <c r="D779" s="68"/>
      <c r="E779" s="69"/>
      <c r="K779" s="68"/>
      <c r="M779" s="68"/>
      <c r="O779" s="68"/>
      <c r="P779" s="68"/>
      <c r="Q779" s="68"/>
      <c r="R779" s="68"/>
      <c r="S779" s="68"/>
    </row>
    <row r="780" spans="1:19" ht="15.75" customHeight="1">
      <c r="A780" s="68"/>
      <c r="B780" s="68"/>
      <c r="D780" s="68"/>
      <c r="E780" s="69"/>
      <c r="K780" s="68"/>
      <c r="M780" s="68"/>
      <c r="O780" s="68"/>
      <c r="P780" s="68"/>
      <c r="Q780" s="68"/>
      <c r="R780" s="68"/>
      <c r="S780" s="68"/>
    </row>
    <row r="781" spans="1:19" ht="15.75" customHeight="1">
      <c r="A781" s="68"/>
      <c r="B781" s="68"/>
      <c r="D781" s="68"/>
      <c r="E781" s="69"/>
      <c r="K781" s="68"/>
      <c r="M781" s="68"/>
      <c r="O781" s="68"/>
      <c r="P781" s="68"/>
      <c r="Q781" s="68"/>
      <c r="R781" s="68"/>
      <c r="S781" s="68"/>
    </row>
    <row r="782" spans="1:19" ht="15.75" customHeight="1">
      <c r="A782" s="68"/>
      <c r="B782" s="68"/>
      <c r="D782" s="68"/>
      <c r="E782" s="69"/>
      <c r="K782" s="68"/>
      <c r="M782" s="68"/>
      <c r="O782" s="68"/>
      <c r="P782" s="68"/>
      <c r="Q782" s="68"/>
      <c r="R782" s="68"/>
      <c r="S782" s="68"/>
    </row>
    <row r="783" spans="1:19" ht="15.75" customHeight="1">
      <c r="A783" s="68"/>
      <c r="B783" s="68"/>
      <c r="D783" s="68"/>
      <c r="E783" s="69"/>
      <c r="K783" s="68"/>
      <c r="M783" s="68"/>
      <c r="O783" s="68"/>
      <c r="P783" s="68"/>
      <c r="Q783" s="68"/>
      <c r="R783" s="68"/>
      <c r="S783" s="68"/>
    </row>
    <row r="784" spans="1:19" ht="15.75" customHeight="1">
      <c r="A784" s="68"/>
      <c r="B784" s="68"/>
      <c r="D784" s="68"/>
      <c r="E784" s="69"/>
      <c r="K784" s="68"/>
      <c r="M784" s="68"/>
      <c r="O784" s="68"/>
      <c r="P784" s="68"/>
      <c r="Q784" s="68"/>
      <c r="R784" s="68"/>
      <c r="S784" s="68"/>
    </row>
    <row r="785" spans="1:19" ht="15.75" customHeight="1">
      <c r="A785" s="68"/>
      <c r="B785" s="68"/>
      <c r="D785" s="68"/>
      <c r="E785" s="69"/>
      <c r="K785" s="68"/>
      <c r="M785" s="68"/>
      <c r="O785" s="68"/>
      <c r="P785" s="68"/>
      <c r="Q785" s="68"/>
      <c r="R785" s="68"/>
      <c r="S785" s="68"/>
    </row>
    <row r="786" spans="1:19" ht="15.75" customHeight="1">
      <c r="A786" s="68"/>
      <c r="B786" s="68"/>
      <c r="D786" s="68"/>
      <c r="E786" s="69"/>
      <c r="K786" s="68"/>
      <c r="M786" s="68"/>
      <c r="O786" s="68"/>
      <c r="P786" s="68"/>
      <c r="Q786" s="68"/>
      <c r="R786" s="68"/>
      <c r="S786" s="68"/>
    </row>
    <row r="787" spans="1:19" ht="15.75" customHeight="1">
      <c r="A787" s="68"/>
      <c r="B787" s="68"/>
      <c r="D787" s="68"/>
      <c r="E787" s="69"/>
      <c r="K787" s="68"/>
      <c r="M787" s="68"/>
      <c r="O787" s="68"/>
      <c r="P787" s="68"/>
      <c r="Q787" s="68"/>
      <c r="R787" s="68"/>
      <c r="S787" s="68"/>
    </row>
    <row r="788" spans="1:19" ht="15.75" customHeight="1">
      <c r="A788" s="68"/>
      <c r="B788" s="68"/>
      <c r="D788" s="68"/>
      <c r="E788" s="69"/>
      <c r="K788" s="68"/>
      <c r="M788" s="68"/>
      <c r="O788" s="68"/>
      <c r="P788" s="68"/>
      <c r="Q788" s="68"/>
      <c r="R788" s="68"/>
      <c r="S788" s="68"/>
    </row>
    <row r="789" spans="1:19" ht="15.75" customHeight="1">
      <c r="A789" s="68"/>
      <c r="B789" s="68"/>
      <c r="D789" s="68"/>
      <c r="E789" s="69"/>
      <c r="K789" s="68"/>
      <c r="M789" s="68"/>
      <c r="O789" s="68"/>
      <c r="P789" s="68"/>
      <c r="Q789" s="68"/>
      <c r="R789" s="68"/>
      <c r="S789" s="68"/>
    </row>
    <row r="790" spans="1:19" ht="15.75" customHeight="1">
      <c r="A790" s="68"/>
      <c r="B790" s="68"/>
      <c r="D790" s="68"/>
      <c r="E790" s="69"/>
      <c r="K790" s="68"/>
      <c r="M790" s="68"/>
      <c r="O790" s="68"/>
      <c r="P790" s="68"/>
      <c r="Q790" s="68"/>
      <c r="R790" s="68"/>
      <c r="S790" s="68"/>
    </row>
    <row r="791" spans="1:19" ht="15.75" customHeight="1">
      <c r="A791" s="68"/>
      <c r="B791" s="68"/>
      <c r="D791" s="68"/>
      <c r="E791" s="69"/>
      <c r="K791" s="68"/>
      <c r="M791" s="68"/>
      <c r="O791" s="68"/>
      <c r="P791" s="68"/>
      <c r="Q791" s="68"/>
      <c r="R791" s="68"/>
      <c r="S791" s="68"/>
    </row>
    <row r="792" spans="1:19" ht="15.75" customHeight="1">
      <c r="A792" s="68"/>
      <c r="B792" s="68"/>
      <c r="D792" s="68"/>
      <c r="E792" s="69"/>
      <c r="K792" s="68"/>
      <c r="M792" s="68"/>
      <c r="O792" s="68"/>
      <c r="P792" s="68"/>
      <c r="Q792" s="68"/>
      <c r="R792" s="68"/>
      <c r="S792" s="68"/>
    </row>
    <row r="793" spans="1:19" ht="15.75" customHeight="1">
      <c r="A793" s="68"/>
      <c r="B793" s="68"/>
      <c r="D793" s="68"/>
      <c r="E793" s="69"/>
      <c r="K793" s="68"/>
      <c r="M793" s="68"/>
      <c r="O793" s="68"/>
      <c r="P793" s="68"/>
      <c r="Q793" s="68"/>
      <c r="R793" s="68"/>
      <c r="S793" s="68"/>
    </row>
    <row r="794" spans="1:19" ht="15.75" customHeight="1">
      <c r="A794" s="68"/>
      <c r="B794" s="68"/>
      <c r="D794" s="68"/>
      <c r="E794" s="69"/>
      <c r="K794" s="68"/>
      <c r="M794" s="68"/>
      <c r="O794" s="68"/>
      <c r="P794" s="68"/>
      <c r="Q794" s="68"/>
      <c r="R794" s="68"/>
      <c r="S794" s="68"/>
    </row>
    <row r="795" spans="1:19" ht="15.75" customHeight="1">
      <c r="A795" s="68"/>
      <c r="B795" s="68"/>
      <c r="D795" s="68"/>
      <c r="E795" s="69"/>
      <c r="K795" s="68"/>
      <c r="M795" s="68"/>
      <c r="O795" s="68"/>
      <c r="P795" s="68"/>
      <c r="Q795" s="68"/>
      <c r="R795" s="68"/>
      <c r="S795" s="68"/>
    </row>
    <row r="796" spans="1:19" ht="15.75" customHeight="1">
      <c r="A796" s="68"/>
      <c r="B796" s="68"/>
      <c r="D796" s="68"/>
      <c r="E796" s="69"/>
      <c r="K796" s="68"/>
      <c r="M796" s="68"/>
      <c r="O796" s="68"/>
      <c r="P796" s="68"/>
      <c r="Q796" s="68"/>
      <c r="R796" s="68"/>
      <c r="S796" s="68"/>
    </row>
    <row r="797" spans="1:19" ht="15.75" customHeight="1">
      <c r="A797" s="68"/>
      <c r="B797" s="68"/>
      <c r="D797" s="68"/>
      <c r="E797" s="69"/>
      <c r="K797" s="68"/>
      <c r="M797" s="68"/>
      <c r="O797" s="68"/>
      <c r="P797" s="68"/>
      <c r="Q797" s="68"/>
      <c r="R797" s="68"/>
      <c r="S797" s="68"/>
    </row>
    <row r="798" spans="1:19" ht="15.75" customHeight="1">
      <c r="A798" s="68"/>
      <c r="B798" s="68"/>
      <c r="D798" s="68"/>
      <c r="E798" s="69"/>
      <c r="K798" s="68"/>
      <c r="M798" s="68"/>
      <c r="O798" s="68"/>
      <c r="P798" s="68"/>
      <c r="Q798" s="68"/>
      <c r="R798" s="68"/>
      <c r="S798" s="68"/>
    </row>
    <row r="799" spans="1:19" ht="15.75" customHeight="1">
      <c r="A799" s="68"/>
      <c r="B799" s="68"/>
      <c r="D799" s="68"/>
      <c r="E799" s="69"/>
      <c r="K799" s="68"/>
      <c r="M799" s="68"/>
      <c r="O799" s="68"/>
      <c r="P799" s="68"/>
      <c r="Q799" s="68"/>
      <c r="R799" s="68"/>
      <c r="S799" s="68"/>
    </row>
    <row r="800" spans="1:19" ht="15.75" customHeight="1">
      <c r="A800" s="68"/>
      <c r="B800" s="68"/>
      <c r="D800" s="68"/>
      <c r="E800" s="69"/>
      <c r="K800" s="68"/>
      <c r="M800" s="68"/>
      <c r="O800" s="68"/>
      <c r="P800" s="68"/>
      <c r="Q800" s="68"/>
      <c r="R800" s="68"/>
      <c r="S800" s="68"/>
    </row>
    <row r="801" spans="1:19" ht="15.75" customHeight="1">
      <c r="A801" s="68"/>
      <c r="B801" s="68"/>
      <c r="D801" s="68"/>
      <c r="E801" s="69"/>
      <c r="K801" s="68"/>
      <c r="M801" s="68"/>
      <c r="O801" s="68"/>
      <c r="P801" s="68"/>
      <c r="Q801" s="68"/>
      <c r="R801" s="68"/>
      <c r="S801" s="68"/>
    </row>
    <row r="802" spans="1:19" ht="15.75" customHeight="1">
      <c r="A802" s="68"/>
      <c r="B802" s="68"/>
      <c r="D802" s="68"/>
      <c r="E802" s="69"/>
      <c r="K802" s="68"/>
      <c r="M802" s="68"/>
      <c r="O802" s="68"/>
      <c r="P802" s="68"/>
      <c r="Q802" s="68"/>
      <c r="R802" s="68"/>
      <c r="S802" s="68"/>
    </row>
    <row r="803" spans="1:19" ht="15.75" customHeight="1">
      <c r="A803" s="68"/>
      <c r="B803" s="68"/>
      <c r="D803" s="68"/>
      <c r="E803" s="69"/>
      <c r="K803" s="68"/>
      <c r="M803" s="68"/>
      <c r="O803" s="68"/>
      <c r="P803" s="68"/>
      <c r="Q803" s="68"/>
      <c r="R803" s="68"/>
      <c r="S803" s="68"/>
    </row>
    <row r="804" spans="1:19" ht="15.75" customHeight="1">
      <c r="A804" s="68"/>
      <c r="B804" s="68"/>
      <c r="D804" s="68"/>
      <c r="E804" s="69"/>
      <c r="K804" s="68"/>
      <c r="M804" s="68"/>
      <c r="O804" s="68"/>
      <c r="P804" s="68"/>
      <c r="Q804" s="68"/>
      <c r="R804" s="68"/>
      <c r="S804" s="68"/>
    </row>
    <row r="805" spans="1:19" ht="15.75" customHeight="1">
      <c r="A805" s="68"/>
      <c r="B805" s="68"/>
      <c r="D805" s="68"/>
      <c r="E805" s="69"/>
      <c r="K805" s="68"/>
      <c r="M805" s="68"/>
      <c r="O805" s="68"/>
      <c r="P805" s="68"/>
      <c r="Q805" s="68"/>
      <c r="R805" s="68"/>
      <c r="S805" s="68"/>
    </row>
    <row r="806" spans="1:19" ht="15.75" customHeight="1">
      <c r="A806" s="68"/>
      <c r="B806" s="68"/>
      <c r="D806" s="68"/>
      <c r="E806" s="69"/>
      <c r="K806" s="68"/>
      <c r="M806" s="68"/>
      <c r="O806" s="68"/>
      <c r="P806" s="68"/>
      <c r="Q806" s="68"/>
      <c r="R806" s="68"/>
      <c r="S806" s="68"/>
    </row>
    <row r="807" spans="1:19" ht="15.75" customHeight="1">
      <c r="A807" s="68"/>
      <c r="B807" s="68"/>
      <c r="D807" s="68"/>
      <c r="E807" s="69"/>
      <c r="K807" s="68"/>
      <c r="M807" s="68"/>
      <c r="O807" s="68"/>
      <c r="P807" s="68"/>
      <c r="Q807" s="68"/>
      <c r="R807" s="68"/>
      <c r="S807" s="68"/>
    </row>
    <row r="808" spans="1:19" ht="15.75" customHeight="1">
      <c r="A808" s="68"/>
      <c r="B808" s="68"/>
      <c r="D808" s="68"/>
      <c r="E808" s="69"/>
      <c r="K808" s="68"/>
      <c r="M808" s="68"/>
      <c r="O808" s="68"/>
      <c r="P808" s="68"/>
      <c r="Q808" s="68"/>
      <c r="R808" s="68"/>
      <c r="S808" s="68"/>
    </row>
    <row r="809" spans="1:19" ht="15.75" customHeight="1">
      <c r="A809" s="68"/>
      <c r="B809" s="68"/>
      <c r="D809" s="68"/>
      <c r="E809" s="69"/>
      <c r="K809" s="68"/>
      <c r="M809" s="68"/>
      <c r="O809" s="68"/>
      <c r="P809" s="68"/>
      <c r="Q809" s="68"/>
      <c r="R809" s="68"/>
      <c r="S809" s="68"/>
    </row>
    <row r="810" spans="1:19" ht="15.75" customHeight="1">
      <c r="A810" s="68"/>
      <c r="B810" s="68"/>
      <c r="D810" s="68"/>
      <c r="E810" s="69"/>
      <c r="K810" s="68"/>
      <c r="M810" s="68"/>
      <c r="O810" s="68"/>
      <c r="P810" s="68"/>
      <c r="Q810" s="68"/>
      <c r="R810" s="68"/>
      <c r="S810" s="68"/>
    </row>
    <row r="811" spans="1:19" ht="15.75" customHeight="1">
      <c r="A811" s="68"/>
      <c r="B811" s="68"/>
      <c r="D811" s="68"/>
      <c r="E811" s="69"/>
      <c r="K811" s="68"/>
      <c r="M811" s="68"/>
      <c r="O811" s="68"/>
      <c r="P811" s="68"/>
      <c r="Q811" s="68"/>
      <c r="R811" s="68"/>
      <c r="S811" s="68"/>
    </row>
    <row r="812" spans="1:19" ht="15.75" customHeight="1">
      <c r="A812" s="68"/>
      <c r="B812" s="68"/>
      <c r="D812" s="68"/>
      <c r="E812" s="69"/>
      <c r="K812" s="68"/>
      <c r="M812" s="68"/>
      <c r="O812" s="68"/>
      <c r="P812" s="68"/>
      <c r="Q812" s="68"/>
      <c r="R812" s="68"/>
      <c r="S812" s="68"/>
    </row>
    <row r="813" spans="1:19" ht="15.75" customHeight="1">
      <c r="A813" s="68"/>
      <c r="B813" s="68"/>
      <c r="D813" s="68"/>
      <c r="E813" s="69"/>
      <c r="K813" s="68"/>
      <c r="M813" s="68"/>
      <c r="O813" s="68"/>
      <c r="P813" s="68"/>
      <c r="Q813" s="68"/>
      <c r="R813" s="68"/>
      <c r="S813" s="68"/>
    </row>
    <row r="814" spans="1:19" ht="15.75" customHeight="1">
      <c r="A814" s="68"/>
      <c r="B814" s="68"/>
      <c r="D814" s="68"/>
      <c r="E814" s="69"/>
      <c r="K814" s="68"/>
      <c r="M814" s="68"/>
      <c r="O814" s="68"/>
      <c r="P814" s="68"/>
      <c r="Q814" s="68"/>
      <c r="R814" s="68"/>
      <c r="S814" s="68"/>
    </row>
    <row r="815" spans="1:19" ht="15.75" customHeight="1">
      <c r="A815" s="68"/>
      <c r="B815" s="68"/>
      <c r="D815" s="68"/>
      <c r="E815" s="69"/>
      <c r="K815" s="68"/>
      <c r="M815" s="68"/>
      <c r="O815" s="68"/>
      <c r="P815" s="68"/>
      <c r="Q815" s="68"/>
      <c r="R815" s="68"/>
      <c r="S815" s="68"/>
    </row>
    <row r="816" spans="1:19" ht="15.75" customHeight="1">
      <c r="A816" s="68"/>
      <c r="B816" s="68"/>
      <c r="D816" s="68"/>
      <c r="E816" s="69"/>
      <c r="K816" s="68"/>
      <c r="M816" s="68"/>
      <c r="O816" s="68"/>
      <c r="P816" s="68"/>
      <c r="Q816" s="68"/>
      <c r="R816" s="68"/>
      <c r="S816" s="68"/>
    </row>
    <row r="817" spans="1:19" ht="15.75" customHeight="1">
      <c r="A817" s="68"/>
      <c r="B817" s="68"/>
      <c r="D817" s="68"/>
      <c r="E817" s="69"/>
      <c r="K817" s="68"/>
      <c r="M817" s="68"/>
      <c r="O817" s="68"/>
      <c r="P817" s="68"/>
      <c r="Q817" s="68"/>
      <c r="R817" s="68"/>
      <c r="S817" s="68"/>
    </row>
    <row r="818" spans="1:19" ht="15.75" customHeight="1">
      <c r="A818" s="68"/>
      <c r="B818" s="68"/>
      <c r="D818" s="68"/>
      <c r="E818" s="69"/>
      <c r="K818" s="68"/>
      <c r="M818" s="68"/>
      <c r="O818" s="68"/>
      <c r="P818" s="68"/>
      <c r="Q818" s="68"/>
      <c r="R818" s="68"/>
      <c r="S818" s="68"/>
    </row>
    <row r="819" spans="1:19" ht="15.75" customHeight="1">
      <c r="A819" s="68"/>
      <c r="B819" s="68"/>
      <c r="D819" s="68"/>
      <c r="E819" s="69"/>
      <c r="K819" s="68"/>
      <c r="M819" s="68"/>
      <c r="O819" s="68"/>
      <c r="P819" s="68"/>
      <c r="Q819" s="68"/>
      <c r="R819" s="68"/>
      <c r="S819" s="68"/>
    </row>
    <row r="820" spans="1:19" ht="15.75" customHeight="1">
      <c r="A820" s="68"/>
      <c r="B820" s="68"/>
      <c r="D820" s="68"/>
      <c r="E820" s="69"/>
      <c r="K820" s="68"/>
      <c r="M820" s="68"/>
      <c r="O820" s="68"/>
      <c r="P820" s="68"/>
      <c r="Q820" s="68"/>
      <c r="R820" s="68"/>
      <c r="S820" s="68"/>
    </row>
    <row r="821" spans="1:19" ht="15.75" customHeight="1">
      <c r="A821" s="68"/>
      <c r="B821" s="68"/>
      <c r="D821" s="68"/>
      <c r="E821" s="69"/>
      <c r="K821" s="68"/>
      <c r="M821" s="68"/>
      <c r="O821" s="68"/>
      <c r="P821" s="68"/>
      <c r="Q821" s="68"/>
      <c r="R821" s="68"/>
      <c r="S821" s="68"/>
    </row>
    <row r="822" spans="1:19" ht="15.75" customHeight="1">
      <c r="A822" s="68"/>
      <c r="B822" s="68"/>
      <c r="D822" s="68"/>
      <c r="E822" s="69"/>
      <c r="K822" s="68"/>
      <c r="M822" s="68"/>
      <c r="O822" s="68"/>
      <c r="P822" s="68"/>
      <c r="Q822" s="68"/>
      <c r="R822" s="68"/>
      <c r="S822" s="68"/>
    </row>
    <row r="823" spans="1:19" ht="15.75" customHeight="1">
      <c r="A823" s="68"/>
      <c r="B823" s="68"/>
      <c r="D823" s="68"/>
      <c r="E823" s="69"/>
      <c r="K823" s="68"/>
      <c r="M823" s="68"/>
      <c r="O823" s="68"/>
      <c r="P823" s="68"/>
      <c r="Q823" s="68"/>
      <c r="R823" s="68"/>
      <c r="S823" s="68"/>
    </row>
    <row r="824" spans="1:19" ht="15.75" customHeight="1">
      <c r="A824" s="68"/>
      <c r="B824" s="68"/>
      <c r="D824" s="68"/>
      <c r="E824" s="69"/>
      <c r="K824" s="68"/>
      <c r="M824" s="68"/>
      <c r="O824" s="68"/>
      <c r="P824" s="68"/>
      <c r="Q824" s="68"/>
      <c r="R824" s="68"/>
      <c r="S824" s="68"/>
    </row>
    <row r="825" spans="1:19" ht="15.75" customHeight="1">
      <c r="A825" s="68"/>
      <c r="B825" s="68"/>
      <c r="D825" s="68"/>
      <c r="E825" s="69"/>
      <c r="K825" s="68"/>
      <c r="M825" s="68"/>
      <c r="O825" s="68"/>
      <c r="P825" s="68"/>
      <c r="Q825" s="68"/>
      <c r="R825" s="68"/>
      <c r="S825" s="68"/>
    </row>
    <row r="826" spans="1:19" ht="15.75" customHeight="1">
      <c r="A826" s="68"/>
      <c r="B826" s="68"/>
      <c r="D826" s="68"/>
      <c r="E826" s="69"/>
      <c r="K826" s="68"/>
      <c r="M826" s="68"/>
      <c r="O826" s="68"/>
      <c r="P826" s="68"/>
      <c r="Q826" s="68"/>
      <c r="R826" s="68"/>
      <c r="S826" s="68"/>
    </row>
    <row r="827" spans="1:19" ht="15.75" customHeight="1">
      <c r="A827" s="68"/>
      <c r="B827" s="68"/>
      <c r="D827" s="68"/>
      <c r="E827" s="69"/>
      <c r="K827" s="68"/>
      <c r="M827" s="68"/>
      <c r="O827" s="68"/>
      <c r="P827" s="68"/>
      <c r="Q827" s="68"/>
      <c r="R827" s="68"/>
      <c r="S827" s="68"/>
    </row>
    <row r="828" spans="1:19" ht="15.75" customHeight="1">
      <c r="A828" s="68"/>
      <c r="B828" s="68"/>
      <c r="D828" s="68"/>
      <c r="E828" s="69"/>
      <c r="K828" s="68"/>
      <c r="M828" s="68"/>
      <c r="O828" s="68"/>
      <c r="P828" s="68"/>
      <c r="Q828" s="68"/>
      <c r="R828" s="68"/>
      <c r="S828" s="68"/>
    </row>
    <row r="829" spans="1:19" ht="15.75" customHeight="1">
      <c r="A829" s="68"/>
      <c r="B829" s="68"/>
      <c r="D829" s="68"/>
      <c r="E829" s="69"/>
      <c r="K829" s="68"/>
      <c r="M829" s="68"/>
      <c r="O829" s="68"/>
      <c r="P829" s="68"/>
      <c r="Q829" s="68"/>
      <c r="R829" s="68"/>
      <c r="S829" s="68"/>
    </row>
    <row r="830" spans="1:19" ht="15.75" customHeight="1">
      <c r="A830" s="68"/>
      <c r="B830" s="68"/>
      <c r="D830" s="68"/>
      <c r="E830" s="69"/>
      <c r="K830" s="68"/>
      <c r="M830" s="68"/>
      <c r="O830" s="68"/>
      <c r="P830" s="68"/>
      <c r="Q830" s="68"/>
      <c r="R830" s="68"/>
      <c r="S830" s="68"/>
    </row>
    <row r="831" spans="1:19" ht="15.75" customHeight="1">
      <c r="A831" s="68"/>
      <c r="B831" s="68"/>
      <c r="D831" s="68"/>
      <c r="E831" s="69"/>
      <c r="K831" s="68"/>
      <c r="M831" s="68"/>
      <c r="O831" s="68"/>
      <c r="P831" s="68"/>
      <c r="Q831" s="68"/>
      <c r="R831" s="68"/>
      <c r="S831" s="68"/>
    </row>
    <row r="832" spans="1:19" ht="15.75" customHeight="1">
      <c r="A832" s="68"/>
      <c r="B832" s="68"/>
      <c r="D832" s="68"/>
      <c r="E832" s="69"/>
      <c r="K832" s="68"/>
      <c r="M832" s="68"/>
      <c r="O832" s="68"/>
      <c r="P832" s="68"/>
      <c r="Q832" s="68"/>
      <c r="R832" s="68"/>
      <c r="S832" s="68"/>
    </row>
    <row r="833" spans="1:19" ht="15.75" customHeight="1">
      <c r="A833" s="68"/>
      <c r="B833" s="68"/>
      <c r="D833" s="68"/>
      <c r="E833" s="69"/>
      <c r="K833" s="68"/>
      <c r="M833" s="68"/>
      <c r="O833" s="68"/>
      <c r="P833" s="68"/>
      <c r="Q833" s="68"/>
      <c r="R833" s="68"/>
      <c r="S833" s="68"/>
    </row>
    <row r="834" spans="1:19" ht="15.75" customHeight="1">
      <c r="A834" s="68"/>
      <c r="B834" s="68"/>
      <c r="D834" s="68"/>
      <c r="E834" s="69"/>
      <c r="K834" s="68"/>
      <c r="M834" s="68"/>
      <c r="O834" s="68"/>
      <c r="P834" s="68"/>
      <c r="Q834" s="68"/>
      <c r="R834" s="68"/>
      <c r="S834" s="68"/>
    </row>
    <row r="835" spans="1:19" ht="15.75" customHeight="1">
      <c r="A835" s="68"/>
      <c r="B835" s="68"/>
      <c r="D835" s="68"/>
      <c r="E835" s="69"/>
      <c r="K835" s="68"/>
      <c r="M835" s="68"/>
      <c r="O835" s="68"/>
      <c r="P835" s="68"/>
      <c r="Q835" s="68"/>
      <c r="R835" s="68"/>
      <c r="S835" s="68"/>
    </row>
    <row r="836" spans="1:19" ht="15.75" customHeight="1">
      <c r="A836" s="68"/>
      <c r="B836" s="68"/>
      <c r="D836" s="68"/>
      <c r="E836" s="69"/>
      <c r="K836" s="68"/>
      <c r="M836" s="68"/>
      <c r="O836" s="68"/>
      <c r="P836" s="68"/>
      <c r="Q836" s="68"/>
      <c r="R836" s="68"/>
      <c r="S836" s="68"/>
    </row>
    <row r="837" spans="1:19" ht="15.75" customHeight="1">
      <c r="A837" s="68"/>
      <c r="B837" s="68"/>
      <c r="D837" s="68"/>
      <c r="E837" s="69"/>
      <c r="K837" s="68"/>
      <c r="M837" s="68"/>
      <c r="O837" s="68"/>
      <c r="P837" s="68"/>
      <c r="Q837" s="68"/>
      <c r="R837" s="68"/>
      <c r="S837" s="68"/>
    </row>
    <row r="838" spans="1:19" ht="15.75" customHeight="1">
      <c r="A838" s="68"/>
      <c r="B838" s="68"/>
      <c r="D838" s="68"/>
      <c r="E838" s="69"/>
      <c r="K838" s="68"/>
      <c r="M838" s="68"/>
      <c r="O838" s="68"/>
      <c r="P838" s="68"/>
      <c r="Q838" s="68"/>
      <c r="R838" s="68"/>
      <c r="S838" s="68"/>
    </row>
    <row r="839" spans="1:19" ht="15.75" customHeight="1">
      <c r="A839" s="68"/>
      <c r="B839" s="68"/>
      <c r="D839" s="68"/>
      <c r="E839" s="69"/>
      <c r="K839" s="68"/>
      <c r="M839" s="68"/>
      <c r="O839" s="68"/>
      <c r="P839" s="68"/>
      <c r="Q839" s="68"/>
      <c r="R839" s="68"/>
      <c r="S839" s="68"/>
    </row>
    <row r="840" spans="1:19" ht="15.75" customHeight="1">
      <c r="A840" s="68"/>
      <c r="B840" s="68"/>
      <c r="D840" s="68"/>
      <c r="E840" s="69"/>
      <c r="K840" s="68"/>
      <c r="M840" s="68"/>
      <c r="O840" s="68"/>
      <c r="P840" s="68"/>
      <c r="Q840" s="68"/>
      <c r="R840" s="68"/>
      <c r="S840" s="68"/>
    </row>
    <row r="841" spans="1:19" ht="15.75" customHeight="1">
      <c r="A841" s="68"/>
      <c r="B841" s="68"/>
      <c r="D841" s="68"/>
      <c r="E841" s="69"/>
      <c r="K841" s="68"/>
      <c r="M841" s="68"/>
      <c r="O841" s="68"/>
      <c r="P841" s="68"/>
      <c r="Q841" s="68"/>
      <c r="R841" s="68"/>
      <c r="S841" s="68"/>
    </row>
    <row r="842" spans="1:19" ht="15.75" customHeight="1">
      <c r="A842" s="68"/>
      <c r="B842" s="68"/>
      <c r="D842" s="68"/>
      <c r="E842" s="69"/>
      <c r="K842" s="68"/>
      <c r="M842" s="68"/>
      <c r="O842" s="68"/>
      <c r="P842" s="68"/>
      <c r="Q842" s="68"/>
      <c r="R842" s="68"/>
      <c r="S842" s="68"/>
    </row>
    <row r="843" spans="1:19" ht="15.75" customHeight="1">
      <c r="A843" s="68"/>
      <c r="B843" s="68"/>
      <c r="D843" s="68"/>
      <c r="E843" s="69"/>
      <c r="K843" s="68"/>
      <c r="M843" s="68"/>
      <c r="O843" s="68"/>
      <c r="P843" s="68"/>
      <c r="Q843" s="68"/>
      <c r="R843" s="68"/>
      <c r="S843" s="68"/>
    </row>
    <row r="844" spans="1:19" ht="15.75" customHeight="1">
      <c r="A844" s="68"/>
      <c r="B844" s="68"/>
      <c r="D844" s="68"/>
      <c r="E844" s="69"/>
      <c r="K844" s="68"/>
      <c r="M844" s="68"/>
      <c r="O844" s="68"/>
      <c r="P844" s="68"/>
      <c r="Q844" s="68"/>
      <c r="R844" s="68"/>
      <c r="S844" s="68"/>
    </row>
    <row r="845" spans="1:19" ht="15.75" customHeight="1">
      <c r="A845" s="68"/>
      <c r="B845" s="68"/>
      <c r="D845" s="68"/>
      <c r="E845" s="69"/>
      <c r="K845" s="68"/>
      <c r="M845" s="68"/>
      <c r="O845" s="68"/>
      <c r="P845" s="68"/>
      <c r="Q845" s="68"/>
      <c r="R845" s="68"/>
      <c r="S845" s="68"/>
    </row>
    <row r="846" spans="1:19" ht="15.75" customHeight="1">
      <c r="A846" s="68"/>
      <c r="B846" s="68"/>
      <c r="D846" s="68"/>
      <c r="E846" s="69"/>
      <c r="K846" s="68"/>
      <c r="M846" s="68"/>
      <c r="O846" s="68"/>
      <c r="P846" s="68"/>
      <c r="Q846" s="68"/>
      <c r="R846" s="68"/>
      <c r="S846" s="68"/>
    </row>
    <row r="847" spans="1:19" ht="15.75" customHeight="1">
      <c r="A847" s="68"/>
      <c r="B847" s="68"/>
      <c r="D847" s="68"/>
      <c r="E847" s="69"/>
      <c r="K847" s="68"/>
      <c r="M847" s="68"/>
      <c r="O847" s="68"/>
      <c r="P847" s="68"/>
      <c r="Q847" s="68"/>
      <c r="R847" s="68"/>
      <c r="S847" s="68"/>
    </row>
    <row r="848" spans="1:19" ht="15.75" customHeight="1">
      <c r="A848" s="68"/>
      <c r="B848" s="68"/>
      <c r="D848" s="68"/>
      <c r="E848" s="69"/>
      <c r="K848" s="68"/>
      <c r="M848" s="68"/>
      <c r="O848" s="68"/>
      <c r="P848" s="68"/>
      <c r="Q848" s="68"/>
      <c r="R848" s="68"/>
      <c r="S848" s="68"/>
    </row>
    <row r="849" spans="1:19" ht="15.75" customHeight="1">
      <c r="A849" s="68"/>
      <c r="B849" s="68"/>
      <c r="D849" s="68"/>
      <c r="E849" s="69"/>
      <c r="K849" s="68"/>
      <c r="M849" s="68"/>
      <c r="O849" s="68"/>
      <c r="P849" s="68"/>
      <c r="Q849" s="68"/>
      <c r="R849" s="68"/>
      <c r="S849" s="68"/>
    </row>
    <row r="850" spans="1:19" ht="15.75" customHeight="1">
      <c r="A850" s="68"/>
      <c r="B850" s="68"/>
      <c r="D850" s="68"/>
      <c r="E850" s="69"/>
      <c r="K850" s="68"/>
      <c r="M850" s="68"/>
      <c r="O850" s="68"/>
      <c r="P850" s="68"/>
      <c r="Q850" s="68"/>
      <c r="R850" s="68"/>
      <c r="S850" s="68"/>
    </row>
    <row r="851" spans="1:19" ht="15.75" customHeight="1">
      <c r="A851" s="68"/>
      <c r="B851" s="68"/>
      <c r="D851" s="68"/>
      <c r="E851" s="69"/>
      <c r="K851" s="68"/>
      <c r="M851" s="68"/>
      <c r="O851" s="68"/>
      <c r="P851" s="68"/>
      <c r="Q851" s="68"/>
      <c r="R851" s="68"/>
      <c r="S851" s="68"/>
    </row>
    <row r="852" spans="1:19" ht="15.75" customHeight="1">
      <c r="A852" s="68"/>
      <c r="B852" s="68"/>
      <c r="D852" s="68"/>
      <c r="E852" s="69"/>
      <c r="K852" s="68"/>
      <c r="M852" s="68"/>
      <c r="O852" s="68"/>
      <c r="P852" s="68"/>
      <c r="Q852" s="68"/>
      <c r="R852" s="68"/>
      <c r="S852" s="68"/>
    </row>
    <row r="853" spans="1:19" ht="15.75" customHeight="1">
      <c r="A853" s="68"/>
      <c r="B853" s="68"/>
      <c r="D853" s="68"/>
      <c r="E853" s="69"/>
      <c r="K853" s="68"/>
      <c r="M853" s="68"/>
      <c r="O853" s="68"/>
      <c r="P853" s="68"/>
      <c r="Q853" s="68"/>
      <c r="R853" s="68"/>
      <c r="S853" s="68"/>
    </row>
    <row r="854" spans="1:19" ht="15.75" customHeight="1">
      <c r="A854" s="68"/>
      <c r="B854" s="68"/>
      <c r="D854" s="68"/>
      <c r="E854" s="69"/>
      <c r="K854" s="68"/>
      <c r="M854" s="68"/>
      <c r="O854" s="68"/>
      <c r="P854" s="68"/>
      <c r="Q854" s="68"/>
      <c r="R854" s="68"/>
      <c r="S854" s="68"/>
    </row>
    <row r="855" spans="1:19" ht="15.75" customHeight="1">
      <c r="A855" s="68"/>
      <c r="B855" s="68"/>
      <c r="D855" s="68"/>
      <c r="E855" s="69"/>
      <c r="K855" s="68"/>
      <c r="M855" s="68"/>
      <c r="O855" s="68"/>
      <c r="P855" s="68"/>
      <c r="Q855" s="68"/>
      <c r="R855" s="68"/>
      <c r="S855" s="68"/>
    </row>
    <row r="856" spans="1:19" ht="15.75" customHeight="1">
      <c r="A856" s="68"/>
      <c r="B856" s="68"/>
      <c r="D856" s="68"/>
      <c r="E856" s="69"/>
      <c r="K856" s="68"/>
      <c r="M856" s="68"/>
      <c r="O856" s="68"/>
      <c r="P856" s="68"/>
      <c r="Q856" s="68"/>
      <c r="R856" s="68"/>
      <c r="S856" s="68"/>
    </row>
    <row r="857" spans="1:19" ht="15.75" customHeight="1">
      <c r="A857" s="68"/>
      <c r="B857" s="68"/>
      <c r="D857" s="68"/>
      <c r="E857" s="69"/>
      <c r="K857" s="68"/>
      <c r="M857" s="68"/>
      <c r="O857" s="68"/>
      <c r="P857" s="68"/>
      <c r="Q857" s="68"/>
      <c r="R857" s="68"/>
      <c r="S857" s="68"/>
    </row>
    <row r="858" spans="1:19" ht="15.75" customHeight="1">
      <c r="A858" s="68"/>
      <c r="B858" s="68"/>
      <c r="D858" s="68"/>
      <c r="E858" s="69"/>
      <c r="K858" s="68"/>
      <c r="M858" s="68"/>
      <c r="O858" s="68"/>
      <c r="P858" s="68"/>
      <c r="Q858" s="68"/>
      <c r="R858" s="68"/>
      <c r="S858" s="68"/>
    </row>
    <row r="859" spans="1:19" ht="15.75" customHeight="1">
      <c r="A859" s="68"/>
      <c r="B859" s="68"/>
      <c r="D859" s="68"/>
      <c r="E859" s="69"/>
      <c r="K859" s="68"/>
      <c r="M859" s="68"/>
      <c r="O859" s="68"/>
      <c r="P859" s="68"/>
      <c r="Q859" s="68"/>
      <c r="R859" s="68"/>
      <c r="S859" s="68"/>
    </row>
    <row r="860" spans="1:19" ht="15.75" customHeight="1">
      <c r="A860" s="68"/>
      <c r="B860" s="68"/>
      <c r="D860" s="68"/>
      <c r="E860" s="69"/>
      <c r="K860" s="68"/>
      <c r="M860" s="68"/>
      <c r="O860" s="68"/>
      <c r="P860" s="68"/>
      <c r="Q860" s="68"/>
      <c r="R860" s="68"/>
      <c r="S860" s="68"/>
    </row>
    <row r="861" spans="1:19" ht="15.75" customHeight="1">
      <c r="A861" s="68"/>
      <c r="B861" s="68"/>
      <c r="D861" s="68"/>
      <c r="E861" s="69"/>
      <c r="K861" s="68"/>
      <c r="M861" s="68"/>
      <c r="O861" s="68"/>
      <c r="P861" s="68"/>
      <c r="Q861" s="68"/>
      <c r="R861" s="68"/>
      <c r="S861" s="68"/>
    </row>
    <row r="862" spans="1:19" ht="15.75" customHeight="1">
      <c r="A862" s="68"/>
      <c r="B862" s="68"/>
      <c r="D862" s="68"/>
      <c r="E862" s="69"/>
      <c r="K862" s="68"/>
      <c r="M862" s="68"/>
      <c r="O862" s="68"/>
      <c r="P862" s="68"/>
      <c r="Q862" s="68"/>
      <c r="R862" s="68"/>
      <c r="S862" s="68"/>
    </row>
    <row r="863" spans="1:19" ht="15.75" customHeight="1">
      <c r="A863" s="68"/>
      <c r="B863" s="68"/>
      <c r="D863" s="68"/>
      <c r="E863" s="69"/>
      <c r="K863" s="68"/>
      <c r="M863" s="68"/>
      <c r="O863" s="68"/>
      <c r="P863" s="68"/>
      <c r="Q863" s="68"/>
      <c r="R863" s="68"/>
      <c r="S863" s="68"/>
    </row>
    <row r="864" spans="1:19" ht="15.75" customHeight="1">
      <c r="A864" s="68"/>
      <c r="B864" s="68"/>
      <c r="D864" s="68"/>
      <c r="E864" s="69"/>
      <c r="K864" s="68"/>
      <c r="M864" s="68"/>
      <c r="O864" s="68"/>
      <c r="P864" s="68"/>
      <c r="Q864" s="68"/>
      <c r="R864" s="68"/>
      <c r="S864" s="68"/>
    </row>
    <row r="865" spans="1:19" ht="15.75" customHeight="1">
      <c r="A865" s="68"/>
      <c r="B865" s="68"/>
      <c r="D865" s="68"/>
      <c r="E865" s="69"/>
      <c r="K865" s="68"/>
      <c r="M865" s="68"/>
      <c r="O865" s="68"/>
      <c r="P865" s="68"/>
      <c r="Q865" s="68"/>
      <c r="R865" s="68"/>
      <c r="S865" s="68"/>
    </row>
    <row r="866" spans="1:19" ht="15.75" customHeight="1">
      <c r="A866" s="68"/>
      <c r="B866" s="68"/>
      <c r="D866" s="68"/>
      <c r="E866" s="69"/>
      <c r="K866" s="68"/>
      <c r="M866" s="68"/>
      <c r="O866" s="68"/>
      <c r="P866" s="68"/>
      <c r="Q866" s="68"/>
      <c r="R866" s="68"/>
      <c r="S866" s="68"/>
    </row>
    <row r="867" spans="1:19" ht="15.75" customHeight="1">
      <c r="A867" s="68"/>
      <c r="B867" s="68"/>
      <c r="D867" s="68"/>
      <c r="E867" s="69"/>
      <c r="K867" s="68"/>
      <c r="M867" s="68"/>
      <c r="O867" s="68"/>
      <c r="P867" s="68"/>
      <c r="Q867" s="68"/>
      <c r="R867" s="68"/>
      <c r="S867" s="68"/>
    </row>
    <row r="868" spans="1:19" ht="15.75" customHeight="1">
      <c r="A868" s="68"/>
      <c r="B868" s="68"/>
      <c r="D868" s="68"/>
      <c r="E868" s="69"/>
      <c r="K868" s="68"/>
      <c r="M868" s="68"/>
      <c r="O868" s="68"/>
      <c r="P868" s="68"/>
      <c r="Q868" s="68"/>
      <c r="R868" s="68"/>
      <c r="S868" s="68"/>
    </row>
    <row r="869" spans="1:19" ht="15.75" customHeight="1">
      <c r="A869" s="68"/>
      <c r="B869" s="68"/>
      <c r="D869" s="68"/>
      <c r="E869" s="69"/>
      <c r="K869" s="68"/>
      <c r="M869" s="68"/>
      <c r="O869" s="68"/>
      <c r="P869" s="68"/>
      <c r="Q869" s="68"/>
      <c r="R869" s="68"/>
      <c r="S869" s="68"/>
    </row>
    <row r="870" spans="1:19" ht="15.75" customHeight="1">
      <c r="A870" s="68"/>
      <c r="B870" s="68"/>
      <c r="D870" s="68"/>
      <c r="E870" s="69"/>
      <c r="K870" s="68"/>
      <c r="M870" s="68"/>
      <c r="O870" s="68"/>
      <c r="P870" s="68"/>
      <c r="Q870" s="68"/>
      <c r="R870" s="68"/>
      <c r="S870" s="68"/>
    </row>
    <row r="871" spans="1:19" ht="15.75" customHeight="1">
      <c r="A871" s="68"/>
      <c r="B871" s="68"/>
      <c r="D871" s="68"/>
      <c r="E871" s="69"/>
      <c r="K871" s="68"/>
      <c r="M871" s="68"/>
      <c r="O871" s="68"/>
      <c r="P871" s="68"/>
      <c r="Q871" s="68"/>
      <c r="R871" s="68"/>
      <c r="S871" s="68"/>
    </row>
    <row r="872" spans="1:19" ht="15.75" customHeight="1">
      <c r="A872" s="68"/>
      <c r="B872" s="68"/>
      <c r="D872" s="68"/>
      <c r="E872" s="69"/>
      <c r="K872" s="68"/>
      <c r="M872" s="68"/>
      <c r="O872" s="68"/>
      <c r="P872" s="68"/>
      <c r="Q872" s="68"/>
      <c r="R872" s="68"/>
      <c r="S872" s="68"/>
    </row>
    <row r="873" spans="1:19" ht="15.75" customHeight="1">
      <c r="A873" s="68"/>
      <c r="B873" s="68"/>
      <c r="D873" s="68"/>
      <c r="E873" s="69"/>
      <c r="K873" s="68"/>
      <c r="M873" s="68"/>
      <c r="O873" s="68"/>
      <c r="P873" s="68"/>
      <c r="Q873" s="68"/>
      <c r="R873" s="68"/>
      <c r="S873" s="68"/>
    </row>
    <row r="874" spans="1:19" ht="15.75" customHeight="1">
      <c r="A874" s="68"/>
      <c r="B874" s="68"/>
      <c r="D874" s="68"/>
      <c r="E874" s="69"/>
      <c r="K874" s="68"/>
      <c r="M874" s="68"/>
      <c r="O874" s="68"/>
      <c r="P874" s="68"/>
      <c r="Q874" s="68"/>
      <c r="R874" s="68"/>
      <c r="S874" s="68"/>
    </row>
    <row r="875" spans="1:19" ht="15.75" customHeight="1">
      <c r="A875" s="68"/>
      <c r="B875" s="68"/>
      <c r="D875" s="68"/>
      <c r="E875" s="69"/>
      <c r="K875" s="68"/>
      <c r="M875" s="68"/>
      <c r="O875" s="68"/>
      <c r="P875" s="68"/>
      <c r="Q875" s="68"/>
      <c r="R875" s="68"/>
      <c r="S875" s="68"/>
    </row>
    <row r="876" spans="1:19" ht="15.75" customHeight="1">
      <c r="A876" s="68"/>
      <c r="B876" s="68"/>
      <c r="D876" s="68"/>
      <c r="E876" s="69"/>
      <c r="K876" s="68"/>
      <c r="M876" s="68"/>
      <c r="O876" s="68"/>
      <c r="P876" s="68"/>
      <c r="Q876" s="68"/>
      <c r="R876" s="68"/>
      <c r="S876" s="68"/>
    </row>
    <row r="877" spans="1:19" ht="15.75" customHeight="1">
      <c r="A877" s="68"/>
      <c r="B877" s="68"/>
      <c r="D877" s="68"/>
      <c r="E877" s="69"/>
      <c r="K877" s="68"/>
      <c r="M877" s="68"/>
      <c r="O877" s="68"/>
      <c r="P877" s="68"/>
      <c r="Q877" s="68"/>
      <c r="R877" s="68"/>
      <c r="S877" s="68"/>
    </row>
    <row r="878" spans="1:19" ht="15.75" customHeight="1">
      <c r="A878" s="68"/>
      <c r="B878" s="68"/>
      <c r="D878" s="68"/>
      <c r="E878" s="69"/>
      <c r="K878" s="68"/>
      <c r="M878" s="68"/>
      <c r="O878" s="68"/>
      <c r="P878" s="68"/>
      <c r="Q878" s="68"/>
      <c r="R878" s="68"/>
      <c r="S878" s="68"/>
    </row>
    <row r="879" spans="1:19" ht="15.75" customHeight="1">
      <c r="A879" s="68"/>
      <c r="B879" s="68"/>
      <c r="D879" s="68"/>
      <c r="E879" s="69"/>
      <c r="K879" s="68"/>
      <c r="M879" s="68"/>
      <c r="O879" s="68"/>
      <c r="P879" s="68"/>
      <c r="Q879" s="68"/>
      <c r="R879" s="68"/>
      <c r="S879" s="68"/>
    </row>
    <row r="880" spans="1:19" ht="15.75" customHeight="1">
      <c r="A880" s="68"/>
      <c r="B880" s="68"/>
      <c r="D880" s="68"/>
      <c r="E880" s="69"/>
      <c r="K880" s="68"/>
      <c r="M880" s="68"/>
      <c r="O880" s="68"/>
      <c r="P880" s="68"/>
      <c r="Q880" s="68"/>
      <c r="R880" s="68"/>
      <c r="S880" s="68"/>
    </row>
    <row r="881" spans="1:19" ht="15.75" customHeight="1">
      <c r="A881" s="68"/>
      <c r="B881" s="68"/>
      <c r="D881" s="68"/>
      <c r="E881" s="69"/>
      <c r="K881" s="68"/>
      <c r="M881" s="68"/>
      <c r="O881" s="68"/>
      <c r="P881" s="68"/>
      <c r="Q881" s="68"/>
      <c r="R881" s="68"/>
      <c r="S881" s="68"/>
    </row>
    <row r="882" spans="1:19" ht="15.75" customHeight="1">
      <c r="A882" s="68"/>
      <c r="B882" s="68"/>
      <c r="D882" s="68"/>
      <c r="E882" s="69"/>
      <c r="K882" s="68"/>
      <c r="M882" s="68"/>
      <c r="O882" s="68"/>
      <c r="P882" s="68"/>
      <c r="Q882" s="68"/>
      <c r="R882" s="68"/>
      <c r="S882" s="68"/>
    </row>
    <row r="883" spans="1:19" ht="15.75" customHeight="1">
      <c r="A883" s="68"/>
      <c r="B883" s="68"/>
      <c r="D883" s="68"/>
      <c r="E883" s="69"/>
      <c r="K883" s="68"/>
      <c r="M883" s="68"/>
      <c r="O883" s="68"/>
      <c r="P883" s="68"/>
      <c r="Q883" s="68"/>
      <c r="R883" s="68"/>
      <c r="S883" s="68"/>
    </row>
    <row r="884" spans="1:19" ht="15.75" customHeight="1">
      <c r="A884" s="68"/>
      <c r="B884" s="68"/>
      <c r="D884" s="68"/>
      <c r="E884" s="69"/>
      <c r="K884" s="68"/>
      <c r="M884" s="68"/>
      <c r="O884" s="68"/>
      <c r="P884" s="68"/>
      <c r="Q884" s="68"/>
      <c r="R884" s="68"/>
      <c r="S884" s="68"/>
    </row>
    <row r="885" spans="1:19" ht="15.75" customHeight="1">
      <c r="A885" s="68"/>
      <c r="B885" s="68"/>
      <c r="D885" s="68"/>
      <c r="E885" s="69"/>
      <c r="K885" s="68"/>
      <c r="M885" s="68"/>
      <c r="O885" s="68"/>
      <c r="P885" s="68"/>
      <c r="Q885" s="68"/>
      <c r="R885" s="68"/>
      <c r="S885" s="68"/>
    </row>
    <row r="886" spans="1:19" ht="15.75" customHeight="1">
      <c r="A886" s="68"/>
      <c r="B886" s="68"/>
      <c r="D886" s="68"/>
      <c r="E886" s="69"/>
      <c r="K886" s="68"/>
      <c r="M886" s="68"/>
      <c r="O886" s="68"/>
      <c r="P886" s="68"/>
      <c r="Q886" s="68"/>
      <c r="R886" s="68"/>
      <c r="S886" s="68"/>
    </row>
    <row r="887" spans="1:19" ht="15.75" customHeight="1">
      <c r="A887" s="68"/>
      <c r="B887" s="68"/>
      <c r="D887" s="68"/>
      <c r="E887" s="69"/>
      <c r="K887" s="68"/>
      <c r="M887" s="68"/>
      <c r="O887" s="68"/>
      <c r="P887" s="68"/>
      <c r="Q887" s="68"/>
      <c r="R887" s="68"/>
      <c r="S887" s="68"/>
    </row>
    <row r="888" spans="1:19" ht="15.75" customHeight="1">
      <c r="A888" s="68"/>
      <c r="B888" s="68"/>
      <c r="D888" s="68"/>
      <c r="E888" s="69"/>
      <c r="K888" s="68"/>
      <c r="M888" s="68"/>
      <c r="O888" s="68"/>
      <c r="P888" s="68"/>
      <c r="Q888" s="68"/>
      <c r="R888" s="68"/>
      <c r="S888" s="68"/>
    </row>
    <row r="889" spans="1:19" ht="15.75" customHeight="1">
      <c r="A889" s="68"/>
      <c r="B889" s="68"/>
      <c r="D889" s="68"/>
      <c r="E889" s="69"/>
      <c r="K889" s="68"/>
      <c r="M889" s="68"/>
      <c r="O889" s="68"/>
      <c r="P889" s="68"/>
      <c r="Q889" s="68"/>
      <c r="R889" s="68"/>
      <c r="S889" s="68"/>
    </row>
    <row r="890" spans="1:19" ht="15.75" customHeight="1">
      <c r="A890" s="68"/>
      <c r="B890" s="68"/>
      <c r="D890" s="68"/>
      <c r="E890" s="69"/>
      <c r="K890" s="68"/>
      <c r="M890" s="68"/>
      <c r="O890" s="68"/>
      <c r="P890" s="68"/>
      <c r="Q890" s="68"/>
      <c r="R890" s="68"/>
      <c r="S890" s="68"/>
    </row>
    <row r="891" spans="1:19" ht="15.75" customHeight="1">
      <c r="A891" s="68"/>
      <c r="B891" s="68"/>
      <c r="D891" s="68"/>
      <c r="E891" s="69"/>
      <c r="K891" s="68"/>
      <c r="M891" s="68"/>
      <c r="O891" s="68"/>
      <c r="P891" s="68"/>
      <c r="Q891" s="68"/>
      <c r="R891" s="68"/>
      <c r="S891" s="68"/>
    </row>
    <row r="892" spans="1:19" ht="15.75" customHeight="1">
      <c r="A892" s="68"/>
      <c r="B892" s="68"/>
      <c r="D892" s="68"/>
      <c r="E892" s="69"/>
      <c r="K892" s="68"/>
      <c r="M892" s="68"/>
      <c r="O892" s="68"/>
      <c r="P892" s="68"/>
      <c r="Q892" s="68"/>
      <c r="R892" s="68"/>
      <c r="S892" s="68"/>
    </row>
    <row r="893" spans="1:19" ht="15.75" customHeight="1">
      <c r="A893" s="68"/>
      <c r="B893" s="68"/>
      <c r="D893" s="68"/>
      <c r="E893" s="69"/>
      <c r="K893" s="68"/>
      <c r="M893" s="68"/>
      <c r="O893" s="68"/>
      <c r="P893" s="68"/>
      <c r="Q893" s="68"/>
      <c r="R893" s="68"/>
      <c r="S893" s="68"/>
    </row>
    <row r="894" spans="1:19" ht="15.75" customHeight="1">
      <c r="A894" s="68"/>
      <c r="B894" s="68"/>
      <c r="D894" s="68"/>
      <c r="E894" s="69"/>
      <c r="K894" s="68"/>
      <c r="M894" s="68"/>
      <c r="O894" s="68"/>
      <c r="P894" s="68"/>
      <c r="Q894" s="68"/>
      <c r="R894" s="68"/>
      <c r="S894" s="68"/>
    </row>
    <row r="895" spans="1:19" ht="15.75" customHeight="1">
      <c r="A895" s="68"/>
      <c r="B895" s="68"/>
      <c r="D895" s="68"/>
      <c r="E895" s="69"/>
      <c r="K895" s="68"/>
      <c r="M895" s="68"/>
      <c r="O895" s="68"/>
      <c r="P895" s="68"/>
      <c r="Q895" s="68"/>
      <c r="R895" s="68"/>
      <c r="S895" s="68"/>
    </row>
    <row r="896" spans="1:19" ht="15.75" customHeight="1">
      <c r="A896" s="68"/>
      <c r="B896" s="68"/>
      <c r="D896" s="68"/>
      <c r="E896" s="69"/>
      <c r="K896" s="68"/>
      <c r="M896" s="68"/>
      <c r="O896" s="68"/>
      <c r="P896" s="68"/>
      <c r="Q896" s="68"/>
      <c r="R896" s="68"/>
      <c r="S896" s="68"/>
    </row>
    <row r="897" spans="1:19" ht="15.75" customHeight="1">
      <c r="A897" s="68"/>
      <c r="B897" s="68"/>
      <c r="D897" s="68"/>
      <c r="E897" s="69"/>
      <c r="K897" s="68"/>
      <c r="M897" s="68"/>
      <c r="O897" s="68"/>
      <c r="P897" s="68"/>
      <c r="Q897" s="68"/>
      <c r="R897" s="68"/>
      <c r="S897" s="68"/>
    </row>
    <row r="898" spans="1:19" ht="15.75" customHeight="1">
      <c r="A898" s="68"/>
      <c r="B898" s="68"/>
      <c r="D898" s="68"/>
      <c r="E898" s="69"/>
      <c r="K898" s="68"/>
      <c r="M898" s="68"/>
      <c r="O898" s="68"/>
      <c r="P898" s="68"/>
      <c r="Q898" s="68"/>
      <c r="R898" s="68"/>
      <c r="S898" s="68"/>
    </row>
    <row r="899" spans="1:19" ht="15.75" customHeight="1">
      <c r="A899" s="68"/>
      <c r="B899" s="68"/>
      <c r="D899" s="68"/>
      <c r="E899" s="69"/>
      <c r="K899" s="68"/>
      <c r="M899" s="68"/>
      <c r="O899" s="68"/>
      <c r="P899" s="68"/>
      <c r="Q899" s="68"/>
      <c r="R899" s="68"/>
      <c r="S899" s="68"/>
    </row>
    <row r="900" spans="1:19" ht="15.75" customHeight="1">
      <c r="A900" s="68"/>
      <c r="B900" s="68"/>
      <c r="D900" s="68"/>
      <c r="E900" s="69"/>
      <c r="K900" s="68"/>
      <c r="M900" s="68"/>
      <c r="O900" s="68"/>
      <c r="P900" s="68"/>
      <c r="Q900" s="68"/>
      <c r="R900" s="68"/>
      <c r="S900" s="68"/>
    </row>
    <row r="901" spans="1:19" ht="15.75" customHeight="1">
      <c r="A901" s="68"/>
      <c r="B901" s="68"/>
      <c r="D901" s="68"/>
      <c r="E901" s="69"/>
      <c r="K901" s="68"/>
      <c r="M901" s="68"/>
      <c r="O901" s="68"/>
      <c r="P901" s="68"/>
      <c r="Q901" s="68"/>
      <c r="R901" s="68"/>
      <c r="S901" s="68"/>
    </row>
    <row r="902" spans="1:19" ht="15.75" customHeight="1">
      <c r="A902" s="68"/>
      <c r="B902" s="68"/>
      <c r="D902" s="68"/>
      <c r="E902" s="69"/>
      <c r="K902" s="68"/>
      <c r="M902" s="68"/>
      <c r="O902" s="68"/>
      <c r="P902" s="68"/>
      <c r="Q902" s="68"/>
      <c r="R902" s="68"/>
      <c r="S902" s="68"/>
    </row>
    <row r="903" spans="1:19" ht="15.75" customHeight="1">
      <c r="A903" s="68"/>
      <c r="B903" s="68"/>
      <c r="D903" s="68"/>
      <c r="E903" s="69"/>
      <c r="K903" s="68"/>
      <c r="M903" s="68"/>
      <c r="O903" s="68"/>
      <c r="P903" s="68"/>
      <c r="Q903" s="68"/>
      <c r="R903" s="68"/>
      <c r="S903" s="68"/>
    </row>
    <row r="904" spans="1:19" ht="15.75" customHeight="1">
      <c r="A904" s="68"/>
      <c r="B904" s="68"/>
      <c r="D904" s="68"/>
      <c r="E904" s="69"/>
      <c r="K904" s="68"/>
      <c r="M904" s="68"/>
      <c r="O904" s="68"/>
      <c r="P904" s="68"/>
      <c r="Q904" s="68"/>
      <c r="R904" s="68"/>
      <c r="S904" s="68"/>
    </row>
    <row r="905" spans="1:19" ht="15.75" customHeight="1">
      <c r="A905" s="68"/>
      <c r="B905" s="68"/>
      <c r="D905" s="68"/>
      <c r="E905" s="69"/>
      <c r="K905" s="68"/>
      <c r="M905" s="68"/>
      <c r="O905" s="68"/>
      <c r="P905" s="68"/>
      <c r="Q905" s="68"/>
      <c r="R905" s="68"/>
      <c r="S905" s="68"/>
    </row>
    <row r="906" spans="1:19" ht="15.75" customHeight="1">
      <c r="A906" s="68"/>
      <c r="B906" s="68"/>
      <c r="D906" s="68"/>
      <c r="E906" s="69"/>
      <c r="K906" s="68"/>
      <c r="M906" s="68"/>
      <c r="O906" s="68"/>
      <c r="P906" s="68"/>
      <c r="Q906" s="68"/>
      <c r="R906" s="68"/>
      <c r="S906" s="68"/>
    </row>
    <row r="907" spans="1:19" ht="15.75" customHeight="1">
      <c r="A907" s="68"/>
      <c r="B907" s="68"/>
      <c r="D907" s="68"/>
      <c r="E907" s="69"/>
      <c r="K907" s="68"/>
      <c r="M907" s="68"/>
      <c r="O907" s="68"/>
      <c r="P907" s="68"/>
      <c r="Q907" s="68"/>
      <c r="R907" s="68"/>
      <c r="S907" s="68"/>
    </row>
    <row r="908" spans="1:19" ht="15.75" customHeight="1">
      <c r="A908" s="68"/>
      <c r="B908" s="68"/>
      <c r="D908" s="68"/>
      <c r="E908" s="69"/>
      <c r="K908" s="68"/>
      <c r="M908" s="68"/>
      <c r="O908" s="68"/>
      <c r="P908" s="68"/>
      <c r="Q908" s="68"/>
      <c r="R908" s="68"/>
      <c r="S908" s="68"/>
    </row>
    <row r="909" spans="1:19" ht="15.75" customHeight="1">
      <c r="A909" s="68"/>
      <c r="B909" s="68"/>
      <c r="D909" s="68"/>
      <c r="E909" s="69"/>
      <c r="K909" s="68"/>
      <c r="M909" s="68"/>
      <c r="O909" s="68"/>
      <c r="P909" s="68"/>
      <c r="Q909" s="68"/>
      <c r="R909" s="68"/>
      <c r="S909" s="68"/>
    </row>
    <row r="910" spans="1:19" ht="15.75" customHeight="1">
      <c r="A910" s="68"/>
      <c r="B910" s="68"/>
      <c r="D910" s="68"/>
      <c r="E910" s="69"/>
      <c r="K910" s="68"/>
      <c r="M910" s="68"/>
      <c r="O910" s="68"/>
      <c r="P910" s="68"/>
      <c r="Q910" s="68"/>
      <c r="R910" s="68"/>
      <c r="S910" s="68"/>
    </row>
    <row r="911" spans="1:19" ht="15.75" customHeight="1">
      <c r="A911" s="68"/>
      <c r="B911" s="68"/>
      <c r="D911" s="68"/>
      <c r="E911" s="69"/>
      <c r="K911" s="68"/>
      <c r="M911" s="68"/>
      <c r="O911" s="68"/>
      <c r="P911" s="68"/>
      <c r="Q911" s="68"/>
      <c r="R911" s="68"/>
      <c r="S911" s="68"/>
    </row>
    <row r="912" spans="1:19" ht="15.75" customHeight="1">
      <c r="A912" s="68"/>
      <c r="B912" s="68"/>
      <c r="D912" s="68"/>
      <c r="E912" s="69"/>
      <c r="K912" s="68"/>
      <c r="M912" s="68"/>
      <c r="O912" s="68"/>
      <c r="P912" s="68"/>
      <c r="Q912" s="68"/>
      <c r="R912" s="68"/>
      <c r="S912" s="68"/>
    </row>
    <row r="913" spans="1:19" ht="15.75" customHeight="1">
      <c r="A913" s="68"/>
      <c r="B913" s="68"/>
      <c r="D913" s="68"/>
      <c r="E913" s="69"/>
      <c r="K913" s="68"/>
      <c r="M913" s="68"/>
      <c r="O913" s="68"/>
      <c r="P913" s="68"/>
      <c r="Q913" s="68"/>
      <c r="R913" s="68"/>
      <c r="S913" s="68"/>
    </row>
    <row r="914" spans="1:19" ht="15.75" customHeight="1">
      <c r="A914" s="68"/>
      <c r="B914" s="68"/>
      <c r="D914" s="68"/>
      <c r="E914" s="69"/>
      <c r="K914" s="68"/>
      <c r="M914" s="68"/>
      <c r="O914" s="68"/>
      <c r="P914" s="68"/>
      <c r="Q914" s="68"/>
      <c r="R914" s="68"/>
      <c r="S914" s="68"/>
    </row>
    <row r="915" spans="1:19" ht="15.75" customHeight="1">
      <c r="A915" s="68"/>
      <c r="B915" s="68"/>
      <c r="D915" s="68"/>
      <c r="E915" s="69"/>
      <c r="K915" s="68"/>
      <c r="M915" s="68"/>
      <c r="O915" s="68"/>
      <c r="P915" s="68"/>
      <c r="Q915" s="68"/>
      <c r="R915" s="68"/>
      <c r="S915" s="68"/>
    </row>
    <row r="916" spans="1:19" ht="15.75" customHeight="1">
      <c r="A916" s="68"/>
      <c r="B916" s="68"/>
      <c r="D916" s="68"/>
      <c r="E916" s="69"/>
      <c r="K916" s="68"/>
      <c r="M916" s="68"/>
      <c r="O916" s="68"/>
      <c r="P916" s="68"/>
      <c r="Q916" s="68"/>
      <c r="R916" s="68"/>
      <c r="S916" s="68"/>
    </row>
    <row r="917" spans="1:19" ht="15.75" customHeight="1">
      <c r="A917" s="68"/>
      <c r="B917" s="68"/>
      <c r="D917" s="68"/>
      <c r="E917" s="69"/>
      <c r="K917" s="68"/>
      <c r="M917" s="68"/>
      <c r="O917" s="68"/>
      <c r="P917" s="68"/>
      <c r="Q917" s="68"/>
      <c r="R917" s="68"/>
      <c r="S917" s="68"/>
    </row>
    <row r="918" spans="1:19" ht="15.75" customHeight="1">
      <c r="A918" s="68"/>
      <c r="B918" s="68"/>
      <c r="D918" s="68"/>
      <c r="E918" s="69"/>
      <c r="K918" s="68"/>
      <c r="M918" s="68"/>
      <c r="O918" s="68"/>
      <c r="P918" s="68"/>
      <c r="Q918" s="68"/>
      <c r="R918" s="68"/>
      <c r="S918" s="68"/>
    </row>
    <row r="919" spans="1:19" ht="15.75" customHeight="1">
      <c r="A919" s="68"/>
      <c r="B919" s="68"/>
      <c r="D919" s="68"/>
      <c r="E919" s="69"/>
      <c r="K919" s="68"/>
      <c r="M919" s="68"/>
      <c r="O919" s="68"/>
      <c r="P919" s="68"/>
      <c r="Q919" s="68"/>
      <c r="R919" s="68"/>
      <c r="S919" s="68"/>
    </row>
    <row r="920" spans="1:19" ht="15.75" customHeight="1">
      <c r="A920" s="68"/>
      <c r="B920" s="68"/>
      <c r="D920" s="68"/>
      <c r="E920" s="69"/>
      <c r="K920" s="68"/>
      <c r="M920" s="68"/>
      <c r="O920" s="68"/>
      <c r="P920" s="68"/>
      <c r="Q920" s="68"/>
      <c r="R920" s="68"/>
      <c r="S920" s="68"/>
    </row>
    <row r="921" spans="1:19" ht="15.75" customHeight="1">
      <c r="A921" s="68"/>
      <c r="B921" s="68"/>
      <c r="D921" s="68"/>
      <c r="E921" s="69"/>
      <c r="K921" s="68"/>
      <c r="M921" s="68"/>
      <c r="O921" s="68"/>
      <c r="P921" s="68"/>
      <c r="Q921" s="68"/>
      <c r="R921" s="68"/>
      <c r="S921" s="68"/>
    </row>
    <row r="922" spans="1:19" ht="15.75" customHeight="1">
      <c r="A922" s="68"/>
      <c r="B922" s="68"/>
      <c r="D922" s="68"/>
      <c r="E922" s="69"/>
      <c r="K922" s="68"/>
      <c r="M922" s="68"/>
      <c r="O922" s="68"/>
      <c r="P922" s="68"/>
      <c r="Q922" s="68"/>
      <c r="R922" s="68"/>
      <c r="S922" s="68"/>
    </row>
    <row r="923" spans="1:19" ht="15.75" customHeight="1">
      <c r="A923" s="68"/>
      <c r="B923" s="68"/>
      <c r="D923" s="68"/>
      <c r="E923" s="69"/>
      <c r="K923" s="68"/>
      <c r="M923" s="68"/>
      <c r="O923" s="68"/>
      <c r="P923" s="68"/>
      <c r="Q923" s="68"/>
      <c r="R923" s="68"/>
      <c r="S923" s="68"/>
    </row>
    <row r="924" spans="1:19" ht="15.75" customHeight="1">
      <c r="A924" s="68"/>
      <c r="B924" s="68"/>
      <c r="D924" s="68"/>
      <c r="E924" s="69"/>
      <c r="K924" s="68"/>
      <c r="M924" s="68"/>
      <c r="O924" s="68"/>
      <c r="P924" s="68"/>
      <c r="Q924" s="68"/>
      <c r="R924" s="68"/>
      <c r="S924" s="68"/>
    </row>
    <row r="925" spans="1:19" ht="15.75" customHeight="1">
      <c r="A925" s="68"/>
      <c r="B925" s="68"/>
      <c r="D925" s="68"/>
      <c r="E925" s="69"/>
      <c r="K925" s="68"/>
      <c r="M925" s="68"/>
      <c r="O925" s="68"/>
      <c r="P925" s="68"/>
      <c r="Q925" s="68"/>
      <c r="R925" s="68"/>
      <c r="S925" s="68"/>
    </row>
    <row r="926" spans="1:19" ht="15.75" customHeight="1">
      <c r="A926" s="68"/>
      <c r="B926" s="68"/>
      <c r="D926" s="68"/>
      <c r="E926" s="69"/>
      <c r="K926" s="68"/>
      <c r="M926" s="68"/>
      <c r="O926" s="68"/>
      <c r="P926" s="68"/>
      <c r="Q926" s="68"/>
      <c r="R926" s="68"/>
      <c r="S926" s="68"/>
    </row>
    <row r="927" spans="1:19" ht="15.75" customHeight="1">
      <c r="A927" s="68"/>
      <c r="B927" s="68"/>
      <c r="D927" s="68"/>
      <c r="E927" s="69"/>
      <c r="K927" s="68"/>
      <c r="M927" s="68"/>
      <c r="O927" s="68"/>
      <c r="P927" s="68"/>
      <c r="Q927" s="68"/>
      <c r="R927" s="68"/>
      <c r="S927" s="68"/>
    </row>
    <row r="928" spans="1:19" ht="15.75" customHeight="1">
      <c r="A928" s="68"/>
      <c r="B928" s="68"/>
      <c r="D928" s="68"/>
      <c r="E928" s="69"/>
      <c r="K928" s="68"/>
      <c r="M928" s="68"/>
      <c r="O928" s="68"/>
      <c r="P928" s="68"/>
      <c r="Q928" s="68"/>
      <c r="R928" s="68"/>
      <c r="S928" s="68"/>
    </row>
    <row r="929" spans="1:19" ht="15.75" customHeight="1">
      <c r="A929" s="68"/>
      <c r="B929" s="68"/>
      <c r="D929" s="68"/>
      <c r="E929" s="69"/>
      <c r="K929" s="68"/>
      <c r="M929" s="68"/>
      <c r="O929" s="68"/>
      <c r="P929" s="68"/>
      <c r="Q929" s="68"/>
      <c r="R929" s="68"/>
      <c r="S929" s="68"/>
    </row>
    <row r="930" spans="1:19" ht="15.75" customHeight="1">
      <c r="A930" s="68"/>
      <c r="B930" s="68"/>
      <c r="D930" s="68"/>
      <c r="E930" s="69"/>
      <c r="K930" s="68"/>
      <c r="M930" s="68"/>
      <c r="O930" s="68"/>
      <c r="P930" s="68"/>
      <c r="Q930" s="68"/>
      <c r="R930" s="68"/>
      <c r="S930" s="68"/>
    </row>
    <row r="931" spans="1:19" ht="15.75" customHeight="1">
      <c r="A931" s="68"/>
      <c r="B931" s="68"/>
      <c r="D931" s="68"/>
      <c r="E931" s="69"/>
      <c r="K931" s="68"/>
      <c r="M931" s="68"/>
      <c r="O931" s="68"/>
      <c r="P931" s="68"/>
      <c r="Q931" s="68"/>
      <c r="R931" s="68"/>
      <c r="S931" s="68"/>
    </row>
    <row r="932" spans="1:19" ht="15.75" customHeight="1">
      <c r="A932" s="68"/>
      <c r="B932" s="68"/>
      <c r="D932" s="68"/>
      <c r="E932" s="69"/>
      <c r="K932" s="68"/>
      <c r="M932" s="68"/>
      <c r="O932" s="68"/>
      <c r="P932" s="68"/>
      <c r="Q932" s="68"/>
      <c r="R932" s="68"/>
      <c r="S932" s="68"/>
    </row>
    <row r="933" spans="1:19" ht="15.75" customHeight="1">
      <c r="A933" s="68"/>
      <c r="B933" s="68"/>
      <c r="D933" s="68"/>
      <c r="E933" s="69"/>
      <c r="K933" s="68"/>
      <c r="M933" s="68"/>
      <c r="O933" s="68"/>
      <c r="P933" s="68"/>
      <c r="Q933" s="68"/>
      <c r="R933" s="68"/>
      <c r="S933" s="68"/>
    </row>
    <row r="934" spans="1:19" ht="15.75" customHeight="1">
      <c r="A934" s="68"/>
      <c r="B934" s="68"/>
      <c r="D934" s="68"/>
      <c r="E934" s="69"/>
      <c r="K934" s="68"/>
      <c r="M934" s="68"/>
      <c r="O934" s="68"/>
      <c r="P934" s="68"/>
      <c r="Q934" s="68"/>
      <c r="R934" s="68"/>
      <c r="S934" s="68"/>
    </row>
    <row r="935" spans="1:19" ht="15.75" customHeight="1">
      <c r="A935" s="68"/>
      <c r="B935" s="68"/>
      <c r="D935" s="68"/>
      <c r="E935" s="69"/>
      <c r="K935" s="68"/>
      <c r="M935" s="68"/>
      <c r="O935" s="68"/>
      <c r="P935" s="68"/>
      <c r="Q935" s="68"/>
      <c r="R935" s="68"/>
      <c r="S935" s="68"/>
    </row>
    <row r="936" spans="1:19" ht="15.75" customHeight="1">
      <c r="A936" s="68"/>
      <c r="B936" s="68"/>
      <c r="D936" s="68"/>
      <c r="E936" s="69"/>
      <c r="K936" s="68"/>
      <c r="M936" s="68"/>
      <c r="O936" s="68"/>
      <c r="P936" s="68"/>
      <c r="Q936" s="68"/>
      <c r="R936" s="68"/>
      <c r="S936" s="68"/>
    </row>
    <row r="937" spans="1:19" ht="15.75" customHeight="1">
      <c r="A937" s="68"/>
      <c r="B937" s="68"/>
      <c r="D937" s="68"/>
      <c r="E937" s="69"/>
      <c r="K937" s="68"/>
      <c r="M937" s="68"/>
      <c r="O937" s="68"/>
      <c r="P937" s="68"/>
      <c r="Q937" s="68"/>
      <c r="R937" s="68"/>
      <c r="S937" s="68"/>
    </row>
    <row r="938" spans="1:19" ht="15.75" customHeight="1">
      <c r="A938" s="68"/>
      <c r="B938" s="68"/>
      <c r="D938" s="68"/>
      <c r="E938" s="69"/>
      <c r="K938" s="68"/>
      <c r="M938" s="68"/>
      <c r="O938" s="68"/>
      <c r="P938" s="68"/>
      <c r="Q938" s="68"/>
      <c r="R938" s="68"/>
      <c r="S938" s="68"/>
    </row>
    <row r="939" spans="1:19" ht="15.75" customHeight="1">
      <c r="A939" s="68"/>
      <c r="B939" s="68"/>
      <c r="D939" s="68"/>
      <c r="E939" s="69"/>
      <c r="K939" s="68"/>
      <c r="M939" s="68"/>
      <c r="O939" s="68"/>
      <c r="P939" s="68"/>
      <c r="Q939" s="68"/>
      <c r="R939" s="68"/>
      <c r="S939" s="68"/>
    </row>
    <row r="940" spans="1:19" ht="15.75" customHeight="1">
      <c r="A940" s="68"/>
      <c r="B940" s="68"/>
      <c r="D940" s="68"/>
      <c r="E940" s="69"/>
      <c r="K940" s="68"/>
      <c r="M940" s="68"/>
      <c r="O940" s="68"/>
      <c r="P940" s="68"/>
      <c r="Q940" s="68"/>
      <c r="R940" s="68"/>
      <c r="S940" s="68"/>
    </row>
    <row r="941" spans="1:19" ht="15.75" customHeight="1">
      <c r="A941" s="68"/>
      <c r="B941" s="68"/>
      <c r="D941" s="68"/>
      <c r="E941" s="69"/>
      <c r="K941" s="68"/>
      <c r="M941" s="68"/>
      <c r="O941" s="68"/>
      <c r="P941" s="68"/>
      <c r="Q941" s="68"/>
      <c r="R941" s="68"/>
      <c r="S941" s="68"/>
    </row>
    <row r="942" spans="1:19" ht="15.75" customHeight="1">
      <c r="A942" s="68"/>
      <c r="B942" s="68"/>
      <c r="D942" s="68"/>
      <c r="E942" s="69"/>
      <c r="K942" s="68"/>
      <c r="M942" s="68"/>
      <c r="O942" s="68"/>
      <c r="P942" s="68"/>
      <c r="Q942" s="68"/>
      <c r="R942" s="68"/>
      <c r="S942" s="68"/>
    </row>
    <row r="943" spans="1:19" ht="15.75" customHeight="1">
      <c r="A943" s="68"/>
      <c r="B943" s="68"/>
      <c r="D943" s="68"/>
      <c r="E943" s="69"/>
      <c r="K943" s="68"/>
      <c r="M943" s="68"/>
      <c r="O943" s="68"/>
      <c r="P943" s="68"/>
      <c r="Q943" s="68"/>
      <c r="R943" s="68"/>
      <c r="S943" s="68"/>
    </row>
    <row r="944" spans="1:19" ht="15.75" customHeight="1">
      <c r="A944" s="68"/>
      <c r="B944" s="68"/>
      <c r="D944" s="68"/>
      <c r="E944" s="69"/>
      <c r="K944" s="68"/>
      <c r="M944" s="68"/>
      <c r="O944" s="68"/>
      <c r="P944" s="68"/>
      <c r="Q944" s="68"/>
      <c r="R944" s="68"/>
      <c r="S944" s="68"/>
    </row>
    <row r="945" spans="1:19" ht="15.75" customHeight="1">
      <c r="A945" s="68"/>
      <c r="B945" s="68"/>
      <c r="D945" s="68"/>
      <c r="E945" s="69"/>
      <c r="K945" s="68"/>
      <c r="M945" s="68"/>
      <c r="O945" s="68"/>
      <c r="P945" s="68"/>
      <c r="Q945" s="68"/>
      <c r="R945" s="68"/>
      <c r="S945" s="68"/>
    </row>
    <row r="946" spans="1:19" ht="15.75" customHeight="1">
      <c r="A946" s="68"/>
      <c r="B946" s="68"/>
      <c r="D946" s="68"/>
      <c r="E946" s="69"/>
      <c r="K946" s="68"/>
      <c r="M946" s="68"/>
      <c r="O946" s="68"/>
      <c r="P946" s="68"/>
      <c r="Q946" s="68"/>
      <c r="R946" s="68"/>
      <c r="S946" s="68"/>
    </row>
    <row r="947" spans="1:19" ht="15.75" customHeight="1">
      <c r="A947" s="68"/>
      <c r="B947" s="68"/>
      <c r="D947" s="68"/>
      <c r="E947" s="69"/>
      <c r="K947" s="68"/>
      <c r="M947" s="68"/>
      <c r="O947" s="68"/>
      <c r="P947" s="68"/>
      <c r="Q947" s="68"/>
      <c r="R947" s="68"/>
      <c r="S947" s="68"/>
    </row>
    <row r="948" spans="1:19" ht="15.75" customHeight="1">
      <c r="A948" s="68"/>
      <c r="B948" s="68"/>
      <c r="D948" s="68"/>
      <c r="E948" s="69"/>
      <c r="K948" s="68"/>
      <c r="M948" s="68"/>
      <c r="O948" s="68"/>
      <c r="P948" s="68"/>
      <c r="Q948" s="68"/>
      <c r="R948" s="68"/>
      <c r="S948" s="68"/>
    </row>
    <row r="949" spans="1:19" ht="15.75" customHeight="1">
      <c r="A949" s="68"/>
      <c r="B949" s="68"/>
      <c r="D949" s="68"/>
      <c r="E949" s="69"/>
      <c r="K949" s="68"/>
      <c r="M949" s="68"/>
      <c r="O949" s="68"/>
      <c r="P949" s="68"/>
      <c r="Q949" s="68"/>
      <c r="R949" s="68"/>
      <c r="S949" s="68"/>
    </row>
    <row r="950" spans="1:19" ht="15.75" customHeight="1">
      <c r="A950" s="68"/>
      <c r="B950" s="68"/>
      <c r="D950" s="68"/>
      <c r="E950" s="69"/>
      <c r="K950" s="68"/>
      <c r="M950" s="68"/>
      <c r="O950" s="68"/>
      <c r="P950" s="68"/>
      <c r="Q950" s="68"/>
      <c r="R950" s="68"/>
      <c r="S950" s="68"/>
    </row>
    <row r="951" spans="1:19" ht="15.75" customHeight="1">
      <c r="A951" s="68"/>
      <c r="B951" s="68"/>
      <c r="D951" s="68"/>
      <c r="E951" s="69"/>
      <c r="K951" s="68"/>
      <c r="M951" s="68"/>
      <c r="O951" s="68"/>
      <c r="P951" s="68"/>
      <c r="Q951" s="68"/>
      <c r="R951" s="68"/>
      <c r="S951" s="68"/>
    </row>
    <row r="952" spans="1:19" ht="15.75" customHeight="1">
      <c r="A952" s="68"/>
      <c r="B952" s="68"/>
      <c r="D952" s="68"/>
      <c r="E952" s="69"/>
      <c r="K952" s="68"/>
      <c r="M952" s="68"/>
      <c r="O952" s="68"/>
      <c r="P952" s="68"/>
      <c r="Q952" s="68"/>
      <c r="R952" s="68"/>
      <c r="S952" s="68"/>
    </row>
    <row r="953" spans="1:19" ht="15.75" customHeight="1">
      <c r="A953" s="68"/>
      <c r="B953" s="68"/>
      <c r="D953" s="68"/>
      <c r="E953" s="69"/>
      <c r="K953" s="68"/>
      <c r="M953" s="68"/>
      <c r="O953" s="68"/>
      <c r="P953" s="68"/>
      <c r="Q953" s="68"/>
      <c r="R953" s="68"/>
      <c r="S953" s="68"/>
    </row>
    <row r="954" spans="1:19" ht="15.75" customHeight="1">
      <c r="A954" s="68"/>
      <c r="B954" s="68"/>
      <c r="D954" s="68"/>
      <c r="E954" s="69"/>
      <c r="K954" s="68"/>
      <c r="M954" s="68"/>
      <c r="O954" s="68"/>
      <c r="P954" s="68"/>
      <c r="Q954" s="68"/>
      <c r="R954" s="68"/>
      <c r="S954" s="68"/>
    </row>
    <row r="955" spans="1:19" ht="15.75" customHeight="1">
      <c r="A955" s="68"/>
      <c r="B955" s="68"/>
      <c r="D955" s="68"/>
      <c r="E955" s="69"/>
      <c r="K955" s="68"/>
      <c r="M955" s="68"/>
      <c r="O955" s="68"/>
      <c r="P955" s="68"/>
      <c r="Q955" s="68"/>
      <c r="R955" s="68"/>
      <c r="S955" s="68"/>
    </row>
    <row r="956" spans="1:19" ht="15.75" customHeight="1">
      <c r="A956" s="68"/>
      <c r="B956" s="68"/>
      <c r="D956" s="68"/>
      <c r="E956" s="69"/>
      <c r="K956" s="68"/>
      <c r="M956" s="68"/>
      <c r="O956" s="68"/>
      <c r="P956" s="68"/>
      <c r="Q956" s="68"/>
      <c r="R956" s="68"/>
      <c r="S956" s="68"/>
    </row>
    <row r="957" spans="1:19" ht="15.75" customHeight="1">
      <c r="A957" s="68"/>
      <c r="B957" s="68"/>
      <c r="D957" s="68"/>
      <c r="E957" s="69"/>
      <c r="K957" s="68"/>
      <c r="M957" s="68"/>
      <c r="O957" s="68"/>
      <c r="P957" s="68"/>
      <c r="Q957" s="68"/>
      <c r="R957" s="68"/>
      <c r="S957" s="68"/>
    </row>
    <row r="958" spans="1:19" ht="15.75" customHeight="1">
      <c r="A958" s="68"/>
      <c r="B958" s="68"/>
      <c r="D958" s="68"/>
      <c r="E958" s="69"/>
      <c r="K958" s="68"/>
      <c r="M958" s="68"/>
      <c r="O958" s="68"/>
      <c r="P958" s="68"/>
      <c r="Q958" s="68"/>
      <c r="R958" s="68"/>
      <c r="S958" s="68"/>
    </row>
    <row r="959" spans="1:19" ht="15.75" customHeight="1">
      <c r="A959" s="68"/>
      <c r="B959" s="68"/>
      <c r="D959" s="68"/>
      <c r="E959" s="69"/>
      <c r="K959" s="68"/>
      <c r="M959" s="68"/>
      <c r="O959" s="68"/>
      <c r="P959" s="68"/>
      <c r="Q959" s="68"/>
      <c r="R959" s="68"/>
      <c r="S959" s="68"/>
    </row>
    <row r="960" spans="1:19" ht="15.75" customHeight="1">
      <c r="A960" s="68"/>
      <c r="B960" s="68"/>
      <c r="D960" s="68"/>
      <c r="E960" s="69"/>
      <c r="K960" s="68"/>
      <c r="M960" s="68"/>
      <c r="O960" s="68"/>
      <c r="P960" s="68"/>
      <c r="Q960" s="68"/>
      <c r="R960" s="68"/>
      <c r="S960" s="68"/>
    </row>
    <row r="961" spans="1:19" ht="15.75" customHeight="1">
      <c r="A961" s="68"/>
      <c r="B961" s="68"/>
      <c r="D961" s="68"/>
      <c r="E961" s="69"/>
      <c r="K961" s="68"/>
      <c r="M961" s="68"/>
      <c r="O961" s="68"/>
      <c r="P961" s="68"/>
      <c r="Q961" s="68"/>
      <c r="R961" s="68"/>
      <c r="S961" s="68"/>
    </row>
    <row r="962" spans="1:19" ht="15.75" customHeight="1">
      <c r="A962" s="68"/>
      <c r="B962" s="68"/>
      <c r="D962" s="68"/>
      <c r="E962" s="69"/>
      <c r="K962" s="68"/>
      <c r="M962" s="68"/>
      <c r="O962" s="68"/>
      <c r="P962" s="68"/>
      <c r="Q962" s="68"/>
      <c r="R962" s="68"/>
      <c r="S962" s="68"/>
    </row>
    <row r="963" spans="1:19" ht="15.75" customHeight="1">
      <c r="A963" s="68"/>
      <c r="B963" s="68"/>
      <c r="D963" s="68"/>
      <c r="E963" s="69"/>
      <c r="K963" s="68"/>
      <c r="M963" s="68"/>
      <c r="O963" s="68"/>
      <c r="P963" s="68"/>
      <c r="Q963" s="68"/>
      <c r="R963" s="68"/>
      <c r="S963" s="68"/>
    </row>
    <row r="964" spans="1:19" ht="15.75" customHeight="1">
      <c r="A964" s="68"/>
      <c r="B964" s="68"/>
      <c r="D964" s="68"/>
      <c r="E964" s="69"/>
      <c r="K964" s="68"/>
      <c r="M964" s="68"/>
      <c r="O964" s="68"/>
      <c r="P964" s="68"/>
      <c r="Q964" s="68"/>
      <c r="R964" s="68"/>
      <c r="S964" s="68"/>
    </row>
    <row r="965" spans="1:19" ht="15.75" customHeight="1">
      <c r="A965" s="68"/>
      <c r="B965" s="68"/>
      <c r="D965" s="68"/>
      <c r="E965" s="69"/>
      <c r="K965" s="68"/>
      <c r="M965" s="68"/>
      <c r="O965" s="68"/>
      <c r="P965" s="68"/>
      <c r="Q965" s="68"/>
      <c r="R965" s="68"/>
      <c r="S965" s="68"/>
    </row>
    <row r="966" spans="1:19" ht="15.75" customHeight="1">
      <c r="A966" s="68"/>
      <c r="B966" s="68"/>
      <c r="D966" s="68"/>
      <c r="E966" s="69"/>
      <c r="K966" s="68"/>
      <c r="M966" s="68"/>
      <c r="O966" s="68"/>
      <c r="P966" s="68"/>
      <c r="Q966" s="68"/>
      <c r="R966" s="68"/>
      <c r="S966" s="68"/>
    </row>
    <row r="967" spans="1:19" ht="15.75" customHeight="1">
      <c r="A967" s="68"/>
      <c r="B967" s="68"/>
      <c r="D967" s="68"/>
      <c r="E967" s="69"/>
      <c r="K967" s="68"/>
      <c r="M967" s="68"/>
      <c r="O967" s="68"/>
      <c r="P967" s="68"/>
      <c r="Q967" s="68"/>
      <c r="R967" s="68"/>
      <c r="S967" s="68"/>
    </row>
    <row r="968" spans="1:19" ht="15.75" customHeight="1">
      <c r="A968" s="68"/>
      <c r="B968" s="68"/>
      <c r="D968" s="68"/>
      <c r="E968" s="69"/>
      <c r="K968" s="68"/>
      <c r="M968" s="68"/>
      <c r="O968" s="68"/>
      <c r="P968" s="68"/>
      <c r="Q968" s="68"/>
      <c r="R968" s="68"/>
      <c r="S968" s="68"/>
    </row>
    <row r="969" spans="1:19" ht="15.75" customHeight="1">
      <c r="A969" s="68"/>
      <c r="B969" s="68"/>
      <c r="D969" s="68"/>
      <c r="E969" s="69"/>
      <c r="K969" s="68"/>
      <c r="M969" s="68"/>
      <c r="O969" s="68"/>
      <c r="P969" s="68"/>
      <c r="Q969" s="68"/>
      <c r="R969" s="68"/>
      <c r="S969" s="68"/>
    </row>
    <row r="970" spans="1:19" ht="15.75" customHeight="1">
      <c r="A970" s="68"/>
      <c r="B970" s="68"/>
      <c r="D970" s="68"/>
      <c r="E970" s="69"/>
      <c r="K970" s="68"/>
      <c r="M970" s="68"/>
      <c r="O970" s="68"/>
      <c r="P970" s="68"/>
      <c r="Q970" s="68"/>
      <c r="R970" s="68"/>
      <c r="S970" s="68"/>
    </row>
    <row r="971" spans="1:19" ht="15.75" customHeight="1">
      <c r="A971" s="68"/>
      <c r="B971" s="68"/>
      <c r="D971" s="68"/>
      <c r="E971" s="69"/>
      <c r="K971" s="68"/>
      <c r="M971" s="68"/>
      <c r="O971" s="68"/>
      <c r="P971" s="68"/>
      <c r="Q971" s="68"/>
      <c r="R971" s="68"/>
      <c r="S971" s="68"/>
    </row>
    <row r="972" spans="1:19" ht="15.75" customHeight="1">
      <c r="A972" s="68"/>
      <c r="B972" s="68"/>
      <c r="D972" s="68"/>
      <c r="E972" s="69"/>
      <c r="K972" s="68"/>
      <c r="M972" s="68"/>
      <c r="O972" s="68"/>
      <c r="P972" s="68"/>
      <c r="Q972" s="68"/>
      <c r="R972" s="68"/>
      <c r="S972" s="68"/>
    </row>
    <row r="973" spans="1:19" ht="15.75" customHeight="1">
      <c r="A973" s="68"/>
      <c r="B973" s="68"/>
      <c r="D973" s="68"/>
      <c r="E973" s="69"/>
      <c r="K973" s="68"/>
      <c r="M973" s="68"/>
      <c r="O973" s="68"/>
      <c r="P973" s="68"/>
      <c r="Q973" s="68"/>
      <c r="R973" s="68"/>
      <c r="S973" s="68"/>
    </row>
    <row r="974" spans="1:19" ht="15.75" customHeight="1">
      <c r="A974" s="68"/>
      <c r="B974" s="68"/>
      <c r="D974" s="68"/>
      <c r="E974" s="69"/>
      <c r="K974" s="68"/>
      <c r="M974" s="68"/>
      <c r="O974" s="68"/>
      <c r="P974" s="68"/>
      <c r="Q974" s="68"/>
      <c r="R974" s="68"/>
      <c r="S974" s="68"/>
    </row>
    <row r="975" spans="1:19" ht="15.75" customHeight="1">
      <c r="A975" s="68"/>
      <c r="B975" s="68"/>
      <c r="D975" s="68"/>
      <c r="E975" s="69"/>
      <c r="K975" s="68"/>
      <c r="M975" s="68"/>
      <c r="O975" s="68"/>
      <c r="P975" s="68"/>
      <c r="Q975" s="68"/>
      <c r="R975" s="68"/>
      <c r="S975" s="68"/>
    </row>
    <row r="976" spans="1:19" ht="15.75" customHeight="1">
      <c r="A976" s="68"/>
      <c r="B976" s="68"/>
      <c r="D976" s="68"/>
      <c r="E976" s="69"/>
      <c r="K976" s="68"/>
      <c r="M976" s="68"/>
      <c r="O976" s="68"/>
      <c r="P976" s="68"/>
      <c r="Q976" s="68"/>
      <c r="R976" s="68"/>
      <c r="S976" s="68"/>
    </row>
    <row r="977" spans="1:19" ht="15.75" customHeight="1">
      <c r="A977" s="68"/>
      <c r="B977" s="68"/>
      <c r="D977" s="68"/>
      <c r="E977" s="69"/>
      <c r="K977" s="68"/>
      <c r="M977" s="68"/>
      <c r="O977" s="68"/>
      <c r="P977" s="68"/>
      <c r="Q977" s="68"/>
      <c r="R977" s="68"/>
      <c r="S977" s="68"/>
    </row>
    <row r="978" spans="1:19" ht="15.75" customHeight="1">
      <c r="A978" s="68"/>
      <c r="B978" s="68"/>
      <c r="D978" s="68"/>
      <c r="E978" s="69"/>
      <c r="K978" s="68"/>
      <c r="M978" s="68"/>
      <c r="O978" s="68"/>
      <c r="P978" s="68"/>
      <c r="Q978" s="68"/>
      <c r="R978" s="68"/>
      <c r="S978" s="68"/>
    </row>
    <row r="979" spans="1:19" ht="15.75" customHeight="1">
      <c r="A979" s="68"/>
      <c r="B979" s="68"/>
      <c r="D979" s="68"/>
      <c r="E979" s="69"/>
      <c r="K979" s="68"/>
      <c r="M979" s="68"/>
      <c r="O979" s="68"/>
      <c r="P979" s="68"/>
      <c r="Q979" s="68"/>
      <c r="R979" s="68"/>
      <c r="S979" s="68"/>
    </row>
    <row r="980" spans="1:19" ht="15.75" customHeight="1">
      <c r="A980" s="68"/>
      <c r="B980" s="68"/>
      <c r="D980" s="68"/>
      <c r="E980" s="69"/>
      <c r="K980" s="68"/>
      <c r="M980" s="68"/>
      <c r="O980" s="68"/>
      <c r="P980" s="68"/>
      <c r="Q980" s="68"/>
      <c r="R980" s="68"/>
      <c r="S980" s="68"/>
    </row>
    <row r="981" spans="1:19" ht="15.75" customHeight="1">
      <c r="A981" s="68"/>
      <c r="B981" s="68"/>
      <c r="D981" s="68"/>
      <c r="E981" s="69"/>
      <c r="K981" s="68"/>
      <c r="M981" s="68"/>
      <c r="O981" s="68"/>
      <c r="P981" s="68"/>
      <c r="Q981" s="68"/>
      <c r="R981" s="68"/>
      <c r="S981" s="68"/>
    </row>
    <row r="982" spans="1:19" ht="15.75" customHeight="1">
      <c r="A982" s="68"/>
      <c r="B982" s="68"/>
      <c r="D982" s="68"/>
      <c r="E982" s="69"/>
      <c r="K982" s="68"/>
      <c r="M982" s="68"/>
      <c r="O982" s="68"/>
      <c r="P982" s="68"/>
      <c r="Q982" s="68"/>
      <c r="R982" s="68"/>
      <c r="S982" s="68"/>
    </row>
    <row r="983" spans="1:19" ht="15.75" customHeight="1">
      <c r="A983" s="68"/>
      <c r="B983" s="68"/>
      <c r="D983" s="68"/>
      <c r="E983" s="69"/>
      <c r="K983" s="68"/>
      <c r="M983" s="68"/>
      <c r="O983" s="68"/>
      <c r="P983" s="68"/>
      <c r="Q983" s="68"/>
      <c r="R983" s="68"/>
      <c r="S983" s="68"/>
    </row>
    <row r="984" spans="1:19" ht="15.75" customHeight="1">
      <c r="A984" s="68"/>
      <c r="B984" s="68"/>
      <c r="D984" s="68"/>
      <c r="E984" s="69"/>
      <c r="K984" s="68"/>
      <c r="M984" s="68"/>
      <c r="O984" s="68"/>
      <c r="P984" s="68"/>
      <c r="Q984" s="68"/>
      <c r="R984" s="68"/>
      <c r="S984" s="68"/>
    </row>
    <row r="985" spans="1:19" ht="15.75" customHeight="1">
      <c r="A985" s="68"/>
      <c r="B985" s="68"/>
      <c r="D985" s="68"/>
      <c r="E985" s="69"/>
      <c r="K985" s="68"/>
      <c r="M985" s="68"/>
      <c r="O985" s="68"/>
      <c r="P985" s="68"/>
      <c r="Q985" s="68"/>
      <c r="R985" s="68"/>
      <c r="S985" s="68"/>
    </row>
    <row r="986" spans="1:19" ht="15.75" customHeight="1">
      <c r="A986" s="68"/>
      <c r="B986" s="68"/>
      <c r="D986" s="68"/>
      <c r="E986" s="69"/>
      <c r="K986" s="68"/>
      <c r="M986" s="68"/>
      <c r="O986" s="68"/>
      <c r="P986" s="68"/>
      <c r="Q986" s="68"/>
      <c r="R986" s="68"/>
      <c r="S986" s="68"/>
    </row>
    <row r="987" spans="1:19" ht="15.75" customHeight="1">
      <c r="A987" s="68"/>
      <c r="B987" s="68"/>
      <c r="D987" s="68"/>
      <c r="E987" s="69"/>
      <c r="K987" s="68"/>
      <c r="M987" s="68"/>
      <c r="O987" s="68"/>
      <c r="P987" s="68"/>
      <c r="Q987" s="68"/>
      <c r="R987" s="68"/>
      <c r="S987" s="68"/>
    </row>
    <row r="988" spans="1:19" ht="15.75" customHeight="1">
      <c r="A988" s="68"/>
      <c r="B988" s="68"/>
      <c r="D988" s="68"/>
      <c r="E988" s="69"/>
      <c r="K988" s="68"/>
      <c r="M988" s="68"/>
      <c r="O988" s="68"/>
      <c r="P988" s="68"/>
      <c r="Q988" s="68"/>
      <c r="R988" s="68"/>
      <c r="S988" s="68"/>
    </row>
    <row r="989" spans="1:19" ht="15.75" customHeight="1">
      <c r="A989" s="68"/>
      <c r="B989" s="68"/>
      <c r="D989" s="68"/>
      <c r="E989" s="69"/>
      <c r="K989" s="68"/>
      <c r="M989" s="68"/>
      <c r="O989" s="68"/>
      <c r="P989" s="68"/>
      <c r="Q989" s="68"/>
      <c r="R989" s="68"/>
      <c r="S989" s="68"/>
    </row>
    <row r="990" spans="1:19" ht="15.75" customHeight="1">
      <c r="A990" s="68"/>
      <c r="B990" s="68"/>
      <c r="D990" s="68"/>
      <c r="E990" s="69"/>
      <c r="K990" s="68"/>
      <c r="M990" s="68"/>
      <c r="O990" s="68"/>
      <c r="P990" s="68"/>
      <c r="Q990" s="68"/>
      <c r="R990" s="68"/>
      <c r="S990" s="68"/>
    </row>
    <row r="991" spans="1:19" ht="15.75" customHeight="1">
      <c r="A991" s="68"/>
      <c r="B991" s="68"/>
      <c r="D991" s="68"/>
      <c r="E991" s="69"/>
      <c r="K991" s="68"/>
      <c r="M991" s="68"/>
      <c r="O991" s="68"/>
      <c r="P991" s="68"/>
      <c r="Q991" s="68"/>
      <c r="R991" s="68"/>
      <c r="S991" s="68"/>
    </row>
    <row r="992" spans="1:19" ht="15.75" customHeight="1">
      <c r="A992" s="68"/>
      <c r="B992" s="68"/>
      <c r="D992" s="68"/>
      <c r="E992" s="69"/>
      <c r="K992" s="68"/>
      <c r="M992" s="68"/>
      <c r="O992" s="68"/>
      <c r="P992" s="68"/>
      <c r="Q992" s="68"/>
      <c r="R992" s="68"/>
      <c r="S992" s="68"/>
    </row>
    <row r="993" spans="1:19" ht="15.75" customHeight="1">
      <c r="A993" s="68"/>
      <c r="B993" s="68"/>
      <c r="D993" s="68"/>
      <c r="E993" s="69"/>
      <c r="K993" s="68"/>
      <c r="M993" s="68"/>
      <c r="O993" s="68"/>
      <c r="P993" s="68"/>
      <c r="Q993" s="68"/>
      <c r="R993" s="68"/>
      <c r="S993" s="68"/>
    </row>
    <row r="994" spans="1:19" ht="15.75" customHeight="1">
      <c r="A994" s="68"/>
      <c r="B994" s="68"/>
      <c r="D994" s="68"/>
      <c r="E994" s="69"/>
      <c r="K994" s="68"/>
      <c r="M994" s="68"/>
      <c r="O994" s="68"/>
      <c r="P994" s="68"/>
      <c r="Q994" s="68"/>
      <c r="R994" s="68"/>
      <c r="S994" s="68"/>
    </row>
    <row r="995" spans="1:19" ht="15.75" customHeight="1">
      <c r="A995" s="68"/>
      <c r="B995" s="68"/>
      <c r="D995" s="68"/>
      <c r="E995" s="69"/>
      <c r="K995" s="68"/>
      <c r="M995" s="68"/>
      <c r="O995" s="68"/>
      <c r="P995" s="68"/>
      <c r="Q995" s="68"/>
      <c r="R995" s="68"/>
      <c r="S995" s="68"/>
    </row>
    <row r="996" spans="1:19" ht="15.75" customHeight="1">
      <c r="A996" s="68"/>
      <c r="B996" s="68"/>
      <c r="D996" s="68"/>
      <c r="E996" s="69"/>
      <c r="K996" s="68"/>
      <c r="M996" s="68"/>
      <c r="O996" s="68"/>
      <c r="P996" s="68"/>
      <c r="Q996" s="68"/>
      <c r="R996" s="68"/>
      <c r="S996" s="68"/>
    </row>
    <row r="997" spans="1:19" ht="15.75" customHeight="1">
      <c r="A997" s="68"/>
      <c r="B997" s="68"/>
      <c r="D997" s="68"/>
      <c r="E997" s="69"/>
      <c r="K997" s="68"/>
      <c r="M997" s="68"/>
      <c r="O997" s="68"/>
      <c r="P997" s="68"/>
      <c r="Q997" s="68"/>
      <c r="R997" s="68"/>
      <c r="S997" s="68"/>
    </row>
    <row r="998" spans="1:19" ht="15.75" customHeight="1">
      <c r="A998" s="68"/>
      <c r="B998" s="68"/>
      <c r="D998" s="68"/>
      <c r="E998" s="69"/>
      <c r="K998" s="68"/>
      <c r="M998" s="68"/>
      <c r="O998" s="68"/>
      <c r="P998" s="68"/>
      <c r="Q998" s="68"/>
      <c r="R998" s="68"/>
      <c r="S998" s="68"/>
    </row>
    <row r="999" spans="1:19" ht="15.75" customHeight="1">
      <c r="A999" s="68"/>
      <c r="B999" s="68"/>
      <c r="D999" s="68"/>
      <c r="E999" s="69"/>
      <c r="K999" s="68"/>
      <c r="M999" s="68"/>
      <c r="O999" s="68"/>
      <c r="P999" s="68"/>
      <c r="Q999" s="68"/>
      <c r="R999" s="68"/>
      <c r="S999" s="68"/>
    </row>
    <row r="1000" spans="1:19" ht="15.75" customHeight="1">
      <c r="A1000" s="68"/>
      <c r="B1000" s="68"/>
      <c r="D1000" s="68"/>
      <c r="E1000" s="69"/>
      <c r="K1000" s="68"/>
      <c r="M1000" s="68"/>
      <c r="O1000" s="68"/>
      <c r="P1000" s="68"/>
      <c r="Q1000" s="68"/>
      <c r="R1000" s="68"/>
      <c r="S1000" s="68"/>
    </row>
  </sheetData>
  <mergeCells count="104">
    <mergeCell ref="A160:A178"/>
    <mergeCell ref="B160:B178"/>
    <mergeCell ref="D160:D178"/>
    <mergeCell ref="E160:E178"/>
    <mergeCell ref="A111:A140"/>
    <mergeCell ref="B111:B140"/>
    <mergeCell ref="A141:A159"/>
    <mergeCell ref="B141:B159"/>
    <mergeCell ref="E236:E237"/>
    <mergeCell ref="A179:A197"/>
    <mergeCell ref="B179:B197"/>
    <mergeCell ref="D179:D197"/>
    <mergeCell ref="E179:E197"/>
    <mergeCell ref="A198:A216"/>
    <mergeCell ref="B198:B216"/>
    <mergeCell ref="D198:D216"/>
    <mergeCell ref="E198:E216"/>
    <mergeCell ref="A101:A108"/>
    <mergeCell ref="B101:B108"/>
    <mergeCell ref="D101:D108"/>
    <mergeCell ref="A109:A110"/>
    <mergeCell ref="B109:B110"/>
    <mergeCell ref="D109:D110"/>
    <mergeCell ref="D127:D140"/>
    <mergeCell ref="D141:D159"/>
    <mergeCell ref="E127:E132"/>
    <mergeCell ref="E133:E138"/>
    <mergeCell ref="E141:E159"/>
    <mergeCell ref="D111:D126"/>
    <mergeCell ref="E111:E116"/>
    <mergeCell ref="E117:E122"/>
    <mergeCell ref="M227:M228"/>
    <mergeCell ref="A217:A228"/>
    <mergeCell ref="B217:B228"/>
    <mergeCell ref="D217:D228"/>
    <mergeCell ref="E217:E220"/>
    <mergeCell ref="E227:E228"/>
    <mergeCell ref="A229:A248"/>
    <mergeCell ref="B229:B248"/>
    <mergeCell ref="D229:D248"/>
    <mergeCell ref="E231:E233"/>
    <mergeCell ref="E238:E239"/>
    <mergeCell ref="E240:E241"/>
    <mergeCell ref="E221:E226"/>
    <mergeCell ref="D77:D84"/>
    <mergeCell ref="D85:D92"/>
    <mergeCell ref="A64:A71"/>
    <mergeCell ref="B64:B71"/>
    <mergeCell ref="D64:D71"/>
    <mergeCell ref="A72:A76"/>
    <mergeCell ref="B72:B76"/>
    <mergeCell ref="D72:D76"/>
    <mergeCell ref="A93:A100"/>
    <mergeCell ref="B93:B100"/>
    <mergeCell ref="D93:D100"/>
    <mergeCell ref="A77:A84"/>
    <mergeCell ref="B77:B84"/>
    <mergeCell ref="A85:A92"/>
    <mergeCell ref="B85:B92"/>
    <mergeCell ref="A4:A27"/>
    <mergeCell ref="B4:B27"/>
    <mergeCell ref="D4:D27"/>
    <mergeCell ref="E4:E7"/>
    <mergeCell ref="D46:D55"/>
    <mergeCell ref="D56:D63"/>
    <mergeCell ref="A28:A36"/>
    <mergeCell ref="B28:B36"/>
    <mergeCell ref="D28:D36"/>
    <mergeCell ref="A37:A45"/>
    <mergeCell ref="B37:B45"/>
    <mergeCell ref="D37:D45"/>
    <mergeCell ref="A46:A55"/>
    <mergeCell ref="B46:B55"/>
    <mergeCell ref="A56:A63"/>
    <mergeCell ref="B56:B63"/>
    <mergeCell ref="E20:E23"/>
    <mergeCell ref="E12:E15"/>
    <mergeCell ref="F20:F21"/>
    <mergeCell ref="G20:G21"/>
    <mergeCell ref="F22:F23"/>
    <mergeCell ref="G22:G23"/>
    <mergeCell ref="E24:E27"/>
    <mergeCell ref="F24:F25"/>
    <mergeCell ref="G24:G25"/>
    <mergeCell ref="F26:F27"/>
    <mergeCell ref="G26:G27"/>
    <mergeCell ref="F12:F13"/>
    <mergeCell ref="G12:G13"/>
    <mergeCell ref="F14:F15"/>
    <mergeCell ref="G14:G15"/>
    <mergeCell ref="E16:E19"/>
    <mergeCell ref="F16:F17"/>
    <mergeCell ref="G16:G17"/>
    <mergeCell ref="F18:F19"/>
    <mergeCell ref="G18:G19"/>
    <mergeCell ref="F4:F5"/>
    <mergeCell ref="G4:G5"/>
    <mergeCell ref="F6:F7"/>
    <mergeCell ref="G6:G7"/>
    <mergeCell ref="E8:E11"/>
    <mergeCell ref="F8:F9"/>
    <mergeCell ref="G8:G9"/>
    <mergeCell ref="F10:F11"/>
    <mergeCell ref="G10:G11"/>
  </mergeCells>
  <conditionalFormatting sqref="I3:J3">
    <cfRule type="cellIs" dxfId="805" priority="1" stopIfTrue="1" operator="equal">
      <formula>"OK"</formula>
    </cfRule>
  </conditionalFormatting>
  <conditionalFormatting sqref="I3:J3">
    <cfRule type="cellIs" dxfId="804" priority="2" stopIfTrue="1" operator="equal">
      <formula>"Fail"</formula>
    </cfRule>
  </conditionalFormatting>
  <conditionalFormatting sqref="I3:J3">
    <cfRule type="cellIs" dxfId="803" priority="3" stopIfTrue="1" operator="equal">
      <formula>"OK"</formula>
    </cfRule>
  </conditionalFormatting>
  <conditionalFormatting sqref="I3:J3">
    <cfRule type="cellIs" dxfId="802" priority="4" stopIfTrue="1" operator="equal">
      <formula>"Fail"</formula>
    </cfRule>
  </conditionalFormatting>
  <conditionalFormatting sqref="K3:K157 L3 L37:L45 L111:L156 L159:L196 K160:K196 K198:L214 K217:K226 L217:L225 K229:K248">
    <cfRule type="containsText" dxfId="801" priority="5" operator="containsText" text="NG">
      <formula>NOT(ISERROR(SEARCH(("NG"),(K3))))</formula>
    </cfRule>
  </conditionalFormatting>
  <conditionalFormatting sqref="K3:K157 L3 L37:L45 L111:L156 L159:L196 K160:K196 K198:L214 K217:K226 L217:L225 K229:K248">
    <cfRule type="containsText" dxfId="800" priority="6" operator="containsText" text="OK">
      <formula>NOT(ISERROR(SEARCH(("OK"),(K3))))</formula>
    </cfRule>
  </conditionalFormatting>
  <conditionalFormatting sqref="L4:L27">
    <cfRule type="containsText" dxfId="799" priority="7" operator="containsText" text="NG">
      <formula>NOT(ISERROR(SEARCH(("NG"),(L4))))</formula>
    </cfRule>
  </conditionalFormatting>
  <conditionalFormatting sqref="L4:L27">
    <cfRule type="containsText" dxfId="798" priority="8" operator="containsText" text="OK">
      <formula>NOT(ISERROR(SEARCH(("OK"),(L4))))</formula>
    </cfRule>
  </conditionalFormatting>
  <conditionalFormatting sqref="L46:L55">
    <cfRule type="containsText" dxfId="797" priority="9" operator="containsText" text="NG">
      <formula>NOT(ISERROR(SEARCH(("NG"),(L46))))</formula>
    </cfRule>
  </conditionalFormatting>
  <conditionalFormatting sqref="L46:L55">
    <cfRule type="containsText" dxfId="796" priority="10" operator="containsText" text="OK">
      <formula>NOT(ISERROR(SEARCH(("OK"),(L46))))</formula>
    </cfRule>
  </conditionalFormatting>
  <conditionalFormatting sqref="L56:L63">
    <cfRule type="containsText" dxfId="795" priority="11" operator="containsText" text="NG">
      <formula>NOT(ISERROR(SEARCH(("NG"),(L56))))</formula>
    </cfRule>
  </conditionalFormatting>
  <conditionalFormatting sqref="L56:L63">
    <cfRule type="containsText" dxfId="794" priority="12" operator="containsText" text="OK">
      <formula>NOT(ISERROR(SEARCH(("OK"),(L56))))</formula>
    </cfRule>
  </conditionalFormatting>
  <conditionalFormatting sqref="L64:L71">
    <cfRule type="containsText" dxfId="793" priority="13" operator="containsText" text="NG">
      <formula>NOT(ISERROR(SEARCH(("NG"),(L64))))</formula>
    </cfRule>
  </conditionalFormatting>
  <conditionalFormatting sqref="L64:L71">
    <cfRule type="containsText" dxfId="792" priority="14" operator="containsText" text="OK">
      <formula>NOT(ISERROR(SEARCH(("OK"),(L64))))</formula>
    </cfRule>
  </conditionalFormatting>
  <conditionalFormatting sqref="L72:L76">
    <cfRule type="containsText" dxfId="791" priority="15" operator="containsText" text="NG">
      <formula>NOT(ISERROR(SEARCH(("NG"),(L72))))</formula>
    </cfRule>
  </conditionalFormatting>
  <conditionalFormatting sqref="L72:L76">
    <cfRule type="containsText" dxfId="790" priority="16" operator="containsText" text="OK">
      <formula>NOT(ISERROR(SEARCH(("OK"),(L72))))</formula>
    </cfRule>
  </conditionalFormatting>
  <conditionalFormatting sqref="L77:L84">
    <cfRule type="containsText" dxfId="789" priority="17" operator="containsText" text="NG">
      <formula>NOT(ISERROR(SEARCH(("NG"),(L77))))</formula>
    </cfRule>
  </conditionalFormatting>
  <conditionalFormatting sqref="L77:L84">
    <cfRule type="containsText" dxfId="788" priority="18" operator="containsText" text="OK">
      <formula>NOT(ISERROR(SEARCH(("OK"),(L77))))</formula>
    </cfRule>
  </conditionalFormatting>
  <conditionalFormatting sqref="L85:L108">
    <cfRule type="containsText" dxfId="787" priority="19" operator="containsText" text="NG">
      <formula>NOT(ISERROR(SEARCH(("NG"),(L85))))</formula>
    </cfRule>
  </conditionalFormatting>
  <conditionalFormatting sqref="L85:L108">
    <cfRule type="containsText" dxfId="786" priority="20" operator="containsText" text="OK">
      <formula>NOT(ISERROR(SEARCH(("OK"),(L85))))</formula>
    </cfRule>
  </conditionalFormatting>
  <conditionalFormatting sqref="L109:L110">
    <cfRule type="containsText" dxfId="785" priority="21" operator="containsText" text="NG">
      <formula>NOT(ISERROR(SEARCH(("NG"),(L109))))</formula>
    </cfRule>
  </conditionalFormatting>
  <conditionalFormatting sqref="L109:L110">
    <cfRule type="containsText" dxfId="784" priority="22" operator="containsText" text="OK">
      <formula>NOT(ISERROR(SEARCH(("OK"),(L109))))</formula>
    </cfRule>
  </conditionalFormatting>
  <conditionalFormatting sqref="L28:L36">
    <cfRule type="containsText" dxfId="783" priority="23" operator="containsText" text="NG">
      <formula>NOT(ISERROR(SEARCH(("NG"),(L28))))</formula>
    </cfRule>
  </conditionalFormatting>
  <conditionalFormatting sqref="L28:L36">
    <cfRule type="containsText" dxfId="782" priority="24" operator="containsText" text="OK">
      <formula>NOT(ISERROR(SEARCH(("OK"),(L28))))</formula>
    </cfRule>
  </conditionalFormatting>
  <conditionalFormatting sqref="N28:N36">
    <cfRule type="containsText" dxfId="781" priority="25" operator="containsText" text="미해당">
      <formula>NOT(ISERROR(SEARCH(("미해당"),(N28))))</formula>
    </cfRule>
  </conditionalFormatting>
  <conditionalFormatting sqref="L28:L36">
    <cfRule type="containsText" dxfId="780" priority="26" operator="containsText" text="NG">
      <formula>NOT(ISERROR(SEARCH(("NG"),(L28))))</formula>
    </cfRule>
  </conditionalFormatting>
  <conditionalFormatting sqref="L28:L36">
    <cfRule type="containsText" dxfId="779" priority="27" operator="containsText" text="OK">
      <formula>NOT(ISERROR(SEARCH(("OK"),(L28))))</formula>
    </cfRule>
  </conditionalFormatting>
  <conditionalFormatting sqref="I38:J44">
    <cfRule type="cellIs" dxfId="778" priority="28" stopIfTrue="1" operator="equal">
      <formula>"OK"</formula>
    </cfRule>
  </conditionalFormatting>
  <conditionalFormatting sqref="I38:J44">
    <cfRule type="cellIs" dxfId="777" priority="29" stopIfTrue="1" operator="equal">
      <formula>"Fail"</formula>
    </cfRule>
  </conditionalFormatting>
  <conditionalFormatting sqref="I38:J44">
    <cfRule type="cellIs" dxfId="776" priority="30" stopIfTrue="1" operator="equal">
      <formula>"OK"</formula>
    </cfRule>
  </conditionalFormatting>
  <conditionalFormatting sqref="I38:J44">
    <cfRule type="cellIs" dxfId="775" priority="31" stopIfTrue="1" operator="equal">
      <formula>"Fail"</formula>
    </cfRule>
  </conditionalFormatting>
  <conditionalFormatting sqref="N37:N45">
    <cfRule type="containsText" dxfId="774" priority="32" operator="containsText" text="미해당">
      <formula>NOT(ISERROR(SEARCH(("미해당"),(N37))))</formula>
    </cfRule>
  </conditionalFormatting>
  <conditionalFormatting sqref="L37:L45">
    <cfRule type="containsText" dxfId="773" priority="33" operator="containsText" text="NG">
      <formula>NOT(ISERROR(SEARCH(("NG"),(L37))))</formula>
    </cfRule>
  </conditionalFormatting>
  <conditionalFormatting sqref="L37:L45">
    <cfRule type="containsText" dxfId="772" priority="34" operator="containsText" text="OK">
      <formula>NOT(ISERROR(SEARCH(("OK"),(L37))))</formula>
    </cfRule>
  </conditionalFormatting>
  <conditionalFormatting sqref="L37:L45">
    <cfRule type="containsText" dxfId="771" priority="35" operator="containsText" text="NG">
      <formula>NOT(ISERROR(SEARCH(("NG"),(L37))))</formula>
    </cfRule>
  </conditionalFormatting>
  <conditionalFormatting sqref="L37:L45">
    <cfRule type="containsText" dxfId="770" priority="36" operator="containsText" text="OK">
      <formula>NOT(ISERROR(SEARCH(("OK"),(L37))))</formula>
    </cfRule>
  </conditionalFormatting>
  <conditionalFormatting sqref="L157">
    <cfRule type="containsText" dxfId="769" priority="37" operator="containsText" text="NG">
      <formula>NOT(ISERROR(SEARCH(("NG"),(L157))))</formula>
    </cfRule>
  </conditionalFormatting>
  <conditionalFormatting sqref="L157">
    <cfRule type="containsText" dxfId="768" priority="38" operator="containsText" text="OK">
      <formula>NOT(ISERROR(SEARCH(("OK"),(L157))))</formula>
    </cfRule>
  </conditionalFormatting>
  <conditionalFormatting sqref="L196">
    <cfRule type="containsText" dxfId="767" priority="39" operator="containsText" text="NG">
      <formula>NOT(ISERROR(SEARCH(("NG"),(L196))))</formula>
    </cfRule>
  </conditionalFormatting>
  <conditionalFormatting sqref="L196">
    <cfRule type="containsText" dxfId="766" priority="40" operator="containsText" text="OK">
      <formula>NOT(ISERROR(SEARCH(("OK"),(L196))))</formula>
    </cfRule>
  </conditionalFormatting>
  <conditionalFormatting sqref="L216">
    <cfRule type="containsText" dxfId="765" priority="41" operator="containsText" text="NG">
      <formula>NOT(ISERROR(SEARCH(("NG"),(L216))))</formula>
    </cfRule>
  </conditionalFormatting>
  <conditionalFormatting sqref="L216">
    <cfRule type="containsText" dxfId="764" priority="42" operator="containsText" text="OK">
      <formula>NOT(ISERROR(SEARCH(("OK"),(L216))))</formula>
    </cfRule>
  </conditionalFormatting>
  <conditionalFormatting sqref="L160:L180">
    <cfRule type="containsText" dxfId="763" priority="43" operator="containsText" text="NG">
      <formula>NOT(ISERROR(SEARCH(("NG"),(L160))))</formula>
    </cfRule>
  </conditionalFormatting>
  <conditionalFormatting sqref="L160:L180">
    <cfRule type="containsText" dxfId="762" priority="44" operator="containsText" text="OK">
      <formula>NOT(ISERROR(SEARCH(("OK"),(L160))))</formula>
    </cfRule>
  </conditionalFormatting>
  <conditionalFormatting sqref="L177:L180">
    <cfRule type="containsText" dxfId="761" priority="45" operator="containsText" text="NG">
      <formula>NOT(ISERROR(SEARCH(("NG"),(L177))))</formula>
    </cfRule>
  </conditionalFormatting>
  <conditionalFormatting sqref="L177:L180">
    <cfRule type="containsText" dxfId="760" priority="46" operator="containsText" text="OK">
      <formula>NOT(ISERROR(SEARCH(("OK"),(L177))))</formula>
    </cfRule>
  </conditionalFormatting>
  <conditionalFormatting sqref="L226">
    <cfRule type="containsText" dxfId="759" priority="47" operator="containsText" text="NG">
      <formula>NOT(ISERROR(SEARCH(("NG"),(L226))))</formula>
    </cfRule>
  </conditionalFormatting>
  <conditionalFormatting sqref="L226">
    <cfRule type="containsText" dxfId="758" priority="48" operator="containsText" text="OK">
      <formula>NOT(ISERROR(SEARCH(("OK"),(L226))))</formula>
    </cfRule>
  </conditionalFormatting>
  <conditionalFormatting sqref="K158:K159">
    <cfRule type="containsText" dxfId="757" priority="49" operator="containsText" text="NG">
      <formula>NOT(ISERROR(SEARCH(("NG"),(K158))))</formula>
    </cfRule>
  </conditionalFormatting>
  <conditionalFormatting sqref="K158:K159">
    <cfRule type="containsText" dxfId="756" priority="50" operator="containsText" text="OK">
      <formula>NOT(ISERROR(SEARCH(("OK"),(K158))))</formula>
    </cfRule>
  </conditionalFormatting>
  <conditionalFormatting sqref="L158">
    <cfRule type="containsText" dxfId="755" priority="51" operator="containsText" text="NG">
      <formula>NOT(ISERROR(SEARCH(("NG"),(L158))))</formula>
    </cfRule>
  </conditionalFormatting>
  <conditionalFormatting sqref="L158">
    <cfRule type="containsText" dxfId="754" priority="52" operator="containsText" text="OK">
      <formula>NOT(ISERROR(SEARCH(("OK"),(L158))))</formula>
    </cfRule>
  </conditionalFormatting>
  <conditionalFormatting sqref="L197">
    <cfRule type="containsText" dxfId="753" priority="53" operator="containsText" text="NG">
      <formula>NOT(ISERROR(SEARCH(("NG"),(L197))))</formula>
    </cfRule>
  </conditionalFormatting>
  <conditionalFormatting sqref="L197">
    <cfRule type="containsText" dxfId="752" priority="54" operator="containsText" text="OK">
      <formula>NOT(ISERROR(SEARCH(("OK"),(L197))))</formula>
    </cfRule>
  </conditionalFormatting>
  <conditionalFormatting sqref="L197">
    <cfRule type="containsText" dxfId="751" priority="55" operator="containsText" text="NG">
      <formula>NOT(ISERROR(SEARCH(("NG"),(L197))))</formula>
    </cfRule>
  </conditionalFormatting>
  <conditionalFormatting sqref="L197">
    <cfRule type="containsText" dxfId="750" priority="56" operator="containsText" text="OK">
      <formula>NOT(ISERROR(SEARCH(("OK"),(L197))))</formula>
    </cfRule>
  </conditionalFormatting>
  <conditionalFormatting sqref="K215">
    <cfRule type="containsText" dxfId="749" priority="57" operator="containsText" text="NG">
      <formula>NOT(ISERROR(SEARCH(("NG"),(K215))))</formula>
    </cfRule>
  </conditionalFormatting>
  <conditionalFormatting sqref="K215">
    <cfRule type="containsText" dxfId="748" priority="58" operator="containsText" text="OK">
      <formula>NOT(ISERROR(SEARCH(("OK"),(K215))))</formula>
    </cfRule>
  </conditionalFormatting>
  <conditionalFormatting sqref="L215">
    <cfRule type="containsText" dxfId="747" priority="59" operator="containsText" text="NG">
      <formula>NOT(ISERROR(SEARCH(("NG"),(L215))))</formula>
    </cfRule>
  </conditionalFormatting>
  <conditionalFormatting sqref="L215">
    <cfRule type="containsText" dxfId="746" priority="60" operator="containsText" text="OK">
      <formula>NOT(ISERROR(SEARCH(("OK"),(L215))))</formula>
    </cfRule>
  </conditionalFormatting>
  <conditionalFormatting sqref="K197">
    <cfRule type="containsText" dxfId="745" priority="61" operator="containsText" text="NG">
      <formula>NOT(ISERROR(SEARCH(("NG"),(K197))))</formula>
    </cfRule>
  </conditionalFormatting>
  <conditionalFormatting sqref="K197">
    <cfRule type="containsText" dxfId="744" priority="62" operator="containsText" text="OK">
      <formula>NOT(ISERROR(SEARCH(("OK"),(K197))))</formula>
    </cfRule>
  </conditionalFormatting>
  <conditionalFormatting sqref="K216">
    <cfRule type="containsText" dxfId="743" priority="63" operator="containsText" text="NG">
      <formula>NOT(ISERROR(SEARCH(("NG"),(K216))))</formula>
    </cfRule>
  </conditionalFormatting>
  <conditionalFormatting sqref="K216">
    <cfRule type="containsText" dxfId="742" priority="64" operator="containsText" text="OK">
      <formula>NOT(ISERROR(SEARCH(("OK"),(K216))))</formula>
    </cfRule>
  </conditionalFormatting>
  <conditionalFormatting sqref="I45:J45">
    <cfRule type="cellIs" dxfId="741" priority="65" stopIfTrue="1" operator="equal">
      <formula>"OK"</formula>
    </cfRule>
  </conditionalFormatting>
  <conditionalFormatting sqref="I45:J45">
    <cfRule type="cellIs" dxfId="740" priority="66" stopIfTrue="1" operator="equal">
      <formula>"Fail"</formula>
    </cfRule>
  </conditionalFormatting>
  <conditionalFormatting sqref="I45:J45">
    <cfRule type="cellIs" dxfId="739" priority="67" stopIfTrue="1" operator="equal">
      <formula>"OK"</formula>
    </cfRule>
  </conditionalFormatting>
  <conditionalFormatting sqref="I45:J45">
    <cfRule type="cellIs" dxfId="738" priority="68" stopIfTrue="1" operator="equal">
      <formula>"Fail"</formula>
    </cfRule>
  </conditionalFormatting>
  <conditionalFormatting sqref="K227:K228">
    <cfRule type="containsText" dxfId="737" priority="69" operator="containsText" text="NG">
      <formula>NOT(ISERROR(SEARCH(("NG"),(K227))))</formula>
    </cfRule>
  </conditionalFormatting>
  <conditionalFormatting sqref="K227:K228">
    <cfRule type="containsText" dxfId="736" priority="70" operator="containsText" text="OK">
      <formula>NOT(ISERROR(SEARCH(("OK"),(K227))))</formula>
    </cfRule>
  </conditionalFormatting>
  <conditionalFormatting sqref="L227:L228">
    <cfRule type="containsText" dxfId="735" priority="71" operator="containsText" text="NG">
      <formula>NOT(ISERROR(SEARCH(("NG"),(L227))))</formula>
    </cfRule>
  </conditionalFormatting>
  <conditionalFormatting sqref="L227:L228">
    <cfRule type="containsText" dxfId="734" priority="72" operator="containsText" text="OK">
      <formula>NOT(ISERROR(SEARCH(("OK"),(L227))))</formula>
    </cfRule>
  </conditionalFormatting>
  <dataValidations count="4">
    <dataValidation type="list" allowBlank="1" showErrorMessage="1" sqref="O4:P27">
      <formula1>"필수,중요,선택"</formula1>
    </dataValidation>
    <dataValidation type="list" allowBlank="1" showErrorMessage="1" sqref="K4:L248">
      <formula1>"Pass,Fail,NA"</formula1>
    </dataValidation>
    <dataValidation type="list" allowBlank="1" showErrorMessage="1" sqref="O28:P228">
      <formula1>"Proto,M/CAR,Pilot,M,SOP"</formula1>
    </dataValidation>
    <dataValidation type="list" allowBlank="1" showInputMessage="1" showErrorMessage="1" prompt="[사양 무관: 빈칸]_x000a_[해당 사양에서만 사용되는 T/C 일 경우에만 선택]_x000a_" sqref="R198:R216">
      <formula1>$BH$2</formula1>
    </dataValidation>
  </dataValidations>
  <pageMargins left="0.7" right="0.7" top="0.75" bottom="0.75" header="0" footer="0"/>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2060"/>
  </sheetPr>
  <dimension ref="A1:AA1000"/>
  <sheetViews>
    <sheetView topLeftCell="G1" workbookViewId="0">
      <pane ySplit="2" topLeftCell="A3" activePane="bottomLeft" state="frozen"/>
      <selection pane="bottomLeft" activeCell="J4" sqref="J4"/>
    </sheetView>
  </sheetViews>
  <sheetFormatPr defaultColWidth="14.42578125" defaultRowHeight="15" customHeight="1"/>
  <cols>
    <col min="1" max="1" width="34.42578125" customWidth="1"/>
    <col min="2" max="3" width="9" customWidth="1"/>
    <col min="4" max="5" width="43.28515625" customWidth="1"/>
    <col min="6" max="7" width="5.42578125" customWidth="1"/>
    <col min="8" max="8" width="43.28515625" customWidth="1"/>
    <col min="9" max="9" width="61.42578125" customWidth="1"/>
    <col min="10" max="10" width="50" style="326" customWidth="1"/>
    <col min="11" max="11" width="9" customWidth="1"/>
    <col min="12" max="12" width="15.28515625" customWidth="1"/>
    <col min="13" max="15" width="9" customWidth="1"/>
    <col min="16" max="17" width="7.42578125" customWidth="1"/>
    <col min="18" max="18" width="13.85546875" customWidth="1"/>
    <col min="19" max="19" width="7.42578125" customWidth="1"/>
    <col min="20" max="27" width="9" customWidth="1"/>
  </cols>
  <sheetData>
    <row r="1" spans="1:27" ht="39.75" customHeight="1">
      <c r="A1" s="8"/>
      <c r="B1" s="11" t="str">
        <f t="array" ref="B1">"FIL_"&amp;TEXT(MAX(IFERROR(--MID($B$2:$B$5000,5,3),0)),"000")</f>
        <v>FIL_012</v>
      </c>
      <c r="C1" s="3"/>
      <c r="D1" s="8"/>
      <c r="E1" s="9"/>
      <c r="F1" s="3"/>
      <c r="G1" s="3"/>
      <c r="H1" s="7"/>
      <c r="I1" s="7"/>
      <c r="J1" s="10"/>
      <c r="K1" s="11"/>
      <c r="L1" s="11"/>
      <c r="M1" s="11"/>
      <c r="N1" s="3"/>
      <c r="O1" s="11"/>
      <c r="P1" s="11"/>
      <c r="Q1" s="11"/>
      <c r="R1" s="11"/>
      <c r="S1" s="11"/>
    </row>
    <row r="2" spans="1:27" ht="39" customHeight="1">
      <c r="A2" s="12" t="s">
        <v>309</v>
      </c>
      <c r="B2" s="70" t="s">
        <v>310</v>
      </c>
      <c r="C2" s="70" t="s">
        <v>311</v>
      </c>
      <c r="D2" s="12" t="s">
        <v>312</v>
      </c>
      <c r="E2" s="12" t="s">
        <v>313</v>
      </c>
      <c r="F2" s="70" t="s">
        <v>314</v>
      </c>
      <c r="G2" s="70" t="s">
        <v>315</v>
      </c>
      <c r="H2" s="12" t="s">
        <v>316</v>
      </c>
      <c r="I2" s="12" t="s">
        <v>317</v>
      </c>
      <c r="J2" s="70" t="s">
        <v>7999</v>
      </c>
      <c r="K2" s="70" t="s">
        <v>291</v>
      </c>
      <c r="L2" s="70" t="s">
        <v>318</v>
      </c>
      <c r="M2" s="70" t="s">
        <v>293</v>
      </c>
      <c r="N2" s="13"/>
      <c r="O2" s="70" t="s">
        <v>319</v>
      </c>
      <c r="P2" s="70" t="s">
        <v>320</v>
      </c>
      <c r="Q2" s="70" t="s">
        <v>321</v>
      </c>
      <c r="R2" s="70" t="s">
        <v>1</v>
      </c>
      <c r="S2" s="70" t="s">
        <v>322</v>
      </c>
      <c r="T2" s="14"/>
      <c r="U2" s="14"/>
      <c r="V2" s="14"/>
      <c r="W2" s="14"/>
      <c r="X2" s="14"/>
      <c r="Y2" s="14"/>
      <c r="Z2" s="14"/>
      <c r="AA2" s="14"/>
    </row>
    <row r="3" spans="1:27" ht="56.25">
      <c r="A3" s="15" t="s">
        <v>4203</v>
      </c>
      <c r="B3" s="16"/>
      <c r="C3" s="16"/>
      <c r="D3" s="17"/>
      <c r="E3" s="18"/>
      <c r="F3" s="19"/>
      <c r="G3" s="19"/>
      <c r="H3" s="17"/>
      <c r="I3" s="20"/>
      <c r="J3" s="20"/>
      <c r="K3" s="16"/>
      <c r="L3" s="16"/>
      <c r="M3" s="71"/>
      <c r="N3" s="3"/>
      <c r="O3" s="16"/>
      <c r="P3" s="16"/>
      <c r="Q3" s="16"/>
      <c r="R3" s="16"/>
      <c r="S3" s="16"/>
    </row>
    <row r="4" spans="1:27" ht="90">
      <c r="A4" s="368" t="s">
        <v>4204</v>
      </c>
      <c r="B4" s="350" t="s">
        <v>75</v>
      </c>
      <c r="C4" s="74">
        <v>1</v>
      </c>
      <c r="D4" s="372" t="s">
        <v>4205</v>
      </c>
      <c r="E4" s="80" t="s">
        <v>4206</v>
      </c>
      <c r="F4" s="74" t="s">
        <v>326</v>
      </c>
      <c r="G4" s="74" t="s">
        <v>327</v>
      </c>
      <c r="H4" s="47" t="s">
        <v>4207</v>
      </c>
      <c r="I4" s="39" t="s">
        <v>4208</v>
      </c>
      <c r="J4" s="289"/>
      <c r="K4" s="25"/>
      <c r="L4" s="57"/>
      <c r="M4" s="26"/>
      <c r="N4" s="100"/>
      <c r="O4" s="28" t="s">
        <v>140</v>
      </c>
      <c r="P4" s="28"/>
      <c r="Q4" s="25" t="s">
        <v>282</v>
      </c>
      <c r="R4" s="25"/>
      <c r="S4" s="25"/>
      <c r="T4" s="65"/>
      <c r="U4" s="65"/>
      <c r="V4" s="65"/>
      <c r="W4" s="65"/>
      <c r="X4" s="65"/>
      <c r="Y4" s="65"/>
      <c r="Z4" s="65"/>
      <c r="AA4" s="65"/>
    </row>
    <row r="5" spans="1:27" ht="60">
      <c r="A5" s="344"/>
      <c r="B5" s="344"/>
      <c r="C5" s="74">
        <v>2</v>
      </c>
      <c r="D5" s="344"/>
      <c r="E5" s="364" t="s">
        <v>4209</v>
      </c>
      <c r="F5" s="363" t="s">
        <v>361</v>
      </c>
      <c r="G5" s="363" t="s">
        <v>327</v>
      </c>
      <c r="H5" s="47" t="s">
        <v>4210</v>
      </c>
      <c r="I5" s="39" t="s">
        <v>4211</v>
      </c>
      <c r="J5" s="289"/>
      <c r="K5" s="25"/>
      <c r="L5" s="57"/>
      <c r="M5" s="26"/>
      <c r="N5" s="100"/>
      <c r="O5" s="28" t="s">
        <v>140</v>
      </c>
      <c r="P5" s="28"/>
      <c r="Q5" s="25" t="s">
        <v>282</v>
      </c>
      <c r="R5" s="25"/>
      <c r="S5" s="25"/>
      <c r="T5" s="65"/>
      <c r="U5" s="65"/>
      <c r="V5" s="65"/>
      <c r="W5" s="65"/>
      <c r="X5" s="65"/>
      <c r="Y5" s="65"/>
      <c r="Z5" s="65"/>
      <c r="AA5" s="65"/>
    </row>
    <row r="6" spans="1:27" ht="45">
      <c r="A6" s="344"/>
      <c r="B6" s="344"/>
      <c r="C6" s="74">
        <v>3</v>
      </c>
      <c r="D6" s="344"/>
      <c r="E6" s="345"/>
      <c r="F6" s="345"/>
      <c r="G6" s="345"/>
      <c r="H6" s="47" t="s">
        <v>4212</v>
      </c>
      <c r="I6" s="39" t="s">
        <v>4213</v>
      </c>
      <c r="J6" s="289"/>
      <c r="K6" s="25"/>
      <c r="L6" s="57"/>
      <c r="M6" s="26"/>
      <c r="N6" s="100"/>
      <c r="O6" s="28" t="s">
        <v>140</v>
      </c>
      <c r="P6" s="28"/>
      <c r="Q6" s="25" t="s">
        <v>282</v>
      </c>
      <c r="R6" s="25"/>
      <c r="S6" s="25"/>
      <c r="T6" s="65"/>
      <c r="U6" s="65"/>
      <c r="V6" s="65"/>
      <c r="W6" s="65"/>
      <c r="X6" s="65"/>
      <c r="Y6" s="65"/>
      <c r="Z6" s="65"/>
      <c r="AA6" s="65"/>
    </row>
    <row r="7" spans="1:27" ht="60">
      <c r="A7" s="344"/>
      <c r="B7" s="344"/>
      <c r="C7" s="74">
        <v>4</v>
      </c>
      <c r="D7" s="344"/>
      <c r="E7" s="364" t="s">
        <v>4214</v>
      </c>
      <c r="F7" s="363" t="s">
        <v>361</v>
      </c>
      <c r="G7" s="363" t="s">
        <v>327</v>
      </c>
      <c r="H7" s="47" t="s">
        <v>4215</v>
      </c>
      <c r="I7" s="39" t="s">
        <v>4211</v>
      </c>
      <c r="J7" s="289"/>
      <c r="K7" s="25"/>
      <c r="L7" s="57"/>
      <c r="M7" s="26"/>
      <c r="N7" s="100"/>
      <c r="O7" s="28" t="s">
        <v>140</v>
      </c>
      <c r="P7" s="28"/>
      <c r="Q7" s="25" t="s">
        <v>282</v>
      </c>
      <c r="R7" s="25" t="s">
        <v>7</v>
      </c>
      <c r="S7" s="25"/>
      <c r="T7" s="65"/>
      <c r="U7" s="65"/>
      <c r="V7" s="65"/>
      <c r="W7" s="65"/>
      <c r="X7" s="65"/>
      <c r="Y7" s="65"/>
      <c r="Z7" s="65"/>
      <c r="AA7" s="65"/>
    </row>
    <row r="8" spans="1:27" ht="45">
      <c r="A8" s="344"/>
      <c r="B8" s="344"/>
      <c r="C8" s="74">
        <v>5</v>
      </c>
      <c r="D8" s="344"/>
      <c r="E8" s="345"/>
      <c r="F8" s="345"/>
      <c r="G8" s="345"/>
      <c r="H8" s="47" t="s">
        <v>4212</v>
      </c>
      <c r="I8" s="39" t="s">
        <v>4213</v>
      </c>
      <c r="J8" s="289"/>
      <c r="K8" s="25"/>
      <c r="L8" s="57"/>
      <c r="M8" s="26"/>
      <c r="N8" s="100"/>
      <c r="O8" s="28" t="s">
        <v>140</v>
      </c>
      <c r="P8" s="28"/>
      <c r="Q8" s="25" t="s">
        <v>282</v>
      </c>
      <c r="R8" s="25" t="s">
        <v>7</v>
      </c>
      <c r="S8" s="25"/>
      <c r="T8" s="65"/>
      <c r="U8" s="65"/>
      <c r="V8" s="65"/>
      <c r="W8" s="65"/>
      <c r="X8" s="65"/>
      <c r="Y8" s="65"/>
      <c r="Z8" s="65"/>
      <c r="AA8" s="65"/>
    </row>
    <row r="9" spans="1:27" ht="45">
      <c r="A9" s="344"/>
      <c r="B9" s="344"/>
      <c r="C9" s="74">
        <v>6</v>
      </c>
      <c r="D9" s="344"/>
      <c r="E9" s="364" t="s">
        <v>4216</v>
      </c>
      <c r="F9" s="363" t="s">
        <v>361</v>
      </c>
      <c r="G9" s="363" t="s">
        <v>327</v>
      </c>
      <c r="H9" s="47" t="s">
        <v>4217</v>
      </c>
      <c r="I9" s="39" t="s">
        <v>4211</v>
      </c>
      <c r="J9" s="289"/>
      <c r="K9" s="25"/>
      <c r="L9" s="57"/>
      <c r="M9" s="26"/>
      <c r="N9" s="100"/>
      <c r="O9" s="28" t="s">
        <v>140</v>
      </c>
      <c r="P9" s="28"/>
      <c r="Q9" s="25" t="s">
        <v>282</v>
      </c>
      <c r="R9" s="25"/>
      <c r="S9" s="25"/>
      <c r="T9" s="65"/>
      <c r="U9" s="65"/>
      <c r="V9" s="65"/>
      <c r="W9" s="65"/>
      <c r="X9" s="65"/>
      <c r="Y9" s="65"/>
      <c r="Z9" s="65"/>
      <c r="AA9" s="65"/>
    </row>
    <row r="10" spans="1:27" ht="45">
      <c r="A10" s="344"/>
      <c r="B10" s="344"/>
      <c r="C10" s="74">
        <v>7</v>
      </c>
      <c r="D10" s="344"/>
      <c r="E10" s="345"/>
      <c r="F10" s="345"/>
      <c r="G10" s="345"/>
      <c r="H10" s="47" t="s">
        <v>4212</v>
      </c>
      <c r="I10" s="39" t="s">
        <v>4213</v>
      </c>
      <c r="J10" s="289"/>
      <c r="K10" s="25"/>
      <c r="L10" s="57"/>
      <c r="M10" s="26"/>
      <c r="N10" s="100"/>
      <c r="O10" s="28" t="s">
        <v>140</v>
      </c>
      <c r="P10" s="28"/>
      <c r="Q10" s="25" t="s">
        <v>282</v>
      </c>
      <c r="R10" s="25"/>
      <c r="S10" s="25"/>
      <c r="T10" s="65"/>
      <c r="U10" s="65"/>
      <c r="V10" s="65"/>
      <c r="W10" s="65"/>
      <c r="X10" s="65"/>
      <c r="Y10" s="65"/>
      <c r="Z10" s="65"/>
      <c r="AA10" s="65"/>
    </row>
    <row r="11" spans="1:27" ht="45">
      <c r="A11" s="344"/>
      <c r="B11" s="344"/>
      <c r="C11" s="74">
        <v>8</v>
      </c>
      <c r="D11" s="344"/>
      <c r="E11" s="364" t="s">
        <v>4218</v>
      </c>
      <c r="F11" s="363" t="s">
        <v>361</v>
      </c>
      <c r="G11" s="363" t="s">
        <v>327</v>
      </c>
      <c r="H11" s="47" t="s">
        <v>4219</v>
      </c>
      <c r="I11" s="39" t="s">
        <v>4211</v>
      </c>
      <c r="J11" s="289"/>
      <c r="K11" s="25"/>
      <c r="L11" s="57"/>
      <c r="M11" s="26"/>
      <c r="N11" s="100"/>
      <c r="O11" s="28" t="s">
        <v>140</v>
      </c>
      <c r="P11" s="28"/>
      <c r="Q11" s="25" t="s">
        <v>282</v>
      </c>
      <c r="R11" s="25" t="s">
        <v>7</v>
      </c>
      <c r="S11" s="25"/>
      <c r="T11" s="65"/>
      <c r="U11" s="65"/>
      <c r="V11" s="65"/>
      <c r="W11" s="65"/>
      <c r="X11" s="65"/>
      <c r="Y11" s="65"/>
      <c r="Z11" s="65"/>
      <c r="AA11" s="65"/>
    </row>
    <row r="12" spans="1:27" ht="45">
      <c r="A12" s="344"/>
      <c r="B12" s="344"/>
      <c r="C12" s="74">
        <v>9</v>
      </c>
      <c r="D12" s="344"/>
      <c r="E12" s="345"/>
      <c r="F12" s="345"/>
      <c r="G12" s="345"/>
      <c r="H12" s="47" t="s">
        <v>4212</v>
      </c>
      <c r="I12" s="39" t="s">
        <v>4213</v>
      </c>
      <c r="J12" s="289"/>
      <c r="K12" s="25"/>
      <c r="L12" s="57"/>
      <c r="M12" s="26"/>
      <c r="N12" s="100"/>
      <c r="O12" s="28" t="s">
        <v>140</v>
      </c>
      <c r="P12" s="28"/>
      <c r="Q12" s="25" t="s">
        <v>282</v>
      </c>
      <c r="R12" s="25" t="s">
        <v>7</v>
      </c>
      <c r="S12" s="25"/>
      <c r="T12" s="65"/>
      <c r="U12" s="65"/>
      <c r="V12" s="65"/>
      <c r="W12" s="65"/>
      <c r="X12" s="65"/>
      <c r="Y12" s="65"/>
      <c r="Z12" s="65"/>
      <c r="AA12" s="65"/>
    </row>
    <row r="13" spans="1:27" ht="60">
      <c r="A13" s="344"/>
      <c r="B13" s="344"/>
      <c r="C13" s="74">
        <v>10</v>
      </c>
      <c r="D13" s="344"/>
      <c r="E13" s="364" t="s">
        <v>4220</v>
      </c>
      <c r="F13" s="363" t="s">
        <v>361</v>
      </c>
      <c r="G13" s="363" t="s">
        <v>327</v>
      </c>
      <c r="H13" s="47" t="s">
        <v>4221</v>
      </c>
      <c r="I13" s="109" t="s">
        <v>4211</v>
      </c>
      <c r="J13" s="109"/>
      <c r="K13" s="25"/>
      <c r="L13" s="57"/>
      <c r="M13" s="26"/>
      <c r="N13" s="100"/>
      <c r="O13" s="28" t="s">
        <v>140</v>
      </c>
      <c r="P13" s="28"/>
      <c r="Q13" s="25" t="s">
        <v>282</v>
      </c>
      <c r="R13" s="25" t="s">
        <v>298</v>
      </c>
      <c r="S13" s="25"/>
      <c r="T13" s="65"/>
      <c r="U13" s="65"/>
      <c r="V13" s="65"/>
      <c r="W13" s="65"/>
      <c r="X13" s="65"/>
      <c r="Y13" s="65"/>
      <c r="Z13" s="65"/>
      <c r="AA13" s="65"/>
    </row>
    <row r="14" spans="1:27" ht="45">
      <c r="A14" s="344"/>
      <c r="B14" s="344"/>
      <c r="C14" s="74">
        <v>11</v>
      </c>
      <c r="D14" s="344"/>
      <c r="E14" s="345"/>
      <c r="F14" s="345"/>
      <c r="G14" s="345"/>
      <c r="H14" s="47" t="s">
        <v>4212</v>
      </c>
      <c r="I14" s="109" t="s">
        <v>4213</v>
      </c>
      <c r="J14" s="109"/>
      <c r="K14" s="25"/>
      <c r="L14" s="57"/>
      <c r="M14" s="26"/>
      <c r="N14" s="100"/>
      <c r="O14" s="28" t="s">
        <v>140</v>
      </c>
      <c r="P14" s="28"/>
      <c r="Q14" s="25" t="s">
        <v>282</v>
      </c>
      <c r="R14" s="25" t="s">
        <v>298</v>
      </c>
      <c r="S14" s="25"/>
      <c r="T14" s="65"/>
      <c r="U14" s="65"/>
      <c r="V14" s="65"/>
      <c r="W14" s="65"/>
      <c r="X14" s="65"/>
      <c r="Y14" s="65"/>
      <c r="Z14" s="65"/>
      <c r="AA14" s="65"/>
    </row>
    <row r="15" spans="1:27" ht="60">
      <c r="A15" s="344"/>
      <c r="B15" s="344"/>
      <c r="C15" s="74">
        <v>12</v>
      </c>
      <c r="D15" s="344"/>
      <c r="E15" s="364" t="s">
        <v>4222</v>
      </c>
      <c r="F15" s="363" t="s">
        <v>361</v>
      </c>
      <c r="G15" s="363" t="s">
        <v>327</v>
      </c>
      <c r="H15" s="47" t="s">
        <v>4223</v>
      </c>
      <c r="I15" s="39" t="s">
        <v>4211</v>
      </c>
      <c r="J15" s="289"/>
      <c r="K15" s="25"/>
      <c r="L15" s="57"/>
      <c r="M15" s="26"/>
      <c r="N15" s="100"/>
      <c r="O15" s="28" t="s">
        <v>140</v>
      </c>
      <c r="P15" s="28"/>
      <c r="Q15" s="25" t="s">
        <v>282</v>
      </c>
      <c r="R15" s="25"/>
      <c r="S15" s="25"/>
      <c r="T15" s="65"/>
      <c r="U15" s="65"/>
      <c r="V15" s="65"/>
      <c r="W15" s="65"/>
      <c r="X15" s="65"/>
      <c r="Y15" s="65"/>
      <c r="Z15" s="65"/>
      <c r="AA15" s="65"/>
    </row>
    <row r="16" spans="1:27" ht="45">
      <c r="A16" s="344"/>
      <c r="B16" s="344"/>
      <c r="C16" s="74">
        <v>13</v>
      </c>
      <c r="D16" s="344"/>
      <c r="E16" s="345"/>
      <c r="F16" s="345"/>
      <c r="G16" s="345"/>
      <c r="H16" s="47" t="s">
        <v>4212</v>
      </c>
      <c r="I16" s="39" t="s">
        <v>4213</v>
      </c>
      <c r="J16" s="289"/>
      <c r="K16" s="25"/>
      <c r="L16" s="57"/>
      <c r="M16" s="26"/>
      <c r="N16" s="100"/>
      <c r="O16" s="28" t="s">
        <v>140</v>
      </c>
      <c r="P16" s="28"/>
      <c r="Q16" s="25" t="s">
        <v>282</v>
      </c>
      <c r="R16" s="25"/>
      <c r="S16" s="25"/>
      <c r="T16" s="65"/>
      <c r="U16" s="65"/>
      <c r="V16" s="65"/>
      <c r="W16" s="65"/>
      <c r="X16" s="65"/>
      <c r="Y16" s="65"/>
      <c r="Z16" s="65"/>
      <c r="AA16" s="65"/>
    </row>
    <row r="17" spans="1:27" ht="45">
      <c r="A17" s="344"/>
      <c r="B17" s="344"/>
      <c r="C17" s="74">
        <v>14</v>
      </c>
      <c r="D17" s="344"/>
      <c r="E17" s="364" t="s">
        <v>4224</v>
      </c>
      <c r="F17" s="363" t="s">
        <v>361</v>
      </c>
      <c r="G17" s="363" t="s">
        <v>327</v>
      </c>
      <c r="H17" s="47" t="s">
        <v>4225</v>
      </c>
      <c r="I17" s="39" t="s">
        <v>4226</v>
      </c>
      <c r="J17" s="289"/>
      <c r="K17" s="25"/>
      <c r="L17" s="57"/>
      <c r="M17" s="26"/>
      <c r="N17" s="100"/>
      <c r="O17" s="28" t="s">
        <v>140</v>
      </c>
      <c r="P17" s="28"/>
      <c r="Q17" s="25" t="s">
        <v>282</v>
      </c>
      <c r="R17" s="25"/>
      <c r="S17" s="25"/>
      <c r="T17" s="65"/>
      <c r="U17" s="65"/>
      <c r="V17" s="65"/>
      <c r="W17" s="65"/>
      <c r="X17" s="65"/>
      <c r="Y17" s="65"/>
      <c r="Z17" s="65"/>
      <c r="AA17" s="65"/>
    </row>
    <row r="18" spans="1:27" ht="45">
      <c r="A18" s="344"/>
      <c r="B18" s="344"/>
      <c r="C18" s="74">
        <v>15</v>
      </c>
      <c r="D18" s="344"/>
      <c r="E18" s="345"/>
      <c r="F18" s="345"/>
      <c r="G18" s="345"/>
      <c r="H18" s="47" t="s">
        <v>4212</v>
      </c>
      <c r="I18" s="39" t="s">
        <v>4213</v>
      </c>
      <c r="J18" s="289"/>
      <c r="K18" s="25"/>
      <c r="L18" s="57"/>
      <c r="M18" s="26"/>
      <c r="N18" s="100"/>
      <c r="O18" s="28" t="s">
        <v>140</v>
      </c>
      <c r="P18" s="28"/>
      <c r="Q18" s="25" t="s">
        <v>282</v>
      </c>
      <c r="R18" s="25"/>
      <c r="S18" s="25"/>
      <c r="T18" s="65"/>
      <c r="U18" s="65"/>
      <c r="V18" s="65"/>
      <c r="W18" s="65"/>
      <c r="X18" s="65"/>
      <c r="Y18" s="65"/>
      <c r="Z18" s="65"/>
      <c r="AA18" s="65"/>
    </row>
    <row r="19" spans="1:27" ht="45">
      <c r="A19" s="344"/>
      <c r="B19" s="344"/>
      <c r="C19" s="74">
        <v>16</v>
      </c>
      <c r="D19" s="344"/>
      <c r="E19" s="364" t="s">
        <v>4227</v>
      </c>
      <c r="F19" s="363" t="s">
        <v>361</v>
      </c>
      <c r="G19" s="363" t="s">
        <v>327</v>
      </c>
      <c r="H19" s="47" t="s">
        <v>4228</v>
      </c>
      <c r="I19" s="39" t="s">
        <v>4226</v>
      </c>
      <c r="J19" s="289"/>
      <c r="K19" s="25"/>
      <c r="L19" s="57"/>
      <c r="M19" s="26"/>
      <c r="N19" s="100"/>
      <c r="O19" s="28" t="s">
        <v>140</v>
      </c>
      <c r="P19" s="28"/>
      <c r="Q19" s="25" t="s">
        <v>282</v>
      </c>
      <c r="R19" s="25"/>
      <c r="S19" s="25"/>
      <c r="T19" s="65"/>
      <c r="U19" s="65"/>
      <c r="V19" s="65"/>
      <c r="W19" s="65"/>
      <c r="X19" s="65"/>
      <c r="Y19" s="65"/>
      <c r="Z19" s="65"/>
      <c r="AA19" s="65"/>
    </row>
    <row r="20" spans="1:27" ht="45">
      <c r="A20" s="345"/>
      <c r="B20" s="345"/>
      <c r="C20" s="74">
        <v>17</v>
      </c>
      <c r="D20" s="345"/>
      <c r="E20" s="345"/>
      <c r="F20" s="345"/>
      <c r="G20" s="345"/>
      <c r="H20" s="47" t="s">
        <v>4212</v>
      </c>
      <c r="I20" s="39" t="s">
        <v>4213</v>
      </c>
      <c r="J20" s="289"/>
      <c r="K20" s="25"/>
      <c r="L20" s="57"/>
      <c r="M20" s="26"/>
      <c r="N20" s="100"/>
      <c r="O20" s="28" t="s">
        <v>140</v>
      </c>
      <c r="P20" s="28"/>
      <c r="Q20" s="25" t="s">
        <v>282</v>
      </c>
      <c r="R20" s="25"/>
      <c r="S20" s="25"/>
      <c r="T20" s="65"/>
      <c r="U20" s="65"/>
      <c r="V20" s="65"/>
      <c r="W20" s="65"/>
      <c r="X20" s="65"/>
      <c r="Y20" s="65"/>
      <c r="Z20" s="65"/>
      <c r="AA20" s="65"/>
    </row>
    <row r="21" spans="1:27" ht="15.75" customHeight="1">
      <c r="A21" s="364" t="s">
        <v>4229</v>
      </c>
      <c r="B21" s="363" t="s">
        <v>76</v>
      </c>
      <c r="C21" s="74">
        <v>1</v>
      </c>
      <c r="D21" s="364" t="s">
        <v>4229</v>
      </c>
      <c r="E21" s="80" t="s">
        <v>3900</v>
      </c>
      <c r="F21" s="74" t="s">
        <v>326</v>
      </c>
      <c r="G21" s="74" t="s">
        <v>327</v>
      </c>
      <c r="H21" s="47" t="s">
        <v>4230</v>
      </c>
      <c r="I21" s="47" t="s">
        <v>4231</v>
      </c>
      <c r="J21" s="168"/>
      <c r="K21" s="25"/>
      <c r="L21" s="57"/>
      <c r="M21" s="26"/>
      <c r="N21" s="197"/>
      <c r="O21" s="28" t="s">
        <v>140</v>
      </c>
      <c r="P21" s="28"/>
      <c r="Q21" s="25" t="s">
        <v>282</v>
      </c>
      <c r="R21" s="50"/>
      <c r="S21" s="25"/>
      <c r="T21" s="51"/>
      <c r="U21" s="51"/>
      <c r="V21" s="51"/>
      <c r="W21" s="51"/>
      <c r="X21" s="51"/>
      <c r="Y21" s="51"/>
      <c r="Z21" s="51"/>
      <c r="AA21" s="51"/>
    </row>
    <row r="22" spans="1:27" ht="15.75" customHeight="1">
      <c r="A22" s="344"/>
      <c r="B22" s="344"/>
      <c r="C22" s="74">
        <v>2</v>
      </c>
      <c r="D22" s="344"/>
      <c r="E22" s="80" t="s">
        <v>3903</v>
      </c>
      <c r="F22" s="74" t="s">
        <v>326</v>
      </c>
      <c r="G22" s="74" t="s">
        <v>327</v>
      </c>
      <c r="H22" s="47" t="s">
        <v>4230</v>
      </c>
      <c r="I22" s="47" t="s">
        <v>4231</v>
      </c>
      <c r="J22" s="168"/>
      <c r="K22" s="25"/>
      <c r="L22" s="57"/>
      <c r="M22" s="26"/>
      <c r="N22" s="197"/>
      <c r="O22" s="28" t="s">
        <v>140</v>
      </c>
      <c r="P22" s="28"/>
      <c r="Q22" s="25" t="s">
        <v>282</v>
      </c>
      <c r="R22" s="50"/>
      <c r="S22" s="25"/>
      <c r="T22" s="51"/>
      <c r="U22" s="51"/>
      <c r="V22" s="51"/>
      <c r="W22" s="51"/>
      <c r="X22" s="51"/>
      <c r="Y22" s="51"/>
      <c r="Z22" s="51"/>
      <c r="AA22" s="51"/>
    </row>
    <row r="23" spans="1:27" ht="15.75" customHeight="1">
      <c r="A23" s="344"/>
      <c r="B23" s="344"/>
      <c r="C23" s="74">
        <v>3</v>
      </c>
      <c r="D23" s="344"/>
      <c r="E23" s="80" t="s">
        <v>3904</v>
      </c>
      <c r="F23" s="74" t="s">
        <v>326</v>
      </c>
      <c r="G23" s="74" t="s">
        <v>327</v>
      </c>
      <c r="H23" s="47" t="s">
        <v>4230</v>
      </c>
      <c r="I23" s="47" t="s">
        <v>4231</v>
      </c>
      <c r="J23" s="168"/>
      <c r="K23" s="25"/>
      <c r="L23" s="57"/>
      <c r="M23" s="26"/>
      <c r="N23" s="197"/>
      <c r="O23" s="28" t="s">
        <v>140</v>
      </c>
      <c r="P23" s="28"/>
      <c r="Q23" s="25" t="s">
        <v>282</v>
      </c>
      <c r="R23" s="50"/>
      <c r="S23" s="25"/>
      <c r="T23" s="51"/>
      <c r="U23" s="51"/>
      <c r="V23" s="51"/>
      <c r="W23" s="51"/>
      <c r="X23" s="51"/>
      <c r="Y23" s="51"/>
      <c r="Z23" s="51"/>
      <c r="AA23" s="51"/>
    </row>
    <row r="24" spans="1:27" ht="15.75" customHeight="1">
      <c r="A24" s="344"/>
      <c r="B24" s="344"/>
      <c r="C24" s="74">
        <v>4</v>
      </c>
      <c r="D24" s="344"/>
      <c r="E24" s="80" t="s">
        <v>3905</v>
      </c>
      <c r="F24" s="74" t="s">
        <v>326</v>
      </c>
      <c r="G24" s="74" t="s">
        <v>327</v>
      </c>
      <c r="H24" s="47" t="s">
        <v>4230</v>
      </c>
      <c r="I24" s="47" t="s">
        <v>4231</v>
      </c>
      <c r="J24" s="168"/>
      <c r="K24" s="25"/>
      <c r="L24" s="57"/>
      <c r="M24" s="26"/>
      <c r="N24" s="100"/>
      <c r="O24" s="28" t="s">
        <v>140</v>
      </c>
      <c r="P24" s="28"/>
      <c r="Q24" s="25" t="s">
        <v>282</v>
      </c>
      <c r="R24" s="25" t="s">
        <v>7</v>
      </c>
      <c r="S24" s="25"/>
      <c r="T24" s="51"/>
      <c r="U24" s="51"/>
      <c r="V24" s="51"/>
      <c r="W24" s="51"/>
      <c r="X24" s="51"/>
      <c r="Y24" s="51"/>
      <c r="Z24" s="51"/>
      <c r="AA24" s="51"/>
    </row>
    <row r="25" spans="1:27" ht="15.75" customHeight="1">
      <c r="A25" s="344"/>
      <c r="B25" s="344"/>
      <c r="C25" s="74">
        <v>5</v>
      </c>
      <c r="D25" s="344"/>
      <c r="E25" s="80" t="s">
        <v>4232</v>
      </c>
      <c r="F25" s="74" t="s">
        <v>326</v>
      </c>
      <c r="G25" s="74" t="s">
        <v>327</v>
      </c>
      <c r="H25" s="47" t="s">
        <v>4230</v>
      </c>
      <c r="I25" s="47" t="s">
        <v>4231</v>
      </c>
      <c r="J25" s="168"/>
      <c r="K25" s="25"/>
      <c r="L25" s="57"/>
      <c r="M25" s="26"/>
      <c r="N25" s="100"/>
      <c r="O25" s="28" t="s">
        <v>140</v>
      </c>
      <c r="P25" s="28"/>
      <c r="Q25" s="25" t="s">
        <v>282</v>
      </c>
      <c r="R25" s="25" t="s">
        <v>298</v>
      </c>
      <c r="S25" s="25"/>
      <c r="T25" s="51"/>
      <c r="U25" s="51"/>
      <c r="V25" s="51"/>
      <c r="W25" s="51"/>
      <c r="X25" s="51"/>
      <c r="Y25" s="51"/>
      <c r="Z25" s="51"/>
      <c r="AA25" s="51"/>
    </row>
    <row r="26" spans="1:27" ht="15.75" customHeight="1">
      <c r="A26" s="344"/>
      <c r="B26" s="344"/>
      <c r="C26" s="74">
        <v>6</v>
      </c>
      <c r="D26" s="344"/>
      <c r="E26" s="80" t="s">
        <v>3906</v>
      </c>
      <c r="F26" s="74" t="s">
        <v>326</v>
      </c>
      <c r="G26" s="74" t="s">
        <v>327</v>
      </c>
      <c r="H26" s="47" t="s">
        <v>4230</v>
      </c>
      <c r="I26" s="47" t="s">
        <v>4231</v>
      </c>
      <c r="J26" s="168"/>
      <c r="K26" s="25"/>
      <c r="L26" s="57"/>
      <c r="M26" s="26"/>
      <c r="N26" s="100"/>
      <c r="O26" s="28" t="s">
        <v>140</v>
      </c>
      <c r="P26" s="28"/>
      <c r="Q26" s="25" t="s">
        <v>282</v>
      </c>
      <c r="R26" s="25" t="s">
        <v>7</v>
      </c>
      <c r="S26" s="25"/>
      <c r="T26" s="51"/>
      <c r="U26" s="51"/>
      <c r="V26" s="51"/>
      <c r="W26" s="51"/>
      <c r="X26" s="51"/>
      <c r="Y26" s="51"/>
      <c r="Z26" s="51"/>
      <c r="AA26" s="51"/>
    </row>
    <row r="27" spans="1:27" ht="15.75" customHeight="1">
      <c r="A27" s="344"/>
      <c r="B27" s="344"/>
      <c r="C27" s="74">
        <v>7</v>
      </c>
      <c r="D27" s="344"/>
      <c r="E27" s="80" t="s">
        <v>3907</v>
      </c>
      <c r="F27" s="74" t="s">
        <v>326</v>
      </c>
      <c r="G27" s="74" t="s">
        <v>327</v>
      </c>
      <c r="H27" s="47" t="s">
        <v>4230</v>
      </c>
      <c r="I27" s="47" t="s">
        <v>4231</v>
      </c>
      <c r="J27" s="168"/>
      <c r="K27" s="25"/>
      <c r="L27" s="57"/>
      <c r="M27" s="26"/>
      <c r="N27" s="100"/>
      <c r="O27" s="28" t="s">
        <v>140</v>
      </c>
      <c r="P27" s="28"/>
      <c r="Q27" s="25" t="s">
        <v>282</v>
      </c>
      <c r="R27" s="25" t="s">
        <v>7</v>
      </c>
      <c r="S27" s="25"/>
      <c r="T27" s="51"/>
      <c r="U27" s="51"/>
      <c r="V27" s="51"/>
      <c r="W27" s="51"/>
      <c r="X27" s="51"/>
      <c r="Y27" s="51"/>
      <c r="Z27" s="51"/>
      <c r="AA27" s="51"/>
    </row>
    <row r="28" spans="1:27" ht="15.75" customHeight="1">
      <c r="A28" s="344"/>
      <c r="B28" s="344"/>
      <c r="C28" s="74">
        <v>8</v>
      </c>
      <c r="D28" s="344"/>
      <c r="E28" s="80" t="s">
        <v>3908</v>
      </c>
      <c r="F28" s="74" t="s">
        <v>326</v>
      </c>
      <c r="G28" s="74" t="s">
        <v>327</v>
      </c>
      <c r="H28" s="47" t="s">
        <v>4230</v>
      </c>
      <c r="I28" s="47" t="s">
        <v>4231</v>
      </c>
      <c r="J28" s="168"/>
      <c r="K28" s="25"/>
      <c r="L28" s="57"/>
      <c r="M28" s="26"/>
      <c r="N28" s="197"/>
      <c r="O28" s="28" t="s">
        <v>140</v>
      </c>
      <c r="P28" s="28"/>
      <c r="Q28" s="25" t="s">
        <v>282</v>
      </c>
      <c r="R28" s="50"/>
      <c r="S28" s="25"/>
      <c r="T28" s="51"/>
      <c r="U28" s="51"/>
      <c r="V28" s="51"/>
      <c r="W28" s="51"/>
      <c r="X28" s="51"/>
      <c r="Y28" s="51"/>
      <c r="Z28" s="51"/>
      <c r="AA28" s="51"/>
    </row>
    <row r="29" spans="1:27" ht="15.75" customHeight="1">
      <c r="A29" s="353"/>
      <c r="B29" s="353"/>
      <c r="C29" s="86">
        <v>9</v>
      </c>
      <c r="D29" s="353"/>
      <c r="E29" s="181" t="s">
        <v>3909</v>
      </c>
      <c r="F29" s="86" t="s">
        <v>326</v>
      </c>
      <c r="G29" s="86" t="s">
        <v>327</v>
      </c>
      <c r="H29" s="175" t="s">
        <v>4230</v>
      </c>
      <c r="I29" s="47" t="s">
        <v>4231</v>
      </c>
      <c r="J29" s="168"/>
      <c r="K29" s="25"/>
      <c r="L29" s="57"/>
      <c r="M29" s="26"/>
      <c r="N29" s="197"/>
      <c r="O29" s="28" t="s">
        <v>140</v>
      </c>
      <c r="P29" s="28"/>
      <c r="Q29" s="25" t="s">
        <v>282</v>
      </c>
      <c r="R29" s="25" t="s">
        <v>305</v>
      </c>
      <c r="S29" s="25"/>
      <c r="T29" s="51"/>
      <c r="U29" s="51"/>
      <c r="V29" s="51"/>
      <c r="W29" s="51"/>
      <c r="X29" s="51"/>
      <c r="Y29" s="51"/>
      <c r="Z29" s="51"/>
      <c r="AA29" s="51"/>
    </row>
    <row r="30" spans="1:27" ht="15.75" customHeight="1">
      <c r="A30" s="372" t="s">
        <v>4233</v>
      </c>
      <c r="B30" s="363" t="s">
        <v>4234</v>
      </c>
      <c r="C30" s="74">
        <v>1</v>
      </c>
      <c r="D30" s="372" t="s">
        <v>4235</v>
      </c>
      <c r="E30" s="80" t="s">
        <v>3900</v>
      </c>
      <c r="F30" s="74" t="s">
        <v>326</v>
      </c>
      <c r="G30" s="74" t="s">
        <v>327</v>
      </c>
      <c r="H30" s="47" t="s">
        <v>4236</v>
      </c>
      <c r="I30" s="47" t="s">
        <v>4237</v>
      </c>
      <c r="J30" s="168"/>
      <c r="K30" s="25"/>
      <c r="L30" s="57"/>
      <c r="M30" s="26"/>
      <c r="N30" s="100"/>
      <c r="O30" s="25"/>
      <c r="P30" s="25"/>
      <c r="Q30" s="25" t="s">
        <v>282</v>
      </c>
      <c r="R30" s="25"/>
      <c r="S30" s="25"/>
      <c r="T30" s="30"/>
      <c r="U30" s="30"/>
      <c r="V30" s="30"/>
      <c r="W30" s="30"/>
      <c r="X30" s="30"/>
      <c r="Y30" s="30"/>
      <c r="Z30" s="30"/>
      <c r="AA30" s="30"/>
    </row>
    <row r="31" spans="1:27" ht="15.75" customHeight="1">
      <c r="A31" s="344"/>
      <c r="B31" s="344"/>
      <c r="C31" s="74">
        <v>2</v>
      </c>
      <c r="D31" s="344"/>
      <c r="E31" s="80" t="s">
        <v>4238</v>
      </c>
      <c r="F31" s="74" t="s">
        <v>326</v>
      </c>
      <c r="G31" s="74" t="s">
        <v>327</v>
      </c>
      <c r="H31" s="47" t="s">
        <v>4239</v>
      </c>
      <c r="I31" s="47" t="s">
        <v>4240</v>
      </c>
      <c r="J31" s="168"/>
      <c r="K31" s="25"/>
      <c r="L31" s="57"/>
      <c r="M31" s="26"/>
      <c r="N31" s="100"/>
      <c r="O31" s="25"/>
      <c r="P31" s="25"/>
      <c r="Q31" s="25" t="s">
        <v>282</v>
      </c>
      <c r="R31" s="25"/>
      <c r="S31" s="25"/>
      <c r="T31" s="30"/>
      <c r="U31" s="30"/>
      <c r="V31" s="30"/>
      <c r="W31" s="30"/>
      <c r="X31" s="30"/>
      <c r="Y31" s="30"/>
      <c r="Z31" s="30"/>
      <c r="AA31" s="30"/>
    </row>
    <row r="32" spans="1:27" ht="15.75" customHeight="1">
      <c r="A32" s="344"/>
      <c r="B32" s="344"/>
      <c r="C32" s="74">
        <v>3</v>
      </c>
      <c r="D32" s="344"/>
      <c r="E32" s="80" t="s">
        <v>4241</v>
      </c>
      <c r="F32" s="74" t="s">
        <v>326</v>
      </c>
      <c r="G32" s="74" t="s">
        <v>327</v>
      </c>
      <c r="H32" s="47" t="s">
        <v>4242</v>
      </c>
      <c r="I32" s="47" t="s">
        <v>4240</v>
      </c>
      <c r="J32" s="168"/>
      <c r="K32" s="25"/>
      <c r="L32" s="57"/>
      <c r="M32" s="26"/>
      <c r="N32" s="100"/>
      <c r="O32" s="25"/>
      <c r="P32" s="25"/>
      <c r="Q32" s="25" t="s">
        <v>282</v>
      </c>
      <c r="R32" s="25"/>
      <c r="S32" s="25"/>
      <c r="T32" s="30"/>
      <c r="U32" s="30"/>
      <c r="V32" s="30"/>
      <c r="W32" s="30"/>
      <c r="X32" s="30"/>
      <c r="Y32" s="30"/>
      <c r="Z32" s="30"/>
      <c r="AA32" s="30"/>
    </row>
    <row r="33" spans="1:27" ht="15.75" customHeight="1">
      <c r="A33" s="344"/>
      <c r="B33" s="344"/>
      <c r="C33" s="74">
        <v>4</v>
      </c>
      <c r="D33" s="344"/>
      <c r="E33" s="80" t="s">
        <v>4243</v>
      </c>
      <c r="F33" s="74" t="s">
        <v>326</v>
      </c>
      <c r="G33" s="74" t="s">
        <v>327</v>
      </c>
      <c r="H33" s="47" t="s">
        <v>4244</v>
      </c>
      <c r="I33" s="47" t="s">
        <v>4245</v>
      </c>
      <c r="J33" s="168"/>
      <c r="K33" s="25"/>
      <c r="L33" s="57"/>
      <c r="M33" s="26"/>
      <c r="N33" s="100"/>
      <c r="O33" s="25"/>
      <c r="P33" s="25"/>
      <c r="Q33" s="25" t="s">
        <v>282</v>
      </c>
      <c r="R33" s="25"/>
      <c r="S33" s="25"/>
      <c r="T33" s="30"/>
      <c r="U33" s="30"/>
      <c r="V33" s="30"/>
      <c r="W33" s="30"/>
      <c r="X33" s="30"/>
      <c r="Y33" s="30"/>
      <c r="Z33" s="30"/>
      <c r="AA33" s="30"/>
    </row>
    <row r="34" spans="1:27" ht="15.75" customHeight="1">
      <c r="A34" s="345"/>
      <c r="B34" s="345"/>
      <c r="C34" s="74">
        <v>5</v>
      </c>
      <c r="D34" s="345"/>
      <c r="E34" s="80" t="s">
        <v>4246</v>
      </c>
      <c r="F34" s="74" t="s">
        <v>326</v>
      </c>
      <c r="G34" s="74" t="s">
        <v>327</v>
      </c>
      <c r="H34" s="47" t="s">
        <v>4247</v>
      </c>
      <c r="I34" s="47" t="s">
        <v>4248</v>
      </c>
      <c r="J34" s="168"/>
      <c r="K34" s="25"/>
      <c r="L34" s="57"/>
      <c r="M34" s="26"/>
      <c r="N34" s="100"/>
      <c r="O34" s="25"/>
      <c r="P34" s="25"/>
      <c r="Q34" s="25" t="s">
        <v>282</v>
      </c>
      <c r="R34" s="25" t="s">
        <v>7</v>
      </c>
      <c r="S34" s="25"/>
      <c r="T34" s="30"/>
      <c r="U34" s="30"/>
      <c r="V34" s="30"/>
      <c r="W34" s="30"/>
      <c r="X34" s="30"/>
      <c r="Y34" s="30"/>
      <c r="Z34" s="30"/>
      <c r="AA34" s="30"/>
    </row>
    <row r="35" spans="1:27" ht="15.75" customHeight="1">
      <c r="A35" s="372" t="s">
        <v>4249</v>
      </c>
      <c r="B35" s="363" t="s">
        <v>4250</v>
      </c>
      <c r="C35" s="74">
        <v>1</v>
      </c>
      <c r="D35" s="372" t="s">
        <v>4251</v>
      </c>
      <c r="E35" s="80" t="s">
        <v>3905</v>
      </c>
      <c r="F35" s="74" t="s">
        <v>326</v>
      </c>
      <c r="G35" s="74" t="s">
        <v>327</v>
      </c>
      <c r="H35" s="47" t="s">
        <v>4236</v>
      </c>
      <c r="I35" s="47" t="s">
        <v>4252</v>
      </c>
      <c r="J35" s="168"/>
      <c r="K35" s="25"/>
      <c r="L35" s="57"/>
      <c r="M35" s="26"/>
      <c r="N35" s="100"/>
      <c r="O35" s="25"/>
      <c r="P35" s="25"/>
      <c r="Q35" s="25" t="s">
        <v>282</v>
      </c>
      <c r="R35" s="25" t="s">
        <v>7</v>
      </c>
      <c r="S35" s="25"/>
      <c r="T35" s="30"/>
      <c r="U35" s="30"/>
      <c r="V35" s="30"/>
      <c r="W35" s="30"/>
      <c r="X35" s="30"/>
      <c r="Y35" s="30"/>
      <c r="Z35" s="30"/>
      <c r="AA35" s="30"/>
    </row>
    <row r="36" spans="1:27" ht="15.75" customHeight="1">
      <c r="A36" s="344"/>
      <c r="B36" s="344"/>
      <c r="C36" s="74">
        <v>2</v>
      </c>
      <c r="D36" s="344"/>
      <c r="E36" s="80" t="s">
        <v>4253</v>
      </c>
      <c r="F36" s="74" t="s">
        <v>326</v>
      </c>
      <c r="G36" s="74" t="s">
        <v>327</v>
      </c>
      <c r="H36" s="47" t="s">
        <v>4254</v>
      </c>
      <c r="I36" s="47" t="s">
        <v>4255</v>
      </c>
      <c r="J36" s="168"/>
      <c r="K36" s="25"/>
      <c r="L36" s="57"/>
      <c r="M36" s="26"/>
      <c r="N36" s="100"/>
      <c r="O36" s="25"/>
      <c r="P36" s="25"/>
      <c r="Q36" s="25" t="s">
        <v>282</v>
      </c>
      <c r="R36" s="25" t="s">
        <v>7</v>
      </c>
      <c r="S36" s="25"/>
      <c r="T36" s="30"/>
      <c r="U36" s="30"/>
      <c r="V36" s="30"/>
      <c r="W36" s="30"/>
      <c r="X36" s="30"/>
      <c r="Y36" s="30"/>
      <c r="Z36" s="30"/>
      <c r="AA36" s="30"/>
    </row>
    <row r="37" spans="1:27" ht="15.75" customHeight="1">
      <c r="A37" s="345"/>
      <c r="B37" s="345"/>
      <c r="C37" s="74">
        <v>3</v>
      </c>
      <c r="D37" s="345"/>
      <c r="E37" s="80" t="s">
        <v>4256</v>
      </c>
      <c r="F37" s="74" t="s">
        <v>326</v>
      </c>
      <c r="G37" s="74" t="s">
        <v>327</v>
      </c>
      <c r="H37" s="47" t="s">
        <v>4257</v>
      </c>
      <c r="I37" s="47" t="s">
        <v>4255</v>
      </c>
      <c r="J37" s="168"/>
      <c r="K37" s="25"/>
      <c r="L37" s="57"/>
      <c r="M37" s="26"/>
      <c r="N37" s="100"/>
      <c r="O37" s="25"/>
      <c r="P37" s="25"/>
      <c r="Q37" s="25" t="s">
        <v>282</v>
      </c>
      <c r="R37" s="25" t="s">
        <v>7</v>
      </c>
      <c r="S37" s="25"/>
      <c r="T37" s="30"/>
      <c r="U37" s="30"/>
      <c r="V37" s="30"/>
      <c r="W37" s="30"/>
      <c r="X37" s="30"/>
      <c r="Y37" s="30"/>
      <c r="Z37" s="30"/>
      <c r="AA37" s="30"/>
    </row>
    <row r="38" spans="1:27" ht="15.75" customHeight="1">
      <c r="A38" s="364" t="s">
        <v>4258</v>
      </c>
      <c r="B38" s="363" t="s">
        <v>77</v>
      </c>
      <c r="C38" s="74">
        <v>1</v>
      </c>
      <c r="D38" s="364" t="s">
        <v>4259</v>
      </c>
      <c r="E38" s="80" t="s">
        <v>4260</v>
      </c>
      <c r="F38" s="74" t="s">
        <v>326</v>
      </c>
      <c r="G38" s="74" t="s">
        <v>327</v>
      </c>
      <c r="H38" s="47" t="s">
        <v>4261</v>
      </c>
      <c r="I38" s="47" t="s">
        <v>4262</v>
      </c>
      <c r="J38" s="168"/>
      <c r="K38" s="25"/>
      <c r="L38" s="57"/>
      <c r="M38" s="26"/>
      <c r="N38" s="100"/>
      <c r="O38" s="25"/>
      <c r="P38" s="25"/>
      <c r="Q38" s="25" t="s">
        <v>282</v>
      </c>
      <c r="R38" s="25" t="s">
        <v>298</v>
      </c>
      <c r="S38" s="25"/>
      <c r="T38" s="30"/>
      <c r="U38" s="30"/>
      <c r="V38" s="30"/>
      <c r="W38" s="30"/>
      <c r="X38" s="30"/>
      <c r="Y38" s="30"/>
      <c r="Z38" s="30"/>
      <c r="AA38" s="30"/>
    </row>
    <row r="39" spans="1:27" ht="15.75" customHeight="1">
      <c r="A39" s="345"/>
      <c r="B39" s="345"/>
      <c r="C39" s="74">
        <v>2</v>
      </c>
      <c r="D39" s="345"/>
      <c r="E39" s="80" t="s">
        <v>4256</v>
      </c>
      <c r="F39" s="74" t="s">
        <v>326</v>
      </c>
      <c r="G39" s="74" t="s">
        <v>327</v>
      </c>
      <c r="H39" s="47" t="s">
        <v>4263</v>
      </c>
      <c r="I39" s="47" t="s">
        <v>4264</v>
      </c>
      <c r="J39" s="168"/>
      <c r="K39" s="25"/>
      <c r="L39" s="57"/>
      <c r="M39" s="26"/>
      <c r="N39" s="100"/>
      <c r="O39" s="25"/>
      <c r="P39" s="25"/>
      <c r="Q39" s="25" t="s">
        <v>282</v>
      </c>
      <c r="R39" s="25" t="s">
        <v>298</v>
      </c>
      <c r="S39" s="25"/>
      <c r="T39" s="30"/>
      <c r="U39" s="30"/>
      <c r="V39" s="30"/>
      <c r="W39" s="30"/>
      <c r="X39" s="30"/>
      <c r="Y39" s="30"/>
      <c r="Z39" s="30"/>
      <c r="AA39" s="30"/>
    </row>
    <row r="40" spans="1:27" ht="15.75" customHeight="1">
      <c r="A40" s="351" t="s">
        <v>4265</v>
      </c>
      <c r="B40" s="354" t="s">
        <v>242</v>
      </c>
      <c r="C40" s="86">
        <v>1</v>
      </c>
      <c r="D40" s="351" t="s">
        <v>4266</v>
      </c>
      <c r="E40" s="181" t="s">
        <v>4267</v>
      </c>
      <c r="F40" s="86" t="s">
        <v>326</v>
      </c>
      <c r="G40" s="86" t="s">
        <v>327</v>
      </c>
      <c r="H40" s="175" t="s">
        <v>4268</v>
      </c>
      <c r="I40" s="35" t="s">
        <v>4269</v>
      </c>
      <c r="J40" s="172"/>
      <c r="K40" s="25"/>
      <c r="L40" s="57"/>
      <c r="M40" s="26" t="s">
        <v>1389</v>
      </c>
      <c r="N40" s="100"/>
      <c r="O40" s="25"/>
      <c r="P40" s="25"/>
      <c r="Q40" s="25" t="s">
        <v>282</v>
      </c>
      <c r="R40" s="25" t="s">
        <v>308</v>
      </c>
      <c r="S40" s="25"/>
      <c r="T40" s="30"/>
      <c r="U40" s="30"/>
      <c r="V40" s="30"/>
      <c r="W40" s="30"/>
      <c r="X40" s="30"/>
      <c r="Y40" s="30"/>
      <c r="Z40" s="30"/>
      <c r="AA40" s="30"/>
    </row>
    <row r="41" spans="1:27" ht="15.75" customHeight="1">
      <c r="A41" s="353"/>
      <c r="B41" s="353"/>
      <c r="C41" s="86">
        <v>2</v>
      </c>
      <c r="D41" s="353"/>
      <c r="E41" s="181" t="s">
        <v>4256</v>
      </c>
      <c r="F41" s="86" t="s">
        <v>326</v>
      </c>
      <c r="G41" s="86" t="s">
        <v>327</v>
      </c>
      <c r="H41" s="175" t="s">
        <v>4270</v>
      </c>
      <c r="I41" s="35" t="s">
        <v>4271</v>
      </c>
      <c r="J41" s="172"/>
      <c r="K41" s="25"/>
      <c r="L41" s="57"/>
      <c r="M41" s="26" t="s">
        <v>1389</v>
      </c>
      <c r="N41" s="100"/>
      <c r="O41" s="25"/>
      <c r="P41" s="25"/>
      <c r="Q41" s="25" t="s">
        <v>282</v>
      </c>
      <c r="R41" s="25" t="s">
        <v>308</v>
      </c>
      <c r="S41" s="25"/>
      <c r="T41" s="30"/>
      <c r="U41" s="30"/>
      <c r="V41" s="30"/>
      <c r="W41" s="30"/>
      <c r="X41" s="30"/>
      <c r="Y41" s="30"/>
      <c r="Z41" s="30"/>
      <c r="AA41" s="30"/>
    </row>
    <row r="42" spans="1:27" ht="15.75" customHeight="1">
      <c r="A42" s="324" t="s">
        <v>4272</v>
      </c>
      <c r="B42" s="143" t="s">
        <v>205</v>
      </c>
      <c r="C42" s="86">
        <v>1</v>
      </c>
      <c r="D42" s="324" t="s">
        <v>4273</v>
      </c>
      <c r="E42" s="181" t="s">
        <v>3909</v>
      </c>
      <c r="F42" s="86" t="s">
        <v>326</v>
      </c>
      <c r="G42" s="86" t="s">
        <v>327</v>
      </c>
      <c r="H42" s="175" t="s">
        <v>4274</v>
      </c>
      <c r="I42" s="63" t="s">
        <v>4275</v>
      </c>
      <c r="J42" s="171"/>
      <c r="K42" s="25"/>
      <c r="L42" s="57"/>
      <c r="M42" s="26"/>
      <c r="N42" s="100"/>
      <c r="O42" s="25"/>
      <c r="P42" s="25"/>
      <c r="Q42" s="25" t="s">
        <v>282</v>
      </c>
      <c r="R42" s="25" t="s">
        <v>305</v>
      </c>
      <c r="S42" s="25"/>
      <c r="T42" s="30"/>
      <c r="U42" s="30"/>
      <c r="V42" s="30"/>
      <c r="W42" s="30"/>
      <c r="X42" s="30"/>
      <c r="Y42" s="30"/>
      <c r="Z42" s="30"/>
      <c r="AA42" s="30"/>
    </row>
    <row r="43" spans="1:27" ht="15.75" customHeight="1">
      <c r="A43" s="355" t="s">
        <v>4276</v>
      </c>
      <c r="B43" s="350" t="s">
        <v>100</v>
      </c>
      <c r="C43" s="74">
        <v>1</v>
      </c>
      <c r="D43" s="364" t="s">
        <v>4277</v>
      </c>
      <c r="E43" s="47" t="s">
        <v>4278</v>
      </c>
      <c r="F43" s="74" t="s">
        <v>326</v>
      </c>
      <c r="G43" s="74" t="s">
        <v>327</v>
      </c>
      <c r="H43" s="80" t="s">
        <v>4279</v>
      </c>
      <c r="I43" s="73" t="s">
        <v>4280</v>
      </c>
      <c r="J43" s="79"/>
      <c r="K43" s="25"/>
      <c r="L43" s="57"/>
      <c r="M43" s="43"/>
      <c r="N43" s="55"/>
      <c r="O43" s="28" t="s">
        <v>140</v>
      </c>
      <c r="P43" s="28"/>
      <c r="Q43" s="25" t="s">
        <v>282</v>
      </c>
      <c r="R43" s="25"/>
      <c r="S43" s="25"/>
      <c r="T43" s="65"/>
      <c r="U43" s="65"/>
      <c r="V43" s="65"/>
      <c r="W43" s="65"/>
      <c r="X43" s="65"/>
      <c r="Y43" s="65"/>
      <c r="Z43" s="65"/>
      <c r="AA43" s="65"/>
    </row>
    <row r="44" spans="1:27" ht="15.75" customHeight="1">
      <c r="A44" s="344"/>
      <c r="B44" s="344"/>
      <c r="C44" s="74">
        <v>2</v>
      </c>
      <c r="D44" s="344"/>
      <c r="E44" s="47" t="s">
        <v>4281</v>
      </c>
      <c r="F44" s="74" t="s">
        <v>326</v>
      </c>
      <c r="G44" s="74" t="s">
        <v>327</v>
      </c>
      <c r="H44" s="80" t="s">
        <v>4282</v>
      </c>
      <c r="I44" s="73" t="s">
        <v>4280</v>
      </c>
      <c r="J44" s="79"/>
      <c r="K44" s="25"/>
      <c r="L44" s="57"/>
      <c r="M44" s="43"/>
      <c r="N44" s="55"/>
      <c r="O44" s="28" t="s">
        <v>140</v>
      </c>
      <c r="P44" s="28"/>
      <c r="Q44" s="25" t="s">
        <v>282</v>
      </c>
      <c r="R44" s="25"/>
      <c r="S44" s="25"/>
      <c r="T44" s="65"/>
      <c r="U44" s="65"/>
      <c r="V44" s="65"/>
      <c r="W44" s="65"/>
      <c r="X44" s="65"/>
      <c r="Y44" s="65"/>
      <c r="Z44" s="65"/>
      <c r="AA44" s="65"/>
    </row>
    <row r="45" spans="1:27" ht="15.75" customHeight="1">
      <c r="A45" s="344"/>
      <c r="B45" s="344"/>
      <c r="C45" s="74">
        <v>3</v>
      </c>
      <c r="D45" s="344"/>
      <c r="E45" s="47" t="s">
        <v>4283</v>
      </c>
      <c r="F45" s="74" t="s">
        <v>326</v>
      </c>
      <c r="G45" s="74" t="s">
        <v>327</v>
      </c>
      <c r="H45" s="80" t="s">
        <v>4284</v>
      </c>
      <c r="I45" s="73" t="s">
        <v>4280</v>
      </c>
      <c r="J45" s="79"/>
      <c r="K45" s="25"/>
      <c r="L45" s="57"/>
      <c r="M45" s="43"/>
      <c r="N45" s="55"/>
      <c r="O45" s="28" t="s">
        <v>140</v>
      </c>
      <c r="P45" s="28"/>
      <c r="Q45" s="25" t="s">
        <v>282</v>
      </c>
      <c r="R45" s="25"/>
      <c r="S45" s="25"/>
      <c r="T45" s="65"/>
      <c r="U45" s="65"/>
      <c r="V45" s="65"/>
      <c r="W45" s="65"/>
      <c r="X45" s="65"/>
      <c r="Y45" s="65"/>
      <c r="Z45" s="65"/>
      <c r="AA45" s="65"/>
    </row>
    <row r="46" spans="1:27" ht="15.75" customHeight="1">
      <c r="A46" s="344"/>
      <c r="B46" s="344"/>
      <c r="C46" s="74">
        <v>4</v>
      </c>
      <c r="D46" s="344"/>
      <c r="E46" s="47" t="s">
        <v>4285</v>
      </c>
      <c r="F46" s="74" t="s">
        <v>326</v>
      </c>
      <c r="G46" s="74" t="s">
        <v>327</v>
      </c>
      <c r="H46" s="47" t="s">
        <v>4286</v>
      </c>
      <c r="I46" s="73" t="s">
        <v>4280</v>
      </c>
      <c r="J46" s="79"/>
      <c r="K46" s="25"/>
      <c r="L46" s="57"/>
      <c r="M46" s="43"/>
      <c r="N46" s="55"/>
      <c r="O46" s="28" t="s">
        <v>140</v>
      </c>
      <c r="P46" s="28"/>
      <c r="Q46" s="25" t="s">
        <v>282</v>
      </c>
      <c r="R46" s="25"/>
      <c r="S46" s="25"/>
      <c r="T46" s="65"/>
      <c r="U46" s="65"/>
      <c r="V46" s="65"/>
      <c r="W46" s="65"/>
      <c r="X46" s="65"/>
      <c r="Y46" s="65"/>
      <c r="Z46" s="65"/>
      <c r="AA46" s="65"/>
    </row>
    <row r="47" spans="1:27" ht="15.75" customHeight="1">
      <c r="A47" s="344"/>
      <c r="B47" s="344"/>
      <c r="C47" s="74">
        <v>5</v>
      </c>
      <c r="D47" s="344"/>
      <c r="E47" s="47" t="s">
        <v>4287</v>
      </c>
      <c r="F47" s="74" t="s">
        <v>326</v>
      </c>
      <c r="G47" s="74" t="s">
        <v>327</v>
      </c>
      <c r="H47" s="47" t="s">
        <v>4288</v>
      </c>
      <c r="I47" s="73" t="s">
        <v>4280</v>
      </c>
      <c r="J47" s="79"/>
      <c r="K47" s="25"/>
      <c r="L47" s="57"/>
      <c r="M47" s="43"/>
      <c r="N47" s="55"/>
      <c r="O47" s="28" t="s">
        <v>140</v>
      </c>
      <c r="P47" s="28"/>
      <c r="Q47" s="25" t="s">
        <v>282</v>
      </c>
      <c r="R47" s="25"/>
      <c r="S47" s="25"/>
      <c r="T47" s="65"/>
      <c r="U47" s="65"/>
      <c r="V47" s="65"/>
      <c r="W47" s="65"/>
      <c r="X47" s="65"/>
      <c r="Y47" s="65"/>
      <c r="Z47" s="65"/>
      <c r="AA47" s="65"/>
    </row>
    <row r="48" spans="1:27" ht="33" customHeight="1">
      <c r="A48" s="344"/>
      <c r="B48" s="344"/>
      <c r="C48" s="74">
        <v>6</v>
      </c>
      <c r="D48" s="344"/>
      <c r="E48" s="47" t="s">
        <v>4289</v>
      </c>
      <c r="F48" s="74" t="s">
        <v>326</v>
      </c>
      <c r="G48" s="74" t="s">
        <v>327</v>
      </c>
      <c r="H48" s="47" t="s">
        <v>4290</v>
      </c>
      <c r="I48" s="73" t="s">
        <v>4280</v>
      </c>
      <c r="J48" s="79"/>
      <c r="K48" s="25"/>
      <c r="L48" s="57"/>
      <c r="M48" s="43"/>
      <c r="N48" s="55"/>
      <c r="O48" s="28" t="s">
        <v>140</v>
      </c>
      <c r="P48" s="28"/>
      <c r="Q48" s="25" t="s">
        <v>282</v>
      </c>
      <c r="R48" s="25"/>
      <c r="S48" s="25"/>
      <c r="T48" s="65"/>
      <c r="U48" s="65"/>
      <c r="V48" s="65"/>
      <c r="W48" s="65"/>
      <c r="X48" s="65"/>
      <c r="Y48" s="65"/>
      <c r="Z48" s="65"/>
      <c r="AA48" s="65"/>
    </row>
    <row r="49" spans="1:27" ht="33" customHeight="1">
      <c r="A49" s="344"/>
      <c r="B49" s="344"/>
      <c r="C49" s="74">
        <v>7</v>
      </c>
      <c r="D49" s="344"/>
      <c r="E49" s="47" t="s">
        <v>4291</v>
      </c>
      <c r="F49" s="74" t="s">
        <v>326</v>
      </c>
      <c r="G49" s="74" t="s">
        <v>327</v>
      </c>
      <c r="H49" s="47" t="s">
        <v>4292</v>
      </c>
      <c r="I49" s="73" t="s">
        <v>4280</v>
      </c>
      <c r="J49" s="79"/>
      <c r="K49" s="25"/>
      <c r="L49" s="57"/>
      <c r="M49" s="43"/>
      <c r="N49" s="55"/>
      <c r="O49" s="28" t="s">
        <v>140</v>
      </c>
      <c r="P49" s="28"/>
      <c r="Q49" s="25" t="s">
        <v>282</v>
      </c>
      <c r="R49" s="25"/>
      <c r="S49" s="25"/>
      <c r="T49" s="65"/>
      <c r="U49" s="65"/>
      <c r="V49" s="65"/>
      <c r="W49" s="65"/>
      <c r="X49" s="65"/>
      <c r="Y49" s="65"/>
      <c r="Z49" s="65"/>
      <c r="AA49" s="65"/>
    </row>
    <row r="50" spans="1:27" ht="15.75" customHeight="1">
      <c r="A50" s="344"/>
      <c r="B50" s="344"/>
      <c r="C50" s="74">
        <v>8</v>
      </c>
      <c r="D50" s="344"/>
      <c r="E50" s="47" t="s">
        <v>4293</v>
      </c>
      <c r="F50" s="74" t="s">
        <v>326</v>
      </c>
      <c r="G50" s="74" t="s">
        <v>327</v>
      </c>
      <c r="H50" s="47" t="s">
        <v>4294</v>
      </c>
      <c r="I50" s="73" t="s">
        <v>4295</v>
      </c>
      <c r="J50" s="79"/>
      <c r="K50" s="25"/>
      <c r="L50" s="57"/>
      <c r="M50" s="43"/>
      <c r="N50" s="55"/>
      <c r="O50" s="28" t="s">
        <v>140</v>
      </c>
      <c r="P50" s="28"/>
      <c r="Q50" s="25" t="s">
        <v>282</v>
      </c>
      <c r="R50" s="25" t="s">
        <v>7</v>
      </c>
      <c r="S50" s="25"/>
      <c r="T50" s="65"/>
      <c r="U50" s="65"/>
      <c r="V50" s="65"/>
      <c r="W50" s="65"/>
      <c r="X50" s="65"/>
      <c r="Y50" s="65"/>
      <c r="Z50" s="65"/>
      <c r="AA50" s="65"/>
    </row>
    <row r="51" spans="1:27" ht="15.75" customHeight="1">
      <c r="A51" s="344"/>
      <c r="B51" s="344"/>
      <c r="C51" s="74">
        <v>9</v>
      </c>
      <c r="D51" s="344"/>
      <c r="E51" s="47" t="s">
        <v>4296</v>
      </c>
      <c r="F51" s="74" t="s">
        <v>326</v>
      </c>
      <c r="G51" s="74" t="s">
        <v>327</v>
      </c>
      <c r="H51" s="80" t="s">
        <v>4297</v>
      </c>
      <c r="I51" s="73" t="s">
        <v>4280</v>
      </c>
      <c r="J51" s="79"/>
      <c r="K51" s="25"/>
      <c r="L51" s="57"/>
      <c r="M51" s="43"/>
      <c r="N51" s="55"/>
      <c r="O51" s="28" t="s">
        <v>140</v>
      </c>
      <c r="P51" s="28"/>
      <c r="Q51" s="25" t="s">
        <v>282</v>
      </c>
      <c r="R51" s="25" t="s">
        <v>7</v>
      </c>
      <c r="S51" s="25"/>
      <c r="T51" s="65"/>
      <c r="U51" s="65"/>
      <c r="V51" s="65"/>
      <c r="W51" s="65"/>
      <c r="X51" s="65"/>
      <c r="Y51" s="65"/>
      <c r="Z51" s="65"/>
      <c r="AA51" s="65"/>
    </row>
    <row r="52" spans="1:27" ht="15.75" customHeight="1">
      <c r="A52" s="344"/>
      <c r="B52" s="344"/>
      <c r="C52" s="74">
        <v>10</v>
      </c>
      <c r="D52" s="344"/>
      <c r="E52" s="47" t="s">
        <v>4298</v>
      </c>
      <c r="F52" s="74" t="s">
        <v>326</v>
      </c>
      <c r="G52" s="74" t="s">
        <v>327</v>
      </c>
      <c r="H52" s="80" t="s">
        <v>4299</v>
      </c>
      <c r="I52" s="73" t="s">
        <v>4280</v>
      </c>
      <c r="J52" s="79"/>
      <c r="K52" s="25"/>
      <c r="L52" s="57"/>
      <c r="M52" s="43"/>
      <c r="N52" s="55"/>
      <c r="O52" s="28" t="s">
        <v>140</v>
      </c>
      <c r="P52" s="28"/>
      <c r="Q52" s="25" t="s">
        <v>282</v>
      </c>
      <c r="R52" s="25" t="s">
        <v>7</v>
      </c>
      <c r="S52" s="25"/>
      <c r="T52" s="65"/>
      <c r="U52" s="65"/>
      <c r="V52" s="65"/>
      <c r="W52" s="65"/>
      <c r="X52" s="65"/>
      <c r="Y52" s="65"/>
      <c r="Z52" s="65"/>
      <c r="AA52" s="65"/>
    </row>
    <row r="53" spans="1:27" ht="15.75" customHeight="1">
      <c r="A53" s="344"/>
      <c r="B53" s="344"/>
      <c r="C53" s="74">
        <v>11</v>
      </c>
      <c r="D53" s="344"/>
      <c r="E53" s="47" t="s">
        <v>4300</v>
      </c>
      <c r="F53" s="74" t="s">
        <v>326</v>
      </c>
      <c r="G53" s="74" t="s">
        <v>327</v>
      </c>
      <c r="H53" s="80" t="s">
        <v>4297</v>
      </c>
      <c r="I53" s="73" t="s">
        <v>4280</v>
      </c>
      <c r="J53" s="79"/>
      <c r="K53" s="25"/>
      <c r="L53" s="57"/>
      <c r="M53" s="43"/>
      <c r="N53" s="55"/>
      <c r="O53" s="28" t="s">
        <v>140</v>
      </c>
      <c r="P53" s="28"/>
      <c r="Q53" s="25" t="s">
        <v>282</v>
      </c>
      <c r="R53" s="25" t="s">
        <v>298</v>
      </c>
      <c r="S53" s="25"/>
      <c r="T53" s="65"/>
      <c r="U53" s="65"/>
      <c r="V53" s="65"/>
      <c r="W53" s="65"/>
      <c r="X53" s="65"/>
      <c r="Y53" s="65"/>
      <c r="Z53" s="65"/>
      <c r="AA53" s="65"/>
    </row>
    <row r="54" spans="1:27" ht="15.75" customHeight="1">
      <c r="A54" s="352"/>
      <c r="B54" s="352"/>
      <c r="C54" s="86">
        <v>12</v>
      </c>
      <c r="D54" s="352"/>
      <c r="E54" s="175" t="s">
        <v>4301</v>
      </c>
      <c r="F54" s="86" t="s">
        <v>326</v>
      </c>
      <c r="G54" s="86" t="s">
        <v>327</v>
      </c>
      <c r="H54" s="181" t="s">
        <v>4302</v>
      </c>
      <c r="I54" s="73" t="s">
        <v>4280</v>
      </c>
      <c r="J54" s="79"/>
      <c r="K54" s="25"/>
      <c r="L54" s="57"/>
      <c r="M54" s="43"/>
      <c r="N54" s="55"/>
      <c r="O54" s="28"/>
      <c r="P54" s="28"/>
      <c r="Q54" s="25"/>
      <c r="R54" s="25" t="s">
        <v>308</v>
      </c>
      <c r="S54" s="25"/>
      <c r="T54" s="65"/>
      <c r="U54" s="65"/>
      <c r="V54" s="65"/>
      <c r="W54" s="65"/>
      <c r="X54" s="65"/>
      <c r="Y54" s="65"/>
      <c r="Z54" s="65"/>
      <c r="AA54" s="65"/>
    </row>
    <row r="55" spans="1:27" ht="15.75" customHeight="1">
      <c r="A55" s="344"/>
      <c r="B55" s="344"/>
      <c r="C55" s="74">
        <v>13</v>
      </c>
      <c r="D55" s="344"/>
      <c r="E55" s="47" t="s">
        <v>4303</v>
      </c>
      <c r="F55" s="74" t="s">
        <v>326</v>
      </c>
      <c r="G55" s="74" t="s">
        <v>327</v>
      </c>
      <c r="H55" s="80" t="s">
        <v>4304</v>
      </c>
      <c r="I55" s="73" t="s">
        <v>4280</v>
      </c>
      <c r="J55" s="79"/>
      <c r="K55" s="25"/>
      <c r="L55" s="57"/>
      <c r="M55" s="25"/>
      <c r="N55" s="55"/>
      <c r="O55" s="25"/>
      <c r="P55" s="25"/>
      <c r="Q55" s="25" t="s">
        <v>282</v>
      </c>
      <c r="R55" s="25"/>
      <c r="S55" s="25"/>
      <c r="T55" s="65"/>
      <c r="U55" s="65"/>
      <c r="V55" s="65"/>
      <c r="W55" s="65"/>
      <c r="X55" s="65"/>
      <c r="Y55" s="65"/>
      <c r="Z55" s="65"/>
      <c r="AA55" s="65"/>
    </row>
    <row r="56" spans="1:27" ht="15.75" customHeight="1">
      <c r="A56" s="344"/>
      <c r="B56" s="344"/>
      <c r="C56" s="74">
        <v>14</v>
      </c>
      <c r="D56" s="344"/>
      <c r="E56" s="47" t="s">
        <v>4305</v>
      </c>
      <c r="F56" s="74" t="s">
        <v>326</v>
      </c>
      <c r="G56" s="74" t="s">
        <v>327</v>
      </c>
      <c r="H56" s="80" t="s">
        <v>4306</v>
      </c>
      <c r="I56" s="73" t="s">
        <v>4295</v>
      </c>
      <c r="J56" s="79"/>
      <c r="K56" s="25"/>
      <c r="L56" s="57"/>
      <c r="M56" s="25"/>
      <c r="N56" s="55"/>
      <c r="O56" s="25"/>
      <c r="P56" s="25"/>
      <c r="Q56" s="25" t="s">
        <v>282</v>
      </c>
      <c r="R56" s="25"/>
      <c r="S56" s="25"/>
      <c r="T56" s="65"/>
      <c r="U56" s="65"/>
      <c r="V56" s="65"/>
      <c r="W56" s="65"/>
      <c r="X56" s="65"/>
      <c r="Y56" s="65"/>
      <c r="Z56" s="65"/>
      <c r="AA56" s="65"/>
    </row>
    <row r="57" spans="1:27" ht="82.5" customHeight="1">
      <c r="A57" s="344"/>
      <c r="B57" s="344"/>
      <c r="C57" s="74">
        <v>15</v>
      </c>
      <c r="D57" s="344"/>
      <c r="E57" s="364" t="s">
        <v>4307</v>
      </c>
      <c r="F57" s="363" t="s">
        <v>326</v>
      </c>
      <c r="G57" s="363" t="s">
        <v>327</v>
      </c>
      <c r="H57" s="372" t="s">
        <v>4308</v>
      </c>
      <c r="I57" s="73" t="s">
        <v>4280</v>
      </c>
      <c r="J57" s="79"/>
      <c r="K57" s="25"/>
      <c r="L57" s="57"/>
      <c r="M57" s="25"/>
      <c r="N57" s="55"/>
      <c r="O57" s="25"/>
      <c r="P57" s="25"/>
      <c r="Q57" s="25" t="s">
        <v>282</v>
      </c>
      <c r="R57" s="25"/>
      <c r="S57" s="25"/>
      <c r="T57" s="65"/>
      <c r="U57" s="65"/>
      <c r="V57" s="65"/>
      <c r="W57" s="65"/>
      <c r="X57" s="65"/>
      <c r="Y57" s="65"/>
      <c r="Z57" s="65"/>
      <c r="AA57" s="65"/>
    </row>
    <row r="58" spans="1:27" ht="15.75" customHeight="1">
      <c r="A58" s="344"/>
      <c r="B58" s="344"/>
      <c r="C58" s="74">
        <v>16</v>
      </c>
      <c r="D58" s="344"/>
      <c r="E58" s="345"/>
      <c r="F58" s="345"/>
      <c r="G58" s="345"/>
      <c r="H58" s="345"/>
      <c r="I58" s="73" t="s">
        <v>4309</v>
      </c>
      <c r="J58" s="79"/>
      <c r="K58" s="25"/>
      <c r="L58" s="57"/>
      <c r="M58" s="25"/>
      <c r="N58" s="55"/>
      <c r="O58" s="25"/>
      <c r="P58" s="25"/>
      <c r="Q58" s="25" t="s">
        <v>282</v>
      </c>
      <c r="R58" s="25"/>
      <c r="S58" s="25"/>
      <c r="T58" s="65"/>
      <c r="U58" s="65"/>
      <c r="V58" s="65"/>
      <c r="W58" s="65"/>
      <c r="X58" s="65"/>
      <c r="Y58" s="65"/>
      <c r="Z58" s="65"/>
      <c r="AA58" s="65"/>
    </row>
    <row r="59" spans="1:27" ht="15.75" customHeight="1">
      <c r="A59" s="344"/>
      <c r="B59" s="344"/>
      <c r="C59" s="74">
        <v>17</v>
      </c>
      <c r="D59" s="344"/>
      <c r="E59" s="47" t="s">
        <v>4310</v>
      </c>
      <c r="F59" s="74" t="s">
        <v>326</v>
      </c>
      <c r="G59" s="74" t="s">
        <v>327</v>
      </c>
      <c r="H59" s="80" t="s">
        <v>4311</v>
      </c>
      <c r="I59" s="73" t="s">
        <v>4312</v>
      </c>
      <c r="J59" s="79"/>
      <c r="K59" s="25"/>
      <c r="L59" s="57"/>
      <c r="M59" s="25"/>
      <c r="N59" s="55"/>
      <c r="O59" s="25"/>
      <c r="P59" s="25"/>
      <c r="Q59" s="25" t="s">
        <v>282</v>
      </c>
      <c r="R59" s="25"/>
      <c r="S59" s="25"/>
      <c r="T59" s="65"/>
      <c r="U59" s="65"/>
      <c r="V59" s="65"/>
      <c r="W59" s="65"/>
      <c r="X59" s="65"/>
      <c r="Y59" s="65"/>
      <c r="Z59" s="65"/>
      <c r="AA59" s="65"/>
    </row>
    <row r="60" spans="1:27" ht="15.75" customHeight="1">
      <c r="A60" s="344"/>
      <c r="B60" s="344"/>
      <c r="C60" s="74">
        <v>18</v>
      </c>
      <c r="D60" s="344"/>
      <c r="E60" s="47" t="s">
        <v>4313</v>
      </c>
      <c r="F60" s="74" t="s">
        <v>326</v>
      </c>
      <c r="G60" s="74" t="s">
        <v>327</v>
      </c>
      <c r="H60" s="80" t="s">
        <v>4314</v>
      </c>
      <c r="I60" s="80" t="s">
        <v>4315</v>
      </c>
      <c r="J60" s="84"/>
      <c r="K60" s="25"/>
      <c r="L60" s="57"/>
      <c r="M60" s="50"/>
      <c r="N60" s="3"/>
      <c r="O60" s="50"/>
      <c r="P60" s="50"/>
      <c r="Q60" s="25" t="s">
        <v>282</v>
      </c>
      <c r="R60" s="50"/>
      <c r="S60" s="25"/>
    </row>
    <row r="61" spans="1:27" ht="15.75" customHeight="1">
      <c r="A61" s="352"/>
      <c r="B61" s="352"/>
      <c r="C61" s="86">
        <v>19</v>
      </c>
      <c r="D61" s="352"/>
      <c r="E61" s="175" t="s">
        <v>4316</v>
      </c>
      <c r="F61" s="86" t="s">
        <v>326</v>
      </c>
      <c r="G61" s="86" t="s">
        <v>327</v>
      </c>
      <c r="H61" s="181" t="s">
        <v>4317</v>
      </c>
      <c r="I61" s="73" t="s">
        <v>4280</v>
      </c>
      <c r="J61" s="79"/>
      <c r="K61" s="25"/>
      <c r="L61" s="57"/>
      <c r="M61" s="50"/>
      <c r="N61" s="3"/>
      <c r="O61" s="50"/>
      <c r="P61" s="50"/>
      <c r="Q61" s="25" t="s">
        <v>282</v>
      </c>
      <c r="R61" s="25" t="s">
        <v>305</v>
      </c>
      <c r="S61" s="25"/>
    </row>
    <row r="62" spans="1:27" ht="15.75" customHeight="1">
      <c r="A62" s="352"/>
      <c r="B62" s="352"/>
      <c r="C62" s="86">
        <v>20</v>
      </c>
      <c r="D62" s="352"/>
      <c r="E62" s="175" t="s">
        <v>4303</v>
      </c>
      <c r="F62" s="86" t="s">
        <v>326</v>
      </c>
      <c r="G62" s="86" t="s">
        <v>327</v>
      </c>
      <c r="H62" s="181" t="s">
        <v>4318</v>
      </c>
      <c r="I62" s="73" t="s">
        <v>4280</v>
      </c>
      <c r="J62" s="79"/>
      <c r="K62" s="25"/>
      <c r="L62" s="57"/>
      <c r="M62" s="50"/>
      <c r="N62" s="3"/>
      <c r="O62" s="50"/>
      <c r="P62" s="50"/>
      <c r="Q62" s="25" t="s">
        <v>282</v>
      </c>
      <c r="R62" s="25" t="s">
        <v>305</v>
      </c>
      <c r="S62" s="25"/>
    </row>
    <row r="63" spans="1:27" ht="15.75" customHeight="1">
      <c r="A63" s="353"/>
      <c r="B63" s="353"/>
      <c r="C63" s="86">
        <v>21</v>
      </c>
      <c r="D63" s="353"/>
      <c r="E63" s="175" t="s">
        <v>4305</v>
      </c>
      <c r="F63" s="86" t="s">
        <v>326</v>
      </c>
      <c r="G63" s="86" t="s">
        <v>327</v>
      </c>
      <c r="H63" s="181" t="s">
        <v>4319</v>
      </c>
      <c r="I63" s="73" t="s">
        <v>4295</v>
      </c>
      <c r="J63" s="79"/>
      <c r="K63" s="25"/>
      <c r="L63" s="57"/>
      <c r="M63" s="50"/>
      <c r="N63" s="3"/>
      <c r="O63" s="50"/>
      <c r="P63" s="50"/>
      <c r="Q63" s="25" t="s">
        <v>282</v>
      </c>
      <c r="R63" s="25" t="s">
        <v>305</v>
      </c>
      <c r="S63" s="25"/>
    </row>
    <row r="64" spans="1:27" ht="15.75" customHeight="1">
      <c r="A64" s="15" t="s">
        <v>4320</v>
      </c>
      <c r="B64" s="16"/>
      <c r="C64" s="16"/>
      <c r="D64" s="17"/>
      <c r="E64" s="18"/>
      <c r="F64" s="19"/>
      <c r="G64" s="19"/>
      <c r="H64" s="17"/>
      <c r="I64" s="20"/>
      <c r="J64" s="20"/>
      <c r="K64" s="16"/>
      <c r="L64" s="16"/>
      <c r="M64" s="71"/>
      <c r="N64" s="3"/>
      <c r="O64" s="16"/>
      <c r="P64" s="16"/>
      <c r="Q64" s="16"/>
      <c r="R64" s="16"/>
      <c r="S64" s="16"/>
    </row>
    <row r="65" spans="1:27" ht="20.25" customHeight="1">
      <c r="A65" s="364" t="s">
        <v>4321</v>
      </c>
      <c r="B65" s="363" t="s">
        <v>4322</v>
      </c>
      <c r="C65" s="74">
        <v>1</v>
      </c>
      <c r="D65" s="364" t="s">
        <v>4323</v>
      </c>
      <c r="E65" s="35" t="s">
        <v>4324</v>
      </c>
      <c r="F65" s="46" t="s">
        <v>326</v>
      </c>
      <c r="G65" s="46" t="s">
        <v>327</v>
      </c>
      <c r="H65" s="35" t="s">
        <v>4325</v>
      </c>
      <c r="I65" s="73" t="s">
        <v>4326</v>
      </c>
      <c r="J65" s="79"/>
      <c r="K65" s="25"/>
      <c r="L65" s="57"/>
      <c r="M65" s="26"/>
      <c r="N65" s="100"/>
      <c r="O65" s="25"/>
      <c r="P65" s="25"/>
      <c r="Q65" s="25" t="s">
        <v>282</v>
      </c>
      <c r="R65" s="25"/>
      <c r="S65" s="25"/>
      <c r="T65" s="65"/>
      <c r="U65" s="65"/>
      <c r="V65" s="65"/>
      <c r="W65" s="65"/>
      <c r="X65" s="65"/>
      <c r="Y65" s="65"/>
      <c r="Z65" s="65"/>
      <c r="AA65" s="65"/>
    </row>
    <row r="66" spans="1:27" ht="20.25" customHeight="1">
      <c r="A66" s="345"/>
      <c r="B66" s="345"/>
      <c r="C66" s="74">
        <v>2</v>
      </c>
      <c r="D66" s="345"/>
      <c r="E66" s="35" t="s">
        <v>4327</v>
      </c>
      <c r="F66" s="46" t="s">
        <v>326</v>
      </c>
      <c r="G66" s="46" t="s">
        <v>327</v>
      </c>
      <c r="H66" s="35" t="s">
        <v>4328</v>
      </c>
      <c r="I66" s="73" t="s">
        <v>4329</v>
      </c>
      <c r="J66" s="79"/>
      <c r="K66" s="25"/>
      <c r="L66" s="57"/>
      <c r="M66" s="26"/>
      <c r="N66" s="100"/>
      <c r="O66" s="25"/>
      <c r="P66" s="25"/>
      <c r="Q66" s="25" t="s">
        <v>282</v>
      </c>
      <c r="R66" s="25"/>
      <c r="S66" s="25"/>
      <c r="T66" s="65"/>
      <c r="U66" s="65"/>
      <c r="V66" s="65"/>
      <c r="W66" s="65"/>
      <c r="X66" s="65"/>
      <c r="Y66" s="65"/>
      <c r="Z66" s="65"/>
      <c r="AA66" s="65"/>
    </row>
    <row r="67" spans="1:27" ht="15.75" customHeight="1">
      <c r="A67" s="15" t="s">
        <v>4330</v>
      </c>
      <c r="B67" s="16"/>
      <c r="C67" s="16"/>
      <c r="D67" s="17"/>
      <c r="E67" s="18"/>
      <c r="F67" s="19"/>
      <c r="G67" s="19"/>
      <c r="H67" s="17"/>
      <c r="I67" s="20"/>
      <c r="J67" s="20"/>
      <c r="K67" s="16"/>
      <c r="L67" s="16"/>
      <c r="M67" s="71"/>
      <c r="N67" s="3"/>
      <c r="O67" s="16"/>
      <c r="P67" s="16"/>
      <c r="Q67" s="16"/>
      <c r="R67" s="16"/>
      <c r="S67" s="16"/>
    </row>
    <row r="68" spans="1:27" ht="15.75" customHeight="1">
      <c r="A68" s="363"/>
      <c r="B68" s="363" t="s">
        <v>138</v>
      </c>
      <c r="C68" s="111">
        <v>1</v>
      </c>
      <c r="D68" s="366" t="s">
        <v>4331</v>
      </c>
      <c r="E68" s="63" t="s">
        <v>4327</v>
      </c>
      <c r="F68" s="61" t="s">
        <v>326</v>
      </c>
      <c r="G68" s="61" t="s">
        <v>327</v>
      </c>
      <c r="H68" s="63" t="s">
        <v>4332</v>
      </c>
      <c r="I68" s="109" t="s">
        <v>4333</v>
      </c>
      <c r="J68" s="109"/>
      <c r="K68" s="25"/>
      <c r="L68" s="57"/>
      <c r="M68" s="26"/>
      <c r="N68" s="100"/>
      <c r="O68" s="28" t="s">
        <v>140</v>
      </c>
      <c r="P68" s="25"/>
      <c r="Q68" s="25" t="s">
        <v>282</v>
      </c>
      <c r="R68" s="25"/>
      <c r="S68" s="25"/>
      <c r="T68" s="65"/>
      <c r="U68" s="65"/>
      <c r="V68" s="65"/>
      <c r="W68" s="65"/>
      <c r="X68" s="65"/>
      <c r="Y68" s="65"/>
      <c r="Z68" s="65"/>
      <c r="AA68" s="65"/>
    </row>
    <row r="69" spans="1:27" ht="15.75" customHeight="1">
      <c r="A69" s="344"/>
      <c r="B69" s="344"/>
      <c r="C69" s="111">
        <v>2</v>
      </c>
      <c r="D69" s="344"/>
      <c r="E69" s="63" t="s">
        <v>4334</v>
      </c>
      <c r="F69" s="61" t="s">
        <v>326</v>
      </c>
      <c r="G69" s="61" t="s">
        <v>327</v>
      </c>
      <c r="H69" s="62" t="s">
        <v>4335</v>
      </c>
      <c r="I69" s="201" t="s">
        <v>4333</v>
      </c>
      <c r="J69" s="436"/>
      <c r="K69" s="25"/>
      <c r="L69" s="57"/>
      <c r="M69" s="202"/>
      <c r="N69" s="100"/>
      <c r="O69" s="25"/>
      <c r="P69" s="25"/>
      <c r="Q69" s="25" t="s">
        <v>282</v>
      </c>
      <c r="R69" s="25"/>
      <c r="S69" s="25"/>
      <c r="T69" s="65"/>
      <c r="U69" s="65"/>
      <c r="V69" s="65"/>
      <c r="W69" s="65"/>
      <c r="X69" s="65"/>
      <c r="Y69" s="65"/>
      <c r="Z69" s="65"/>
      <c r="AA69" s="65"/>
    </row>
    <row r="70" spans="1:27" ht="15.75" customHeight="1">
      <c r="A70" s="344"/>
      <c r="B70" s="344"/>
      <c r="C70" s="111">
        <v>3</v>
      </c>
      <c r="D70" s="344"/>
      <c r="E70" s="63" t="s">
        <v>4336</v>
      </c>
      <c r="F70" s="61" t="s">
        <v>326</v>
      </c>
      <c r="G70" s="61" t="s">
        <v>327</v>
      </c>
      <c r="H70" s="62" t="s">
        <v>4337</v>
      </c>
      <c r="I70" s="201" t="s">
        <v>4338</v>
      </c>
      <c r="J70" s="436"/>
      <c r="K70" s="25"/>
      <c r="L70" s="57"/>
      <c r="M70" s="202"/>
      <c r="N70" s="100"/>
      <c r="O70" s="25"/>
      <c r="P70" s="25"/>
      <c r="Q70" s="25" t="s">
        <v>282</v>
      </c>
      <c r="R70" s="25"/>
      <c r="S70" s="25"/>
      <c r="T70" s="65"/>
      <c r="U70" s="65"/>
      <c r="V70" s="65"/>
      <c r="W70" s="65"/>
      <c r="X70" s="65"/>
      <c r="Y70" s="65"/>
      <c r="Z70" s="65"/>
      <c r="AA70" s="65"/>
    </row>
    <row r="71" spans="1:27" ht="15.75" customHeight="1">
      <c r="A71" s="344"/>
      <c r="B71" s="344"/>
      <c r="C71" s="111">
        <v>4</v>
      </c>
      <c r="D71" s="344"/>
      <c r="E71" s="63" t="s">
        <v>4339</v>
      </c>
      <c r="F71" s="61" t="s">
        <v>326</v>
      </c>
      <c r="G71" s="61" t="s">
        <v>327</v>
      </c>
      <c r="H71" s="62" t="s">
        <v>4340</v>
      </c>
      <c r="I71" s="201" t="s">
        <v>4341</v>
      </c>
      <c r="J71" s="436"/>
      <c r="K71" s="25"/>
      <c r="L71" s="57"/>
      <c r="M71" s="202"/>
      <c r="N71" s="100"/>
      <c r="O71" s="25"/>
      <c r="P71" s="25"/>
      <c r="Q71" s="25" t="s">
        <v>282</v>
      </c>
      <c r="R71" s="25"/>
      <c r="S71" s="25"/>
      <c r="T71" s="65"/>
      <c r="U71" s="65"/>
      <c r="V71" s="65"/>
      <c r="W71" s="65"/>
      <c r="X71" s="65"/>
      <c r="Y71" s="65"/>
      <c r="Z71" s="65"/>
      <c r="AA71" s="65"/>
    </row>
    <row r="72" spans="1:27" ht="15.75" customHeight="1">
      <c r="A72" s="344"/>
      <c r="B72" s="344"/>
      <c r="C72" s="111">
        <v>5</v>
      </c>
      <c r="D72" s="344"/>
      <c r="E72" s="63" t="s">
        <v>4342</v>
      </c>
      <c r="F72" s="61" t="s">
        <v>326</v>
      </c>
      <c r="G72" s="61" t="s">
        <v>327</v>
      </c>
      <c r="H72" s="62" t="s">
        <v>4343</v>
      </c>
      <c r="I72" s="201" t="s">
        <v>4344</v>
      </c>
      <c r="J72" s="436"/>
      <c r="K72" s="25"/>
      <c r="L72" s="57"/>
      <c r="M72" s="202"/>
      <c r="N72" s="100"/>
      <c r="O72" s="25"/>
      <c r="P72" s="25"/>
      <c r="Q72" s="25" t="s">
        <v>282</v>
      </c>
      <c r="R72" s="25"/>
      <c r="S72" s="25"/>
      <c r="T72" s="65"/>
      <c r="U72" s="65"/>
      <c r="V72" s="65"/>
      <c r="W72" s="65"/>
      <c r="X72" s="65"/>
      <c r="Y72" s="65"/>
      <c r="Z72" s="65"/>
      <c r="AA72" s="65"/>
    </row>
    <row r="73" spans="1:27" ht="15.75" customHeight="1">
      <c r="A73" s="344"/>
      <c r="B73" s="344"/>
      <c r="C73" s="111">
        <v>6</v>
      </c>
      <c r="D73" s="344"/>
      <c r="E73" s="63" t="s">
        <v>4345</v>
      </c>
      <c r="F73" s="61" t="s">
        <v>361</v>
      </c>
      <c r="G73" s="61" t="s">
        <v>327</v>
      </c>
      <c r="H73" s="62" t="s">
        <v>4346</v>
      </c>
      <c r="I73" s="201" t="s">
        <v>4347</v>
      </c>
      <c r="J73" s="436"/>
      <c r="K73" s="25"/>
      <c r="L73" s="57"/>
      <c r="M73" s="202"/>
      <c r="N73" s="100"/>
      <c r="O73" s="25"/>
      <c r="P73" s="25"/>
      <c r="Q73" s="25" t="s">
        <v>282</v>
      </c>
      <c r="R73" s="25"/>
      <c r="S73" s="25"/>
      <c r="T73" s="65"/>
      <c r="U73" s="65"/>
      <c r="V73" s="65"/>
      <c r="W73" s="65"/>
      <c r="X73" s="65"/>
      <c r="Y73" s="65"/>
      <c r="Z73" s="65"/>
      <c r="AA73" s="65"/>
    </row>
    <row r="74" spans="1:27" ht="15.75" customHeight="1">
      <c r="A74" s="353"/>
      <c r="B74" s="353"/>
      <c r="C74" s="86">
        <v>7</v>
      </c>
      <c r="D74" s="353"/>
      <c r="E74" s="175" t="s">
        <v>4348</v>
      </c>
      <c r="F74" s="86" t="s">
        <v>326</v>
      </c>
      <c r="G74" s="86" t="s">
        <v>327</v>
      </c>
      <c r="H74" s="175" t="s">
        <v>4332</v>
      </c>
      <c r="I74" s="109" t="s">
        <v>4333</v>
      </c>
      <c r="J74" s="109"/>
      <c r="K74" s="25"/>
      <c r="L74" s="57"/>
      <c r="M74" s="202"/>
      <c r="N74" s="100"/>
      <c r="O74" s="25"/>
      <c r="P74" s="25"/>
      <c r="Q74" s="25" t="s">
        <v>282</v>
      </c>
      <c r="R74" s="25" t="s">
        <v>305</v>
      </c>
      <c r="S74" s="25"/>
      <c r="T74" s="65"/>
      <c r="U74" s="65"/>
      <c r="V74" s="65"/>
      <c r="W74" s="65"/>
      <c r="X74" s="65"/>
      <c r="Y74" s="65"/>
      <c r="Z74" s="65"/>
      <c r="AA74" s="65"/>
    </row>
    <row r="75" spans="1:27" ht="15.75" customHeight="1">
      <c r="A75" s="15" t="s">
        <v>4349</v>
      </c>
      <c r="B75" s="16"/>
      <c r="C75" s="16"/>
      <c r="D75" s="17"/>
      <c r="E75" s="18"/>
      <c r="F75" s="19"/>
      <c r="G75" s="19"/>
      <c r="H75" s="17"/>
      <c r="I75" s="20"/>
      <c r="J75" s="20"/>
      <c r="K75" s="16"/>
      <c r="L75" s="16"/>
      <c r="M75" s="71"/>
      <c r="N75" s="3"/>
      <c r="O75" s="16"/>
      <c r="P75" s="16"/>
      <c r="Q75" s="16"/>
      <c r="R75" s="16"/>
      <c r="S75" s="16"/>
    </row>
    <row r="76" spans="1:27" ht="15.75" customHeight="1">
      <c r="A76" s="350"/>
      <c r="B76" s="350" t="s">
        <v>101</v>
      </c>
      <c r="C76" s="111">
        <v>1</v>
      </c>
      <c r="D76" s="366" t="s">
        <v>4350</v>
      </c>
      <c r="E76" s="63" t="s">
        <v>4324</v>
      </c>
      <c r="F76" s="61" t="s">
        <v>326</v>
      </c>
      <c r="G76" s="61" t="s">
        <v>327</v>
      </c>
      <c r="H76" s="63" t="s">
        <v>4351</v>
      </c>
      <c r="I76" s="109" t="s">
        <v>4352</v>
      </c>
      <c r="J76" s="109"/>
      <c r="K76" s="25"/>
      <c r="L76" s="57"/>
      <c r="M76" s="26"/>
      <c r="N76" s="100"/>
      <c r="O76" s="28" t="s">
        <v>140</v>
      </c>
      <c r="P76" s="25"/>
      <c r="Q76" s="25" t="s">
        <v>282</v>
      </c>
      <c r="R76" s="25"/>
      <c r="S76" s="25"/>
      <c r="T76" s="65"/>
      <c r="U76" s="65"/>
      <c r="V76" s="65"/>
      <c r="W76" s="65"/>
      <c r="X76" s="65"/>
      <c r="Y76" s="65"/>
      <c r="Z76" s="65"/>
      <c r="AA76" s="65"/>
    </row>
    <row r="77" spans="1:27" ht="15.75" customHeight="1">
      <c r="A77" s="344"/>
      <c r="B77" s="344"/>
      <c r="C77" s="111">
        <v>2</v>
      </c>
      <c r="D77" s="344"/>
      <c r="E77" s="63" t="s">
        <v>4353</v>
      </c>
      <c r="F77" s="61" t="s">
        <v>326</v>
      </c>
      <c r="G77" s="61" t="s">
        <v>327</v>
      </c>
      <c r="H77" s="63" t="s">
        <v>4354</v>
      </c>
      <c r="I77" s="109" t="s">
        <v>4352</v>
      </c>
      <c r="J77" s="109"/>
      <c r="K77" s="25"/>
      <c r="L77" s="57"/>
      <c r="M77" s="26"/>
      <c r="N77" s="100"/>
      <c r="O77" s="25"/>
      <c r="P77" s="25"/>
      <c r="Q77" s="25" t="s">
        <v>282</v>
      </c>
      <c r="R77" s="25"/>
      <c r="S77" s="25"/>
      <c r="T77" s="65"/>
      <c r="U77" s="65"/>
      <c r="V77" s="65"/>
      <c r="W77" s="65"/>
      <c r="X77" s="65"/>
      <c r="Y77" s="65"/>
      <c r="Z77" s="65"/>
      <c r="AA77" s="65"/>
    </row>
    <row r="78" spans="1:27" ht="15.75" customHeight="1">
      <c r="A78" s="344"/>
      <c r="B78" s="344"/>
      <c r="C78" s="111">
        <v>3</v>
      </c>
      <c r="D78" s="344"/>
      <c r="E78" s="63" t="s">
        <v>4355</v>
      </c>
      <c r="F78" s="61" t="s">
        <v>326</v>
      </c>
      <c r="G78" s="61" t="s">
        <v>327</v>
      </c>
      <c r="H78" s="63" t="s">
        <v>4356</v>
      </c>
      <c r="I78" s="109" t="s">
        <v>4357</v>
      </c>
      <c r="J78" s="109"/>
      <c r="K78" s="25"/>
      <c r="L78" s="57"/>
      <c r="M78" s="26"/>
      <c r="N78" s="100"/>
      <c r="O78" s="25"/>
      <c r="P78" s="25"/>
      <c r="Q78" s="25" t="s">
        <v>282</v>
      </c>
      <c r="R78" s="25"/>
      <c r="S78" s="25"/>
      <c r="T78" s="65"/>
      <c r="U78" s="65"/>
      <c r="V78" s="65"/>
      <c r="W78" s="65"/>
      <c r="X78" s="65"/>
      <c r="Y78" s="65"/>
      <c r="Z78" s="65"/>
      <c r="AA78" s="65"/>
    </row>
    <row r="79" spans="1:27" ht="15.75" customHeight="1">
      <c r="A79" s="344"/>
      <c r="B79" s="344"/>
      <c r="C79" s="111">
        <v>4</v>
      </c>
      <c r="D79" s="344"/>
      <c r="E79" s="63" t="s">
        <v>4342</v>
      </c>
      <c r="F79" s="61" t="s">
        <v>326</v>
      </c>
      <c r="G79" s="61" t="s">
        <v>327</v>
      </c>
      <c r="H79" s="62" t="s">
        <v>4343</v>
      </c>
      <c r="I79" s="201" t="s">
        <v>4344</v>
      </c>
      <c r="J79" s="436"/>
      <c r="K79" s="25"/>
      <c r="L79" s="57"/>
      <c r="M79" s="202"/>
      <c r="N79" s="100"/>
      <c r="O79" s="25"/>
      <c r="P79" s="25"/>
      <c r="Q79" s="25" t="s">
        <v>282</v>
      </c>
      <c r="R79" s="25"/>
      <c r="S79" s="25"/>
      <c r="T79" s="65"/>
      <c r="U79" s="65"/>
      <c r="V79" s="65"/>
      <c r="W79" s="65"/>
      <c r="X79" s="65"/>
      <c r="Y79" s="65"/>
      <c r="Z79" s="65"/>
      <c r="AA79" s="65"/>
    </row>
    <row r="80" spans="1:27" ht="15.75" customHeight="1">
      <c r="A80" s="353"/>
      <c r="B80" s="353"/>
      <c r="C80" s="86">
        <v>5</v>
      </c>
      <c r="D80" s="353"/>
      <c r="E80" s="175" t="s">
        <v>4358</v>
      </c>
      <c r="F80" s="86"/>
      <c r="G80" s="86"/>
      <c r="H80" s="175" t="s">
        <v>4359</v>
      </c>
      <c r="I80" s="109" t="s">
        <v>4360</v>
      </c>
      <c r="J80" s="109"/>
      <c r="K80" s="25"/>
      <c r="L80" s="57"/>
      <c r="M80" s="202"/>
      <c r="N80" s="100"/>
      <c r="O80" s="25"/>
      <c r="P80" s="25"/>
      <c r="Q80" s="25" t="s">
        <v>282</v>
      </c>
      <c r="R80" s="25" t="s">
        <v>305</v>
      </c>
      <c r="S80" s="25"/>
      <c r="T80" s="65"/>
      <c r="U80" s="65"/>
      <c r="V80" s="65"/>
      <c r="W80" s="65"/>
      <c r="X80" s="65"/>
      <c r="Y80" s="65"/>
      <c r="Z80" s="65"/>
      <c r="AA80" s="65"/>
    </row>
    <row r="81" spans="1:27" ht="15.75" customHeight="1">
      <c r="A81" s="15" t="s">
        <v>4361</v>
      </c>
      <c r="B81" s="16"/>
      <c r="C81" s="16"/>
      <c r="D81" s="17"/>
      <c r="E81" s="18"/>
      <c r="F81" s="19"/>
      <c r="G81" s="19"/>
      <c r="H81" s="17"/>
      <c r="I81" s="20"/>
      <c r="J81" s="20"/>
      <c r="K81" s="16"/>
      <c r="L81" s="16"/>
      <c r="M81" s="71"/>
      <c r="N81" s="3"/>
      <c r="O81" s="16"/>
      <c r="P81" s="16"/>
      <c r="Q81" s="16"/>
      <c r="R81" s="16"/>
      <c r="S81" s="16"/>
    </row>
    <row r="82" spans="1:27" ht="15.75" customHeight="1">
      <c r="A82" s="355" t="s">
        <v>4362</v>
      </c>
      <c r="B82" s="350" t="s">
        <v>91</v>
      </c>
      <c r="C82" s="31">
        <v>1</v>
      </c>
      <c r="D82" s="355" t="s">
        <v>4363</v>
      </c>
      <c r="E82" s="355" t="s">
        <v>4364</v>
      </c>
      <c r="F82" s="31" t="s">
        <v>2</v>
      </c>
      <c r="G82" s="31" t="s">
        <v>2</v>
      </c>
      <c r="H82" s="23" t="s">
        <v>4365</v>
      </c>
      <c r="I82" s="23" t="s">
        <v>4366</v>
      </c>
      <c r="J82" s="170"/>
      <c r="K82" s="25"/>
      <c r="L82" s="57"/>
      <c r="M82" s="26"/>
      <c r="N82" s="27"/>
      <c r="O82" s="25"/>
      <c r="P82" s="25"/>
      <c r="Q82" s="25" t="s">
        <v>282</v>
      </c>
      <c r="R82" s="25"/>
      <c r="S82" s="25"/>
      <c r="T82" s="65"/>
      <c r="U82" s="65"/>
      <c r="V82" s="65"/>
      <c r="W82" s="65"/>
      <c r="X82" s="65"/>
      <c r="Y82" s="65"/>
      <c r="Z82" s="65"/>
      <c r="AA82" s="65"/>
    </row>
    <row r="83" spans="1:27" ht="15.75" customHeight="1">
      <c r="A83" s="344"/>
      <c r="B83" s="344"/>
      <c r="C83" s="31">
        <v>2</v>
      </c>
      <c r="D83" s="344"/>
      <c r="E83" s="344"/>
      <c r="F83" s="31" t="s">
        <v>2</v>
      </c>
      <c r="G83" s="31" t="s">
        <v>2</v>
      </c>
      <c r="H83" s="23" t="s">
        <v>4365</v>
      </c>
      <c r="I83" s="23" t="s">
        <v>4367</v>
      </c>
      <c r="J83" s="170"/>
      <c r="K83" s="25"/>
      <c r="L83" s="57"/>
      <c r="M83" s="26"/>
      <c r="N83" s="27"/>
      <c r="O83" s="25"/>
      <c r="P83" s="25"/>
      <c r="Q83" s="25" t="s">
        <v>282</v>
      </c>
      <c r="R83" s="25"/>
      <c r="S83" s="25"/>
      <c r="T83" s="65"/>
      <c r="U83" s="65"/>
      <c r="V83" s="65"/>
      <c r="W83" s="65"/>
      <c r="X83" s="65"/>
      <c r="Y83" s="65"/>
      <c r="Z83" s="65"/>
      <c r="AA83" s="65"/>
    </row>
    <row r="84" spans="1:27" ht="15.75" customHeight="1">
      <c r="A84" s="344"/>
      <c r="B84" s="344"/>
      <c r="C84" s="31">
        <v>3</v>
      </c>
      <c r="D84" s="344"/>
      <c r="E84" s="345"/>
      <c r="F84" s="31" t="s">
        <v>2</v>
      </c>
      <c r="G84" s="31" t="s">
        <v>2</v>
      </c>
      <c r="H84" s="23" t="s">
        <v>4365</v>
      </c>
      <c r="I84" s="23" t="s">
        <v>4368</v>
      </c>
      <c r="J84" s="170"/>
      <c r="K84" s="25"/>
      <c r="L84" s="57"/>
      <c r="M84" s="26"/>
      <c r="N84" s="27"/>
      <c r="O84" s="25"/>
      <c r="P84" s="25"/>
      <c r="Q84" s="25" t="s">
        <v>282</v>
      </c>
      <c r="R84" s="25"/>
      <c r="S84" s="25"/>
      <c r="T84" s="65"/>
      <c r="U84" s="65"/>
      <c r="V84" s="65"/>
      <c r="W84" s="65"/>
      <c r="X84" s="65"/>
      <c r="Y84" s="65"/>
      <c r="Z84" s="65"/>
      <c r="AA84" s="65"/>
    </row>
    <row r="85" spans="1:27" ht="15.75" customHeight="1">
      <c r="A85" s="344"/>
      <c r="B85" s="344"/>
      <c r="C85" s="31">
        <v>4</v>
      </c>
      <c r="D85" s="344"/>
      <c r="E85" s="39" t="s">
        <v>4369</v>
      </c>
      <c r="F85" s="31" t="s">
        <v>2</v>
      </c>
      <c r="G85" s="31" t="s">
        <v>2</v>
      </c>
      <c r="H85" s="23" t="s">
        <v>4365</v>
      </c>
      <c r="I85" s="23" t="s">
        <v>4370</v>
      </c>
      <c r="J85" s="170"/>
      <c r="K85" s="25"/>
      <c r="L85" s="57"/>
      <c r="M85" s="26"/>
      <c r="N85" s="27"/>
      <c r="O85" s="25"/>
      <c r="P85" s="25"/>
      <c r="Q85" s="25" t="s">
        <v>282</v>
      </c>
      <c r="R85" s="25"/>
      <c r="S85" s="25"/>
      <c r="T85" s="65"/>
      <c r="U85" s="65"/>
      <c r="V85" s="65"/>
      <c r="W85" s="65"/>
      <c r="X85" s="65"/>
      <c r="Y85" s="65"/>
      <c r="Z85" s="65"/>
      <c r="AA85" s="65"/>
    </row>
    <row r="86" spans="1:27" ht="15.75" customHeight="1">
      <c r="A86" s="344"/>
      <c r="B86" s="344"/>
      <c r="C86" s="31">
        <v>5</v>
      </c>
      <c r="D86" s="344"/>
      <c r="E86" s="355" t="s">
        <v>4371</v>
      </c>
      <c r="F86" s="31" t="s">
        <v>2</v>
      </c>
      <c r="G86" s="31" t="s">
        <v>2</v>
      </c>
      <c r="H86" s="23" t="s">
        <v>4365</v>
      </c>
      <c r="I86" s="23" t="s">
        <v>4372</v>
      </c>
      <c r="J86" s="170"/>
      <c r="K86" s="25"/>
      <c r="L86" s="57"/>
      <c r="M86" s="26"/>
      <c r="N86" s="27"/>
      <c r="O86" s="25"/>
      <c r="P86" s="25"/>
      <c r="Q86" s="25" t="s">
        <v>282</v>
      </c>
      <c r="R86" s="25"/>
      <c r="S86" s="25"/>
      <c r="T86" s="65"/>
      <c r="U86" s="65"/>
      <c r="V86" s="65"/>
      <c r="W86" s="65"/>
      <c r="X86" s="65"/>
      <c r="Y86" s="65"/>
      <c r="Z86" s="65"/>
      <c r="AA86" s="65"/>
    </row>
    <row r="87" spans="1:27" ht="15.75" customHeight="1">
      <c r="A87" s="344"/>
      <c r="B87" s="344"/>
      <c r="C87" s="31">
        <v>6</v>
      </c>
      <c r="D87" s="344"/>
      <c r="E87" s="344"/>
      <c r="F87" s="31" t="s">
        <v>2</v>
      </c>
      <c r="G87" s="31" t="s">
        <v>2</v>
      </c>
      <c r="H87" s="23" t="s">
        <v>4365</v>
      </c>
      <c r="I87" s="23" t="s">
        <v>4373</v>
      </c>
      <c r="J87" s="170"/>
      <c r="K87" s="25"/>
      <c r="L87" s="57"/>
      <c r="M87" s="26"/>
      <c r="N87" s="27"/>
      <c r="O87" s="25"/>
      <c r="P87" s="25"/>
      <c r="Q87" s="25" t="s">
        <v>282</v>
      </c>
      <c r="R87" s="25"/>
      <c r="S87" s="25"/>
      <c r="T87" s="65"/>
      <c r="U87" s="65"/>
      <c r="V87" s="65"/>
      <c r="W87" s="65"/>
      <c r="X87" s="65"/>
      <c r="Y87" s="65"/>
      <c r="Z87" s="65"/>
      <c r="AA87" s="65"/>
    </row>
    <row r="88" spans="1:27" ht="15.75" customHeight="1">
      <c r="A88" s="344"/>
      <c r="B88" s="344"/>
      <c r="C88" s="31">
        <v>7</v>
      </c>
      <c r="D88" s="344"/>
      <c r="E88" s="344"/>
      <c r="F88" s="31" t="s">
        <v>2</v>
      </c>
      <c r="G88" s="31" t="s">
        <v>2</v>
      </c>
      <c r="H88" s="23" t="s">
        <v>4365</v>
      </c>
      <c r="I88" s="23" t="s">
        <v>4374</v>
      </c>
      <c r="J88" s="170"/>
      <c r="K88" s="25"/>
      <c r="L88" s="57"/>
      <c r="M88" s="26"/>
      <c r="N88" s="27"/>
      <c r="O88" s="25"/>
      <c r="P88" s="25"/>
      <c r="Q88" s="25" t="s">
        <v>282</v>
      </c>
      <c r="R88" s="25"/>
      <c r="S88" s="25"/>
      <c r="T88" s="65"/>
      <c r="U88" s="65"/>
      <c r="V88" s="65"/>
      <c r="W88" s="65"/>
      <c r="X88" s="65"/>
      <c r="Y88" s="65"/>
      <c r="Z88" s="65"/>
      <c r="AA88" s="65"/>
    </row>
    <row r="89" spans="1:27" ht="15.75" customHeight="1">
      <c r="A89" s="344"/>
      <c r="B89" s="344"/>
      <c r="C89" s="31">
        <v>8</v>
      </c>
      <c r="D89" s="344"/>
      <c r="E89" s="344"/>
      <c r="F89" s="31" t="s">
        <v>2</v>
      </c>
      <c r="G89" s="31" t="s">
        <v>2</v>
      </c>
      <c r="H89" s="23" t="s">
        <v>4365</v>
      </c>
      <c r="I89" s="23" t="s">
        <v>4375</v>
      </c>
      <c r="J89" s="170"/>
      <c r="K89" s="25"/>
      <c r="L89" s="57"/>
      <c r="M89" s="26"/>
      <c r="N89" s="27"/>
      <c r="O89" s="25"/>
      <c r="P89" s="25"/>
      <c r="Q89" s="25" t="s">
        <v>282</v>
      </c>
      <c r="R89" s="25"/>
      <c r="S89" s="25"/>
      <c r="T89" s="65"/>
      <c r="U89" s="65"/>
      <c r="V89" s="65"/>
      <c r="W89" s="65"/>
      <c r="X89" s="65"/>
      <c r="Y89" s="65"/>
      <c r="Z89" s="65"/>
      <c r="AA89" s="65"/>
    </row>
    <row r="90" spans="1:27" ht="15.75" customHeight="1">
      <c r="A90" s="344"/>
      <c r="B90" s="344"/>
      <c r="C90" s="31">
        <v>9</v>
      </c>
      <c r="D90" s="344"/>
      <c r="E90" s="344"/>
      <c r="F90" s="31" t="s">
        <v>2</v>
      </c>
      <c r="G90" s="31" t="s">
        <v>2</v>
      </c>
      <c r="H90" s="23" t="s">
        <v>4365</v>
      </c>
      <c r="I90" s="23" t="s">
        <v>4376</v>
      </c>
      <c r="J90" s="170"/>
      <c r="K90" s="25"/>
      <c r="L90" s="57"/>
      <c r="M90" s="26"/>
      <c r="N90" s="27"/>
      <c r="O90" s="25"/>
      <c r="P90" s="25"/>
      <c r="Q90" s="25" t="s">
        <v>282</v>
      </c>
      <c r="R90" s="25"/>
      <c r="S90" s="25"/>
      <c r="T90" s="65"/>
      <c r="U90" s="65"/>
      <c r="V90" s="65"/>
      <c r="W90" s="65"/>
      <c r="X90" s="65"/>
      <c r="Y90" s="65"/>
      <c r="Z90" s="65"/>
      <c r="AA90" s="65"/>
    </row>
    <row r="91" spans="1:27" ht="15.75" customHeight="1">
      <c r="A91" s="344"/>
      <c r="B91" s="344"/>
      <c r="C91" s="31">
        <v>10</v>
      </c>
      <c r="D91" s="344"/>
      <c r="E91" s="344"/>
      <c r="F91" s="31" t="s">
        <v>2</v>
      </c>
      <c r="G91" s="31" t="s">
        <v>2</v>
      </c>
      <c r="H91" s="23" t="s">
        <v>4365</v>
      </c>
      <c r="I91" s="23" t="s">
        <v>4377</v>
      </c>
      <c r="J91" s="170"/>
      <c r="K91" s="25"/>
      <c r="L91" s="57"/>
      <c r="M91" s="26"/>
      <c r="N91" s="27"/>
      <c r="O91" s="25"/>
      <c r="P91" s="25"/>
      <c r="Q91" s="25" t="s">
        <v>282</v>
      </c>
      <c r="R91" s="25"/>
      <c r="S91" s="25"/>
      <c r="T91" s="65"/>
      <c r="U91" s="65"/>
      <c r="V91" s="65"/>
      <c r="W91" s="65"/>
      <c r="X91" s="65"/>
      <c r="Y91" s="65"/>
      <c r="Z91" s="65"/>
      <c r="AA91" s="65"/>
    </row>
    <row r="92" spans="1:27" ht="15.75" customHeight="1">
      <c r="A92" s="344"/>
      <c r="B92" s="344"/>
      <c r="C92" s="31">
        <v>11</v>
      </c>
      <c r="D92" s="344"/>
      <c r="E92" s="345"/>
      <c r="F92" s="31" t="s">
        <v>2</v>
      </c>
      <c r="G92" s="31" t="s">
        <v>2</v>
      </c>
      <c r="H92" s="23" t="s">
        <v>4365</v>
      </c>
      <c r="I92" s="23" t="s">
        <v>4378</v>
      </c>
      <c r="J92" s="170"/>
      <c r="K92" s="25"/>
      <c r="L92" s="57"/>
      <c r="M92" s="26"/>
      <c r="N92" s="27"/>
      <c r="O92" s="25"/>
      <c r="P92" s="25"/>
      <c r="Q92" s="25" t="s">
        <v>282</v>
      </c>
      <c r="R92" s="25"/>
      <c r="S92" s="25"/>
      <c r="T92" s="65"/>
      <c r="U92" s="65"/>
      <c r="V92" s="65"/>
      <c r="W92" s="65"/>
      <c r="X92" s="65"/>
      <c r="Y92" s="65"/>
      <c r="Z92" s="65"/>
      <c r="AA92" s="65"/>
    </row>
    <row r="93" spans="1:27" ht="30" customHeight="1">
      <c r="A93" s="344"/>
      <c r="B93" s="344"/>
      <c r="C93" s="360">
        <v>12</v>
      </c>
      <c r="D93" s="344"/>
      <c r="E93" s="364" t="s">
        <v>4379</v>
      </c>
      <c r="F93" s="360" t="s">
        <v>2</v>
      </c>
      <c r="G93" s="360" t="s">
        <v>2</v>
      </c>
      <c r="H93" s="364" t="s">
        <v>4365</v>
      </c>
      <c r="I93" s="364" t="s">
        <v>4380</v>
      </c>
      <c r="J93" s="430"/>
      <c r="K93" s="390"/>
      <c r="L93" s="391"/>
      <c r="M93" s="390"/>
      <c r="N93" s="400"/>
      <c r="O93" s="390"/>
      <c r="P93" s="390"/>
      <c r="Q93" s="390" t="s">
        <v>282</v>
      </c>
      <c r="R93" s="390"/>
      <c r="S93" s="152"/>
      <c r="T93" s="65"/>
      <c r="U93" s="65"/>
      <c r="V93" s="65"/>
      <c r="W93" s="65"/>
      <c r="X93" s="65"/>
      <c r="Y93" s="65"/>
      <c r="Z93" s="65"/>
      <c r="AA93" s="65"/>
    </row>
    <row r="94" spans="1:27" ht="30" customHeight="1">
      <c r="A94" s="344"/>
      <c r="B94" s="344"/>
      <c r="C94" s="344"/>
      <c r="D94" s="344"/>
      <c r="E94" s="344"/>
      <c r="F94" s="344"/>
      <c r="G94" s="344"/>
      <c r="H94" s="344"/>
      <c r="I94" s="344"/>
      <c r="J94" s="437"/>
      <c r="K94" s="344"/>
      <c r="L94" s="344"/>
      <c r="M94" s="344"/>
      <c r="N94" s="344"/>
      <c r="O94" s="344"/>
      <c r="P94" s="344"/>
      <c r="Q94" s="344"/>
      <c r="R94" s="344"/>
      <c r="S94" s="163"/>
      <c r="T94" s="65"/>
      <c r="U94" s="65"/>
      <c r="V94" s="65"/>
      <c r="W94" s="65"/>
      <c r="X94" s="65"/>
      <c r="Y94" s="65"/>
      <c r="Z94" s="65"/>
      <c r="AA94" s="65"/>
    </row>
    <row r="95" spans="1:27" ht="30" customHeight="1">
      <c r="A95" s="344"/>
      <c r="B95" s="344"/>
      <c r="C95" s="344"/>
      <c r="D95" s="344"/>
      <c r="E95" s="344"/>
      <c r="F95" s="344"/>
      <c r="G95" s="344"/>
      <c r="H95" s="344"/>
      <c r="I95" s="344"/>
      <c r="J95" s="437"/>
      <c r="K95" s="344"/>
      <c r="L95" s="344"/>
      <c r="M95" s="344"/>
      <c r="N95" s="344"/>
      <c r="O95" s="344"/>
      <c r="P95" s="344"/>
      <c r="Q95" s="344"/>
      <c r="R95" s="344"/>
      <c r="S95" s="163"/>
      <c r="T95" s="65"/>
      <c r="U95" s="65"/>
      <c r="V95" s="65"/>
      <c r="W95" s="65"/>
      <c r="X95" s="65"/>
      <c r="Y95" s="65"/>
      <c r="Z95" s="65"/>
      <c r="AA95" s="65"/>
    </row>
    <row r="96" spans="1:27" ht="30" customHeight="1">
      <c r="A96" s="344"/>
      <c r="B96" s="344"/>
      <c r="C96" s="344"/>
      <c r="D96" s="344"/>
      <c r="E96" s="344"/>
      <c r="F96" s="344"/>
      <c r="G96" s="344"/>
      <c r="H96" s="344"/>
      <c r="I96" s="344"/>
      <c r="J96" s="437"/>
      <c r="K96" s="344"/>
      <c r="L96" s="344"/>
      <c r="M96" s="344"/>
      <c r="N96" s="344"/>
      <c r="O96" s="344"/>
      <c r="P96" s="344"/>
      <c r="Q96" s="344"/>
      <c r="R96" s="344"/>
      <c r="S96" s="163"/>
      <c r="T96" s="65"/>
      <c r="U96" s="65"/>
      <c r="V96" s="65"/>
      <c r="W96" s="65"/>
      <c r="X96" s="65"/>
      <c r="Y96" s="65"/>
      <c r="Z96" s="65"/>
      <c r="AA96" s="65"/>
    </row>
    <row r="97" spans="1:27" ht="30" customHeight="1">
      <c r="A97" s="344"/>
      <c r="B97" s="344"/>
      <c r="C97" s="345"/>
      <c r="D97" s="344"/>
      <c r="E97" s="345"/>
      <c r="F97" s="345"/>
      <c r="G97" s="345"/>
      <c r="H97" s="345"/>
      <c r="I97" s="345"/>
      <c r="J97" s="438"/>
      <c r="K97" s="345"/>
      <c r="L97" s="345"/>
      <c r="M97" s="345"/>
      <c r="N97" s="344"/>
      <c r="O97" s="345"/>
      <c r="P97" s="345"/>
      <c r="Q97" s="345"/>
      <c r="R97" s="345"/>
      <c r="S97" s="154"/>
      <c r="T97" s="65"/>
      <c r="U97" s="65"/>
      <c r="V97" s="65"/>
      <c r="W97" s="65"/>
      <c r="X97" s="65"/>
      <c r="Y97" s="65"/>
      <c r="Z97" s="65"/>
      <c r="AA97" s="65"/>
    </row>
    <row r="98" spans="1:27" ht="15.75" customHeight="1">
      <c r="A98" s="344"/>
      <c r="B98" s="344"/>
      <c r="C98" s="360">
        <v>13</v>
      </c>
      <c r="D98" s="344"/>
      <c r="E98" s="378" t="s">
        <v>4381</v>
      </c>
      <c r="F98" s="367" t="s">
        <v>2</v>
      </c>
      <c r="G98" s="367" t="s">
        <v>2</v>
      </c>
      <c r="H98" s="366" t="s">
        <v>4365</v>
      </c>
      <c r="I98" s="378" t="s">
        <v>4382</v>
      </c>
      <c r="J98" s="167"/>
      <c r="K98" s="390"/>
      <c r="L98" s="391"/>
      <c r="M98" s="390"/>
      <c r="N98" s="400"/>
      <c r="O98" s="390"/>
      <c r="P98" s="390"/>
      <c r="Q98" s="390" t="s">
        <v>282</v>
      </c>
      <c r="R98" s="390"/>
      <c r="S98" s="152"/>
      <c r="T98" s="65"/>
      <c r="U98" s="65"/>
      <c r="V98" s="65"/>
      <c r="W98" s="65"/>
      <c r="X98" s="65"/>
      <c r="Y98" s="65"/>
      <c r="Z98" s="65"/>
      <c r="AA98" s="65"/>
    </row>
    <row r="99" spans="1:27" ht="15.75" customHeight="1">
      <c r="A99" s="344"/>
      <c r="B99" s="344"/>
      <c r="C99" s="344"/>
      <c r="D99" s="344"/>
      <c r="E99" s="344"/>
      <c r="F99" s="344"/>
      <c r="G99" s="344"/>
      <c r="H99" s="344"/>
      <c r="I99" s="344"/>
      <c r="J99" s="437"/>
      <c r="K99" s="344"/>
      <c r="L99" s="344"/>
      <c r="M99" s="344"/>
      <c r="N99" s="344"/>
      <c r="O99" s="344"/>
      <c r="P99" s="344"/>
      <c r="Q99" s="344"/>
      <c r="R99" s="344"/>
      <c r="S99" s="163"/>
      <c r="T99" s="65"/>
      <c r="U99" s="65"/>
      <c r="V99" s="65"/>
      <c r="W99" s="65"/>
      <c r="X99" s="65"/>
      <c r="Y99" s="65"/>
      <c r="Z99" s="65"/>
      <c r="AA99" s="65"/>
    </row>
    <row r="100" spans="1:27" ht="15.75" customHeight="1">
      <c r="A100" s="344"/>
      <c r="B100" s="344"/>
      <c r="C100" s="344"/>
      <c r="D100" s="344"/>
      <c r="E100" s="344"/>
      <c r="F100" s="344"/>
      <c r="G100" s="344"/>
      <c r="H100" s="344"/>
      <c r="I100" s="344"/>
      <c r="J100" s="437"/>
      <c r="K100" s="344"/>
      <c r="L100" s="344"/>
      <c r="M100" s="344"/>
      <c r="N100" s="344"/>
      <c r="O100" s="344"/>
      <c r="P100" s="344"/>
      <c r="Q100" s="344"/>
      <c r="R100" s="344"/>
      <c r="S100" s="163"/>
      <c r="T100" s="65"/>
      <c r="U100" s="65"/>
      <c r="V100" s="65"/>
      <c r="W100" s="65"/>
      <c r="X100" s="65"/>
      <c r="Y100" s="65"/>
      <c r="Z100" s="65"/>
      <c r="AA100" s="65"/>
    </row>
    <row r="101" spans="1:27" ht="15.75" customHeight="1">
      <c r="A101" s="344"/>
      <c r="B101" s="344"/>
      <c r="C101" s="344"/>
      <c r="D101" s="344"/>
      <c r="E101" s="344"/>
      <c r="F101" s="344"/>
      <c r="G101" s="344"/>
      <c r="H101" s="344"/>
      <c r="I101" s="344"/>
      <c r="J101" s="437"/>
      <c r="K101" s="344"/>
      <c r="L101" s="344"/>
      <c r="M101" s="344"/>
      <c r="N101" s="344"/>
      <c r="O101" s="344"/>
      <c r="P101" s="344"/>
      <c r="Q101" s="344"/>
      <c r="R101" s="344"/>
      <c r="S101" s="163"/>
      <c r="T101" s="65"/>
      <c r="U101" s="65"/>
      <c r="V101" s="65"/>
      <c r="W101" s="65"/>
      <c r="X101" s="65"/>
      <c r="Y101" s="65"/>
      <c r="Z101" s="65"/>
      <c r="AA101" s="65"/>
    </row>
    <row r="102" spans="1:27" ht="107.25" customHeight="1">
      <c r="A102" s="344"/>
      <c r="B102" s="344"/>
      <c r="C102" s="345"/>
      <c r="D102" s="344"/>
      <c r="E102" s="345"/>
      <c r="F102" s="345"/>
      <c r="G102" s="345"/>
      <c r="H102" s="345"/>
      <c r="I102" s="345"/>
      <c r="J102" s="438"/>
      <c r="K102" s="345"/>
      <c r="L102" s="345"/>
      <c r="M102" s="345"/>
      <c r="N102" s="344"/>
      <c r="O102" s="345"/>
      <c r="P102" s="345"/>
      <c r="Q102" s="345"/>
      <c r="R102" s="345"/>
      <c r="S102" s="154"/>
      <c r="T102" s="65"/>
      <c r="U102" s="65"/>
      <c r="V102" s="65"/>
      <c r="W102" s="65"/>
      <c r="X102" s="65"/>
      <c r="Y102" s="65"/>
      <c r="Z102" s="65"/>
      <c r="AA102" s="65"/>
    </row>
    <row r="103" spans="1:27" ht="15.75" customHeight="1">
      <c r="A103" s="344"/>
      <c r="B103" s="344"/>
      <c r="C103" s="360">
        <v>14</v>
      </c>
      <c r="D103" s="344"/>
      <c r="E103" s="366" t="s">
        <v>4383</v>
      </c>
      <c r="F103" s="367" t="s">
        <v>2</v>
      </c>
      <c r="G103" s="367" t="s">
        <v>2</v>
      </c>
      <c r="H103" s="366" t="s">
        <v>4365</v>
      </c>
      <c r="I103" s="366" t="s">
        <v>4384</v>
      </c>
      <c r="J103" s="433"/>
      <c r="K103" s="390"/>
      <c r="L103" s="391"/>
      <c r="M103" s="390"/>
      <c r="N103" s="400"/>
      <c r="O103" s="390"/>
      <c r="P103" s="390"/>
      <c r="Q103" s="390" t="s">
        <v>282</v>
      </c>
      <c r="R103" s="390"/>
      <c r="S103" s="152"/>
      <c r="T103" s="65"/>
      <c r="U103" s="65"/>
      <c r="V103" s="65"/>
      <c r="W103" s="65"/>
      <c r="X103" s="65"/>
      <c r="Y103" s="65"/>
      <c r="Z103" s="65"/>
      <c r="AA103" s="65"/>
    </row>
    <row r="104" spans="1:27" ht="15.75" customHeight="1">
      <c r="A104" s="344"/>
      <c r="B104" s="344"/>
      <c r="C104" s="344"/>
      <c r="D104" s="344"/>
      <c r="E104" s="344"/>
      <c r="F104" s="344"/>
      <c r="G104" s="344"/>
      <c r="H104" s="344"/>
      <c r="I104" s="344"/>
      <c r="J104" s="437"/>
      <c r="K104" s="344"/>
      <c r="L104" s="344"/>
      <c r="M104" s="344"/>
      <c r="N104" s="344"/>
      <c r="O104" s="344"/>
      <c r="P104" s="344"/>
      <c r="Q104" s="344"/>
      <c r="R104" s="344"/>
      <c r="S104" s="203"/>
      <c r="T104" s="65"/>
      <c r="U104" s="65"/>
      <c r="V104" s="65"/>
      <c r="W104" s="65"/>
      <c r="X104" s="65"/>
      <c r="Y104" s="65"/>
      <c r="Z104" s="65"/>
      <c r="AA104" s="65"/>
    </row>
    <row r="105" spans="1:27" ht="15.75" customHeight="1">
      <c r="A105" s="344"/>
      <c r="B105" s="344"/>
      <c r="C105" s="344"/>
      <c r="D105" s="344"/>
      <c r="E105" s="344"/>
      <c r="F105" s="344"/>
      <c r="G105" s="344"/>
      <c r="H105" s="344"/>
      <c r="I105" s="344"/>
      <c r="J105" s="437"/>
      <c r="K105" s="344"/>
      <c r="L105" s="344"/>
      <c r="M105" s="344"/>
      <c r="N105" s="344"/>
      <c r="O105" s="344"/>
      <c r="P105" s="344"/>
      <c r="Q105" s="344"/>
      <c r="R105" s="344"/>
      <c r="S105" s="203"/>
      <c r="T105" s="65"/>
      <c r="U105" s="65"/>
      <c r="V105" s="65"/>
      <c r="W105" s="65"/>
      <c r="X105" s="65"/>
      <c r="Y105" s="65"/>
      <c r="Z105" s="65"/>
      <c r="AA105" s="65"/>
    </row>
    <row r="106" spans="1:27" ht="15.75" customHeight="1">
      <c r="A106" s="344"/>
      <c r="B106" s="344"/>
      <c r="C106" s="344"/>
      <c r="D106" s="344"/>
      <c r="E106" s="344"/>
      <c r="F106" s="344"/>
      <c r="G106" s="344"/>
      <c r="H106" s="344"/>
      <c r="I106" s="344"/>
      <c r="J106" s="437"/>
      <c r="K106" s="344"/>
      <c r="L106" s="344"/>
      <c r="M106" s="344"/>
      <c r="N106" s="344"/>
      <c r="O106" s="344"/>
      <c r="P106" s="344"/>
      <c r="Q106" s="344"/>
      <c r="R106" s="344"/>
      <c r="S106" s="203"/>
      <c r="T106" s="65"/>
      <c r="U106" s="65"/>
      <c r="V106" s="65"/>
      <c r="W106" s="65"/>
      <c r="X106" s="65"/>
      <c r="Y106" s="65"/>
      <c r="Z106" s="65"/>
      <c r="AA106" s="65"/>
    </row>
    <row r="107" spans="1:27" ht="394.5" customHeight="1">
      <c r="A107" s="345"/>
      <c r="B107" s="345"/>
      <c r="C107" s="345"/>
      <c r="D107" s="345"/>
      <c r="E107" s="345"/>
      <c r="F107" s="345"/>
      <c r="G107" s="345"/>
      <c r="H107" s="345"/>
      <c r="I107" s="345"/>
      <c r="J107" s="438"/>
      <c r="K107" s="345"/>
      <c r="L107" s="345"/>
      <c r="M107" s="345"/>
      <c r="N107" s="344"/>
      <c r="O107" s="345"/>
      <c r="P107" s="345"/>
      <c r="Q107" s="345"/>
      <c r="R107" s="345"/>
      <c r="S107" s="204"/>
      <c r="T107" s="65"/>
      <c r="U107" s="65"/>
      <c r="V107" s="65"/>
      <c r="W107" s="65"/>
      <c r="X107" s="65"/>
      <c r="Y107" s="65"/>
      <c r="Z107" s="65"/>
      <c r="AA107" s="65"/>
    </row>
    <row r="108" spans="1:27" ht="15.75" customHeight="1">
      <c r="A108" s="68"/>
      <c r="B108" s="68"/>
      <c r="D108" s="68"/>
      <c r="E108" s="69"/>
      <c r="K108" s="68"/>
      <c r="L108" s="68"/>
      <c r="M108" s="68"/>
      <c r="O108" s="68"/>
      <c r="P108" s="68"/>
      <c r="Q108" s="68"/>
      <c r="R108" s="68"/>
      <c r="S108" s="68"/>
    </row>
    <row r="109" spans="1:27" ht="15.75" customHeight="1">
      <c r="A109" s="68"/>
      <c r="B109" s="68"/>
      <c r="D109" s="68"/>
      <c r="E109" s="69"/>
      <c r="K109" s="68"/>
      <c r="L109" s="68"/>
      <c r="M109" s="68"/>
      <c r="O109" s="68"/>
      <c r="P109" s="68"/>
      <c r="Q109" s="68"/>
      <c r="R109" s="68"/>
      <c r="S109" s="68"/>
    </row>
    <row r="110" spans="1:27" ht="15.75" customHeight="1">
      <c r="A110" s="68"/>
      <c r="B110" s="68"/>
      <c r="D110" s="68"/>
      <c r="E110" s="69"/>
      <c r="I110" s="195"/>
      <c r="J110" s="195"/>
      <c r="K110" s="68"/>
      <c r="L110" s="68"/>
      <c r="M110" s="68"/>
      <c r="O110" s="68"/>
      <c r="P110" s="68"/>
      <c r="Q110" s="68"/>
      <c r="R110" s="68"/>
      <c r="S110" s="68"/>
    </row>
    <row r="111" spans="1:27" ht="15.75" customHeight="1">
      <c r="A111" s="68"/>
      <c r="B111" s="68"/>
      <c r="D111" s="68"/>
      <c r="E111" s="69"/>
      <c r="K111" s="68"/>
      <c r="L111" s="68"/>
      <c r="M111" s="68"/>
      <c r="O111" s="68"/>
      <c r="P111" s="68"/>
      <c r="Q111" s="68"/>
      <c r="R111" s="68"/>
      <c r="S111" s="68"/>
    </row>
    <row r="112" spans="1:27" ht="15.75" customHeight="1">
      <c r="A112" s="68"/>
      <c r="B112" s="68"/>
      <c r="D112" s="68"/>
      <c r="E112" s="69"/>
      <c r="K112" s="68"/>
      <c r="L112" s="68"/>
      <c r="M112" s="68"/>
      <c r="O112" s="68"/>
      <c r="P112" s="68"/>
      <c r="Q112" s="68"/>
      <c r="R112" s="68"/>
      <c r="S112" s="68"/>
    </row>
    <row r="113" spans="1:19" ht="15.75" customHeight="1">
      <c r="A113" s="68"/>
      <c r="B113" s="68"/>
      <c r="D113" s="68"/>
      <c r="E113" s="69"/>
      <c r="K113" s="68"/>
      <c r="L113" s="68"/>
      <c r="M113" s="68"/>
      <c r="O113" s="68"/>
      <c r="P113" s="68"/>
      <c r="Q113" s="68"/>
      <c r="R113" s="68"/>
      <c r="S113" s="68"/>
    </row>
    <row r="114" spans="1:19" ht="15.75" customHeight="1">
      <c r="A114" s="68"/>
      <c r="B114" s="68"/>
      <c r="D114" s="68"/>
      <c r="E114" s="69"/>
      <c r="K114" s="68"/>
      <c r="L114" s="68"/>
      <c r="M114" s="68"/>
      <c r="O114" s="68"/>
      <c r="P114" s="68"/>
      <c r="Q114" s="68"/>
      <c r="R114" s="68"/>
      <c r="S114" s="68"/>
    </row>
    <row r="115" spans="1:19" ht="15.75" customHeight="1">
      <c r="A115" s="68"/>
      <c r="B115" s="68"/>
      <c r="D115" s="68"/>
      <c r="E115" s="69"/>
      <c r="K115" s="68"/>
      <c r="L115" s="68"/>
      <c r="M115" s="68"/>
      <c r="O115" s="68"/>
      <c r="P115" s="68"/>
      <c r="Q115" s="68"/>
      <c r="R115" s="68"/>
      <c r="S115" s="68"/>
    </row>
    <row r="116" spans="1:19" ht="15.75" customHeight="1">
      <c r="A116" s="68"/>
      <c r="B116" s="68"/>
      <c r="D116" s="68"/>
      <c r="E116" s="69"/>
      <c r="K116" s="68"/>
      <c r="L116" s="68"/>
      <c r="M116" s="68"/>
      <c r="O116" s="68"/>
      <c r="P116" s="68"/>
      <c r="Q116" s="68"/>
      <c r="R116" s="68"/>
      <c r="S116" s="68"/>
    </row>
    <row r="117" spans="1:19" ht="15.75" customHeight="1">
      <c r="A117" s="68"/>
      <c r="B117" s="68"/>
      <c r="D117" s="68"/>
      <c r="E117" s="69"/>
      <c r="K117" s="68"/>
      <c r="L117" s="68"/>
      <c r="M117" s="68"/>
      <c r="O117" s="68"/>
      <c r="P117" s="68"/>
      <c r="Q117" s="68"/>
      <c r="R117" s="68"/>
      <c r="S117" s="68"/>
    </row>
    <row r="118" spans="1:19" ht="15.75" customHeight="1">
      <c r="A118" s="68"/>
      <c r="B118" s="68"/>
      <c r="D118" s="68"/>
      <c r="E118" s="69"/>
      <c r="K118" s="68"/>
      <c r="L118" s="68"/>
      <c r="M118" s="68"/>
      <c r="O118" s="68"/>
      <c r="P118" s="68"/>
      <c r="Q118" s="68"/>
      <c r="R118" s="68"/>
      <c r="S118" s="68"/>
    </row>
    <row r="119" spans="1:19" ht="15.75" customHeight="1">
      <c r="A119" s="68"/>
      <c r="B119" s="68"/>
      <c r="D119" s="68"/>
      <c r="E119" s="69"/>
      <c r="K119" s="68"/>
      <c r="L119" s="68"/>
      <c r="M119" s="68"/>
      <c r="O119" s="68"/>
      <c r="P119" s="68"/>
      <c r="Q119" s="68"/>
      <c r="R119" s="68"/>
      <c r="S119" s="68"/>
    </row>
    <row r="120" spans="1:19" ht="15.75" customHeight="1">
      <c r="A120" s="68"/>
      <c r="B120" s="68"/>
      <c r="D120" s="68"/>
      <c r="E120" s="69"/>
      <c r="K120" s="68"/>
      <c r="L120" s="68"/>
      <c r="M120" s="68"/>
      <c r="O120" s="68"/>
      <c r="P120" s="68"/>
      <c r="Q120" s="68"/>
      <c r="R120" s="68"/>
      <c r="S120" s="68"/>
    </row>
    <row r="121" spans="1:19" ht="15.75" customHeight="1">
      <c r="A121" s="68"/>
      <c r="B121" s="68"/>
      <c r="D121" s="68"/>
      <c r="E121" s="69"/>
      <c r="K121" s="68"/>
      <c r="L121" s="68"/>
      <c r="M121" s="68"/>
      <c r="O121" s="68"/>
      <c r="P121" s="68"/>
      <c r="Q121" s="68"/>
      <c r="R121" s="68"/>
      <c r="S121" s="68"/>
    </row>
    <row r="122" spans="1:19" ht="15.75" customHeight="1">
      <c r="A122" s="68"/>
      <c r="B122" s="68"/>
      <c r="D122" s="68"/>
      <c r="E122" s="69"/>
      <c r="K122" s="68"/>
      <c r="L122" s="68"/>
      <c r="M122" s="68"/>
      <c r="O122" s="68"/>
      <c r="P122" s="68"/>
      <c r="Q122" s="68"/>
      <c r="R122" s="68"/>
      <c r="S122" s="68"/>
    </row>
    <row r="123" spans="1:19" ht="15.75" customHeight="1">
      <c r="A123" s="68"/>
      <c r="B123" s="68"/>
      <c r="D123" s="68"/>
      <c r="E123" s="69"/>
      <c r="K123" s="68"/>
      <c r="L123" s="68"/>
      <c r="M123" s="68"/>
      <c r="O123" s="68"/>
      <c r="P123" s="68"/>
      <c r="Q123" s="68"/>
      <c r="R123" s="68"/>
      <c r="S123" s="68"/>
    </row>
    <row r="124" spans="1:19" ht="15.75" customHeight="1">
      <c r="A124" s="68"/>
      <c r="B124" s="68"/>
      <c r="D124" s="68"/>
      <c r="E124" s="69"/>
      <c r="K124" s="68"/>
      <c r="L124" s="68"/>
      <c r="M124" s="68"/>
      <c r="O124" s="68"/>
      <c r="P124" s="68"/>
      <c r="Q124" s="68"/>
      <c r="R124" s="68"/>
      <c r="S124" s="68"/>
    </row>
    <row r="125" spans="1:19" ht="15.75" customHeight="1">
      <c r="A125" s="68"/>
      <c r="B125" s="68"/>
      <c r="D125" s="68"/>
      <c r="E125" s="69"/>
      <c r="K125" s="68"/>
      <c r="L125" s="68"/>
      <c r="M125" s="68"/>
      <c r="O125" s="68"/>
      <c r="P125" s="68"/>
      <c r="Q125" s="68"/>
      <c r="R125" s="68"/>
      <c r="S125" s="68"/>
    </row>
    <row r="126" spans="1:19" ht="15.75" customHeight="1">
      <c r="A126" s="68"/>
      <c r="B126" s="68"/>
      <c r="D126" s="68"/>
      <c r="E126" s="69"/>
      <c r="K126" s="68"/>
      <c r="L126" s="68"/>
      <c r="M126" s="68"/>
      <c r="O126" s="68"/>
      <c r="P126" s="68"/>
      <c r="Q126" s="68"/>
      <c r="R126" s="68"/>
      <c r="S126" s="68"/>
    </row>
    <row r="127" spans="1:19" ht="15.75" customHeight="1">
      <c r="A127" s="68"/>
      <c r="B127" s="68"/>
      <c r="D127" s="68"/>
      <c r="E127" s="69"/>
      <c r="K127" s="68"/>
      <c r="L127" s="68"/>
      <c r="M127" s="68"/>
      <c r="O127" s="68"/>
      <c r="P127" s="68"/>
      <c r="Q127" s="68"/>
      <c r="R127" s="68"/>
      <c r="S127" s="68"/>
    </row>
    <row r="128" spans="1:19" ht="15.75" customHeight="1">
      <c r="A128" s="68"/>
      <c r="B128" s="68"/>
      <c r="D128" s="68"/>
      <c r="E128" s="69"/>
      <c r="K128" s="68"/>
      <c r="L128" s="68"/>
      <c r="M128" s="68"/>
      <c r="O128" s="68"/>
      <c r="P128" s="68"/>
      <c r="Q128" s="68"/>
      <c r="R128" s="68"/>
      <c r="S128" s="68"/>
    </row>
    <row r="129" spans="1:19" ht="15.75" customHeight="1">
      <c r="A129" s="68"/>
      <c r="B129" s="68"/>
      <c r="D129" s="68"/>
      <c r="E129" s="69"/>
      <c r="K129" s="68"/>
      <c r="L129" s="68"/>
      <c r="M129" s="68"/>
      <c r="O129" s="68"/>
      <c r="P129" s="68"/>
      <c r="Q129" s="68"/>
      <c r="R129" s="68"/>
      <c r="S129" s="68"/>
    </row>
    <row r="130" spans="1:19" ht="15.75" customHeight="1">
      <c r="A130" s="68"/>
      <c r="B130" s="68"/>
      <c r="D130" s="68"/>
      <c r="E130" s="69"/>
      <c r="K130" s="68"/>
      <c r="L130" s="68"/>
      <c r="M130" s="68"/>
      <c r="O130" s="68"/>
      <c r="P130" s="68"/>
      <c r="Q130" s="68"/>
      <c r="R130" s="68"/>
      <c r="S130" s="68"/>
    </row>
    <row r="131" spans="1:19" ht="15.75" customHeight="1">
      <c r="A131" s="68"/>
      <c r="B131" s="68"/>
      <c r="D131" s="68"/>
      <c r="E131" s="69"/>
      <c r="K131" s="68"/>
      <c r="L131" s="68"/>
      <c r="M131" s="68"/>
      <c r="O131" s="68"/>
      <c r="P131" s="68"/>
      <c r="Q131" s="68"/>
      <c r="R131" s="68"/>
      <c r="S131" s="68"/>
    </row>
    <row r="132" spans="1:19" ht="15.75" customHeight="1">
      <c r="A132" s="68"/>
      <c r="B132" s="68"/>
      <c r="D132" s="68"/>
      <c r="E132" s="69"/>
      <c r="K132" s="68"/>
      <c r="L132" s="68"/>
      <c r="M132" s="68"/>
      <c r="O132" s="68"/>
      <c r="P132" s="68"/>
      <c r="Q132" s="68"/>
      <c r="R132" s="68"/>
      <c r="S132" s="68"/>
    </row>
    <row r="133" spans="1:19" ht="15.75" customHeight="1">
      <c r="A133" s="68"/>
      <c r="B133" s="68"/>
      <c r="D133" s="68"/>
      <c r="E133" s="69"/>
      <c r="K133" s="68"/>
      <c r="L133" s="68"/>
      <c r="M133" s="68"/>
      <c r="O133" s="68"/>
      <c r="P133" s="68"/>
      <c r="Q133" s="68"/>
      <c r="R133" s="68"/>
      <c r="S133" s="68"/>
    </row>
    <row r="134" spans="1:19" ht="15.75" customHeight="1">
      <c r="A134" s="68"/>
      <c r="B134" s="68"/>
      <c r="D134" s="68"/>
      <c r="E134" s="69"/>
      <c r="K134" s="68"/>
      <c r="L134" s="68"/>
      <c r="M134" s="68"/>
      <c r="O134" s="68"/>
      <c r="P134" s="68"/>
      <c r="Q134" s="68"/>
      <c r="R134" s="68"/>
      <c r="S134" s="68"/>
    </row>
    <row r="135" spans="1:19" ht="15.75" customHeight="1">
      <c r="A135" s="68"/>
      <c r="B135" s="68"/>
      <c r="D135" s="68"/>
      <c r="E135" s="69"/>
      <c r="K135" s="68"/>
      <c r="L135" s="68"/>
      <c r="M135" s="68"/>
      <c r="O135" s="68"/>
      <c r="P135" s="68"/>
      <c r="Q135" s="68"/>
      <c r="R135" s="68"/>
      <c r="S135" s="68"/>
    </row>
    <row r="136" spans="1:19" ht="15.75" customHeight="1">
      <c r="A136" s="68"/>
      <c r="B136" s="68"/>
      <c r="D136" s="68"/>
      <c r="E136" s="69"/>
      <c r="K136" s="68"/>
      <c r="L136" s="68"/>
      <c r="M136" s="68"/>
      <c r="O136" s="68"/>
      <c r="P136" s="68"/>
      <c r="Q136" s="68"/>
      <c r="R136" s="68"/>
      <c r="S136" s="68"/>
    </row>
    <row r="137" spans="1:19" ht="15.75" customHeight="1">
      <c r="A137" s="68"/>
      <c r="B137" s="68"/>
      <c r="D137" s="68"/>
      <c r="E137" s="69"/>
      <c r="K137" s="68"/>
      <c r="L137" s="68"/>
      <c r="M137" s="68"/>
      <c r="O137" s="68"/>
      <c r="P137" s="68"/>
      <c r="Q137" s="68"/>
      <c r="R137" s="68"/>
      <c r="S137" s="68"/>
    </row>
    <row r="138" spans="1:19" ht="15.75" customHeight="1">
      <c r="A138" s="68"/>
      <c r="B138" s="68"/>
      <c r="D138" s="68"/>
      <c r="E138" s="69"/>
      <c r="K138" s="68"/>
      <c r="L138" s="68"/>
      <c r="M138" s="68"/>
      <c r="O138" s="68"/>
      <c r="P138" s="68"/>
      <c r="Q138" s="68"/>
      <c r="R138" s="68"/>
      <c r="S138" s="68"/>
    </row>
    <row r="139" spans="1:19" ht="15.75" customHeight="1">
      <c r="A139" s="68"/>
      <c r="B139" s="68"/>
      <c r="D139" s="68"/>
      <c r="E139" s="69"/>
      <c r="K139" s="68"/>
      <c r="L139" s="68"/>
      <c r="M139" s="68"/>
      <c r="O139" s="68"/>
      <c r="P139" s="68"/>
      <c r="Q139" s="68"/>
      <c r="R139" s="68"/>
      <c r="S139" s="68"/>
    </row>
    <row r="140" spans="1:19" ht="15.75" customHeight="1">
      <c r="A140" s="68"/>
      <c r="B140" s="68"/>
      <c r="D140" s="68"/>
      <c r="E140" s="69"/>
      <c r="K140" s="68"/>
      <c r="L140" s="68"/>
      <c r="M140" s="68"/>
      <c r="O140" s="68"/>
      <c r="P140" s="68"/>
      <c r="Q140" s="68"/>
      <c r="R140" s="68"/>
      <c r="S140" s="68"/>
    </row>
    <row r="141" spans="1:19" ht="15.75" customHeight="1">
      <c r="A141" s="68"/>
      <c r="B141" s="68"/>
      <c r="D141" s="68"/>
      <c r="E141" s="69"/>
      <c r="K141" s="68"/>
      <c r="L141" s="68"/>
      <c r="M141" s="68"/>
      <c r="O141" s="68"/>
      <c r="P141" s="68"/>
      <c r="Q141" s="68"/>
      <c r="R141" s="68"/>
      <c r="S141" s="68"/>
    </row>
    <row r="142" spans="1:19" ht="15.75" customHeight="1">
      <c r="A142" s="68"/>
      <c r="B142" s="68"/>
      <c r="D142" s="68"/>
      <c r="E142" s="69"/>
      <c r="K142" s="68"/>
      <c r="L142" s="68"/>
      <c r="M142" s="68"/>
      <c r="O142" s="68"/>
      <c r="P142" s="68"/>
      <c r="Q142" s="68"/>
      <c r="R142" s="68"/>
      <c r="S142" s="68"/>
    </row>
    <row r="143" spans="1:19" ht="15.75" customHeight="1">
      <c r="A143" s="68"/>
      <c r="B143" s="68"/>
      <c r="D143" s="68"/>
      <c r="E143" s="69"/>
      <c r="K143" s="68"/>
      <c r="L143" s="68"/>
      <c r="M143" s="68"/>
      <c r="O143" s="68"/>
      <c r="P143" s="68"/>
      <c r="Q143" s="68"/>
      <c r="R143" s="68"/>
      <c r="S143" s="68"/>
    </row>
    <row r="144" spans="1:19" ht="15.75" customHeight="1">
      <c r="A144" s="68"/>
      <c r="B144" s="68"/>
      <c r="D144" s="68"/>
      <c r="E144" s="69"/>
      <c r="K144" s="68"/>
      <c r="L144" s="68"/>
      <c r="M144" s="68"/>
      <c r="O144" s="68"/>
      <c r="P144" s="68"/>
      <c r="Q144" s="68"/>
      <c r="R144" s="68"/>
      <c r="S144" s="68"/>
    </row>
    <row r="145" spans="1:19" ht="15.75" customHeight="1">
      <c r="A145" s="68"/>
      <c r="B145" s="68"/>
      <c r="D145" s="68"/>
      <c r="E145" s="69"/>
      <c r="K145" s="68"/>
      <c r="L145" s="68"/>
      <c r="M145" s="68"/>
      <c r="O145" s="68"/>
      <c r="P145" s="68"/>
      <c r="Q145" s="68"/>
      <c r="R145" s="68"/>
      <c r="S145" s="68"/>
    </row>
    <row r="146" spans="1:19" ht="15.75" customHeight="1">
      <c r="A146" s="68"/>
      <c r="B146" s="68"/>
      <c r="D146" s="68"/>
      <c r="E146" s="69"/>
      <c r="K146" s="68"/>
      <c r="L146" s="68"/>
      <c r="M146" s="68"/>
      <c r="O146" s="68"/>
      <c r="P146" s="68"/>
      <c r="Q146" s="68"/>
      <c r="R146" s="68"/>
      <c r="S146" s="68"/>
    </row>
    <row r="147" spans="1:19" ht="15.75" customHeight="1">
      <c r="A147" s="68"/>
      <c r="B147" s="68"/>
      <c r="D147" s="68"/>
      <c r="E147" s="69"/>
      <c r="K147" s="68"/>
      <c r="L147" s="68"/>
      <c r="M147" s="68"/>
      <c r="O147" s="68"/>
      <c r="P147" s="68"/>
      <c r="Q147" s="68"/>
      <c r="R147" s="68"/>
      <c r="S147" s="68"/>
    </row>
    <row r="148" spans="1:19" ht="15.75" customHeight="1">
      <c r="A148" s="68"/>
      <c r="B148" s="68"/>
      <c r="D148" s="68"/>
      <c r="E148" s="69"/>
      <c r="K148" s="68"/>
      <c r="L148" s="68"/>
      <c r="M148" s="68"/>
      <c r="O148" s="68"/>
      <c r="P148" s="68"/>
      <c r="Q148" s="68"/>
      <c r="R148" s="68"/>
      <c r="S148" s="68"/>
    </row>
    <row r="149" spans="1:19" ht="15.75" customHeight="1">
      <c r="A149" s="68"/>
      <c r="B149" s="68"/>
      <c r="D149" s="68"/>
      <c r="E149" s="69"/>
      <c r="K149" s="68"/>
      <c r="L149" s="68"/>
      <c r="M149" s="68"/>
      <c r="O149" s="68"/>
      <c r="P149" s="68"/>
      <c r="Q149" s="68"/>
      <c r="R149" s="68"/>
      <c r="S149" s="68"/>
    </row>
    <row r="150" spans="1:19" ht="15.75" customHeight="1">
      <c r="A150" s="68"/>
      <c r="B150" s="68"/>
      <c r="D150" s="68"/>
      <c r="E150" s="69"/>
      <c r="K150" s="68"/>
      <c r="L150" s="68"/>
      <c r="M150" s="68"/>
      <c r="O150" s="68"/>
      <c r="P150" s="68"/>
      <c r="Q150" s="68"/>
      <c r="R150" s="68"/>
      <c r="S150" s="68"/>
    </row>
    <row r="151" spans="1:19" ht="15.75" customHeight="1">
      <c r="A151" s="68"/>
      <c r="B151" s="68"/>
      <c r="D151" s="68"/>
      <c r="E151" s="69"/>
      <c r="K151" s="68"/>
      <c r="L151" s="68"/>
      <c r="M151" s="68"/>
      <c r="O151" s="68"/>
      <c r="P151" s="68"/>
      <c r="Q151" s="68"/>
      <c r="R151" s="68"/>
      <c r="S151" s="68"/>
    </row>
    <row r="152" spans="1:19" ht="15.75" customHeight="1">
      <c r="A152" s="68"/>
      <c r="B152" s="68"/>
      <c r="D152" s="68"/>
      <c r="E152" s="69"/>
      <c r="K152" s="68"/>
      <c r="L152" s="68"/>
      <c r="M152" s="68"/>
      <c r="O152" s="68"/>
      <c r="P152" s="68"/>
      <c r="Q152" s="68"/>
      <c r="R152" s="68"/>
      <c r="S152" s="68"/>
    </row>
    <row r="153" spans="1:19" ht="15.75" customHeight="1">
      <c r="A153" s="68"/>
      <c r="B153" s="68"/>
      <c r="D153" s="68"/>
      <c r="E153" s="69"/>
      <c r="K153" s="68"/>
      <c r="L153" s="68"/>
      <c r="M153" s="68"/>
      <c r="O153" s="68"/>
      <c r="P153" s="68"/>
      <c r="Q153" s="68"/>
      <c r="R153" s="68"/>
      <c r="S153" s="68"/>
    </row>
    <row r="154" spans="1:19" ht="15.75" customHeight="1">
      <c r="A154" s="68"/>
      <c r="B154" s="68"/>
      <c r="D154" s="68"/>
      <c r="E154" s="69"/>
      <c r="K154" s="68"/>
      <c r="L154" s="68"/>
      <c r="M154" s="68"/>
      <c r="O154" s="68"/>
      <c r="P154" s="68"/>
      <c r="Q154" s="68"/>
      <c r="R154" s="68"/>
      <c r="S154" s="68"/>
    </row>
    <row r="155" spans="1:19" ht="15.75" customHeight="1">
      <c r="A155" s="68"/>
      <c r="B155" s="68"/>
      <c r="D155" s="68"/>
      <c r="E155" s="69"/>
      <c r="K155" s="68"/>
      <c r="L155" s="68"/>
      <c r="M155" s="68"/>
      <c r="O155" s="68"/>
      <c r="P155" s="68"/>
      <c r="Q155" s="68"/>
      <c r="R155" s="68"/>
      <c r="S155" s="68"/>
    </row>
    <row r="156" spans="1:19" ht="15.75" customHeight="1">
      <c r="A156" s="68"/>
      <c r="B156" s="68"/>
      <c r="D156" s="68"/>
      <c r="E156" s="69"/>
      <c r="K156" s="68"/>
      <c r="L156" s="68"/>
      <c r="M156" s="68"/>
      <c r="O156" s="68"/>
      <c r="P156" s="68"/>
      <c r="Q156" s="68"/>
      <c r="R156" s="68"/>
      <c r="S156" s="68"/>
    </row>
    <row r="157" spans="1:19" ht="15.75" customHeight="1">
      <c r="A157" s="68"/>
      <c r="B157" s="68"/>
      <c r="D157" s="68"/>
      <c r="E157" s="69"/>
      <c r="K157" s="68"/>
      <c r="L157" s="68"/>
      <c r="M157" s="68"/>
      <c r="O157" s="68"/>
      <c r="P157" s="68"/>
      <c r="Q157" s="68"/>
      <c r="R157" s="68"/>
      <c r="S157" s="68"/>
    </row>
    <row r="158" spans="1:19" ht="15.75" customHeight="1">
      <c r="A158" s="68"/>
      <c r="B158" s="68"/>
      <c r="D158" s="68"/>
      <c r="E158" s="69"/>
      <c r="K158" s="68"/>
      <c r="L158" s="68"/>
      <c r="M158" s="68"/>
      <c r="O158" s="68"/>
      <c r="P158" s="68"/>
      <c r="Q158" s="68"/>
      <c r="R158" s="68"/>
      <c r="S158" s="68"/>
    </row>
    <row r="159" spans="1:19" ht="15.75" customHeight="1">
      <c r="A159" s="68"/>
      <c r="B159" s="68"/>
      <c r="D159" s="68"/>
      <c r="E159" s="69"/>
      <c r="K159" s="68"/>
      <c r="L159" s="68"/>
      <c r="M159" s="68"/>
      <c r="O159" s="68"/>
      <c r="P159" s="68"/>
      <c r="Q159" s="68"/>
      <c r="R159" s="68"/>
      <c r="S159" s="68"/>
    </row>
    <row r="160" spans="1:19" ht="15.75" customHeight="1">
      <c r="A160" s="68"/>
      <c r="B160" s="68"/>
      <c r="D160" s="68"/>
      <c r="E160" s="69"/>
      <c r="K160" s="68"/>
      <c r="L160" s="68"/>
      <c r="M160" s="68"/>
      <c r="O160" s="68"/>
      <c r="P160" s="68"/>
      <c r="Q160" s="68"/>
      <c r="R160" s="68"/>
      <c r="S160" s="68"/>
    </row>
    <row r="161" spans="1:19" ht="15.75" customHeight="1">
      <c r="A161" s="68"/>
      <c r="B161" s="68"/>
      <c r="D161" s="68"/>
      <c r="E161" s="69"/>
      <c r="K161" s="68"/>
      <c r="L161" s="68"/>
      <c r="M161" s="68"/>
      <c r="O161" s="68"/>
      <c r="P161" s="68"/>
      <c r="Q161" s="68"/>
      <c r="R161" s="68"/>
      <c r="S161" s="68"/>
    </row>
    <row r="162" spans="1:19" ht="15.75" customHeight="1">
      <c r="A162" s="68"/>
      <c r="B162" s="68"/>
      <c r="D162" s="68"/>
      <c r="E162" s="69"/>
      <c r="K162" s="68"/>
      <c r="L162" s="68"/>
      <c r="M162" s="68"/>
      <c r="O162" s="68"/>
      <c r="P162" s="68"/>
      <c r="Q162" s="68"/>
      <c r="R162" s="68"/>
      <c r="S162" s="68"/>
    </row>
    <row r="163" spans="1:19" ht="15.75" customHeight="1">
      <c r="A163" s="68"/>
      <c r="B163" s="68"/>
      <c r="D163" s="68"/>
      <c r="E163" s="69"/>
      <c r="K163" s="68"/>
      <c r="L163" s="68"/>
      <c r="M163" s="68"/>
      <c r="O163" s="68"/>
      <c r="P163" s="68"/>
      <c r="Q163" s="68"/>
      <c r="R163" s="68"/>
      <c r="S163" s="68"/>
    </row>
    <row r="164" spans="1:19" ht="15.75" customHeight="1">
      <c r="A164" s="68"/>
      <c r="B164" s="68"/>
      <c r="D164" s="68"/>
      <c r="E164" s="69"/>
      <c r="K164" s="68"/>
      <c r="L164" s="68"/>
      <c r="M164" s="68"/>
      <c r="O164" s="68"/>
      <c r="P164" s="68"/>
      <c r="Q164" s="68"/>
      <c r="R164" s="68"/>
      <c r="S164" s="68"/>
    </row>
    <row r="165" spans="1:19" ht="15.75" customHeight="1">
      <c r="A165" s="68"/>
      <c r="B165" s="68"/>
      <c r="D165" s="68"/>
      <c r="E165" s="69"/>
      <c r="K165" s="68"/>
      <c r="L165" s="68"/>
      <c r="M165" s="68"/>
      <c r="O165" s="68"/>
      <c r="P165" s="68"/>
      <c r="Q165" s="68"/>
      <c r="R165" s="68"/>
      <c r="S165" s="68"/>
    </row>
    <row r="166" spans="1:19" ht="15.75" customHeight="1">
      <c r="A166" s="68"/>
      <c r="B166" s="68"/>
      <c r="D166" s="68"/>
      <c r="E166" s="69"/>
      <c r="K166" s="68"/>
      <c r="L166" s="68"/>
      <c r="M166" s="68"/>
      <c r="O166" s="68"/>
      <c r="P166" s="68"/>
      <c r="Q166" s="68"/>
      <c r="R166" s="68"/>
      <c r="S166" s="68"/>
    </row>
    <row r="167" spans="1:19" ht="15.75" customHeight="1">
      <c r="A167" s="68"/>
      <c r="B167" s="68"/>
      <c r="D167" s="68"/>
      <c r="E167" s="69"/>
      <c r="K167" s="68"/>
      <c r="L167" s="68"/>
      <c r="M167" s="68"/>
      <c r="O167" s="68"/>
      <c r="P167" s="68"/>
      <c r="Q167" s="68"/>
      <c r="R167" s="68"/>
      <c r="S167" s="68"/>
    </row>
    <row r="168" spans="1:19" ht="15.75" customHeight="1">
      <c r="A168" s="68"/>
      <c r="B168" s="68"/>
      <c r="D168" s="68"/>
      <c r="E168" s="69"/>
      <c r="K168" s="68"/>
      <c r="L168" s="68"/>
      <c r="M168" s="68"/>
      <c r="O168" s="68"/>
      <c r="P168" s="68"/>
      <c r="Q168" s="68"/>
      <c r="R168" s="68"/>
      <c r="S168" s="68"/>
    </row>
    <row r="169" spans="1:19" ht="15.75" customHeight="1">
      <c r="A169" s="68"/>
      <c r="B169" s="68"/>
      <c r="D169" s="68"/>
      <c r="E169" s="69"/>
      <c r="K169" s="68"/>
      <c r="L169" s="68"/>
      <c r="M169" s="68"/>
      <c r="O169" s="68"/>
      <c r="P169" s="68"/>
      <c r="Q169" s="68"/>
      <c r="R169" s="68"/>
      <c r="S169" s="68"/>
    </row>
    <row r="170" spans="1:19" ht="15.75" customHeight="1">
      <c r="A170" s="68"/>
      <c r="B170" s="68"/>
      <c r="D170" s="68"/>
      <c r="E170" s="69"/>
      <c r="K170" s="68"/>
      <c r="L170" s="68"/>
      <c r="M170" s="68"/>
      <c r="O170" s="68"/>
      <c r="P170" s="68"/>
      <c r="Q170" s="68"/>
      <c r="R170" s="68"/>
      <c r="S170" s="68"/>
    </row>
    <row r="171" spans="1:19" ht="15.75" customHeight="1">
      <c r="A171" s="68"/>
      <c r="B171" s="68"/>
      <c r="D171" s="68"/>
      <c r="E171" s="69"/>
      <c r="K171" s="68"/>
      <c r="L171" s="68"/>
      <c r="M171" s="68"/>
      <c r="O171" s="68"/>
      <c r="P171" s="68"/>
      <c r="Q171" s="68"/>
      <c r="R171" s="68"/>
      <c r="S171" s="68"/>
    </row>
    <row r="172" spans="1:19" ht="15.75" customHeight="1">
      <c r="A172" s="68"/>
      <c r="B172" s="68"/>
      <c r="D172" s="68"/>
      <c r="E172" s="69"/>
      <c r="K172" s="68"/>
      <c r="L172" s="68"/>
      <c r="M172" s="68"/>
      <c r="O172" s="68"/>
      <c r="P172" s="68"/>
      <c r="Q172" s="68"/>
      <c r="R172" s="68"/>
      <c r="S172" s="68"/>
    </row>
    <row r="173" spans="1:19" ht="15.75" customHeight="1">
      <c r="A173" s="68"/>
      <c r="B173" s="68"/>
      <c r="D173" s="68"/>
      <c r="E173" s="69"/>
      <c r="K173" s="68"/>
      <c r="L173" s="68"/>
      <c r="M173" s="68"/>
      <c r="O173" s="68"/>
      <c r="P173" s="68"/>
      <c r="Q173" s="68"/>
      <c r="R173" s="68"/>
      <c r="S173" s="68"/>
    </row>
    <row r="174" spans="1:19" ht="15.75" customHeight="1">
      <c r="A174" s="68"/>
      <c r="B174" s="68"/>
      <c r="D174" s="68"/>
      <c r="E174" s="69"/>
      <c r="K174" s="68"/>
      <c r="L174" s="68"/>
      <c r="M174" s="68"/>
      <c r="O174" s="68"/>
      <c r="P174" s="68"/>
      <c r="Q174" s="68"/>
      <c r="R174" s="68"/>
      <c r="S174" s="68"/>
    </row>
    <row r="175" spans="1:19" ht="15.75" customHeight="1">
      <c r="A175" s="68"/>
      <c r="B175" s="68"/>
      <c r="D175" s="68"/>
      <c r="E175" s="69"/>
      <c r="K175" s="68"/>
      <c r="L175" s="68"/>
      <c r="M175" s="68"/>
      <c r="O175" s="68"/>
      <c r="P175" s="68"/>
      <c r="Q175" s="68"/>
      <c r="R175" s="68"/>
      <c r="S175" s="68"/>
    </row>
    <row r="176" spans="1:19" ht="15.75" customHeight="1">
      <c r="A176" s="68"/>
      <c r="B176" s="68"/>
      <c r="D176" s="68"/>
      <c r="E176" s="69"/>
      <c r="K176" s="68"/>
      <c r="L176" s="68"/>
      <c r="M176" s="68"/>
      <c r="O176" s="68"/>
      <c r="P176" s="68"/>
      <c r="Q176" s="68"/>
      <c r="R176" s="68"/>
      <c r="S176" s="68"/>
    </row>
    <row r="177" spans="1:19" ht="15.75" customHeight="1">
      <c r="A177" s="68"/>
      <c r="B177" s="68"/>
      <c r="D177" s="68"/>
      <c r="E177" s="69"/>
      <c r="K177" s="68"/>
      <c r="L177" s="68"/>
      <c r="M177" s="68"/>
      <c r="O177" s="68"/>
      <c r="P177" s="68"/>
      <c r="Q177" s="68"/>
      <c r="R177" s="68"/>
      <c r="S177" s="68"/>
    </row>
    <row r="178" spans="1:19" ht="15.75" customHeight="1">
      <c r="A178" s="68"/>
      <c r="B178" s="68"/>
      <c r="D178" s="68"/>
      <c r="E178" s="69"/>
      <c r="K178" s="68"/>
      <c r="L178" s="68"/>
      <c r="M178" s="68"/>
      <c r="O178" s="68"/>
      <c r="P178" s="68"/>
      <c r="Q178" s="68"/>
      <c r="R178" s="68"/>
      <c r="S178" s="68"/>
    </row>
    <row r="179" spans="1:19" ht="15.75" customHeight="1">
      <c r="A179" s="68"/>
      <c r="B179" s="68"/>
      <c r="D179" s="68"/>
      <c r="E179" s="69"/>
      <c r="K179" s="68"/>
      <c r="L179" s="68"/>
      <c r="M179" s="68"/>
      <c r="O179" s="68"/>
      <c r="P179" s="68"/>
      <c r="Q179" s="68"/>
      <c r="R179" s="68"/>
      <c r="S179" s="68"/>
    </row>
    <row r="180" spans="1:19" ht="15.75" customHeight="1">
      <c r="A180" s="68"/>
      <c r="B180" s="68"/>
      <c r="D180" s="68"/>
      <c r="E180" s="69"/>
      <c r="K180" s="68"/>
      <c r="L180" s="68"/>
      <c r="M180" s="68"/>
      <c r="O180" s="68"/>
      <c r="P180" s="68"/>
      <c r="Q180" s="68"/>
      <c r="R180" s="68"/>
      <c r="S180" s="68"/>
    </row>
    <row r="181" spans="1:19" ht="15.75" customHeight="1">
      <c r="A181" s="68"/>
      <c r="B181" s="68"/>
      <c r="D181" s="68"/>
      <c r="E181" s="69"/>
      <c r="K181" s="68"/>
      <c r="L181" s="68"/>
      <c r="M181" s="68"/>
      <c r="O181" s="68"/>
      <c r="P181" s="68"/>
      <c r="Q181" s="68"/>
      <c r="R181" s="68"/>
      <c r="S181" s="68"/>
    </row>
    <row r="182" spans="1:19" ht="15.75" customHeight="1">
      <c r="A182" s="68"/>
      <c r="B182" s="68"/>
      <c r="D182" s="68"/>
      <c r="E182" s="69"/>
      <c r="K182" s="68"/>
      <c r="L182" s="68"/>
      <c r="M182" s="68"/>
      <c r="O182" s="68"/>
      <c r="P182" s="68"/>
      <c r="Q182" s="68"/>
      <c r="R182" s="68"/>
      <c r="S182" s="68"/>
    </row>
    <row r="183" spans="1:19" ht="15.75" customHeight="1">
      <c r="A183" s="68"/>
      <c r="B183" s="68"/>
      <c r="D183" s="68"/>
      <c r="E183" s="69"/>
      <c r="K183" s="68"/>
      <c r="L183" s="68"/>
      <c r="M183" s="68"/>
      <c r="O183" s="68"/>
      <c r="P183" s="68"/>
      <c r="Q183" s="68"/>
      <c r="R183" s="68"/>
      <c r="S183" s="68"/>
    </row>
    <row r="184" spans="1:19" ht="15.75" customHeight="1">
      <c r="A184" s="68"/>
      <c r="B184" s="68"/>
      <c r="D184" s="68"/>
      <c r="E184" s="69"/>
      <c r="K184" s="68"/>
      <c r="L184" s="68"/>
      <c r="M184" s="68"/>
      <c r="O184" s="68"/>
      <c r="P184" s="68"/>
      <c r="Q184" s="68"/>
      <c r="R184" s="68"/>
      <c r="S184" s="68"/>
    </row>
    <row r="185" spans="1:19" ht="15.75" customHeight="1">
      <c r="A185" s="68"/>
      <c r="B185" s="68"/>
      <c r="D185" s="68"/>
      <c r="E185" s="69"/>
      <c r="K185" s="68"/>
      <c r="L185" s="68"/>
      <c r="M185" s="68"/>
      <c r="O185" s="68"/>
      <c r="P185" s="68"/>
      <c r="Q185" s="68"/>
      <c r="R185" s="68"/>
      <c r="S185" s="68"/>
    </row>
    <row r="186" spans="1:19" ht="15.75" customHeight="1">
      <c r="A186" s="68"/>
      <c r="B186" s="68"/>
      <c r="D186" s="68"/>
      <c r="E186" s="69"/>
      <c r="K186" s="68"/>
      <c r="L186" s="68"/>
      <c r="M186" s="68"/>
      <c r="O186" s="68"/>
      <c r="P186" s="68"/>
      <c r="Q186" s="68"/>
      <c r="R186" s="68"/>
      <c r="S186" s="68"/>
    </row>
    <row r="187" spans="1:19" ht="15.75" customHeight="1">
      <c r="A187" s="68"/>
      <c r="B187" s="68"/>
      <c r="D187" s="68"/>
      <c r="E187" s="69"/>
      <c r="K187" s="68"/>
      <c r="L187" s="68"/>
      <c r="M187" s="68"/>
      <c r="O187" s="68"/>
      <c r="P187" s="68"/>
      <c r="Q187" s="68"/>
      <c r="R187" s="68"/>
      <c r="S187" s="68"/>
    </row>
    <row r="188" spans="1:19" ht="15.75" customHeight="1">
      <c r="A188" s="68"/>
      <c r="B188" s="68"/>
      <c r="D188" s="68"/>
      <c r="E188" s="69"/>
      <c r="K188" s="68"/>
      <c r="L188" s="68"/>
      <c r="M188" s="68"/>
      <c r="O188" s="68"/>
      <c r="P188" s="68"/>
      <c r="Q188" s="68"/>
      <c r="R188" s="68"/>
      <c r="S188" s="68"/>
    </row>
    <row r="189" spans="1:19" ht="15.75" customHeight="1">
      <c r="A189" s="68"/>
      <c r="B189" s="68"/>
      <c r="D189" s="68"/>
      <c r="E189" s="69"/>
      <c r="K189" s="68"/>
      <c r="L189" s="68"/>
      <c r="M189" s="68"/>
      <c r="O189" s="68"/>
      <c r="P189" s="68"/>
      <c r="Q189" s="68"/>
      <c r="R189" s="68"/>
      <c r="S189" s="68"/>
    </row>
    <row r="190" spans="1:19" ht="15.75" customHeight="1">
      <c r="A190" s="68"/>
      <c r="B190" s="68"/>
      <c r="D190" s="68"/>
      <c r="E190" s="69"/>
      <c r="K190" s="68"/>
      <c r="L190" s="68"/>
      <c r="M190" s="68"/>
      <c r="O190" s="68"/>
      <c r="P190" s="68"/>
      <c r="Q190" s="68"/>
      <c r="R190" s="68"/>
      <c r="S190" s="68"/>
    </row>
    <row r="191" spans="1:19" ht="15.75" customHeight="1">
      <c r="A191" s="68"/>
      <c r="B191" s="68"/>
      <c r="D191" s="68"/>
      <c r="E191" s="69"/>
      <c r="K191" s="68"/>
      <c r="L191" s="68"/>
      <c r="M191" s="68"/>
      <c r="O191" s="68"/>
      <c r="P191" s="68"/>
      <c r="Q191" s="68"/>
      <c r="R191" s="68"/>
      <c r="S191" s="68"/>
    </row>
    <row r="192" spans="1:19" ht="15.75" customHeight="1">
      <c r="A192" s="68"/>
      <c r="B192" s="68"/>
      <c r="D192" s="68"/>
      <c r="E192" s="69"/>
      <c r="K192" s="68"/>
      <c r="L192" s="68"/>
      <c r="M192" s="68"/>
      <c r="O192" s="68"/>
      <c r="P192" s="68"/>
      <c r="Q192" s="68"/>
      <c r="R192" s="68"/>
      <c r="S192" s="68"/>
    </row>
    <row r="193" spans="1:19" ht="15.75" customHeight="1">
      <c r="A193" s="68"/>
      <c r="B193" s="68"/>
      <c r="D193" s="68"/>
      <c r="E193" s="69"/>
      <c r="K193" s="68"/>
      <c r="L193" s="68"/>
      <c r="M193" s="68"/>
      <c r="O193" s="68"/>
      <c r="P193" s="68"/>
      <c r="Q193" s="68"/>
      <c r="R193" s="68"/>
      <c r="S193" s="68"/>
    </row>
    <row r="194" spans="1:19" ht="15.75" customHeight="1">
      <c r="A194" s="68"/>
      <c r="B194" s="68"/>
      <c r="D194" s="68"/>
      <c r="E194" s="69"/>
      <c r="K194" s="68"/>
      <c r="L194" s="68"/>
      <c r="M194" s="68"/>
      <c r="O194" s="68"/>
      <c r="P194" s="68"/>
      <c r="Q194" s="68"/>
      <c r="R194" s="68"/>
      <c r="S194" s="68"/>
    </row>
    <row r="195" spans="1:19" ht="15.75" customHeight="1">
      <c r="A195" s="68"/>
      <c r="B195" s="68"/>
      <c r="D195" s="68"/>
      <c r="E195" s="69"/>
      <c r="K195" s="68"/>
      <c r="L195" s="68"/>
      <c r="M195" s="68"/>
      <c r="O195" s="68"/>
      <c r="P195" s="68"/>
      <c r="Q195" s="68"/>
      <c r="R195" s="68"/>
      <c r="S195" s="68"/>
    </row>
    <row r="196" spans="1:19" ht="15.75" customHeight="1">
      <c r="A196" s="68"/>
      <c r="B196" s="68"/>
      <c r="D196" s="68"/>
      <c r="E196" s="69"/>
      <c r="K196" s="68"/>
      <c r="L196" s="68"/>
      <c r="M196" s="68"/>
      <c r="O196" s="68"/>
      <c r="P196" s="68"/>
      <c r="Q196" s="68"/>
      <c r="R196" s="68"/>
      <c r="S196" s="68"/>
    </row>
    <row r="197" spans="1:19" ht="15.75" customHeight="1">
      <c r="A197" s="68"/>
      <c r="B197" s="68"/>
      <c r="D197" s="68"/>
      <c r="E197" s="69"/>
      <c r="K197" s="68"/>
      <c r="L197" s="68"/>
      <c r="M197" s="68"/>
      <c r="O197" s="68"/>
      <c r="P197" s="68"/>
      <c r="Q197" s="68"/>
      <c r="R197" s="68"/>
      <c r="S197" s="68"/>
    </row>
    <row r="198" spans="1:19" ht="15.75" customHeight="1">
      <c r="A198" s="68"/>
      <c r="B198" s="68"/>
      <c r="D198" s="68"/>
      <c r="E198" s="69"/>
      <c r="K198" s="68"/>
      <c r="L198" s="68"/>
      <c r="M198" s="68"/>
      <c r="O198" s="68"/>
      <c r="P198" s="68"/>
      <c r="Q198" s="68"/>
      <c r="R198" s="68"/>
      <c r="S198" s="68"/>
    </row>
    <row r="199" spans="1:19" ht="15.75" customHeight="1">
      <c r="A199" s="68"/>
      <c r="B199" s="68"/>
      <c r="D199" s="68"/>
      <c r="E199" s="69"/>
      <c r="K199" s="68"/>
      <c r="L199" s="68"/>
      <c r="M199" s="68"/>
      <c r="O199" s="68"/>
      <c r="P199" s="68"/>
      <c r="Q199" s="68"/>
      <c r="R199" s="68"/>
      <c r="S199" s="68"/>
    </row>
    <row r="200" spans="1:19" ht="15.75" customHeight="1">
      <c r="A200" s="68"/>
      <c r="B200" s="68"/>
      <c r="D200" s="68"/>
      <c r="E200" s="69"/>
      <c r="K200" s="68"/>
      <c r="L200" s="68"/>
      <c r="M200" s="68"/>
      <c r="O200" s="68"/>
      <c r="P200" s="68"/>
      <c r="Q200" s="68"/>
      <c r="R200" s="68"/>
      <c r="S200" s="68"/>
    </row>
    <row r="201" spans="1:19" ht="15.75" customHeight="1">
      <c r="A201" s="68"/>
      <c r="B201" s="68"/>
      <c r="D201" s="68"/>
      <c r="E201" s="69"/>
      <c r="K201" s="68"/>
      <c r="L201" s="68"/>
      <c r="M201" s="68"/>
      <c r="O201" s="68"/>
      <c r="P201" s="68"/>
      <c r="Q201" s="68"/>
      <c r="R201" s="68"/>
      <c r="S201" s="68"/>
    </row>
    <row r="202" spans="1:19" ht="15.75" customHeight="1">
      <c r="A202" s="68"/>
      <c r="B202" s="68"/>
      <c r="D202" s="68"/>
      <c r="E202" s="69"/>
      <c r="K202" s="68"/>
      <c r="L202" s="68"/>
      <c r="M202" s="68"/>
      <c r="O202" s="68"/>
      <c r="P202" s="68"/>
      <c r="Q202" s="68"/>
      <c r="R202" s="68"/>
      <c r="S202" s="68"/>
    </row>
    <row r="203" spans="1:19" ht="15.75" customHeight="1">
      <c r="A203" s="68"/>
      <c r="B203" s="68"/>
      <c r="D203" s="68"/>
      <c r="E203" s="69"/>
      <c r="K203" s="68"/>
      <c r="L203" s="68"/>
      <c r="M203" s="68"/>
      <c r="O203" s="68"/>
      <c r="P203" s="68"/>
      <c r="Q203" s="68"/>
      <c r="R203" s="68"/>
      <c r="S203" s="68"/>
    </row>
    <row r="204" spans="1:19" ht="15.75" customHeight="1">
      <c r="A204" s="68"/>
      <c r="B204" s="68"/>
      <c r="D204" s="68"/>
      <c r="E204" s="69"/>
      <c r="K204" s="68"/>
      <c r="L204" s="68"/>
      <c r="M204" s="68"/>
      <c r="O204" s="68"/>
      <c r="P204" s="68"/>
      <c r="Q204" s="68"/>
      <c r="R204" s="68"/>
      <c r="S204" s="68"/>
    </row>
    <row r="205" spans="1:19" ht="15.75" customHeight="1">
      <c r="A205" s="68"/>
      <c r="B205" s="68"/>
      <c r="D205" s="68"/>
      <c r="E205" s="69"/>
      <c r="K205" s="68"/>
      <c r="L205" s="68"/>
      <c r="M205" s="68"/>
      <c r="O205" s="68"/>
      <c r="P205" s="68"/>
      <c r="Q205" s="68"/>
      <c r="R205" s="68"/>
      <c r="S205" s="68"/>
    </row>
    <row r="206" spans="1:19" ht="15.75" customHeight="1">
      <c r="A206" s="68"/>
      <c r="B206" s="68"/>
      <c r="D206" s="68"/>
      <c r="E206" s="69"/>
      <c r="K206" s="68"/>
      <c r="L206" s="68"/>
      <c r="M206" s="68"/>
      <c r="O206" s="68"/>
      <c r="P206" s="68"/>
      <c r="Q206" s="68"/>
      <c r="R206" s="68"/>
      <c r="S206" s="68"/>
    </row>
    <row r="207" spans="1:19" ht="15.75" customHeight="1">
      <c r="A207" s="68"/>
      <c r="B207" s="68"/>
      <c r="D207" s="68"/>
      <c r="E207" s="69"/>
      <c r="K207" s="68"/>
      <c r="L207" s="68"/>
      <c r="M207" s="68"/>
      <c r="O207" s="68"/>
      <c r="P207" s="68"/>
      <c r="Q207" s="68"/>
      <c r="R207" s="68"/>
      <c r="S207" s="68"/>
    </row>
    <row r="208" spans="1:19" ht="15.75" customHeight="1">
      <c r="A208" s="68"/>
      <c r="B208" s="68"/>
      <c r="D208" s="68"/>
      <c r="E208" s="69"/>
      <c r="K208" s="68"/>
      <c r="L208" s="68"/>
      <c r="M208" s="68"/>
      <c r="O208" s="68"/>
      <c r="P208" s="68"/>
      <c r="Q208" s="68"/>
      <c r="R208" s="68"/>
      <c r="S208" s="68"/>
    </row>
    <row r="209" spans="1:19" ht="15.75" customHeight="1">
      <c r="A209" s="68"/>
      <c r="B209" s="68"/>
      <c r="D209" s="68"/>
      <c r="E209" s="69"/>
      <c r="K209" s="68"/>
      <c r="L209" s="68"/>
      <c r="M209" s="68"/>
      <c r="O209" s="68"/>
      <c r="P209" s="68"/>
      <c r="Q209" s="68"/>
      <c r="R209" s="68"/>
      <c r="S209" s="68"/>
    </row>
    <row r="210" spans="1:19" ht="15.75" customHeight="1">
      <c r="A210" s="68"/>
      <c r="B210" s="68"/>
      <c r="D210" s="68"/>
      <c r="E210" s="69"/>
      <c r="K210" s="68"/>
      <c r="L210" s="68"/>
      <c r="M210" s="68"/>
      <c r="O210" s="68"/>
      <c r="P210" s="68"/>
      <c r="Q210" s="68"/>
      <c r="R210" s="68"/>
      <c r="S210" s="68"/>
    </row>
    <row r="211" spans="1:19" ht="15.75" customHeight="1">
      <c r="A211" s="68"/>
      <c r="B211" s="68"/>
      <c r="D211" s="68"/>
      <c r="E211" s="69"/>
      <c r="K211" s="68"/>
      <c r="L211" s="68"/>
      <c r="M211" s="68"/>
      <c r="O211" s="68"/>
      <c r="P211" s="68"/>
      <c r="Q211" s="68"/>
      <c r="R211" s="68"/>
      <c r="S211" s="68"/>
    </row>
    <row r="212" spans="1:19" ht="15.75" customHeight="1">
      <c r="A212" s="68"/>
      <c r="B212" s="68"/>
      <c r="D212" s="68"/>
      <c r="E212" s="69"/>
      <c r="K212" s="68"/>
      <c r="L212" s="68"/>
      <c r="M212" s="68"/>
      <c r="O212" s="68"/>
      <c r="P212" s="68"/>
      <c r="Q212" s="68"/>
      <c r="R212" s="68"/>
      <c r="S212" s="68"/>
    </row>
    <row r="213" spans="1:19" ht="15.75" customHeight="1">
      <c r="A213" s="68"/>
      <c r="B213" s="68"/>
      <c r="D213" s="68"/>
      <c r="E213" s="69"/>
      <c r="K213" s="68"/>
      <c r="L213" s="68"/>
      <c r="M213" s="68"/>
      <c r="O213" s="68"/>
      <c r="P213" s="68"/>
      <c r="Q213" s="68"/>
      <c r="R213" s="68"/>
      <c r="S213" s="68"/>
    </row>
    <row r="214" spans="1:19" ht="15.75" customHeight="1">
      <c r="A214" s="68"/>
      <c r="B214" s="68"/>
      <c r="D214" s="68"/>
      <c r="E214" s="69"/>
      <c r="K214" s="68"/>
      <c r="L214" s="68"/>
      <c r="M214" s="68"/>
      <c r="O214" s="68"/>
      <c r="P214" s="68"/>
      <c r="Q214" s="68"/>
      <c r="R214" s="68"/>
      <c r="S214" s="68"/>
    </row>
    <row r="215" spans="1:19" ht="15.75" customHeight="1">
      <c r="A215" s="68"/>
      <c r="B215" s="68"/>
      <c r="D215" s="68"/>
      <c r="E215" s="69"/>
      <c r="K215" s="68"/>
      <c r="L215" s="68"/>
      <c r="M215" s="68"/>
      <c r="O215" s="68"/>
      <c r="P215" s="68"/>
      <c r="Q215" s="68"/>
      <c r="R215" s="68"/>
      <c r="S215" s="68"/>
    </row>
    <row r="216" spans="1:19" ht="15.75" customHeight="1">
      <c r="A216" s="68"/>
      <c r="B216" s="68"/>
      <c r="D216" s="68"/>
      <c r="E216" s="69"/>
      <c r="K216" s="68"/>
      <c r="L216" s="68"/>
      <c r="M216" s="68"/>
      <c r="O216" s="68"/>
      <c r="P216" s="68"/>
      <c r="Q216" s="68"/>
      <c r="R216" s="68"/>
      <c r="S216" s="68"/>
    </row>
    <row r="217" spans="1:19" ht="15.75" customHeight="1">
      <c r="A217" s="68"/>
      <c r="B217" s="68"/>
      <c r="D217" s="68"/>
      <c r="E217" s="69"/>
      <c r="K217" s="68"/>
      <c r="L217" s="68"/>
      <c r="M217" s="68"/>
      <c r="O217" s="68"/>
      <c r="P217" s="68"/>
      <c r="Q217" s="68"/>
      <c r="R217" s="68"/>
      <c r="S217" s="68"/>
    </row>
    <row r="218" spans="1:19" ht="15.75" customHeight="1">
      <c r="A218" s="68"/>
      <c r="B218" s="68"/>
      <c r="D218" s="68"/>
      <c r="E218" s="69"/>
      <c r="K218" s="68"/>
      <c r="L218" s="68"/>
      <c r="M218" s="68"/>
      <c r="O218" s="68"/>
      <c r="P218" s="68"/>
      <c r="Q218" s="68"/>
      <c r="R218" s="68"/>
      <c r="S218" s="68"/>
    </row>
    <row r="219" spans="1:19" ht="15.75" customHeight="1">
      <c r="A219" s="68"/>
      <c r="B219" s="68"/>
      <c r="D219" s="68"/>
      <c r="E219" s="69"/>
      <c r="K219" s="68"/>
      <c r="L219" s="68"/>
      <c r="M219" s="68"/>
      <c r="O219" s="68"/>
      <c r="P219" s="68"/>
      <c r="Q219" s="68"/>
      <c r="R219" s="68"/>
      <c r="S219" s="68"/>
    </row>
    <row r="220" spans="1:19" ht="15.75" customHeight="1">
      <c r="A220" s="68"/>
      <c r="B220" s="68"/>
      <c r="D220" s="68"/>
      <c r="E220" s="69"/>
      <c r="K220" s="68"/>
      <c r="L220" s="68"/>
      <c r="M220" s="68"/>
      <c r="O220" s="68"/>
      <c r="P220" s="68"/>
      <c r="Q220" s="68"/>
      <c r="R220" s="68"/>
      <c r="S220" s="68"/>
    </row>
    <row r="221" spans="1:19" ht="15.75" customHeight="1">
      <c r="A221" s="68"/>
      <c r="B221" s="68"/>
      <c r="D221" s="68"/>
      <c r="E221" s="69"/>
      <c r="K221" s="68"/>
      <c r="L221" s="68"/>
      <c r="M221" s="68"/>
      <c r="O221" s="68"/>
      <c r="P221" s="68"/>
      <c r="Q221" s="68"/>
      <c r="R221" s="68"/>
      <c r="S221" s="68"/>
    </row>
    <row r="222" spans="1:19" ht="15.75" customHeight="1">
      <c r="A222" s="68"/>
      <c r="B222" s="68"/>
      <c r="D222" s="68"/>
      <c r="E222" s="69"/>
      <c r="K222" s="68"/>
      <c r="L222" s="68"/>
      <c r="M222" s="68"/>
      <c r="O222" s="68"/>
      <c r="P222" s="68"/>
      <c r="Q222" s="68"/>
      <c r="R222" s="68"/>
      <c r="S222" s="68"/>
    </row>
    <row r="223" spans="1:19" ht="15.75" customHeight="1">
      <c r="A223" s="68"/>
      <c r="B223" s="68"/>
      <c r="D223" s="68"/>
      <c r="E223" s="69"/>
      <c r="K223" s="68"/>
      <c r="L223" s="68"/>
      <c r="M223" s="68"/>
      <c r="O223" s="68"/>
      <c r="P223" s="68"/>
      <c r="Q223" s="68"/>
      <c r="R223" s="68"/>
      <c r="S223" s="68"/>
    </row>
    <row r="224" spans="1:19" ht="15.75" customHeight="1">
      <c r="A224" s="68"/>
      <c r="B224" s="68"/>
      <c r="D224" s="68"/>
      <c r="E224" s="69"/>
      <c r="K224" s="68"/>
      <c r="L224" s="68"/>
      <c r="M224" s="68"/>
      <c r="O224" s="68"/>
      <c r="P224" s="68"/>
      <c r="Q224" s="68"/>
      <c r="R224" s="68"/>
      <c r="S224" s="68"/>
    </row>
    <row r="225" spans="1:19" ht="15.75" customHeight="1">
      <c r="A225" s="68"/>
      <c r="B225" s="68"/>
      <c r="D225" s="68"/>
      <c r="E225" s="69"/>
      <c r="K225" s="68"/>
      <c r="L225" s="68"/>
      <c r="M225" s="68"/>
      <c r="O225" s="68"/>
      <c r="P225" s="68"/>
      <c r="Q225" s="68"/>
      <c r="R225" s="68"/>
      <c r="S225" s="68"/>
    </row>
    <row r="226" spans="1:19" ht="15.75" customHeight="1">
      <c r="A226" s="68"/>
      <c r="B226" s="68"/>
      <c r="D226" s="68"/>
      <c r="E226" s="69"/>
      <c r="K226" s="68"/>
      <c r="L226" s="68"/>
      <c r="M226" s="68"/>
      <c r="O226" s="68"/>
      <c r="P226" s="68"/>
      <c r="Q226" s="68"/>
      <c r="R226" s="68"/>
      <c r="S226" s="68"/>
    </row>
    <row r="227" spans="1:19" ht="15.75" customHeight="1">
      <c r="A227" s="68"/>
      <c r="B227" s="68"/>
      <c r="D227" s="68"/>
      <c r="E227" s="69"/>
      <c r="K227" s="68"/>
      <c r="L227" s="68"/>
      <c r="M227" s="68"/>
      <c r="O227" s="68"/>
      <c r="P227" s="68"/>
      <c r="Q227" s="68"/>
      <c r="R227" s="68"/>
      <c r="S227" s="68"/>
    </row>
    <row r="228" spans="1:19" ht="15.75" customHeight="1">
      <c r="A228" s="68"/>
      <c r="B228" s="68"/>
      <c r="D228" s="68"/>
      <c r="E228" s="69"/>
      <c r="K228" s="68"/>
      <c r="L228" s="68"/>
      <c r="M228" s="68"/>
      <c r="O228" s="68"/>
      <c r="P228" s="68"/>
      <c r="Q228" s="68"/>
      <c r="R228" s="68"/>
      <c r="S228" s="68"/>
    </row>
    <row r="229" spans="1:19" ht="15.75" customHeight="1">
      <c r="A229" s="68"/>
      <c r="B229" s="68"/>
      <c r="D229" s="68"/>
      <c r="E229" s="69"/>
      <c r="K229" s="68"/>
      <c r="L229" s="68"/>
      <c r="M229" s="68"/>
      <c r="O229" s="68"/>
      <c r="P229" s="68"/>
      <c r="Q229" s="68"/>
      <c r="R229" s="68"/>
      <c r="S229" s="68"/>
    </row>
    <row r="230" spans="1:19" ht="15.75" customHeight="1">
      <c r="A230" s="68"/>
      <c r="B230" s="68"/>
      <c r="D230" s="68"/>
      <c r="E230" s="69"/>
      <c r="K230" s="68"/>
      <c r="L230" s="68"/>
      <c r="M230" s="68"/>
      <c r="O230" s="68"/>
      <c r="P230" s="68"/>
      <c r="Q230" s="68"/>
      <c r="R230" s="68"/>
      <c r="S230" s="68"/>
    </row>
    <row r="231" spans="1:19" ht="15.75" customHeight="1">
      <c r="A231" s="68"/>
      <c r="B231" s="68"/>
      <c r="D231" s="68"/>
      <c r="E231" s="69"/>
      <c r="K231" s="68"/>
      <c r="L231" s="68"/>
      <c r="M231" s="68"/>
      <c r="O231" s="68"/>
      <c r="P231" s="68"/>
      <c r="Q231" s="68"/>
      <c r="R231" s="68"/>
      <c r="S231" s="68"/>
    </row>
    <row r="232" spans="1:19" ht="15.75" customHeight="1">
      <c r="A232" s="68"/>
      <c r="B232" s="68"/>
      <c r="D232" s="68"/>
      <c r="E232" s="69"/>
      <c r="K232" s="68"/>
      <c r="L232" s="68"/>
      <c r="M232" s="68"/>
      <c r="O232" s="68"/>
      <c r="P232" s="68"/>
      <c r="Q232" s="68"/>
      <c r="R232" s="68"/>
      <c r="S232" s="68"/>
    </row>
    <row r="233" spans="1:19" ht="15.75" customHeight="1">
      <c r="A233" s="68"/>
      <c r="B233" s="68"/>
      <c r="D233" s="68"/>
      <c r="E233" s="69"/>
      <c r="K233" s="68"/>
      <c r="L233" s="68"/>
      <c r="M233" s="68"/>
      <c r="O233" s="68"/>
      <c r="P233" s="68"/>
      <c r="Q233" s="68"/>
      <c r="R233" s="68"/>
      <c r="S233" s="68"/>
    </row>
    <row r="234" spans="1:19" ht="15.75" customHeight="1">
      <c r="A234" s="68"/>
      <c r="B234" s="68"/>
      <c r="D234" s="68"/>
      <c r="E234" s="69"/>
      <c r="K234" s="68"/>
      <c r="L234" s="68"/>
      <c r="M234" s="68"/>
      <c r="O234" s="68"/>
      <c r="P234" s="68"/>
      <c r="Q234" s="68"/>
      <c r="R234" s="68"/>
      <c r="S234" s="68"/>
    </row>
    <row r="235" spans="1:19" ht="15.75" customHeight="1">
      <c r="A235" s="68"/>
      <c r="B235" s="68"/>
      <c r="D235" s="68"/>
      <c r="E235" s="69"/>
      <c r="K235" s="68"/>
      <c r="L235" s="68"/>
      <c r="M235" s="68"/>
      <c r="O235" s="68"/>
      <c r="P235" s="68"/>
      <c r="Q235" s="68"/>
      <c r="R235" s="68"/>
      <c r="S235" s="68"/>
    </row>
    <row r="236" spans="1:19" ht="15.75" customHeight="1">
      <c r="A236" s="68"/>
      <c r="B236" s="68"/>
      <c r="D236" s="68"/>
      <c r="E236" s="69"/>
      <c r="K236" s="68"/>
      <c r="L236" s="68"/>
      <c r="M236" s="68"/>
      <c r="O236" s="68"/>
      <c r="P236" s="68"/>
      <c r="Q236" s="68"/>
      <c r="R236" s="68"/>
      <c r="S236" s="68"/>
    </row>
    <row r="237" spans="1:19" ht="15.75" customHeight="1">
      <c r="A237" s="68"/>
      <c r="B237" s="68"/>
      <c r="D237" s="68"/>
      <c r="E237" s="69"/>
      <c r="K237" s="68"/>
      <c r="L237" s="68"/>
      <c r="M237" s="68"/>
      <c r="O237" s="68"/>
      <c r="P237" s="68"/>
      <c r="Q237" s="68"/>
      <c r="R237" s="68"/>
      <c r="S237" s="68"/>
    </row>
    <row r="238" spans="1:19" ht="15.75" customHeight="1">
      <c r="A238" s="68"/>
      <c r="B238" s="68"/>
      <c r="D238" s="68"/>
      <c r="E238" s="69"/>
      <c r="K238" s="68"/>
      <c r="L238" s="68"/>
      <c r="M238" s="68"/>
      <c r="O238" s="68"/>
      <c r="P238" s="68"/>
      <c r="Q238" s="68"/>
      <c r="R238" s="68"/>
      <c r="S238" s="68"/>
    </row>
    <row r="239" spans="1:19" ht="15.75" customHeight="1">
      <c r="A239" s="68"/>
      <c r="B239" s="68"/>
      <c r="D239" s="68"/>
      <c r="E239" s="69"/>
      <c r="K239" s="68"/>
      <c r="L239" s="68"/>
      <c r="M239" s="68"/>
      <c r="O239" s="68"/>
      <c r="P239" s="68"/>
      <c r="Q239" s="68"/>
      <c r="R239" s="68"/>
      <c r="S239" s="68"/>
    </row>
    <row r="240" spans="1:19" ht="15.75" customHeight="1">
      <c r="A240" s="68"/>
      <c r="B240" s="68"/>
      <c r="D240" s="68"/>
      <c r="E240" s="69"/>
      <c r="K240" s="68"/>
      <c r="L240" s="68"/>
      <c r="M240" s="68"/>
      <c r="O240" s="68"/>
      <c r="P240" s="68"/>
      <c r="Q240" s="68"/>
      <c r="R240" s="68"/>
      <c r="S240" s="68"/>
    </row>
    <row r="241" spans="1:19" ht="15.75" customHeight="1">
      <c r="A241" s="68"/>
      <c r="B241" s="68"/>
      <c r="D241" s="68"/>
      <c r="E241" s="69"/>
      <c r="K241" s="68"/>
      <c r="L241" s="68"/>
      <c r="M241" s="68"/>
      <c r="O241" s="68"/>
      <c r="P241" s="68"/>
      <c r="Q241" s="68"/>
      <c r="R241" s="68"/>
      <c r="S241" s="68"/>
    </row>
    <row r="242" spans="1:19" ht="15.75" customHeight="1">
      <c r="A242" s="68"/>
      <c r="B242" s="68"/>
      <c r="D242" s="68"/>
      <c r="E242" s="69"/>
      <c r="K242" s="68"/>
      <c r="L242" s="68"/>
      <c r="M242" s="68"/>
      <c r="O242" s="68"/>
      <c r="P242" s="68"/>
      <c r="Q242" s="68"/>
      <c r="R242" s="68"/>
      <c r="S242" s="68"/>
    </row>
    <row r="243" spans="1:19" ht="15.75" customHeight="1">
      <c r="A243" s="68"/>
      <c r="B243" s="68"/>
      <c r="D243" s="68"/>
      <c r="E243" s="69"/>
      <c r="K243" s="68"/>
      <c r="L243" s="68"/>
      <c r="M243" s="68"/>
      <c r="O243" s="68"/>
      <c r="P243" s="68"/>
      <c r="Q243" s="68"/>
      <c r="R243" s="68"/>
      <c r="S243" s="68"/>
    </row>
    <row r="244" spans="1:19" ht="15.75" customHeight="1">
      <c r="A244" s="68"/>
      <c r="B244" s="68"/>
      <c r="D244" s="68"/>
      <c r="E244" s="69"/>
      <c r="K244" s="68"/>
      <c r="L244" s="68"/>
      <c r="M244" s="68"/>
      <c r="O244" s="68"/>
      <c r="P244" s="68"/>
      <c r="Q244" s="68"/>
      <c r="R244" s="68"/>
      <c r="S244" s="68"/>
    </row>
    <row r="245" spans="1:19" ht="15.75" customHeight="1">
      <c r="A245" s="68"/>
      <c r="B245" s="68"/>
      <c r="D245" s="68"/>
      <c r="E245" s="69"/>
      <c r="K245" s="68"/>
      <c r="L245" s="68"/>
      <c r="M245" s="68"/>
      <c r="O245" s="68"/>
      <c r="P245" s="68"/>
      <c r="Q245" s="68"/>
      <c r="R245" s="68"/>
      <c r="S245" s="68"/>
    </row>
    <row r="246" spans="1:19" ht="15.75" customHeight="1">
      <c r="A246" s="68"/>
      <c r="B246" s="68"/>
      <c r="D246" s="68"/>
      <c r="E246" s="69"/>
      <c r="K246" s="68"/>
      <c r="L246" s="68"/>
      <c r="M246" s="68"/>
      <c r="O246" s="68"/>
      <c r="P246" s="68"/>
      <c r="Q246" s="68"/>
      <c r="R246" s="68"/>
      <c r="S246" s="68"/>
    </row>
    <row r="247" spans="1:19" ht="15.75" customHeight="1">
      <c r="A247" s="68"/>
      <c r="B247" s="68"/>
      <c r="D247" s="68"/>
      <c r="E247" s="69"/>
      <c r="K247" s="68"/>
      <c r="L247" s="68"/>
      <c r="M247" s="68"/>
      <c r="O247" s="68"/>
      <c r="P247" s="68"/>
      <c r="Q247" s="68"/>
      <c r="R247" s="68"/>
      <c r="S247" s="68"/>
    </row>
    <row r="248" spans="1:19" ht="15.75" customHeight="1">
      <c r="A248" s="68"/>
      <c r="B248" s="68"/>
      <c r="D248" s="68"/>
      <c r="E248" s="69"/>
      <c r="K248" s="68"/>
      <c r="L248" s="68"/>
      <c r="M248" s="68"/>
      <c r="O248" s="68"/>
      <c r="P248" s="68"/>
      <c r="Q248" s="68"/>
      <c r="R248" s="68"/>
      <c r="S248" s="68"/>
    </row>
    <row r="249" spans="1:19" ht="15.75" customHeight="1">
      <c r="A249" s="68"/>
      <c r="B249" s="68"/>
      <c r="D249" s="68"/>
      <c r="E249" s="69"/>
      <c r="K249" s="68"/>
      <c r="L249" s="68"/>
      <c r="M249" s="68"/>
      <c r="O249" s="68"/>
      <c r="P249" s="68"/>
      <c r="Q249" s="68"/>
      <c r="R249" s="68"/>
      <c r="S249" s="68"/>
    </row>
    <row r="250" spans="1:19" ht="15.75" customHeight="1">
      <c r="A250" s="68"/>
      <c r="B250" s="68"/>
      <c r="D250" s="68"/>
      <c r="E250" s="69"/>
      <c r="K250" s="68"/>
      <c r="L250" s="68"/>
      <c r="M250" s="68"/>
      <c r="O250" s="68"/>
      <c r="P250" s="68"/>
      <c r="Q250" s="68"/>
      <c r="R250" s="68"/>
      <c r="S250" s="68"/>
    </row>
    <row r="251" spans="1:19" ht="15.75" customHeight="1">
      <c r="A251" s="68"/>
      <c r="B251" s="68"/>
      <c r="D251" s="68"/>
      <c r="E251" s="69"/>
      <c r="K251" s="68"/>
      <c r="L251" s="68"/>
      <c r="M251" s="68"/>
      <c r="O251" s="68"/>
      <c r="P251" s="68"/>
      <c r="Q251" s="68"/>
      <c r="R251" s="68"/>
      <c r="S251" s="68"/>
    </row>
    <row r="252" spans="1:19" ht="15.75" customHeight="1">
      <c r="A252" s="68"/>
      <c r="B252" s="68"/>
      <c r="D252" s="68"/>
      <c r="E252" s="69"/>
      <c r="K252" s="68"/>
      <c r="L252" s="68"/>
      <c r="M252" s="68"/>
      <c r="O252" s="68"/>
      <c r="P252" s="68"/>
      <c r="Q252" s="68"/>
      <c r="R252" s="68"/>
      <c r="S252" s="68"/>
    </row>
    <row r="253" spans="1:19" ht="15.75" customHeight="1">
      <c r="A253" s="68"/>
      <c r="B253" s="68"/>
      <c r="D253" s="68"/>
      <c r="E253" s="69"/>
      <c r="K253" s="68"/>
      <c r="L253" s="68"/>
      <c r="M253" s="68"/>
      <c r="O253" s="68"/>
      <c r="P253" s="68"/>
      <c r="Q253" s="68"/>
      <c r="R253" s="68"/>
      <c r="S253" s="68"/>
    </row>
    <row r="254" spans="1:19" ht="15.75" customHeight="1">
      <c r="A254" s="68"/>
      <c r="B254" s="68"/>
      <c r="D254" s="68"/>
      <c r="E254" s="69"/>
      <c r="K254" s="68"/>
      <c r="L254" s="68"/>
      <c r="M254" s="68"/>
      <c r="O254" s="68"/>
      <c r="P254" s="68"/>
      <c r="Q254" s="68"/>
      <c r="R254" s="68"/>
      <c r="S254" s="68"/>
    </row>
    <row r="255" spans="1:19" ht="15.75" customHeight="1">
      <c r="A255" s="68"/>
      <c r="B255" s="68"/>
      <c r="D255" s="68"/>
      <c r="E255" s="69"/>
      <c r="K255" s="68"/>
      <c r="L255" s="68"/>
      <c r="M255" s="68"/>
      <c r="O255" s="68"/>
      <c r="P255" s="68"/>
      <c r="Q255" s="68"/>
      <c r="R255" s="68"/>
      <c r="S255" s="68"/>
    </row>
    <row r="256" spans="1:19" ht="15.75" customHeight="1">
      <c r="A256" s="68"/>
      <c r="B256" s="68"/>
      <c r="D256" s="68"/>
      <c r="E256" s="69"/>
      <c r="K256" s="68"/>
      <c r="L256" s="68"/>
      <c r="M256" s="68"/>
      <c r="O256" s="68"/>
      <c r="P256" s="68"/>
      <c r="Q256" s="68"/>
      <c r="R256" s="68"/>
      <c r="S256" s="68"/>
    </row>
    <row r="257" spans="1:19" ht="15.75" customHeight="1">
      <c r="A257" s="68"/>
      <c r="B257" s="68"/>
      <c r="D257" s="68"/>
      <c r="E257" s="69"/>
      <c r="K257" s="68"/>
      <c r="L257" s="68"/>
      <c r="M257" s="68"/>
      <c r="O257" s="68"/>
      <c r="P257" s="68"/>
      <c r="Q257" s="68"/>
      <c r="R257" s="68"/>
      <c r="S257" s="68"/>
    </row>
    <row r="258" spans="1:19" ht="15.75" customHeight="1">
      <c r="A258" s="68"/>
      <c r="B258" s="68"/>
      <c r="D258" s="68"/>
      <c r="E258" s="69"/>
      <c r="K258" s="68"/>
      <c r="L258" s="68"/>
      <c r="M258" s="68"/>
      <c r="O258" s="68"/>
      <c r="P258" s="68"/>
      <c r="Q258" s="68"/>
      <c r="R258" s="68"/>
      <c r="S258" s="68"/>
    </row>
    <row r="259" spans="1:19" ht="15.75" customHeight="1">
      <c r="A259" s="68"/>
      <c r="B259" s="68"/>
      <c r="D259" s="68"/>
      <c r="E259" s="69"/>
      <c r="K259" s="68"/>
      <c r="L259" s="68"/>
      <c r="M259" s="68"/>
      <c r="O259" s="68"/>
      <c r="P259" s="68"/>
      <c r="Q259" s="68"/>
      <c r="R259" s="68"/>
      <c r="S259" s="68"/>
    </row>
    <row r="260" spans="1:19" ht="15.75" customHeight="1">
      <c r="A260" s="68"/>
      <c r="B260" s="68"/>
      <c r="D260" s="68"/>
      <c r="E260" s="69"/>
      <c r="K260" s="68"/>
      <c r="L260" s="68"/>
      <c r="M260" s="68"/>
      <c r="O260" s="68"/>
      <c r="P260" s="68"/>
      <c r="Q260" s="68"/>
      <c r="R260" s="68"/>
      <c r="S260" s="68"/>
    </row>
    <row r="261" spans="1:19" ht="15.75" customHeight="1">
      <c r="A261" s="68"/>
      <c r="B261" s="68"/>
      <c r="D261" s="68"/>
      <c r="E261" s="69"/>
      <c r="K261" s="68"/>
      <c r="L261" s="68"/>
      <c r="M261" s="68"/>
      <c r="O261" s="68"/>
      <c r="P261" s="68"/>
      <c r="Q261" s="68"/>
      <c r="R261" s="68"/>
      <c r="S261" s="68"/>
    </row>
    <row r="262" spans="1:19" ht="15.75" customHeight="1">
      <c r="A262" s="68"/>
      <c r="B262" s="68"/>
      <c r="D262" s="68"/>
      <c r="E262" s="69"/>
      <c r="K262" s="68"/>
      <c r="L262" s="68"/>
      <c r="M262" s="68"/>
      <c r="O262" s="68"/>
      <c r="P262" s="68"/>
      <c r="Q262" s="68"/>
      <c r="R262" s="68"/>
      <c r="S262" s="68"/>
    </row>
    <row r="263" spans="1:19" ht="15.75" customHeight="1">
      <c r="A263" s="68"/>
      <c r="B263" s="68"/>
      <c r="D263" s="68"/>
      <c r="E263" s="69"/>
      <c r="K263" s="68"/>
      <c r="L263" s="68"/>
      <c r="M263" s="68"/>
      <c r="O263" s="68"/>
      <c r="P263" s="68"/>
      <c r="Q263" s="68"/>
      <c r="R263" s="68"/>
      <c r="S263" s="68"/>
    </row>
    <row r="264" spans="1:19" ht="15.75" customHeight="1">
      <c r="A264" s="68"/>
      <c r="B264" s="68"/>
      <c r="D264" s="68"/>
      <c r="E264" s="69"/>
      <c r="K264" s="68"/>
      <c r="L264" s="68"/>
      <c r="M264" s="68"/>
      <c r="O264" s="68"/>
      <c r="P264" s="68"/>
      <c r="Q264" s="68"/>
      <c r="R264" s="68"/>
      <c r="S264" s="68"/>
    </row>
    <row r="265" spans="1:19" ht="15.75" customHeight="1">
      <c r="A265" s="68"/>
      <c r="B265" s="68"/>
      <c r="D265" s="68"/>
      <c r="E265" s="69"/>
      <c r="K265" s="68"/>
      <c r="L265" s="68"/>
      <c r="M265" s="68"/>
      <c r="O265" s="68"/>
      <c r="P265" s="68"/>
      <c r="Q265" s="68"/>
      <c r="R265" s="68"/>
      <c r="S265" s="68"/>
    </row>
    <row r="266" spans="1:19" ht="15.75" customHeight="1">
      <c r="A266" s="68"/>
      <c r="B266" s="68"/>
      <c r="D266" s="68"/>
      <c r="E266" s="69"/>
      <c r="K266" s="68"/>
      <c r="L266" s="68"/>
      <c r="M266" s="68"/>
      <c r="O266" s="68"/>
      <c r="P266" s="68"/>
      <c r="Q266" s="68"/>
      <c r="R266" s="68"/>
      <c r="S266" s="68"/>
    </row>
    <row r="267" spans="1:19" ht="15.75" customHeight="1">
      <c r="A267" s="68"/>
      <c r="B267" s="68"/>
      <c r="D267" s="68"/>
      <c r="E267" s="69"/>
      <c r="K267" s="68"/>
      <c r="L267" s="68"/>
      <c r="M267" s="68"/>
      <c r="O267" s="68"/>
      <c r="P267" s="68"/>
      <c r="Q267" s="68"/>
      <c r="R267" s="68"/>
      <c r="S267" s="68"/>
    </row>
    <row r="268" spans="1:19" ht="15.75" customHeight="1">
      <c r="A268" s="68"/>
      <c r="B268" s="68"/>
      <c r="D268" s="68"/>
      <c r="E268" s="69"/>
      <c r="K268" s="68"/>
      <c r="L268" s="68"/>
      <c r="M268" s="68"/>
      <c r="O268" s="68"/>
      <c r="P268" s="68"/>
      <c r="Q268" s="68"/>
      <c r="R268" s="68"/>
      <c r="S268" s="68"/>
    </row>
    <row r="269" spans="1:19" ht="15.75" customHeight="1">
      <c r="A269" s="68"/>
      <c r="B269" s="68"/>
      <c r="D269" s="68"/>
      <c r="E269" s="69"/>
      <c r="K269" s="68"/>
      <c r="L269" s="68"/>
      <c r="M269" s="68"/>
      <c r="O269" s="68"/>
      <c r="P269" s="68"/>
      <c r="Q269" s="68"/>
      <c r="R269" s="68"/>
      <c r="S269" s="68"/>
    </row>
    <row r="270" spans="1:19" ht="15.75" customHeight="1">
      <c r="A270" s="68"/>
      <c r="B270" s="68"/>
      <c r="D270" s="68"/>
      <c r="E270" s="69"/>
      <c r="K270" s="68"/>
      <c r="L270" s="68"/>
      <c r="M270" s="68"/>
      <c r="O270" s="68"/>
      <c r="P270" s="68"/>
      <c r="Q270" s="68"/>
      <c r="R270" s="68"/>
      <c r="S270" s="68"/>
    </row>
    <row r="271" spans="1:19" ht="15.75" customHeight="1">
      <c r="A271" s="68"/>
      <c r="B271" s="68"/>
      <c r="D271" s="68"/>
      <c r="E271" s="69"/>
      <c r="K271" s="68"/>
      <c r="L271" s="68"/>
      <c r="M271" s="68"/>
      <c r="O271" s="68"/>
      <c r="P271" s="68"/>
      <c r="Q271" s="68"/>
      <c r="R271" s="68"/>
      <c r="S271" s="68"/>
    </row>
    <row r="272" spans="1:19" ht="15.75" customHeight="1">
      <c r="A272" s="68"/>
      <c r="B272" s="68"/>
      <c r="D272" s="68"/>
      <c r="E272" s="69"/>
      <c r="K272" s="68"/>
      <c r="L272" s="68"/>
      <c r="M272" s="68"/>
      <c r="O272" s="68"/>
      <c r="P272" s="68"/>
      <c r="Q272" s="68"/>
      <c r="R272" s="68"/>
      <c r="S272" s="68"/>
    </row>
    <row r="273" spans="1:19" ht="15.75" customHeight="1">
      <c r="A273" s="68"/>
      <c r="B273" s="68"/>
      <c r="D273" s="68"/>
      <c r="E273" s="69"/>
      <c r="K273" s="68"/>
      <c r="L273" s="68"/>
      <c r="M273" s="68"/>
      <c r="O273" s="68"/>
      <c r="P273" s="68"/>
      <c r="Q273" s="68"/>
      <c r="R273" s="68"/>
      <c r="S273" s="68"/>
    </row>
    <row r="274" spans="1:19" ht="15.75" customHeight="1">
      <c r="A274" s="68"/>
      <c r="B274" s="68"/>
      <c r="D274" s="68"/>
      <c r="E274" s="69"/>
      <c r="K274" s="68"/>
      <c r="L274" s="68"/>
      <c r="M274" s="68"/>
      <c r="O274" s="68"/>
      <c r="P274" s="68"/>
      <c r="Q274" s="68"/>
      <c r="R274" s="68"/>
      <c r="S274" s="68"/>
    </row>
    <row r="275" spans="1:19" ht="15.75" customHeight="1">
      <c r="A275" s="68"/>
      <c r="B275" s="68"/>
      <c r="D275" s="68"/>
      <c r="E275" s="69"/>
      <c r="K275" s="68"/>
      <c r="L275" s="68"/>
      <c r="M275" s="68"/>
      <c r="O275" s="68"/>
      <c r="P275" s="68"/>
      <c r="Q275" s="68"/>
      <c r="R275" s="68"/>
      <c r="S275" s="68"/>
    </row>
    <row r="276" spans="1:19" ht="15.75" customHeight="1">
      <c r="A276" s="68"/>
      <c r="B276" s="68"/>
      <c r="D276" s="68"/>
      <c r="E276" s="69"/>
      <c r="K276" s="68"/>
      <c r="L276" s="68"/>
      <c r="M276" s="68"/>
      <c r="O276" s="68"/>
      <c r="P276" s="68"/>
      <c r="Q276" s="68"/>
      <c r="R276" s="68"/>
      <c r="S276" s="68"/>
    </row>
    <row r="277" spans="1:19" ht="15.75" customHeight="1">
      <c r="A277" s="68"/>
      <c r="B277" s="68"/>
      <c r="D277" s="68"/>
      <c r="E277" s="69"/>
      <c r="K277" s="68"/>
      <c r="L277" s="68"/>
      <c r="M277" s="68"/>
      <c r="O277" s="68"/>
      <c r="P277" s="68"/>
      <c r="Q277" s="68"/>
      <c r="R277" s="68"/>
      <c r="S277" s="68"/>
    </row>
    <row r="278" spans="1:19" ht="15.75" customHeight="1">
      <c r="A278" s="68"/>
      <c r="B278" s="68"/>
      <c r="D278" s="68"/>
      <c r="E278" s="69"/>
      <c r="K278" s="68"/>
      <c r="L278" s="68"/>
      <c r="M278" s="68"/>
      <c r="O278" s="68"/>
      <c r="P278" s="68"/>
      <c r="Q278" s="68"/>
      <c r="R278" s="68"/>
      <c r="S278" s="68"/>
    </row>
    <row r="279" spans="1:19" ht="15.75" customHeight="1">
      <c r="A279" s="68"/>
      <c r="B279" s="68"/>
      <c r="D279" s="68"/>
      <c r="E279" s="69"/>
      <c r="K279" s="68"/>
      <c r="L279" s="68"/>
      <c r="M279" s="68"/>
      <c r="O279" s="68"/>
      <c r="P279" s="68"/>
      <c r="Q279" s="68"/>
      <c r="R279" s="68"/>
      <c r="S279" s="68"/>
    </row>
    <row r="280" spans="1:19" ht="15.75" customHeight="1">
      <c r="A280" s="68"/>
      <c r="B280" s="68"/>
      <c r="D280" s="68"/>
      <c r="E280" s="69"/>
      <c r="K280" s="68"/>
      <c r="L280" s="68"/>
      <c r="M280" s="68"/>
      <c r="O280" s="68"/>
      <c r="P280" s="68"/>
      <c r="Q280" s="68"/>
      <c r="R280" s="68"/>
      <c r="S280" s="68"/>
    </row>
    <row r="281" spans="1:19" ht="15.75" customHeight="1">
      <c r="A281" s="68"/>
      <c r="B281" s="68"/>
      <c r="D281" s="68"/>
      <c r="E281" s="69"/>
      <c r="K281" s="68"/>
      <c r="L281" s="68"/>
      <c r="M281" s="68"/>
      <c r="O281" s="68"/>
      <c r="P281" s="68"/>
      <c r="Q281" s="68"/>
      <c r="R281" s="68"/>
      <c r="S281" s="68"/>
    </row>
    <row r="282" spans="1:19" ht="15.75" customHeight="1">
      <c r="A282" s="68"/>
      <c r="B282" s="68"/>
      <c r="D282" s="68"/>
      <c r="E282" s="69"/>
      <c r="K282" s="68"/>
      <c r="L282" s="68"/>
      <c r="M282" s="68"/>
      <c r="O282" s="68"/>
      <c r="P282" s="68"/>
      <c r="Q282" s="68"/>
      <c r="R282" s="68"/>
      <c r="S282" s="68"/>
    </row>
    <row r="283" spans="1:19" ht="15.75" customHeight="1">
      <c r="A283" s="68"/>
      <c r="B283" s="68"/>
      <c r="D283" s="68"/>
      <c r="E283" s="69"/>
      <c r="K283" s="68"/>
      <c r="L283" s="68"/>
      <c r="M283" s="68"/>
      <c r="O283" s="68"/>
      <c r="P283" s="68"/>
      <c r="Q283" s="68"/>
      <c r="R283" s="68"/>
      <c r="S283" s="68"/>
    </row>
    <row r="284" spans="1:19" ht="15.75" customHeight="1">
      <c r="A284" s="68"/>
      <c r="B284" s="68"/>
      <c r="D284" s="68"/>
      <c r="E284" s="69"/>
      <c r="K284" s="68"/>
      <c r="L284" s="68"/>
      <c r="M284" s="68"/>
      <c r="O284" s="68"/>
      <c r="P284" s="68"/>
      <c r="Q284" s="68"/>
      <c r="R284" s="68"/>
      <c r="S284" s="68"/>
    </row>
    <row r="285" spans="1:19" ht="15.75" customHeight="1">
      <c r="A285" s="68"/>
      <c r="B285" s="68"/>
      <c r="D285" s="68"/>
      <c r="E285" s="69"/>
      <c r="K285" s="68"/>
      <c r="L285" s="68"/>
      <c r="M285" s="68"/>
      <c r="O285" s="68"/>
      <c r="P285" s="68"/>
      <c r="Q285" s="68"/>
      <c r="R285" s="68"/>
      <c r="S285" s="68"/>
    </row>
    <row r="286" spans="1:19" ht="15.75" customHeight="1">
      <c r="A286" s="68"/>
      <c r="B286" s="68"/>
      <c r="D286" s="68"/>
      <c r="E286" s="69"/>
      <c r="K286" s="68"/>
      <c r="L286" s="68"/>
      <c r="M286" s="68"/>
      <c r="O286" s="68"/>
      <c r="P286" s="68"/>
      <c r="Q286" s="68"/>
      <c r="R286" s="68"/>
      <c r="S286" s="68"/>
    </row>
    <row r="287" spans="1:19" ht="15.75" customHeight="1">
      <c r="A287" s="68"/>
      <c r="B287" s="68"/>
      <c r="D287" s="68"/>
      <c r="E287" s="69"/>
      <c r="K287" s="68"/>
      <c r="L287" s="68"/>
      <c r="M287" s="68"/>
      <c r="O287" s="68"/>
      <c r="P287" s="68"/>
      <c r="Q287" s="68"/>
      <c r="R287" s="68"/>
      <c r="S287" s="68"/>
    </row>
    <row r="288" spans="1:19" ht="15.75" customHeight="1">
      <c r="A288" s="68"/>
      <c r="B288" s="68"/>
      <c r="D288" s="68"/>
      <c r="E288" s="69"/>
      <c r="K288" s="68"/>
      <c r="L288" s="68"/>
      <c r="M288" s="68"/>
      <c r="O288" s="68"/>
      <c r="P288" s="68"/>
      <c r="Q288" s="68"/>
      <c r="R288" s="68"/>
      <c r="S288" s="68"/>
    </row>
    <row r="289" spans="1:19" ht="15.75" customHeight="1">
      <c r="A289" s="68"/>
      <c r="B289" s="68"/>
      <c r="D289" s="68"/>
      <c r="E289" s="69"/>
      <c r="K289" s="68"/>
      <c r="L289" s="68"/>
      <c r="M289" s="68"/>
      <c r="O289" s="68"/>
      <c r="P289" s="68"/>
      <c r="Q289" s="68"/>
      <c r="R289" s="68"/>
      <c r="S289" s="68"/>
    </row>
    <row r="290" spans="1:19" ht="15.75" customHeight="1">
      <c r="A290" s="68"/>
      <c r="B290" s="68"/>
      <c r="D290" s="68"/>
      <c r="E290" s="69"/>
      <c r="K290" s="68"/>
      <c r="L290" s="68"/>
      <c r="M290" s="68"/>
      <c r="O290" s="68"/>
      <c r="P290" s="68"/>
      <c r="Q290" s="68"/>
      <c r="R290" s="68"/>
      <c r="S290" s="68"/>
    </row>
    <row r="291" spans="1:19" ht="15.75" customHeight="1">
      <c r="A291" s="68"/>
      <c r="B291" s="68"/>
      <c r="D291" s="68"/>
      <c r="E291" s="69"/>
      <c r="K291" s="68"/>
      <c r="L291" s="68"/>
      <c r="M291" s="68"/>
      <c r="O291" s="68"/>
      <c r="P291" s="68"/>
      <c r="Q291" s="68"/>
      <c r="R291" s="68"/>
      <c r="S291" s="68"/>
    </row>
    <row r="292" spans="1:19" ht="15.75" customHeight="1">
      <c r="A292" s="68"/>
      <c r="B292" s="68"/>
      <c r="D292" s="68"/>
      <c r="E292" s="69"/>
      <c r="K292" s="68"/>
      <c r="L292" s="68"/>
      <c r="M292" s="68"/>
      <c r="O292" s="68"/>
      <c r="P292" s="68"/>
      <c r="Q292" s="68"/>
      <c r="R292" s="68"/>
      <c r="S292" s="68"/>
    </row>
    <row r="293" spans="1:19" ht="15.75" customHeight="1">
      <c r="A293" s="68"/>
      <c r="B293" s="68"/>
      <c r="D293" s="68"/>
      <c r="E293" s="69"/>
      <c r="K293" s="68"/>
      <c r="L293" s="68"/>
      <c r="M293" s="68"/>
      <c r="O293" s="68"/>
      <c r="P293" s="68"/>
      <c r="Q293" s="68"/>
      <c r="R293" s="68"/>
      <c r="S293" s="68"/>
    </row>
    <row r="294" spans="1:19" ht="15.75" customHeight="1">
      <c r="A294" s="68"/>
      <c r="B294" s="68"/>
      <c r="D294" s="68"/>
      <c r="E294" s="69"/>
      <c r="K294" s="68"/>
      <c r="L294" s="68"/>
      <c r="M294" s="68"/>
      <c r="O294" s="68"/>
      <c r="P294" s="68"/>
      <c r="Q294" s="68"/>
      <c r="R294" s="68"/>
      <c r="S294" s="68"/>
    </row>
    <row r="295" spans="1:19" ht="15.75" customHeight="1">
      <c r="A295" s="68"/>
      <c r="B295" s="68"/>
      <c r="D295" s="68"/>
      <c r="E295" s="69"/>
      <c r="K295" s="68"/>
      <c r="L295" s="68"/>
      <c r="M295" s="68"/>
      <c r="O295" s="68"/>
      <c r="P295" s="68"/>
      <c r="Q295" s="68"/>
      <c r="R295" s="68"/>
      <c r="S295" s="68"/>
    </row>
    <row r="296" spans="1:19" ht="15.75" customHeight="1">
      <c r="A296" s="68"/>
      <c r="B296" s="68"/>
      <c r="D296" s="68"/>
      <c r="E296" s="69"/>
      <c r="K296" s="68"/>
      <c r="L296" s="68"/>
      <c r="M296" s="68"/>
      <c r="O296" s="68"/>
      <c r="P296" s="68"/>
      <c r="Q296" s="68"/>
      <c r="R296" s="68"/>
      <c r="S296" s="68"/>
    </row>
    <row r="297" spans="1:19" ht="15.75" customHeight="1">
      <c r="A297" s="68"/>
      <c r="B297" s="68"/>
      <c r="D297" s="68"/>
      <c r="E297" s="69"/>
      <c r="K297" s="68"/>
      <c r="L297" s="68"/>
      <c r="M297" s="68"/>
      <c r="O297" s="68"/>
      <c r="P297" s="68"/>
      <c r="Q297" s="68"/>
      <c r="R297" s="68"/>
      <c r="S297" s="68"/>
    </row>
    <row r="298" spans="1:19" ht="15.75" customHeight="1">
      <c r="A298" s="68"/>
      <c r="B298" s="68"/>
      <c r="D298" s="68"/>
      <c r="E298" s="69"/>
      <c r="K298" s="68"/>
      <c r="L298" s="68"/>
      <c r="M298" s="68"/>
      <c r="O298" s="68"/>
      <c r="P298" s="68"/>
      <c r="Q298" s="68"/>
      <c r="R298" s="68"/>
      <c r="S298" s="68"/>
    </row>
    <row r="299" spans="1:19" ht="15.75" customHeight="1">
      <c r="A299" s="68"/>
      <c r="B299" s="68"/>
      <c r="D299" s="68"/>
      <c r="E299" s="69"/>
      <c r="K299" s="68"/>
      <c r="L299" s="68"/>
      <c r="M299" s="68"/>
      <c r="O299" s="68"/>
      <c r="P299" s="68"/>
      <c r="Q299" s="68"/>
      <c r="R299" s="68"/>
      <c r="S299" s="68"/>
    </row>
    <row r="300" spans="1:19" ht="15.75" customHeight="1">
      <c r="A300" s="68"/>
      <c r="B300" s="68"/>
      <c r="D300" s="68"/>
      <c r="E300" s="69"/>
      <c r="K300" s="68"/>
      <c r="L300" s="68"/>
      <c r="M300" s="68"/>
      <c r="O300" s="68"/>
      <c r="P300" s="68"/>
      <c r="Q300" s="68"/>
      <c r="R300" s="68"/>
      <c r="S300" s="68"/>
    </row>
    <row r="301" spans="1:19" ht="15.75" customHeight="1">
      <c r="A301" s="68"/>
      <c r="B301" s="68"/>
      <c r="D301" s="68"/>
      <c r="E301" s="69"/>
      <c r="K301" s="68"/>
      <c r="L301" s="68"/>
      <c r="M301" s="68"/>
      <c r="O301" s="68"/>
      <c r="P301" s="68"/>
      <c r="Q301" s="68"/>
      <c r="R301" s="68"/>
      <c r="S301" s="68"/>
    </row>
    <row r="302" spans="1:19" ht="15.75" customHeight="1">
      <c r="A302" s="68"/>
      <c r="B302" s="68"/>
      <c r="D302" s="68"/>
      <c r="E302" s="69"/>
      <c r="K302" s="68"/>
      <c r="L302" s="68"/>
      <c r="M302" s="68"/>
      <c r="O302" s="68"/>
      <c r="P302" s="68"/>
      <c r="Q302" s="68"/>
      <c r="R302" s="68"/>
      <c r="S302" s="68"/>
    </row>
    <row r="303" spans="1:19" ht="15.75" customHeight="1">
      <c r="A303" s="68"/>
      <c r="B303" s="68"/>
      <c r="D303" s="68"/>
      <c r="E303" s="69"/>
      <c r="K303" s="68"/>
      <c r="L303" s="68"/>
      <c r="M303" s="68"/>
      <c r="O303" s="68"/>
      <c r="P303" s="68"/>
      <c r="Q303" s="68"/>
      <c r="R303" s="68"/>
      <c r="S303" s="68"/>
    </row>
    <row r="304" spans="1:19" ht="15.75" customHeight="1">
      <c r="A304" s="68"/>
      <c r="B304" s="68"/>
      <c r="D304" s="68"/>
      <c r="E304" s="69"/>
      <c r="K304" s="68"/>
      <c r="L304" s="68"/>
      <c r="M304" s="68"/>
      <c r="O304" s="68"/>
      <c r="P304" s="68"/>
      <c r="Q304" s="68"/>
      <c r="R304" s="68"/>
      <c r="S304" s="68"/>
    </row>
    <row r="305" spans="1:19" ht="15.75" customHeight="1">
      <c r="A305" s="68"/>
      <c r="B305" s="68"/>
      <c r="D305" s="68"/>
      <c r="E305" s="69"/>
      <c r="K305" s="68"/>
      <c r="L305" s="68"/>
      <c r="M305" s="68"/>
      <c r="O305" s="68"/>
      <c r="P305" s="68"/>
      <c r="Q305" s="68"/>
      <c r="R305" s="68"/>
      <c r="S305" s="68"/>
    </row>
    <row r="306" spans="1:19" ht="15.75" customHeight="1">
      <c r="A306" s="68"/>
      <c r="B306" s="68"/>
      <c r="D306" s="68"/>
      <c r="E306" s="69"/>
      <c r="K306" s="68"/>
      <c r="L306" s="68"/>
      <c r="M306" s="68"/>
      <c r="O306" s="68"/>
      <c r="P306" s="68"/>
      <c r="Q306" s="68"/>
      <c r="R306" s="68"/>
      <c r="S306" s="68"/>
    </row>
    <row r="307" spans="1:19" ht="15.75" customHeight="1">
      <c r="A307" s="68"/>
      <c r="B307" s="68"/>
      <c r="D307" s="68"/>
      <c r="E307" s="69"/>
      <c r="K307" s="68"/>
      <c r="L307" s="68"/>
      <c r="M307" s="68"/>
      <c r="O307" s="68"/>
      <c r="P307" s="68"/>
      <c r="Q307" s="68"/>
      <c r="R307" s="68"/>
      <c r="S307" s="68"/>
    </row>
    <row r="308" spans="1:19" ht="15.75" customHeight="1">
      <c r="A308" s="68"/>
      <c r="B308" s="68"/>
      <c r="D308" s="68"/>
      <c r="E308" s="69"/>
      <c r="K308" s="68"/>
      <c r="L308" s="68"/>
      <c r="M308" s="68"/>
      <c r="O308" s="68"/>
      <c r="P308" s="68"/>
      <c r="Q308" s="68"/>
      <c r="R308" s="68"/>
      <c r="S308" s="68"/>
    </row>
    <row r="309" spans="1:19" ht="15.75" customHeight="1">
      <c r="A309" s="68"/>
      <c r="B309" s="68"/>
      <c r="D309" s="68"/>
      <c r="E309" s="69"/>
      <c r="K309" s="68"/>
      <c r="L309" s="68"/>
      <c r="M309" s="68"/>
      <c r="O309" s="68"/>
      <c r="P309" s="68"/>
      <c r="Q309" s="68"/>
      <c r="R309" s="68"/>
      <c r="S309" s="68"/>
    </row>
    <row r="310" spans="1:19" ht="15.75" customHeight="1">
      <c r="A310" s="68"/>
      <c r="B310" s="68"/>
      <c r="D310" s="68"/>
      <c r="E310" s="69"/>
      <c r="K310" s="68"/>
      <c r="L310" s="68"/>
      <c r="M310" s="68"/>
      <c r="O310" s="68"/>
      <c r="P310" s="68"/>
      <c r="Q310" s="68"/>
      <c r="R310" s="68"/>
      <c r="S310" s="68"/>
    </row>
    <row r="311" spans="1:19" ht="15.75" customHeight="1">
      <c r="A311" s="68"/>
      <c r="B311" s="68"/>
      <c r="D311" s="68"/>
      <c r="E311" s="69"/>
      <c r="K311" s="68"/>
      <c r="L311" s="68"/>
      <c r="M311" s="68"/>
      <c r="O311" s="68"/>
      <c r="P311" s="68"/>
      <c r="Q311" s="68"/>
      <c r="R311" s="68"/>
      <c r="S311" s="68"/>
    </row>
    <row r="312" spans="1:19" ht="15.75" customHeight="1">
      <c r="A312" s="68"/>
      <c r="B312" s="68"/>
      <c r="D312" s="68"/>
      <c r="E312" s="69"/>
      <c r="K312" s="68"/>
      <c r="L312" s="68"/>
      <c r="M312" s="68"/>
      <c r="O312" s="68"/>
      <c r="P312" s="68"/>
      <c r="Q312" s="68"/>
      <c r="R312" s="68"/>
      <c r="S312" s="68"/>
    </row>
    <row r="313" spans="1:19" ht="15.75" customHeight="1">
      <c r="A313" s="68"/>
      <c r="B313" s="68"/>
      <c r="D313" s="68"/>
      <c r="E313" s="69"/>
      <c r="K313" s="68"/>
      <c r="L313" s="68"/>
      <c r="M313" s="68"/>
      <c r="O313" s="68"/>
      <c r="P313" s="68"/>
      <c r="Q313" s="68"/>
      <c r="R313" s="68"/>
      <c r="S313" s="68"/>
    </row>
    <row r="314" spans="1:19" ht="15.75" customHeight="1">
      <c r="A314" s="68"/>
      <c r="B314" s="68"/>
      <c r="D314" s="68"/>
      <c r="E314" s="69"/>
      <c r="K314" s="68"/>
      <c r="L314" s="68"/>
      <c r="M314" s="68"/>
      <c r="O314" s="68"/>
      <c r="P314" s="68"/>
      <c r="Q314" s="68"/>
      <c r="R314" s="68"/>
      <c r="S314" s="68"/>
    </row>
    <row r="315" spans="1:19" ht="15.75" customHeight="1">
      <c r="A315" s="68"/>
      <c r="B315" s="68"/>
      <c r="D315" s="68"/>
      <c r="E315" s="69"/>
      <c r="K315" s="68"/>
      <c r="L315" s="68"/>
      <c r="M315" s="68"/>
      <c r="O315" s="68"/>
      <c r="P315" s="68"/>
      <c r="Q315" s="68"/>
      <c r="R315" s="68"/>
      <c r="S315" s="68"/>
    </row>
    <row r="316" spans="1:19" ht="15.75" customHeight="1">
      <c r="A316" s="68"/>
      <c r="B316" s="68"/>
      <c r="D316" s="68"/>
      <c r="E316" s="69"/>
      <c r="K316" s="68"/>
      <c r="L316" s="68"/>
      <c r="M316" s="68"/>
      <c r="O316" s="68"/>
      <c r="P316" s="68"/>
      <c r="Q316" s="68"/>
      <c r="R316" s="68"/>
      <c r="S316" s="68"/>
    </row>
    <row r="317" spans="1:19" ht="15.75" customHeight="1">
      <c r="A317" s="68"/>
      <c r="B317" s="68"/>
      <c r="D317" s="68"/>
      <c r="E317" s="69"/>
      <c r="K317" s="68"/>
      <c r="L317" s="68"/>
      <c r="M317" s="68"/>
      <c r="O317" s="68"/>
      <c r="P317" s="68"/>
      <c r="Q317" s="68"/>
      <c r="R317" s="68"/>
      <c r="S317" s="68"/>
    </row>
    <row r="318" spans="1:19" ht="15.75" customHeight="1">
      <c r="A318" s="68"/>
      <c r="B318" s="68"/>
      <c r="D318" s="68"/>
      <c r="E318" s="69"/>
      <c r="K318" s="68"/>
      <c r="L318" s="68"/>
      <c r="M318" s="68"/>
      <c r="O318" s="68"/>
      <c r="P318" s="68"/>
      <c r="Q318" s="68"/>
      <c r="R318" s="68"/>
      <c r="S318" s="68"/>
    </row>
    <row r="319" spans="1:19" ht="15.75" customHeight="1">
      <c r="A319" s="68"/>
      <c r="B319" s="68"/>
      <c r="D319" s="68"/>
      <c r="E319" s="69"/>
      <c r="K319" s="68"/>
      <c r="L319" s="68"/>
      <c r="M319" s="68"/>
      <c r="O319" s="68"/>
      <c r="P319" s="68"/>
      <c r="Q319" s="68"/>
      <c r="R319" s="68"/>
      <c r="S319" s="68"/>
    </row>
    <row r="320" spans="1:19" ht="15.75" customHeight="1">
      <c r="A320" s="68"/>
      <c r="B320" s="68"/>
      <c r="D320" s="68"/>
      <c r="E320" s="69"/>
      <c r="K320" s="68"/>
      <c r="L320" s="68"/>
      <c r="M320" s="68"/>
      <c r="O320" s="68"/>
      <c r="P320" s="68"/>
      <c r="Q320" s="68"/>
      <c r="R320" s="68"/>
      <c r="S320" s="68"/>
    </row>
    <row r="321" spans="1:19" ht="15.75" customHeight="1">
      <c r="A321" s="68"/>
      <c r="B321" s="68"/>
      <c r="D321" s="68"/>
      <c r="E321" s="69"/>
      <c r="K321" s="68"/>
      <c r="L321" s="68"/>
      <c r="M321" s="68"/>
      <c r="O321" s="68"/>
      <c r="P321" s="68"/>
      <c r="Q321" s="68"/>
      <c r="R321" s="68"/>
      <c r="S321" s="68"/>
    </row>
    <row r="322" spans="1:19" ht="15.75" customHeight="1">
      <c r="A322" s="68"/>
      <c r="B322" s="68"/>
      <c r="D322" s="68"/>
      <c r="E322" s="69"/>
      <c r="K322" s="68"/>
      <c r="L322" s="68"/>
      <c r="M322" s="68"/>
      <c r="O322" s="68"/>
      <c r="P322" s="68"/>
      <c r="Q322" s="68"/>
      <c r="R322" s="68"/>
      <c r="S322" s="68"/>
    </row>
    <row r="323" spans="1:19" ht="15.75" customHeight="1">
      <c r="A323" s="68"/>
      <c r="B323" s="68"/>
      <c r="D323" s="68"/>
      <c r="E323" s="69"/>
      <c r="K323" s="68"/>
      <c r="L323" s="68"/>
      <c r="M323" s="68"/>
      <c r="O323" s="68"/>
      <c r="P323" s="68"/>
      <c r="Q323" s="68"/>
      <c r="R323" s="68"/>
      <c r="S323" s="68"/>
    </row>
    <row r="324" spans="1:19" ht="15.75" customHeight="1">
      <c r="A324" s="68"/>
      <c r="B324" s="68"/>
      <c r="D324" s="68"/>
      <c r="E324" s="69"/>
      <c r="K324" s="68"/>
      <c r="L324" s="68"/>
      <c r="M324" s="68"/>
      <c r="O324" s="68"/>
      <c r="P324" s="68"/>
      <c r="Q324" s="68"/>
      <c r="R324" s="68"/>
      <c r="S324" s="68"/>
    </row>
    <row r="325" spans="1:19" ht="15.75" customHeight="1">
      <c r="A325" s="68"/>
      <c r="B325" s="68"/>
      <c r="D325" s="68"/>
      <c r="E325" s="69"/>
      <c r="K325" s="68"/>
      <c r="L325" s="68"/>
      <c r="M325" s="68"/>
      <c r="O325" s="68"/>
      <c r="P325" s="68"/>
      <c r="Q325" s="68"/>
      <c r="R325" s="68"/>
      <c r="S325" s="68"/>
    </row>
    <row r="326" spans="1:19" ht="15.75" customHeight="1">
      <c r="A326" s="68"/>
      <c r="B326" s="68"/>
      <c r="D326" s="68"/>
      <c r="E326" s="69"/>
      <c r="K326" s="68"/>
      <c r="L326" s="68"/>
      <c r="M326" s="68"/>
      <c r="O326" s="68"/>
      <c r="P326" s="68"/>
      <c r="Q326" s="68"/>
      <c r="R326" s="68"/>
      <c r="S326" s="68"/>
    </row>
    <row r="327" spans="1:19" ht="15.75" customHeight="1">
      <c r="A327" s="68"/>
      <c r="B327" s="68"/>
      <c r="D327" s="68"/>
      <c r="E327" s="69"/>
      <c r="K327" s="68"/>
      <c r="L327" s="68"/>
      <c r="M327" s="68"/>
      <c r="O327" s="68"/>
      <c r="P327" s="68"/>
      <c r="Q327" s="68"/>
      <c r="R327" s="68"/>
      <c r="S327" s="68"/>
    </row>
    <row r="328" spans="1:19" ht="15.75" customHeight="1">
      <c r="A328" s="68"/>
      <c r="B328" s="68"/>
      <c r="D328" s="68"/>
      <c r="E328" s="69"/>
      <c r="K328" s="68"/>
      <c r="L328" s="68"/>
      <c r="M328" s="68"/>
      <c r="O328" s="68"/>
      <c r="P328" s="68"/>
      <c r="Q328" s="68"/>
      <c r="R328" s="68"/>
      <c r="S328" s="68"/>
    </row>
    <row r="329" spans="1:19" ht="15.75" customHeight="1">
      <c r="A329" s="68"/>
      <c r="B329" s="68"/>
      <c r="D329" s="68"/>
      <c r="E329" s="69"/>
      <c r="K329" s="68"/>
      <c r="L329" s="68"/>
      <c r="M329" s="68"/>
      <c r="O329" s="68"/>
      <c r="P329" s="68"/>
      <c r="Q329" s="68"/>
      <c r="R329" s="68"/>
      <c r="S329" s="68"/>
    </row>
    <row r="330" spans="1:19" ht="15.75" customHeight="1">
      <c r="A330" s="68"/>
      <c r="B330" s="68"/>
      <c r="D330" s="68"/>
      <c r="E330" s="69"/>
      <c r="K330" s="68"/>
      <c r="L330" s="68"/>
      <c r="M330" s="68"/>
      <c r="O330" s="68"/>
      <c r="P330" s="68"/>
      <c r="Q330" s="68"/>
      <c r="R330" s="68"/>
      <c r="S330" s="68"/>
    </row>
    <row r="331" spans="1:19" ht="15.75" customHeight="1">
      <c r="A331" s="68"/>
      <c r="B331" s="68"/>
      <c r="D331" s="68"/>
      <c r="E331" s="69"/>
      <c r="K331" s="68"/>
      <c r="L331" s="68"/>
      <c r="M331" s="68"/>
      <c r="O331" s="68"/>
      <c r="P331" s="68"/>
      <c r="Q331" s="68"/>
      <c r="R331" s="68"/>
      <c r="S331" s="68"/>
    </row>
    <row r="332" spans="1:19" ht="15.75" customHeight="1">
      <c r="A332" s="68"/>
      <c r="B332" s="68"/>
      <c r="D332" s="68"/>
      <c r="E332" s="69"/>
      <c r="K332" s="68"/>
      <c r="L332" s="68"/>
      <c r="M332" s="68"/>
      <c r="O332" s="68"/>
      <c r="P332" s="68"/>
      <c r="Q332" s="68"/>
      <c r="R332" s="68"/>
      <c r="S332" s="68"/>
    </row>
    <row r="333" spans="1:19" ht="15.75" customHeight="1">
      <c r="A333" s="68"/>
      <c r="B333" s="68"/>
      <c r="D333" s="68"/>
      <c r="E333" s="69"/>
      <c r="K333" s="68"/>
      <c r="L333" s="68"/>
      <c r="M333" s="68"/>
      <c r="O333" s="68"/>
      <c r="P333" s="68"/>
      <c r="Q333" s="68"/>
      <c r="R333" s="68"/>
      <c r="S333" s="68"/>
    </row>
    <row r="334" spans="1:19" ht="15.75" customHeight="1">
      <c r="A334" s="68"/>
      <c r="B334" s="68"/>
      <c r="D334" s="68"/>
      <c r="E334" s="69"/>
      <c r="K334" s="68"/>
      <c r="L334" s="68"/>
      <c r="M334" s="68"/>
      <c r="O334" s="68"/>
      <c r="P334" s="68"/>
      <c r="Q334" s="68"/>
      <c r="R334" s="68"/>
      <c r="S334" s="68"/>
    </row>
    <row r="335" spans="1:19" ht="15.75" customHeight="1">
      <c r="A335" s="68"/>
      <c r="B335" s="68"/>
      <c r="D335" s="68"/>
      <c r="E335" s="69"/>
      <c r="K335" s="68"/>
      <c r="L335" s="68"/>
      <c r="M335" s="68"/>
      <c r="O335" s="68"/>
      <c r="P335" s="68"/>
      <c r="Q335" s="68"/>
      <c r="R335" s="68"/>
      <c r="S335" s="68"/>
    </row>
    <row r="336" spans="1:19" ht="15.75" customHeight="1">
      <c r="A336" s="68"/>
      <c r="B336" s="68"/>
      <c r="D336" s="68"/>
      <c r="E336" s="69"/>
      <c r="K336" s="68"/>
      <c r="L336" s="68"/>
      <c r="M336" s="68"/>
      <c r="O336" s="68"/>
      <c r="P336" s="68"/>
      <c r="Q336" s="68"/>
      <c r="R336" s="68"/>
      <c r="S336" s="68"/>
    </row>
    <row r="337" spans="1:19" ht="15.75" customHeight="1">
      <c r="A337" s="68"/>
      <c r="B337" s="68"/>
      <c r="D337" s="68"/>
      <c r="E337" s="69"/>
      <c r="K337" s="68"/>
      <c r="L337" s="68"/>
      <c r="M337" s="68"/>
      <c r="O337" s="68"/>
      <c r="P337" s="68"/>
      <c r="Q337" s="68"/>
      <c r="R337" s="68"/>
      <c r="S337" s="68"/>
    </row>
    <row r="338" spans="1:19" ht="15.75" customHeight="1">
      <c r="A338" s="68"/>
      <c r="B338" s="68"/>
      <c r="D338" s="68"/>
      <c r="E338" s="69"/>
      <c r="K338" s="68"/>
      <c r="L338" s="68"/>
      <c r="M338" s="68"/>
      <c r="O338" s="68"/>
      <c r="P338" s="68"/>
      <c r="Q338" s="68"/>
      <c r="R338" s="68"/>
      <c r="S338" s="68"/>
    </row>
    <row r="339" spans="1:19" ht="15.75" customHeight="1">
      <c r="A339" s="68"/>
      <c r="B339" s="68"/>
      <c r="D339" s="68"/>
      <c r="E339" s="69"/>
      <c r="K339" s="68"/>
      <c r="L339" s="68"/>
      <c r="M339" s="68"/>
      <c r="O339" s="68"/>
      <c r="P339" s="68"/>
      <c r="Q339" s="68"/>
      <c r="R339" s="68"/>
      <c r="S339" s="68"/>
    </row>
    <row r="340" spans="1:19" ht="15.75" customHeight="1">
      <c r="A340" s="68"/>
      <c r="B340" s="68"/>
      <c r="D340" s="68"/>
      <c r="E340" s="69"/>
      <c r="K340" s="68"/>
      <c r="L340" s="68"/>
      <c r="M340" s="68"/>
      <c r="O340" s="68"/>
      <c r="P340" s="68"/>
      <c r="Q340" s="68"/>
      <c r="R340" s="68"/>
      <c r="S340" s="68"/>
    </row>
    <row r="341" spans="1:19" ht="15.75" customHeight="1">
      <c r="A341" s="68"/>
      <c r="B341" s="68"/>
      <c r="D341" s="68"/>
      <c r="E341" s="69"/>
      <c r="K341" s="68"/>
      <c r="L341" s="68"/>
      <c r="M341" s="68"/>
      <c r="O341" s="68"/>
      <c r="P341" s="68"/>
      <c r="Q341" s="68"/>
      <c r="R341" s="68"/>
      <c r="S341" s="68"/>
    </row>
    <row r="342" spans="1:19" ht="15.75" customHeight="1">
      <c r="A342" s="68"/>
      <c r="B342" s="68"/>
      <c r="D342" s="68"/>
      <c r="E342" s="69"/>
      <c r="K342" s="68"/>
      <c r="L342" s="68"/>
      <c r="M342" s="68"/>
      <c r="O342" s="68"/>
      <c r="P342" s="68"/>
      <c r="Q342" s="68"/>
      <c r="R342" s="68"/>
      <c r="S342" s="68"/>
    </row>
    <row r="343" spans="1:19" ht="15.75" customHeight="1">
      <c r="A343" s="68"/>
      <c r="B343" s="68"/>
      <c r="D343" s="68"/>
      <c r="E343" s="69"/>
      <c r="K343" s="68"/>
      <c r="L343" s="68"/>
      <c r="M343" s="68"/>
      <c r="O343" s="68"/>
      <c r="P343" s="68"/>
      <c r="Q343" s="68"/>
      <c r="R343" s="68"/>
      <c r="S343" s="68"/>
    </row>
    <row r="344" spans="1:19" ht="15.75" customHeight="1">
      <c r="A344" s="68"/>
      <c r="B344" s="68"/>
      <c r="D344" s="68"/>
      <c r="E344" s="69"/>
      <c r="K344" s="68"/>
      <c r="L344" s="68"/>
      <c r="M344" s="68"/>
      <c r="O344" s="68"/>
      <c r="P344" s="68"/>
      <c r="Q344" s="68"/>
      <c r="R344" s="68"/>
      <c r="S344" s="68"/>
    </row>
    <row r="345" spans="1:19" ht="15.75" customHeight="1">
      <c r="A345" s="68"/>
      <c r="B345" s="68"/>
      <c r="D345" s="68"/>
      <c r="E345" s="69"/>
      <c r="K345" s="68"/>
      <c r="L345" s="68"/>
      <c r="M345" s="68"/>
      <c r="O345" s="68"/>
      <c r="P345" s="68"/>
      <c r="Q345" s="68"/>
      <c r="R345" s="68"/>
      <c r="S345" s="68"/>
    </row>
    <row r="346" spans="1:19" ht="15.75" customHeight="1">
      <c r="A346" s="68"/>
      <c r="B346" s="68"/>
      <c r="D346" s="68"/>
      <c r="E346" s="69"/>
      <c r="K346" s="68"/>
      <c r="L346" s="68"/>
      <c r="M346" s="68"/>
      <c r="O346" s="68"/>
      <c r="P346" s="68"/>
      <c r="Q346" s="68"/>
      <c r="R346" s="68"/>
      <c r="S346" s="68"/>
    </row>
    <row r="347" spans="1:19" ht="15.75" customHeight="1">
      <c r="A347" s="68"/>
      <c r="B347" s="68"/>
      <c r="D347" s="68"/>
      <c r="E347" s="69"/>
      <c r="K347" s="68"/>
      <c r="L347" s="68"/>
      <c r="M347" s="68"/>
      <c r="O347" s="68"/>
      <c r="P347" s="68"/>
      <c r="Q347" s="68"/>
      <c r="R347" s="68"/>
      <c r="S347" s="68"/>
    </row>
    <row r="348" spans="1:19" ht="15.75" customHeight="1">
      <c r="A348" s="68"/>
      <c r="B348" s="68"/>
      <c r="D348" s="68"/>
      <c r="E348" s="69"/>
      <c r="K348" s="68"/>
      <c r="L348" s="68"/>
      <c r="M348" s="68"/>
      <c r="O348" s="68"/>
      <c r="P348" s="68"/>
      <c r="Q348" s="68"/>
      <c r="R348" s="68"/>
      <c r="S348" s="68"/>
    </row>
    <row r="349" spans="1:19" ht="15.75" customHeight="1">
      <c r="A349" s="68"/>
      <c r="B349" s="68"/>
      <c r="D349" s="68"/>
      <c r="E349" s="69"/>
      <c r="K349" s="68"/>
      <c r="L349" s="68"/>
      <c r="M349" s="68"/>
      <c r="O349" s="68"/>
      <c r="P349" s="68"/>
      <c r="Q349" s="68"/>
      <c r="R349" s="68"/>
      <c r="S349" s="68"/>
    </row>
    <row r="350" spans="1:19" ht="15.75" customHeight="1">
      <c r="A350" s="68"/>
      <c r="B350" s="68"/>
      <c r="D350" s="68"/>
      <c r="E350" s="69"/>
      <c r="K350" s="68"/>
      <c r="L350" s="68"/>
      <c r="M350" s="68"/>
      <c r="O350" s="68"/>
      <c r="P350" s="68"/>
      <c r="Q350" s="68"/>
      <c r="R350" s="68"/>
      <c r="S350" s="68"/>
    </row>
    <row r="351" spans="1:19" ht="15.75" customHeight="1">
      <c r="A351" s="68"/>
      <c r="B351" s="68"/>
      <c r="D351" s="68"/>
      <c r="E351" s="69"/>
      <c r="K351" s="68"/>
      <c r="L351" s="68"/>
      <c r="M351" s="68"/>
      <c r="O351" s="68"/>
      <c r="P351" s="68"/>
      <c r="Q351" s="68"/>
      <c r="R351" s="68"/>
      <c r="S351" s="68"/>
    </row>
    <row r="352" spans="1:19" ht="15.75" customHeight="1">
      <c r="A352" s="68"/>
      <c r="B352" s="68"/>
      <c r="D352" s="68"/>
      <c r="E352" s="69"/>
      <c r="K352" s="68"/>
      <c r="L352" s="68"/>
      <c r="M352" s="68"/>
      <c r="O352" s="68"/>
      <c r="P352" s="68"/>
      <c r="Q352" s="68"/>
      <c r="R352" s="68"/>
      <c r="S352" s="68"/>
    </row>
    <row r="353" spans="1:19" ht="15.75" customHeight="1">
      <c r="A353" s="68"/>
      <c r="B353" s="68"/>
      <c r="D353" s="68"/>
      <c r="E353" s="69"/>
      <c r="K353" s="68"/>
      <c r="L353" s="68"/>
      <c r="M353" s="68"/>
      <c r="O353" s="68"/>
      <c r="P353" s="68"/>
      <c r="Q353" s="68"/>
      <c r="R353" s="68"/>
      <c r="S353" s="68"/>
    </row>
    <row r="354" spans="1:19" ht="15.75" customHeight="1">
      <c r="A354" s="68"/>
      <c r="B354" s="68"/>
      <c r="D354" s="68"/>
      <c r="E354" s="69"/>
      <c r="K354" s="68"/>
      <c r="L354" s="68"/>
      <c r="M354" s="68"/>
      <c r="O354" s="68"/>
      <c r="P354" s="68"/>
      <c r="Q354" s="68"/>
      <c r="R354" s="68"/>
      <c r="S354" s="68"/>
    </row>
    <row r="355" spans="1:19" ht="15.75" customHeight="1">
      <c r="A355" s="68"/>
      <c r="B355" s="68"/>
      <c r="D355" s="68"/>
      <c r="E355" s="69"/>
      <c r="K355" s="68"/>
      <c r="L355" s="68"/>
      <c r="M355" s="68"/>
      <c r="O355" s="68"/>
      <c r="P355" s="68"/>
      <c r="Q355" s="68"/>
      <c r="R355" s="68"/>
      <c r="S355" s="68"/>
    </row>
    <row r="356" spans="1:19" ht="15.75" customHeight="1">
      <c r="A356" s="68"/>
      <c r="B356" s="68"/>
      <c r="D356" s="68"/>
      <c r="E356" s="69"/>
      <c r="K356" s="68"/>
      <c r="L356" s="68"/>
      <c r="M356" s="68"/>
      <c r="O356" s="68"/>
      <c r="P356" s="68"/>
      <c r="Q356" s="68"/>
      <c r="R356" s="68"/>
      <c r="S356" s="68"/>
    </row>
    <row r="357" spans="1:19" ht="15.75" customHeight="1">
      <c r="A357" s="68"/>
      <c r="B357" s="68"/>
      <c r="D357" s="68"/>
      <c r="E357" s="69"/>
      <c r="K357" s="68"/>
      <c r="L357" s="68"/>
      <c r="M357" s="68"/>
      <c r="O357" s="68"/>
      <c r="P357" s="68"/>
      <c r="Q357" s="68"/>
      <c r="R357" s="68"/>
      <c r="S357" s="68"/>
    </row>
    <row r="358" spans="1:19" ht="15.75" customHeight="1">
      <c r="A358" s="68"/>
      <c r="B358" s="68"/>
      <c r="D358" s="68"/>
      <c r="E358" s="69"/>
      <c r="K358" s="68"/>
      <c r="L358" s="68"/>
      <c r="M358" s="68"/>
      <c r="O358" s="68"/>
      <c r="P358" s="68"/>
      <c r="Q358" s="68"/>
      <c r="R358" s="68"/>
      <c r="S358" s="68"/>
    </row>
    <row r="359" spans="1:19" ht="15.75" customHeight="1">
      <c r="A359" s="68"/>
      <c r="B359" s="68"/>
      <c r="D359" s="68"/>
      <c r="E359" s="69"/>
      <c r="K359" s="68"/>
      <c r="L359" s="68"/>
      <c r="M359" s="68"/>
      <c r="O359" s="68"/>
      <c r="P359" s="68"/>
      <c r="Q359" s="68"/>
      <c r="R359" s="68"/>
      <c r="S359" s="68"/>
    </row>
    <row r="360" spans="1:19" ht="15.75" customHeight="1">
      <c r="A360" s="68"/>
      <c r="B360" s="68"/>
      <c r="D360" s="68"/>
      <c r="E360" s="69"/>
      <c r="K360" s="68"/>
      <c r="L360" s="68"/>
      <c r="M360" s="68"/>
      <c r="O360" s="68"/>
      <c r="P360" s="68"/>
      <c r="Q360" s="68"/>
      <c r="R360" s="68"/>
      <c r="S360" s="68"/>
    </row>
    <row r="361" spans="1:19" ht="15.75" customHeight="1">
      <c r="A361" s="68"/>
      <c r="B361" s="68"/>
      <c r="D361" s="68"/>
      <c r="E361" s="69"/>
      <c r="K361" s="68"/>
      <c r="L361" s="68"/>
      <c r="M361" s="68"/>
      <c r="O361" s="68"/>
      <c r="P361" s="68"/>
      <c r="Q361" s="68"/>
      <c r="R361" s="68"/>
      <c r="S361" s="68"/>
    </row>
    <row r="362" spans="1:19" ht="15.75" customHeight="1">
      <c r="A362" s="68"/>
      <c r="B362" s="68"/>
      <c r="D362" s="68"/>
      <c r="E362" s="69"/>
      <c r="K362" s="68"/>
      <c r="L362" s="68"/>
      <c r="M362" s="68"/>
      <c r="O362" s="68"/>
      <c r="P362" s="68"/>
      <c r="Q362" s="68"/>
      <c r="R362" s="68"/>
      <c r="S362" s="68"/>
    </row>
    <row r="363" spans="1:19" ht="15.75" customHeight="1">
      <c r="A363" s="68"/>
      <c r="B363" s="68"/>
      <c r="D363" s="68"/>
      <c r="E363" s="69"/>
      <c r="K363" s="68"/>
      <c r="L363" s="68"/>
      <c r="M363" s="68"/>
      <c r="O363" s="68"/>
      <c r="P363" s="68"/>
      <c r="Q363" s="68"/>
      <c r="R363" s="68"/>
      <c r="S363" s="68"/>
    </row>
    <row r="364" spans="1:19" ht="15.75" customHeight="1">
      <c r="A364" s="68"/>
      <c r="B364" s="68"/>
      <c r="D364" s="68"/>
      <c r="E364" s="69"/>
      <c r="K364" s="68"/>
      <c r="L364" s="68"/>
      <c r="M364" s="68"/>
      <c r="O364" s="68"/>
      <c r="P364" s="68"/>
      <c r="Q364" s="68"/>
      <c r="R364" s="68"/>
      <c r="S364" s="68"/>
    </row>
    <row r="365" spans="1:19" ht="15.75" customHeight="1">
      <c r="A365" s="68"/>
      <c r="B365" s="68"/>
      <c r="D365" s="68"/>
      <c r="E365" s="69"/>
      <c r="K365" s="68"/>
      <c r="L365" s="68"/>
      <c r="M365" s="68"/>
      <c r="O365" s="68"/>
      <c r="P365" s="68"/>
      <c r="Q365" s="68"/>
      <c r="R365" s="68"/>
      <c r="S365" s="68"/>
    </row>
    <row r="366" spans="1:19" ht="15.75" customHeight="1">
      <c r="A366" s="68"/>
      <c r="B366" s="68"/>
      <c r="D366" s="68"/>
      <c r="E366" s="69"/>
      <c r="K366" s="68"/>
      <c r="L366" s="68"/>
      <c r="M366" s="68"/>
      <c r="O366" s="68"/>
      <c r="P366" s="68"/>
      <c r="Q366" s="68"/>
      <c r="R366" s="68"/>
      <c r="S366" s="68"/>
    </row>
    <row r="367" spans="1:19" ht="15.75" customHeight="1">
      <c r="A367" s="68"/>
      <c r="B367" s="68"/>
      <c r="D367" s="68"/>
      <c r="E367" s="69"/>
      <c r="K367" s="68"/>
      <c r="L367" s="68"/>
      <c r="M367" s="68"/>
      <c r="O367" s="68"/>
      <c r="P367" s="68"/>
      <c r="Q367" s="68"/>
      <c r="R367" s="68"/>
      <c r="S367" s="68"/>
    </row>
    <row r="368" spans="1:19" ht="15.75" customHeight="1">
      <c r="A368" s="68"/>
      <c r="B368" s="68"/>
      <c r="D368" s="68"/>
      <c r="E368" s="69"/>
      <c r="K368" s="68"/>
      <c r="L368" s="68"/>
      <c r="M368" s="68"/>
      <c r="O368" s="68"/>
      <c r="P368" s="68"/>
      <c r="Q368" s="68"/>
      <c r="R368" s="68"/>
      <c r="S368" s="68"/>
    </row>
    <row r="369" spans="1:19" ht="15.75" customHeight="1">
      <c r="A369" s="68"/>
      <c r="B369" s="68"/>
      <c r="D369" s="68"/>
      <c r="E369" s="69"/>
      <c r="K369" s="68"/>
      <c r="L369" s="68"/>
      <c r="M369" s="68"/>
      <c r="O369" s="68"/>
      <c r="P369" s="68"/>
      <c r="Q369" s="68"/>
      <c r="R369" s="68"/>
      <c r="S369" s="68"/>
    </row>
    <row r="370" spans="1:19" ht="15.75" customHeight="1">
      <c r="A370" s="68"/>
      <c r="B370" s="68"/>
      <c r="D370" s="68"/>
      <c r="E370" s="69"/>
      <c r="K370" s="68"/>
      <c r="L370" s="68"/>
      <c r="M370" s="68"/>
      <c r="O370" s="68"/>
      <c r="P370" s="68"/>
      <c r="Q370" s="68"/>
      <c r="R370" s="68"/>
      <c r="S370" s="68"/>
    </row>
    <row r="371" spans="1:19" ht="15.75" customHeight="1">
      <c r="A371" s="68"/>
      <c r="B371" s="68"/>
      <c r="D371" s="68"/>
      <c r="E371" s="69"/>
      <c r="K371" s="68"/>
      <c r="L371" s="68"/>
      <c r="M371" s="68"/>
      <c r="O371" s="68"/>
      <c r="P371" s="68"/>
      <c r="Q371" s="68"/>
      <c r="R371" s="68"/>
      <c r="S371" s="68"/>
    </row>
    <row r="372" spans="1:19" ht="15.75" customHeight="1">
      <c r="A372" s="68"/>
      <c r="B372" s="68"/>
      <c r="D372" s="68"/>
      <c r="E372" s="69"/>
      <c r="K372" s="68"/>
      <c r="L372" s="68"/>
      <c r="M372" s="68"/>
      <c r="O372" s="68"/>
      <c r="P372" s="68"/>
      <c r="Q372" s="68"/>
      <c r="R372" s="68"/>
      <c r="S372" s="68"/>
    </row>
    <row r="373" spans="1:19" ht="15.75" customHeight="1">
      <c r="A373" s="68"/>
      <c r="B373" s="68"/>
      <c r="D373" s="68"/>
      <c r="E373" s="69"/>
      <c r="K373" s="68"/>
      <c r="L373" s="68"/>
      <c r="M373" s="68"/>
      <c r="O373" s="68"/>
      <c r="P373" s="68"/>
      <c r="Q373" s="68"/>
      <c r="R373" s="68"/>
      <c r="S373" s="68"/>
    </row>
    <row r="374" spans="1:19" ht="15.75" customHeight="1">
      <c r="A374" s="68"/>
      <c r="B374" s="68"/>
      <c r="D374" s="68"/>
      <c r="E374" s="69"/>
      <c r="K374" s="68"/>
      <c r="L374" s="68"/>
      <c r="M374" s="68"/>
      <c r="O374" s="68"/>
      <c r="P374" s="68"/>
      <c r="Q374" s="68"/>
      <c r="R374" s="68"/>
      <c r="S374" s="68"/>
    </row>
    <row r="375" spans="1:19" ht="15.75" customHeight="1">
      <c r="A375" s="68"/>
      <c r="B375" s="68"/>
      <c r="D375" s="68"/>
      <c r="E375" s="69"/>
      <c r="K375" s="68"/>
      <c r="L375" s="68"/>
      <c r="M375" s="68"/>
      <c r="O375" s="68"/>
      <c r="P375" s="68"/>
      <c r="Q375" s="68"/>
      <c r="R375" s="68"/>
      <c r="S375" s="68"/>
    </row>
    <row r="376" spans="1:19" ht="15.75" customHeight="1">
      <c r="A376" s="68"/>
      <c r="B376" s="68"/>
      <c r="D376" s="68"/>
      <c r="E376" s="69"/>
      <c r="K376" s="68"/>
      <c r="L376" s="68"/>
      <c r="M376" s="68"/>
      <c r="O376" s="68"/>
      <c r="P376" s="68"/>
      <c r="Q376" s="68"/>
      <c r="R376" s="68"/>
      <c r="S376" s="68"/>
    </row>
    <row r="377" spans="1:19" ht="15.75" customHeight="1">
      <c r="A377" s="68"/>
      <c r="B377" s="68"/>
      <c r="D377" s="68"/>
      <c r="E377" s="69"/>
      <c r="K377" s="68"/>
      <c r="L377" s="68"/>
      <c r="M377" s="68"/>
      <c r="O377" s="68"/>
      <c r="P377" s="68"/>
      <c r="Q377" s="68"/>
      <c r="R377" s="68"/>
      <c r="S377" s="68"/>
    </row>
    <row r="378" spans="1:19" ht="15.75" customHeight="1">
      <c r="A378" s="68"/>
      <c r="B378" s="68"/>
      <c r="D378" s="68"/>
      <c r="E378" s="69"/>
      <c r="K378" s="68"/>
      <c r="L378" s="68"/>
      <c r="M378" s="68"/>
      <c r="O378" s="68"/>
      <c r="P378" s="68"/>
      <c r="Q378" s="68"/>
      <c r="R378" s="68"/>
      <c r="S378" s="68"/>
    </row>
    <row r="379" spans="1:19" ht="15.75" customHeight="1">
      <c r="A379" s="68"/>
      <c r="B379" s="68"/>
      <c r="D379" s="68"/>
      <c r="E379" s="69"/>
      <c r="K379" s="68"/>
      <c r="L379" s="68"/>
      <c r="M379" s="68"/>
      <c r="O379" s="68"/>
      <c r="P379" s="68"/>
      <c r="Q379" s="68"/>
      <c r="R379" s="68"/>
      <c r="S379" s="68"/>
    </row>
    <row r="380" spans="1:19" ht="15.75" customHeight="1">
      <c r="A380" s="68"/>
      <c r="B380" s="68"/>
      <c r="D380" s="68"/>
      <c r="E380" s="69"/>
      <c r="K380" s="68"/>
      <c r="L380" s="68"/>
      <c r="M380" s="68"/>
      <c r="O380" s="68"/>
      <c r="P380" s="68"/>
      <c r="Q380" s="68"/>
      <c r="R380" s="68"/>
      <c r="S380" s="68"/>
    </row>
    <row r="381" spans="1:19" ht="15.75" customHeight="1">
      <c r="A381" s="68"/>
      <c r="B381" s="68"/>
      <c r="D381" s="68"/>
      <c r="E381" s="69"/>
      <c r="K381" s="68"/>
      <c r="L381" s="68"/>
      <c r="M381" s="68"/>
      <c r="O381" s="68"/>
      <c r="P381" s="68"/>
      <c r="Q381" s="68"/>
      <c r="R381" s="68"/>
      <c r="S381" s="68"/>
    </row>
    <row r="382" spans="1:19" ht="15.75" customHeight="1">
      <c r="A382" s="68"/>
      <c r="B382" s="68"/>
      <c r="D382" s="68"/>
      <c r="E382" s="69"/>
      <c r="K382" s="68"/>
      <c r="L382" s="68"/>
      <c r="M382" s="68"/>
      <c r="O382" s="68"/>
      <c r="P382" s="68"/>
      <c r="Q382" s="68"/>
      <c r="R382" s="68"/>
      <c r="S382" s="68"/>
    </row>
    <row r="383" spans="1:19" ht="15.75" customHeight="1">
      <c r="A383" s="68"/>
      <c r="B383" s="68"/>
      <c r="D383" s="68"/>
      <c r="E383" s="69"/>
      <c r="K383" s="68"/>
      <c r="L383" s="68"/>
      <c r="M383" s="68"/>
      <c r="O383" s="68"/>
      <c r="P383" s="68"/>
      <c r="Q383" s="68"/>
      <c r="R383" s="68"/>
      <c r="S383" s="68"/>
    </row>
    <row r="384" spans="1:19" ht="15.75" customHeight="1">
      <c r="A384" s="68"/>
      <c r="B384" s="68"/>
      <c r="D384" s="68"/>
      <c r="E384" s="69"/>
      <c r="K384" s="68"/>
      <c r="L384" s="68"/>
      <c r="M384" s="68"/>
      <c r="O384" s="68"/>
      <c r="P384" s="68"/>
      <c r="Q384" s="68"/>
      <c r="R384" s="68"/>
      <c r="S384" s="68"/>
    </row>
    <row r="385" spans="1:19" ht="15.75" customHeight="1">
      <c r="A385" s="68"/>
      <c r="B385" s="68"/>
      <c r="D385" s="68"/>
      <c r="E385" s="69"/>
      <c r="K385" s="68"/>
      <c r="L385" s="68"/>
      <c r="M385" s="68"/>
      <c r="O385" s="68"/>
      <c r="P385" s="68"/>
      <c r="Q385" s="68"/>
      <c r="R385" s="68"/>
      <c r="S385" s="68"/>
    </row>
    <row r="386" spans="1:19" ht="15.75" customHeight="1">
      <c r="A386" s="68"/>
      <c r="B386" s="68"/>
      <c r="D386" s="68"/>
      <c r="E386" s="69"/>
      <c r="K386" s="68"/>
      <c r="L386" s="68"/>
      <c r="M386" s="68"/>
      <c r="O386" s="68"/>
      <c r="P386" s="68"/>
      <c r="Q386" s="68"/>
      <c r="R386" s="68"/>
      <c r="S386" s="68"/>
    </row>
    <row r="387" spans="1:19" ht="15.75" customHeight="1">
      <c r="A387" s="68"/>
      <c r="B387" s="68"/>
      <c r="D387" s="68"/>
      <c r="E387" s="69"/>
      <c r="K387" s="68"/>
      <c r="L387" s="68"/>
      <c r="M387" s="68"/>
      <c r="O387" s="68"/>
      <c r="P387" s="68"/>
      <c r="Q387" s="68"/>
      <c r="R387" s="68"/>
      <c r="S387" s="68"/>
    </row>
    <row r="388" spans="1:19" ht="15.75" customHeight="1">
      <c r="A388" s="68"/>
      <c r="B388" s="68"/>
      <c r="D388" s="68"/>
      <c r="E388" s="69"/>
      <c r="K388" s="68"/>
      <c r="L388" s="68"/>
      <c r="M388" s="68"/>
      <c r="O388" s="68"/>
      <c r="P388" s="68"/>
      <c r="Q388" s="68"/>
      <c r="R388" s="68"/>
      <c r="S388" s="68"/>
    </row>
    <row r="389" spans="1:19" ht="15.75" customHeight="1">
      <c r="A389" s="68"/>
      <c r="B389" s="68"/>
      <c r="D389" s="68"/>
      <c r="E389" s="69"/>
      <c r="K389" s="68"/>
      <c r="L389" s="68"/>
      <c r="M389" s="68"/>
      <c r="O389" s="68"/>
      <c r="P389" s="68"/>
      <c r="Q389" s="68"/>
      <c r="R389" s="68"/>
      <c r="S389" s="68"/>
    </row>
    <row r="390" spans="1:19" ht="15.75" customHeight="1">
      <c r="A390" s="68"/>
      <c r="B390" s="68"/>
      <c r="D390" s="68"/>
      <c r="E390" s="69"/>
      <c r="K390" s="68"/>
      <c r="L390" s="68"/>
      <c r="M390" s="68"/>
      <c r="O390" s="68"/>
      <c r="P390" s="68"/>
      <c r="Q390" s="68"/>
      <c r="R390" s="68"/>
      <c r="S390" s="68"/>
    </row>
    <row r="391" spans="1:19" ht="15.75" customHeight="1">
      <c r="A391" s="68"/>
      <c r="B391" s="68"/>
      <c r="D391" s="68"/>
      <c r="E391" s="69"/>
      <c r="K391" s="68"/>
      <c r="L391" s="68"/>
      <c r="M391" s="68"/>
      <c r="O391" s="68"/>
      <c r="P391" s="68"/>
      <c r="Q391" s="68"/>
      <c r="R391" s="68"/>
      <c r="S391" s="68"/>
    </row>
    <row r="392" spans="1:19" ht="15.75" customHeight="1">
      <c r="A392" s="68"/>
      <c r="B392" s="68"/>
      <c r="D392" s="68"/>
      <c r="E392" s="69"/>
      <c r="K392" s="68"/>
      <c r="L392" s="68"/>
      <c r="M392" s="68"/>
      <c r="O392" s="68"/>
      <c r="P392" s="68"/>
      <c r="Q392" s="68"/>
      <c r="R392" s="68"/>
      <c r="S392" s="68"/>
    </row>
    <row r="393" spans="1:19" ht="15.75" customHeight="1">
      <c r="A393" s="68"/>
      <c r="B393" s="68"/>
      <c r="D393" s="68"/>
      <c r="E393" s="69"/>
      <c r="K393" s="68"/>
      <c r="L393" s="68"/>
      <c r="M393" s="68"/>
      <c r="O393" s="68"/>
      <c r="P393" s="68"/>
      <c r="Q393" s="68"/>
      <c r="R393" s="68"/>
      <c r="S393" s="68"/>
    </row>
    <row r="394" spans="1:19" ht="15.75" customHeight="1">
      <c r="A394" s="68"/>
      <c r="B394" s="68"/>
      <c r="D394" s="68"/>
      <c r="E394" s="69"/>
      <c r="K394" s="68"/>
      <c r="L394" s="68"/>
      <c r="M394" s="68"/>
      <c r="O394" s="68"/>
      <c r="P394" s="68"/>
      <c r="Q394" s="68"/>
      <c r="R394" s="68"/>
      <c r="S394" s="68"/>
    </row>
    <row r="395" spans="1:19" ht="15.75" customHeight="1">
      <c r="A395" s="68"/>
      <c r="B395" s="68"/>
      <c r="D395" s="68"/>
      <c r="E395" s="69"/>
      <c r="K395" s="68"/>
      <c r="L395" s="68"/>
      <c r="M395" s="68"/>
      <c r="O395" s="68"/>
      <c r="P395" s="68"/>
      <c r="Q395" s="68"/>
      <c r="R395" s="68"/>
      <c r="S395" s="68"/>
    </row>
    <row r="396" spans="1:19" ht="15.75" customHeight="1">
      <c r="A396" s="68"/>
      <c r="B396" s="68"/>
      <c r="D396" s="68"/>
      <c r="E396" s="69"/>
      <c r="K396" s="68"/>
      <c r="L396" s="68"/>
      <c r="M396" s="68"/>
      <c r="O396" s="68"/>
      <c r="P396" s="68"/>
      <c r="Q396" s="68"/>
      <c r="R396" s="68"/>
      <c r="S396" s="68"/>
    </row>
    <row r="397" spans="1:19" ht="15.75" customHeight="1">
      <c r="A397" s="68"/>
      <c r="B397" s="68"/>
      <c r="D397" s="68"/>
      <c r="E397" s="69"/>
      <c r="K397" s="68"/>
      <c r="L397" s="68"/>
      <c r="M397" s="68"/>
      <c r="O397" s="68"/>
      <c r="P397" s="68"/>
      <c r="Q397" s="68"/>
      <c r="R397" s="68"/>
      <c r="S397" s="68"/>
    </row>
    <row r="398" spans="1:19" ht="15.75" customHeight="1">
      <c r="A398" s="68"/>
      <c r="B398" s="68"/>
      <c r="D398" s="68"/>
      <c r="E398" s="69"/>
      <c r="K398" s="68"/>
      <c r="L398" s="68"/>
      <c r="M398" s="68"/>
      <c r="O398" s="68"/>
      <c r="P398" s="68"/>
      <c r="Q398" s="68"/>
      <c r="R398" s="68"/>
      <c r="S398" s="68"/>
    </row>
    <row r="399" spans="1:19" ht="15.75" customHeight="1">
      <c r="A399" s="68"/>
      <c r="B399" s="68"/>
      <c r="D399" s="68"/>
      <c r="E399" s="69"/>
      <c r="K399" s="68"/>
      <c r="L399" s="68"/>
      <c r="M399" s="68"/>
      <c r="O399" s="68"/>
      <c r="P399" s="68"/>
      <c r="Q399" s="68"/>
      <c r="R399" s="68"/>
      <c r="S399" s="68"/>
    </row>
    <row r="400" spans="1:19" ht="15.75" customHeight="1">
      <c r="A400" s="68"/>
      <c r="B400" s="68"/>
      <c r="D400" s="68"/>
      <c r="E400" s="69"/>
      <c r="K400" s="68"/>
      <c r="L400" s="68"/>
      <c r="M400" s="68"/>
      <c r="O400" s="68"/>
      <c r="P400" s="68"/>
      <c r="Q400" s="68"/>
      <c r="R400" s="68"/>
      <c r="S400" s="68"/>
    </row>
    <row r="401" spans="1:19" ht="15.75" customHeight="1">
      <c r="A401" s="68"/>
      <c r="B401" s="68"/>
      <c r="D401" s="68"/>
      <c r="E401" s="69"/>
      <c r="K401" s="68"/>
      <c r="L401" s="68"/>
      <c r="M401" s="68"/>
      <c r="O401" s="68"/>
      <c r="P401" s="68"/>
      <c r="Q401" s="68"/>
      <c r="R401" s="68"/>
      <c r="S401" s="68"/>
    </row>
    <row r="402" spans="1:19" ht="15.75" customHeight="1">
      <c r="A402" s="68"/>
      <c r="B402" s="68"/>
      <c r="D402" s="68"/>
      <c r="E402" s="69"/>
      <c r="K402" s="68"/>
      <c r="L402" s="68"/>
      <c r="M402" s="68"/>
      <c r="O402" s="68"/>
      <c r="P402" s="68"/>
      <c r="Q402" s="68"/>
      <c r="R402" s="68"/>
      <c r="S402" s="68"/>
    </row>
    <row r="403" spans="1:19" ht="15.75" customHeight="1">
      <c r="A403" s="68"/>
      <c r="B403" s="68"/>
      <c r="D403" s="68"/>
      <c r="E403" s="69"/>
      <c r="K403" s="68"/>
      <c r="L403" s="68"/>
      <c r="M403" s="68"/>
      <c r="O403" s="68"/>
      <c r="P403" s="68"/>
      <c r="Q403" s="68"/>
      <c r="R403" s="68"/>
      <c r="S403" s="68"/>
    </row>
    <row r="404" spans="1:19" ht="15.75" customHeight="1">
      <c r="A404" s="68"/>
      <c r="B404" s="68"/>
      <c r="D404" s="68"/>
      <c r="E404" s="69"/>
      <c r="K404" s="68"/>
      <c r="L404" s="68"/>
      <c r="M404" s="68"/>
      <c r="O404" s="68"/>
      <c r="P404" s="68"/>
      <c r="Q404" s="68"/>
      <c r="R404" s="68"/>
      <c r="S404" s="68"/>
    </row>
    <row r="405" spans="1:19" ht="15.75" customHeight="1">
      <c r="A405" s="68"/>
      <c r="B405" s="68"/>
      <c r="D405" s="68"/>
      <c r="E405" s="69"/>
      <c r="K405" s="68"/>
      <c r="L405" s="68"/>
      <c r="M405" s="68"/>
      <c r="O405" s="68"/>
      <c r="P405" s="68"/>
      <c r="Q405" s="68"/>
      <c r="R405" s="68"/>
      <c r="S405" s="68"/>
    </row>
    <row r="406" spans="1:19" ht="15.75" customHeight="1">
      <c r="A406" s="68"/>
      <c r="B406" s="68"/>
      <c r="D406" s="68"/>
      <c r="E406" s="69"/>
      <c r="K406" s="68"/>
      <c r="L406" s="68"/>
      <c r="M406" s="68"/>
      <c r="O406" s="68"/>
      <c r="P406" s="68"/>
      <c r="Q406" s="68"/>
      <c r="R406" s="68"/>
      <c r="S406" s="68"/>
    </row>
    <row r="407" spans="1:19" ht="15.75" customHeight="1">
      <c r="A407" s="68"/>
      <c r="B407" s="68"/>
      <c r="D407" s="68"/>
      <c r="E407" s="69"/>
      <c r="K407" s="68"/>
      <c r="L407" s="68"/>
      <c r="M407" s="68"/>
      <c r="O407" s="68"/>
      <c r="P407" s="68"/>
      <c r="Q407" s="68"/>
      <c r="R407" s="68"/>
      <c r="S407" s="68"/>
    </row>
    <row r="408" spans="1:19" ht="15.75" customHeight="1">
      <c r="A408" s="68"/>
      <c r="B408" s="68"/>
      <c r="D408" s="68"/>
      <c r="E408" s="69"/>
      <c r="K408" s="68"/>
      <c r="L408" s="68"/>
      <c r="M408" s="68"/>
      <c r="O408" s="68"/>
      <c r="P408" s="68"/>
      <c r="Q408" s="68"/>
      <c r="R408" s="68"/>
      <c r="S408" s="68"/>
    </row>
    <row r="409" spans="1:19" ht="15.75" customHeight="1">
      <c r="A409" s="68"/>
      <c r="B409" s="68"/>
      <c r="D409" s="68"/>
      <c r="E409" s="69"/>
      <c r="K409" s="68"/>
      <c r="L409" s="68"/>
      <c r="M409" s="68"/>
      <c r="O409" s="68"/>
      <c r="P409" s="68"/>
      <c r="Q409" s="68"/>
      <c r="R409" s="68"/>
      <c r="S409" s="68"/>
    </row>
    <row r="410" spans="1:19" ht="15.75" customHeight="1">
      <c r="A410" s="68"/>
      <c r="B410" s="68"/>
      <c r="D410" s="68"/>
      <c r="E410" s="69"/>
      <c r="K410" s="68"/>
      <c r="L410" s="68"/>
      <c r="M410" s="68"/>
      <c r="O410" s="68"/>
      <c r="P410" s="68"/>
      <c r="Q410" s="68"/>
      <c r="R410" s="68"/>
      <c r="S410" s="68"/>
    </row>
    <row r="411" spans="1:19" ht="15.75" customHeight="1">
      <c r="A411" s="68"/>
      <c r="B411" s="68"/>
      <c r="D411" s="68"/>
      <c r="E411" s="69"/>
      <c r="K411" s="68"/>
      <c r="L411" s="68"/>
      <c r="M411" s="68"/>
      <c r="O411" s="68"/>
      <c r="P411" s="68"/>
      <c r="Q411" s="68"/>
      <c r="R411" s="68"/>
      <c r="S411" s="68"/>
    </row>
    <row r="412" spans="1:19" ht="15.75" customHeight="1">
      <c r="A412" s="68"/>
      <c r="B412" s="68"/>
      <c r="D412" s="68"/>
      <c r="E412" s="69"/>
      <c r="K412" s="68"/>
      <c r="L412" s="68"/>
      <c r="M412" s="68"/>
      <c r="O412" s="68"/>
      <c r="P412" s="68"/>
      <c r="Q412" s="68"/>
      <c r="R412" s="68"/>
      <c r="S412" s="68"/>
    </row>
    <row r="413" spans="1:19" ht="15.75" customHeight="1">
      <c r="A413" s="68"/>
      <c r="B413" s="68"/>
      <c r="D413" s="68"/>
      <c r="E413" s="69"/>
      <c r="K413" s="68"/>
      <c r="L413" s="68"/>
      <c r="M413" s="68"/>
      <c r="O413" s="68"/>
      <c r="P413" s="68"/>
      <c r="Q413" s="68"/>
      <c r="R413" s="68"/>
      <c r="S413" s="68"/>
    </row>
    <row r="414" spans="1:19" ht="15.75" customHeight="1">
      <c r="A414" s="68"/>
      <c r="B414" s="68"/>
      <c r="D414" s="68"/>
      <c r="E414" s="69"/>
      <c r="K414" s="68"/>
      <c r="L414" s="68"/>
      <c r="M414" s="68"/>
      <c r="O414" s="68"/>
      <c r="P414" s="68"/>
      <c r="Q414" s="68"/>
      <c r="R414" s="68"/>
      <c r="S414" s="68"/>
    </row>
    <row r="415" spans="1:19" ht="15.75" customHeight="1">
      <c r="A415" s="68"/>
      <c r="B415" s="68"/>
      <c r="D415" s="68"/>
      <c r="E415" s="69"/>
      <c r="K415" s="68"/>
      <c r="L415" s="68"/>
      <c r="M415" s="68"/>
      <c r="O415" s="68"/>
      <c r="P415" s="68"/>
      <c r="Q415" s="68"/>
      <c r="R415" s="68"/>
      <c r="S415" s="68"/>
    </row>
    <row r="416" spans="1:19" ht="15.75" customHeight="1">
      <c r="A416" s="68"/>
      <c r="B416" s="68"/>
      <c r="D416" s="68"/>
      <c r="E416" s="69"/>
      <c r="K416" s="68"/>
      <c r="L416" s="68"/>
      <c r="M416" s="68"/>
      <c r="O416" s="68"/>
      <c r="P416" s="68"/>
      <c r="Q416" s="68"/>
      <c r="R416" s="68"/>
      <c r="S416" s="68"/>
    </row>
    <row r="417" spans="1:19" ht="15.75" customHeight="1">
      <c r="A417" s="68"/>
      <c r="B417" s="68"/>
      <c r="D417" s="68"/>
      <c r="E417" s="69"/>
      <c r="K417" s="68"/>
      <c r="L417" s="68"/>
      <c r="M417" s="68"/>
      <c r="O417" s="68"/>
      <c r="P417" s="68"/>
      <c r="Q417" s="68"/>
      <c r="R417" s="68"/>
      <c r="S417" s="68"/>
    </row>
    <row r="418" spans="1:19" ht="15.75" customHeight="1">
      <c r="A418" s="68"/>
      <c r="B418" s="68"/>
      <c r="D418" s="68"/>
      <c r="E418" s="69"/>
      <c r="K418" s="68"/>
      <c r="L418" s="68"/>
      <c r="M418" s="68"/>
      <c r="O418" s="68"/>
      <c r="P418" s="68"/>
      <c r="Q418" s="68"/>
      <c r="R418" s="68"/>
      <c r="S418" s="68"/>
    </row>
    <row r="419" spans="1:19" ht="15.75" customHeight="1">
      <c r="A419" s="68"/>
      <c r="B419" s="68"/>
      <c r="D419" s="68"/>
      <c r="E419" s="69"/>
      <c r="K419" s="68"/>
      <c r="L419" s="68"/>
      <c r="M419" s="68"/>
      <c r="O419" s="68"/>
      <c r="P419" s="68"/>
      <c r="Q419" s="68"/>
      <c r="R419" s="68"/>
      <c r="S419" s="68"/>
    </row>
    <row r="420" spans="1:19" ht="15.75" customHeight="1">
      <c r="A420" s="68"/>
      <c r="B420" s="68"/>
      <c r="D420" s="68"/>
      <c r="E420" s="69"/>
      <c r="K420" s="68"/>
      <c r="L420" s="68"/>
      <c r="M420" s="68"/>
      <c r="O420" s="68"/>
      <c r="P420" s="68"/>
      <c r="Q420" s="68"/>
      <c r="R420" s="68"/>
      <c r="S420" s="68"/>
    </row>
    <row r="421" spans="1:19" ht="15.75" customHeight="1">
      <c r="A421" s="68"/>
      <c r="B421" s="68"/>
      <c r="D421" s="68"/>
      <c r="E421" s="69"/>
      <c r="K421" s="68"/>
      <c r="L421" s="68"/>
      <c r="M421" s="68"/>
      <c r="O421" s="68"/>
      <c r="P421" s="68"/>
      <c r="Q421" s="68"/>
      <c r="R421" s="68"/>
      <c r="S421" s="68"/>
    </row>
    <row r="422" spans="1:19" ht="15.75" customHeight="1">
      <c r="A422" s="68"/>
      <c r="B422" s="68"/>
      <c r="D422" s="68"/>
      <c r="E422" s="69"/>
      <c r="K422" s="68"/>
      <c r="L422" s="68"/>
      <c r="M422" s="68"/>
      <c r="O422" s="68"/>
      <c r="P422" s="68"/>
      <c r="Q422" s="68"/>
      <c r="R422" s="68"/>
      <c r="S422" s="68"/>
    </row>
    <row r="423" spans="1:19" ht="15.75" customHeight="1">
      <c r="A423" s="68"/>
      <c r="B423" s="68"/>
      <c r="D423" s="68"/>
      <c r="E423" s="69"/>
      <c r="K423" s="68"/>
      <c r="L423" s="68"/>
      <c r="M423" s="68"/>
      <c r="O423" s="68"/>
      <c r="P423" s="68"/>
      <c r="Q423" s="68"/>
      <c r="R423" s="68"/>
      <c r="S423" s="68"/>
    </row>
    <row r="424" spans="1:19" ht="15.75" customHeight="1">
      <c r="A424" s="68"/>
      <c r="B424" s="68"/>
      <c r="D424" s="68"/>
      <c r="E424" s="69"/>
      <c r="K424" s="68"/>
      <c r="L424" s="68"/>
      <c r="M424" s="68"/>
      <c r="O424" s="68"/>
      <c r="P424" s="68"/>
      <c r="Q424" s="68"/>
      <c r="R424" s="68"/>
      <c r="S424" s="68"/>
    </row>
    <row r="425" spans="1:19" ht="15.75" customHeight="1">
      <c r="A425" s="68"/>
      <c r="B425" s="68"/>
      <c r="D425" s="68"/>
      <c r="E425" s="69"/>
      <c r="K425" s="68"/>
      <c r="L425" s="68"/>
      <c r="M425" s="68"/>
      <c r="O425" s="68"/>
      <c r="P425" s="68"/>
      <c r="Q425" s="68"/>
      <c r="R425" s="68"/>
      <c r="S425" s="68"/>
    </row>
    <row r="426" spans="1:19" ht="15.75" customHeight="1">
      <c r="A426" s="68"/>
      <c r="B426" s="68"/>
      <c r="D426" s="68"/>
      <c r="E426" s="69"/>
      <c r="K426" s="68"/>
      <c r="L426" s="68"/>
      <c r="M426" s="68"/>
      <c r="O426" s="68"/>
      <c r="P426" s="68"/>
      <c r="Q426" s="68"/>
      <c r="R426" s="68"/>
      <c r="S426" s="68"/>
    </row>
    <row r="427" spans="1:19" ht="15.75" customHeight="1">
      <c r="A427" s="68"/>
      <c r="B427" s="68"/>
      <c r="D427" s="68"/>
      <c r="E427" s="69"/>
      <c r="K427" s="68"/>
      <c r="L427" s="68"/>
      <c r="M427" s="68"/>
      <c r="O427" s="68"/>
      <c r="P427" s="68"/>
      <c r="Q427" s="68"/>
      <c r="R427" s="68"/>
      <c r="S427" s="68"/>
    </row>
    <row r="428" spans="1:19" ht="15.75" customHeight="1">
      <c r="A428" s="68"/>
      <c r="B428" s="68"/>
      <c r="D428" s="68"/>
      <c r="E428" s="69"/>
      <c r="K428" s="68"/>
      <c r="L428" s="68"/>
      <c r="M428" s="68"/>
      <c r="O428" s="68"/>
      <c r="P428" s="68"/>
      <c r="Q428" s="68"/>
      <c r="R428" s="68"/>
      <c r="S428" s="68"/>
    </row>
    <row r="429" spans="1:19" ht="15.75" customHeight="1">
      <c r="A429" s="68"/>
      <c r="B429" s="68"/>
      <c r="D429" s="68"/>
      <c r="E429" s="69"/>
      <c r="K429" s="68"/>
      <c r="L429" s="68"/>
      <c r="M429" s="68"/>
      <c r="O429" s="68"/>
      <c r="P429" s="68"/>
      <c r="Q429" s="68"/>
      <c r="R429" s="68"/>
      <c r="S429" s="68"/>
    </row>
    <row r="430" spans="1:19" ht="15.75" customHeight="1">
      <c r="A430" s="68"/>
      <c r="B430" s="68"/>
      <c r="D430" s="68"/>
      <c r="E430" s="69"/>
      <c r="K430" s="68"/>
      <c r="L430" s="68"/>
      <c r="M430" s="68"/>
      <c r="O430" s="68"/>
      <c r="P430" s="68"/>
      <c r="Q430" s="68"/>
      <c r="R430" s="68"/>
      <c r="S430" s="68"/>
    </row>
    <row r="431" spans="1:19" ht="15.75" customHeight="1">
      <c r="A431" s="68"/>
      <c r="B431" s="68"/>
      <c r="D431" s="68"/>
      <c r="E431" s="69"/>
      <c r="K431" s="68"/>
      <c r="L431" s="68"/>
      <c r="M431" s="68"/>
      <c r="O431" s="68"/>
      <c r="P431" s="68"/>
      <c r="Q431" s="68"/>
      <c r="R431" s="68"/>
      <c r="S431" s="68"/>
    </row>
    <row r="432" spans="1:19" ht="15.75" customHeight="1">
      <c r="A432" s="68"/>
      <c r="B432" s="68"/>
      <c r="D432" s="68"/>
      <c r="E432" s="69"/>
      <c r="K432" s="68"/>
      <c r="L432" s="68"/>
      <c r="M432" s="68"/>
      <c r="O432" s="68"/>
      <c r="P432" s="68"/>
      <c r="Q432" s="68"/>
      <c r="R432" s="68"/>
      <c r="S432" s="68"/>
    </row>
    <row r="433" spans="1:19" ht="15.75" customHeight="1">
      <c r="A433" s="68"/>
      <c r="B433" s="68"/>
      <c r="D433" s="68"/>
      <c r="E433" s="69"/>
      <c r="K433" s="68"/>
      <c r="L433" s="68"/>
      <c r="M433" s="68"/>
      <c r="O433" s="68"/>
      <c r="P433" s="68"/>
      <c r="Q433" s="68"/>
      <c r="R433" s="68"/>
      <c r="S433" s="68"/>
    </row>
    <row r="434" spans="1:19" ht="15.75" customHeight="1">
      <c r="A434" s="68"/>
      <c r="B434" s="68"/>
      <c r="D434" s="68"/>
      <c r="E434" s="69"/>
      <c r="K434" s="68"/>
      <c r="L434" s="68"/>
      <c r="M434" s="68"/>
      <c r="O434" s="68"/>
      <c r="P434" s="68"/>
      <c r="Q434" s="68"/>
      <c r="R434" s="68"/>
      <c r="S434" s="68"/>
    </row>
    <row r="435" spans="1:19" ht="15.75" customHeight="1">
      <c r="A435" s="68"/>
      <c r="B435" s="68"/>
      <c r="D435" s="68"/>
      <c r="E435" s="69"/>
      <c r="K435" s="68"/>
      <c r="L435" s="68"/>
      <c r="M435" s="68"/>
      <c r="O435" s="68"/>
      <c r="P435" s="68"/>
      <c r="Q435" s="68"/>
      <c r="R435" s="68"/>
      <c r="S435" s="68"/>
    </row>
    <row r="436" spans="1:19" ht="15.75" customHeight="1">
      <c r="A436" s="68"/>
      <c r="B436" s="68"/>
      <c r="D436" s="68"/>
      <c r="E436" s="69"/>
      <c r="K436" s="68"/>
      <c r="L436" s="68"/>
      <c r="M436" s="68"/>
      <c r="O436" s="68"/>
      <c r="P436" s="68"/>
      <c r="Q436" s="68"/>
      <c r="R436" s="68"/>
      <c r="S436" s="68"/>
    </row>
    <row r="437" spans="1:19" ht="15.75" customHeight="1">
      <c r="A437" s="68"/>
      <c r="B437" s="68"/>
      <c r="D437" s="68"/>
      <c r="E437" s="69"/>
      <c r="K437" s="68"/>
      <c r="L437" s="68"/>
      <c r="M437" s="68"/>
      <c r="O437" s="68"/>
      <c r="P437" s="68"/>
      <c r="Q437" s="68"/>
      <c r="R437" s="68"/>
      <c r="S437" s="68"/>
    </row>
    <row r="438" spans="1:19" ht="15.75" customHeight="1">
      <c r="A438" s="68"/>
      <c r="B438" s="68"/>
      <c r="D438" s="68"/>
      <c r="E438" s="69"/>
      <c r="K438" s="68"/>
      <c r="L438" s="68"/>
      <c r="M438" s="68"/>
      <c r="O438" s="68"/>
      <c r="P438" s="68"/>
      <c r="Q438" s="68"/>
      <c r="R438" s="68"/>
      <c r="S438" s="68"/>
    </row>
    <row r="439" spans="1:19" ht="15.75" customHeight="1">
      <c r="A439" s="68"/>
      <c r="B439" s="68"/>
      <c r="D439" s="68"/>
      <c r="E439" s="69"/>
      <c r="K439" s="68"/>
      <c r="L439" s="68"/>
      <c r="M439" s="68"/>
      <c r="O439" s="68"/>
      <c r="P439" s="68"/>
      <c r="Q439" s="68"/>
      <c r="R439" s="68"/>
      <c r="S439" s="68"/>
    </row>
    <row r="440" spans="1:19" ht="15.75" customHeight="1">
      <c r="A440" s="68"/>
      <c r="B440" s="68"/>
      <c r="D440" s="68"/>
      <c r="E440" s="69"/>
      <c r="K440" s="68"/>
      <c r="L440" s="68"/>
      <c r="M440" s="68"/>
      <c r="O440" s="68"/>
      <c r="P440" s="68"/>
      <c r="Q440" s="68"/>
      <c r="R440" s="68"/>
      <c r="S440" s="68"/>
    </row>
    <row r="441" spans="1:19" ht="15.75" customHeight="1">
      <c r="A441" s="68"/>
      <c r="B441" s="68"/>
      <c r="D441" s="68"/>
      <c r="E441" s="69"/>
      <c r="K441" s="68"/>
      <c r="L441" s="68"/>
      <c r="M441" s="68"/>
      <c r="O441" s="68"/>
      <c r="P441" s="68"/>
      <c r="Q441" s="68"/>
      <c r="R441" s="68"/>
      <c r="S441" s="68"/>
    </row>
    <row r="442" spans="1:19" ht="15.75" customHeight="1">
      <c r="A442" s="68"/>
      <c r="B442" s="68"/>
      <c r="D442" s="68"/>
      <c r="E442" s="69"/>
      <c r="K442" s="68"/>
      <c r="L442" s="68"/>
      <c r="M442" s="68"/>
      <c r="O442" s="68"/>
      <c r="P442" s="68"/>
      <c r="Q442" s="68"/>
      <c r="R442" s="68"/>
      <c r="S442" s="68"/>
    </row>
    <row r="443" spans="1:19" ht="15.75" customHeight="1">
      <c r="A443" s="68"/>
      <c r="B443" s="68"/>
      <c r="D443" s="68"/>
      <c r="E443" s="69"/>
      <c r="K443" s="68"/>
      <c r="L443" s="68"/>
      <c r="M443" s="68"/>
      <c r="O443" s="68"/>
      <c r="P443" s="68"/>
      <c r="Q443" s="68"/>
      <c r="R443" s="68"/>
      <c r="S443" s="68"/>
    </row>
    <row r="444" spans="1:19" ht="15.75" customHeight="1">
      <c r="A444" s="68"/>
      <c r="B444" s="68"/>
      <c r="D444" s="68"/>
      <c r="E444" s="69"/>
      <c r="K444" s="68"/>
      <c r="L444" s="68"/>
      <c r="M444" s="68"/>
      <c r="O444" s="68"/>
      <c r="P444" s="68"/>
      <c r="Q444" s="68"/>
      <c r="R444" s="68"/>
      <c r="S444" s="68"/>
    </row>
    <row r="445" spans="1:19" ht="15.75" customHeight="1">
      <c r="A445" s="68"/>
      <c r="B445" s="68"/>
      <c r="D445" s="68"/>
      <c r="E445" s="69"/>
      <c r="K445" s="68"/>
      <c r="L445" s="68"/>
      <c r="M445" s="68"/>
      <c r="O445" s="68"/>
      <c r="P445" s="68"/>
      <c r="Q445" s="68"/>
      <c r="R445" s="68"/>
      <c r="S445" s="68"/>
    </row>
    <row r="446" spans="1:19" ht="15.75" customHeight="1">
      <c r="A446" s="68"/>
      <c r="B446" s="68"/>
      <c r="D446" s="68"/>
      <c r="E446" s="69"/>
      <c r="K446" s="68"/>
      <c r="L446" s="68"/>
      <c r="M446" s="68"/>
      <c r="O446" s="68"/>
      <c r="P446" s="68"/>
      <c r="Q446" s="68"/>
      <c r="R446" s="68"/>
      <c r="S446" s="68"/>
    </row>
    <row r="447" spans="1:19" ht="15.75" customHeight="1">
      <c r="A447" s="68"/>
      <c r="B447" s="68"/>
      <c r="D447" s="68"/>
      <c r="E447" s="69"/>
      <c r="K447" s="68"/>
      <c r="L447" s="68"/>
      <c r="M447" s="68"/>
      <c r="O447" s="68"/>
      <c r="P447" s="68"/>
      <c r="Q447" s="68"/>
      <c r="R447" s="68"/>
      <c r="S447" s="68"/>
    </row>
    <row r="448" spans="1:19" ht="15.75" customHeight="1">
      <c r="A448" s="68"/>
      <c r="B448" s="68"/>
      <c r="D448" s="68"/>
      <c r="E448" s="69"/>
      <c r="K448" s="68"/>
      <c r="L448" s="68"/>
      <c r="M448" s="68"/>
      <c r="O448" s="68"/>
      <c r="P448" s="68"/>
      <c r="Q448" s="68"/>
      <c r="R448" s="68"/>
      <c r="S448" s="68"/>
    </row>
    <row r="449" spans="1:19" ht="15.75" customHeight="1">
      <c r="A449" s="68"/>
      <c r="B449" s="68"/>
      <c r="D449" s="68"/>
      <c r="E449" s="69"/>
      <c r="K449" s="68"/>
      <c r="L449" s="68"/>
      <c r="M449" s="68"/>
      <c r="O449" s="68"/>
      <c r="P449" s="68"/>
      <c r="Q449" s="68"/>
      <c r="R449" s="68"/>
      <c r="S449" s="68"/>
    </row>
    <row r="450" spans="1:19" ht="15.75" customHeight="1">
      <c r="A450" s="68"/>
      <c r="B450" s="68"/>
      <c r="D450" s="68"/>
      <c r="E450" s="69"/>
      <c r="K450" s="68"/>
      <c r="L450" s="68"/>
      <c r="M450" s="68"/>
      <c r="O450" s="68"/>
      <c r="P450" s="68"/>
      <c r="Q450" s="68"/>
      <c r="R450" s="68"/>
      <c r="S450" s="68"/>
    </row>
    <row r="451" spans="1:19" ht="15.75" customHeight="1">
      <c r="A451" s="68"/>
      <c r="B451" s="68"/>
      <c r="D451" s="68"/>
      <c r="E451" s="69"/>
      <c r="K451" s="68"/>
      <c r="L451" s="68"/>
      <c r="M451" s="68"/>
      <c r="O451" s="68"/>
      <c r="P451" s="68"/>
      <c r="Q451" s="68"/>
      <c r="R451" s="68"/>
      <c r="S451" s="68"/>
    </row>
    <row r="452" spans="1:19" ht="15.75" customHeight="1">
      <c r="A452" s="68"/>
      <c r="B452" s="68"/>
      <c r="D452" s="68"/>
      <c r="E452" s="69"/>
      <c r="K452" s="68"/>
      <c r="L452" s="68"/>
      <c r="M452" s="68"/>
      <c r="O452" s="68"/>
      <c r="P452" s="68"/>
      <c r="Q452" s="68"/>
      <c r="R452" s="68"/>
      <c r="S452" s="68"/>
    </row>
    <row r="453" spans="1:19" ht="15.75" customHeight="1">
      <c r="A453" s="68"/>
      <c r="B453" s="68"/>
      <c r="D453" s="68"/>
      <c r="E453" s="69"/>
      <c r="K453" s="68"/>
      <c r="L453" s="68"/>
      <c r="M453" s="68"/>
      <c r="O453" s="68"/>
      <c r="P453" s="68"/>
      <c r="Q453" s="68"/>
      <c r="R453" s="68"/>
      <c r="S453" s="68"/>
    </row>
    <row r="454" spans="1:19" ht="15.75" customHeight="1">
      <c r="A454" s="68"/>
      <c r="B454" s="68"/>
      <c r="D454" s="68"/>
      <c r="E454" s="69"/>
      <c r="K454" s="68"/>
      <c r="L454" s="68"/>
      <c r="M454" s="68"/>
      <c r="O454" s="68"/>
      <c r="P454" s="68"/>
      <c r="Q454" s="68"/>
      <c r="R454" s="68"/>
      <c r="S454" s="68"/>
    </row>
    <row r="455" spans="1:19" ht="15.75" customHeight="1">
      <c r="A455" s="68"/>
      <c r="B455" s="68"/>
      <c r="D455" s="68"/>
      <c r="E455" s="69"/>
      <c r="K455" s="68"/>
      <c r="L455" s="68"/>
      <c r="M455" s="68"/>
      <c r="O455" s="68"/>
      <c r="P455" s="68"/>
      <c r="Q455" s="68"/>
      <c r="R455" s="68"/>
      <c r="S455" s="68"/>
    </row>
    <row r="456" spans="1:19" ht="15.75" customHeight="1">
      <c r="A456" s="68"/>
      <c r="B456" s="68"/>
      <c r="D456" s="68"/>
      <c r="E456" s="69"/>
      <c r="K456" s="68"/>
      <c r="L456" s="68"/>
      <c r="M456" s="68"/>
      <c r="O456" s="68"/>
      <c r="P456" s="68"/>
      <c r="Q456" s="68"/>
      <c r="R456" s="68"/>
      <c r="S456" s="68"/>
    </row>
    <row r="457" spans="1:19" ht="15.75" customHeight="1">
      <c r="A457" s="68"/>
      <c r="B457" s="68"/>
      <c r="D457" s="68"/>
      <c r="E457" s="69"/>
      <c r="K457" s="68"/>
      <c r="L457" s="68"/>
      <c r="M457" s="68"/>
      <c r="O457" s="68"/>
      <c r="P457" s="68"/>
      <c r="Q457" s="68"/>
      <c r="R457" s="68"/>
      <c r="S457" s="68"/>
    </row>
    <row r="458" spans="1:19" ht="15.75" customHeight="1">
      <c r="A458" s="68"/>
      <c r="B458" s="68"/>
      <c r="D458" s="68"/>
      <c r="E458" s="69"/>
      <c r="K458" s="68"/>
      <c r="L458" s="68"/>
      <c r="M458" s="68"/>
      <c r="O458" s="68"/>
      <c r="P458" s="68"/>
      <c r="Q458" s="68"/>
      <c r="R458" s="68"/>
      <c r="S458" s="68"/>
    </row>
    <row r="459" spans="1:19" ht="15.75" customHeight="1">
      <c r="A459" s="68"/>
      <c r="B459" s="68"/>
      <c r="D459" s="68"/>
      <c r="E459" s="69"/>
      <c r="K459" s="68"/>
      <c r="L459" s="68"/>
      <c r="M459" s="68"/>
      <c r="O459" s="68"/>
      <c r="P459" s="68"/>
      <c r="Q459" s="68"/>
      <c r="R459" s="68"/>
      <c r="S459" s="68"/>
    </row>
    <row r="460" spans="1:19" ht="15.75" customHeight="1">
      <c r="A460" s="68"/>
      <c r="B460" s="68"/>
      <c r="D460" s="68"/>
      <c r="E460" s="69"/>
      <c r="K460" s="68"/>
      <c r="L460" s="68"/>
      <c r="M460" s="68"/>
      <c r="O460" s="68"/>
      <c r="P460" s="68"/>
      <c r="Q460" s="68"/>
      <c r="R460" s="68"/>
      <c r="S460" s="68"/>
    </row>
    <row r="461" spans="1:19" ht="15.75" customHeight="1">
      <c r="A461" s="68"/>
      <c r="B461" s="68"/>
      <c r="D461" s="68"/>
      <c r="E461" s="69"/>
      <c r="K461" s="68"/>
      <c r="L461" s="68"/>
      <c r="M461" s="68"/>
      <c r="O461" s="68"/>
      <c r="P461" s="68"/>
      <c r="Q461" s="68"/>
      <c r="R461" s="68"/>
      <c r="S461" s="68"/>
    </row>
    <row r="462" spans="1:19" ht="15.75" customHeight="1">
      <c r="A462" s="68"/>
      <c r="B462" s="68"/>
      <c r="D462" s="68"/>
      <c r="E462" s="69"/>
      <c r="K462" s="68"/>
      <c r="L462" s="68"/>
      <c r="M462" s="68"/>
      <c r="O462" s="68"/>
      <c r="P462" s="68"/>
      <c r="Q462" s="68"/>
      <c r="R462" s="68"/>
      <c r="S462" s="68"/>
    </row>
    <row r="463" spans="1:19" ht="15.75" customHeight="1">
      <c r="A463" s="68"/>
      <c r="B463" s="68"/>
      <c r="D463" s="68"/>
      <c r="E463" s="69"/>
      <c r="K463" s="68"/>
      <c r="L463" s="68"/>
      <c r="M463" s="68"/>
      <c r="O463" s="68"/>
      <c r="P463" s="68"/>
      <c r="Q463" s="68"/>
      <c r="R463" s="68"/>
      <c r="S463" s="68"/>
    </row>
    <row r="464" spans="1:19" ht="15.75" customHeight="1">
      <c r="A464" s="68"/>
      <c r="B464" s="68"/>
      <c r="D464" s="68"/>
      <c r="E464" s="69"/>
      <c r="K464" s="68"/>
      <c r="L464" s="68"/>
      <c r="M464" s="68"/>
      <c r="O464" s="68"/>
      <c r="P464" s="68"/>
      <c r="Q464" s="68"/>
      <c r="R464" s="68"/>
      <c r="S464" s="68"/>
    </row>
    <row r="465" spans="1:19" ht="15.75" customHeight="1">
      <c r="A465" s="68"/>
      <c r="B465" s="68"/>
      <c r="D465" s="68"/>
      <c r="E465" s="69"/>
      <c r="K465" s="68"/>
      <c r="L465" s="68"/>
      <c r="M465" s="68"/>
      <c r="O465" s="68"/>
      <c r="P465" s="68"/>
      <c r="Q465" s="68"/>
      <c r="R465" s="68"/>
      <c r="S465" s="68"/>
    </row>
    <row r="466" spans="1:19" ht="15.75" customHeight="1">
      <c r="A466" s="68"/>
      <c r="B466" s="68"/>
      <c r="D466" s="68"/>
      <c r="E466" s="69"/>
      <c r="K466" s="68"/>
      <c r="L466" s="68"/>
      <c r="M466" s="68"/>
      <c r="O466" s="68"/>
      <c r="P466" s="68"/>
      <c r="Q466" s="68"/>
      <c r="R466" s="68"/>
      <c r="S466" s="68"/>
    </row>
    <row r="467" spans="1:19" ht="15.75" customHeight="1">
      <c r="A467" s="68"/>
      <c r="B467" s="68"/>
      <c r="D467" s="68"/>
      <c r="E467" s="69"/>
      <c r="K467" s="68"/>
      <c r="L467" s="68"/>
      <c r="M467" s="68"/>
      <c r="O467" s="68"/>
      <c r="P467" s="68"/>
      <c r="Q467" s="68"/>
      <c r="R467" s="68"/>
      <c r="S467" s="68"/>
    </row>
    <row r="468" spans="1:19" ht="15.75" customHeight="1">
      <c r="A468" s="68"/>
      <c r="B468" s="68"/>
      <c r="D468" s="68"/>
      <c r="E468" s="69"/>
      <c r="K468" s="68"/>
      <c r="L468" s="68"/>
      <c r="M468" s="68"/>
      <c r="O468" s="68"/>
      <c r="P468" s="68"/>
      <c r="Q468" s="68"/>
      <c r="R468" s="68"/>
      <c r="S468" s="68"/>
    </row>
    <row r="469" spans="1:19" ht="15.75" customHeight="1">
      <c r="A469" s="68"/>
      <c r="B469" s="68"/>
      <c r="D469" s="68"/>
      <c r="E469" s="69"/>
      <c r="K469" s="68"/>
      <c r="L469" s="68"/>
      <c r="M469" s="68"/>
      <c r="O469" s="68"/>
      <c r="P469" s="68"/>
      <c r="Q469" s="68"/>
      <c r="R469" s="68"/>
      <c r="S469" s="68"/>
    </row>
    <row r="470" spans="1:19" ht="15.75" customHeight="1">
      <c r="A470" s="68"/>
      <c r="B470" s="68"/>
      <c r="D470" s="68"/>
      <c r="E470" s="69"/>
      <c r="K470" s="68"/>
      <c r="L470" s="68"/>
      <c r="M470" s="68"/>
      <c r="O470" s="68"/>
      <c r="P470" s="68"/>
      <c r="Q470" s="68"/>
      <c r="R470" s="68"/>
      <c r="S470" s="68"/>
    </row>
    <row r="471" spans="1:19" ht="15.75" customHeight="1">
      <c r="A471" s="68"/>
      <c r="B471" s="68"/>
      <c r="D471" s="68"/>
      <c r="E471" s="69"/>
      <c r="K471" s="68"/>
      <c r="L471" s="68"/>
      <c r="M471" s="68"/>
      <c r="O471" s="68"/>
      <c r="P471" s="68"/>
      <c r="Q471" s="68"/>
      <c r="R471" s="68"/>
      <c r="S471" s="68"/>
    </row>
    <row r="472" spans="1:19" ht="15.75" customHeight="1">
      <c r="A472" s="68"/>
      <c r="B472" s="68"/>
      <c r="D472" s="68"/>
      <c r="E472" s="69"/>
      <c r="K472" s="68"/>
      <c r="L472" s="68"/>
      <c r="M472" s="68"/>
      <c r="O472" s="68"/>
      <c r="P472" s="68"/>
      <c r="Q472" s="68"/>
      <c r="R472" s="68"/>
      <c r="S472" s="68"/>
    </row>
    <row r="473" spans="1:19" ht="15.75" customHeight="1">
      <c r="A473" s="68"/>
      <c r="B473" s="68"/>
      <c r="D473" s="68"/>
      <c r="E473" s="69"/>
      <c r="K473" s="68"/>
      <c r="L473" s="68"/>
      <c r="M473" s="68"/>
      <c r="O473" s="68"/>
      <c r="P473" s="68"/>
      <c r="Q473" s="68"/>
      <c r="R473" s="68"/>
      <c r="S473" s="68"/>
    </row>
    <row r="474" spans="1:19" ht="15.75" customHeight="1">
      <c r="A474" s="68"/>
      <c r="B474" s="68"/>
      <c r="D474" s="68"/>
      <c r="E474" s="69"/>
      <c r="K474" s="68"/>
      <c r="L474" s="68"/>
      <c r="M474" s="68"/>
      <c r="O474" s="68"/>
      <c r="P474" s="68"/>
      <c r="Q474" s="68"/>
      <c r="R474" s="68"/>
      <c r="S474" s="68"/>
    </row>
    <row r="475" spans="1:19" ht="15.75" customHeight="1">
      <c r="A475" s="68"/>
      <c r="B475" s="68"/>
      <c r="D475" s="68"/>
      <c r="E475" s="69"/>
      <c r="K475" s="68"/>
      <c r="L475" s="68"/>
      <c r="M475" s="68"/>
      <c r="O475" s="68"/>
      <c r="P475" s="68"/>
      <c r="Q475" s="68"/>
      <c r="R475" s="68"/>
      <c r="S475" s="68"/>
    </row>
    <row r="476" spans="1:19" ht="15.75" customHeight="1">
      <c r="A476" s="68"/>
      <c r="B476" s="68"/>
      <c r="D476" s="68"/>
      <c r="E476" s="69"/>
      <c r="K476" s="68"/>
      <c r="L476" s="68"/>
      <c r="M476" s="68"/>
      <c r="O476" s="68"/>
      <c r="P476" s="68"/>
      <c r="Q476" s="68"/>
      <c r="R476" s="68"/>
      <c r="S476" s="68"/>
    </row>
    <row r="477" spans="1:19" ht="15.75" customHeight="1">
      <c r="A477" s="68"/>
      <c r="B477" s="68"/>
      <c r="D477" s="68"/>
      <c r="E477" s="69"/>
      <c r="K477" s="68"/>
      <c r="L477" s="68"/>
      <c r="M477" s="68"/>
      <c r="O477" s="68"/>
      <c r="P477" s="68"/>
      <c r="Q477" s="68"/>
      <c r="R477" s="68"/>
      <c r="S477" s="68"/>
    </row>
    <row r="478" spans="1:19" ht="15.75" customHeight="1">
      <c r="A478" s="68"/>
      <c r="B478" s="68"/>
      <c r="D478" s="68"/>
      <c r="E478" s="69"/>
      <c r="K478" s="68"/>
      <c r="L478" s="68"/>
      <c r="M478" s="68"/>
      <c r="O478" s="68"/>
      <c r="P478" s="68"/>
      <c r="Q478" s="68"/>
      <c r="R478" s="68"/>
      <c r="S478" s="68"/>
    </row>
    <row r="479" spans="1:19" ht="15.75" customHeight="1">
      <c r="A479" s="68"/>
      <c r="B479" s="68"/>
      <c r="D479" s="68"/>
      <c r="E479" s="69"/>
      <c r="K479" s="68"/>
      <c r="L479" s="68"/>
      <c r="M479" s="68"/>
      <c r="O479" s="68"/>
      <c r="P479" s="68"/>
      <c r="Q479" s="68"/>
      <c r="R479" s="68"/>
      <c r="S479" s="68"/>
    </row>
    <row r="480" spans="1:19" ht="15.75" customHeight="1">
      <c r="A480" s="68"/>
      <c r="B480" s="68"/>
      <c r="D480" s="68"/>
      <c r="E480" s="69"/>
      <c r="K480" s="68"/>
      <c r="L480" s="68"/>
      <c r="M480" s="68"/>
      <c r="O480" s="68"/>
      <c r="P480" s="68"/>
      <c r="Q480" s="68"/>
      <c r="R480" s="68"/>
      <c r="S480" s="68"/>
    </row>
    <row r="481" spans="1:19" ht="15.75" customHeight="1">
      <c r="A481" s="68"/>
      <c r="B481" s="68"/>
      <c r="D481" s="68"/>
      <c r="E481" s="69"/>
      <c r="K481" s="68"/>
      <c r="L481" s="68"/>
      <c r="M481" s="68"/>
      <c r="O481" s="68"/>
      <c r="P481" s="68"/>
      <c r="Q481" s="68"/>
      <c r="R481" s="68"/>
      <c r="S481" s="68"/>
    </row>
    <row r="482" spans="1:19" ht="15.75" customHeight="1">
      <c r="A482" s="68"/>
      <c r="B482" s="68"/>
      <c r="D482" s="68"/>
      <c r="E482" s="69"/>
      <c r="K482" s="68"/>
      <c r="L482" s="68"/>
      <c r="M482" s="68"/>
      <c r="O482" s="68"/>
      <c r="P482" s="68"/>
      <c r="Q482" s="68"/>
      <c r="R482" s="68"/>
      <c r="S482" s="68"/>
    </row>
    <row r="483" spans="1:19" ht="15.75" customHeight="1">
      <c r="A483" s="68"/>
      <c r="B483" s="68"/>
      <c r="D483" s="68"/>
      <c r="E483" s="69"/>
      <c r="K483" s="68"/>
      <c r="L483" s="68"/>
      <c r="M483" s="68"/>
      <c r="O483" s="68"/>
      <c r="P483" s="68"/>
      <c r="Q483" s="68"/>
      <c r="R483" s="68"/>
      <c r="S483" s="68"/>
    </row>
    <row r="484" spans="1:19" ht="15.75" customHeight="1">
      <c r="A484" s="68"/>
      <c r="B484" s="68"/>
      <c r="D484" s="68"/>
      <c r="E484" s="69"/>
      <c r="K484" s="68"/>
      <c r="L484" s="68"/>
      <c r="M484" s="68"/>
      <c r="O484" s="68"/>
      <c r="P484" s="68"/>
      <c r="Q484" s="68"/>
      <c r="R484" s="68"/>
      <c r="S484" s="68"/>
    </row>
    <row r="485" spans="1:19" ht="15.75" customHeight="1">
      <c r="A485" s="68"/>
      <c r="B485" s="68"/>
      <c r="D485" s="68"/>
      <c r="E485" s="69"/>
      <c r="K485" s="68"/>
      <c r="L485" s="68"/>
      <c r="M485" s="68"/>
      <c r="O485" s="68"/>
      <c r="P485" s="68"/>
      <c r="Q485" s="68"/>
      <c r="R485" s="68"/>
      <c r="S485" s="68"/>
    </row>
    <row r="486" spans="1:19" ht="15.75" customHeight="1">
      <c r="A486" s="68"/>
      <c r="B486" s="68"/>
      <c r="D486" s="68"/>
      <c r="E486" s="69"/>
      <c r="K486" s="68"/>
      <c r="L486" s="68"/>
      <c r="M486" s="68"/>
      <c r="O486" s="68"/>
      <c r="P486" s="68"/>
      <c r="Q486" s="68"/>
      <c r="R486" s="68"/>
      <c r="S486" s="68"/>
    </row>
    <row r="487" spans="1:19" ht="15.75" customHeight="1">
      <c r="A487" s="68"/>
      <c r="B487" s="68"/>
      <c r="D487" s="68"/>
      <c r="E487" s="69"/>
      <c r="K487" s="68"/>
      <c r="L487" s="68"/>
      <c r="M487" s="68"/>
      <c r="O487" s="68"/>
      <c r="P487" s="68"/>
      <c r="Q487" s="68"/>
      <c r="R487" s="68"/>
      <c r="S487" s="68"/>
    </row>
    <row r="488" spans="1:19" ht="15.75" customHeight="1">
      <c r="A488" s="68"/>
      <c r="B488" s="68"/>
      <c r="D488" s="68"/>
      <c r="E488" s="69"/>
      <c r="K488" s="68"/>
      <c r="L488" s="68"/>
      <c r="M488" s="68"/>
      <c r="O488" s="68"/>
      <c r="P488" s="68"/>
      <c r="Q488" s="68"/>
      <c r="R488" s="68"/>
      <c r="S488" s="68"/>
    </row>
    <row r="489" spans="1:19" ht="15.75" customHeight="1">
      <c r="A489" s="68"/>
      <c r="B489" s="68"/>
      <c r="D489" s="68"/>
      <c r="E489" s="69"/>
      <c r="K489" s="68"/>
      <c r="L489" s="68"/>
      <c r="M489" s="68"/>
      <c r="O489" s="68"/>
      <c r="P489" s="68"/>
      <c r="Q489" s="68"/>
      <c r="R489" s="68"/>
      <c r="S489" s="68"/>
    </row>
    <row r="490" spans="1:19" ht="15.75" customHeight="1">
      <c r="A490" s="68"/>
      <c r="B490" s="68"/>
      <c r="D490" s="68"/>
      <c r="E490" s="69"/>
      <c r="K490" s="68"/>
      <c r="L490" s="68"/>
      <c r="M490" s="68"/>
      <c r="O490" s="68"/>
      <c r="P490" s="68"/>
      <c r="Q490" s="68"/>
      <c r="R490" s="68"/>
      <c r="S490" s="68"/>
    </row>
    <row r="491" spans="1:19" ht="15.75" customHeight="1">
      <c r="A491" s="68"/>
      <c r="B491" s="68"/>
      <c r="D491" s="68"/>
      <c r="E491" s="69"/>
      <c r="K491" s="68"/>
      <c r="L491" s="68"/>
      <c r="M491" s="68"/>
      <c r="O491" s="68"/>
      <c r="P491" s="68"/>
      <c r="Q491" s="68"/>
      <c r="R491" s="68"/>
      <c r="S491" s="68"/>
    </row>
    <row r="492" spans="1:19" ht="15.75" customHeight="1">
      <c r="A492" s="68"/>
      <c r="B492" s="68"/>
      <c r="D492" s="68"/>
      <c r="E492" s="69"/>
      <c r="K492" s="68"/>
      <c r="L492" s="68"/>
      <c r="M492" s="68"/>
      <c r="O492" s="68"/>
      <c r="P492" s="68"/>
      <c r="Q492" s="68"/>
      <c r="R492" s="68"/>
      <c r="S492" s="68"/>
    </row>
    <row r="493" spans="1:19" ht="15.75" customHeight="1">
      <c r="A493" s="68"/>
      <c r="B493" s="68"/>
      <c r="D493" s="68"/>
      <c r="E493" s="69"/>
      <c r="K493" s="68"/>
      <c r="L493" s="68"/>
      <c r="M493" s="68"/>
      <c r="O493" s="68"/>
      <c r="P493" s="68"/>
      <c r="Q493" s="68"/>
      <c r="R493" s="68"/>
      <c r="S493" s="68"/>
    </row>
    <row r="494" spans="1:19" ht="15.75" customHeight="1">
      <c r="A494" s="68"/>
      <c r="B494" s="68"/>
      <c r="D494" s="68"/>
      <c r="E494" s="69"/>
      <c r="K494" s="68"/>
      <c r="L494" s="68"/>
      <c r="M494" s="68"/>
      <c r="O494" s="68"/>
      <c r="P494" s="68"/>
      <c r="Q494" s="68"/>
      <c r="R494" s="68"/>
      <c r="S494" s="68"/>
    </row>
    <row r="495" spans="1:19" ht="15.75" customHeight="1">
      <c r="A495" s="68"/>
      <c r="B495" s="68"/>
      <c r="D495" s="68"/>
      <c r="E495" s="69"/>
      <c r="K495" s="68"/>
      <c r="L495" s="68"/>
      <c r="M495" s="68"/>
      <c r="O495" s="68"/>
      <c r="P495" s="68"/>
      <c r="Q495" s="68"/>
      <c r="R495" s="68"/>
      <c r="S495" s="68"/>
    </row>
    <row r="496" spans="1:19" ht="15.75" customHeight="1">
      <c r="A496" s="68"/>
      <c r="B496" s="68"/>
      <c r="D496" s="68"/>
      <c r="E496" s="69"/>
      <c r="K496" s="68"/>
      <c r="L496" s="68"/>
      <c r="M496" s="68"/>
      <c r="O496" s="68"/>
      <c r="P496" s="68"/>
      <c r="Q496" s="68"/>
      <c r="R496" s="68"/>
      <c r="S496" s="68"/>
    </row>
    <row r="497" spans="1:19" ht="15.75" customHeight="1">
      <c r="A497" s="68"/>
      <c r="B497" s="68"/>
      <c r="D497" s="68"/>
      <c r="E497" s="69"/>
      <c r="K497" s="68"/>
      <c r="L497" s="68"/>
      <c r="M497" s="68"/>
      <c r="O497" s="68"/>
      <c r="P497" s="68"/>
      <c r="Q497" s="68"/>
      <c r="R497" s="68"/>
      <c r="S497" s="68"/>
    </row>
    <row r="498" spans="1:19" ht="15.75" customHeight="1">
      <c r="A498" s="68"/>
      <c r="B498" s="68"/>
      <c r="D498" s="68"/>
      <c r="E498" s="69"/>
      <c r="K498" s="68"/>
      <c r="L498" s="68"/>
      <c r="M498" s="68"/>
      <c r="O498" s="68"/>
      <c r="P498" s="68"/>
      <c r="Q498" s="68"/>
      <c r="R498" s="68"/>
      <c r="S498" s="68"/>
    </row>
    <row r="499" spans="1:19" ht="15.75" customHeight="1">
      <c r="A499" s="68"/>
      <c r="B499" s="68"/>
      <c r="D499" s="68"/>
      <c r="E499" s="69"/>
      <c r="K499" s="68"/>
      <c r="L499" s="68"/>
      <c r="M499" s="68"/>
      <c r="O499" s="68"/>
      <c r="P499" s="68"/>
      <c r="Q499" s="68"/>
      <c r="R499" s="68"/>
      <c r="S499" s="68"/>
    </row>
    <row r="500" spans="1:19" ht="15.75" customHeight="1">
      <c r="A500" s="68"/>
      <c r="B500" s="68"/>
      <c r="D500" s="68"/>
      <c r="E500" s="69"/>
      <c r="K500" s="68"/>
      <c r="L500" s="68"/>
      <c r="M500" s="68"/>
      <c r="O500" s="68"/>
      <c r="P500" s="68"/>
      <c r="Q500" s="68"/>
      <c r="R500" s="68"/>
      <c r="S500" s="68"/>
    </row>
    <row r="501" spans="1:19" ht="15.75" customHeight="1">
      <c r="A501" s="68"/>
      <c r="B501" s="68"/>
      <c r="D501" s="68"/>
      <c r="E501" s="69"/>
      <c r="K501" s="68"/>
      <c r="L501" s="68"/>
      <c r="M501" s="68"/>
      <c r="O501" s="68"/>
      <c r="P501" s="68"/>
      <c r="Q501" s="68"/>
      <c r="R501" s="68"/>
      <c r="S501" s="68"/>
    </row>
    <row r="502" spans="1:19" ht="15.75" customHeight="1">
      <c r="A502" s="68"/>
      <c r="B502" s="68"/>
      <c r="D502" s="68"/>
      <c r="E502" s="69"/>
      <c r="K502" s="68"/>
      <c r="L502" s="68"/>
      <c r="M502" s="68"/>
      <c r="O502" s="68"/>
      <c r="P502" s="68"/>
      <c r="Q502" s="68"/>
      <c r="R502" s="68"/>
      <c r="S502" s="68"/>
    </row>
    <row r="503" spans="1:19" ht="15.75" customHeight="1">
      <c r="A503" s="68"/>
      <c r="B503" s="68"/>
      <c r="D503" s="68"/>
      <c r="E503" s="69"/>
      <c r="K503" s="68"/>
      <c r="L503" s="68"/>
      <c r="M503" s="68"/>
      <c r="O503" s="68"/>
      <c r="P503" s="68"/>
      <c r="Q503" s="68"/>
      <c r="R503" s="68"/>
      <c r="S503" s="68"/>
    </row>
    <row r="504" spans="1:19" ht="15.75" customHeight="1">
      <c r="A504" s="68"/>
      <c r="B504" s="68"/>
      <c r="D504" s="68"/>
      <c r="E504" s="69"/>
      <c r="K504" s="68"/>
      <c r="L504" s="68"/>
      <c r="M504" s="68"/>
      <c r="O504" s="68"/>
      <c r="P504" s="68"/>
      <c r="Q504" s="68"/>
      <c r="R504" s="68"/>
      <c r="S504" s="68"/>
    </row>
    <row r="505" spans="1:19" ht="15.75" customHeight="1">
      <c r="A505" s="68"/>
      <c r="B505" s="68"/>
      <c r="D505" s="68"/>
      <c r="E505" s="69"/>
      <c r="K505" s="68"/>
      <c r="L505" s="68"/>
      <c r="M505" s="68"/>
      <c r="O505" s="68"/>
      <c r="P505" s="68"/>
      <c r="Q505" s="68"/>
      <c r="R505" s="68"/>
      <c r="S505" s="68"/>
    </row>
    <row r="506" spans="1:19" ht="15.75" customHeight="1">
      <c r="A506" s="68"/>
      <c r="B506" s="68"/>
      <c r="D506" s="68"/>
      <c r="E506" s="69"/>
      <c r="K506" s="68"/>
      <c r="L506" s="68"/>
      <c r="M506" s="68"/>
      <c r="O506" s="68"/>
      <c r="P506" s="68"/>
      <c r="Q506" s="68"/>
      <c r="R506" s="68"/>
      <c r="S506" s="68"/>
    </row>
    <row r="507" spans="1:19" ht="15.75" customHeight="1">
      <c r="A507" s="68"/>
      <c r="B507" s="68"/>
      <c r="D507" s="68"/>
      <c r="E507" s="69"/>
      <c r="K507" s="68"/>
      <c r="L507" s="68"/>
      <c r="M507" s="68"/>
      <c r="O507" s="68"/>
      <c r="P507" s="68"/>
      <c r="Q507" s="68"/>
      <c r="R507" s="68"/>
      <c r="S507" s="68"/>
    </row>
    <row r="508" spans="1:19" ht="15.75" customHeight="1">
      <c r="A508" s="68"/>
      <c r="B508" s="68"/>
      <c r="D508" s="68"/>
      <c r="E508" s="69"/>
      <c r="K508" s="68"/>
      <c r="L508" s="68"/>
      <c r="M508" s="68"/>
      <c r="O508" s="68"/>
      <c r="P508" s="68"/>
      <c r="Q508" s="68"/>
      <c r="R508" s="68"/>
      <c r="S508" s="68"/>
    </row>
    <row r="509" spans="1:19" ht="15.75" customHeight="1">
      <c r="A509" s="68"/>
      <c r="B509" s="68"/>
      <c r="D509" s="68"/>
      <c r="E509" s="69"/>
      <c r="K509" s="68"/>
      <c r="L509" s="68"/>
      <c r="M509" s="68"/>
      <c r="O509" s="68"/>
      <c r="P509" s="68"/>
      <c r="Q509" s="68"/>
      <c r="R509" s="68"/>
      <c r="S509" s="68"/>
    </row>
    <row r="510" spans="1:19" ht="15.75" customHeight="1">
      <c r="A510" s="68"/>
      <c r="B510" s="68"/>
      <c r="D510" s="68"/>
      <c r="E510" s="69"/>
      <c r="K510" s="68"/>
      <c r="L510" s="68"/>
      <c r="M510" s="68"/>
      <c r="O510" s="68"/>
      <c r="P510" s="68"/>
      <c r="Q510" s="68"/>
      <c r="R510" s="68"/>
      <c r="S510" s="68"/>
    </row>
    <row r="511" spans="1:19" ht="15.75" customHeight="1">
      <c r="A511" s="68"/>
      <c r="B511" s="68"/>
      <c r="D511" s="68"/>
      <c r="E511" s="69"/>
      <c r="K511" s="68"/>
      <c r="L511" s="68"/>
      <c r="M511" s="68"/>
      <c r="O511" s="68"/>
      <c r="P511" s="68"/>
      <c r="Q511" s="68"/>
      <c r="R511" s="68"/>
      <c r="S511" s="68"/>
    </row>
    <row r="512" spans="1:19" ht="15.75" customHeight="1">
      <c r="A512" s="68"/>
      <c r="B512" s="68"/>
      <c r="D512" s="68"/>
      <c r="E512" s="69"/>
      <c r="K512" s="68"/>
      <c r="L512" s="68"/>
      <c r="M512" s="68"/>
      <c r="O512" s="68"/>
      <c r="P512" s="68"/>
      <c r="Q512" s="68"/>
      <c r="R512" s="68"/>
      <c r="S512" s="68"/>
    </row>
    <row r="513" spans="1:19" ht="15.75" customHeight="1">
      <c r="A513" s="68"/>
      <c r="B513" s="68"/>
      <c r="D513" s="68"/>
      <c r="E513" s="69"/>
      <c r="K513" s="68"/>
      <c r="L513" s="68"/>
      <c r="M513" s="68"/>
      <c r="O513" s="68"/>
      <c r="P513" s="68"/>
      <c r="Q513" s="68"/>
      <c r="R513" s="68"/>
      <c r="S513" s="68"/>
    </row>
    <row r="514" spans="1:19" ht="15.75" customHeight="1">
      <c r="A514" s="68"/>
      <c r="B514" s="68"/>
      <c r="D514" s="68"/>
      <c r="E514" s="69"/>
      <c r="K514" s="68"/>
      <c r="L514" s="68"/>
      <c r="M514" s="68"/>
      <c r="O514" s="68"/>
      <c r="P514" s="68"/>
      <c r="Q514" s="68"/>
      <c r="R514" s="68"/>
      <c r="S514" s="68"/>
    </row>
    <row r="515" spans="1:19" ht="15.75" customHeight="1">
      <c r="A515" s="68"/>
      <c r="B515" s="68"/>
      <c r="D515" s="68"/>
      <c r="E515" s="69"/>
      <c r="K515" s="68"/>
      <c r="L515" s="68"/>
      <c r="M515" s="68"/>
      <c r="O515" s="68"/>
      <c r="P515" s="68"/>
      <c r="Q515" s="68"/>
      <c r="R515" s="68"/>
      <c r="S515" s="68"/>
    </row>
    <row r="516" spans="1:19" ht="15.75" customHeight="1">
      <c r="A516" s="68"/>
      <c r="B516" s="68"/>
      <c r="D516" s="68"/>
      <c r="E516" s="69"/>
      <c r="K516" s="68"/>
      <c r="L516" s="68"/>
      <c r="M516" s="68"/>
      <c r="O516" s="68"/>
      <c r="P516" s="68"/>
      <c r="Q516" s="68"/>
      <c r="R516" s="68"/>
      <c r="S516" s="68"/>
    </row>
    <row r="517" spans="1:19" ht="15.75" customHeight="1">
      <c r="A517" s="68"/>
      <c r="B517" s="68"/>
      <c r="D517" s="68"/>
      <c r="E517" s="69"/>
      <c r="K517" s="68"/>
      <c r="L517" s="68"/>
      <c r="M517" s="68"/>
      <c r="O517" s="68"/>
      <c r="P517" s="68"/>
      <c r="Q517" s="68"/>
      <c r="R517" s="68"/>
      <c r="S517" s="68"/>
    </row>
    <row r="518" spans="1:19" ht="15.75" customHeight="1">
      <c r="A518" s="68"/>
      <c r="B518" s="68"/>
      <c r="D518" s="68"/>
      <c r="E518" s="69"/>
      <c r="K518" s="68"/>
      <c r="L518" s="68"/>
      <c r="M518" s="68"/>
      <c r="O518" s="68"/>
      <c r="P518" s="68"/>
      <c r="Q518" s="68"/>
      <c r="R518" s="68"/>
      <c r="S518" s="68"/>
    </row>
    <row r="519" spans="1:19" ht="15.75" customHeight="1">
      <c r="A519" s="68"/>
      <c r="B519" s="68"/>
      <c r="D519" s="68"/>
      <c r="E519" s="69"/>
      <c r="K519" s="68"/>
      <c r="L519" s="68"/>
      <c r="M519" s="68"/>
      <c r="O519" s="68"/>
      <c r="P519" s="68"/>
      <c r="Q519" s="68"/>
      <c r="R519" s="68"/>
      <c r="S519" s="68"/>
    </row>
    <row r="520" spans="1:19" ht="15.75" customHeight="1">
      <c r="A520" s="68"/>
      <c r="B520" s="68"/>
      <c r="D520" s="68"/>
      <c r="E520" s="69"/>
      <c r="K520" s="68"/>
      <c r="L520" s="68"/>
      <c r="M520" s="68"/>
      <c r="O520" s="68"/>
      <c r="P520" s="68"/>
      <c r="Q520" s="68"/>
      <c r="R520" s="68"/>
      <c r="S520" s="68"/>
    </row>
    <row r="521" spans="1:19" ht="15.75" customHeight="1">
      <c r="A521" s="68"/>
      <c r="B521" s="68"/>
      <c r="D521" s="68"/>
      <c r="E521" s="69"/>
      <c r="K521" s="68"/>
      <c r="L521" s="68"/>
      <c r="M521" s="68"/>
      <c r="O521" s="68"/>
      <c r="P521" s="68"/>
      <c r="Q521" s="68"/>
      <c r="R521" s="68"/>
      <c r="S521" s="68"/>
    </row>
    <row r="522" spans="1:19" ht="15.75" customHeight="1">
      <c r="A522" s="68"/>
      <c r="B522" s="68"/>
      <c r="D522" s="68"/>
      <c r="E522" s="69"/>
      <c r="K522" s="68"/>
      <c r="L522" s="68"/>
      <c r="M522" s="68"/>
      <c r="O522" s="68"/>
      <c r="P522" s="68"/>
      <c r="Q522" s="68"/>
      <c r="R522" s="68"/>
      <c r="S522" s="68"/>
    </row>
    <row r="523" spans="1:19" ht="15.75" customHeight="1">
      <c r="A523" s="68"/>
      <c r="B523" s="68"/>
      <c r="D523" s="68"/>
      <c r="E523" s="69"/>
      <c r="K523" s="68"/>
      <c r="L523" s="68"/>
      <c r="M523" s="68"/>
      <c r="O523" s="68"/>
      <c r="P523" s="68"/>
      <c r="Q523" s="68"/>
      <c r="R523" s="68"/>
      <c r="S523" s="68"/>
    </row>
    <row r="524" spans="1:19" ht="15.75" customHeight="1">
      <c r="A524" s="68"/>
      <c r="B524" s="68"/>
      <c r="D524" s="68"/>
      <c r="E524" s="69"/>
      <c r="K524" s="68"/>
      <c r="L524" s="68"/>
      <c r="M524" s="68"/>
      <c r="O524" s="68"/>
      <c r="P524" s="68"/>
      <c r="Q524" s="68"/>
      <c r="R524" s="68"/>
      <c r="S524" s="68"/>
    </row>
    <row r="525" spans="1:19" ht="15.75" customHeight="1">
      <c r="A525" s="68"/>
      <c r="B525" s="68"/>
      <c r="D525" s="68"/>
      <c r="E525" s="69"/>
      <c r="K525" s="68"/>
      <c r="L525" s="68"/>
      <c r="M525" s="68"/>
      <c r="O525" s="68"/>
      <c r="P525" s="68"/>
      <c r="Q525" s="68"/>
      <c r="R525" s="68"/>
      <c r="S525" s="68"/>
    </row>
    <row r="526" spans="1:19" ht="15.75" customHeight="1">
      <c r="A526" s="68"/>
      <c r="B526" s="68"/>
      <c r="D526" s="68"/>
      <c r="E526" s="69"/>
      <c r="K526" s="68"/>
      <c r="L526" s="68"/>
      <c r="M526" s="68"/>
      <c r="O526" s="68"/>
      <c r="P526" s="68"/>
      <c r="Q526" s="68"/>
      <c r="R526" s="68"/>
      <c r="S526" s="68"/>
    </row>
    <row r="527" spans="1:19" ht="15.75" customHeight="1">
      <c r="A527" s="68"/>
      <c r="B527" s="68"/>
      <c r="D527" s="68"/>
      <c r="E527" s="69"/>
      <c r="K527" s="68"/>
      <c r="L527" s="68"/>
      <c r="M527" s="68"/>
      <c r="O527" s="68"/>
      <c r="P527" s="68"/>
      <c r="Q527" s="68"/>
      <c r="R527" s="68"/>
      <c r="S527" s="68"/>
    </row>
    <row r="528" spans="1:19" ht="15.75" customHeight="1">
      <c r="A528" s="68"/>
      <c r="B528" s="68"/>
      <c r="D528" s="68"/>
      <c r="E528" s="69"/>
      <c r="K528" s="68"/>
      <c r="L528" s="68"/>
      <c r="M528" s="68"/>
      <c r="O528" s="68"/>
      <c r="P528" s="68"/>
      <c r="Q528" s="68"/>
      <c r="R528" s="68"/>
      <c r="S528" s="68"/>
    </row>
    <row r="529" spans="1:19" ht="15.75" customHeight="1">
      <c r="A529" s="68"/>
      <c r="B529" s="68"/>
      <c r="D529" s="68"/>
      <c r="E529" s="69"/>
      <c r="K529" s="68"/>
      <c r="L529" s="68"/>
      <c r="M529" s="68"/>
      <c r="O529" s="68"/>
      <c r="P529" s="68"/>
      <c r="Q529" s="68"/>
      <c r="R529" s="68"/>
      <c r="S529" s="68"/>
    </row>
    <row r="530" spans="1:19" ht="15.75" customHeight="1">
      <c r="A530" s="68"/>
      <c r="B530" s="68"/>
      <c r="D530" s="68"/>
      <c r="E530" s="69"/>
      <c r="K530" s="68"/>
      <c r="L530" s="68"/>
      <c r="M530" s="68"/>
      <c r="O530" s="68"/>
      <c r="P530" s="68"/>
      <c r="Q530" s="68"/>
      <c r="R530" s="68"/>
      <c r="S530" s="68"/>
    </row>
    <row r="531" spans="1:19" ht="15.75" customHeight="1">
      <c r="A531" s="68"/>
      <c r="B531" s="68"/>
      <c r="D531" s="68"/>
      <c r="E531" s="69"/>
      <c r="K531" s="68"/>
      <c r="L531" s="68"/>
      <c r="M531" s="68"/>
      <c r="O531" s="68"/>
      <c r="P531" s="68"/>
      <c r="Q531" s="68"/>
      <c r="R531" s="68"/>
      <c r="S531" s="68"/>
    </row>
    <row r="532" spans="1:19" ht="15.75" customHeight="1">
      <c r="A532" s="68"/>
      <c r="B532" s="68"/>
      <c r="D532" s="68"/>
      <c r="E532" s="69"/>
      <c r="K532" s="68"/>
      <c r="L532" s="68"/>
      <c r="M532" s="68"/>
      <c r="O532" s="68"/>
      <c r="P532" s="68"/>
      <c r="Q532" s="68"/>
      <c r="R532" s="68"/>
      <c r="S532" s="68"/>
    </row>
    <row r="533" spans="1:19" ht="15.75" customHeight="1">
      <c r="A533" s="68"/>
      <c r="B533" s="68"/>
      <c r="D533" s="68"/>
      <c r="E533" s="69"/>
      <c r="K533" s="68"/>
      <c r="L533" s="68"/>
      <c r="M533" s="68"/>
      <c r="O533" s="68"/>
      <c r="P533" s="68"/>
      <c r="Q533" s="68"/>
      <c r="R533" s="68"/>
      <c r="S533" s="68"/>
    </row>
    <row r="534" spans="1:19" ht="15.75" customHeight="1">
      <c r="A534" s="68"/>
      <c r="B534" s="68"/>
      <c r="D534" s="68"/>
      <c r="E534" s="69"/>
      <c r="K534" s="68"/>
      <c r="L534" s="68"/>
      <c r="M534" s="68"/>
      <c r="O534" s="68"/>
      <c r="P534" s="68"/>
      <c r="Q534" s="68"/>
      <c r="R534" s="68"/>
      <c r="S534" s="68"/>
    </row>
    <row r="535" spans="1:19" ht="15.75" customHeight="1">
      <c r="A535" s="68"/>
      <c r="B535" s="68"/>
      <c r="D535" s="68"/>
      <c r="E535" s="69"/>
      <c r="K535" s="68"/>
      <c r="L535" s="68"/>
      <c r="M535" s="68"/>
      <c r="O535" s="68"/>
      <c r="P535" s="68"/>
      <c r="Q535" s="68"/>
      <c r="R535" s="68"/>
      <c r="S535" s="68"/>
    </row>
    <row r="536" spans="1:19" ht="15.75" customHeight="1">
      <c r="A536" s="68"/>
      <c r="B536" s="68"/>
      <c r="D536" s="68"/>
      <c r="E536" s="69"/>
      <c r="K536" s="68"/>
      <c r="L536" s="68"/>
      <c r="M536" s="68"/>
      <c r="O536" s="68"/>
      <c r="P536" s="68"/>
      <c r="Q536" s="68"/>
      <c r="R536" s="68"/>
      <c r="S536" s="68"/>
    </row>
    <row r="537" spans="1:19" ht="15.75" customHeight="1">
      <c r="A537" s="68"/>
      <c r="B537" s="68"/>
      <c r="D537" s="68"/>
      <c r="E537" s="69"/>
      <c r="K537" s="68"/>
      <c r="L537" s="68"/>
      <c r="M537" s="68"/>
      <c r="O537" s="68"/>
      <c r="P537" s="68"/>
      <c r="Q537" s="68"/>
      <c r="R537" s="68"/>
      <c r="S537" s="68"/>
    </row>
    <row r="538" spans="1:19" ht="15.75" customHeight="1">
      <c r="A538" s="68"/>
      <c r="B538" s="68"/>
      <c r="D538" s="68"/>
      <c r="E538" s="69"/>
      <c r="K538" s="68"/>
      <c r="L538" s="68"/>
      <c r="M538" s="68"/>
      <c r="O538" s="68"/>
      <c r="P538" s="68"/>
      <c r="Q538" s="68"/>
      <c r="R538" s="68"/>
      <c r="S538" s="68"/>
    </row>
    <row r="539" spans="1:19" ht="15.75" customHeight="1">
      <c r="A539" s="68"/>
      <c r="B539" s="68"/>
      <c r="D539" s="68"/>
      <c r="E539" s="69"/>
      <c r="K539" s="68"/>
      <c r="L539" s="68"/>
      <c r="M539" s="68"/>
      <c r="O539" s="68"/>
      <c r="P539" s="68"/>
      <c r="Q539" s="68"/>
      <c r="R539" s="68"/>
      <c r="S539" s="68"/>
    </row>
    <row r="540" spans="1:19" ht="15.75" customHeight="1">
      <c r="A540" s="68"/>
      <c r="B540" s="68"/>
      <c r="D540" s="68"/>
      <c r="E540" s="69"/>
      <c r="K540" s="68"/>
      <c r="L540" s="68"/>
      <c r="M540" s="68"/>
      <c r="O540" s="68"/>
      <c r="P540" s="68"/>
      <c r="Q540" s="68"/>
      <c r="R540" s="68"/>
      <c r="S540" s="68"/>
    </row>
    <row r="541" spans="1:19" ht="15.75" customHeight="1">
      <c r="A541" s="68"/>
      <c r="B541" s="68"/>
      <c r="D541" s="68"/>
      <c r="E541" s="69"/>
      <c r="K541" s="68"/>
      <c r="L541" s="68"/>
      <c r="M541" s="68"/>
      <c r="O541" s="68"/>
      <c r="P541" s="68"/>
      <c r="Q541" s="68"/>
      <c r="R541" s="68"/>
      <c r="S541" s="68"/>
    </row>
    <row r="542" spans="1:19" ht="15.75" customHeight="1">
      <c r="A542" s="68"/>
      <c r="B542" s="68"/>
      <c r="D542" s="68"/>
      <c r="E542" s="69"/>
      <c r="K542" s="68"/>
      <c r="L542" s="68"/>
      <c r="M542" s="68"/>
      <c r="O542" s="68"/>
      <c r="P542" s="68"/>
      <c r="Q542" s="68"/>
      <c r="R542" s="68"/>
      <c r="S542" s="68"/>
    </row>
    <row r="543" spans="1:19" ht="15.75" customHeight="1">
      <c r="A543" s="68"/>
      <c r="B543" s="68"/>
      <c r="D543" s="68"/>
      <c r="E543" s="69"/>
      <c r="K543" s="68"/>
      <c r="L543" s="68"/>
      <c r="M543" s="68"/>
      <c r="O543" s="68"/>
      <c r="P543" s="68"/>
      <c r="Q543" s="68"/>
      <c r="R543" s="68"/>
      <c r="S543" s="68"/>
    </row>
    <row r="544" spans="1:19" ht="15.75" customHeight="1">
      <c r="A544" s="68"/>
      <c r="B544" s="68"/>
      <c r="D544" s="68"/>
      <c r="E544" s="69"/>
      <c r="K544" s="68"/>
      <c r="L544" s="68"/>
      <c r="M544" s="68"/>
      <c r="O544" s="68"/>
      <c r="P544" s="68"/>
      <c r="Q544" s="68"/>
      <c r="R544" s="68"/>
      <c r="S544" s="68"/>
    </row>
    <row r="545" spans="1:19" ht="15.75" customHeight="1">
      <c r="A545" s="68"/>
      <c r="B545" s="68"/>
      <c r="D545" s="68"/>
      <c r="E545" s="69"/>
      <c r="K545" s="68"/>
      <c r="L545" s="68"/>
      <c r="M545" s="68"/>
      <c r="O545" s="68"/>
      <c r="P545" s="68"/>
      <c r="Q545" s="68"/>
      <c r="R545" s="68"/>
      <c r="S545" s="68"/>
    </row>
    <row r="546" spans="1:19" ht="15.75" customHeight="1">
      <c r="A546" s="68"/>
      <c r="B546" s="68"/>
      <c r="D546" s="68"/>
      <c r="E546" s="69"/>
      <c r="K546" s="68"/>
      <c r="L546" s="68"/>
      <c r="M546" s="68"/>
      <c r="O546" s="68"/>
      <c r="P546" s="68"/>
      <c r="Q546" s="68"/>
      <c r="R546" s="68"/>
      <c r="S546" s="68"/>
    </row>
    <row r="547" spans="1:19" ht="15.75" customHeight="1">
      <c r="A547" s="68"/>
      <c r="B547" s="68"/>
      <c r="D547" s="68"/>
      <c r="E547" s="69"/>
      <c r="K547" s="68"/>
      <c r="L547" s="68"/>
      <c r="M547" s="68"/>
      <c r="O547" s="68"/>
      <c r="P547" s="68"/>
      <c r="Q547" s="68"/>
      <c r="R547" s="68"/>
      <c r="S547" s="68"/>
    </row>
    <row r="548" spans="1:19" ht="15.75" customHeight="1">
      <c r="A548" s="68"/>
      <c r="B548" s="68"/>
      <c r="D548" s="68"/>
      <c r="E548" s="69"/>
      <c r="K548" s="68"/>
      <c r="L548" s="68"/>
      <c r="M548" s="68"/>
      <c r="O548" s="68"/>
      <c r="P548" s="68"/>
      <c r="Q548" s="68"/>
      <c r="R548" s="68"/>
      <c r="S548" s="68"/>
    </row>
    <row r="549" spans="1:19" ht="15.75" customHeight="1">
      <c r="A549" s="68"/>
      <c r="B549" s="68"/>
      <c r="D549" s="68"/>
      <c r="E549" s="69"/>
      <c r="K549" s="68"/>
      <c r="L549" s="68"/>
      <c r="M549" s="68"/>
      <c r="O549" s="68"/>
      <c r="P549" s="68"/>
      <c r="Q549" s="68"/>
      <c r="R549" s="68"/>
      <c r="S549" s="68"/>
    </row>
    <row r="550" spans="1:19" ht="15.75" customHeight="1">
      <c r="A550" s="68"/>
      <c r="B550" s="68"/>
      <c r="D550" s="68"/>
      <c r="E550" s="69"/>
      <c r="K550" s="68"/>
      <c r="L550" s="68"/>
      <c r="M550" s="68"/>
      <c r="O550" s="68"/>
      <c r="P550" s="68"/>
      <c r="Q550" s="68"/>
      <c r="R550" s="68"/>
      <c r="S550" s="68"/>
    </row>
    <row r="551" spans="1:19" ht="15.75" customHeight="1">
      <c r="A551" s="68"/>
      <c r="B551" s="68"/>
      <c r="D551" s="68"/>
      <c r="E551" s="69"/>
      <c r="K551" s="68"/>
      <c r="L551" s="68"/>
      <c r="M551" s="68"/>
      <c r="O551" s="68"/>
      <c r="P551" s="68"/>
      <c r="Q551" s="68"/>
      <c r="R551" s="68"/>
      <c r="S551" s="68"/>
    </row>
    <row r="552" spans="1:19" ht="15.75" customHeight="1">
      <c r="A552" s="68"/>
      <c r="B552" s="68"/>
      <c r="D552" s="68"/>
      <c r="E552" s="69"/>
      <c r="K552" s="68"/>
      <c r="L552" s="68"/>
      <c r="M552" s="68"/>
      <c r="O552" s="68"/>
      <c r="P552" s="68"/>
      <c r="Q552" s="68"/>
      <c r="R552" s="68"/>
      <c r="S552" s="68"/>
    </row>
    <row r="553" spans="1:19" ht="15.75" customHeight="1">
      <c r="A553" s="68"/>
      <c r="B553" s="68"/>
      <c r="D553" s="68"/>
      <c r="E553" s="69"/>
      <c r="K553" s="68"/>
      <c r="L553" s="68"/>
      <c r="M553" s="68"/>
      <c r="O553" s="68"/>
      <c r="P553" s="68"/>
      <c r="Q553" s="68"/>
      <c r="R553" s="68"/>
      <c r="S553" s="68"/>
    </row>
    <row r="554" spans="1:19" ht="15.75" customHeight="1">
      <c r="A554" s="68"/>
      <c r="B554" s="68"/>
      <c r="D554" s="68"/>
      <c r="E554" s="69"/>
      <c r="K554" s="68"/>
      <c r="L554" s="68"/>
      <c r="M554" s="68"/>
      <c r="O554" s="68"/>
      <c r="P554" s="68"/>
      <c r="Q554" s="68"/>
      <c r="R554" s="68"/>
      <c r="S554" s="68"/>
    </row>
    <row r="555" spans="1:19" ht="15.75" customHeight="1">
      <c r="A555" s="68"/>
      <c r="B555" s="68"/>
      <c r="D555" s="68"/>
      <c r="E555" s="69"/>
      <c r="K555" s="68"/>
      <c r="L555" s="68"/>
      <c r="M555" s="68"/>
      <c r="O555" s="68"/>
      <c r="P555" s="68"/>
      <c r="Q555" s="68"/>
      <c r="R555" s="68"/>
      <c r="S555" s="68"/>
    </row>
    <row r="556" spans="1:19" ht="15.75" customHeight="1">
      <c r="A556" s="68"/>
      <c r="B556" s="68"/>
      <c r="D556" s="68"/>
      <c r="E556" s="69"/>
      <c r="K556" s="68"/>
      <c r="L556" s="68"/>
      <c r="M556" s="68"/>
      <c r="O556" s="68"/>
      <c r="P556" s="68"/>
      <c r="Q556" s="68"/>
      <c r="R556" s="68"/>
      <c r="S556" s="68"/>
    </row>
    <row r="557" spans="1:19" ht="15.75" customHeight="1">
      <c r="A557" s="68"/>
      <c r="B557" s="68"/>
      <c r="D557" s="68"/>
      <c r="E557" s="69"/>
      <c r="K557" s="68"/>
      <c r="L557" s="68"/>
      <c r="M557" s="68"/>
      <c r="O557" s="68"/>
      <c r="P557" s="68"/>
      <c r="Q557" s="68"/>
      <c r="R557" s="68"/>
      <c r="S557" s="68"/>
    </row>
    <row r="558" spans="1:19" ht="15.75" customHeight="1">
      <c r="A558" s="68"/>
      <c r="B558" s="68"/>
      <c r="D558" s="68"/>
      <c r="E558" s="69"/>
      <c r="K558" s="68"/>
      <c r="L558" s="68"/>
      <c r="M558" s="68"/>
      <c r="O558" s="68"/>
      <c r="P558" s="68"/>
      <c r="Q558" s="68"/>
      <c r="R558" s="68"/>
      <c r="S558" s="68"/>
    </row>
    <row r="559" spans="1:19" ht="15.75" customHeight="1">
      <c r="A559" s="68"/>
      <c r="B559" s="68"/>
      <c r="D559" s="68"/>
      <c r="E559" s="69"/>
      <c r="K559" s="68"/>
      <c r="L559" s="68"/>
      <c r="M559" s="68"/>
      <c r="O559" s="68"/>
      <c r="P559" s="68"/>
      <c r="Q559" s="68"/>
      <c r="R559" s="68"/>
      <c r="S559" s="68"/>
    </row>
    <row r="560" spans="1:19" ht="15.75" customHeight="1">
      <c r="A560" s="68"/>
      <c r="B560" s="68"/>
      <c r="D560" s="68"/>
      <c r="E560" s="69"/>
      <c r="K560" s="68"/>
      <c r="L560" s="68"/>
      <c r="M560" s="68"/>
      <c r="O560" s="68"/>
      <c r="P560" s="68"/>
      <c r="Q560" s="68"/>
      <c r="R560" s="68"/>
      <c r="S560" s="68"/>
    </row>
    <row r="561" spans="1:19" ht="15.75" customHeight="1">
      <c r="A561" s="68"/>
      <c r="B561" s="68"/>
      <c r="D561" s="68"/>
      <c r="E561" s="69"/>
      <c r="K561" s="68"/>
      <c r="L561" s="68"/>
      <c r="M561" s="68"/>
      <c r="O561" s="68"/>
      <c r="P561" s="68"/>
      <c r="Q561" s="68"/>
      <c r="R561" s="68"/>
      <c r="S561" s="68"/>
    </row>
    <row r="562" spans="1:19" ht="15.75" customHeight="1">
      <c r="A562" s="68"/>
      <c r="B562" s="68"/>
      <c r="D562" s="68"/>
      <c r="E562" s="69"/>
      <c r="K562" s="68"/>
      <c r="L562" s="68"/>
      <c r="M562" s="68"/>
      <c r="O562" s="68"/>
      <c r="P562" s="68"/>
      <c r="Q562" s="68"/>
      <c r="R562" s="68"/>
      <c r="S562" s="68"/>
    </row>
    <row r="563" spans="1:19" ht="15.75" customHeight="1">
      <c r="A563" s="68"/>
      <c r="B563" s="68"/>
      <c r="D563" s="68"/>
      <c r="E563" s="69"/>
      <c r="K563" s="68"/>
      <c r="L563" s="68"/>
      <c r="M563" s="68"/>
      <c r="O563" s="68"/>
      <c r="P563" s="68"/>
      <c r="Q563" s="68"/>
      <c r="R563" s="68"/>
      <c r="S563" s="68"/>
    </row>
    <row r="564" spans="1:19" ht="15.75" customHeight="1">
      <c r="A564" s="68"/>
      <c r="B564" s="68"/>
      <c r="D564" s="68"/>
      <c r="E564" s="69"/>
      <c r="K564" s="68"/>
      <c r="L564" s="68"/>
      <c r="M564" s="68"/>
      <c r="O564" s="68"/>
      <c r="P564" s="68"/>
      <c r="Q564" s="68"/>
      <c r="R564" s="68"/>
      <c r="S564" s="68"/>
    </row>
    <row r="565" spans="1:19" ht="15.75" customHeight="1">
      <c r="A565" s="68"/>
      <c r="B565" s="68"/>
      <c r="D565" s="68"/>
      <c r="E565" s="69"/>
      <c r="K565" s="68"/>
      <c r="L565" s="68"/>
      <c r="M565" s="68"/>
      <c r="O565" s="68"/>
      <c r="P565" s="68"/>
      <c r="Q565" s="68"/>
      <c r="R565" s="68"/>
      <c r="S565" s="68"/>
    </row>
    <row r="566" spans="1:19" ht="15.75" customHeight="1">
      <c r="A566" s="68"/>
      <c r="B566" s="68"/>
      <c r="D566" s="68"/>
      <c r="E566" s="69"/>
      <c r="K566" s="68"/>
      <c r="L566" s="68"/>
      <c r="M566" s="68"/>
      <c r="O566" s="68"/>
      <c r="P566" s="68"/>
      <c r="Q566" s="68"/>
      <c r="R566" s="68"/>
      <c r="S566" s="68"/>
    </row>
    <row r="567" spans="1:19" ht="15.75" customHeight="1">
      <c r="A567" s="68"/>
      <c r="B567" s="68"/>
      <c r="D567" s="68"/>
      <c r="E567" s="69"/>
      <c r="K567" s="68"/>
      <c r="L567" s="68"/>
      <c r="M567" s="68"/>
      <c r="O567" s="68"/>
      <c r="P567" s="68"/>
      <c r="Q567" s="68"/>
      <c r="R567" s="68"/>
      <c r="S567" s="68"/>
    </row>
    <row r="568" spans="1:19" ht="15.75" customHeight="1">
      <c r="A568" s="68"/>
      <c r="B568" s="68"/>
      <c r="D568" s="68"/>
      <c r="E568" s="69"/>
      <c r="K568" s="68"/>
      <c r="L568" s="68"/>
      <c r="M568" s="68"/>
      <c r="O568" s="68"/>
      <c r="P568" s="68"/>
      <c r="Q568" s="68"/>
      <c r="R568" s="68"/>
      <c r="S568" s="68"/>
    </row>
    <row r="569" spans="1:19" ht="15.75" customHeight="1">
      <c r="A569" s="68"/>
      <c r="B569" s="68"/>
      <c r="D569" s="68"/>
      <c r="E569" s="69"/>
      <c r="K569" s="68"/>
      <c r="L569" s="68"/>
      <c r="M569" s="68"/>
      <c r="O569" s="68"/>
      <c r="P569" s="68"/>
      <c r="Q569" s="68"/>
      <c r="R569" s="68"/>
      <c r="S569" s="68"/>
    </row>
    <row r="570" spans="1:19" ht="15.75" customHeight="1">
      <c r="A570" s="68"/>
      <c r="B570" s="68"/>
      <c r="D570" s="68"/>
      <c r="E570" s="69"/>
      <c r="K570" s="68"/>
      <c r="L570" s="68"/>
      <c r="M570" s="68"/>
      <c r="O570" s="68"/>
      <c r="P570" s="68"/>
      <c r="Q570" s="68"/>
      <c r="R570" s="68"/>
      <c r="S570" s="68"/>
    </row>
    <row r="571" spans="1:19" ht="15.75" customHeight="1">
      <c r="A571" s="68"/>
      <c r="B571" s="68"/>
      <c r="D571" s="68"/>
      <c r="E571" s="69"/>
      <c r="K571" s="68"/>
      <c r="L571" s="68"/>
      <c r="M571" s="68"/>
      <c r="O571" s="68"/>
      <c r="P571" s="68"/>
      <c r="Q571" s="68"/>
      <c r="R571" s="68"/>
      <c r="S571" s="68"/>
    </row>
    <row r="572" spans="1:19" ht="15.75" customHeight="1">
      <c r="A572" s="68"/>
      <c r="B572" s="68"/>
      <c r="D572" s="68"/>
      <c r="E572" s="69"/>
      <c r="K572" s="68"/>
      <c r="L572" s="68"/>
      <c r="M572" s="68"/>
      <c r="O572" s="68"/>
      <c r="P572" s="68"/>
      <c r="Q572" s="68"/>
      <c r="R572" s="68"/>
      <c r="S572" s="68"/>
    </row>
    <row r="573" spans="1:19" ht="15.75" customHeight="1">
      <c r="A573" s="68"/>
      <c r="B573" s="68"/>
      <c r="D573" s="68"/>
      <c r="E573" s="69"/>
      <c r="K573" s="68"/>
      <c r="L573" s="68"/>
      <c r="M573" s="68"/>
      <c r="O573" s="68"/>
      <c r="P573" s="68"/>
      <c r="Q573" s="68"/>
      <c r="R573" s="68"/>
      <c r="S573" s="68"/>
    </row>
    <row r="574" spans="1:19" ht="15.75" customHeight="1">
      <c r="A574" s="68"/>
      <c r="B574" s="68"/>
      <c r="D574" s="68"/>
      <c r="E574" s="69"/>
      <c r="K574" s="68"/>
      <c r="L574" s="68"/>
      <c r="M574" s="68"/>
      <c r="O574" s="68"/>
      <c r="P574" s="68"/>
      <c r="Q574" s="68"/>
      <c r="R574" s="68"/>
      <c r="S574" s="68"/>
    </row>
    <row r="575" spans="1:19" ht="15.75" customHeight="1">
      <c r="A575" s="68"/>
      <c r="B575" s="68"/>
      <c r="D575" s="68"/>
      <c r="E575" s="69"/>
      <c r="K575" s="68"/>
      <c r="L575" s="68"/>
      <c r="M575" s="68"/>
      <c r="O575" s="68"/>
      <c r="P575" s="68"/>
      <c r="Q575" s="68"/>
      <c r="R575" s="68"/>
      <c r="S575" s="68"/>
    </row>
    <row r="576" spans="1:19" ht="15.75" customHeight="1">
      <c r="A576" s="68"/>
      <c r="B576" s="68"/>
      <c r="D576" s="68"/>
      <c r="E576" s="69"/>
      <c r="K576" s="68"/>
      <c r="L576" s="68"/>
      <c r="M576" s="68"/>
      <c r="O576" s="68"/>
      <c r="P576" s="68"/>
      <c r="Q576" s="68"/>
      <c r="R576" s="68"/>
      <c r="S576" s="68"/>
    </row>
    <row r="577" spans="1:19" ht="15.75" customHeight="1">
      <c r="A577" s="68"/>
      <c r="B577" s="68"/>
      <c r="D577" s="68"/>
      <c r="E577" s="69"/>
      <c r="K577" s="68"/>
      <c r="L577" s="68"/>
      <c r="M577" s="68"/>
      <c r="O577" s="68"/>
      <c r="P577" s="68"/>
      <c r="Q577" s="68"/>
      <c r="R577" s="68"/>
      <c r="S577" s="68"/>
    </row>
    <row r="578" spans="1:19" ht="15.75" customHeight="1">
      <c r="A578" s="68"/>
      <c r="B578" s="68"/>
      <c r="D578" s="68"/>
      <c r="E578" s="69"/>
      <c r="K578" s="68"/>
      <c r="L578" s="68"/>
      <c r="M578" s="68"/>
      <c r="O578" s="68"/>
      <c r="P578" s="68"/>
      <c r="Q578" s="68"/>
      <c r="R578" s="68"/>
      <c r="S578" s="68"/>
    </row>
    <row r="579" spans="1:19" ht="15.75" customHeight="1">
      <c r="A579" s="68"/>
      <c r="B579" s="68"/>
      <c r="D579" s="68"/>
      <c r="E579" s="69"/>
      <c r="K579" s="68"/>
      <c r="L579" s="68"/>
      <c r="M579" s="68"/>
      <c r="O579" s="68"/>
      <c r="P579" s="68"/>
      <c r="Q579" s="68"/>
      <c r="R579" s="68"/>
      <c r="S579" s="68"/>
    </row>
    <row r="580" spans="1:19" ht="15.75" customHeight="1">
      <c r="A580" s="68"/>
      <c r="B580" s="68"/>
      <c r="D580" s="68"/>
      <c r="E580" s="69"/>
      <c r="K580" s="68"/>
      <c r="L580" s="68"/>
      <c r="M580" s="68"/>
      <c r="O580" s="68"/>
      <c r="P580" s="68"/>
      <c r="Q580" s="68"/>
      <c r="R580" s="68"/>
      <c r="S580" s="68"/>
    </row>
    <row r="581" spans="1:19" ht="15.75" customHeight="1">
      <c r="A581" s="68"/>
      <c r="B581" s="68"/>
      <c r="D581" s="68"/>
      <c r="E581" s="69"/>
      <c r="K581" s="68"/>
      <c r="L581" s="68"/>
      <c r="M581" s="68"/>
      <c r="O581" s="68"/>
      <c r="P581" s="68"/>
      <c r="Q581" s="68"/>
      <c r="R581" s="68"/>
      <c r="S581" s="68"/>
    </row>
    <row r="582" spans="1:19" ht="15.75" customHeight="1">
      <c r="A582" s="68"/>
      <c r="B582" s="68"/>
      <c r="D582" s="68"/>
      <c r="E582" s="69"/>
      <c r="K582" s="68"/>
      <c r="L582" s="68"/>
      <c r="M582" s="68"/>
      <c r="O582" s="68"/>
      <c r="P582" s="68"/>
      <c r="Q582" s="68"/>
      <c r="R582" s="68"/>
      <c r="S582" s="68"/>
    </row>
    <row r="583" spans="1:19" ht="15.75" customHeight="1">
      <c r="A583" s="68"/>
      <c r="B583" s="68"/>
      <c r="D583" s="68"/>
      <c r="E583" s="69"/>
      <c r="K583" s="68"/>
      <c r="L583" s="68"/>
      <c r="M583" s="68"/>
      <c r="O583" s="68"/>
      <c r="P583" s="68"/>
      <c r="Q583" s="68"/>
      <c r="R583" s="68"/>
      <c r="S583" s="68"/>
    </row>
    <row r="584" spans="1:19" ht="15.75" customHeight="1">
      <c r="A584" s="68"/>
      <c r="B584" s="68"/>
      <c r="D584" s="68"/>
      <c r="E584" s="69"/>
      <c r="K584" s="68"/>
      <c r="L584" s="68"/>
      <c r="M584" s="68"/>
      <c r="O584" s="68"/>
      <c r="P584" s="68"/>
      <c r="Q584" s="68"/>
      <c r="R584" s="68"/>
      <c r="S584" s="68"/>
    </row>
    <row r="585" spans="1:19" ht="15.75" customHeight="1">
      <c r="A585" s="68"/>
      <c r="B585" s="68"/>
      <c r="D585" s="68"/>
      <c r="E585" s="69"/>
      <c r="K585" s="68"/>
      <c r="L585" s="68"/>
      <c r="M585" s="68"/>
      <c r="O585" s="68"/>
      <c r="P585" s="68"/>
      <c r="Q585" s="68"/>
      <c r="R585" s="68"/>
      <c r="S585" s="68"/>
    </row>
    <row r="586" spans="1:19" ht="15.75" customHeight="1">
      <c r="A586" s="68"/>
      <c r="B586" s="68"/>
      <c r="D586" s="68"/>
      <c r="E586" s="69"/>
      <c r="K586" s="68"/>
      <c r="L586" s="68"/>
      <c r="M586" s="68"/>
      <c r="O586" s="68"/>
      <c r="P586" s="68"/>
      <c r="Q586" s="68"/>
      <c r="R586" s="68"/>
      <c r="S586" s="68"/>
    </row>
    <row r="587" spans="1:19" ht="15.75" customHeight="1">
      <c r="A587" s="68"/>
      <c r="B587" s="68"/>
      <c r="D587" s="68"/>
      <c r="E587" s="69"/>
      <c r="K587" s="68"/>
      <c r="L587" s="68"/>
      <c r="M587" s="68"/>
      <c r="O587" s="68"/>
      <c r="P587" s="68"/>
      <c r="Q587" s="68"/>
      <c r="R587" s="68"/>
      <c r="S587" s="68"/>
    </row>
    <row r="588" spans="1:19" ht="15.75" customHeight="1">
      <c r="A588" s="68"/>
      <c r="B588" s="68"/>
      <c r="D588" s="68"/>
      <c r="E588" s="69"/>
      <c r="K588" s="68"/>
      <c r="L588" s="68"/>
      <c r="M588" s="68"/>
      <c r="O588" s="68"/>
      <c r="P588" s="68"/>
      <c r="Q588" s="68"/>
      <c r="R588" s="68"/>
      <c r="S588" s="68"/>
    </row>
    <row r="589" spans="1:19" ht="15.75" customHeight="1">
      <c r="A589" s="68"/>
      <c r="B589" s="68"/>
      <c r="D589" s="68"/>
      <c r="E589" s="69"/>
      <c r="K589" s="68"/>
      <c r="L589" s="68"/>
      <c r="M589" s="68"/>
      <c r="O589" s="68"/>
      <c r="P589" s="68"/>
      <c r="Q589" s="68"/>
      <c r="R589" s="68"/>
      <c r="S589" s="68"/>
    </row>
    <row r="590" spans="1:19" ht="15.75" customHeight="1">
      <c r="A590" s="68"/>
      <c r="B590" s="68"/>
      <c r="D590" s="68"/>
      <c r="E590" s="69"/>
      <c r="K590" s="68"/>
      <c r="L590" s="68"/>
      <c r="M590" s="68"/>
      <c r="O590" s="68"/>
      <c r="P590" s="68"/>
      <c r="Q590" s="68"/>
      <c r="R590" s="68"/>
      <c r="S590" s="68"/>
    </row>
    <row r="591" spans="1:19" ht="15.75" customHeight="1">
      <c r="A591" s="68"/>
      <c r="B591" s="68"/>
      <c r="D591" s="68"/>
      <c r="E591" s="69"/>
      <c r="K591" s="68"/>
      <c r="L591" s="68"/>
      <c r="M591" s="68"/>
      <c r="O591" s="68"/>
      <c r="P591" s="68"/>
      <c r="Q591" s="68"/>
      <c r="R591" s="68"/>
      <c r="S591" s="68"/>
    </row>
    <row r="592" spans="1:19" ht="15.75" customHeight="1">
      <c r="A592" s="68"/>
      <c r="B592" s="68"/>
      <c r="D592" s="68"/>
      <c r="E592" s="69"/>
      <c r="K592" s="68"/>
      <c r="L592" s="68"/>
      <c r="M592" s="68"/>
      <c r="O592" s="68"/>
      <c r="P592" s="68"/>
      <c r="Q592" s="68"/>
      <c r="R592" s="68"/>
      <c r="S592" s="68"/>
    </row>
    <row r="593" spans="1:19" ht="15.75" customHeight="1">
      <c r="A593" s="68"/>
      <c r="B593" s="68"/>
      <c r="D593" s="68"/>
      <c r="E593" s="69"/>
      <c r="K593" s="68"/>
      <c r="L593" s="68"/>
      <c r="M593" s="68"/>
      <c r="O593" s="68"/>
      <c r="P593" s="68"/>
      <c r="Q593" s="68"/>
      <c r="R593" s="68"/>
      <c r="S593" s="68"/>
    </row>
    <row r="594" spans="1:19" ht="15.75" customHeight="1">
      <c r="A594" s="68"/>
      <c r="B594" s="68"/>
      <c r="D594" s="68"/>
      <c r="E594" s="69"/>
      <c r="K594" s="68"/>
      <c r="L594" s="68"/>
      <c r="M594" s="68"/>
      <c r="O594" s="68"/>
      <c r="P594" s="68"/>
      <c r="Q594" s="68"/>
      <c r="R594" s="68"/>
      <c r="S594" s="68"/>
    </row>
    <row r="595" spans="1:19" ht="15.75" customHeight="1">
      <c r="A595" s="68"/>
      <c r="B595" s="68"/>
      <c r="D595" s="68"/>
      <c r="E595" s="69"/>
      <c r="K595" s="68"/>
      <c r="L595" s="68"/>
      <c r="M595" s="68"/>
      <c r="O595" s="68"/>
      <c r="P595" s="68"/>
      <c r="Q595" s="68"/>
      <c r="R595" s="68"/>
      <c r="S595" s="68"/>
    </row>
    <row r="596" spans="1:19" ht="15.75" customHeight="1">
      <c r="A596" s="68"/>
      <c r="B596" s="68"/>
      <c r="D596" s="68"/>
      <c r="E596" s="69"/>
      <c r="K596" s="68"/>
      <c r="L596" s="68"/>
      <c r="M596" s="68"/>
      <c r="O596" s="68"/>
      <c r="P596" s="68"/>
      <c r="Q596" s="68"/>
      <c r="R596" s="68"/>
      <c r="S596" s="68"/>
    </row>
    <row r="597" spans="1:19" ht="15.75" customHeight="1">
      <c r="A597" s="68"/>
      <c r="B597" s="68"/>
      <c r="D597" s="68"/>
      <c r="E597" s="69"/>
      <c r="K597" s="68"/>
      <c r="L597" s="68"/>
      <c r="M597" s="68"/>
      <c r="O597" s="68"/>
      <c r="P597" s="68"/>
      <c r="Q597" s="68"/>
      <c r="R597" s="68"/>
      <c r="S597" s="68"/>
    </row>
    <row r="598" spans="1:19" ht="15.75" customHeight="1">
      <c r="A598" s="68"/>
      <c r="B598" s="68"/>
      <c r="D598" s="68"/>
      <c r="E598" s="69"/>
      <c r="K598" s="68"/>
      <c r="L598" s="68"/>
      <c r="M598" s="68"/>
      <c r="O598" s="68"/>
      <c r="P598" s="68"/>
      <c r="Q598" s="68"/>
      <c r="R598" s="68"/>
      <c r="S598" s="68"/>
    </row>
    <row r="599" spans="1:19" ht="15.75" customHeight="1">
      <c r="A599" s="68"/>
      <c r="B599" s="68"/>
      <c r="D599" s="68"/>
      <c r="E599" s="69"/>
      <c r="K599" s="68"/>
      <c r="L599" s="68"/>
      <c r="M599" s="68"/>
      <c r="O599" s="68"/>
      <c r="P599" s="68"/>
      <c r="Q599" s="68"/>
      <c r="R599" s="68"/>
      <c r="S599" s="68"/>
    </row>
    <row r="600" spans="1:19" ht="15.75" customHeight="1">
      <c r="A600" s="68"/>
      <c r="B600" s="68"/>
      <c r="D600" s="68"/>
      <c r="E600" s="69"/>
      <c r="K600" s="68"/>
      <c r="L600" s="68"/>
      <c r="M600" s="68"/>
      <c r="O600" s="68"/>
      <c r="P600" s="68"/>
      <c r="Q600" s="68"/>
      <c r="R600" s="68"/>
      <c r="S600" s="68"/>
    </row>
    <row r="601" spans="1:19" ht="15.75" customHeight="1">
      <c r="A601" s="68"/>
      <c r="B601" s="68"/>
      <c r="D601" s="68"/>
      <c r="E601" s="69"/>
      <c r="K601" s="68"/>
      <c r="L601" s="68"/>
      <c r="M601" s="68"/>
      <c r="O601" s="68"/>
      <c r="P601" s="68"/>
      <c r="Q601" s="68"/>
      <c r="R601" s="68"/>
      <c r="S601" s="68"/>
    </row>
    <row r="602" spans="1:19" ht="15.75" customHeight="1">
      <c r="A602" s="68"/>
      <c r="B602" s="68"/>
      <c r="D602" s="68"/>
      <c r="E602" s="69"/>
      <c r="K602" s="68"/>
      <c r="L602" s="68"/>
      <c r="M602" s="68"/>
      <c r="O602" s="68"/>
      <c r="P602" s="68"/>
      <c r="Q602" s="68"/>
      <c r="R602" s="68"/>
      <c r="S602" s="68"/>
    </row>
    <row r="603" spans="1:19" ht="15.75" customHeight="1">
      <c r="A603" s="68"/>
      <c r="B603" s="68"/>
      <c r="D603" s="68"/>
      <c r="E603" s="69"/>
      <c r="K603" s="68"/>
      <c r="L603" s="68"/>
      <c r="M603" s="68"/>
      <c r="O603" s="68"/>
      <c r="P603" s="68"/>
      <c r="Q603" s="68"/>
      <c r="R603" s="68"/>
      <c r="S603" s="68"/>
    </row>
    <row r="604" spans="1:19" ht="15.75" customHeight="1">
      <c r="A604" s="68"/>
      <c r="B604" s="68"/>
      <c r="D604" s="68"/>
      <c r="E604" s="69"/>
      <c r="K604" s="68"/>
      <c r="L604" s="68"/>
      <c r="M604" s="68"/>
      <c r="O604" s="68"/>
      <c r="P604" s="68"/>
      <c r="Q604" s="68"/>
      <c r="R604" s="68"/>
      <c r="S604" s="68"/>
    </row>
    <row r="605" spans="1:19" ht="15.75" customHeight="1">
      <c r="A605" s="68"/>
      <c r="B605" s="68"/>
      <c r="D605" s="68"/>
      <c r="E605" s="69"/>
      <c r="K605" s="68"/>
      <c r="L605" s="68"/>
      <c r="M605" s="68"/>
      <c r="O605" s="68"/>
      <c r="P605" s="68"/>
      <c r="Q605" s="68"/>
      <c r="R605" s="68"/>
      <c r="S605" s="68"/>
    </row>
    <row r="606" spans="1:19" ht="15.75" customHeight="1">
      <c r="A606" s="68"/>
      <c r="B606" s="68"/>
      <c r="D606" s="68"/>
      <c r="E606" s="69"/>
      <c r="K606" s="68"/>
      <c r="L606" s="68"/>
      <c r="M606" s="68"/>
      <c r="O606" s="68"/>
      <c r="P606" s="68"/>
      <c r="Q606" s="68"/>
      <c r="R606" s="68"/>
      <c r="S606" s="68"/>
    </row>
    <row r="607" spans="1:19" ht="15.75" customHeight="1">
      <c r="A607" s="68"/>
      <c r="B607" s="68"/>
      <c r="D607" s="68"/>
      <c r="E607" s="69"/>
      <c r="K607" s="68"/>
      <c r="L607" s="68"/>
      <c r="M607" s="68"/>
      <c r="O607" s="68"/>
      <c r="P607" s="68"/>
      <c r="Q607" s="68"/>
      <c r="R607" s="68"/>
      <c r="S607" s="68"/>
    </row>
    <row r="608" spans="1:19" ht="15.75" customHeight="1">
      <c r="A608" s="68"/>
      <c r="B608" s="68"/>
      <c r="D608" s="68"/>
      <c r="E608" s="69"/>
      <c r="K608" s="68"/>
      <c r="L608" s="68"/>
      <c r="M608" s="68"/>
      <c r="O608" s="68"/>
      <c r="P608" s="68"/>
      <c r="Q608" s="68"/>
      <c r="R608" s="68"/>
      <c r="S608" s="68"/>
    </row>
    <row r="609" spans="1:19" ht="15.75" customHeight="1">
      <c r="A609" s="68"/>
      <c r="B609" s="68"/>
      <c r="D609" s="68"/>
      <c r="E609" s="69"/>
      <c r="K609" s="68"/>
      <c r="L609" s="68"/>
      <c r="M609" s="68"/>
      <c r="O609" s="68"/>
      <c r="P609" s="68"/>
      <c r="Q609" s="68"/>
      <c r="R609" s="68"/>
      <c r="S609" s="68"/>
    </row>
    <row r="610" spans="1:19" ht="15.75" customHeight="1">
      <c r="A610" s="68"/>
      <c r="B610" s="68"/>
      <c r="D610" s="68"/>
      <c r="E610" s="69"/>
      <c r="K610" s="68"/>
      <c r="L610" s="68"/>
      <c r="M610" s="68"/>
      <c r="O610" s="68"/>
      <c r="P610" s="68"/>
      <c r="Q610" s="68"/>
      <c r="R610" s="68"/>
      <c r="S610" s="68"/>
    </row>
    <row r="611" spans="1:19" ht="15.75" customHeight="1">
      <c r="A611" s="68"/>
      <c r="B611" s="68"/>
      <c r="D611" s="68"/>
      <c r="E611" s="69"/>
      <c r="K611" s="68"/>
      <c r="L611" s="68"/>
      <c r="M611" s="68"/>
      <c r="O611" s="68"/>
      <c r="P611" s="68"/>
      <c r="Q611" s="68"/>
      <c r="R611" s="68"/>
      <c r="S611" s="68"/>
    </row>
    <row r="612" spans="1:19" ht="15.75" customHeight="1">
      <c r="A612" s="68"/>
      <c r="B612" s="68"/>
      <c r="D612" s="68"/>
      <c r="E612" s="69"/>
      <c r="K612" s="68"/>
      <c r="L612" s="68"/>
      <c r="M612" s="68"/>
      <c r="O612" s="68"/>
      <c r="P612" s="68"/>
      <c r="Q612" s="68"/>
      <c r="R612" s="68"/>
      <c r="S612" s="68"/>
    </row>
    <row r="613" spans="1:19" ht="15.75" customHeight="1">
      <c r="A613" s="68"/>
      <c r="B613" s="68"/>
      <c r="D613" s="68"/>
      <c r="E613" s="69"/>
      <c r="K613" s="68"/>
      <c r="L613" s="68"/>
      <c r="M613" s="68"/>
      <c r="O613" s="68"/>
      <c r="P613" s="68"/>
      <c r="Q613" s="68"/>
      <c r="R613" s="68"/>
      <c r="S613" s="68"/>
    </row>
    <row r="614" spans="1:19" ht="15.75" customHeight="1">
      <c r="A614" s="68"/>
      <c r="B614" s="68"/>
      <c r="D614" s="68"/>
      <c r="E614" s="69"/>
      <c r="K614" s="68"/>
      <c r="L614" s="68"/>
      <c r="M614" s="68"/>
      <c r="O614" s="68"/>
      <c r="P614" s="68"/>
      <c r="Q614" s="68"/>
      <c r="R614" s="68"/>
      <c r="S614" s="68"/>
    </row>
    <row r="615" spans="1:19" ht="15.75" customHeight="1">
      <c r="A615" s="68"/>
      <c r="B615" s="68"/>
      <c r="D615" s="68"/>
      <c r="E615" s="69"/>
      <c r="K615" s="68"/>
      <c r="L615" s="68"/>
      <c r="M615" s="68"/>
      <c r="O615" s="68"/>
      <c r="P615" s="68"/>
      <c r="Q615" s="68"/>
      <c r="R615" s="68"/>
      <c r="S615" s="68"/>
    </row>
    <row r="616" spans="1:19" ht="15.75" customHeight="1">
      <c r="A616" s="68"/>
      <c r="B616" s="68"/>
      <c r="D616" s="68"/>
      <c r="E616" s="69"/>
      <c r="K616" s="68"/>
      <c r="L616" s="68"/>
      <c r="M616" s="68"/>
      <c r="O616" s="68"/>
      <c r="P616" s="68"/>
      <c r="Q616" s="68"/>
      <c r="R616" s="68"/>
      <c r="S616" s="68"/>
    </row>
    <row r="617" spans="1:19" ht="15.75" customHeight="1">
      <c r="A617" s="68"/>
      <c r="B617" s="68"/>
      <c r="D617" s="68"/>
      <c r="E617" s="69"/>
      <c r="K617" s="68"/>
      <c r="L617" s="68"/>
      <c r="M617" s="68"/>
      <c r="O617" s="68"/>
      <c r="P617" s="68"/>
      <c r="Q617" s="68"/>
      <c r="R617" s="68"/>
      <c r="S617" s="68"/>
    </row>
    <row r="618" spans="1:19" ht="15.75" customHeight="1">
      <c r="A618" s="68"/>
      <c r="B618" s="68"/>
      <c r="D618" s="68"/>
      <c r="E618" s="69"/>
      <c r="K618" s="68"/>
      <c r="L618" s="68"/>
      <c r="M618" s="68"/>
      <c r="O618" s="68"/>
      <c r="P618" s="68"/>
      <c r="Q618" s="68"/>
      <c r="R618" s="68"/>
      <c r="S618" s="68"/>
    </row>
    <row r="619" spans="1:19" ht="15.75" customHeight="1">
      <c r="A619" s="68"/>
      <c r="B619" s="68"/>
      <c r="D619" s="68"/>
      <c r="E619" s="69"/>
      <c r="K619" s="68"/>
      <c r="L619" s="68"/>
      <c r="M619" s="68"/>
      <c r="O619" s="68"/>
      <c r="P619" s="68"/>
      <c r="Q619" s="68"/>
      <c r="R619" s="68"/>
      <c r="S619" s="68"/>
    </row>
    <row r="620" spans="1:19" ht="15.75" customHeight="1">
      <c r="A620" s="68"/>
      <c r="B620" s="68"/>
      <c r="D620" s="68"/>
      <c r="E620" s="69"/>
      <c r="K620" s="68"/>
      <c r="L620" s="68"/>
      <c r="M620" s="68"/>
      <c r="O620" s="68"/>
      <c r="P620" s="68"/>
      <c r="Q620" s="68"/>
      <c r="R620" s="68"/>
      <c r="S620" s="68"/>
    </row>
    <row r="621" spans="1:19" ht="15.75" customHeight="1">
      <c r="A621" s="68"/>
      <c r="B621" s="68"/>
      <c r="D621" s="68"/>
      <c r="E621" s="69"/>
      <c r="K621" s="68"/>
      <c r="L621" s="68"/>
      <c r="M621" s="68"/>
      <c r="O621" s="68"/>
      <c r="P621" s="68"/>
      <c r="Q621" s="68"/>
      <c r="R621" s="68"/>
      <c r="S621" s="68"/>
    </row>
    <row r="622" spans="1:19" ht="15.75" customHeight="1">
      <c r="A622" s="68"/>
      <c r="B622" s="68"/>
      <c r="D622" s="68"/>
      <c r="E622" s="69"/>
      <c r="K622" s="68"/>
      <c r="L622" s="68"/>
      <c r="M622" s="68"/>
      <c r="O622" s="68"/>
      <c r="P622" s="68"/>
      <c r="Q622" s="68"/>
      <c r="R622" s="68"/>
      <c r="S622" s="68"/>
    </row>
    <row r="623" spans="1:19" ht="15.75" customHeight="1">
      <c r="A623" s="68"/>
      <c r="B623" s="68"/>
      <c r="D623" s="68"/>
      <c r="E623" s="69"/>
      <c r="K623" s="68"/>
      <c r="L623" s="68"/>
      <c r="M623" s="68"/>
      <c r="O623" s="68"/>
      <c r="P623" s="68"/>
      <c r="Q623" s="68"/>
      <c r="R623" s="68"/>
      <c r="S623" s="68"/>
    </row>
    <row r="624" spans="1:19" ht="15.75" customHeight="1">
      <c r="A624" s="68"/>
      <c r="B624" s="68"/>
      <c r="D624" s="68"/>
      <c r="E624" s="69"/>
      <c r="K624" s="68"/>
      <c r="L624" s="68"/>
      <c r="M624" s="68"/>
      <c r="O624" s="68"/>
      <c r="P624" s="68"/>
      <c r="Q624" s="68"/>
      <c r="R624" s="68"/>
      <c r="S624" s="68"/>
    </row>
    <row r="625" spans="1:19" ht="15.75" customHeight="1">
      <c r="A625" s="68"/>
      <c r="B625" s="68"/>
      <c r="D625" s="68"/>
      <c r="E625" s="69"/>
      <c r="K625" s="68"/>
      <c r="L625" s="68"/>
      <c r="M625" s="68"/>
      <c r="O625" s="68"/>
      <c r="P625" s="68"/>
      <c r="Q625" s="68"/>
      <c r="R625" s="68"/>
      <c r="S625" s="68"/>
    </row>
    <row r="626" spans="1:19" ht="15.75" customHeight="1">
      <c r="A626" s="68"/>
      <c r="B626" s="68"/>
      <c r="D626" s="68"/>
      <c r="E626" s="69"/>
      <c r="K626" s="68"/>
      <c r="L626" s="68"/>
      <c r="M626" s="68"/>
      <c r="O626" s="68"/>
      <c r="P626" s="68"/>
      <c r="Q626" s="68"/>
      <c r="R626" s="68"/>
      <c r="S626" s="68"/>
    </row>
    <row r="627" spans="1:19" ht="15.75" customHeight="1">
      <c r="A627" s="68"/>
      <c r="B627" s="68"/>
      <c r="D627" s="68"/>
      <c r="E627" s="69"/>
      <c r="K627" s="68"/>
      <c r="L627" s="68"/>
      <c r="M627" s="68"/>
      <c r="O627" s="68"/>
      <c r="P627" s="68"/>
      <c r="Q627" s="68"/>
      <c r="R627" s="68"/>
      <c r="S627" s="68"/>
    </row>
    <row r="628" spans="1:19" ht="15.75" customHeight="1">
      <c r="A628" s="68"/>
      <c r="B628" s="68"/>
      <c r="D628" s="68"/>
      <c r="E628" s="69"/>
      <c r="K628" s="68"/>
      <c r="L628" s="68"/>
      <c r="M628" s="68"/>
      <c r="O628" s="68"/>
      <c r="P628" s="68"/>
      <c r="Q628" s="68"/>
      <c r="R628" s="68"/>
      <c r="S628" s="68"/>
    </row>
    <row r="629" spans="1:19" ht="15.75" customHeight="1">
      <c r="A629" s="68"/>
      <c r="B629" s="68"/>
      <c r="D629" s="68"/>
      <c r="E629" s="69"/>
      <c r="K629" s="68"/>
      <c r="L629" s="68"/>
      <c r="M629" s="68"/>
      <c r="O629" s="68"/>
      <c r="P629" s="68"/>
      <c r="Q629" s="68"/>
      <c r="R629" s="68"/>
      <c r="S629" s="68"/>
    </row>
    <row r="630" spans="1:19" ht="15.75" customHeight="1">
      <c r="A630" s="68"/>
      <c r="B630" s="68"/>
      <c r="D630" s="68"/>
      <c r="E630" s="69"/>
      <c r="K630" s="68"/>
      <c r="L630" s="68"/>
      <c r="M630" s="68"/>
      <c r="O630" s="68"/>
      <c r="P630" s="68"/>
      <c r="Q630" s="68"/>
      <c r="R630" s="68"/>
      <c r="S630" s="68"/>
    </row>
    <row r="631" spans="1:19" ht="15.75" customHeight="1">
      <c r="A631" s="68"/>
      <c r="B631" s="68"/>
      <c r="D631" s="68"/>
      <c r="E631" s="69"/>
      <c r="K631" s="68"/>
      <c r="L631" s="68"/>
      <c r="M631" s="68"/>
      <c r="O631" s="68"/>
      <c r="P631" s="68"/>
      <c r="Q631" s="68"/>
      <c r="R631" s="68"/>
      <c r="S631" s="68"/>
    </row>
    <row r="632" spans="1:19" ht="15.75" customHeight="1">
      <c r="A632" s="68"/>
      <c r="B632" s="68"/>
      <c r="D632" s="68"/>
      <c r="E632" s="69"/>
      <c r="K632" s="68"/>
      <c r="L632" s="68"/>
      <c r="M632" s="68"/>
      <c r="O632" s="68"/>
      <c r="P632" s="68"/>
      <c r="Q632" s="68"/>
      <c r="R632" s="68"/>
      <c r="S632" s="68"/>
    </row>
    <row r="633" spans="1:19" ht="15.75" customHeight="1">
      <c r="A633" s="68"/>
      <c r="B633" s="68"/>
      <c r="D633" s="68"/>
      <c r="E633" s="69"/>
      <c r="K633" s="68"/>
      <c r="L633" s="68"/>
      <c r="M633" s="68"/>
      <c r="O633" s="68"/>
      <c r="P633" s="68"/>
      <c r="Q633" s="68"/>
      <c r="R633" s="68"/>
      <c r="S633" s="68"/>
    </row>
    <row r="634" spans="1:19" ht="15.75" customHeight="1">
      <c r="A634" s="68"/>
      <c r="B634" s="68"/>
      <c r="D634" s="68"/>
      <c r="E634" s="69"/>
      <c r="K634" s="68"/>
      <c r="L634" s="68"/>
      <c r="M634" s="68"/>
      <c r="O634" s="68"/>
      <c r="P634" s="68"/>
      <c r="Q634" s="68"/>
      <c r="R634" s="68"/>
      <c r="S634" s="68"/>
    </row>
    <row r="635" spans="1:19" ht="15.75" customHeight="1">
      <c r="A635" s="68"/>
      <c r="B635" s="68"/>
      <c r="D635" s="68"/>
      <c r="E635" s="69"/>
      <c r="K635" s="68"/>
      <c r="L635" s="68"/>
      <c r="M635" s="68"/>
      <c r="O635" s="68"/>
      <c r="P635" s="68"/>
      <c r="Q635" s="68"/>
      <c r="R635" s="68"/>
      <c r="S635" s="68"/>
    </row>
    <row r="636" spans="1:19" ht="15.75" customHeight="1">
      <c r="A636" s="68"/>
      <c r="B636" s="68"/>
      <c r="D636" s="68"/>
      <c r="E636" s="69"/>
      <c r="K636" s="68"/>
      <c r="L636" s="68"/>
      <c r="M636" s="68"/>
      <c r="O636" s="68"/>
      <c r="P636" s="68"/>
      <c r="Q636" s="68"/>
      <c r="R636" s="68"/>
      <c r="S636" s="68"/>
    </row>
    <row r="637" spans="1:19" ht="15.75" customHeight="1">
      <c r="A637" s="68"/>
      <c r="B637" s="68"/>
      <c r="D637" s="68"/>
      <c r="E637" s="69"/>
      <c r="K637" s="68"/>
      <c r="L637" s="68"/>
      <c r="M637" s="68"/>
      <c r="O637" s="68"/>
      <c r="P637" s="68"/>
      <c r="Q637" s="68"/>
      <c r="R637" s="68"/>
      <c r="S637" s="68"/>
    </row>
    <row r="638" spans="1:19" ht="15.75" customHeight="1">
      <c r="A638" s="68"/>
      <c r="B638" s="68"/>
      <c r="D638" s="68"/>
      <c r="E638" s="69"/>
      <c r="K638" s="68"/>
      <c r="L638" s="68"/>
      <c r="M638" s="68"/>
      <c r="O638" s="68"/>
      <c r="P638" s="68"/>
      <c r="Q638" s="68"/>
      <c r="R638" s="68"/>
      <c r="S638" s="68"/>
    </row>
    <row r="639" spans="1:19" ht="15.75" customHeight="1">
      <c r="A639" s="68"/>
      <c r="B639" s="68"/>
      <c r="D639" s="68"/>
      <c r="E639" s="69"/>
      <c r="K639" s="68"/>
      <c r="L639" s="68"/>
      <c r="M639" s="68"/>
      <c r="O639" s="68"/>
      <c r="P639" s="68"/>
      <c r="Q639" s="68"/>
      <c r="R639" s="68"/>
      <c r="S639" s="68"/>
    </row>
    <row r="640" spans="1:19" ht="15.75" customHeight="1">
      <c r="A640" s="68"/>
      <c r="B640" s="68"/>
      <c r="D640" s="68"/>
      <c r="E640" s="69"/>
      <c r="K640" s="68"/>
      <c r="L640" s="68"/>
      <c r="M640" s="68"/>
      <c r="O640" s="68"/>
      <c r="P640" s="68"/>
      <c r="Q640" s="68"/>
      <c r="R640" s="68"/>
      <c r="S640" s="68"/>
    </row>
    <row r="641" spans="1:19" ht="15.75" customHeight="1">
      <c r="A641" s="68"/>
      <c r="B641" s="68"/>
      <c r="D641" s="68"/>
      <c r="E641" s="69"/>
      <c r="K641" s="68"/>
      <c r="L641" s="68"/>
      <c r="M641" s="68"/>
      <c r="O641" s="68"/>
      <c r="P641" s="68"/>
      <c r="Q641" s="68"/>
      <c r="R641" s="68"/>
      <c r="S641" s="68"/>
    </row>
    <row r="642" spans="1:19" ht="15.75" customHeight="1">
      <c r="A642" s="68"/>
      <c r="B642" s="68"/>
      <c r="D642" s="68"/>
      <c r="E642" s="69"/>
      <c r="K642" s="68"/>
      <c r="L642" s="68"/>
      <c r="M642" s="68"/>
      <c r="O642" s="68"/>
      <c r="P642" s="68"/>
      <c r="Q642" s="68"/>
      <c r="R642" s="68"/>
      <c r="S642" s="68"/>
    </row>
    <row r="643" spans="1:19" ht="15.75" customHeight="1">
      <c r="A643" s="68"/>
      <c r="B643" s="68"/>
      <c r="D643" s="68"/>
      <c r="E643" s="69"/>
      <c r="K643" s="68"/>
      <c r="L643" s="68"/>
      <c r="M643" s="68"/>
      <c r="O643" s="68"/>
      <c r="P643" s="68"/>
      <c r="Q643" s="68"/>
      <c r="R643" s="68"/>
      <c r="S643" s="68"/>
    </row>
    <row r="644" spans="1:19" ht="15.75" customHeight="1">
      <c r="A644" s="68"/>
      <c r="B644" s="68"/>
      <c r="D644" s="68"/>
      <c r="E644" s="69"/>
      <c r="K644" s="68"/>
      <c r="L644" s="68"/>
      <c r="M644" s="68"/>
      <c r="O644" s="68"/>
      <c r="P644" s="68"/>
      <c r="Q644" s="68"/>
      <c r="R644" s="68"/>
      <c r="S644" s="68"/>
    </row>
    <row r="645" spans="1:19" ht="15.75" customHeight="1">
      <c r="A645" s="68"/>
      <c r="B645" s="68"/>
      <c r="D645" s="68"/>
      <c r="E645" s="69"/>
      <c r="K645" s="68"/>
      <c r="L645" s="68"/>
      <c r="M645" s="68"/>
      <c r="O645" s="68"/>
      <c r="P645" s="68"/>
      <c r="Q645" s="68"/>
      <c r="R645" s="68"/>
      <c r="S645" s="68"/>
    </row>
    <row r="646" spans="1:19" ht="15.75" customHeight="1">
      <c r="A646" s="68"/>
      <c r="B646" s="68"/>
      <c r="D646" s="68"/>
      <c r="E646" s="69"/>
      <c r="K646" s="68"/>
      <c r="L646" s="68"/>
      <c r="M646" s="68"/>
      <c r="O646" s="68"/>
      <c r="P646" s="68"/>
      <c r="Q646" s="68"/>
      <c r="R646" s="68"/>
      <c r="S646" s="68"/>
    </row>
    <row r="647" spans="1:19" ht="15.75" customHeight="1">
      <c r="A647" s="68"/>
      <c r="B647" s="68"/>
      <c r="D647" s="68"/>
      <c r="E647" s="69"/>
      <c r="K647" s="68"/>
      <c r="L647" s="68"/>
      <c r="M647" s="68"/>
      <c r="O647" s="68"/>
      <c r="P647" s="68"/>
      <c r="Q647" s="68"/>
      <c r="R647" s="68"/>
      <c r="S647" s="68"/>
    </row>
    <row r="648" spans="1:19" ht="15.75" customHeight="1">
      <c r="A648" s="68"/>
      <c r="B648" s="68"/>
      <c r="D648" s="68"/>
      <c r="E648" s="69"/>
      <c r="K648" s="68"/>
      <c r="L648" s="68"/>
      <c r="M648" s="68"/>
      <c r="O648" s="68"/>
      <c r="P648" s="68"/>
      <c r="Q648" s="68"/>
      <c r="R648" s="68"/>
      <c r="S648" s="68"/>
    </row>
    <row r="649" spans="1:19" ht="15.75" customHeight="1">
      <c r="A649" s="68"/>
      <c r="B649" s="68"/>
      <c r="D649" s="68"/>
      <c r="E649" s="69"/>
      <c r="K649" s="68"/>
      <c r="L649" s="68"/>
      <c r="M649" s="68"/>
      <c r="O649" s="68"/>
      <c r="P649" s="68"/>
      <c r="Q649" s="68"/>
      <c r="R649" s="68"/>
      <c r="S649" s="68"/>
    </row>
    <row r="650" spans="1:19" ht="15.75" customHeight="1">
      <c r="A650" s="68"/>
      <c r="B650" s="68"/>
      <c r="D650" s="68"/>
      <c r="E650" s="69"/>
      <c r="K650" s="68"/>
      <c r="L650" s="68"/>
      <c r="M650" s="68"/>
      <c r="O650" s="68"/>
      <c r="P650" s="68"/>
      <c r="Q650" s="68"/>
      <c r="R650" s="68"/>
      <c r="S650" s="68"/>
    </row>
    <row r="651" spans="1:19" ht="15.75" customHeight="1">
      <c r="A651" s="68"/>
      <c r="B651" s="68"/>
      <c r="D651" s="68"/>
      <c r="E651" s="69"/>
      <c r="K651" s="68"/>
      <c r="L651" s="68"/>
      <c r="M651" s="68"/>
      <c r="O651" s="68"/>
      <c r="P651" s="68"/>
      <c r="Q651" s="68"/>
      <c r="R651" s="68"/>
      <c r="S651" s="68"/>
    </row>
    <row r="652" spans="1:19" ht="15.75" customHeight="1">
      <c r="A652" s="68"/>
      <c r="B652" s="68"/>
      <c r="D652" s="68"/>
      <c r="E652" s="69"/>
      <c r="K652" s="68"/>
      <c r="L652" s="68"/>
      <c r="M652" s="68"/>
      <c r="O652" s="68"/>
      <c r="P652" s="68"/>
      <c r="Q652" s="68"/>
      <c r="R652" s="68"/>
      <c r="S652" s="68"/>
    </row>
    <row r="653" spans="1:19" ht="15.75" customHeight="1">
      <c r="A653" s="68"/>
      <c r="B653" s="68"/>
      <c r="D653" s="68"/>
      <c r="E653" s="69"/>
      <c r="K653" s="68"/>
      <c r="L653" s="68"/>
      <c r="M653" s="68"/>
      <c r="O653" s="68"/>
      <c r="P653" s="68"/>
      <c r="Q653" s="68"/>
      <c r="R653" s="68"/>
      <c r="S653" s="68"/>
    </row>
    <row r="654" spans="1:19" ht="15.75" customHeight="1">
      <c r="A654" s="68"/>
      <c r="B654" s="68"/>
      <c r="D654" s="68"/>
      <c r="E654" s="69"/>
      <c r="K654" s="68"/>
      <c r="L654" s="68"/>
      <c r="M654" s="68"/>
      <c r="O654" s="68"/>
      <c r="P654" s="68"/>
      <c r="Q654" s="68"/>
      <c r="R654" s="68"/>
      <c r="S654" s="68"/>
    </row>
    <row r="655" spans="1:19" ht="15.75" customHeight="1">
      <c r="A655" s="68"/>
      <c r="B655" s="68"/>
      <c r="D655" s="68"/>
      <c r="E655" s="69"/>
      <c r="K655" s="68"/>
      <c r="L655" s="68"/>
      <c r="M655" s="68"/>
      <c r="O655" s="68"/>
      <c r="P655" s="68"/>
      <c r="Q655" s="68"/>
      <c r="R655" s="68"/>
      <c r="S655" s="68"/>
    </row>
    <row r="656" spans="1:19" ht="15.75" customHeight="1">
      <c r="A656" s="68"/>
      <c r="B656" s="68"/>
      <c r="D656" s="68"/>
      <c r="E656" s="69"/>
      <c r="K656" s="68"/>
      <c r="L656" s="68"/>
      <c r="M656" s="68"/>
      <c r="O656" s="68"/>
      <c r="P656" s="68"/>
      <c r="Q656" s="68"/>
      <c r="R656" s="68"/>
      <c r="S656" s="68"/>
    </row>
    <row r="657" spans="1:19" ht="15.75" customHeight="1">
      <c r="A657" s="68"/>
      <c r="B657" s="68"/>
      <c r="D657" s="68"/>
      <c r="E657" s="69"/>
      <c r="K657" s="68"/>
      <c r="L657" s="68"/>
      <c r="M657" s="68"/>
      <c r="O657" s="68"/>
      <c r="P657" s="68"/>
      <c r="Q657" s="68"/>
      <c r="R657" s="68"/>
      <c r="S657" s="68"/>
    </row>
    <row r="658" spans="1:19" ht="15.75" customHeight="1">
      <c r="A658" s="68"/>
      <c r="B658" s="68"/>
      <c r="D658" s="68"/>
      <c r="E658" s="69"/>
      <c r="K658" s="68"/>
      <c r="L658" s="68"/>
      <c r="M658" s="68"/>
      <c r="O658" s="68"/>
      <c r="P658" s="68"/>
      <c r="Q658" s="68"/>
      <c r="R658" s="68"/>
      <c r="S658" s="68"/>
    </row>
    <row r="659" spans="1:19" ht="15.75" customHeight="1">
      <c r="A659" s="68"/>
      <c r="B659" s="68"/>
      <c r="D659" s="68"/>
      <c r="E659" s="69"/>
      <c r="K659" s="68"/>
      <c r="L659" s="68"/>
      <c r="M659" s="68"/>
      <c r="O659" s="68"/>
      <c r="P659" s="68"/>
      <c r="Q659" s="68"/>
      <c r="R659" s="68"/>
      <c r="S659" s="68"/>
    </row>
    <row r="660" spans="1:19" ht="15.75" customHeight="1">
      <c r="A660" s="68"/>
      <c r="B660" s="68"/>
      <c r="D660" s="68"/>
      <c r="E660" s="69"/>
      <c r="K660" s="68"/>
      <c r="L660" s="68"/>
      <c r="M660" s="68"/>
      <c r="O660" s="68"/>
      <c r="P660" s="68"/>
      <c r="Q660" s="68"/>
      <c r="R660" s="68"/>
      <c r="S660" s="68"/>
    </row>
    <row r="661" spans="1:19" ht="15.75" customHeight="1">
      <c r="A661" s="68"/>
      <c r="B661" s="68"/>
      <c r="D661" s="68"/>
      <c r="E661" s="69"/>
      <c r="K661" s="68"/>
      <c r="L661" s="68"/>
      <c r="M661" s="68"/>
      <c r="O661" s="68"/>
      <c r="P661" s="68"/>
      <c r="Q661" s="68"/>
      <c r="R661" s="68"/>
      <c r="S661" s="68"/>
    </row>
    <row r="662" spans="1:19" ht="15.75" customHeight="1">
      <c r="A662" s="68"/>
      <c r="B662" s="68"/>
      <c r="D662" s="68"/>
      <c r="E662" s="69"/>
      <c r="K662" s="68"/>
      <c r="L662" s="68"/>
      <c r="M662" s="68"/>
      <c r="O662" s="68"/>
      <c r="P662" s="68"/>
      <c r="Q662" s="68"/>
      <c r="R662" s="68"/>
      <c r="S662" s="68"/>
    </row>
    <row r="663" spans="1:19" ht="15.75" customHeight="1">
      <c r="A663" s="68"/>
      <c r="B663" s="68"/>
      <c r="D663" s="68"/>
      <c r="E663" s="69"/>
      <c r="K663" s="68"/>
      <c r="L663" s="68"/>
      <c r="M663" s="68"/>
      <c r="O663" s="68"/>
      <c r="P663" s="68"/>
      <c r="Q663" s="68"/>
      <c r="R663" s="68"/>
      <c r="S663" s="68"/>
    </row>
    <row r="664" spans="1:19" ht="15.75" customHeight="1">
      <c r="A664" s="68"/>
      <c r="B664" s="68"/>
      <c r="D664" s="68"/>
      <c r="E664" s="69"/>
      <c r="K664" s="68"/>
      <c r="L664" s="68"/>
      <c r="M664" s="68"/>
      <c r="O664" s="68"/>
      <c r="P664" s="68"/>
      <c r="Q664" s="68"/>
      <c r="R664" s="68"/>
      <c r="S664" s="68"/>
    </row>
    <row r="665" spans="1:19" ht="15.75" customHeight="1">
      <c r="A665" s="68"/>
      <c r="B665" s="68"/>
      <c r="D665" s="68"/>
      <c r="E665" s="69"/>
      <c r="K665" s="68"/>
      <c r="L665" s="68"/>
      <c r="M665" s="68"/>
      <c r="O665" s="68"/>
      <c r="P665" s="68"/>
      <c r="Q665" s="68"/>
      <c r="R665" s="68"/>
      <c r="S665" s="68"/>
    </row>
    <row r="666" spans="1:19" ht="15.75" customHeight="1">
      <c r="A666" s="68"/>
      <c r="B666" s="68"/>
      <c r="D666" s="68"/>
      <c r="E666" s="69"/>
      <c r="K666" s="68"/>
      <c r="L666" s="68"/>
      <c r="M666" s="68"/>
      <c r="O666" s="68"/>
      <c r="P666" s="68"/>
      <c r="Q666" s="68"/>
      <c r="R666" s="68"/>
      <c r="S666" s="68"/>
    </row>
    <row r="667" spans="1:19" ht="15.75" customHeight="1">
      <c r="A667" s="68"/>
      <c r="B667" s="68"/>
      <c r="D667" s="68"/>
      <c r="E667" s="69"/>
      <c r="K667" s="68"/>
      <c r="L667" s="68"/>
      <c r="M667" s="68"/>
      <c r="O667" s="68"/>
      <c r="P667" s="68"/>
      <c r="Q667" s="68"/>
      <c r="R667" s="68"/>
      <c r="S667" s="68"/>
    </row>
    <row r="668" spans="1:19" ht="15.75" customHeight="1">
      <c r="A668" s="68"/>
      <c r="B668" s="68"/>
      <c r="D668" s="68"/>
      <c r="E668" s="69"/>
      <c r="K668" s="68"/>
      <c r="L668" s="68"/>
      <c r="M668" s="68"/>
      <c r="O668" s="68"/>
      <c r="P668" s="68"/>
      <c r="Q668" s="68"/>
      <c r="R668" s="68"/>
      <c r="S668" s="68"/>
    </row>
    <row r="669" spans="1:19" ht="15.75" customHeight="1">
      <c r="A669" s="68"/>
      <c r="B669" s="68"/>
      <c r="D669" s="68"/>
      <c r="E669" s="69"/>
      <c r="K669" s="68"/>
      <c r="L669" s="68"/>
      <c r="M669" s="68"/>
      <c r="O669" s="68"/>
      <c r="P669" s="68"/>
      <c r="Q669" s="68"/>
      <c r="R669" s="68"/>
      <c r="S669" s="68"/>
    </row>
    <row r="670" spans="1:19" ht="15.75" customHeight="1">
      <c r="A670" s="68"/>
      <c r="B670" s="68"/>
      <c r="D670" s="68"/>
      <c r="E670" s="69"/>
      <c r="K670" s="68"/>
      <c r="L670" s="68"/>
      <c r="M670" s="68"/>
      <c r="O670" s="68"/>
      <c r="P670" s="68"/>
      <c r="Q670" s="68"/>
      <c r="R670" s="68"/>
      <c r="S670" s="68"/>
    </row>
    <row r="671" spans="1:19" ht="15.75" customHeight="1">
      <c r="A671" s="68"/>
      <c r="B671" s="68"/>
      <c r="D671" s="68"/>
      <c r="E671" s="69"/>
      <c r="K671" s="68"/>
      <c r="L671" s="68"/>
      <c r="M671" s="68"/>
      <c r="O671" s="68"/>
      <c r="P671" s="68"/>
      <c r="Q671" s="68"/>
      <c r="R671" s="68"/>
      <c r="S671" s="68"/>
    </row>
    <row r="672" spans="1:19" ht="15.75" customHeight="1">
      <c r="A672" s="68"/>
      <c r="B672" s="68"/>
      <c r="D672" s="68"/>
      <c r="E672" s="69"/>
      <c r="K672" s="68"/>
      <c r="L672" s="68"/>
      <c r="M672" s="68"/>
      <c r="O672" s="68"/>
      <c r="P672" s="68"/>
      <c r="Q672" s="68"/>
      <c r="R672" s="68"/>
      <c r="S672" s="68"/>
    </row>
    <row r="673" spans="1:19" ht="15.75" customHeight="1">
      <c r="A673" s="68"/>
      <c r="B673" s="68"/>
      <c r="D673" s="68"/>
      <c r="E673" s="69"/>
      <c r="K673" s="68"/>
      <c r="L673" s="68"/>
      <c r="M673" s="68"/>
      <c r="O673" s="68"/>
      <c r="P673" s="68"/>
      <c r="Q673" s="68"/>
      <c r="R673" s="68"/>
      <c r="S673" s="68"/>
    </row>
    <row r="674" spans="1:19" ht="15.75" customHeight="1">
      <c r="A674" s="68"/>
      <c r="B674" s="68"/>
      <c r="D674" s="68"/>
      <c r="E674" s="69"/>
      <c r="K674" s="68"/>
      <c r="L674" s="68"/>
      <c r="M674" s="68"/>
      <c r="O674" s="68"/>
      <c r="P674" s="68"/>
      <c r="Q674" s="68"/>
      <c r="R674" s="68"/>
      <c r="S674" s="68"/>
    </row>
    <row r="675" spans="1:19" ht="15.75" customHeight="1">
      <c r="A675" s="68"/>
      <c r="B675" s="68"/>
      <c r="D675" s="68"/>
      <c r="E675" s="69"/>
      <c r="K675" s="68"/>
      <c r="L675" s="68"/>
      <c r="M675" s="68"/>
      <c r="O675" s="68"/>
      <c r="P675" s="68"/>
      <c r="Q675" s="68"/>
      <c r="R675" s="68"/>
      <c r="S675" s="68"/>
    </row>
    <row r="676" spans="1:19" ht="15.75" customHeight="1">
      <c r="A676" s="68"/>
      <c r="B676" s="68"/>
      <c r="D676" s="68"/>
      <c r="E676" s="69"/>
      <c r="K676" s="68"/>
      <c r="L676" s="68"/>
      <c r="M676" s="68"/>
      <c r="O676" s="68"/>
      <c r="P676" s="68"/>
      <c r="Q676" s="68"/>
      <c r="R676" s="68"/>
      <c r="S676" s="68"/>
    </row>
    <row r="677" spans="1:19" ht="15.75" customHeight="1">
      <c r="A677" s="68"/>
      <c r="B677" s="68"/>
      <c r="D677" s="68"/>
      <c r="E677" s="69"/>
      <c r="K677" s="68"/>
      <c r="L677" s="68"/>
      <c r="M677" s="68"/>
      <c r="O677" s="68"/>
      <c r="P677" s="68"/>
      <c r="Q677" s="68"/>
      <c r="R677" s="68"/>
      <c r="S677" s="68"/>
    </row>
    <row r="678" spans="1:19" ht="15.75" customHeight="1">
      <c r="A678" s="68"/>
      <c r="B678" s="68"/>
      <c r="D678" s="68"/>
      <c r="E678" s="69"/>
      <c r="K678" s="68"/>
      <c r="L678" s="68"/>
      <c r="M678" s="68"/>
      <c r="O678" s="68"/>
      <c r="P678" s="68"/>
      <c r="Q678" s="68"/>
      <c r="R678" s="68"/>
      <c r="S678" s="68"/>
    </row>
    <row r="679" spans="1:19" ht="15.75" customHeight="1">
      <c r="A679" s="68"/>
      <c r="B679" s="68"/>
      <c r="D679" s="68"/>
      <c r="E679" s="69"/>
      <c r="K679" s="68"/>
      <c r="L679" s="68"/>
      <c r="M679" s="68"/>
      <c r="O679" s="68"/>
      <c r="P679" s="68"/>
      <c r="Q679" s="68"/>
      <c r="R679" s="68"/>
      <c r="S679" s="68"/>
    </row>
    <row r="680" spans="1:19" ht="15.75" customHeight="1">
      <c r="A680" s="68"/>
      <c r="B680" s="68"/>
      <c r="D680" s="68"/>
      <c r="E680" s="69"/>
      <c r="K680" s="68"/>
      <c r="L680" s="68"/>
      <c r="M680" s="68"/>
      <c r="O680" s="68"/>
      <c r="P680" s="68"/>
      <c r="Q680" s="68"/>
      <c r="R680" s="68"/>
      <c r="S680" s="68"/>
    </row>
    <row r="681" spans="1:19" ht="15.75" customHeight="1">
      <c r="A681" s="68"/>
      <c r="B681" s="68"/>
      <c r="D681" s="68"/>
      <c r="E681" s="69"/>
      <c r="K681" s="68"/>
      <c r="L681" s="68"/>
      <c r="M681" s="68"/>
      <c r="O681" s="68"/>
      <c r="P681" s="68"/>
      <c r="Q681" s="68"/>
      <c r="R681" s="68"/>
      <c r="S681" s="68"/>
    </row>
    <row r="682" spans="1:19" ht="15.75" customHeight="1">
      <c r="A682" s="68"/>
      <c r="B682" s="68"/>
      <c r="D682" s="68"/>
      <c r="E682" s="69"/>
      <c r="K682" s="68"/>
      <c r="L682" s="68"/>
      <c r="M682" s="68"/>
      <c r="O682" s="68"/>
      <c r="P682" s="68"/>
      <c r="Q682" s="68"/>
      <c r="R682" s="68"/>
      <c r="S682" s="68"/>
    </row>
    <row r="683" spans="1:19" ht="15.75" customHeight="1">
      <c r="A683" s="68"/>
      <c r="B683" s="68"/>
      <c r="D683" s="68"/>
      <c r="E683" s="69"/>
      <c r="K683" s="68"/>
      <c r="L683" s="68"/>
      <c r="M683" s="68"/>
      <c r="O683" s="68"/>
      <c r="P683" s="68"/>
      <c r="Q683" s="68"/>
      <c r="R683" s="68"/>
      <c r="S683" s="68"/>
    </row>
    <row r="684" spans="1:19" ht="15.75" customHeight="1">
      <c r="A684" s="68"/>
      <c r="B684" s="68"/>
      <c r="D684" s="68"/>
      <c r="E684" s="69"/>
      <c r="K684" s="68"/>
      <c r="L684" s="68"/>
      <c r="M684" s="68"/>
      <c r="O684" s="68"/>
      <c r="P684" s="68"/>
      <c r="Q684" s="68"/>
      <c r="R684" s="68"/>
      <c r="S684" s="68"/>
    </row>
    <row r="685" spans="1:19" ht="15.75" customHeight="1">
      <c r="A685" s="68"/>
      <c r="B685" s="68"/>
      <c r="D685" s="68"/>
      <c r="E685" s="69"/>
      <c r="K685" s="68"/>
      <c r="L685" s="68"/>
      <c r="M685" s="68"/>
      <c r="O685" s="68"/>
      <c r="P685" s="68"/>
      <c r="Q685" s="68"/>
      <c r="R685" s="68"/>
      <c r="S685" s="68"/>
    </row>
    <row r="686" spans="1:19" ht="15.75" customHeight="1">
      <c r="A686" s="68"/>
      <c r="B686" s="68"/>
      <c r="D686" s="68"/>
      <c r="E686" s="69"/>
      <c r="K686" s="68"/>
      <c r="L686" s="68"/>
      <c r="M686" s="68"/>
      <c r="O686" s="68"/>
      <c r="P686" s="68"/>
      <c r="Q686" s="68"/>
      <c r="R686" s="68"/>
      <c r="S686" s="68"/>
    </row>
    <row r="687" spans="1:19" ht="15.75" customHeight="1">
      <c r="A687" s="68"/>
      <c r="B687" s="68"/>
      <c r="D687" s="68"/>
      <c r="E687" s="69"/>
      <c r="K687" s="68"/>
      <c r="L687" s="68"/>
      <c r="M687" s="68"/>
      <c r="O687" s="68"/>
      <c r="P687" s="68"/>
      <c r="Q687" s="68"/>
      <c r="R687" s="68"/>
      <c r="S687" s="68"/>
    </row>
    <row r="688" spans="1:19" ht="15.75" customHeight="1">
      <c r="A688" s="68"/>
      <c r="B688" s="68"/>
      <c r="D688" s="68"/>
      <c r="E688" s="69"/>
      <c r="K688" s="68"/>
      <c r="L688" s="68"/>
      <c r="M688" s="68"/>
      <c r="O688" s="68"/>
      <c r="P688" s="68"/>
      <c r="Q688" s="68"/>
      <c r="R688" s="68"/>
      <c r="S688" s="68"/>
    </row>
    <row r="689" spans="1:19" ht="15.75" customHeight="1">
      <c r="A689" s="68"/>
      <c r="B689" s="68"/>
      <c r="D689" s="68"/>
      <c r="E689" s="69"/>
      <c r="K689" s="68"/>
      <c r="L689" s="68"/>
      <c r="M689" s="68"/>
      <c r="O689" s="68"/>
      <c r="P689" s="68"/>
      <c r="Q689" s="68"/>
      <c r="R689" s="68"/>
      <c r="S689" s="68"/>
    </row>
    <row r="690" spans="1:19" ht="15.75" customHeight="1">
      <c r="A690" s="68"/>
      <c r="B690" s="68"/>
      <c r="D690" s="68"/>
      <c r="E690" s="69"/>
      <c r="K690" s="68"/>
      <c r="L690" s="68"/>
      <c r="M690" s="68"/>
      <c r="O690" s="68"/>
      <c r="P690" s="68"/>
      <c r="Q690" s="68"/>
      <c r="R690" s="68"/>
      <c r="S690" s="68"/>
    </row>
    <row r="691" spans="1:19" ht="15.75" customHeight="1">
      <c r="A691" s="68"/>
      <c r="B691" s="68"/>
      <c r="D691" s="68"/>
      <c r="E691" s="69"/>
      <c r="K691" s="68"/>
      <c r="L691" s="68"/>
      <c r="M691" s="68"/>
      <c r="O691" s="68"/>
      <c r="P691" s="68"/>
      <c r="Q691" s="68"/>
      <c r="R691" s="68"/>
      <c r="S691" s="68"/>
    </row>
    <row r="692" spans="1:19" ht="15.75" customHeight="1">
      <c r="A692" s="68"/>
      <c r="B692" s="68"/>
      <c r="D692" s="68"/>
      <c r="E692" s="69"/>
      <c r="K692" s="68"/>
      <c r="L692" s="68"/>
      <c r="M692" s="68"/>
      <c r="O692" s="68"/>
      <c r="P692" s="68"/>
      <c r="Q692" s="68"/>
      <c r="R692" s="68"/>
      <c r="S692" s="68"/>
    </row>
    <row r="693" spans="1:19" ht="15.75" customHeight="1">
      <c r="A693" s="68"/>
      <c r="B693" s="68"/>
      <c r="D693" s="68"/>
      <c r="E693" s="69"/>
      <c r="K693" s="68"/>
      <c r="L693" s="68"/>
      <c r="M693" s="68"/>
      <c r="O693" s="68"/>
      <c r="P693" s="68"/>
      <c r="Q693" s="68"/>
      <c r="R693" s="68"/>
      <c r="S693" s="68"/>
    </row>
    <row r="694" spans="1:19" ht="15.75" customHeight="1">
      <c r="A694" s="68"/>
      <c r="B694" s="68"/>
      <c r="D694" s="68"/>
      <c r="E694" s="69"/>
      <c r="K694" s="68"/>
      <c r="L694" s="68"/>
      <c r="M694" s="68"/>
      <c r="O694" s="68"/>
      <c r="P694" s="68"/>
      <c r="Q694" s="68"/>
      <c r="R694" s="68"/>
      <c r="S694" s="68"/>
    </row>
    <row r="695" spans="1:19" ht="15.75" customHeight="1">
      <c r="A695" s="68"/>
      <c r="B695" s="68"/>
      <c r="D695" s="68"/>
      <c r="E695" s="69"/>
      <c r="K695" s="68"/>
      <c r="L695" s="68"/>
      <c r="M695" s="68"/>
      <c r="O695" s="68"/>
      <c r="P695" s="68"/>
      <c r="Q695" s="68"/>
      <c r="R695" s="68"/>
      <c r="S695" s="68"/>
    </row>
    <row r="696" spans="1:19" ht="15.75" customHeight="1">
      <c r="A696" s="68"/>
      <c r="B696" s="68"/>
      <c r="D696" s="68"/>
      <c r="E696" s="69"/>
      <c r="K696" s="68"/>
      <c r="L696" s="68"/>
      <c r="M696" s="68"/>
      <c r="O696" s="68"/>
      <c r="P696" s="68"/>
      <c r="Q696" s="68"/>
      <c r="R696" s="68"/>
      <c r="S696" s="68"/>
    </row>
    <row r="697" spans="1:19" ht="15.75" customHeight="1">
      <c r="A697" s="68"/>
      <c r="B697" s="68"/>
      <c r="D697" s="68"/>
      <c r="E697" s="69"/>
      <c r="K697" s="68"/>
      <c r="L697" s="68"/>
      <c r="M697" s="68"/>
      <c r="O697" s="68"/>
      <c r="P697" s="68"/>
      <c r="Q697" s="68"/>
      <c r="R697" s="68"/>
      <c r="S697" s="68"/>
    </row>
    <row r="698" spans="1:19" ht="15.75" customHeight="1">
      <c r="A698" s="68"/>
      <c r="B698" s="68"/>
      <c r="D698" s="68"/>
      <c r="E698" s="69"/>
      <c r="K698" s="68"/>
      <c r="L698" s="68"/>
      <c r="M698" s="68"/>
      <c r="O698" s="68"/>
      <c r="P698" s="68"/>
      <c r="Q698" s="68"/>
      <c r="R698" s="68"/>
      <c r="S698" s="68"/>
    </row>
    <row r="699" spans="1:19" ht="15.75" customHeight="1">
      <c r="A699" s="68"/>
      <c r="B699" s="68"/>
      <c r="D699" s="68"/>
      <c r="E699" s="69"/>
      <c r="K699" s="68"/>
      <c r="L699" s="68"/>
      <c r="M699" s="68"/>
      <c r="O699" s="68"/>
      <c r="P699" s="68"/>
      <c r="Q699" s="68"/>
      <c r="R699" s="68"/>
      <c r="S699" s="68"/>
    </row>
    <row r="700" spans="1:19" ht="15.75" customHeight="1">
      <c r="A700" s="68"/>
      <c r="B700" s="68"/>
      <c r="D700" s="68"/>
      <c r="E700" s="69"/>
      <c r="K700" s="68"/>
      <c r="L700" s="68"/>
      <c r="M700" s="68"/>
      <c r="O700" s="68"/>
      <c r="P700" s="68"/>
      <c r="Q700" s="68"/>
      <c r="R700" s="68"/>
      <c r="S700" s="68"/>
    </row>
    <row r="701" spans="1:19" ht="15.75" customHeight="1">
      <c r="A701" s="68"/>
      <c r="B701" s="68"/>
      <c r="D701" s="68"/>
      <c r="E701" s="69"/>
      <c r="K701" s="68"/>
      <c r="L701" s="68"/>
      <c r="M701" s="68"/>
      <c r="O701" s="68"/>
      <c r="P701" s="68"/>
      <c r="Q701" s="68"/>
      <c r="R701" s="68"/>
      <c r="S701" s="68"/>
    </row>
    <row r="702" spans="1:19" ht="15.75" customHeight="1">
      <c r="A702" s="68"/>
      <c r="B702" s="68"/>
      <c r="D702" s="68"/>
      <c r="E702" s="69"/>
      <c r="K702" s="68"/>
      <c r="L702" s="68"/>
      <c r="M702" s="68"/>
      <c r="O702" s="68"/>
      <c r="P702" s="68"/>
      <c r="Q702" s="68"/>
      <c r="R702" s="68"/>
      <c r="S702" s="68"/>
    </row>
    <row r="703" spans="1:19" ht="15.75" customHeight="1">
      <c r="A703" s="68"/>
      <c r="B703" s="68"/>
      <c r="D703" s="68"/>
      <c r="E703" s="69"/>
      <c r="K703" s="68"/>
      <c r="L703" s="68"/>
      <c r="M703" s="68"/>
      <c r="O703" s="68"/>
      <c r="P703" s="68"/>
      <c r="Q703" s="68"/>
      <c r="R703" s="68"/>
      <c r="S703" s="68"/>
    </row>
    <row r="704" spans="1:19" ht="15.75" customHeight="1">
      <c r="A704" s="68"/>
      <c r="B704" s="68"/>
      <c r="D704" s="68"/>
      <c r="E704" s="69"/>
      <c r="K704" s="68"/>
      <c r="L704" s="68"/>
      <c r="M704" s="68"/>
      <c r="O704" s="68"/>
      <c r="P704" s="68"/>
      <c r="Q704" s="68"/>
      <c r="R704" s="68"/>
      <c r="S704" s="68"/>
    </row>
    <row r="705" spans="1:19" ht="15.75" customHeight="1">
      <c r="A705" s="68"/>
      <c r="B705" s="68"/>
      <c r="D705" s="68"/>
      <c r="E705" s="69"/>
      <c r="K705" s="68"/>
      <c r="L705" s="68"/>
      <c r="M705" s="68"/>
      <c r="O705" s="68"/>
      <c r="P705" s="68"/>
      <c r="Q705" s="68"/>
      <c r="R705" s="68"/>
      <c r="S705" s="68"/>
    </row>
    <row r="706" spans="1:19" ht="15.75" customHeight="1">
      <c r="A706" s="68"/>
      <c r="B706" s="68"/>
      <c r="D706" s="68"/>
      <c r="E706" s="69"/>
      <c r="K706" s="68"/>
      <c r="L706" s="68"/>
      <c r="M706" s="68"/>
      <c r="O706" s="68"/>
      <c r="P706" s="68"/>
      <c r="Q706" s="68"/>
      <c r="R706" s="68"/>
      <c r="S706" s="68"/>
    </row>
    <row r="707" spans="1:19" ht="15.75" customHeight="1">
      <c r="A707" s="68"/>
      <c r="B707" s="68"/>
      <c r="D707" s="68"/>
      <c r="E707" s="69"/>
      <c r="K707" s="68"/>
      <c r="L707" s="68"/>
      <c r="M707" s="68"/>
      <c r="O707" s="68"/>
      <c r="P707" s="68"/>
      <c r="Q707" s="68"/>
      <c r="R707" s="68"/>
      <c r="S707" s="68"/>
    </row>
    <row r="708" spans="1:19" ht="15.75" customHeight="1">
      <c r="A708" s="68"/>
      <c r="B708" s="68"/>
      <c r="D708" s="68"/>
      <c r="E708" s="69"/>
      <c r="K708" s="68"/>
      <c r="L708" s="68"/>
      <c r="M708" s="68"/>
      <c r="O708" s="68"/>
      <c r="P708" s="68"/>
      <c r="Q708" s="68"/>
      <c r="R708" s="68"/>
      <c r="S708" s="68"/>
    </row>
    <row r="709" spans="1:19" ht="15.75" customHeight="1">
      <c r="A709" s="68"/>
      <c r="B709" s="68"/>
      <c r="D709" s="68"/>
      <c r="E709" s="69"/>
      <c r="K709" s="68"/>
      <c r="L709" s="68"/>
      <c r="M709" s="68"/>
      <c r="O709" s="68"/>
      <c r="P709" s="68"/>
      <c r="Q709" s="68"/>
      <c r="R709" s="68"/>
      <c r="S709" s="68"/>
    </row>
    <row r="710" spans="1:19" ht="15.75" customHeight="1">
      <c r="A710" s="68"/>
      <c r="B710" s="68"/>
      <c r="D710" s="68"/>
      <c r="E710" s="69"/>
      <c r="K710" s="68"/>
      <c r="L710" s="68"/>
      <c r="M710" s="68"/>
      <c r="O710" s="68"/>
      <c r="P710" s="68"/>
      <c r="Q710" s="68"/>
      <c r="R710" s="68"/>
      <c r="S710" s="68"/>
    </row>
    <row r="711" spans="1:19" ht="15.75" customHeight="1">
      <c r="A711" s="68"/>
      <c r="B711" s="68"/>
      <c r="D711" s="68"/>
      <c r="E711" s="69"/>
      <c r="K711" s="68"/>
      <c r="L711" s="68"/>
      <c r="M711" s="68"/>
      <c r="O711" s="68"/>
      <c r="P711" s="68"/>
      <c r="Q711" s="68"/>
      <c r="R711" s="68"/>
      <c r="S711" s="68"/>
    </row>
    <row r="712" spans="1:19" ht="15.75" customHeight="1">
      <c r="A712" s="68"/>
      <c r="B712" s="68"/>
      <c r="D712" s="68"/>
      <c r="E712" s="69"/>
      <c r="K712" s="68"/>
      <c r="L712" s="68"/>
      <c r="M712" s="68"/>
      <c r="O712" s="68"/>
      <c r="P712" s="68"/>
      <c r="Q712" s="68"/>
      <c r="R712" s="68"/>
      <c r="S712" s="68"/>
    </row>
    <row r="713" spans="1:19" ht="15.75" customHeight="1">
      <c r="A713" s="68"/>
      <c r="B713" s="68"/>
      <c r="D713" s="68"/>
      <c r="E713" s="69"/>
      <c r="K713" s="68"/>
      <c r="L713" s="68"/>
      <c r="M713" s="68"/>
      <c r="O713" s="68"/>
      <c r="P713" s="68"/>
      <c r="Q713" s="68"/>
      <c r="R713" s="68"/>
      <c r="S713" s="68"/>
    </row>
    <row r="714" spans="1:19" ht="15.75" customHeight="1">
      <c r="A714" s="68"/>
      <c r="B714" s="68"/>
      <c r="D714" s="68"/>
      <c r="E714" s="69"/>
      <c r="K714" s="68"/>
      <c r="L714" s="68"/>
      <c r="M714" s="68"/>
      <c r="O714" s="68"/>
      <c r="P714" s="68"/>
      <c r="Q714" s="68"/>
      <c r="R714" s="68"/>
      <c r="S714" s="68"/>
    </row>
    <row r="715" spans="1:19" ht="15.75" customHeight="1">
      <c r="A715" s="68"/>
      <c r="B715" s="68"/>
      <c r="D715" s="68"/>
      <c r="E715" s="69"/>
      <c r="K715" s="68"/>
      <c r="L715" s="68"/>
      <c r="M715" s="68"/>
      <c r="O715" s="68"/>
      <c r="P715" s="68"/>
      <c r="Q715" s="68"/>
      <c r="R715" s="68"/>
      <c r="S715" s="68"/>
    </row>
    <row r="716" spans="1:19" ht="15.75" customHeight="1">
      <c r="A716" s="68"/>
      <c r="B716" s="68"/>
      <c r="D716" s="68"/>
      <c r="E716" s="69"/>
      <c r="K716" s="68"/>
      <c r="L716" s="68"/>
      <c r="M716" s="68"/>
      <c r="O716" s="68"/>
      <c r="P716" s="68"/>
      <c r="Q716" s="68"/>
      <c r="R716" s="68"/>
      <c r="S716" s="68"/>
    </row>
    <row r="717" spans="1:19" ht="15.75" customHeight="1">
      <c r="A717" s="68"/>
      <c r="B717" s="68"/>
      <c r="D717" s="68"/>
      <c r="E717" s="69"/>
      <c r="K717" s="68"/>
      <c r="L717" s="68"/>
      <c r="M717" s="68"/>
      <c r="O717" s="68"/>
      <c r="P717" s="68"/>
      <c r="Q717" s="68"/>
      <c r="R717" s="68"/>
      <c r="S717" s="68"/>
    </row>
    <row r="718" spans="1:19" ht="15.75" customHeight="1">
      <c r="A718" s="68"/>
      <c r="B718" s="68"/>
      <c r="D718" s="68"/>
      <c r="E718" s="69"/>
      <c r="K718" s="68"/>
      <c r="L718" s="68"/>
      <c r="M718" s="68"/>
      <c r="O718" s="68"/>
      <c r="P718" s="68"/>
      <c r="Q718" s="68"/>
      <c r="R718" s="68"/>
      <c r="S718" s="68"/>
    </row>
    <row r="719" spans="1:19" ht="15.75" customHeight="1">
      <c r="A719" s="68"/>
      <c r="B719" s="68"/>
      <c r="D719" s="68"/>
      <c r="E719" s="69"/>
      <c r="K719" s="68"/>
      <c r="L719" s="68"/>
      <c r="M719" s="68"/>
      <c r="O719" s="68"/>
      <c r="P719" s="68"/>
      <c r="Q719" s="68"/>
      <c r="R719" s="68"/>
      <c r="S719" s="68"/>
    </row>
    <row r="720" spans="1:19" ht="15.75" customHeight="1">
      <c r="A720" s="68"/>
      <c r="B720" s="68"/>
      <c r="D720" s="68"/>
      <c r="E720" s="69"/>
      <c r="K720" s="68"/>
      <c r="L720" s="68"/>
      <c r="M720" s="68"/>
      <c r="O720" s="68"/>
      <c r="P720" s="68"/>
      <c r="Q720" s="68"/>
      <c r="R720" s="68"/>
      <c r="S720" s="68"/>
    </row>
    <row r="721" spans="1:19" ht="15.75" customHeight="1">
      <c r="A721" s="68"/>
      <c r="B721" s="68"/>
      <c r="D721" s="68"/>
      <c r="E721" s="69"/>
      <c r="K721" s="68"/>
      <c r="L721" s="68"/>
      <c r="M721" s="68"/>
      <c r="O721" s="68"/>
      <c r="P721" s="68"/>
      <c r="Q721" s="68"/>
      <c r="R721" s="68"/>
      <c r="S721" s="68"/>
    </row>
    <row r="722" spans="1:19" ht="15.75" customHeight="1">
      <c r="A722" s="68"/>
      <c r="B722" s="68"/>
      <c r="D722" s="68"/>
      <c r="E722" s="69"/>
      <c r="K722" s="68"/>
      <c r="L722" s="68"/>
      <c r="M722" s="68"/>
      <c r="O722" s="68"/>
      <c r="P722" s="68"/>
      <c r="Q722" s="68"/>
      <c r="R722" s="68"/>
      <c r="S722" s="68"/>
    </row>
    <row r="723" spans="1:19" ht="15.75" customHeight="1">
      <c r="A723" s="68"/>
      <c r="B723" s="68"/>
      <c r="D723" s="68"/>
      <c r="E723" s="69"/>
      <c r="K723" s="68"/>
      <c r="L723" s="68"/>
      <c r="M723" s="68"/>
      <c r="O723" s="68"/>
      <c r="P723" s="68"/>
      <c r="Q723" s="68"/>
      <c r="R723" s="68"/>
      <c r="S723" s="68"/>
    </row>
    <row r="724" spans="1:19" ht="15.75" customHeight="1">
      <c r="A724" s="68"/>
      <c r="B724" s="68"/>
      <c r="D724" s="68"/>
      <c r="E724" s="69"/>
      <c r="K724" s="68"/>
      <c r="L724" s="68"/>
      <c r="M724" s="68"/>
      <c r="O724" s="68"/>
      <c r="P724" s="68"/>
      <c r="Q724" s="68"/>
      <c r="R724" s="68"/>
      <c r="S724" s="68"/>
    </row>
    <row r="725" spans="1:19" ht="15.75" customHeight="1">
      <c r="A725" s="68"/>
      <c r="B725" s="68"/>
      <c r="D725" s="68"/>
      <c r="E725" s="69"/>
      <c r="K725" s="68"/>
      <c r="L725" s="68"/>
      <c r="M725" s="68"/>
      <c r="O725" s="68"/>
      <c r="P725" s="68"/>
      <c r="Q725" s="68"/>
      <c r="R725" s="68"/>
      <c r="S725" s="68"/>
    </row>
    <row r="726" spans="1:19" ht="15.75" customHeight="1">
      <c r="A726" s="68"/>
      <c r="B726" s="68"/>
      <c r="D726" s="68"/>
      <c r="E726" s="69"/>
      <c r="K726" s="68"/>
      <c r="L726" s="68"/>
      <c r="M726" s="68"/>
      <c r="O726" s="68"/>
      <c r="P726" s="68"/>
      <c r="Q726" s="68"/>
      <c r="R726" s="68"/>
      <c r="S726" s="68"/>
    </row>
    <row r="727" spans="1:19" ht="15.75" customHeight="1">
      <c r="A727" s="68"/>
      <c r="B727" s="68"/>
      <c r="D727" s="68"/>
      <c r="E727" s="69"/>
      <c r="K727" s="68"/>
      <c r="L727" s="68"/>
      <c r="M727" s="68"/>
      <c r="O727" s="68"/>
      <c r="P727" s="68"/>
      <c r="Q727" s="68"/>
      <c r="R727" s="68"/>
      <c r="S727" s="68"/>
    </row>
    <row r="728" spans="1:19" ht="15.75" customHeight="1">
      <c r="A728" s="68"/>
      <c r="B728" s="68"/>
      <c r="D728" s="68"/>
      <c r="E728" s="69"/>
      <c r="K728" s="68"/>
      <c r="L728" s="68"/>
      <c r="M728" s="68"/>
      <c r="O728" s="68"/>
      <c r="P728" s="68"/>
      <c r="Q728" s="68"/>
      <c r="R728" s="68"/>
      <c r="S728" s="68"/>
    </row>
    <row r="729" spans="1:19" ht="15.75" customHeight="1">
      <c r="A729" s="68"/>
      <c r="B729" s="68"/>
      <c r="D729" s="68"/>
      <c r="E729" s="69"/>
      <c r="K729" s="68"/>
      <c r="L729" s="68"/>
      <c r="M729" s="68"/>
      <c r="O729" s="68"/>
      <c r="P729" s="68"/>
      <c r="Q729" s="68"/>
      <c r="R729" s="68"/>
      <c r="S729" s="68"/>
    </row>
    <row r="730" spans="1:19" ht="15.75" customHeight="1">
      <c r="A730" s="68"/>
      <c r="B730" s="68"/>
      <c r="D730" s="68"/>
      <c r="E730" s="69"/>
      <c r="K730" s="68"/>
      <c r="L730" s="68"/>
      <c r="M730" s="68"/>
      <c r="O730" s="68"/>
      <c r="P730" s="68"/>
      <c r="Q730" s="68"/>
      <c r="R730" s="68"/>
      <c r="S730" s="68"/>
    </row>
    <row r="731" spans="1:19" ht="15.75" customHeight="1">
      <c r="A731" s="68"/>
      <c r="B731" s="68"/>
      <c r="D731" s="68"/>
      <c r="E731" s="69"/>
      <c r="K731" s="68"/>
      <c r="L731" s="68"/>
      <c r="M731" s="68"/>
      <c r="O731" s="68"/>
      <c r="P731" s="68"/>
      <c r="Q731" s="68"/>
      <c r="R731" s="68"/>
      <c r="S731" s="68"/>
    </row>
    <row r="732" spans="1:19" ht="15.75" customHeight="1">
      <c r="A732" s="68"/>
      <c r="B732" s="68"/>
      <c r="D732" s="68"/>
      <c r="E732" s="69"/>
      <c r="K732" s="68"/>
      <c r="L732" s="68"/>
      <c r="M732" s="68"/>
      <c r="O732" s="68"/>
      <c r="P732" s="68"/>
      <c r="Q732" s="68"/>
      <c r="R732" s="68"/>
      <c r="S732" s="68"/>
    </row>
    <row r="733" spans="1:19" ht="15.75" customHeight="1">
      <c r="A733" s="68"/>
      <c r="B733" s="68"/>
      <c r="D733" s="68"/>
      <c r="E733" s="69"/>
      <c r="K733" s="68"/>
      <c r="L733" s="68"/>
      <c r="M733" s="68"/>
      <c r="O733" s="68"/>
      <c r="P733" s="68"/>
      <c r="Q733" s="68"/>
      <c r="R733" s="68"/>
      <c r="S733" s="68"/>
    </row>
    <row r="734" spans="1:19" ht="15.75" customHeight="1">
      <c r="A734" s="68"/>
      <c r="B734" s="68"/>
      <c r="D734" s="68"/>
      <c r="E734" s="69"/>
      <c r="K734" s="68"/>
      <c r="L734" s="68"/>
      <c r="M734" s="68"/>
      <c r="O734" s="68"/>
      <c r="P734" s="68"/>
      <c r="Q734" s="68"/>
      <c r="R734" s="68"/>
      <c r="S734" s="68"/>
    </row>
    <row r="735" spans="1:19" ht="15.75" customHeight="1">
      <c r="A735" s="68"/>
      <c r="B735" s="68"/>
      <c r="D735" s="68"/>
      <c r="E735" s="69"/>
      <c r="K735" s="68"/>
      <c r="L735" s="68"/>
      <c r="M735" s="68"/>
      <c r="O735" s="68"/>
      <c r="P735" s="68"/>
      <c r="Q735" s="68"/>
      <c r="R735" s="68"/>
      <c r="S735" s="68"/>
    </row>
    <row r="736" spans="1:19" ht="15.75" customHeight="1">
      <c r="A736" s="68"/>
      <c r="B736" s="68"/>
      <c r="D736" s="68"/>
      <c r="E736" s="69"/>
      <c r="K736" s="68"/>
      <c r="L736" s="68"/>
      <c r="M736" s="68"/>
      <c r="O736" s="68"/>
      <c r="P736" s="68"/>
      <c r="Q736" s="68"/>
      <c r="R736" s="68"/>
      <c r="S736" s="68"/>
    </row>
    <row r="737" spans="1:19" ht="15.75" customHeight="1">
      <c r="A737" s="68"/>
      <c r="B737" s="68"/>
      <c r="D737" s="68"/>
      <c r="E737" s="69"/>
      <c r="K737" s="68"/>
      <c r="L737" s="68"/>
      <c r="M737" s="68"/>
      <c r="O737" s="68"/>
      <c r="P737" s="68"/>
      <c r="Q737" s="68"/>
      <c r="R737" s="68"/>
      <c r="S737" s="68"/>
    </row>
    <row r="738" spans="1:19" ht="15.75" customHeight="1">
      <c r="A738" s="68"/>
      <c r="B738" s="68"/>
      <c r="D738" s="68"/>
      <c r="E738" s="69"/>
      <c r="K738" s="68"/>
      <c r="L738" s="68"/>
      <c r="M738" s="68"/>
      <c r="O738" s="68"/>
      <c r="P738" s="68"/>
      <c r="Q738" s="68"/>
      <c r="R738" s="68"/>
      <c r="S738" s="68"/>
    </row>
    <row r="739" spans="1:19" ht="15.75" customHeight="1">
      <c r="A739" s="68"/>
      <c r="B739" s="68"/>
      <c r="D739" s="68"/>
      <c r="E739" s="69"/>
      <c r="K739" s="68"/>
      <c r="L739" s="68"/>
      <c r="M739" s="68"/>
      <c r="O739" s="68"/>
      <c r="P739" s="68"/>
      <c r="Q739" s="68"/>
      <c r="R739" s="68"/>
      <c r="S739" s="68"/>
    </row>
    <row r="740" spans="1:19" ht="15.75" customHeight="1">
      <c r="A740" s="68"/>
      <c r="B740" s="68"/>
      <c r="D740" s="68"/>
      <c r="E740" s="69"/>
      <c r="K740" s="68"/>
      <c r="L740" s="68"/>
      <c r="M740" s="68"/>
      <c r="O740" s="68"/>
      <c r="P740" s="68"/>
      <c r="Q740" s="68"/>
      <c r="R740" s="68"/>
      <c r="S740" s="68"/>
    </row>
    <row r="741" spans="1:19" ht="15.75" customHeight="1">
      <c r="A741" s="68"/>
      <c r="B741" s="68"/>
      <c r="D741" s="68"/>
      <c r="E741" s="69"/>
      <c r="K741" s="68"/>
      <c r="L741" s="68"/>
      <c r="M741" s="68"/>
      <c r="O741" s="68"/>
      <c r="P741" s="68"/>
      <c r="Q741" s="68"/>
      <c r="R741" s="68"/>
      <c r="S741" s="68"/>
    </row>
    <row r="742" spans="1:19" ht="15.75" customHeight="1">
      <c r="A742" s="68"/>
      <c r="B742" s="68"/>
      <c r="D742" s="68"/>
      <c r="E742" s="69"/>
      <c r="K742" s="68"/>
      <c r="L742" s="68"/>
      <c r="M742" s="68"/>
      <c r="O742" s="68"/>
      <c r="P742" s="68"/>
      <c r="Q742" s="68"/>
      <c r="R742" s="68"/>
      <c r="S742" s="68"/>
    </row>
    <row r="743" spans="1:19" ht="15.75" customHeight="1">
      <c r="A743" s="68"/>
      <c r="B743" s="68"/>
      <c r="D743" s="68"/>
      <c r="E743" s="69"/>
      <c r="K743" s="68"/>
      <c r="L743" s="68"/>
      <c r="M743" s="68"/>
      <c r="O743" s="68"/>
      <c r="P743" s="68"/>
      <c r="Q743" s="68"/>
      <c r="R743" s="68"/>
      <c r="S743" s="68"/>
    </row>
    <row r="744" spans="1:19" ht="15.75" customHeight="1">
      <c r="A744" s="68"/>
      <c r="B744" s="68"/>
      <c r="D744" s="68"/>
      <c r="E744" s="69"/>
      <c r="K744" s="68"/>
      <c r="L744" s="68"/>
      <c r="M744" s="68"/>
      <c r="O744" s="68"/>
      <c r="P744" s="68"/>
      <c r="Q744" s="68"/>
      <c r="R744" s="68"/>
      <c r="S744" s="68"/>
    </row>
    <row r="745" spans="1:19" ht="15.75" customHeight="1">
      <c r="A745" s="68"/>
      <c r="B745" s="68"/>
      <c r="D745" s="68"/>
      <c r="E745" s="69"/>
      <c r="K745" s="68"/>
      <c r="L745" s="68"/>
      <c r="M745" s="68"/>
      <c r="O745" s="68"/>
      <c r="P745" s="68"/>
      <c r="Q745" s="68"/>
      <c r="R745" s="68"/>
      <c r="S745" s="68"/>
    </row>
    <row r="746" spans="1:19" ht="15.75" customHeight="1">
      <c r="A746" s="68"/>
      <c r="B746" s="68"/>
      <c r="D746" s="68"/>
      <c r="E746" s="69"/>
      <c r="K746" s="68"/>
      <c r="L746" s="68"/>
      <c r="M746" s="68"/>
      <c r="O746" s="68"/>
      <c r="P746" s="68"/>
      <c r="Q746" s="68"/>
      <c r="R746" s="68"/>
      <c r="S746" s="68"/>
    </row>
    <row r="747" spans="1:19" ht="15.75" customHeight="1">
      <c r="A747" s="68"/>
      <c r="B747" s="68"/>
      <c r="D747" s="68"/>
      <c r="E747" s="69"/>
      <c r="K747" s="68"/>
      <c r="L747" s="68"/>
      <c r="M747" s="68"/>
      <c r="O747" s="68"/>
      <c r="P747" s="68"/>
      <c r="Q747" s="68"/>
      <c r="R747" s="68"/>
      <c r="S747" s="68"/>
    </row>
    <row r="748" spans="1:19" ht="15.75" customHeight="1">
      <c r="A748" s="68"/>
      <c r="B748" s="68"/>
      <c r="D748" s="68"/>
      <c r="E748" s="69"/>
      <c r="K748" s="68"/>
      <c r="L748" s="68"/>
      <c r="M748" s="68"/>
      <c r="O748" s="68"/>
      <c r="P748" s="68"/>
      <c r="Q748" s="68"/>
      <c r="R748" s="68"/>
      <c r="S748" s="68"/>
    </row>
    <row r="749" spans="1:19" ht="15.75" customHeight="1">
      <c r="A749" s="68"/>
      <c r="B749" s="68"/>
      <c r="D749" s="68"/>
      <c r="E749" s="69"/>
      <c r="K749" s="68"/>
      <c r="L749" s="68"/>
      <c r="M749" s="68"/>
      <c r="O749" s="68"/>
      <c r="P749" s="68"/>
      <c r="Q749" s="68"/>
      <c r="R749" s="68"/>
      <c r="S749" s="68"/>
    </row>
    <row r="750" spans="1:19" ht="15.75" customHeight="1">
      <c r="A750" s="68"/>
      <c r="B750" s="68"/>
      <c r="D750" s="68"/>
      <c r="E750" s="69"/>
      <c r="K750" s="68"/>
      <c r="L750" s="68"/>
      <c r="M750" s="68"/>
      <c r="O750" s="68"/>
      <c r="P750" s="68"/>
      <c r="Q750" s="68"/>
      <c r="R750" s="68"/>
      <c r="S750" s="68"/>
    </row>
    <row r="751" spans="1:19" ht="15.75" customHeight="1">
      <c r="A751" s="68"/>
      <c r="B751" s="68"/>
      <c r="D751" s="68"/>
      <c r="E751" s="69"/>
      <c r="K751" s="68"/>
      <c r="L751" s="68"/>
      <c r="M751" s="68"/>
      <c r="O751" s="68"/>
      <c r="P751" s="68"/>
      <c r="Q751" s="68"/>
      <c r="R751" s="68"/>
      <c r="S751" s="68"/>
    </row>
    <row r="752" spans="1:19" ht="15.75" customHeight="1">
      <c r="A752" s="68"/>
      <c r="B752" s="68"/>
      <c r="D752" s="68"/>
      <c r="E752" s="69"/>
      <c r="K752" s="68"/>
      <c r="L752" s="68"/>
      <c r="M752" s="68"/>
      <c r="O752" s="68"/>
      <c r="P752" s="68"/>
      <c r="Q752" s="68"/>
      <c r="R752" s="68"/>
      <c r="S752" s="68"/>
    </row>
    <row r="753" spans="1:19" ht="15.75" customHeight="1">
      <c r="A753" s="68"/>
      <c r="B753" s="68"/>
      <c r="D753" s="68"/>
      <c r="E753" s="69"/>
      <c r="K753" s="68"/>
      <c r="L753" s="68"/>
      <c r="M753" s="68"/>
      <c r="O753" s="68"/>
      <c r="P753" s="68"/>
      <c r="Q753" s="68"/>
      <c r="R753" s="68"/>
      <c r="S753" s="68"/>
    </row>
    <row r="754" spans="1:19" ht="15.75" customHeight="1">
      <c r="A754" s="68"/>
      <c r="B754" s="68"/>
      <c r="D754" s="68"/>
      <c r="E754" s="69"/>
      <c r="K754" s="68"/>
      <c r="L754" s="68"/>
      <c r="M754" s="68"/>
      <c r="O754" s="68"/>
      <c r="P754" s="68"/>
      <c r="Q754" s="68"/>
      <c r="R754" s="68"/>
      <c r="S754" s="68"/>
    </row>
    <row r="755" spans="1:19" ht="15.75" customHeight="1">
      <c r="A755" s="68"/>
      <c r="B755" s="68"/>
      <c r="D755" s="68"/>
      <c r="E755" s="69"/>
      <c r="K755" s="68"/>
      <c r="L755" s="68"/>
      <c r="M755" s="68"/>
      <c r="O755" s="68"/>
      <c r="P755" s="68"/>
      <c r="Q755" s="68"/>
      <c r="R755" s="68"/>
      <c r="S755" s="68"/>
    </row>
    <row r="756" spans="1:19" ht="15.75" customHeight="1">
      <c r="A756" s="68"/>
      <c r="B756" s="68"/>
      <c r="D756" s="68"/>
      <c r="E756" s="69"/>
      <c r="K756" s="68"/>
      <c r="L756" s="68"/>
      <c r="M756" s="68"/>
      <c r="O756" s="68"/>
      <c r="P756" s="68"/>
      <c r="Q756" s="68"/>
      <c r="R756" s="68"/>
      <c r="S756" s="68"/>
    </row>
    <row r="757" spans="1:19" ht="15.75" customHeight="1">
      <c r="A757" s="68"/>
      <c r="B757" s="68"/>
      <c r="D757" s="68"/>
      <c r="E757" s="69"/>
      <c r="K757" s="68"/>
      <c r="L757" s="68"/>
      <c r="M757" s="68"/>
      <c r="O757" s="68"/>
      <c r="P757" s="68"/>
      <c r="Q757" s="68"/>
      <c r="R757" s="68"/>
      <c r="S757" s="68"/>
    </row>
    <row r="758" spans="1:19" ht="15.75" customHeight="1">
      <c r="A758" s="68"/>
      <c r="B758" s="68"/>
      <c r="D758" s="68"/>
      <c r="E758" s="69"/>
      <c r="K758" s="68"/>
      <c r="L758" s="68"/>
      <c r="M758" s="68"/>
      <c r="O758" s="68"/>
      <c r="P758" s="68"/>
      <c r="Q758" s="68"/>
      <c r="R758" s="68"/>
      <c r="S758" s="68"/>
    </row>
    <row r="759" spans="1:19" ht="15.75" customHeight="1">
      <c r="A759" s="68"/>
      <c r="B759" s="68"/>
      <c r="D759" s="68"/>
      <c r="E759" s="69"/>
      <c r="K759" s="68"/>
      <c r="L759" s="68"/>
      <c r="M759" s="68"/>
      <c r="O759" s="68"/>
      <c r="P759" s="68"/>
      <c r="Q759" s="68"/>
      <c r="R759" s="68"/>
      <c r="S759" s="68"/>
    </row>
    <row r="760" spans="1:19" ht="15.75" customHeight="1">
      <c r="A760" s="68"/>
      <c r="B760" s="68"/>
      <c r="D760" s="68"/>
      <c r="E760" s="69"/>
      <c r="K760" s="68"/>
      <c r="L760" s="68"/>
      <c r="M760" s="68"/>
      <c r="O760" s="68"/>
      <c r="P760" s="68"/>
      <c r="Q760" s="68"/>
      <c r="R760" s="68"/>
      <c r="S760" s="68"/>
    </row>
    <row r="761" spans="1:19" ht="15.75" customHeight="1">
      <c r="A761" s="68"/>
      <c r="B761" s="68"/>
      <c r="D761" s="68"/>
      <c r="E761" s="69"/>
      <c r="K761" s="68"/>
      <c r="L761" s="68"/>
      <c r="M761" s="68"/>
      <c r="O761" s="68"/>
      <c r="P761" s="68"/>
      <c r="Q761" s="68"/>
      <c r="R761" s="68"/>
      <c r="S761" s="68"/>
    </row>
    <row r="762" spans="1:19" ht="15.75" customHeight="1">
      <c r="A762" s="68"/>
      <c r="B762" s="68"/>
      <c r="D762" s="68"/>
      <c r="E762" s="69"/>
      <c r="K762" s="68"/>
      <c r="L762" s="68"/>
      <c r="M762" s="68"/>
      <c r="O762" s="68"/>
      <c r="P762" s="68"/>
      <c r="Q762" s="68"/>
      <c r="R762" s="68"/>
      <c r="S762" s="68"/>
    </row>
    <row r="763" spans="1:19" ht="15.75" customHeight="1">
      <c r="A763" s="68"/>
      <c r="B763" s="68"/>
      <c r="D763" s="68"/>
      <c r="E763" s="69"/>
      <c r="K763" s="68"/>
      <c r="L763" s="68"/>
      <c r="M763" s="68"/>
      <c r="O763" s="68"/>
      <c r="P763" s="68"/>
      <c r="Q763" s="68"/>
      <c r="R763" s="68"/>
      <c r="S763" s="68"/>
    </row>
    <row r="764" spans="1:19" ht="15.75" customHeight="1">
      <c r="A764" s="68"/>
      <c r="B764" s="68"/>
      <c r="D764" s="68"/>
      <c r="E764" s="69"/>
      <c r="K764" s="68"/>
      <c r="L764" s="68"/>
      <c r="M764" s="68"/>
      <c r="O764" s="68"/>
      <c r="P764" s="68"/>
      <c r="Q764" s="68"/>
      <c r="R764" s="68"/>
      <c r="S764" s="68"/>
    </row>
    <row r="765" spans="1:19" ht="15.75" customHeight="1">
      <c r="A765" s="68"/>
      <c r="B765" s="68"/>
      <c r="D765" s="68"/>
      <c r="E765" s="69"/>
      <c r="K765" s="68"/>
      <c r="L765" s="68"/>
      <c r="M765" s="68"/>
      <c r="O765" s="68"/>
      <c r="P765" s="68"/>
      <c r="Q765" s="68"/>
      <c r="R765" s="68"/>
      <c r="S765" s="68"/>
    </row>
    <row r="766" spans="1:19" ht="15.75" customHeight="1">
      <c r="A766" s="68"/>
      <c r="B766" s="68"/>
      <c r="D766" s="68"/>
      <c r="E766" s="69"/>
      <c r="K766" s="68"/>
      <c r="L766" s="68"/>
      <c r="M766" s="68"/>
      <c r="O766" s="68"/>
      <c r="P766" s="68"/>
      <c r="Q766" s="68"/>
      <c r="R766" s="68"/>
      <c r="S766" s="68"/>
    </row>
    <row r="767" spans="1:19" ht="15.75" customHeight="1">
      <c r="A767" s="68"/>
      <c r="B767" s="68"/>
      <c r="D767" s="68"/>
      <c r="E767" s="69"/>
      <c r="K767" s="68"/>
      <c r="L767" s="68"/>
      <c r="M767" s="68"/>
      <c r="O767" s="68"/>
      <c r="P767" s="68"/>
      <c r="Q767" s="68"/>
      <c r="R767" s="68"/>
      <c r="S767" s="68"/>
    </row>
    <row r="768" spans="1:19" ht="15.75" customHeight="1">
      <c r="A768" s="68"/>
      <c r="B768" s="68"/>
      <c r="D768" s="68"/>
      <c r="E768" s="69"/>
      <c r="K768" s="68"/>
      <c r="L768" s="68"/>
      <c r="M768" s="68"/>
      <c r="O768" s="68"/>
      <c r="P768" s="68"/>
      <c r="Q768" s="68"/>
      <c r="R768" s="68"/>
      <c r="S768" s="68"/>
    </row>
    <row r="769" spans="1:19" ht="15.75" customHeight="1">
      <c r="A769" s="68"/>
      <c r="B769" s="68"/>
      <c r="D769" s="68"/>
      <c r="E769" s="69"/>
      <c r="K769" s="68"/>
      <c r="L769" s="68"/>
      <c r="M769" s="68"/>
      <c r="O769" s="68"/>
      <c r="P769" s="68"/>
      <c r="Q769" s="68"/>
      <c r="R769" s="68"/>
      <c r="S769" s="68"/>
    </row>
    <row r="770" spans="1:19" ht="15.75" customHeight="1">
      <c r="A770" s="68"/>
      <c r="B770" s="68"/>
      <c r="D770" s="68"/>
      <c r="E770" s="69"/>
      <c r="K770" s="68"/>
      <c r="L770" s="68"/>
      <c r="M770" s="68"/>
      <c r="O770" s="68"/>
      <c r="P770" s="68"/>
      <c r="Q770" s="68"/>
      <c r="R770" s="68"/>
      <c r="S770" s="68"/>
    </row>
    <row r="771" spans="1:19" ht="15.75" customHeight="1">
      <c r="A771" s="68"/>
      <c r="B771" s="68"/>
      <c r="D771" s="68"/>
      <c r="E771" s="69"/>
      <c r="K771" s="68"/>
      <c r="L771" s="68"/>
      <c r="M771" s="68"/>
      <c r="O771" s="68"/>
      <c r="P771" s="68"/>
      <c r="Q771" s="68"/>
      <c r="R771" s="68"/>
      <c r="S771" s="68"/>
    </row>
    <row r="772" spans="1:19" ht="15.75" customHeight="1">
      <c r="A772" s="68"/>
      <c r="B772" s="68"/>
      <c r="D772" s="68"/>
      <c r="E772" s="69"/>
      <c r="K772" s="68"/>
      <c r="L772" s="68"/>
      <c r="M772" s="68"/>
      <c r="O772" s="68"/>
      <c r="P772" s="68"/>
      <c r="Q772" s="68"/>
      <c r="R772" s="68"/>
      <c r="S772" s="68"/>
    </row>
    <row r="773" spans="1:19" ht="15.75" customHeight="1">
      <c r="A773" s="68"/>
      <c r="B773" s="68"/>
      <c r="D773" s="68"/>
      <c r="E773" s="69"/>
      <c r="K773" s="68"/>
      <c r="L773" s="68"/>
      <c r="M773" s="68"/>
      <c r="O773" s="68"/>
      <c r="P773" s="68"/>
      <c r="Q773" s="68"/>
      <c r="R773" s="68"/>
      <c r="S773" s="68"/>
    </row>
    <row r="774" spans="1:19" ht="15.75" customHeight="1">
      <c r="A774" s="68"/>
      <c r="B774" s="68"/>
      <c r="D774" s="68"/>
      <c r="E774" s="69"/>
      <c r="K774" s="68"/>
      <c r="L774" s="68"/>
      <c r="M774" s="68"/>
      <c r="O774" s="68"/>
      <c r="P774" s="68"/>
      <c r="Q774" s="68"/>
      <c r="R774" s="68"/>
      <c r="S774" s="68"/>
    </row>
    <row r="775" spans="1:19" ht="15.75" customHeight="1">
      <c r="A775" s="68"/>
      <c r="B775" s="68"/>
      <c r="D775" s="68"/>
      <c r="E775" s="69"/>
      <c r="K775" s="68"/>
      <c r="L775" s="68"/>
      <c r="M775" s="68"/>
      <c r="O775" s="68"/>
      <c r="P775" s="68"/>
      <c r="Q775" s="68"/>
      <c r="R775" s="68"/>
      <c r="S775" s="68"/>
    </row>
    <row r="776" spans="1:19" ht="15.75" customHeight="1">
      <c r="A776" s="68"/>
      <c r="B776" s="68"/>
      <c r="D776" s="68"/>
      <c r="E776" s="69"/>
      <c r="K776" s="68"/>
      <c r="L776" s="68"/>
      <c r="M776" s="68"/>
      <c r="O776" s="68"/>
      <c r="P776" s="68"/>
      <c r="Q776" s="68"/>
      <c r="R776" s="68"/>
      <c r="S776" s="68"/>
    </row>
    <row r="777" spans="1:19" ht="15.75" customHeight="1">
      <c r="A777" s="68"/>
      <c r="B777" s="68"/>
      <c r="D777" s="68"/>
      <c r="E777" s="69"/>
      <c r="K777" s="68"/>
      <c r="L777" s="68"/>
      <c r="M777" s="68"/>
      <c r="O777" s="68"/>
      <c r="P777" s="68"/>
      <c r="Q777" s="68"/>
      <c r="R777" s="68"/>
      <c r="S777" s="68"/>
    </row>
    <row r="778" spans="1:19" ht="15.75" customHeight="1">
      <c r="A778" s="68"/>
      <c r="B778" s="68"/>
      <c r="D778" s="68"/>
      <c r="E778" s="69"/>
      <c r="K778" s="68"/>
      <c r="L778" s="68"/>
      <c r="M778" s="68"/>
      <c r="O778" s="68"/>
      <c r="P778" s="68"/>
      <c r="Q778" s="68"/>
      <c r="R778" s="68"/>
      <c r="S778" s="68"/>
    </row>
    <row r="779" spans="1:19" ht="15.75" customHeight="1">
      <c r="A779" s="68"/>
      <c r="B779" s="68"/>
      <c r="D779" s="68"/>
      <c r="E779" s="69"/>
      <c r="K779" s="68"/>
      <c r="L779" s="68"/>
      <c r="M779" s="68"/>
      <c r="O779" s="68"/>
      <c r="P779" s="68"/>
      <c r="Q779" s="68"/>
      <c r="R779" s="68"/>
      <c r="S779" s="68"/>
    </row>
    <row r="780" spans="1:19" ht="15.75" customHeight="1">
      <c r="A780" s="68"/>
      <c r="B780" s="68"/>
      <c r="D780" s="68"/>
      <c r="E780" s="69"/>
      <c r="K780" s="68"/>
      <c r="L780" s="68"/>
      <c r="M780" s="68"/>
      <c r="O780" s="68"/>
      <c r="P780" s="68"/>
      <c r="Q780" s="68"/>
      <c r="R780" s="68"/>
      <c r="S780" s="68"/>
    </row>
    <row r="781" spans="1:19" ht="15.75" customHeight="1">
      <c r="A781" s="68"/>
      <c r="B781" s="68"/>
      <c r="D781" s="68"/>
      <c r="E781" s="69"/>
      <c r="K781" s="68"/>
      <c r="L781" s="68"/>
      <c r="M781" s="68"/>
      <c r="O781" s="68"/>
      <c r="P781" s="68"/>
      <c r="Q781" s="68"/>
      <c r="R781" s="68"/>
      <c r="S781" s="68"/>
    </row>
    <row r="782" spans="1:19" ht="15.75" customHeight="1">
      <c r="A782" s="68"/>
      <c r="B782" s="68"/>
      <c r="D782" s="68"/>
      <c r="E782" s="69"/>
      <c r="K782" s="68"/>
      <c r="L782" s="68"/>
      <c r="M782" s="68"/>
      <c r="O782" s="68"/>
      <c r="P782" s="68"/>
      <c r="Q782" s="68"/>
      <c r="R782" s="68"/>
      <c r="S782" s="68"/>
    </row>
    <row r="783" spans="1:19" ht="15.75" customHeight="1">
      <c r="A783" s="68"/>
      <c r="B783" s="68"/>
      <c r="D783" s="68"/>
      <c r="E783" s="69"/>
      <c r="K783" s="68"/>
      <c r="L783" s="68"/>
      <c r="M783" s="68"/>
      <c r="O783" s="68"/>
      <c r="P783" s="68"/>
      <c r="Q783" s="68"/>
      <c r="R783" s="68"/>
      <c r="S783" s="68"/>
    </row>
    <row r="784" spans="1:19" ht="15.75" customHeight="1">
      <c r="A784" s="68"/>
      <c r="B784" s="68"/>
      <c r="D784" s="68"/>
      <c r="E784" s="69"/>
      <c r="K784" s="68"/>
      <c r="L784" s="68"/>
      <c r="M784" s="68"/>
      <c r="O784" s="68"/>
      <c r="P784" s="68"/>
      <c r="Q784" s="68"/>
      <c r="R784" s="68"/>
      <c r="S784" s="68"/>
    </row>
    <row r="785" spans="1:19" ht="15.75" customHeight="1">
      <c r="A785" s="68"/>
      <c r="B785" s="68"/>
      <c r="D785" s="68"/>
      <c r="E785" s="69"/>
      <c r="K785" s="68"/>
      <c r="L785" s="68"/>
      <c r="M785" s="68"/>
      <c r="O785" s="68"/>
      <c r="P785" s="68"/>
      <c r="Q785" s="68"/>
      <c r="R785" s="68"/>
      <c r="S785" s="68"/>
    </row>
    <row r="786" spans="1:19" ht="15.75" customHeight="1">
      <c r="A786" s="68"/>
      <c r="B786" s="68"/>
      <c r="D786" s="68"/>
      <c r="E786" s="69"/>
      <c r="K786" s="68"/>
      <c r="L786" s="68"/>
      <c r="M786" s="68"/>
      <c r="O786" s="68"/>
      <c r="P786" s="68"/>
      <c r="Q786" s="68"/>
      <c r="R786" s="68"/>
      <c r="S786" s="68"/>
    </row>
    <row r="787" spans="1:19" ht="15.75" customHeight="1">
      <c r="A787" s="68"/>
      <c r="B787" s="68"/>
      <c r="D787" s="68"/>
      <c r="E787" s="69"/>
      <c r="K787" s="68"/>
      <c r="L787" s="68"/>
      <c r="M787" s="68"/>
      <c r="O787" s="68"/>
      <c r="P787" s="68"/>
      <c r="Q787" s="68"/>
      <c r="R787" s="68"/>
      <c r="S787" s="68"/>
    </row>
    <row r="788" spans="1:19" ht="15.75" customHeight="1">
      <c r="A788" s="68"/>
      <c r="B788" s="68"/>
      <c r="D788" s="68"/>
      <c r="E788" s="69"/>
      <c r="K788" s="68"/>
      <c r="L788" s="68"/>
      <c r="M788" s="68"/>
      <c r="O788" s="68"/>
      <c r="P788" s="68"/>
      <c r="Q788" s="68"/>
      <c r="R788" s="68"/>
      <c r="S788" s="68"/>
    </row>
    <row r="789" spans="1:19" ht="15.75" customHeight="1">
      <c r="A789" s="68"/>
      <c r="B789" s="68"/>
      <c r="D789" s="68"/>
      <c r="E789" s="69"/>
      <c r="K789" s="68"/>
      <c r="L789" s="68"/>
      <c r="M789" s="68"/>
      <c r="O789" s="68"/>
      <c r="P789" s="68"/>
      <c r="Q789" s="68"/>
      <c r="R789" s="68"/>
      <c r="S789" s="68"/>
    </row>
    <row r="790" spans="1:19" ht="15.75" customHeight="1">
      <c r="A790" s="68"/>
      <c r="B790" s="68"/>
      <c r="D790" s="68"/>
      <c r="E790" s="69"/>
      <c r="K790" s="68"/>
      <c r="L790" s="68"/>
      <c r="M790" s="68"/>
      <c r="O790" s="68"/>
      <c r="P790" s="68"/>
      <c r="Q790" s="68"/>
      <c r="R790" s="68"/>
      <c r="S790" s="68"/>
    </row>
    <row r="791" spans="1:19" ht="15.75" customHeight="1">
      <c r="A791" s="68"/>
      <c r="B791" s="68"/>
      <c r="D791" s="68"/>
      <c r="E791" s="69"/>
      <c r="K791" s="68"/>
      <c r="L791" s="68"/>
      <c r="M791" s="68"/>
      <c r="O791" s="68"/>
      <c r="P791" s="68"/>
      <c r="Q791" s="68"/>
      <c r="R791" s="68"/>
      <c r="S791" s="68"/>
    </row>
    <row r="792" spans="1:19" ht="15.75" customHeight="1">
      <c r="A792" s="68"/>
      <c r="B792" s="68"/>
      <c r="D792" s="68"/>
      <c r="E792" s="69"/>
      <c r="K792" s="68"/>
      <c r="L792" s="68"/>
      <c r="M792" s="68"/>
      <c r="O792" s="68"/>
      <c r="P792" s="68"/>
      <c r="Q792" s="68"/>
      <c r="R792" s="68"/>
      <c r="S792" s="68"/>
    </row>
    <row r="793" spans="1:19" ht="15.75" customHeight="1">
      <c r="A793" s="68"/>
      <c r="B793" s="68"/>
      <c r="D793" s="68"/>
      <c r="E793" s="69"/>
      <c r="K793" s="68"/>
      <c r="L793" s="68"/>
      <c r="M793" s="68"/>
      <c r="O793" s="68"/>
      <c r="P793" s="68"/>
      <c r="Q793" s="68"/>
      <c r="R793" s="68"/>
      <c r="S793" s="68"/>
    </row>
    <row r="794" spans="1:19" ht="15.75" customHeight="1">
      <c r="A794" s="68"/>
      <c r="B794" s="68"/>
      <c r="D794" s="68"/>
      <c r="E794" s="69"/>
      <c r="K794" s="68"/>
      <c r="L794" s="68"/>
      <c r="M794" s="68"/>
      <c r="O794" s="68"/>
      <c r="P794" s="68"/>
      <c r="Q794" s="68"/>
      <c r="R794" s="68"/>
      <c r="S794" s="68"/>
    </row>
    <row r="795" spans="1:19" ht="15.75" customHeight="1">
      <c r="A795" s="68"/>
      <c r="B795" s="68"/>
      <c r="D795" s="68"/>
      <c r="E795" s="69"/>
      <c r="K795" s="68"/>
      <c r="L795" s="68"/>
      <c r="M795" s="68"/>
      <c r="O795" s="68"/>
      <c r="P795" s="68"/>
      <c r="Q795" s="68"/>
      <c r="R795" s="68"/>
      <c r="S795" s="68"/>
    </row>
    <row r="796" spans="1:19" ht="15.75" customHeight="1">
      <c r="A796" s="68"/>
      <c r="B796" s="68"/>
      <c r="D796" s="68"/>
      <c r="E796" s="69"/>
      <c r="K796" s="68"/>
      <c r="L796" s="68"/>
      <c r="M796" s="68"/>
      <c r="O796" s="68"/>
      <c r="P796" s="68"/>
      <c r="Q796" s="68"/>
      <c r="R796" s="68"/>
      <c r="S796" s="68"/>
    </row>
    <row r="797" spans="1:19" ht="15.75" customHeight="1">
      <c r="A797" s="68"/>
      <c r="B797" s="68"/>
      <c r="D797" s="68"/>
      <c r="E797" s="69"/>
      <c r="K797" s="68"/>
      <c r="L797" s="68"/>
      <c r="M797" s="68"/>
      <c r="O797" s="68"/>
      <c r="P797" s="68"/>
      <c r="Q797" s="68"/>
      <c r="R797" s="68"/>
      <c r="S797" s="68"/>
    </row>
    <row r="798" spans="1:19" ht="15.75" customHeight="1">
      <c r="A798" s="68"/>
      <c r="B798" s="68"/>
      <c r="D798" s="68"/>
      <c r="E798" s="69"/>
      <c r="K798" s="68"/>
      <c r="L798" s="68"/>
      <c r="M798" s="68"/>
      <c r="O798" s="68"/>
      <c r="P798" s="68"/>
      <c r="Q798" s="68"/>
      <c r="R798" s="68"/>
      <c r="S798" s="68"/>
    </row>
    <row r="799" spans="1:19" ht="15.75" customHeight="1">
      <c r="A799" s="68"/>
      <c r="B799" s="68"/>
      <c r="D799" s="68"/>
      <c r="E799" s="69"/>
      <c r="K799" s="68"/>
      <c r="L799" s="68"/>
      <c r="M799" s="68"/>
      <c r="O799" s="68"/>
      <c r="P799" s="68"/>
      <c r="Q799" s="68"/>
      <c r="R799" s="68"/>
      <c r="S799" s="68"/>
    </row>
    <row r="800" spans="1:19" ht="15.75" customHeight="1">
      <c r="A800" s="68"/>
      <c r="B800" s="68"/>
      <c r="D800" s="68"/>
      <c r="E800" s="69"/>
      <c r="K800" s="68"/>
      <c r="L800" s="68"/>
      <c r="M800" s="68"/>
      <c r="O800" s="68"/>
      <c r="P800" s="68"/>
      <c r="Q800" s="68"/>
      <c r="R800" s="68"/>
      <c r="S800" s="68"/>
    </row>
    <row r="801" spans="1:19" ht="15.75" customHeight="1">
      <c r="A801" s="68"/>
      <c r="B801" s="68"/>
      <c r="D801" s="68"/>
      <c r="E801" s="69"/>
      <c r="K801" s="68"/>
      <c r="L801" s="68"/>
      <c r="M801" s="68"/>
      <c r="O801" s="68"/>
      <c r="P801" s="68"/>
      <c r="Q801" s="68"/>
      <c r="R801" s="68"/>
      <c r="S801" s="68"/>
    </row>
    <row r="802" spans="1:19" ht="15.75" customHeight="1">
      <c r="A802" s="68"/>
      <c r="B802" s="68"/>
      <c r="D802" s="68"/>
      <c r="E802" s="69"/>
      <c r="K802" s="68"/>
      <c r="L802" s="68"/>
      <c r="M802" s="68"/>
      <c r="O802" s="68"/>
      <c r="P802" s="68"/>
      <c r="Q802" s="68"/>
      <c r="R802" s="68"/>
      <c r="S802" s="68"/>
    </row>
    <row r="803" spans="1:19" ht="15.75" customHeight="1">
      <c r="A803" s="68"/>
      <c r="B803" s="68"/>
      <c r="D803" s="68"/>
      <c r="E803" s="69"/>
      <c r="K803" s="68"/>
      <c r="L803" s="68"/>
      <c r="M803" s="68"/>
      <c r="O803" s="68"/>
      <c r="P803" s="68"/>
      <c r="Q803" s="68"/>
      <c r="R803" s="68"/>
      <c r="S803" s="68"/>
    </row>
    <row r="804" spans="1:19" ht="15.75" customHeight="1">
      <c r="A804" s="68"/>
      <c r="B804" s="68"/>
      <c r="D804" s="68"/>
      <c r="E804" s="69"/>
      <c r="K804" s="68"/>
      <c r="L804" s="68"/>
      <c r="M804" s="68"/>
      <c r="O804" s="68"/>
      <c r="P804" s="68"/>
      <c r="Q804" s="68"/>
      <c r="R804" s="68"/>
      <c r="S804" s="68"/>
    </row>
    <row r="805" spans="1:19" ht="15.75" customHeight="1">
      <c r="A805" s="68"/>
      <c r="B805" s="68"/>
      <c r="D805" s="68"/>
      <c r="E805" s="69"/>
      <c r="K805" s="68"/>
      <c r="L805" s="68"/>
      <c r="M805" s="68"/>
      <c r="O805" s="68"/>
      <c r="P805" s="68"/>
      <c r="Q805" s="68"/>
      <c r="R805" s="68"/>
      <c r="S805" s="68"/>
    </row>
    <row r="806" spans="1:19" ht="15.75" customHeight="1">
      <c r="A806" s="68"/>
      <c r="B806" s="68"/>
      <c r="D806" s="68"/>
      <c r="E806" s="69"/>
      <c r="K806" s="68"/>
      <c r="L806" s="68"/>
      <c r="M806" s="68"/>
      <c r="O806" s="68"/>
      <c r="P806" s="68"/>
      <c r="Q806" s="68"/>
      <c r="R806" s="68"/>
      <c r="S806" s="68"/>
    </row>
    <row r="807" spans="1:19" ht="15.75" customHeight="1">
      <c r="A807" s="68"/>
      <c r="B807" s="68"/>
      <c r="D807" s="68"/>
      <c r="E807" s="69"/>
      <c r="K807" s="68"/>
      <c r="L807" s="68"/>
      <c r="M807" s="68"/>
      <c r="O807" s="68"/>
      <c r="P807" s="68"/>
      <c r="Q807" s="68"/>
      <c r="R807" s="68"/>
      <c r="S807" s="68"/>
    </row>
    <row r="808" spans="1:19" ht="15.75" customHeight="1">
      <c r="A808" s="68"/>
      <c r="B808" s="68"/>
      <c r="D808" s="68"/>
      <c r="E808" s="69"/>
      <c r="K808" s="68"/>
      <c r="L808" s="68"/>
      <c r="M808" s="68"/>
      <c r="O808" s="68"/>
      <c r="P808" s="68"/>
      <c r="Q808" s="68"/>
      <c r="R808" s="68"/>
      <c r="S808" s="68"/>
    </row>
    <row r="809" spans="1:19" ht="15.75" customHeight="1">
      <c r="A809" s="68"/>
      <c r="B809" s="68"/>
      <c r="D809" s="68"/>
      <c r="E809" s="69"/>
      <c r="K809" s="68"/>
      <c r="L809" s="68"/>
      <c r="M809" s="68"/>
      <c r="O809" s="68"/>
      <c r="P809" s="68"/>
      <c r="Q809" s="68"/>
      <c r="R809" s="68"/>
      <c r="S809" s="68"/>
    </row>
    <row r="810" spans="1:19" ht="15.75" customHeight="1">
      <c r="A810" s="68"/>
      <c r="B810" s="68"/>
      <c r="D810" s="68"/>
      <c r="E810" s="69"/>
      <c r="K810" s="68"/>
      <c r="L810" s="68"/>
      <c r="M810" s="68"/>
      <c r="O810" s="68"/>
      <c r="P810" s="68"/>
      <c r="Q810" s="68"/>
      <c r="R810" s="68"/>
      <c r="S810" s="68"/>
    </row>
    <row r="811" spans="1:19" ht="15.75" customHeight="1">
      <c r="A811" s="68"/>
      <c r="B811" s="68"/>
      <c r="D811" s="68"/>
      <c r="E811" s="69"/>
      <c r="K811" s="68"/>
      <c r="L811" s="68"/>
      <c r="M811" s="68"/>
      <c r="O811" s="68"/>
      <c r="P811" s="68"/>
      <c r="Q811" s="68"/>
      <c r="R811" s="68"/>
      <c r="S811" s="68"/>
    </row>
    <row r="812" spans="1:19" ht="15.75" customHeight="1">
      <c r="A812" s="68"/>
      <c r="B812" s="68"/>
      <c r="D812" s="68"/>
      <c r="E812" s="69"/>
      <c r="K812" s="68"/>
      <c r="L812" s="68"/>
      <c r="M812" s="68"/>
      <c r="O812" s="68"/>
      <c r="P812" s="68"/>
      <c r="Q812" s="68"/>
      <c r="R812" s="68"/>
      <c r="S812" s="68"/>
    </row>
    <row r="813" spans="1:19" ht="15.75" customHeight="1">
      <c r="A813" s="68"/>
      <c r="B813" s="68"/>
      <c r="D813" s="68"/>
      <c r="E813" s="69"/>
      <c r="K813" s="68"/>
      <c r="L813" s="68"/>
      <c r="M813" s="68"/>
      <c r="O813" s="68"/>
      <c r="P813" s="68"/>
      <c r="Q813" s="68"/>
      <c r="R813" s="68"/>
      <c r="S813" s="68"/>
    </row>
    <row r="814" spans="1:19" ht="15.75" customHeight="1">
      <c r="A814" s="68"/>
      <c r="B814" s="68"/>
      <c r="D814" s="68"/>
      <c r="E814" s="69"/>
      <c r="K814" s="68"/>
      <c r="L814" s="68"/>
      <c r="M814" s="68"/>
      <c r="O814" s="68"/>
      <c r="P814" s="68"/>
      <c r="Q814" s="68"/>
      <c r="R814" s="68"/>
      <c r="S814" s="68"/>
    </row>
    <row r="815" spans="1:19" ht="15.75" customHeight="1">
      <c r="A815" s="68"/>
      <c r="B815" s="68"/>
      <c r="D815" s="68"/>
      <c r="E815" s="69"/>
      <c r="K815" s="68"/>
      <c r="L815" s="68"/>
      <c r="M815" s="68"/>
      <c r="O815" s="68"/>
      <c r="P815" s="68"/>
      <c r="Q815" s="68"/>
      <c r="R815" s="68"/>
      <c r="S815" s="68"/>
    </row>
    <row r="816" spans="1:19" ht="15.75" customHeight="1">
      <c r="A816" s="68"/>
      <c r="B816" s="68"/>
      <c r="D816" s="68"/>
      <c r="E816" s="69"/>
      <c r="K816" s="68"/>
      <c r="L816" s="68"/>
      <c r="M816" s="68"/>
      <c r="O816" s="68"/>
      <c r="P816" s="68"/>
      <c r="Q816" s="68"/>
      <c r="R816" s="68"/>
      <c r="S816" s="68"/>
    </row>
    <row r="817" spans="1:19" ht="15.75" customHeight="1">
      <c r="A817" s="68"/>
      <c r="B817" s="68"/>
      <c r="D817" s="68"/>
      <c r="E817" s="69"/>
      <c r="K817" s="68"/>
      <c r="L817" s="68"/>
      <c r="M817" s="68"/>
      <c r="O817" s="68"/>
      <c r="P817" s="68"/>
      <c r="Q817" s="68"/>
      <c r="R817" s="68"/>
      <c r="S817" s="68"/>
    </row>
    <row r="818" spans="1:19" ht="15.75" customHeight="1">
      <c r="A818" s="68"/>
      <c r="B818" s="68"/>
      <c r="D818" s="68"/>
      <c r="E818" s="69"/>
      <c r="K818" s="68"/>
      <c r="L818" s="68"/>
      <c r="M818" s="68"/>
      <c r="O818" s="68"/>
      <c r="P818" s="68"/>
      <c r="Q818" s="68"/>
      <c r="R818" s="68"/>
      <c r="S818" s="68"/>
    </row>
    <row r="819" spans="1:19" ht="15.75" customHeight="1">
      <c r="A819" s="68"/>
      <c r="B819" s="68"/>
      <c r="D819" s="68"/>
      <c r="E819" s="69"/>
      <c r="K819" s="68"/>
      <c r="L819" s="68"/>
      <c r="M819" s="68"/>
      <c r="O819" s="68"/>
      <c r="P819" s="68"/>
      <c r="Q819" s="68"/>
      <c r="R819" s="68"/>
      <c r="S819" s="68"/>
    </row>
    <row r="820" spans="1:19" ht="15.75" customHeight="1">
      <c r="A820" s="68"/>
      <c r="B820" s="68"/>
      <c r="D820" s="68"/>
      <c r="E820" s="69"/>
      <c r="K820" s="68"/>
      <c r="L820" s="68"/>
      <c r="M820" s="68"/>
      <c r="O820" s="68"/>
      <c r="P820" s="68"/>
      <c r="Q820" s="68"/>
      <c r="R820" s="68"/>
      <c r="S820" s="68"/>
    </row>
    <row r="821" spans="1:19" ht="15.75" customHeight="1">
      <c r="A821" s="68"/>
      <c r="B821" s="68"/>
      <c r="D821" s="68"/>
      <c r="E821" s="69"/>
      <c r="K821" s="68"/>
      <c r="L821" s="68"/>
      <c r="M821" s="68"/>
      <c r="O821" s="68"/>
      <c r="P821" s="68"/>
      <c r="Q821" s="68"/>
      <c r="R821" s="68"/>
      <c r="S821" s="68"/>
    </row>
    <row r="822" spans="1:19" ht="15.75" customHeight="1">
      <c r="A822" s="68"/>
      <c r="B822" s="68"/>
      <c r="D822" s="68"/>
      <c r="E822" s="69"/>
      <c r="K822" s="68"/>
      <c r="L822" s="68"/>
      <c r="M822" s="68"/>
      <c r="O822" s="68"/>
      <c r="P822" s="68"/>
      <c r="Q822" s="68"/>
      <c r="R822" s="68"/>
      <c r="S822" s="68"/>
    </row>
    <row r="823" spans="1:19" ht="15.75" customHeight="1">
      <c r="A823" s="68"/>
      <c r="B823" s="68"/>
      <c r="D823" s="68"/>
      <c r="E823" s="69"/>
      <c r="K823" s="68"/>
      <c r="L823" s="68"/>
      <c r="M823" s="68"/>
      <c r="O823" s="68"/>
      <c r="P823" s="68"/>
      <c r="Q823" s="68"/>
      <c r="R823" s="68"/>
      <c r="S823" s="68"/>
    </row>
    <row r="824" spans="1:19" ht="15.75" customHeight="1">
      <c r="A824" s="68"/>
      <c r="B824" s="68"/>
      <c r="D824" s="68"/>
      <c r="E824" s="69"/>
      <c r="K824" s="68"/>
      <c r="L824" s="68"/>
      <c r="M824" s="68"/>
      <c r="O824" s="68"/>
      <c r="P824" s="68"/>
      <c r="Q824" s="68"/>
      <c r="R824" s="68"/>
      <c r="S824" s="68"/>
    </row>
    <row r="825" spans="1:19" ht="15.75" customHeight="1">
      <c r="A825" s="68"/>
      <c r="B825" s="68"/>
      <c r="D825" s="68"/>
      <c r="E825" s="69"/>
      <c r="K825" s="68"/>
      <c r="L825" s="68"/>
      <c r="M825" s="68"/>
      <c r="O825" s="68"/>
      <c r="P825" s="68"/>
      <c r="Q825" s="68"/>
      <c r="R825" s="68"/>
      <c r="S825" s="68"/>
    </row>
    <row r="826" spans="1:19" ht="15.75" customHeight="1">
      <c r="A826" s="68"/>
      <c r="B826" s="68"/>
      <c r="D826" s="68"/>
      <c r="E826" s="69"/>
      <c r="K826" s="68"/>
      <c r="L826" s="68"/>
      <c r="M826" s="68"/>
      <c r="O826" s="68"/>
      <c r="P826" s="68"/>
      <c r="Q826" s="68"/>
      <c r="R826" s="68"/>
      <c r="S826" s="68"/>
    </row>
    <row r="827" spans="1:19" ht="15.75" customHeight="1">
      <c r="A827" s="68"/>
      <c r="B827" s="68"/>
      <c r="D827" s="68"/>
      <c r="E827" s="69"/>
      <c r="K827" s="68"/>
      <c r="L827" s="68"/>
      <c r="M827" s="68"/>
      <c r="O827" s="68"/>
      <c r="P827" s="68"/>
      <c r="Q827" s="68"/>
      <c r="R827" s="68"/>
      <c r="S827" s="68"/>
    </row>
    <row r="828" spans="1:19" ht="15.75" customHeight="1">
      <c r="A828" s="68"/>
      <c r="B828" s="68"/>
      <c r="D828" s="68"/>
      <c r="E828" s="69"/>
      <c r="K828" s="68"/>
      <c r="L828" s="68"/>
      <c r="M828" s="68"/>
      <c r="O828" s="68"/>
      <c r="P828" s="68"/>
      <c r="Q828" s="68"/>
      <c r="R828" s="68"/>
      <c r="S828" s="68"/>
    </row>
    <row r="829" spans="1:19" ht="15.75" customHeight="1">
      <c r="A829" s="68"/>
      <c r="B829" s="68"/>
      <c r="D829" s="68"/>
      <c r="E829" s="69"/>
      <c r="K829" s="68"/>
      <c r="L829" s="68"/>
      <c r="M829" s="68"/>
      <c r="O829" s="68"/>
      <c r="P829" s="68"/>
      <c r="Q829" s="68"/>
      <c r="R829" s="68"/>
      <c r="S829" s="68"/>
    </row>
    <row r="830" spans="1:19" ht="15.75" customHeight="1">
      <c r="A830" s="68"/>
      <c r="B830" s="68"/>
      <c r="D830" s="68"/>
      <c r="E830" s="69"/>
      <c r="K830" s="68"/>
      <c r="L830" s="68"/>
      <c r="M830" s="68"/>
      <c r="O830" s="68"/>
      <c r="P830" s="68"/>
      <c r="Q830" s="68"/>
      <c r="R830" s="68"/>
      <c r="S830" s="68"/>
    </row>
    <row r="831" spans="1:19" ht="15.75" customHeight="1">
      <c r="A831" s="68"/>
      <c r="B831" s="68"/>
      <c r="D831" s="68"/>
      <c r="E831" s="69"/>
      <c r="K831" s="68"/>
      <c r="L831" s="68"/>
      <c r="M831" s="68"/>
      <c r="O831" s="68"/>
      <c r="P831" s="68"/>
      <c r="Q831" s="68"/>
      <c r="R831" s="68"/>
      <c r="S831" s="68"/>
    </row>
    <row r="832" spans="1:19" ht="15.75" customHeight="1">
      <c r="A832" s="68"/>
      <c r="B832" s="68"/>
      <c r="D832" s="68"/>
      <c r="E832" s="69"/>
      <c r="K832" s="68"/>
      <c r="L832" s="68"/>
      <c r="M832" s="68"/>
      <c r="O832" s="68"/>
      <c r="P832" s="68"/>
      <c r="Q832" s="68"/>
      <c r="R832" s="68"/>
      <c r="S832" s="68"/>
    </row>
    <row r="833" spans="1:19" ht="15.75" customHeight="1">
      <c r="A833" s="68"/>
      <c r="B833" s="68"/>
      <c r="D833" s="68"/>
      <c r="E833" s="69"/>
      <c r="K833" s="68"/>
      <c r="L833" s="68"/>
      <c r="M833" s="68"/>
      <c r="O833" s="68"/>
      <c r="P833" s="68"/>
      <c r="Q833" s="68"/>
      <c r="R833" s="68"/>
      <c r="S833" s="68"/>
    </row>
    <row r="834" spans="1:19" ht="15.75" customHeight="1">
      <c r="A834" s="68"/>
      <c r="B834" s="68"/>
      <c r="D834" s="68"/>
      <c r="E834" s="69"/>
      <c r="K834" s="68"/>
      <c r="L834" s="68"/>
      <c r="M834" s="68"/>
      <c r="O834" s="68"/>
      <c r="P834" s="68"/>
      <c r="Q834" s="68"/>
      <c r="R834" s="68"/>
      <c r="S834" s="68"/>
    </row>
    <row r="835" spans="1:19" ht="15.75" customHeight="1">
      <c r="A835" s="68"/>
      <c r="B835" s="68"/>
      <c r="D835" s="68"/>
      <c r="E835" s="69"/>
      <c r="K835" s="68"/>
      <c r="L835" s="68"/>
      <c r="M835" s="68"/>
      <c r="O835" s="68"/>
      <c r="P835" s="68"/>
      <c r="Q835" s="68"/>
      <c r="R835" s="68"/>
      <c r="S835" s="68"/>
    </row>
    <row r="836" spans="1:19" ht="15.75" customHeight="1">
      <c r="A836" s="68"/>
      <c r="B836" s="68"/>
      <c r="D836" s="68"/>
      <c r="E836" s="69"/>
      <c r="K836" s="68"/>
      <c r="L836" s="68"/>
      <c r="M836" s="68"/>
      <c r="O836" s="68"/>
      <c r="P836" s="68"/>
      <c r="Q836" s="68"/>
      <c r="R836" s="68"/>
      <c r="S836" s="68"/>
    </row>
    <row r="837" spans="1:19" ht="15.75" customHeight="1">
      <c r="A837" s="68"/>
      <c r="B837" s="68"/>
      <c r="D837" s="68"/>
      <c r="E837" s="69"/>
      <c r="K837" s="68"/>
      <c r="L837" s="68"/>
      <c r="M837" s="68"/>
      <c r="O837" s="68"/>
      <c r="P837" s="68"/>
      <c r="Q837" s="68"/>
      <c r="R837" s="68"/>
      <c r="S837" s="68"/>
    </row>
    <row r="838" spans="1:19" ht="15.75" customHeight="1">
      <c r="A838" s="68"/>
      <c r="B838" s="68"/>
      <c r="D838" s="68"/>
      <c r="E838" s="69"/>
      <c r="K838" s="68"/>
      <c r="L838" s="68"/>
      <c r="M838" s="68"/>
      <c r="O838" s="68"/>
      <c r="P838" s="68"/>
      <c r="Q838" s="68"/>
      <c r="R838" s="68"/>
      <c r="S838" s="68"/>
    </row>
    <row r="839" spans="1:19" ht="15.75" customHeight="1">
      <c r="A839" s="68"/>
      <c r="B839" s="68"/>
      <c r="D839" s="68"/>
      <c r="E839" s="69"/>
      <c r="K839" s="68"/>
      <c r="L839" s="68"/>
      <c r="M839" s="68"/>
      <c r="O839" s="68"/>
      <c r="P839" s="68"/>
      <c r="Q839" s="68"/>
      <c r="R839" s="68"/>
      <c r="S839" s="68"/>
    </row>
    <row r="840" spans="1:19" ht="15.75" customHeight="1">
      <c r="A840" s="68"/>
      <c r="B840" s="68"/>
      <c r="D840" s="68"/>
      <c r="E840" s="69"/>
      <c r="K840" s="68"/>
      <c r="L840" s="68"/>
      <c r="M840" s="68"/>
      <c r="O840" s="68"/>
      <c r="P840" s="68"/>
      <c r="Q840" s="68"/>
      <c r="R840" s="68"/>
      <c r="S840" s="68"/>
    </row>
    <row r="841" spans="1:19" ht="15.75" customHeight="1">
      <c r="A841" s="68"/>
      <c r="B841" s="68"/>
      <c r="D841" s="68"/>
      <c r="E841" s="69"/>
      <c r="K841" s="68"/>
      <c r="L841" s="68"/>
      <c r="M841" s="68"/>
      <c r="O841" s="68"/>
      <c r="P841" s="68"/>
      <c r="Q841" s="68"/>
      <c r="R841" s="68"/>
      <c r="S841" s="68"/>
    </row>
    <row r="842" spans="1:19" ht="15.75" customHeight="1">
      <c r="A842" s="68"/>
      <c r="B842" s="68"/>
      <c r="D842" s="68"/>
      <c r="E842" s="69"/>
      <c r="K842" s="68"/>
      <c r="L842" s="68"/>
      <c r="M842" s="68"/>
      <c r="O842" s="68"/>
      <c r="P842" s="68"/>
      <c r="Q842" s="68"/>
      <c r="R842" s="68"/>
      <c r="S842" s="68"/>
    </row>
    <row r="843" spans="1:19" ht="15.75" customHeight="1">
      <c r="A843" s="68"/>
      <c r="B843" s="68"/>
      <c r="D843" s="68"/>
      <c r="E843" s="69"/>
      <c r="K843" s="68"/>
      <c r="L843" s="68"/>
      <c r="M843" s="68"/>
      <c r="O843" s="68"/>
      <c r="P843" s="68"/>
      <c r="Q843" s="68"/>
      <c r="R843" s="68"/>
      <c r="S843" s="68"/>
    </row>
    <row r="844" spans="1:19" ht="15.75" customHeight="1">
      <c r="A844" s="68"/>
      <c r="B844" s="68"/>
      <c r="D844" s="68"/>
      <c r="E844" s="69"/>
      <c r="K844" s="68"/>
      <c r="L844" s="68"/>
      <c r="M844" s="68"/>
      <c r="O844" s="68"/>
      <c r="P844" s="68"/>
      <c r="Q844" s="68"/>
      <c r="R844" s="68"/>
      <c r="S844" s="68"/>
    </row>
    <row r="845" spans="1:19" ht="15.75" customHeight="1">
      <c r="A845" s="68"/>
      <c r="B845" s="68"/>
      <c r="D845" s="68"/>
      <c r="E845" s="69"/>
      <c r="K845" s="68"/>
      <c r="L845" s="68"/>
      <c r="M845" s="68"/>
      <c r="O845" s="68"/>
      <c r="P845" s="68"/>
      <c r="Q845" s="68"/>
      <c r="R845" s="68"/>
      <c r="S845" s="68"/>
    </row>
    <row r="846" spans="1:19" ht="15.75" customHeight="1">
      <c r="A846" s="68"/>
      <c r="B846" s="68"/>
      <c r="D846" s="68"/>
      <c r="E846" s="69"/>
      <c r="K846" s="68"/>
      <c r="L846" s="68"/>
      <c r="M846" s="68"/>
      <c r="O846" s="68"/>
      <c r="P846" s="68"/>
      <c r="Q846" s="68"/>
      <c r="R846" s="68"/>
      <c r="S846" s="68"/>
    </row>
    <row r="847" spans="1:19" ht="15.75" customHeight="1">
      <c r="A847" s="68"/>
      <c r="B847" s="68"/>
      <c r="D847" s="68"/>
      <c r="E847" s="69"/>
      <c r="K847" s="68"/>
      <c r="L847" s="68"/>
      <c r="M847" s="68"/>
      <c r="O847" s="68"/>
      <c r="P847" s="68"/>
      <c r="Q847" s="68"/>
      <c r="R847" s="68"/>
      <c r="S847" s="68"/>
    </row>
    <row r="848" spans="1:19" ht="15.75" customHeight="1">
      <c r="A848" s="68"/>
      <c r="B848" s="68"/>
      <c r="D848" s="68"/>
      <c r="E848" s="69"/>
      <c r="K848" s="68"/>
      <c r="L848" s="68"/>
      <c r="M848" s="68"/>
      <c r="O848" s="68"/>
      <c r="P848" s="68"/>
      <c r="Q848" s="68"/>
      <c r="R848" s="68"/>
      <c r="S848" s="68"/>
    </row>
    <row r="849" spans="1:19" ht="15.75" customHeight="1">
      <c r="A849" s="68"/>
      <c r="B849" s="68"/>
      <c r="D849" s="68"/>
      <c r="E849" s="69"/>
      <c r="K849" s="68"/>
      <c r="L849" s="68"/>
      <c r="M849" s="68"/>
      <c r="O849" s="68"/>
      <c r="P849" s="68"/>
      <c r="Q849" s="68"/>
      <c r="R849" s="68"/>
      <c r="S849" s="68"/>
    </row>
    <row r="850" spans="1:19" ht="15.75" customHeight="1">
      <c r="A850" s="68"/>
      <c r="B850" s="68"/>
      <c r="D850" s="68"/>
      <c r="E850" s="69"/>
      <c r="K850" s="68"/>
      <c r="L850" s="68"/>
      <c r="M850" s="68"/>
      <c r="O850" s="68"/>
      <c r="P850" s="68"/>
      <c r="Q850" s="68"/>
      <c r="R850" s="68"/>
      <c r="S850" s="68"/>
    </row>
    <row r="851" spans="1:19" ht="15.75" customHeight="1">
      <c r="A851" s="68"/>
      <c r="B851" s="68"/>
      <c r="D851" s="68"/>
      <c r="E851" s="69"/>
      <c r="K851" s="68"/>
      <c r="L851" s="68"/>
      <c r="M851" s="68"/>
      <c r="O851" s="68"/>
      <c r="P851" s="68"/>
      <c r="Q851" s="68"/>
      <c r="R851" s="68"/>
      <c r="S851" s="68"/>
    </row>
    <row r="852" spans="1:19" ht="15.75" customHeight="1">
      <c r="A852" s="68"/>
      <c r="B852" s="68"/>
      <c r="D852" s="68"/>
      <c r="E852" s="69"/>
      <c r="K852" s="68"/>
      <c r="L852" s="68"/>
      <c r="M852" s="68"/>
      <c r="O852" s="68"/>
      <c r="P852" s="68"/>
      <c r="Q852" s="68"/>
      <c r="R852" s="68"/>
      <c r="S852" s="68"/>
    </row>
    <row r="853" spans="1:19" ht="15.75" customHeight="1">
      <c r="A853" s="68"/>
      <c r="B853" s="68"/>
      <c r="D853" s="68"/>
      <c r="E853" s="69"/>
      <c r="K853" s="68"/>
      <c r="L853" s="68"/>
      <c r="M853" s="68"/>
      <c r="O853" s="68"/>
      <c r="P853" s="68"/>
      <c r="Q853" s="68"/>
      <c r="R853" s="68"/>
      <c r="S853" s="68"/>
    </row>
    <row r="854" spans="1:19" ht="15.75" customHeight="1">
      <c r="A854" s="68"/>
      <c r="B854" s="68"/>
      <c r="D854" s="68"/>
      <c r="E854" s="69"/>
      <c r="K854" s="68"/>
      <c r="L854" s="68"/>
      <c r="M854" s="68"/>
      <c r="O854" s="68"/>
      <c r="P854" s="68"/>
      <c r="Q854" s="68"/>
      <c r="R854" s="68"/>
      <c r="S854" s="68"/>
    </row>
    <row r="855" spans="1:19" ht="15.75" customHeight="1">
      <c r="A855" s="68"/>
      <c r="B855" s="68"/>
      <c r="D855" s="68"/>
      <c r="E855" s="69"/>
      <c r="K855" s="68"/>
      <c r="L855" s="68"/>
      <c r="M855" s="68"/>
      <c r="O855" s="68"/>
      <c r="P855" s="68"/>
      <c r="Q855" s="68"/>
      <c r="R855" s="68"/>
      <c r="S855" s="68"/>
    </row>
    <row r="856" spans="1:19" ht="15.75" customHeight="1">
      <c r="A856" s="68"/>
      <c r="B856" s="68"/>
      <c r="D856" s="68"/>
      <c r="E856" s="69"/>
      <c r="K856" s="68"/>
      <c r="L856" s="68"/>
      <c r="M856" s="68"/>
      <c r="O856" s="68"/>
      <c r="P856" s="68"/>
      <c r="Q856" s="68"/>
      <c r="R856" s="68"/>
      <c r="S856" s="68"/>
    </row>
    <row r="857" spans="1:19" ht="15.75" customHeight="1">
      <c r="A857" s="68"/>
      <c r="B857" s="68"/>
      <c r="D857" s="68"/>
      <c r="E857" s="69"/>
      <c r="K857" s="68"/>
      <c r="L857" s="68"/>
      <c r="M857" s="68"/>
      <c r="O857" s="68"/>
      <c r="P857" s="68"/>
      <c r="Q857" s="68"/>
      <c r="R857" s="68"/>
      <c r="S857" s="68"/>
    </row>
    <row r="858" spans="1:19" ht="15.75" customHeight="1">
      <c r="A858" s="68"/>
      <c r="B858" s="68"/>
      <c r="D858" s="68"/>
      <c r="E858" s="69"/>
      <c r="K858" s="68"/>
      <c r="L858" s="68"/>
      <c r="M858" s="68"/>
      <c r="O858" s="68"/>
      <c r="P858" s="68"/>
      <c r="Q858" s="68"/>
      <c r="R858" s="68"/>
      <c r="S858" s="68"/>
    </row>
    <row r="859" spans="1:19" ht="15.75" customHeight="1">
      <c r="A859" s="68"/>
      <c r="B859" s="68"/>
      <c r="D859" s="68"/>
      <c r="E859" s="69"/>
      <c r="K859" s="68"/>
      <c r="L859" s="68"/>
      <c r="M859" s="68"/>
      <c r="O859" s="68"/>
      <c r="P859" s="68"/>
      <c r="Q859" s="68"/>
      <c r="R859" s="68"/>
      <c r="S859" s="68"/>
    </row>
    <row r="860" spans="1:19" ht="15.75" customHeight="1">
      <c r="A860" s="68"/>
      <c r="B860" s="68"/>
      <c r="D860" s="68"/>
      <c r="E860" s="69"/>
      <c r="K860" s="68"/>
      <c r="L860" s="68"/>
      <c r="M860" s="68"/>
      <c r="O860" s="68"/>
      <c r="P860" s="68"/>
      <c r="Q860" s="68"/>
      <c r="R860" s="68"/>
      <c r="S860" s="68"/>
    </row>
    <row r="861" spans="1:19" ht="15.75" customHeight="1">
      <c r="A861" s="68"/>
      <c r="B861" s="68"/>
      <c r="D861" s="68"/>
      <c r="E861" s="69"/>
      <c r="K861" s="68"/>
      <c r="L861" s="68"/>
      <c r="M861" s="68"/>
      <c r="O861" s="68"/>
      <c r="P861" s="68"/>
      <c r="Q861" s="68"/>
      <c r="R861" s="68"/>
      <c r="S861" s="68"/>
    </row>
    <row r="862" spans="1:19" ht="15.75" customHeight="1">
      <c r="A862" s="68"/>
      <c r="B862" s="68"/>
      <c r="D862" s="68"/>
      <c r="E862" s="69"/>
      <c r="K862" s="68"/>
      <c r="L862" s="68"/>
      <c r="M862" s="68"/>
      <c r="O862" s="68"/>
      <c r="P862" s="68"/>
      <c r="Q862" s="68"/>
      <c r="R862" s="68"/>
      <c r="S862" s="68"/>
    </row>
    <row r="863" spans="1:19" ht="15.75" customHeight="1">
      <c r="A863" s="68"/>
      <c r="B863" s="68"/>
      <c r="D863" s="68"/>
      <c r="E863" s="69"/>
      <c r="K863" s="68"/>
      <c r="L863" s="68"/>
      <c r="M863" s="68"/>
      <c r="O863" s="68"/>
      <c r="P863" s="68"/>
      <c r="Q863" s="68"/>
      <c r="R863" s="68"/>
      <c r="S863" s="68"/>
    </row>
    <row r="864" spans="1:19" ht="15.75" customHeight="1">
      <c r="A864" s="68"/>
      <c r="B864" s="68"/>
      <c r="D864" s="68"/>
      <c r="E864" s="69"/>
      <c r="K864" s="68"/>
      <c r="L864" s="68"/>
      <c r="M864" s="68"/>
      <c r="O864" s="68"/>
      <c r="P864" s="68"/>
      <c r="Q864" s="68"/>
      <c r="R864" s="68"/>
      <c r="S864" s="68"/>
    </row>
    <row r="865" spans="1:19" ht="15.75" customHeight="1">
      <c r="A865" s="68"/>
      <c r="B865" s="68"/>
      <c r="D865" s="68"/>
      <c r="E865" s="69"/>
      <c r="K865" s="68"/>
      <c r="L865" s="68"/>
      <c r="M865" s="68"/>
      <c r="O865" s="68"/>
      <c r="P865" s="68"/>
      <c r="Q865" s="68"/>
      <c r="R865" s="68"/>
      <c r="S865" s="68"/>
    </row>
    <row r="866" spans="1:19" ht="15.75" customHeight="1">
      <c r="A866" s="68"/>
      <c r="B866" s="68"/>
      <c r="D866" s="68"/>
      <c r="E866" s="69"/>
      <c r="K866" s="68"/>
      <c r="L866" s="68"/>
      <c r="M866" s="68"/>
      <c r="O866" s="68"/>
      <c r="P866" s="68"/>
      <c r="Q866" s="68"/>
      <c r="R866" s="68"/>
      <c r="S866" s="68"/>
    </row>
    <row r="867" spans="1:19" ht="15.75" customHeight="1">
      <c r="A867" s="68"/>
      <c r="B867" s="68"/>
      <c r="D867" s="68"/>
      <c r="E867" s="69"/>
      <c r="K867" s="68"/>
      <c r="L867" s="68"/>
      <c r="M867" s="68"/>
      <c r="O867" s="68"/>
      <c r="P867" s="68"/>
      <c r="Q867" s="68"/>
      <c r="R867" s="68"/>
      <c r="S867" s="68"/>
    </row>
    <row r="868" spans="1:19" ht="15.75" customHeight="1">
      <c r="A868" s="68"/>
      <c r="B868" s="68"/>
      <c r="D868" s="68"/>
      <c r="E868" s="69"/>
      <c r="K868" s="68"/>
      <c r="L868" s="68"/>
      <c r="M868" s="68"/>
      <c r="O868" s="68"/>
      <c r="P868" s="68"/>
      <c r="Q868" s="68"/>
      <c r="R868" s="68"/>
      <c r="S868" s="68"/>
    </row>
    <row r="869" spans="1:19" ht="15.75" customHeight="1">
      <c r="A869" s="68"/>
      <c r="B869" s="68"/>
      <c r="D869" s="68"/>
      <c r="E869" s="69"/>
      <c r="K869" s="68"/>
      <c r="L869" s="68"/>
      <c r="M869" s="68"/>
      <c r="O869" s="68"/>
      <c r="P869" s="68"/>
      <c r="Q869" s="68"/>
      <c r="R869" s="68"/>
      <c r="S869" s="68"/>
    </row>
    <row r="870" spans="1:19" ht="15.75" customHeight="1">
      <c r="A870" s="68"/>
      <c r="B870" s="68"/>
      <c r="D870" s="68"/>
      <c r="E870" s="69"/>
      <c r="K870" s="68"/>
      <c r="L870" s="68"/>
      <c r="M870" s="68"/>
      <c r="O870" s="68"/>
      <c r="P870" s="68"/>
      <c r="Q870" s="68"/>
      <c r="R870" s="68"/>
      <c r="S870" s="68"/>
    </row>
    <row r="871" spans="1:19" ht="15.75" customHeight="1">
      <c r="A871" s="68"/>
      <c r="B871" s="68"/>
      <c r="D871" s="68"/>
      <c r="E871" s="69"/>
      <c r="K871" s="68"/>
      <c r="L871" s="68"/>
      <c r="M871" s="68"/>
      <c r="O871" s="68"/>
      <c r="P871" s="68"/>
      <c r="Q871" s="68"/>
      <c r="R871" s="68"/>
      <c r="S871" s="68"/>
    </row>
    <row r="872" spans="1:19" ht="15.75" customHeight="1">
      <c r="A872" s="68"/>
      <c r="B872" s="68"/>
      <c r="D872" s="68"/>
      <c r="E872" s="69"/>
      <c r="K872" s="68"/>
      <c r="L872" s="68"/>
      <c r="M872" s="68"/>
      <c r="O872" s="68"/>
      <c r="P872" s="68"/>
      <c r="Q872" s="68"/>
      <c r="R872" s="68"/>
      <c r="S872" s="68"/>
    </row>
    <row r="873" spans="1:19" ht="15.75" customHeight="1">
      <c r="A873" s="68"/>
      <c r="B873" s="68"/>
      <c r="D873" s="68"/>
      <c r="E873" s="69"/>
      <c r="K873" s="68"/>
      <c r="L873" s="68"/>
      <c r="M873" s="68"/>
      <c r="O873" s="68"/>
      <c r="P873" s="68"/>
      <c r="Q873" s="68"/>
      <c r="R873" s="68"/>
      <c r="S873" s="68"/>
    </row>
    <row r="874" spans="1:19" ht="15.75" customHeight="1">
      <c r="A874" s="68"/>
      <c r="B874" s="68"/>
      <c r="D874" s="68"/>
      <c r="E874" s="69"/>
      <c r="K874" s="68"/>
      <c r="L874" s="68"/>
      <c r="M874" s="68"/>
      <c r="O874" s="68"/>
      <c r="P874" s="68"/>
      <c r="Q874" s="68"/>
      <c r="R874" s="68"/>
      <c r="S874" s="68"/>
    </row>
    <row r="875" spans="1:19" ht="15.75" customHeight="1">
      <c r="A875" s="68"/>
      <c r="B875" s="68"/>
      <c r="D875" s="68"/>
      <c r="E875" s="69"/>
      <c r="K875" s="68"/>
      <c r="L875" s="68"/>
      <c r="M875" s="68"/>
      <c r="O875" s="68"/>
      <c r="P875" s="68"/>
      <c r="Q875" s="68"/>
      <c r="R875" s="68"/>
      <c r="S875" s="68"/>
    </row>
    <row r="876" spans="1:19" ht="15.75" customHeight="1">
      <c r="A876" s="68"/>
      <c r="B876" s="68"/>
      <c r="D876" s="68"/>
      <c r="E876" s="69"/>
      <c r="K876" s="68"/>
      <c r="L876" s="68"/>
      <c r="M876" s="68"/>
      <c r="O876" s="68"/>
      <c r="P876" s="68"/>
      <c r="Q876" s="68"/>
      <c r="R876" s="68"/>
      <c r="S876" s="68"/>
    </row>
    <row r="877" spans="1:19" ht="15.75" customHeight="1">
      <c r="A877" s="68"/>
      <c r="B877" s="68"/>
      <c r="D877" s="68"/>
      <c r="E877" s="69"/>
      <c r="K877" s="68"/>
      <c r="L877" s="68"/>
      <c r="M877" s="68"/>
      <c r="O877" s="68"/>
      <c r="P877" s="68"/>
      <c r="Q877" s="68"/>
      <c r="R877" s="68"/>
      <c r="S877" s="68"/>
    </row>
    <row r="878" spans="1:19" ht="15.75" customHeight="1">
      <c r="A878" s="68"/>
      <c r="B878" s="68"/>
      <c r="D878" s="68"/>
      <c r="E878" s="69"/>
      <c r="K878" s="68"/>
      <c r="L878" s="68"/>
      <c r="M878" s="68"/>
      <c r="O878" s="68"/>
      <c r="P878" s="68"/>
      <c r="Q878" s="68"/>
      <c r="R878" s="68"/>
      <c r="S878" s="68"/>
    </row>
    <row r="879" spans="1:19" ht="15.75" customHeight="1">
      <c r="A879" s="68"/>
      <c r="B879" s="68"/>
      <c r="D879" s="68"/>
      <c r="E879" s="69"/>
      <c r="K879" s="68"/>
      <c r="L879" s="68"/>
      <c r="M879" s="68"/>
      <c r="O879" s="68"/>
      <c r="P879" s="68"/>
      <c r="Q879" s="68"/>
      <c r="R879" s="68"/>
      <c r="S879" s="68"/>
    </row>
    <row r="880" spans="1:19" ht="15.75" customHeight="1">
      <c r="A880" s="68"/>
      <c r="B880" s="68"/>
      <c r="D880" s="68"/>
      <c r="E880" s="69"/>
      <c r="K880" s="68"/>
      <c r="L880" s="68"/>
      <c r="M880" s="68"/>
      <c r="O880" s="68"/>
      <c r="P880" s="68"/>
      <c r="Q880" s="68"/>
      <c r="R880" s="68"/>
      <c r="S880" s="68"/>
    </row>
    <row r="881" spans="1:19" ht="15.75" customHeight="1">
      <c r="A881" s="68"/>
      <c r="B881" s="68"/>
      <c r="D881" s="68"/>
      <c r="E881" s="69"/>
      <c r="K881" s="68"/>
      <c r="L881" s="68"/>
      <c r="M881" s="68"/>
      <c r="O881" s="68"/>
      <c r="P881" s="68"/>
      <c r="Q881" s="68"/>
      <c r="R881" s="68"/>
      <c r="S881" s="68"/>
    </row>
    <row r="882" spans="1:19" ht="15.75" customHeight="1">
      <c r="A882" s="68"/>
      <c r="B882" s="68"/>
      <c r="D882" s="68"/>
      <c r="E882" s="69"/>
      <c r="K882" s="68"/>
      <c r="L882" s="68"/>
      <c r="M882" s="68"/>
      <c r="O882" s="68"/>
      <c r="P882" s="68"/>
      <c r="Q882" s="68"/>
      <c r="R882" s="68"/>
      <c r="S882" s="68"/>
    </row>
    <row r="883" spans="1:19" ht="15.75" customHeight="1">
      <c r="A883" s="68"/>
      <c r="B883" s="68"/>
      <c r="D883" s="68"/>
      <c r="E883" s="69"/>
      <c r="K883" s="68"/>
      <c r="L883" s="68"/>
      <c r="M883" s="68"/>
      <c r="O883" s="68"/>
      <c r="P883" s="68"/>
      <c r="Q883" s="68"/>
      <c r="R883" s="68"/>
      <c r="S883" s="68"/>
    </row>
    <row r="884" spans="1:19" ht="15.75" customHeight="1">
      <c r="A884" s="68"/>
      <c r="B884" s="68"/>
      <c r="D884" s="68"/>
      <c r="E884" s="69"/>
      <c r="K884" s="68"/>
      <c r="L884" s="68"/>
      <c r="M884" s="68"/>
      <c r="O884" s="68"/>
      <c r="P884" s="68"/>
      <c r="Q884" s="68"/>
      <c r="R884" s="68"/>
      <c r="S884" s="68"/>
    </row>
    <row r="885" spans="1:19" ht="15.75" customHeight="1">
      <c r="A885" s="68"/>
      <c r="B885" s="68"/>
      <c r="D885" s="68"/>
      <c r="E885" s="69"/>
      <c r="K885" s="68"/>
      <c r="L885" s="68"/>
      <c r="M885" s="68"/>
      <c r="O885" s="68"/>
      <c r="P885" s="68"/>
      <c r="Q885" s="68"/>
      <c r="R885" s="68"/>
      <c r="S885" s="68"/>
    </row>
    <row r="886" spans="1:19" ht="15.75" customHeight="1">
      <c r="A886" s="68"/>
      <c r="B886" s="68"/>
      <c r="D886" s="68"/>
      <c r="E886" s="69"/>
      <c r="K886" s="68"/>
      <c r="L886" s="68"/>
      <c r="M886" s="68"/>
      <c r="O886" s="68"/>
      <c r="P886" s="68"/>
      <c r="Q886" s="68"/>
      <c r="R886" s="68"/>
      <c r="S886" s="68"/>
    </row>
    <row r="887" spans="1:19" ht="15.75" customHeight="1">
      <c r="A887" s="68"/>
      <c r="B887" s="68"/>
      <c r="D887" s="68"/>
      <c r="E887" s="69"/>
      <c r="K887" s="68"/>
      <c r="L887" s="68"/>
      <c r="M887" s="68"/>
      <c r="O887" s="68"/>
      <c r="P887" s="68"/>
      <c r="Q887" s="68"/>
      <c r="R887" s="68"/>
      <c r="S887" s="68"/>
    </row>
    <row r="888" spans="1:19" ht="15.75" customHeight="1">
      <c r="A888" s="68"/>
      <c r="B888" s="68"/>
      <c r="D888" s="68"/>
      <c r="E888" s="69"/>
      <c r="K888" s="68"/>
      <c r="L888" s="68"/>
      <c r="M888" s="68"/>
      <c r="O888" s="68"/>
      <c r="P888" s="68"/>
      <c r="Q888" s="68"/>
      <c r="R888" s="68"/>
      <c r="S888" s="68"/>
    </row>
    <row r="889" spans="1:19" ht="15.75" customHeight="1">
      <c r="A889" s="68"/>
      <c r="B889" s="68"/>
      <c r="D889" s="68"/>
      <c r="E889" s="69"/>
      <c r="K889" s="68"/>
      <c r="L889" s="68"/>
      <c r="M889" s="68"/>
      <c r="O889" s="68"/>
      <c r="P889" s="68"/>
      <c r="Q889" s="68"/>
      <c r="R889" s="68"/>
      <c r="S889" s="68"/>
    </row>
    <row r="890" spans="1:19" ht="15.75" customHeight="1">
      <c r="A890" s="68"/>
      <c r="B890" s="68"/>
      <c r="D890" s="68"/>
      <c r="E890" s="69"/>
      <c r="K890" s="68"/>
      <c r="L890" s="68"/>
      <c r="M890" s="68"/>
      <c r="O890" s="68"/>
      <c r="P890" s="68"/>
      <c r="Q890" s="68"/>
      <c r="R890" s="68"/>
      <c r="S890" s="68"/>
    </row>
    <row r="891" spans="1:19" ht="15.75" customHeight="1">
      <c r="A891" s="68"/>
      <c r="B891" s="68"/>
      <c r="D891" s="68"/>
      <c r="E891" s="69"/>
      <c r="K891" s="68"/>
      <c r="L891" s="68"/>
      <c r="M891" s="68"/>
      <c r="O891" s="68"/>
      <c r="P891" s="68"/>
      <c r="Q891" s="68"/>
      <c r="R891" s="68"/>
      <c r="S891" s="68"/>
    </row>
    <row r="892" spans="1:19" ht="15.75" customHeight="1">
      <c r="A892" s="68"/>
      <c r="B892" s="68"/>
      <c r="D892" s="68"/>
      <c r="E892" s="69"/>
      <c r="K892" s="68"/>
      <c r="L892" s="68"/>
      <c r="M892" s="68"/>
      <c r="O892" s="68"/>
      <c r="P892" s="68"/>
      <c r="Q892" s="68"/>
      <c r="R892" s="68"/>
      <c r="S892" s="68"/>
    </row>
    <row r="893" spans="1:19" ht="15.75" customHeight="1">
      <c r="A893" s="68"/>
      <c r="B893" s="68"/>
      <c r="D893" s="68"/>
      <c r="E893" s="69"/>
      <c r="K893" s="68"/>
      <c r="L893" s="68"/>
      <c r="M893" s="68"/>
      <c r="O893" s="68"/>
      <c r="P893" s="68"/>
      <c r="Q893" s="68"/>
      <c r="R893" s="68"/>
      <c r="S893" s="68"/>
    </row>
    <row r="894" spans="1:19" ht="15.75" customHeight="1">
      <c r="A894" s="68"/>
      <c r="B894" s="68"/>
      <c r="D894" s="68"/>
      <c r="E894" s="69"/>
      <c r="K894" s="68"/>
      <c r="L894" s="68"/>
      <c r="M894" s="68"/>
      <c r="O894" s="68"/>
      <c r="P894" s="68"/>
      <c r="Q894" s="68"/>
      <c r="R894" s="68"/>
      <c r="S894" s="68"/>
    </row>
    <row r="895" spans="1:19" ht="15.75" customHeight="1">
      <c r="A895" s="68"/>
      <c r="B895" s="68"/>
      <c r="D895" s="68"/>
      <c r="E895" s="69"/>
      <c r="K895" s="68"/>
      <c r="L895" s="68"/>
      <c r="M895" s="68"/>
      <c r="O895" s="68"/>
      <c r="P895" s="68"/>
      <c r="Q895" s="68"/>
      <c r="R895" s="68"/>
      <c r="S895" s="68"/>
    </row>
    <row r="896" spans="1:19" ht="15.75" customHeight="1">
      <c r="A896" s="68"/>
      <c r="B896" s="68"/>
      <c r="D896" s="68"/>
      <c r="E896" s="69"/>
      <c r="K896" s="68"/>
      <c r="L896" s="68"/>
      <c r="M896" s="68"/>
      <c r="O896" s="68"/>
      <c r="P896" s="68"/>
      <c r="Q896" s="68"/>
      <c r="R896" s="68"/>
      <c r="S896" s="68"/>
    </row>
    <row r="897" spans="1:19" ht="15.75" customHeight="1">
      <c r="A897" s="68"/>
      <c r="B897" s="68"/>
      <c r="D897" s="68"/>
      <c r="E897" s="69"/>
      <c r="K897" s="68"/>
      <c r="L897" s="68"/>
      <c r="M897" s="68"/>
      <c r="O897" s="68"/>
      <c r="P897" s="68"/>
      <c r="Q897" s="68"/>
      <c r="R897" s="68"/>
      <c r="S897" s="68"/>
    </row>
    <row r="898" spans="1:19" ht="15.75" customHeight="1">
      <c r="A898" s="68"/>
      <c r="B898" s="68"/>
      <c r="D898" s="68"/>
      <c r="E898" s="69"/>
      <c r="K898" s="68"/>
      <c r="L898" s="68"/>
      <c r="M898" s="68"/>
      <c r="O898" s="68"/>
      <c r="P898" s="68"/>
      <c r="Q898" s="68"/>
      <c r="R898" s="68"/>
      <c r="S898" s="68"/>
    </row>
    <row r="899" spans="1:19" ht="15.75" customHeight="1">
      <c r="A899" s="68"/>
      <c r="B899" s="68"/>
      <c r="D899" s="68"/>
      <c r="E899" s="69"/>
      <c r="K899" s="68"/>
      <c r="L899" s="68"/>
      <c r="M899" s="68"/>
      <c r="O899" s="68"/>
      <c r="P899" s="68"/>
      <c r="Q899" s="68"/>
      <c r="R899" s="68"/>
      <c r="S899" s="68"/>
    </row>
    <row r="900" spans="1:19" ht="15.75" customHeight="1">
      <c r="A900" s="68"/>
      <c r="B900" s="68"/>
      <c r="D900" s="68"/>
      <c r="E900" s="69"/>
      <c r="K900" s="68"/>
      <c r="L900" s="68"/>
      <c r="M900" s="68"/>
      <c r="O900" s="68"/>
      <c r="P900" s="68"/>
      <c r="Q900" s="68"/>
      <c r="R900" s="68"/>
      <c r="S900" s="68"/>
    </row>
    <row r="901" spans="1:19" ht="15.75" customHeight="1">
      <c r="A901" s="68"/>
      <c r="B901" s="68"/>
      <c r="D901" s="68"/>
      <c r="E901" s="69"/>
      <c r="K901" s="68"/>
      <c r="L901" s="68"/>
      <c r="M901" s="68"/>
      <c r="O901" s="68"/>
      <c r="P901" s="68"/>
      <c r="Q901" s="68"/>
      <c r="R901" s="68"/>
      <c r="S901" s="68"/>
    </row>
    <row r="902" spans="1:19" ht="15.75" customHeight="1">
      <c r="A902" s="68"/>
      <c r="B902" s="68"/>
      <c r="D902" s="68"/>
      <c r="E902" s="69"/>
      <c r="K902" s="68"/>
      <c r="L902" s="68"/>
      <c r="M902" s="68"/>
      <c r="O902" s="68"/>
      <c r="P902" s="68"/>
      <c r="Q902" s="68"/>
      <c r="R902" s="68"/>
      <c r="S902" s="68"/>
    </row>
    <row r="903" spans="1:19" ht="15.75" customHeight="1">
      <c r="A903" s="68"/>
      <c r="B903" s="68"/>
      <c r="D903" s="68"/>
      <c r="E903" s="69"/>
      <c r="K903" s="68"/>
      <c r="L903" s="68"/>
      <c r="M903" s="68"/>
      <c r="O903" s="68"/>
      <c r="P903" s="68"/>
      <c r="Q903" s="68"/>
      <c r="R903" s="68"/>
      <c r="S903" s="68"/>
    </row>
    <row r="904" spans="1:19" ht="15.75" customHeight="1">
      <c r="A904" s="68"/>
      <c r="B904" s="68"/>
      <c r="D904" s="68"/>
      <c r="E904" s="69"/>
      <c r="K904" s="68"/>
      <c r="L904" s="68"/>
      <c r="M904" s="68"/>
      <c r="O904" s="68"/>
      <c r="P904" s="68"/>
      <c r="Q904" s="68"/>
      <c r="R904" s="68"/>
      <c r="S904" s="68"/>
    </row>
    <row r="905" spans="1:19" ht="15.75" customHeight="1">
      <c r="A905" s="68"/>
      <c r="B905" s="68"/>
      <c r="D905" s="68"/>
      <c r="E905" s="69"/>
      <c r="K905" s="68"/>
      <c r="L905" s="68"/>
      <c r="M905" s="68"/>
      <c r="O905" s="68"/>
      <c r="P905" s="68"/>
      <c r="Q905" s="68"/>
      <c r="R905" s="68"/>
      <c r="S905" s="68"/>
    </row>
    <row r="906" spans="1:19" ht="15.75" customHeight="1">
      <c r="A906" s="68"/>
      <c r="B906" s="68"/>
      <c r="D906" s="68"/>
      <c r="E906" s="69"/>
      <c r="K906" s="68"/>
      <c r="L906" s="68"/>
      <c r="M906" s="68"/>
      <c r="O906" s="68"/>
      <c r="P906" s="68"/>
      <c r="Q906" s="68"/>
      <c r="R906" s="68"/>
      <c r="S906" s="68"/>
    </row>
    <row r="907" spans="1:19" ht="15.75" customHeight="1">
      <c r="A907" s="68"/>
      <c r="B907" s="68"/>
      <c r="D907" s="68"/>
      <c r="E907" s="69"/>
      <c r="K907" s="68"/>
      <c r="L907" s="68"/>
      <c r="M907" s="68"/>
      <c r="O907" s="68"/>
      <c r="P907" s="68"/>
      <c r="Q907" s="68"/>
      <c r="R907" s="68"/>
      <c r="S907" s="68"/>
    </row>
    <row r="908" spans="1:19" ht="15.75" customHeight="1">
      <c r="A908" s="68"/>
      <c r="B908" s="68"/>
      <c r="D908" s="68"/>
      <c r="E908" s="69"/>
      <c r="K908" s="68"/>
      <c r="L908" s="68"/>
      <c r="M908" s="68"/>
      <c r="O908" s="68"/>
      <c r="P908" s="68"/>
      <c r="Q908" s="68"/>
      <c r="R908" s="68"/>
      <c r="S908" s="68"/>
    </row>
    <row r="909" spans="1:19" ht="15.75" customHeight="1">
      <c r="A909" s="68"/>
      <c r="B909" s="68"/>
      <c r="D909" s="68"/>
      <c r="E909" s="69"/>
      <c r="K909" s="68"/>
      <c r="L909" s="68"/>
      <c r="M909" s="68"/>
      <c r="O909" s="68"/>
      <c r="P909" s="68"/>
      <c r="Q909" s="68"/>
      <c r="R909" s="68"/>
      <c r="S909" s="68"/>
    </row>
    <row r="910" spans="1:19" ht="15.75" customHeight="1">
      <c r="A910" s="68"/>
      <c r="B910" s="68"/>
      <c r="D910" s="68"/>
      <c r="E910" s="69"/>
      <c r="K910" s="68"/>
      <c r="L910" s="68"/>
      <c r="M910" s="68"/>
      <c r="O910" s="68"/>
      <c r="P910" s="68"/>
      <c r="Q910" s="68"/>
      <c r="R910" s="68"/>
      <c r="S910" s="68"/>
    </row>
    <row r="911" spans="1:19" ht="15.75" customHeight="1">
      <c r="A911" s="68"/>
      <c r="B911" s="68"/>
      <c r="D911" s="68"/>
      <c r="E911" s="69"/>
      <c r="K911" s="68"/>
      <c r="L911" s="68"/>
      <c r="M911" s="68"/>
      <c r="O911" s="68"/>
      <c r="P911" s="68"/>
      <c r="Q911" s="68"/>
      <c r="R911" s="68"/>
      <c r="S911" s="68"/>
    </row>
    <row r="912" spans="1:19" ht="15.75" customHeight="1">
      <c r="A912" s="68"/>
      <c r="B912" s="68"/>
      <c r="D912" s="68"/>
      <c r="E912" s="69"/>
      <c r="K912" s="68"/>
      <c r="L912" s="68"/>
      <c r="M912" s="68"/>
      <c r="O912" s="68"/>
      <c r="P912" s="68"/>
      <c r="Q912" s="68"/>
      <c r="R912" s="68"/>
      <c r="S912" s="68"/>
    </row>
    <row r="913" spans="1:19" ht="15.75" customHeight="1">
      <c r="A913" s="68"/>
      <c r="B913" s="68"/>
      <c r="D913" s="68"/>
      <c r="E913" s="69"/>
      <c r="K913" s="68"/>
      <c r="L913" s="68"/>
      <c r="M913" s="68"/>
      <c r="O913" s="68"/>
      <c r="P913" s="68"/>
      <c r="Q913" s="68"/>
      <c r="R913" s="68"/>
      <c r="S913" s="68"/>
    </row>
    <row r="914" spans="1:19" ht="15.75" customHeight="1">
      <c r="A914" s="68"/>
      <c r="B914" s="68"/>
      <c r="D914" s="68"/>
      <c r="E914" s="69"/>
      <c r="K914" s="68"/>
      <c r="L914" s="68"/>
      <c r="M914" s="68"/>
      <c r="O914" s="68"/>
      <c r="P914" s="68"/>
      <c r="Q914" s="68"/>
      <c r="R914" s="68"/>
      <c r="S914" s="68"/>
    </row>
    <row r="915" spans="1:19" ht="15.75" customHeight="1">
      <c r="A915" s="68"/>
      <c r="B915" s="68"/>
      <c r="D915" s="68"/>
      <c r="E915" s="69"/>
      <c r="K915" s="68"/>
      <c r="L915" s="68"/>
      <c r="M915" s="68"/>
      <c r="O915" s="68"/>
      <c r="P915" s="68"/>
      <c r="Q915" s="68"/>
      <c r="R915" s="68"/>
      <c r="S915" s="68"/>
    </row>
    <row r="916" spans="1:19" ht="15.75" customHeight="1">
      <c r="A916" s="68"/>
      <c r="B916" s="68"/>
      <c r="D916" s="68"/>
      <c r="E916" s="69"/>
      <c r="K916" s="68"/>
      <c r="L916" s="68"/>
      <c r="M916" s="68"/>
      <c r="O916" s="68"/>
      <c r="P916" s="68"/>
      <c r="Q916" s="68"/>
      <c r="R916" s="68"/>
      <c r="S916" s="68"/>
    </row>
    <row r="917" spans="1:19" ht="15.75" customHeight="1">
      <c r="A917" s="68"/>
      <c r="B917" s="68"/>
      <c r="D917" s="68"/>
      <c r="E917" s="69"/>
      <c r="K917" s="68"/>
      <c r="L917" s="68"/>
      <c r="M917" s="68"/>
      <c r="O917" s="68"/>
      <c r="P917" s="68"/>
      <c r="Q917" s="68"/>
      <c r="R917" s="68"/>
      <c r="S917" s="68"/>
    </row>
    <row r="918" spans="1:19" ht="15.75" customHeight="1">
      <c r="A918" s="68"/>
      <c r="B918" s="68"/>
      <c r="D918" s="68"/>
      <c r="E918" s="69"/>
      <c r="K918" s="68"/>
      <c r="L918" s="68"/>
      <c r="M918" s="68"/>
      <c r="O918" s="68"/>
      <c r="P918" s="68"/>
      <c r="Q918" s="68"/>
      <c r="R918" s="68"/>
      <c r="S918" s="68"/>
    </row>
    <row r="919" spans="1:19" ht="15.75" customHeight="1">
      <c r="A919" s="68"/>
      <c r="B919" s="68"/>
      <c r="D919" s="68"/>
      <c r="E919" s="69"/>
      <c r="K919" s="68"/>
      <c r="L919" s="68"/>
      <c r="M919" s="68"/>
      <c r="O919" s="68"/>
      <c r="P919" s="68"/>
      <c r="Q919" s="68"/>
      <c r="R919" s="68"/>
      <c r="S919" s="68"/>
    </row>
    <row r="920" spans="1:19" ht="15.75" customHeight="1">
      <c r="A920" s="68"/>
      <c r="B920" s="68"/>
      <c r="D920" s="68"/>
      <c r="E920" s="69"/>
      <c r="K920" s="68"/>
      <c r="L920" s="68"/>
      <c r="M920" s="68"/>
      <c r="O920" s="68"/>
      <c r="P920" s="68"/>
      <c r="Q920" s="68"/>
      <c r="R920" s="68"/>
      <c r="S920" s="68"/>
    </row>
    <row r="921" spans="1:19" ht="15.75" customHeight="1">
      <c r="A921" s="68"/>
      <c r="B921" s="68"/>
      <c r="D921" s="68"/>
      <c r="E921" s="69"/>
      <c r="K921" s="68"/>
      <c r="L921" s="68"/>
      <c r="M921" s="68"/>
      <c r="O921" s="68"/>
      <c r="P921" s="68"/>
      <c r="Q921" s="68"/>
      <c r="R921" s="68"/>
      <c r="S921" s="68"/>
    </row>
    <row r="922" spans="1:19" ht="15.75" customHeight="1">
      <c r="A922" s="68"/>
      <c r="B922" s="68"/>
      <c r="D922" s="68"/>
      <c r="E922" s="69"/>
      <c r="K922" s="68"/>
      <c r="L922" s="68"/>
      <c r="M922" s="68"/>
      <c r="O922" s="68"/>
      <c r="P922" s="68"/>
      <c r="Q922" s="68"/>
      <c r="R922" s="68"/>
      <c r="S922" s="68"/>
    </row>
    <row r="923" spans="1:19" ht="15.75" customHeight="1">
      <c r="A923" s="68"/>
      <c r="B923" s="68"/>
      <c r="D923" s="68"/>
      <c r="E923" s="69"/>
      <c r="K923" s="68"/>
      <c r="L923" s="68"/>
      <c r="M923" s="68"/>
      <c r="O923" s="68"/>
      <c r="P923" s="68"/>
      <c r="Q923" s="68"/>
      <c r="R923" s="68"/>
      <c r="S923" s="68"/>
    </row>
    <row r="924" spans="1:19" ht="15.75" customHeight="1">
      <c r="A924" s="68"/>
      <c r="B924" s="68"/>
      <c r="D924" s="68"/>
      <c r="E924" s="69"/>
      <c r="K924" s="68"/>
      <c r="L924" s="68"/>
      <c r="M924" s="68"/>
      <c r="O924" s="68"/>
      <c r="P924" s="68"/>
      <c r="Q924" s="68"/>
      <c r="R924" s="68"/>
      <c r="S924" s="68"/>
    </row>
    <row r="925" spans="1:19" ht="15.75" customHeight="1">
      <c r="A925" s="68"/>
      <c r="B925" s="68"/>
      <c r="D925" s="68"/>
      <c r="E925" s="69"/>
      <c r="K925" s="68"/>
      <c r="L925" s="68"/>
      <c r="M925" s="68"/>
      <c r="O925" s="68"/>
      <c r="P925" s="68"/>
      <c r="Q925" s="68"/>
      <c r="R925" s="68"/>
      <c r="S925" s="68"/>
    </row>
    <row r="926" spans="1:19" ht="15.75" customHeight="1">
      <c r="A926" s="68"/>
      <c r="B926" s="68"/>
      <c r="D926" s="68"/>
      <c r="E926" s="69"/>
      <c r="K926" s="68"/>
      <c r="L926" s="68"/>
      <c r="M926" s="68"/>
      <c r="O926" s="68"/>
      <c r="P926" s="68"/>
      <c r="Q926" s="68"/>
      <c r="R926" s="68"/>
      <c r="S926" s="68"/>
    </row>
    <row r="927" spans="1:19" ht="15.75" customHeight="1">
      <c r="A927" s="68"/>
      <c r="B927" s="68"/>
      <c r="D927" s="68"/>
      <c r="E927" s="69"/>
      <c r="K927" s="68"/>
      <c r="L927" s="68"/>
      <c r="M927" s="68"/>
      <c r="O927" s="68"/>
      <c r="P927" s="68"/>
      <c r="Q927" s="68"/>
      <c r="R927" s="68"/>
      <c r="S927" s="68"/>
    </row>
    <row r="928" spans="1:19" ht="15.75" customHeight="1">
      <c r="A928" s="68"/>
      <c r="B928" s="68"/>
      <c r="D928" s="68"/>
      <c r="E928" s="69"/>
      <c r="K928" s="68"/>
      <c r="L928" s="68"/>
      <c r="M928" s="68"/>
      <c r="O928" s="68"/>
      <c r="P928" s="68"/>
      <c r="Q928" s="68"/>
      <c r="R928" s="68"/>
      <c r="S928" s="68"/>
    </row>
    <row r="929" spans="1:19" ht="15.75" customHeight="1">
      <c r="A929" s="68"/>
      <c r="B929" s="68"/>
      <c r="D929" s="68"/>
      <c r="E929" s="69"/>
      <c r="K929" s="68"/>
      <c r="L929" s="68"/>
      <c r="M929" s="68"/>
      <c r="O929" s="68"/>
      <c r="P929" s="68"/>
      <c r="Q929" s="68"/>
      <c r="R929" s="68"/>
      <c r="S929" s="68"/>
    </row>
    <row r="930" spans="1:19" ht="15.75" customHeight="1">
      <c r="A930" s="68"/>
      <c r="B930" s="68"/>
      <c r="D930" s="68"/>
      <c r="E930" s="69"/>
      <c r="K930" s="68"/>
      <c r="L930" s="68"/>
      <c r="M930" s="68"/>
      <c r="O930" s="68"/>
      <c r="P930" s="68"/>
      <c r="Q930" s="68"/>
      <c r="R930" s="68"/>
      <c r="S930" s="68"/>
    </row>
    <row r="931" spans="1:19" ht="15.75" customHeight="1">
      <c r="A931" s="68"/>
      <c r="B931" s="68"/>
      <c r="D931" s="68"/>
      <c r="E931" s="69"/>
      <c r="K931" s="68"/>
      <c r="L931" s="68"/>
      <c r="M931" s="68"/>
      <c r="O931" s="68"/>
      <c r="P931" s="68"/>
      <c r="Q931" s="68"/>
      <c r="R931" s="68"/>
      <c r="S931" s="68"/>
    </row>
    <row r="932" spans="1:19" ht="15.75" customHeight="1">
      <c r="A932" s="68"/>
      <c r="B932" s="68"/>
      <c r="D932" s="68"/>
      <c r="E932" s="69"/>
      <c r="K932" s="68"/>
      <c r="L932" s="68"/>
      <c r="M932" s="68"/>
      <c r="O932" s="68"/>
      <c r="P932" s="68"/>
      <c r="Q932" s="68"/>
      <c r="R932" s="68"/>
      <c r="S932" s="68"/>
    </row>
    <row r="933" spans="1:19" ht="15.75" customHeight="1">
      <c r="A933" s="68"/>
      <c r="B933" s="68"/>
      <c r="D933" s="68"/>
      <c r="E933" s="69"/>
      <c r="K933" s="68"/>
      <c r="L933" s="68"/>
      <c r="M933" s="68"/>
      <c r="O933" s="68"/>
      <c r="P933" s="68"/>
      <c r="Q933" s="68"/>
      <c r="R933" s="68"/>
      <c r="S933" s="68"/>
    </row>
    <row r="934" spans="1:19" ht="15.75" customHeight="1">
      <c r="A934" s="68"/>
      <c r="B934" s="68"/>
      <c r="D934" s="68"/>
      <c r="E934" s="69"/>
      <c r="K934" s="68"/>
      <c r="L934" s="68"/>
      <c r="M934" s="68"/>
      <c r="O934" s="68"/>
      <c r="P934" s="68"/>
      <c r="Q934" s="68"/>
      <c r="R934" s="68"/>
      <c r="S934" s="68"/>
    </row>
    <row r="935" spans="1:19" ht="15.75" customHeight="1">
      <c r="A935" s="68"/>
      <c r="B935" s="68"/>
      <c r="D935" s="68"/>
      <c r="E935" s="69"/>
      <c r="K935" s="68"/>
      <c r="L935" s="68"/>
      <c r="M935" s="68"/>
      <c r="O935" s="68"/>
      <c r="P935" s="68"/>
      <c r="Q935" s="68"/>
      <c r="R935" s="68"/>
      <c r="S935" s="68"/>
    </row>
    <row r="936" spans="1:19" ht="15.75" customHeight="1">
      <c r="A936" s="68"/>
      <c r="B936" s="68"/>
      <c r="D936" s="68"/>
      <c r="E936" s="69"/>
      <c r="K936" s="68"/>
      <c r="L936" s="68"/>
      <c r="M936" s="68"/>
      <c r="O936" s="68"/>
      <c r="P936" s="68"/>
      <c r="Q936" s="68"/>
      <c r="R936" s="68"/>
      <c r="S936" s="68"/>
    </row>
    <row r="937" spans="1:19" ht="15.75" customHeight="1">
      <c r="A937" s="68"/>
      <c r="B937" s="68"/>
      <c r="D937" s="68"/>
      <c r="E937" s="69"/>
      <c r="K937" s="68"/>
      <c r="L937" s="68"/>
      <c r="M937" s="68"/>
      <c r="O937" s="68"/>
      <c r="P937" s="68"/>
      <c r="Q937" s="68"/>
      <c r="R937" s="68"/>
      <c r="S937" s="68"/>
    </row>
    <row r="938" spans="1:19" ht="15.75" customHeight="1">
      <c r="A938" s="68"/>
      <c r="B938" s="68"/>
      <c r="D938" s="68"/>
      <c r="E938" s="69"/>
      <c r="K938" s="68"/>
      <c r="L938" s="68"/>
      <c r="M938" s="68"/>
      <c r="O938" s="68"/>
      <c r="P938" s="68"/>
      <c r="Q938" s="68"/>
      <c r="R938" s="68"/>
      <c r="S938" s="68"/>
    </row>
    <row r="939" spans="1:19" ht="15.75" customHeight="1">
      <c r="A939" s="68"/>
      <c r="B939" s="68"/>
      <c r="D939" s="68"/>
      <c r="E939" s="69"/>
      <c r="K939" s="68"/>
      <c r="L939" s="68"/>
      <c r="M939" s="68"/>
      <c r="O939" s="68"/>
      <c r="P939" s="68"/>
      <c r="Q939" s="68"/>
      <c r="R939" s="68"/>
      <c r="S939" s="68"/>
    </row>
    <row r="940" spans="1:19" ht="15.75" customHeight="1">
      <c r="A940" s="68"/>
      <c r="B940" s="68"/>
      <c r="D940" s="68"/>
      <c r="E940" s="69"/>
      <c r="K940" s="68"/>
      <c r="L940" s="68"/>
      <c r="M940" s="68"/>
      <c r="O940" s="68"/>
      <c r="P940" s="68"/>
      <c r="Q940" s="68"/>
      <c r="R940" s="68"/>
      <c r="S940" s="68"/>
    </row>
    <row r="941" spans="1:19" ht="15.75" customHeight="1">
      <c r="A941" s="68"/>
      <c r="B941" s="68"/>
      <c r="D941" s="68"/>
      <c r="E941" s="69"/>
      <c r="K941" s="68"/>
      <c r="L941" s="68"/>
      <c r="M941" s="68"/>
      <c r="O941" s="68"/>
      <c r="P941" s="68"/>
      <c r="Q941" s="68"/>
      <c r="R941" s="68"/>
      <c r="S941" s="68"/>
    </row>
    <row r="942" spans="1:19" ht="15.75" customHeight="1">
      <c r="A942" s="68"/>
      <c r="B942" s="68"/>
      <c r="D942" s="68"/>
      <c r="E942" s="69"/>
      <c r="K942" s="68"/>
      <c r="L942" s="68"/>
      <c r="M942" s="68"/>
      <c r="O942" s="68"/>
      <c r="P942" s="68"/>
      <c r="Q942" s="68"/>
      <c r="R942" s="68"/>
      <c r="S942" s="68"/>
    </row>
    <row r="943" spans="1:19" ht="15.75" customHeight="1">
      <c r="A943" s="68"/>
      <c r="B943" s="68"/>
      <c r="D943" s="68"/>
      <c r="E943" s="69"/>
      <c r="K943" s="68"/>
      <c r="L943" s="68"/>
      <c r="M943" s="68"/>
      <c r="O943" s="68"/>
      <c r="P943" s="68"/>
      <c r="Q943" s="68"/>
      <c r="R943" s="68"/>
      <c r="S943" s="68"/>
    </row>
    <row r="944" spans="1:19" ht="15.75" customHeight="1">
      <c r="A944" s="68"/>
      <c r="B944" s="68"/>
      <c r="D944" s="68"/>
      <c r="E944" s="69"/>
      <c r="K944" s="68"/>
      <c r="L944" s="68"/>
      <c r="M944" s="68"/>
      <c r="O944" s="68"/>
      <c r="P944" s="68"/>
      <c r="Q944" s="68"/>
      <c r="R944" s="68"/>
      <c r="S944" s="68"/>
    </row>
    <row r="945" spans="1:19" ht="15.75" customHeight="1">
      <c r="A945" s="68"/>
      <c r="B945" s="68"/>
      <c r="D945" s="68"/>
      <c r="E945" s="69"/>
      <c r="K945" s="68"/>
      <c r="L945" s="68"/>
      <c r="M945" s="68"/>
      <c r="O945" s="68"/>
      <c r="P945" s="68"/>
      <c r="Q945" s="68"/>
      <c r="R945" s="68"/>
      <c r="S945" s="68"/>
    </row>
    <row r="946" spans="1:19" ht="15.75" customHeight="1">
      <c r="A946" s="68"/>
      <c r="B946" s="68"/>
      <c r="D946" s="68"/>
      <c r="E946" s="69"/>
      <c r="K946" s="68"/>
      <c r="L946" s="68"/>
      <c r="M946" s="68"/>
      <c r="O946" s="68"/>
      <c r="P946" s="68"/>
      <c r="Q946" s="68"/>
      <c r="R946" s="68"/>
      <c r="S946" s="68"/>
    </row>
    <row r="947" spans="1:19" ht="15.75" customHeight="1">
      <c r="A947" s="68"/>
      <c r="B947" s="68"/>
      <c r="D947" s="68"/>
      <c r="E947" s="69"/>
      <c r="K947" s="68"/>
      <c r="L947" s="68"/>
      <c r="M947" s="68"/>
      <c r="O947" s="68"/>
      <c r="P947" s="68"/>
      <c r="Q947" s="68"/>
      <c r="R947" s="68"/>
      <c r="S947" s="68"/>
    </row>
    <row r="948" spans="1:19" ht="15.75" customHeight="1">
      <c r="A948" s="68"/>
      <c r="B948" s="68"/>
      <c r="D948" s="68"/>
      <c r="E948" s="69"/>
      <c r="K948" s="68"/>
      <c r="L948" s="68"/>
      <c r="M948" s="68"/>
      <c r="O948" s="68"/>
      <c r="P948" s="68"/>
      <c r="Q948" s="68"/>
      <c r="R948" s="68"/>
      <c r="S948" s="68"/>
    </row>
    <row r="949" spans="1:19" ht="15.75" customHeight="1">
      <c r="A949" s="68"/>
      <c r="B949" s="68"/>
      <c r="D949" s="68"/>
      <c r="E949" s="69"/>
      <c r="K949" s="68"/>
      <c r="L949" s="68"/>
      <c r="M949" s="68"/>
      <c r="O949" s="68"/>
      <c r="P949" s="68"/>
      <c r="Q949" s="68"/>
      <c r="R949" s="68"/>
      <c r="S949" s="68"/>
    </row>
    <row r="950" spans="1:19" ht="15.75" customHeight="1">
      <c r="A950" s="68"/>
      <c r="B950" s="68"/>
      <c r="D950" s="68"/>
      <c r="E950" s="69"/>
      <c r="K950" s="68"/>
      <c r="L950" s="68"/>
      <c r="M950" s="68"/>
      <c r="O950" s="68"/>
      <c r="P950" s="68"/>
      <c r="Q950" s="68"/>
      <c r="R950" s="68"/>
      <c r="S950" s="68"/>
    </row>
    <row r="951" spans="1:19" ht="15.75" customHeight="1">
      <c r="A951" s="68"/>
      <c r="B951" s="68"/>
      <c r="D951" s="68"/>
      <c r="E951" s="69"/>
      <c r="K951" s="68"/>
      <c r="L951" s="68"/>
      <c r="M951" s="68"/>
      <c r="O951" s="68"/>
      <c r="P951" s="68"/>
      <c r="Q951" s="68"/>
      <c r="R951" s="68"/>
      <c r="S951" s="68"/>
    </row>
    <row r="952" spans="1:19" ht="15.75" customHeight="1">
      <c r="A952" s="68"/>
      <c r="B952" s="68"/>
      <c r="D952" s="68"/>
      <c r="E952" s="69"/>
      <c r="K952" s="68"/>
      <c r="L952" s="68"/>
      <c r="M952" s="68"/>
      <c r="O952" s="68"/>
      <c r="P952" s="68"/>
      <c r="Q952" s="68"/>
      <c r="R952" s="68"/>
      <c r="S952" s="68"/>
    </row>
    <row r="953" spans="1:19" ht="15.75" customHeight="1">
      <c r="A953" s="68"/>
      <c r="B953" s="68"/>
      <c r="D953" s="68"/>
      <c r="E953" s="69"/>
      <c r="K953" s="68"/>
      <c r="L953" s="68"/>
      <c r="M953" s="68"/>
      <c r="O953" s="68"/>
      <c r="P953" s="68"/>
      <c r="Q953" s="68"/>
      <c r="R953" s="68"/>
      <c r="S953" s="68"/>
    </row>
    <row r="954" spans="1:19" ht="15.75" customHeight="1">
      <c r="A954" s="68"/>
      <c r="B954" s="68"/>
      <c r="D954" s="68"/>
      <c r="E954" s="69"/>
      <c r="K954" s="68"/>
      <c r="L954" s="68"/>
      <c r="M954" s="68"/>
      <c r="O954" s="68"/>
      <c r="P954" s="68"/>
      <c r="Q954" s="68"/>
      <c r="R954" s="68"/>
      <c r="S954" s="68"/>
    </row>
    <row r="955" spans="1:19" ht="15.75" customHeight="1">
      <c r="A955" s="68"/>
      <c r="B955" s="68"/>
      <c r="D955" s="68"/>
      <c r="E955" s="69"/>
      <c r="K955" s="68"/>
      <c r="L955" s="68"/>
      <c r="M955" s="68"/>
      <c r="O955" s="68"/>
      <c r="P955" s="68"/>
      <c r="Q955" s="68"/>
      <c r="R955" s="68"/>
      <c r="S955" s="68"/>
    </row>
    <row r="956" spans="1:19" ht="15.75" customHeight="1">
      <c r="A956" s="68"/>
      <c r="B956" s="68"/>
      <c r="D956" s="68"/>
      <c r="E956" s="69"/>
      <c r="K956" s="68"/>
      <c r="L956" s="68"/>
      <c r="M956" s="68"/>
      <c r="O956" s="68"/>
      <c r="P956" s="68"/>
      <c r="Q956" s="68"/>
      <c r="R956" s="68"/>
      <c r="S956" s="68"/>
    </row>
    <row r="957" spans="1:19" ht="15.75" customHeight="1">
      <c r="A957" s="68"/>
      <c r="B957" s="68"/>
      <c r="D957" s="68"/>
      <c r="E957" s="69"/>
      <c r="K957" s="68"/>
      <c r="L957" s="68"/>
      <c r="M957" s="68"/>
      <c r="O957" s="68"/>
      <c r="P957" s="68"/>
      <c r="Q957" s="68"/>
      <c r="R957" s="68"/>
      <c r="S957" s="68"/>
    </row>
    <row r="958" spans="1:19" ht="15.75" customHeight="1">
      <c r="A958" s="68"/>
      <c r="B958" s="68"/>
      <c r="D958" s="68"/>
      <c r="E958" s="69"/>
      <c r="K958" s="68"/>
      <c r="L958" s="68"/>
      <c r="M958" s="68"/>
      <c r="O958" s="68"/>
      <c r="P958" s="68"/>
      <c r="Q958" s="68"/>
      <c r="R958" s="68"/>
      <c r="S958" s="68"/>
    </row>
    <row r="959" spans="1:19" ht="15.75" customHeight="1">
      <c r="A959" s="68"/>
      <c r="B959" s="68"/>
      <c r="D959" s="68"/>
      <c r="E959" s="69"/>
      <c r="K959" s="68"/>
      <c r="L959" s="68"/>
      <c r="M959" s="68"/>
      <c r="O959" s="68"/>
      <c r="P959" s="68"/>
      <c r="Q959" s="68"/>
      <c r="R959" s="68"/>
      <c r="S959" s="68"/>
    </row>
    <row r="960" spans="1:19" ht="15.75" customHeight="1">
      <c r="A960" s="68"/>
      <c r="B960" s="68"/>
      <c r="D960" s="68"/>
      <c r="E960" s="69"/>
      <c r="K960" s="68"/>
      <c r="L960" s="68"/>
      <c r="M960" s="68"/>
      <c r="O960" s="68"/>
      <c r="P960" s="68"/>
      <c r="Q960" s="68"/>
      <c r="R960" s="68"/>
      <c r="S960" s="68"/>
    </row>
    <row r="961" spans="1:19" ht="15.75" customHeight="1">
      <c r="A961" s="68"/>
      <c r="B961" s="68"/>
      <c r="D961" s="68"/>
      <c r="E961" s="69"/>
      <c r="K961" s="68"/>
      <c r="L961" s="68"/>
      <c r="M961" s="68"/>
      <c r="O961" s="68"/>
      <c r="P961" s="68"/>
      <c r="Q961" s="68"/>
      <c r="R961" s="68"/>
      <c r="S961" s="68"/>
    </row>
    <row r="962" spans="1:19" ht="15.75" customHeight="1">
      <c r="A962" s="68"/>
      <c r="B962" s="68"/>
      <c r="D962" s="68"/>
      <c r="E962" s="69"/>
      <c r="K962" s="68"/>
      <c r="L962" s="68"/>
      <c r="M962" s="68"/>
      <c r="O962" s="68"/>
      <c r="P962" s="68"/>
      <c r="Q962" s="68"/>
      <c r="R962" s="68"/>
      <c r="S962" s="68"/>
    </row>
    <row r="963" spans="1:19" ht="15.75" customHeight="1">
      <c r="A963" s="68"/>
      <c r="B963" s="68"/>
      <c r="D963" s="68"/>
      <c r="E963" s="69"/>
      <c r="K963" s="68"/>
      <c r="L963" s="68"/>
      <c r="M963" s="68"/>
      <c r="O963" s="68"/>
      <c r="P963" s="68"/>
      <c r="Q963" s="68"/>
      <c r="R963" s="68"/>
      <c r="S963" s="68"/>
    </row>
    <row r="964" spans="1:19" ht="15.75" customHeight="1">
      <c r="A964" s="68"/>
      <c r="B964" s="68"/>
      <c r="D964" s="68"/>
      <c r="E964" s="69"/>
      <c r="K964" s="68"/>
      <c r="L964" s="68"/>
      <c r="M964" s="68"/>
      <c r="O964" s="68"/>
      <c r="P964" s="68"/>
      <c r="Q964" s="68"/>
      <c r="R964" s="68"/>
      <c r="S964" s="68"/>
    </row>
    <row r="965" spans="1:19" ht="15.75" customHeight="1">
      <c r="A965" s="68"/>
      <c r="B965" s="68"/>
      <c r="D965" s="68"/>
      <c r="E965" s="69"/>
      <c r="K965" s="68"/>
      <c r="L965" s="68"/>
      <c r="M965" s="68"/>
      <c r="O965" s="68"/>
      <c r="P965" s="68"/>
      <c r="Q965" s="68"/>
      <c r="R965" s="68"/>
      <c r="S965" s="68"/>
    </row>
    <row r="966" spans="1:19" ht="15.75" customHeight="1">
      <c r="A966" s="68"/>
      <c r="B966" s="68"/>
      <c r="D966" s="68"/>
      <c r="E966" s="69"/>
      <c r="K966" s="68"/>
      <c r="L966" s="68"/>
      <c r="M966" s="68"/>
      <c r="O966" s="68"/>
      <c r="P966" s="68"/>
      <c r="Q966" s="68"/>
      <c r="R966" s="68"/>
      <c r="S966" s="68"/>
    </row>
    <row r="967" spans="1:19" ht="15.75" customHeight="1">
      <c r="A967" s="68"/>
      <c r="B967" s="68"/>
      <c r="D967" s="68"/>
      <c r="E967" s="69"/>
      <c r="K967" s="68"/>
      <c r="L967" s="68"/>
      <c r="M967" s="68"/>
      <c r="O967" s="68"/>
      <c r="P967" s="68"/>
      <c r="Q967" s="68"/>
      <c r="R967" s="68"/>
      <c r="S967" s="68"/>
    </row>
    <row r="968" spans="1:19" ht="15.75" customHeight="1">
      <c r="A968" s="68"/>
      <c r="B968" s="68"/>
      <c r="D968" s="68"/>
      <c r="E968" s="69"/>
      <c r="K968" s="68"/>
      <c r="L968" s="68"/>
      <c r="M968" s="68"/>
      <c r="O968" s="68"/>
      <c r="P968" s="68"/>
      <c r="Q968" s="68"/>
      <c r="R968" s="68"/>
      <c r="S968" s="68"/>
    </row>
    <row r="969" spans="1:19" ht="15.75" customHeight="1">
      <c r="A969" s="68"/>
      <c r="B969" s="68"/>
      <c r="D969" s="68"/>
      <c r="E969" s="69"/>
      <c r="K969" s="68"/>
      <c r="L969" s="68"/>
      <c r="M969" s="68"/>
      <c r="O969" s="68"/>
      <c r="P969" s="68"/>
      <c r="Q969" s="68"/>
      <c r="R969" s="68"/>
      <c r="S969" s="68"/>
    </row>
    <row r="970" spans="1:19" ht="15.75" customHeight="1">
      <c r="A970" s="68"/>
      <c r="B970" s="68"/>
      <c r="D970" s="68"/>
      <c r="E970" s="69"/>
      <c r="K970" s="68"/>
      <c r="L970" s="68"/>
      <c r="M970" s="68"/>
      <c r="O970" s="68"/>
      <c r="P970" s="68"/>
      <c r="Q970" s="68"/>
      <c r="R970" s="68"/>
      <c r="S970" s="68"/>
    </row>
    <row r="971" spans="1:19" ht="15.75" customHeight="1">
      <c r="A971" s="68"/>
      <c r="B971" s="68"/>
      <c r="D971" s="68"/>
      <c r="E971" s="69"/>
      <c r="K971" s="68"/>
      <c r="L971" s="68"/>
      <c r="M971" s="68"/>
      <c r="O971" s="68"/>
      <c r="P971" s="68"/>
      <c r="Q971" s="68"/>
      <c r="R971" s="68"/>
      <c r="S971" s="68"/>
    </row>
    <row r="972" spans="1:19" ht="15.75" customHeight="1">
      <c r="A972" s="68"/>
      <c r="B972" s="68"/>
      <c r="D972" s="68"/>
      <c r="E972" s="69"/>
      <c r="K972" s="68"/>
      <c r="L972" s="68"/>
      <c r="M972" s="68"/>
      <c r="O972" s="68"/>
      <c r="P972" s="68"/>
      <c r="Q972" s="68"/>
      <c r="R972" s="68"/>
      <c r="S972" s="68"/>
    </row>
    <row r="973" spans="1:19" ht="15.75" customHeight="1">
      <c r="A973" s="68"/>
      <c r="B973" s="68"/>
      <c r="D973" s="68"/>
      <c r="E973" s="69"/>
      <c r="K973" s="68"/>
      <c r="L973" s="68"/>
      <c r="M973" s="68"/>
      <c r="O973" s="68"/>
      <c r="P973" s="68"/>
      <c r="Q973" s="68"/>
      <c r="R973" s="68"/>
      <c r="S973" s="68"/>
    </row>
    <row r="974" spans="1:19" ht="15.75" customHeight="1">
      <c r="A974" s="68"/>
      <c r="B974" s="68"/>
      <c r="D974" s="68"/>
      <c r="E974" s="69"/>
      <c r="K974" s="68"/>
      <c r="L974" s="68"/>
      <c r="M974" s="68"/>
      <c r="O974" s="68"/>
      <c r="P974" s="68"/>
      <c r="Q974" s="68"/>
      <c r="R974" s="68"/>
      <c r="S974" s="68"/>
    </row>
    <row r="975" spans="1:19" ht="15.75" customHeight="1">
      <c r="A975" s="68"/>
      <c r="B975" s="68"/>
      <c r="D975" s="68"/>
      <c r="E975" s="69"/>
      <c r="K975" s="68"/>
      <c r="L975" s="68"/>
      <c r="M975" s="68"/>
      <c r="O975" s="68"/>
      <c r="P975" s="68"/>
      <c r="Q975" s="68"/>
      <c r="R975" s="68"/>
      <c r="S975" s="68"/>
    </row>
    <row r="976" spans="1:19" ht="15.75" customHeight="1">
      <c r="A976" s="68"/>
      <c r="B976" s="68"/>
      <c r="D976" s="68"/>
      <c r="E976" s="69"/>
      <c r="K976" s="68"/>
      <c r="L976" s="68"/>
      <c r="M976" s="68"/>
      <c r="O976" s="68"/>
      <c r="P976" s="68"/>
      <c r="Q976" s="68"/>
      <c r="R976" s="68"/>
      <c r="S976" s="68"/>
    </row>
    <row r="977" spans="1:19" ht="15.75" customHeight="1">
      <c r="A977" s="68"/>
      <c r="B977" s="68"/>
      <c r="D977" s="68"/>
      <c r="E977" s="69"/>
      <c r="K977" s="68"/>
      <c r="L977" s="68"/>
      <c r="M977" s="68"/>
      <c r="O977" s="68"/>
      <c r="P977" s="68"/>
      <c r="Q977" s="68"/>
      <c r="R977" s="68"/>
      <c r="S977" s="68"/>
    </row>
    <row r="978" spans="1:19" ht="15.75" customHeight="1">
      <c r="A978" s="68"/>
      <c r="B978" s="68"/>
      <c r="D978" s="68"/>
      <c r="E978" s="69"/>
      <c r="K978" s="68"/>
      <c r="L978" s="68"/>
      <c r="M978" s="68"/>
      <c r="O978" s="68"/>
      <c r="P978" s="68"/>
      <c r="Q978" s="68"/>
      <c r="R978" s="68"/>
      <c r="S978" s="68"/>
    </row>
    <row r="979" spans="1:19" ht="15.75" customHeight="1">
      <c r="A979" s="68"/>
      <c r="B979" s="68"/>
      <c r="D979" s="68"/>
      <c r="E979" s="69"/>
      <c r="K979" s="68"/>
      <c r="L979" s="68"/>
      <c r="M979" s="68"/>
      <c r="O979" s="68"/>
      <c r="P979" s="68"/>
      <c r="Q979" s="68"/>
      <c r="R979" s="68"/>
      <c r="S979" s="68"/>
    </row>
    <row r="980" spans="1:19" ht="15.75" customHeight="1">
      <c r="A980" s="68"/>
      <c r="B980" s="68"/>
      <c r="D980" s="68"/>
      <c r="E980" s="69"/>
      <c r="K980" s="68"/>
      <c r="L980" s="68"/>
      <c r="M980" s="68"/>
      <c r="O980" s="68"/>
      <c r="P980" s="68"/>
      <c r="Q980" s="68"/>
      <c r="R980" s="68"/>
      <c r="S980" s="68"/>
    </row>
    <row r="981" spans="1:19" ht="15.75" customHeight="1">
      <c r="A981" s="68"/>
      <c r="B981" s="68"/>
      <c r="D981" s="68"/>
      <c r="E981" s="69"/>
      <c r="K981" s="68"/>
      <c r="L981" s="68"/>
      <c r="M981" s="68"/>
      <c r="O981" s="68"/>
      <c r="P981" s="68"/>
      <c r="Q981" s="68"/>
      <c r="R981" s="68"/>
      <c r="S981" s="68"/>
    </row>
    <row r="982" spans="1:19" ht="15.75" customHeight="1">
      <c r="A982" s="68"/>
      <c r="B982" s="68"/>
      <c r="D982" s="68"/>
      <c r="E982" s="69"/>
      <c r="K982" s="68"/>
      <c r="L982" s="68"/>
      <c r="M982" s="68"/>
      <c r="O982" s="68"/>
      <c r="P982" s="68"/>
      <c r="Q982" s="68"/>
      <c r="R982" s="68"/>
      <c r="S982" s="68"/>
    </row>
    <row r="983" spans="1:19" ht="15.75" customHeight="1">
      <c r="A983" s="68"/>
      <c r="B983" s="68"/>
      <c r="D983" s="68"/>
      <c r="E983" s="69"/>
      <c r="K983" s="68"/>
      <c r="L983" s="68"/>
      <c r="M983" s="68"/>
      <c r="O983" s="68"/>
      <c r="P983" s="68"/>
      <c r="Q983" s="68"/>
      <c r="R983" s="68"/>
      <c r="S983" s="68"/>
    </row>
    <row r="984" spans="1:19" ht="15.75" customHeight="1">
      <c r="A984" s="68"/>
      <c r="B984" s="68"/>
      <c r="D984" s="68"/>
      <c r="E984" s="69"/>
      <c r="K984" s="68"/>
      <c r="L984" s="68"/>
      <c r="M984" s="68"/>
      <c r="O984" s="68"/>
      <c r="P984" s="68"/>
      <c r="Q984" s="68"/>
      <c r="R984" s="68"/>
      <c r="S984" s="68"/>
    </row>
    <row r="985" spans="1:19" ht="15.75" customHeight="1">
      <c r="A985" s="68"/>
      <c r="B985" s="68"/>
      <c r="D985" s="68"/>
      <c r="E985" s="69"/>
      <c r="K985" s="68"/>
      <c r="L985" s="68"/>
      <c r="M985" s="68"/>
      <c r="O985" s="68"/>
      <c r="P985" s="68"/>
      <c r="Q985" s="68"/>
      <c r="R985" s="68"/>
      <c r="S985" s="68"/>
    </row>
    <row r="986" spans="1:19" ht="15.75" customHeight="1">
      <c r="A986" s="68"/>
      <c r="B986" s="68"/>
      <c r="D986" s="68"/>
      <c r="E986" s="69"/>
      <c r="K986" s="68"/>
      <c r="L986" s="68"/>
      <c r="M986" s="68"/>
      <c r="O986" s="68"/>
      <c r="P986" s="68"/>
      <c r="Q986" s="68"/>
      <c r="R986" s="68"/>
      <c r="S986" s="68"/>
    </row>
    <row r="987" spans="1:19" ht="15.75" customHeight="1">
      <c r="A987" s="68"/>
      <c r="B987" s="68"/>
      <c r="D987" s="68"/>
      <c r="E987" s="69"/>
      <c r="K987" s="68"/>
      <c r="L987" s="68"/>
      <c r="M987" s="68"/>
      <c r="O987" s="68"/>
      <c r="P987" s="68"/>
      <c r="Q987" s="68"/>
      <c r="R987" s="68"/>
      <c r="S987" s="68"/>
    </row>
    <row r="988" spans="1:19" ht="15.75" customHeight="1">
      <c r="A988" s="68"/>
      <c r="B988" s="68"/>
      <c r="D988" s="68"/>
      <c r="E988" s="69"/>
      <c r="K988" s="68"/>
      <c r="L988" s="68"/>
      <c r="M988" s="68"/>
      <c r="O988" s="68"/>
      <c r="P988" s="68"/>
      <c r="Q988" s="68"/>
      <c r="R988" s="68"/>
      <c r="S988" s="68"/>
    </row>
    <row r="989" spans="1:19" ht="15.75" customHeight="1">
      <c r="A989" s="68"/>
      <c r="B989" s="68"/>
      <c r="D989" s="68"/>
      <c r="E989" s="69"/>
      <c r="K989" s="68"/>
      <c r="L989" s="68"/>
      <c r="M989" s="68"/>
      <c r="O989" s="68"/>
      <c r="P989" s="68"/>
      <c r="Q989" s="68"/>
      <c r="R989" s="68"/>
      <c r="S989" s="68"/>
    </row>
    <row r="990" spans="1:19" ht="15.75" customHeight="1">
      <c r="A990" s="68"/>
      <c r="B990" s="68"/>
      <c r="D990" s="68"/>
      <c r="E990" s="69"/>
      <c r="K990" s="68"/>
      <c r="L990" s="68"/>
      <c r="M990" s="68"/>
      <c r="O990" s="68"/>
      <c r="P990" s="68"/>
      <c r="Q990" s="68"/>
      <c r="R990" s="68"/>
      <c r="S990" s="68"/>
    </row>
    <row r="991" spans="1:19" ht="15.75" customHeight="1">
      <c r="A991" s="68"/>
      <c r="B991" s="68"/>
      <c r="D991" s="68"/>
      <c r="E991" s="69"/>
      <c r="K991" s="68"/>
      <c r="L991" s="68"/>
      <c r="M991" s="68"/>
      <c r="O991" s="68"/>
      <c r="P991" s="68"/>
      <c r="Q991" s="68"/>
      <c r="R991" s="68"/>
      <c r="S991" s="68"/>
    </row>
    <row r="992" spans="1:19" ht="15.75" customHeight="1">
      <c r="A992" s="68"/>
      <c r="B992" s="68"/>
      <c r="D992" s="68"/>
      <c r="E992" s="69"/>
      <c r="K992" s="68"/>
      <c r="L992" s="68"/>
      <c r="M992" s="68"/>
      <c r="O992" s="68"/>
      <c r="P992" s="68"/>
      <c r="Q992" s="68"/>
      <c r="R992" s="68"/>
      <c r="S992" s="68"/>
    </row>
    <row r="993" spans="1:19" ht="15.75" customHeight="1">
      <c r="A993" s="68"/>
      <c r="B993" s="68"/>
      <c r="D993" s="68"/>
      <c r="E993" s="69"/>
      <c r="K993" s="68"/>
      <c r="L993" s="68"/>
      <c r="M993" s="68"/>
      <c r="O993" s="68"/>
      <c r="P993" s="68"/>
      <c r="Q993" s="68"/>
      <c r="R993" s="68"/>
      <c r="S993" s="68"/>
    </row>
    <row r="994" spans="1:19" ht="15.75" customHeight="1">
      <c r="A994" s="68"/>
      <c r="B994" s="68"/>
      <c r="D994" s="68"/>
      <c r="E994" s="69"/>
      <c r="K994" s="68"/>
      <c r="L994" s="68"/>
      <c r="M994" s="68"/>
      <c r="O994" s="68"/>
      <c r="P994" s="68"/>
      <c r="Q994" s="68"/>
      <c r="R994" s="68"/>
      <c r="S994" s="68"/>
    </row>
    <row r="995" spans="1:19" ht="15.75" customHeight="1">
      <c r="A995" s="68"/>
      <c r="B995" s="68"/>
      <c r="D995" s="68"/>
      <c r="E995" s="69"/>
      <c r="K995" s="68"/>
      <c r="L995" s="68"/>
      <c r="M995" s="68"/>
      <c r="O995" s="68"/>
      <c r="P995" s="68"/>
      <c r="Q995" s="68"/>
      <c r="R995" s="68"/>
      <c r="S995" s="68"/>
    </row>
    <row r="996" spans="1:19" ht="15.75" customHeight="1">
      <c r="A996" s="68"/>
      <c r="B996" s="68"/>
      <c r="D996" s="68"/>
      <c r="E996" s="69"/>
      <c r="K996" s="68"/>
      <c r="L996" s="68"/>
      <c r="M996" s="68"/>
      <c r="O996" s="68"/>
      <c r="P996" s="68"/>
      <c r="Q996" s="68"/>
      <c r="R996" s="68"/>
      <c r="S996" s="68"/>
    </row>
    <row r="997" spans="1:19" ht="15.75" customHeight="1">
      <c r="A997" s="68"/>
      <c r="B997" s="68"/>
      <c r="D997" s="68"/>
      <c r="E997" s="69"/>
      <c r="K997" s="68"/>
      <c r="L997" s="68"/>
      <c r="M997" s="68"/>
      <c r="O997" s="68"/>
      <c r="P997" s="68"/>
      <c r="Q997" s="68"/>
      <c r="R997" s="68"/>
      <c r="S997" s="68"/>
    </row>
    <row r="998" spans="1:19" ht="15.75" customHeight="1">
      <c r="A998" s="68"/>
      <c r="B998" s="68"/>
      <c r="D998" s="68"/>
      <c r="E998" s="69"/>
      <c r="K998" s="68"/>
      <c r="L998" s="68"/>
      <c r="M998" s="68"/>
      <c r="O998" s="68"/>
      <c r="P998" s="68"/>
      <c r="Q998" s="68"/>
      <c r="R998" s="68"/>
      <c r="S998" s="68"/>
    </row>
    <row r="999" spans="1:19" ht="15.75" customHeight="1">
      <c r="A999" s="68"/>
      <c r="B999" s="68"/>
      <c r="D999" s="68"/>
      <c r="E999" s="69"/>
      <c r="K999" s="68"/>
      <c r="L999" s="68"/>
      <c r="M999" s="68"/>
      <c r="O999" s="68"/>
      <c r="P999" s="68"/>
      <c r="Q999" s="68"/>
      <c r="R999" s="68"/>
      <c r="S999" s="68"/>
    </row>
    <row r="1000" spans="1:19" ht="15.75" customHeight="1">
      <c r="A1000" s="68"/>
      <c r="B1000" s="68"/>
      <c r="D1000" s="68"/>
      <c r="E1000" s="69"/>
      <c r="K1000" s="68"/>
      <c r="L1000" s="68"/>
      <c r="M1000" s="68"/>
      <c r="O1000" s="68"/>
      <c r="P1000" s="68"/>
      <c r="Q1000" s="68"/>
      <c r="R1000" s="68"/>
      <c r="S1000" s="68"/>
    </row>
  </sheetData>
  <autoFilter ref="Q1:Q508"/>
  <mergeCells count="105">
    <mergeCell ref="H98:H102"/>
    <mergeCell ref="I103:I107"/>
    <mergeCell ref="K103:K107"/>
    <mergeCell ref="Q93:Q97"/>
    <mergeCell ref="R93:R97"/>
    <mergeCell ref="N98:N102"/>
    <mergeCell ref="O98:O102"/>
    <mergeCell ref="P98:P102"/>
    <mergeCell ref="Q98:Q102"/>
    <mergeCell ref="R98:R102"/>
    <mergeCell ref="L103:L107"/>
    <mergeCell ref="M103:M107"/>
    <mergeCell ref="N103:N107"/>
    <mergeCell ref="O103:O107"/>
    <mergeCell ref="P103:P107"/>
    <mergeCell ref="Q103:Q107"/>
    <mergeCell ref="R103:R107"/>
    <mergeCell ref="N93:N97"/>
    <mergeCell ref="O93:O97"/>
    <mergeCell ref="P93:P97"/>
    <mergeCell ref="L98:L102"/>
    <mergeCell ref="M98:M102"/>
    <mergeCell ref="I98:I102"/>
    <mergeCell ref="K98:K102"/>
    <mergeCell ref="A40:A41"/>
    <mergeCell ref="B40:B41"/>
    <mergeCell ref="D40:D41"/>
    <mergeCell ref="A43:A63"/>
    <mergeCell ref="B43:B63"/>
    <mergeCell ref="D43:D63"/>
    <mergeCell ref="E57:E58"/>
    <mergeCell ref="A82:A107"/>
    <mergeCell ref="B82:B107"/>
    <mergeCell ref="C93:C97"/>
    <mergeCell ref="C98:C102"/>
    <mergeCell ref="C103:C107"/>
    <mergeCell ref="A68:A74"/>
    <mergeCell ref="B68:B74"/>
    <mergeCell ref="D68:D74"/>
    <mergeCell ref="A76:A80"/>
    <mergeCell ref="B76:B80"/>
    <mergeCell ref="D76:D80"/>
    <mergeCell ref="K93:K97"/>
    <mergeCell ref="L93:L97"/>
    <mergeCell ref="M93:M97"/>
    <mergeCell ref="F57:F58"/>
    <mergeCell ref="G57:G58"/>
    <mergeCell ref="H57:H58"/>
    <mergeCell ref="A65:A66"/>
    <mergeCell ref="B65:B66"/>
    <mergeCell ref="D65:D66"/>
    <mergeCell ref="F93:F97"/>
    <mergeCell ref="G93:G97"/>
    <mergeCell ref="H93:H97"/>
    <mergeCell ref="I93:I97"/>
    <mergeCell ref="E19:E20"/>
    <mergeCell ref="E93:E97"/>
    <mergeCell ref="E98:E102"/>
    <mergeCell ref="D82:D107"/>
    <mergeCell ref="E82:E84"/>
    <mergeCell ref="E86:E92"/>
    <mergeCell ref="E103:E107"/>
    <mergeCell ref="F103:F107"/>
    <mergeCell ref="G103:G107"/>
    <mergeCell ref="F98:F102"/>
    <mergeCell ref="G98:G102"/>
    <mergeCell ref="H103:H107"/>
    <mergeCell ref="F19:F20"/>
    <mergeCell ref="G19:G20"/>
    <mergeCell ref="A4:A20"/>
    <mergeCell ref="B4:B20"/>
    <mergeCell ref="D4:D20"/>
    <mergeCell ref="E5:E6"/>
    <mergeCell ref="D35:D37"/>
    <mergeCell ref="D38:D39"/>
    <mergeCell ref="A21:A29"/>
    <mergeCell ref="B21:B29"/>
    <mergeCell ref="D21:D29"/>
    <mergeCell ref="A30:A34"/>
    <mergeCell ref="B30:B34"/>
    <mergeCell ref="D30:D34"/>
    <mergeCell ref="A35:A37"/>
    <mergeCell ref="B35:B37"/>
    <mergeCell ref="A38:A39"/>
    <mergeCell ref="B38:B39"/>
    <mergeCell ref="E13:E14"/>
    <mergeCell ref="F13:F14"/>
    <mergeCell ref="G13:G14"/>
    <mergeCell ref="E15:E16"/>
    <mergeCell ref="F15:F16"/>
    <mergeCell ref="G15:G16"/>
    <mergeCell ref="E17:E18"/>
    <mergeCell ref="F17:F18"/>
    <mergeCell ref="G17:G18"/>
    <mergeCell ref="F5:F6"/>
    <mergeCell ref="G5:G6"/>
    <mergeCell ref="E7:E8"/>
    <mergeCell ref="F7:F8"/>
    <mergeCell ref="G7:G8"/>
    <mergeCell ref="E9:E10"/>
    <mergeCell ref="F9:F10"/>
    <mergeCell ref="G9:G10"/>
    <mergeCell ref="E11:E12"/>
    <mergeCell ref="F11:F12"/>
    <mergeCell ref="G11:G12"/>
  </mergeCells>
  <conditionalFormatting sqref="I3:J3">
    <cfRule type="cellIs" dxfId="733" priority="1" stopIfTrue="1" operator="equal">
      <formula>"OK"</formula>
    </cfRule>
  </conditionalFormatting>
  <conditionalFormatting sqref="I3:J3">
    <cfRule type="cellIs" dxfId="732" priority="2" stopIfTrue="1" operator="equal">
      <formula>"Fail"</formula>
    </cfRule>
  </conditionalFormatting>
  <conditionalFormatting sqref="I3:J3">
    <cfRule type="cellIs" dxfId="731" priority="3" stopIfTrue="1" operator="equal">
      <formula>"OK"</formula>
    </cfRule>
  </conditionalFormatting>
  <conditionalFormatting sqref="I3:J3">
    <cfRule type="cellIs" dxfId="730" priority="4" stopIfTrue="1" operator="equal">
      <formula>"Fail"</formula>
    </cfRule>
  </conditionalFormatting>
  <conditionalFormatting sqref="K3:K28 L3 K30:K39 K42 K64:L64 K67:L67 K75:L75 K81:L81">
    <cfRule type="containsText" dxfId="729" priority="5" operator="containsText" text="NG">
      <formula>NOT(ISERROR(SEARCH(("NG"),(K3))))</formula>
    </cfRule>
  </conditionalFormatting>
  <conditionalFormatting sqref="K3:K28 L3 K30:K39 K42 K64:L64 K67:L67 K75:L75 K81:L81">
    <cfRule type="containsText" dxfId="728" priority="6" operator="containsText" text="OK">
      <formula>NOT(ISERROR(SEARCH(("OK"),(K3))))</formula>
    </cfRule>
  </conditionalFormatting>
  <conditionalFormatting sqref="I64:J64 I67:J67 I75:J75 I81:J81">
    <cfRule type="cellIs" dxfId="727" priority="7" stopIfTrue="1" operator="equal">
      <formula>"OK"</formula>
    </cfRule>
  </conditionalFormatting>
  <conditionalFormatting sqref="I64:J64 I67:J67 I75:J75 I81:J81">
    <cfRule type="cellIs" dxfId="726" priority="8" stopIfTrue="1" operator="equal">
      <formula>"Fail"</formula>
    </cfRule>
  </conditionalFormatting>
  <conditionalFormatting sqref="I64:J64 I67:J67 I75:J75 I81:J81">
    <cfRule type="cellIs" dxfId="725" priority="9" stopIfTrue="1" operator="equal">
      <formula>"OK"</formula>
    </cfRule>
  </conditionalFormatting>
  <conditionalFormatting sqref="I64:J64 I67:J67 I75:J75 I81:J81">
    <cfRule type="cellIs" dxfId="724" priority="10" stopIfTrue="1" operator="equal">
      <formula>"Fail"</formula>
    </cfRule>
  </conditionalFormatting>
  <conditionalFormatting sqref="L4:L20">
    <cfRule type="containsText" dxfId="723" priority="11" operator="containsText" text="NG">
      <formula>NOT(ISERROR(SEARCH(("NG"),(L4))))</formula>
    </cfRule>
  </conditionalFormatting>
  <conditionalFormatting sqref="L4:L20">
    <cfRule type="containsText" dxfId="722" priority="12" operator="containsText" text="OK">
      <formula>NOT(ISERROR(SEARCH(("OK"),(L4))))</formula>
    </cfRule>
  </conditionalFormatting>
  <conditionalFormatting sqref="L21:L28">
    <cfRule type="containsText" dxfId="721" priority="13" operator="containsText" text="NG">
      <formula>NOT(ISERROR(SEARCH(("NG"),(L21))))</formula>
    </cfRule>
  </conditionalFormatting>
  <conditionalFormatting sqref="L21:L28">
    <cfRule type="containsText" dxfId="720" priority="14" operator="containsText" text="OK">
      <formula>NOT(ISERROR(SEARCH(("OK"),(L21))))</formula>
    </cfRule>
  </conditionalFormatting>
  <conditionalFormatting sqref="L30:L34">
    <cfRule type="containsText" dxfId="719" priority="15" operator="containsText" text="NG">
      <formula>NOT(ISERROR(SEARCH(("NG"),(L30))))</formula>
    </cfRule>
  </conditionalFormatting>
  <conditionalFormatting sqref="L30:L34">
    <cfRule type="containsText" dxfId="718" priority="16" operator="containsText" text="OK">
      <formula>NOT(ISERROR(SEARCH(("OK"),(L30))))</formula>
    </cfRule>
  </conditionalFormatting>
  <conditionalFormatting sqref="L35:L39">
    <cfRule type="containsText" dxfId="717" priority="17" operator="containsText" text="NG">
      <formula>NOT(ISERROR(SEARCH(("NG"),(L35))))</formula>
    </cfRule>
  </conditionalFormatting>
  <conditionalFormatting sqref="L35:L39">
    <cfRule type="containsText" dxfId="716" priority="18" operator="containsText" text="OK">
      <formula>NOT(ISERROR(SEARCH(("OK"),(L35))))</formula>
    </cfRule>
  </conditionalFormatting>
  <conditionalFormatting sqref="N82:N93 N98 N103">
    <cfRule type="containsText" dxfId="715" priority="19" operator="containsText" text="미해당">
      <formula>NOT(ISERROR(SEARCH(("미해당"),(N82))))</formula>
    </cfRule>
  </conditionalFormatting>
  <conditionalFormatting sqref="L82:L93 L98 L103">
    <cfRule type="containsText" dxfId="714" priority="20" operator="containsText" text="NG">
      <formula>NOT(ISERROR(SEARCH(("NG"),(L82))))</formula>
    </cfRule>
  </conditionalFormatting>
  <conditionalFormatting sqref="L82:L93 L98 L103">
    <cfRule type="containsText" dxfId="713" priority="21" operator="containsText" text="OK">
      <formula>NOT(ISERROR(SEARCH(("OK"),(L82))))</formula>
    </cfRule>
  </conditionalFormatting>
  <conditionalFormatting sqref="L65:L66">
    <cfRule type="containsText" dxfId="712" priority="22" operator="containsText" text="NG">
      <formula>NOT(ISERROR(SEARCH(("NG"),(L65))))</formula>
    </cfRule>
  </conditionalFormatting>
  <conditionalFormatting sqref="L65:L66">
    <cfRule type="containsText" dxfId="711" priority="23" operator="containsText" text="OK">
      <formula>NOT(ISERROR(SEARCH(("OK"),(L65))))</formula>
    </cfRule>
  </conditionalFormatting>
  <conditionalFormatting sqref="L76:L78">
    <cfRule type="containsText" dxfId="710" priority="24" operator="containsText" text="NG">
      <formula>NOT(ISERROR(SEARCH(("NG"),(L76))))</formula>
    </cfRule>
  </conditionalFormatting>
  <conditionalFormatting sqref="L76:L78">
    <cfRule type="containsText" dxfId="709" priority="25" operator="containsText" text="OK">
      <formula>NOT(ISERROR(SEARCH(("OK"),(L76))))</formula>
    </cfRule>
  </conditionalFormatting>
  <conditionalFormatting sqref="L79">
    <cfRule type="containsText" dxfId="708" priority="26" operator="containsText" text="NG">
      <formula>NOT(ISERROR(SEARCH(("NG"),(L79))))</formula>
    </cfRule>
  </conditionalFormatting>
  <conditionalFormatting sqref="L79">
    <cfRule type="containsText" dxfId="707" priority="27" operator="containsText" text="OK">
      <formula>NOT(ISERROR(SEARCH(("OK"),(L79))))</formula>
    </cfRule>
  </conditionalFormatting>
  <conditionalFormatting sqref="L68:L73">
    <cfRule type="containsText" dxfId="706" priority="28" operator="containsText" text="NG">
      <formula>NOT(ISERROR(SEARCH(("NG"),(L68))))</formula>
    </cfRule>
  </conditionalFormatting>
  <conditionalFormatting sqref="L68:L73">
    <cfRule type="containsText" dxfId="705" priority="29" operator="containsText" text="OK">
      <formula>NOT(ISERROR(SEARCH(("OK"),(L68))))</formula>
    </cfRule>
  </conditionalFormatting>
  <conditionalFormatting sqref="K65:K66">
    <cfRule type="containsText" dxfId="704" priority="30" operator="containsText" text="NG">
      <formula>NOT(ISERROR(SEARCH(("NG"),(K65))))</formula>
    </cfRule>
  </conditionalFormatting>
  <conditionalFormatting sqref="K65:K66">
    <cfRule type="containsText" dxfId="703" priority="31" operator="containsText" text="OK">
      <formula>NOT(ISERROR(SEARCH(("OK"),(K65))))</formula>
    </cfRule>
  </conditionalFormatting>
  <conditionalFormatting sqref="K68:K73">
    <cfRule type="containsText" dxfId="702" priority="32" operator="containsText" text="NG">
      <formula>NOT(ISERROR(SEARCH(("NG"),(K68))))</formula>
    </cfRule>
  </conditionalFormatting>
  <conditionalFormatting sqref="K68:K73">
    <cfRule type="containsText" dxfId="701" priority="33" operator="containsText" text="OK">
      <formula>NOT(ISERROR(SEARCH(("OK"),(K68))))</formula>
    </cfRule>
  </conditionalFormatting>
  <conditionalFormatting sqref="K76:K79">
    <cfRule type="containsText" dxfId="700" priority="34" operator="containsText" text="NG">
      <formula>NOT(ISERROR(SEARCH(("NG"),(K76))))</formula>
    </cfRule>
  </conditionalFormatting>
  <conditionalFormatting sqref="K76:K79">
    <cfRule type="containsText" dxfId="699" priority="35" operator="containsText" text="OK">
      <formula>NOT(ISERROR(SEARCH(("OK"),(K76))))</formula>
    </cfRule>
  </conditionalFormatting>
  <conditionalFormatting sqref="K82:K93 K98 K103">
    <cfRule type="containsText" dxfId="698" priority="36" operator="containsText" text="NG">
      <formula>NOT(ISERROR(SEARCH(("NG"),(K82))))</formula>
    </cfRule>
  </conditionalFormatting>
  <conditionalFormatting sqref="K82:K93 K98 K103">
    <cfRule type="containsText" dxfId="697" priority="37" operator="containsText" text="OK">
      <formula>NOT(ISERROR(SEARCH(("OK"),(K82))))</formula>
    </cfRule>
  </conditionalFormatting>
  <conditionalFormatting sqref="K29">
    <cfRule type="containsText" dxfId="696" priority="38" operator="containsText" text="NG">
      <formula>NOT(ISERROR(SEARCH(("NG"),(K29))))</formula>
    </cfRule>
  </conditionalFormatting>
  <conditionalFormatting sqref="K29">
    <cfRule type="containsText" dxfId="695" priority="39" operator="containsText" text="OK">
      <formula>NOT(ISERROR(SEARCH(("OK"),(K29))))</formula>
    </cfRule>
  </conditionalFormatting>
  <conditionalFormatting sqref="L29">
    <cfRule type="containsText" dxfId="694" priority="40" operator="containsText" text="NG">
      <formula>NOT(ISERROR(SEARCH(("NG"),(L29))))</formula>
    </cfRule>
  </conditionalFormatting>
  <conditionalFormatting sqref="L29">
    <cfRule type="containsText" dxfId="693" priority="41" operator="containsText" text="OK">
      <formula>NOT(ISERROR(SEARCH(("OK"),(L29))))</formula>
    </cfRule>
  </conditionalFormatting>
  <conditionalFormatting sqref="L42">
    <cfRule type="containsText" dxfId="692" priority="42" operator="containsText" text="NG">
      <formula>NOT(ISERROR(SEARCH(("NG"),(L42))))</formula>
    </cfRule>
  </conditionalFormatting>
  <conditionalFormatting sqref="L42">
    <cfRule type="containsText" dxfId="691" priority="43" operator="containsText" text="OK">
      <formula>NOT(ISERROR(SEARCH(("OK"),(L42))))</formula>
    </cfRule>
  </conditionalFormatting>
  <conditionalFormatting sqref="L74">
    <cfRule type="containsText" dxfId="690" priority="44" operator="containsText" text="NG">
      <formula>NOT(ISERROR(SEARCH(("NG"),(L74))))</formula>
    </cfRule>
  </conditionalFormatting>
  <conditionalFormatting sqref="L74">
    <cfRule type="containsText" dxfId="689" priority="45" operator="containsText" text="OK">
      <formula>NOT(ISERROR(SEARCH(("OK"),(L74))))</formula>
    </cfRule>
  </conditionalFormatting>
  <conditionalFormatting sqref="K74">
    <cfRule type="containsText" dxfId="688" priority="46" operator="containsText" text="NG">
      <formula>NOT(ISERROR(SEARCH(("NG"),(K74))))</formula>
    </cfRule>
  </conditionalFormatting>
  <conditionalFormatting sqref="K74">
    <cfRule type="containsText" dxfId="687" priority="47" operator="containsText" text="OK">
      <formula>NOT(ISERROR(SEARCH(("OK"),(K74))))</formula>
    </cfRule>
  </conditionalFormatting>
  <conditionalFormatting sqref="L80">
    <cfRule type="containsText" dxfId="686" priority="48" operator="containsText" text="NG">
      <formula>NOT(ISERROR(SEARCH(("NG"),(L80))))</formula>
    </cfRule>
  </conditionalFormatting>
  <conditionalFormatting sqref="L80">
    <cfRule type="containsText" dxfId="685" priority="49" operator="containsText" text="OK">
      <formula>NOT(ISERROR(SEARCH(("OK"),(L80))))</formula>
    </cfRule>
  </conditionalFormatting>
  <conditionalFormatting sqref="K80">
    <cfRule type="containsText" dxfId="684" priority="50" operator="containsText" text="NG">
      <formula>NOT(ISERROR(SEARCH(("NG"),(K80))))</formula>
    </cfRule>
  </conditionalFormatting>
  <conditionalFormatting sqref="K80">
    <cfRule type="containsText" dxfId="683" priority="51" operator="containsText" text="OK">
      <formula>NOT(ISERROR(SEARCH(("OK"),(K80))))</formula>
    </cfRule>
  </conditionalFormatting>
  <conditionalFormatting sqref="K40:K41">
    <cfRule type="containsText" dxfId="682" priority="52" operator="containsText" text="NG">
      <formula>NOT(ISERROR(SEARCH(("NG"),(K40))))</formula>
    </cfRule>
  </conditionalFormatting>
  <conditionalFormatting sqref="K40:K41">
    <cfRule type="containsText" dxfId="681" priority="53" operator="containsText" text="OK">
      <formula>NOT(ISERROR(SEARCH(("OK"),(K40))))</formula>
    </cfRule>
  </conditionalFormatting>
  <conditionalFormatting sqref="L40:L41">
    <cfRule type="containsText" dxfId="680" priority="54" operator="containsText" text="NG">
      <formula>NOT(ISERROR(SEARCH(("NG"),(L40))))</formula>
    </cfRule>
  </conditionalFormatting>
  <conditionalFormatting sqref="L40:L41">
    <cfRule type="containsText" dxfId="679" priority="55" operator="containsText" text="OK">
      <formula>NOT(ISERROR(SEARCH(("OK"),(L40))))</formula>
    </cfRule>
  </conditionalFormatting>
  <conditionalFormatting sqref="K43:L63">
    <cfRule type="containsText" dxfId="678" priority="56" operator="containsText" text="NG">
      <formula>NOT(ISERROR(SEARCH(("NG"),(K43))))</formula>
    </cfRule>
  </conditionalFormatting>
  <conditionalFormatting sqref="K43:L63">
    <cfRule type="containsText" dxfId="677" priority="57" operator="containsText" text="OK">
      <formula>NOT(ISERROR(SEARCH(("OK"),(K43))))</formula>
    </cfRule>
  </conditionalFormatting>
  <conditionalFormatting sqref="M82:M83 M85:M86 M88:M89 M91:M93 M103">
    <cfRule type="containsText" dxfId="676" priority="58" operator="containsText" text="미해당">
      <formula>NOT(ISERROR(SEARCH(("미해당"),(M82))))</formula>
    </cfRule>
  </conditionalFormatting>
  <dataValidations count="3">
    <dataValidation type="list" allowBlank="1" showErrorMessage="1" sqref="O4:P29 O43:P54 O68 O76">
      <formula1>"필수,중요,선택"</formula1>
    </dataValidation>
    <dataValidation type="list" allowBlank="1" showErrorMessage="1" sqref="K4:L93 K98:L98 K103:L103">
      <formula1>"Pass,Fail,NA"</formula1>
    </dataValidation>
    <dataValidation type="list" allowBlank="1" showErrorMessage="1" sqref="O30:P42 O55:P59 O65:P66 P68 O69:P74 P76 O77:P80 O82:P93 O98:P98 O103:P103">
      <formula1>"Proto,M/CAR,Pilot,M,SOP"</formula1>
    </dataValidation>
  </dataValidations>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002060"/>
  </sheetPr>
  <dimension ref="A1:AA1000"/>
  <sheetViews>
    <sheetView topLeftCell="G1" workbookViewId="0">
      <pane ySplit="2" topLeftCell="A3" activePane="bottomLeft" state="frozen"/>
      <selection pane="bottomLeft" activeCell="J3" sqref="J3"/>
    </sheetView>
  </sheetViews>
  <sheetFormatPr defaultColWidth="14.42578125" defaultRowHeight="15" customHeight="1"/>
  <cols>
    <col min="1" max="1" width="34.42578125" customWidth="1"/>
    <col min="2" max="2" width="10.140625" customWidth="1"/>
    <col min="3" max="3" width="9" customWidth="1"/>
    <col min="4" max="4" width="43.28515625" customWidth="1"/>
    <col min="5" max="5" width="61.7109375" customWidth="1"/>
    <col min="6" max="7" width="5.42578125" customWidth="1"/>
    <col min="8" max="8" width="90.7109375" customWidth="1"/>
    <col min="9" max="9" width="65.7109375" customWidth="1"/>
    <col min="10" max="10" width="50" style="326" customWidth="1"/>
    <col min="11" max="11" width="9" customWidth="1"/>
    <col min="12" max="12" width="15.28515625" customWidth="1"/>
    <col min="13" max="13" width="11.42578125" customWidth="1"/>
    <col min="14" max="15" width="9" customWidth="1"/>
    <col min="16" max="17" width="7.42578125" customWidth="1"/>
    <col min="18" max="18" width="22.28515625" customWidth="1"/>
    <col min="19" max="19" width="7.42578125" customWidth="1"/>
    <col min="20" max="27" width="9" customWidth="1"/>
  </cols>
  <sheetData>
    <row r="1" spans="1:27" ht="39.75" customHeight="1">
      <c r="A1" s="8"/>
      <c r="B1" s="11" t="str">
        <f t="array" ref="B1">"MEM_"&amp;TEXT(MAX(IFERROR(--MID($B$2:$B$5002,5,3),0)),"000")</f>
        <v>MEM_058</v>
      </c>
      <c r="C1" s="113"/>
      <c r="D1" s="8"/>
      <c r="E1" s="9"/>
      <c r="F1" s="4"/>
      <c r="G1" s="4"/>
      <c r="H1" s="118"/>
      <c r="I1" s="7"/>
      <c r="J1" s="10"/>
      <c r="K1" s="11"/>
      <c r="L1" s="3"/>
      <c r="M1" s="11"/>
      <c r="N1" s="3"/>
      <c r="O1" s="11"/>
      <c r="P1" s="11"/>
      <c r="Q1" s="11"/>
      <c r="R1" s="11"/>
      <c r="S1" s="11"/>
      <c r="T1" s="3"/>
      <c r="U1" s="3"/>
      <c r="V1" s="3"/>
      <c r="W1" s="3"/>
    </row>
    <row r="2" spans="1:27" ht="39" customHeight="1">
      <c r="A2" s="12" t="s">
        <v>309</v>
      </c>
      <c r="B2" s="70" t="s">
        <v>310</v>
      </c>
      <c r="C2" s="205" t="s">
        <v>311</v>
      </c>
      <c r="D2" s="12" t="s">
        <v>312</v>
      </c>
      <c r="E2" s="12" t="s">
        <v>313</v>
      </c>
      <c r="F2" s="70" t="s">
        <v>314</v>
      </c>
      <c r="G2" s="70" t="s">
        <v>315</v>
      </c>
      <c r="H2" s="12" t="s">
        <v>316</v>
      </c>
      <c r="I2" s="12" t="s">
        <v>317</v>
      </c>
      <c r="J2" s="70" t="s">
        <v>7999</v>
      </c>
      <c r="K2" s="70" t="s">
        <v>291</v>
      </c>
      <c r="L2" s="70" t="s">
        <v>318</v>
      </c>
      <c r="M2" s="70" t="s">
        <v>293</v>
      </c>
      <c r="N2" s="13"/>
      <c r="O2" s="70" t="s">
        <v>319</v>
      </c>
      <c r="P2" s="70" t="s">
        <v>320</v>
      </c>
      <c r="Q2" s="70" t="s">
        <v>321</v>
      </c>
      <c r="R2" s="70" t="s">
        <v>1</v>
      </c>
      <c r="S2" s="70" t="s">
        <v>322</v>
      </c>
      <c r="T2" s="13"/>
      <c r="U2" s="13"/>
      <c r="V2" s="13"/>
      <c r="W2" s="13"/>
      <c r="X2" s="14"/>
      <c r="Y2" s="14"/>
      <c r="Z2" s="14"/>
      <c r="AA2" s="14"/>
    </row>
    <row r="3" spans="1:27" ht="56.25">
      <c r="A3" s="15" t="s">
        <v>4385</v>
      </c>
      <c r="B3" s="16"/>
      <c r="C3" s="111"/>
      <c r="D3" s="17"/>
      <c r="E3" s="18"/>
      <c r="F3" s="19"/>
      <c r="G3" s="19"/>
      <c r="H3" s="17"/>
      <c r="I3" s="20"/>
      <c r="J3" s="20"/>
      <c r="K3" s="16"/>
      <c r="L3" s="16"/>
      <c r="M3" s="71"/>
      <c r="N3" s="3"/>
      <c r="O3" s="16"/>
      <c r="P3" s="16"/>
      <c r="Q3" s="16"/>
      <c r="R3" s="16"/>
      <c r="S3" s="16"/>
      <c r="T3" s="3"/>
      <c r="U3" s="3"/>
      <c r="V3" s="3"/>
      <c r="W3" s="3"/>
    </row>
    <row r="4" spans="1:27" ht="45">
      <c r="A4" s="355" t="s">
        <v>4386</v>
      </c>
      <c r="B4" s="350" t="s">
        <v>58</v>
      </c>
      <c r="C4" s="61">
        <v>1</v>
      </c>
      <c r="D4" s="366" t="s">
        <v>4387</v>
      </c>
      <c r="E4" s="109" t="s">
        <v>4388</v>
      </c>
      <c r="F4" s="61" t="s">
        <v>2</v>
      </c>
      <c r="G4" s="61" t="s">
        <v>2</v>
      </c>
      <c r="H4" s="63" t="s">
        <v>4389</v>
      </c>
      <c r="I4" s="109" t="s">
        <v>4390</v>
      </c>
      <c r="J4" s="109"/>
      <c r="K4" s="25"/>
      <c r="L4" s="57"/>
      <c r="M4" s="43"/>
      <c r="N4" s="27"/>
      <c r="O4" s="28"/>
      <c r="P4" s="28"/>
      <c r="Q4" s="25" t="s">
        <v>282</v>
      </c>
      <c r="R4" s="25"/>
      <c r="S4" s="25"/>
      <c r="T4" s="55"/>
      <c r="U4" s="55"/>
      <c r="V4" s="55"/>
      <c r="W4" s="55"/>
      <c r="X4" s="65"/>
      <c r="Y4" s="65"/>
      <c r="Z4" s="65"/>
      <c r="AA4" s="65"/>
    </row>
    <row r="5" spans="1:27" ht="60">
      <c r="A5" s="344"/>
      <c r="B5" s="344"/>
      <c r="C5" s="61">
        <v>2</v>
      </c>
      <c r="D5" s="344"/>
      <c r="E5" s="109" t="s">
        <v>4391</v>
      </c>
      <c r="F5" s="61" t="s">
        <v>2</v>
      </c>
      <c r="G5" s="61" t="s">
        <v>2</v>
      </c>
      <c r="H5" s="63" t="s">
        <v>4392</v>
      </c>
      <c r="I5" s="109" t="s">
        <v>4393</v>
      </c>
      <c r="J5" s="109"/>
      <c r="K5" s="25"/>
      <c r="L5" s="57"/>
      <c r="M5" s="43"/>
      <c r="N5" s="27"/>
      <c r="O5" s="25"/>
      <c r="P5" s="25"/>
      <c r="Q5" s="25" t="s">
        <v>282</v>
      </c>
      <c r="R5" s="25"/>
      <c r="S5" s="25"/>
      <c r="T5" s="55"/>
      <c r="U5" s="55"/>
      <c r="V5" s="55"/>
      <c r="W5" s="55"/>
      <c r="X5" s="65"/>
      <c r="Y5" s="65"/>
      <c r="Z5" s="65"/>
      <c r="AA5" s="65"/>
    </row>
    <row r="6" spans="1:27" ht="60">
      <c r="A6" s="344"/>
      <c r="B6" s="344"/>
      <c r="C6" s="61">
        <v>3</v>
      </c>
      <c r="D6" s="344"/>
      <c r="E6" s="109" t="s">
        <v>4394</v>
      </c>
      <c r="F6" s="61" t="s">
        <v>2</v>
      </c>
      <c r="G6" s="61" t="s">
        <v>2</v>
      </c>
      <c r="H6" s="63" t="s">
        <v>4395</v>
      </c>
      <c r="I6" s="109" t="s">
        <v>4396</v>
      </c>
      <c r="J6" s="109"/>
      <c r="K6" s="25"/>
      <c r="L6" s="57"/>
      <c r="M6" s="43"/>
      <c r="N6" s="27"/>
      <c r="O6" s="25"/>
      <c r="P6" s="25"/>
      <c r="Q6" s="25" t="s">
        <v>282</v>
      </c>
      <c r="R6" s="25"/>
      <c r="S6" s="25"/>
      <c r="T6" s="55"/>
      <c r="U6" s="55"/>
      <c r="V6" s="55"/>
      <c r="W6" s="55"/>
      <c r="X6" s="65"/>
      <c r="Y6" s="65"/>
      <c r="Z6" s="65"/>
      <c r="AA6" s="65"/>
    </row>
    <row r="7" spans="1:27" ht="30">
      <c r="A7" s="353"/>
      <c r="B7" s="353"/>
      <c r="C7" s="86">
        <v>4</v>
      </c>
      <c r="D7" s="353"/>
      <c r="E7" s="181" t="s">
        <v>4397</v>
      </c>
      <c r="F7" s="86" t="s">
        <v>2</v>
      </c>
      <c r="G7" s="86" t="s">
        <v>2</v>
      </c>
      <c r="H7" s="175" t="s">
        <v>4398</v>
      </c>
      <c r="I7" s="109" t="s">
        <v>4399</v>
      </c>
      <c r="J7" s="109"/>
      <c r="K7" s="25"/>
      <c r="L7" s="57"/>
      <c r="M7" s="43"/>
      <c r="N7" s="27"/>
      <c r="O7" s="25"/>
      <c r="P7" s="25"/>
      <c r="Q7" s="25" t="s">
        <v>282</v>
      </c>
      <c r="R7" s="25" t="s">
        <v>305</v>
      </c>
      <c r="S7" s="25"/>
      <c r="T7" s="55"/>
      <c r="U7" s="55"/>
      <c r="V7" s="55"/>
      <c r="W7" s="55"/>
      <c r="X7" s="65"/>
      <c r="Y7" s="65"/>
      <c r="Z7" s="65"/>
      <c r="AA7" s="65"/>
    </row>
    <row r="8" spans="1:27" ht="240">
      <c r="A8" s="355" t="s">
        <v>4400</v>
      </c>
      <c r="B8" s="350" t="s">
        <v>59</v>
      </c>
      <c r="C8" s="61">
        <v>1</v>
      </c>
      <c r="D8" s="366" t="s">
        <v>4401</v>
      </c>
      <c r="E8" s="366" t="s">
        <v>4402</v>
      </c>
      <c r="F8" s="61" t="s">
        <v>2</v>
      </c>
      <c r="G8" s="61" t="s">
        <v>2</v>
      </c>
      <c r="H8" s="63" t="s">
        <v>4403</v>
      </c>
      <c r="I8" s="63" t="s">
        <v>4404</v>
      </c>
      <c r="J8" s="171"/>
      <c r="K8" s="25"/>
      <c r="L8" s="57"/>
      <c r="M8" s="26"/>
      <c r="N8" s="27"/>
      <c r="O8" s="25"/>
      <c r="P8" s="25"/>
      <c r="Q8" s="25" t="s">
        <v>282</v>
      </c>
      <c r="R8" s="25"/>
      <c r="S8" s="25"/>
      <c r="T8" s="55"/>
      <c r="U8" s="55"/>
      <c r="V8" s="55"/>
      <c r="W8" s="55"/>
      <c r="X8" s="65"/>
      <c r="Y8" s="65"/>
      <c r="Z8" s="65"/>
      <c r="AA8" s="65"/>
    </row>
    <row r="9" spans="1:27" ht="30">
      <c r="A9" s="344"/>
      <c r="B9" s="345"/>
      <c r="C9" s="61">
        <v>2</v>
      </c>
      <c r="D9" s="345"/>
      <c r="E9" s="345"/>
      <c r="F9" s="61" t="s">
        <v>2</v>
      </c>
      <c r="G9" s="61" t="s">
        <v>2</v>
      </c>
      <c r="H9" s="63" t="s">
        <v>4405</v>
      </c>
      <c r="I9" s="63" t="s">
        <v>4406</v>
      </c>
      <c r="J9" s="171"/>
      <c r="K9" s="25"/>
      <c r="L9" s="57"/>
      <c r="M9" s="26"/>
      <c r="N9" s="27"/>
      <c r="O9" s="25"/>
      <c r="P9" s="25"/>
      <c r="Q9" s="25" t="s">
        <v>282</v>
      </c>
      <c r="R9" s="25"/>
      <c r="S9" s="25"/>
      <c r="T9" s="55"/>
      <c r="U9" s="55"/>
      <c r="V9" s="55"/>
      <c r="W9" s="55"/>
      <c r="X9" s="65"/>
      <c r="Y9" s="65"/>
      <c r="Z9" s="65"/>
      <c r="AA9" s="65"/>
    </row>
    <row r="10" spans="1:27" ht="60">
      <c r="A10" s="355"/>
      <c r="B10" s="350" t="s">
        <v>60</v>
      </c>
      <c r="C10" s="74">
        <v>1</v>
      </c>
      <c r="D10" s="364" t="s">
        <v>4407</v>
      </c>
      <c r="E10" s="80" t="s">
        <v>3882</v>
      </c>
      <c r="F10" s="74" t="s">
        <v>2</v>
      </c>
      <c r="G10" s="74" t="s">
        <v>2</v>
      </c>
      <c r="H10" s="47" t="s">
        <v>4408</v>
      </c>
      <c r="I10" s="63" t="s">
        <v>4409</v>
      </c>
      <c r="J10" s="171"/>
      <c r="K10" s="25"/>
      <c r="L10" s="57"/>
      <c r="M10" s="26"/>
      <c r="N10" s="27"/>
      <c r="O10" s="25"/>
      <c r="P10" s="25"/>
      <c r="Q10" s="25" t="s">
        <v>282</v>
      </c>
      <c r="R10" s="25"/>
      <c r="S10" s="25"/>
      <c r="T10" s="55"/>
      <c r="U10" s="55"/>
      <c r="V10" s="55"/>
      <c r="W10" s="55"/>
      <c r="X10" s="65"/>
      <c r="Y10" s="65"/>
      <c r="Z10" s="65"/>
      <c r="AA10" s="65"/>
    </row>
    <row r="11" spans="1:27" ht="60">
      <c r="A11" s="344"/>
      <c r="B11" s="344"/>
      <c r="C11" s="74">
        <v>2</v>
      </c>
      <c r="D11" s="344"/>
      <c r="E11" s="80" t="s">
        <v>3885</v>
      </c>
      <c r="F11" s="74" t="s">
        <v>2</v>
      </c>
      <c r="G11" s="74" t="s">
        <v>2</v>
      </c>
      <c r="H11" s="47" t="s">
        <v>4408</v>
      </c>
      <c r="I11" s="63" t="s">
        <v>4409</v>
      </c>
      <c r="J11" s="171"/>
      <c r="K11" s="25"/>
      <c r="L11" s="57"/>
      <c r="M11" s="26"/>
      <c r="N11" s="27"/>
      <c r="O11" s="25"/>
      <c r="P11" s="25"/>
      <c r="Q11" s="25" t="s">
        <v>282</v>
      </c>
      <c r="R11" s="25" t="s">
        <v>7</v>
      </c>
      <c r="S11" s="25"/>
      <c r="T11" s="55"/>
      <c r="U11" s="55"/>
      <c r="V11" s="55"/>
      <c r="W11" s="55"/>
      <c r="X11" s="65"/>
      <c r="Y11" s="65"/>
      <c r="Z11" s="65"/>
      <c r="AA11" s="65"/>
    </row>
    <row r="12" spans="1:27" ht="60">
      <c r="A12" s="344"/>
      <c r="B12" s="344"/>
      <c r="C12" s="74">
        <v>3</v>
      </c>
      <c r="D12" s="344"/>
      <c r="E12" s="80" t="s">
        <v>3887</v>
      </c>
      <c r="F12" s="74" t="s">
        <v>2</v>
      </c>
      <c r="G12" s="74" t="s">
        <v>2</v>
      </c>
      <c r="H12" s="47" t="s">
        <v>4408</v>
      </c>
      <c r="I12" s="63" t="s">
        <v>4410</v>
      </c>
      <c r="J12" s="171"/>
      <c r="K12" s="25"/>
      <c r="L12" s="57"/>
      <c r="M12" s="26"/>
      <c r="N12" s="27"/>
      <c r="O12" s="25"/>
      <c r="P12" s="25"/>
      <c r="Q12" s="25" t="s">
        <v>282</v>
      </c>
      <c r="R12" s="25"/>
      <c r="S12" s="25"/>
      <c r="T12" s="55"/>
      <c r="U12" s="55"/>
      <c r="V12" s="55"/>
      <c r="W12" s="55"/>
      <c r="X12" s="65"/>
      <c r="Y12" s="65"/>
      <c r="Z12" s="65"/>
      <c r="AA12" s="65"/>
    </row>
    <row r="13" spans="1:27" ht="60">
      <c r="A13" s="344"/>
      <c r="B13" s="344"/>
      <c r="C13" s="74">
        <v>4</v>
      </c>
      <c r="D13" s="344"/>
      <c r="E13" s="80" t="s">
        <v>3888</v>
      </c>
      <c r="F13" s="74" t="s">
        <v>2</v>
      </c>
      <c r="G13" s="74" t="s">
        <v>2</v>
      </c>
      <c r="H13" s="47" t="s">
        <v>4408</v>
      </c>
      <c r="I13" s="63" t="s">
        <v>4410</v>
      </c>
      <c r="J13" s="171"/>
      <c r="K13" s="25"/>
      <c r="L13" s="57"/>
      <c r="M13" s="26"/>
      <c r="N13" s="27"/>
      <c r="O13" s="25"/>
      <c r="P13" s="25"/>
      <c r="Q13" s="25" t="s">
        <v>282</v>
      </c>
      <c r="R13" s="25" t="s">
        <v>7</v>
      </c>
      <c r="S13" s="25"/>
      <c r="T13" s="55"/>
      <c r="U13" s="55"/>
      <c r="V13" s="55"/>
      <c r="W13" s="55"/>
      <c r="X13" s="65"/>
      <c r="Y13" s="65"/>
      <c r="Z13" s="65"/>
      <c r="AA13" s="65"/>
    </row>
    <row r="14" spans="1:27" ht="60">
      <c r="A14" s="344"/>
      <c r="B14" s="344"/>
      <c r="C14" s="74">
        <v>5</v>
      </c>
      <c r="D14" s="344"/>
      <c r="E14" s="80" t="s">
        <v>3889</v>
      </c>
      <c r="F14" s="74" t="s">
        <v>2</v>
      </c>
      <c r="G14" s="74" t="s">
        <v>2</v>
      </c>
      <c r="H14" s="47" t="s">
        <v>4408</v>
      </c>
      <c r="I14" s="63" t="s">
        <v>4410</v>
      </c>
      <c r="J14" s="171"/>
      <c r="K14" s="25"/>
      <c r="L14" s="57"/>
      <c r="M14" s="26"/>
      <c r="N14" s="27"/>
      <c r="O14" s="25"/>
      <c r="P14" s="25"/>
      <c r="Q14" s="25" t="s">
        <v>282</v>
      </c>
      <c r="R14" s="25"/>
      <c r="S14" s="25"/>
      <c r="T14" s="55"/>
      <c r="U14" s="55"/>
      <c r="V14" s="55"/>
      <c r="W14" s="55"/>
      <c r="X14" s="65"/>
      <c r="Y14" s="65"/>
      <c r="Z14" s="65"/>
      <c r="AA14" s="65"/>
    </row>
    <row r="15" spans="1:27" ht="60">
      <c r="A15" s="344"/>
      <c r="B15" s="344"/>
      <c r="C15" s="74">
        <v>6</v>
      </c>
      <c r="D15" s="344"/>
      <c r="E15" s="80" t="s">
        <v>3890</v>
      </c>
      <c r="F15" s="74" t="s">
        <v>2</v>
      </c>
      <c r="G15" s="74" t="s">
        <v>2</v>
      </c>
      <c r="H15" s="47" t="s">
        <v>4408</v>
      </c>
      <c r="I15" s="63" t="s">
        <v>4410</v>
      </c>
      <c r="J15" s="171"/>
      <c r="K15" s="25"/>
      <c r="L15" s="57"/>
      <c r="M15" s="26"/>
      <c r="N15" s="27"/>
      <c r="O15" s="25"/>
      <c r="P15" s="25"/>
      <c r="Q15" s="25" t="s">
        <v>282</v>
      </c>
      <c r="R15" s="25" t="s">
        <v>7</v>
      </c>
      <c r="S15" s="25"/>
      <c r="T15" s="55"/>
      <c r="U15" s="55"/>
      <c r="V15" s="55"/>
      <c r="W15" s="55"/>
      <c r="X15" s="65"/>
      <c r="Y15" s="65"/>
      <c r="Z15" s="65"/>
      <c r="AA15" s="65"/>
    </row>
    <row r="16" spans="1:27" ht="45">
      <c r="A16" s="352"/>
      <c r="B16" s="352"/>
      <c r="C16" s="86">
        <v>7</v>
      </c>
      <c r="D16" s="352"/>
      <c r="E16" s="181" t="s">
        <v>3894</v>
      </c>
      <c r="F16" s="86" t="s">
        <v>2</v>
      </c>
      <c r="G16" s="86" t="s">
        <v>2</v>
      </c>
      <c r="H16" s="175" t="s">
        <v>4408</v>
      </c>
      <c r="I16" s="63" t="s">
        <v>4411</v>
      </c>
      <c r="J16" s="171"/>
      <c r="K16" s="25"/>
      <c r="L16" s="57"/>
      <c r="M16" s="26"/>
      <c r="N16" s="27"/>
      <c r="O16" s="25"/>
      <c r="P16" s="25"/>
      <c r="Q16" s="25" t="s">
        <v>282</v>
      </c>
      <c r="R16" s="25" t="s">
        <v>305</v>
      </c>
      <c r="S16" s="25"/>
      <c r="T16" s="55"/>
      <c r="U16" s="55"/>
      <c r="V16" s="55"/>
      <c r="W16" s="55"/>
      <c r="X16" s="65"/>
      <c r="Y16" s="65"/>
      <c r="Z16" s="65"/>
      <c r="AA16" s="65"/>
    </row>
    <row r="17" spans="1:27" ht="45">
      <c r="A17" s="344"/>
      <c r="B17" s="344"/>
      <c r="C17" s="74">
        <v>8</v>
      </c>
      <c r="D17" s="344"/>
      <c r="E17" s="80" t="s">
        <v>3891</v>
      </c>
      <c r="F17" s="74" t="s">
        <v>2</v>
      </c>
      <c r="G17" s="74" t="s">
        <v>2</v>
      </c>
      <c r="H17" s="47" t="s">
        <v>4408</v>
      </c>
      <c r="I17" s="63" t="s">
        <v>4412</v>
      </c>
      <c r="J17" s="171"/>
      <c r="K17" s="25"/>
      <c r="L17" s="57"/>
      <c r="M17" s="26"/>
      <c r="N17" s="27"/>
      <c r="O17" s="25"/>
      <c r="P17" s="25"/>
      <c r="Q17" s="25" t="s">
        <v>282</v>
      </c>
      <c r="R17" s="25"/>
      <c r="S17" s="25"/>
      <c r="T17" s="55"/>
      <c r="U17" s="55"/>
      <c r="V17" s="55"/>
      <c r="W17" s="55"/>
      <c r="X17" s="65"/>
      <c r="Y17" s="65"/>
      <c r="Z17" s="65"/>
      <c r="AA17" s="65"/>
    </row>
    <row r="18" spans="1:27" ht="90">
      <c r="A18" s="345"/>
      <c r="B18" s="345"/>
      <c r="C18" s="74">
        <v>9</v>
      </c>
      <c r="D18" s="345"/>
      <c r="E18" s="80" t="s">
        <v>4413</v>
      </c>
      <c r="F18" s="74" t="s">
        <v>2</v>
      </c>
      <c r="G18" s="74" t="s">
        <v>2</v>
      </c>
      <c r="H18" s="206" t="s">
        <v>4408</v>
      </c>
      <c r="I18" s="83" t="s">
        <v>4414</v>
      </c>
      <c r="J18" s="271"/>
      <c r="K18" s="25"/>
      <c r="L18" s="57"/>
      <c r="M18" s="26"/>
      <c r="N18" s="27"/>
      <c r="O18" s="25"/>
      <c r="P18" s="25"/>
      <c r="Q18" s="25" t="s">
        <v>282</v>
      </c>
      <c r="R18" s="25" t="s">
        <v>298</v>
      </c>
      <c r="S18" s="25"/>
      <c r="T18" s="55"/>
      <c r="U18" s="55"/>
      <c r="V18" s="55"/>
      <c r="W18" s="55"/>
      <c r="X18" s="65"/>
      <c r="Y18" s="65"/>
      <c r="Z18" s="65"/>
      <c r="AA18" s="65"/>
    </row>
    <row r="19" spans="1:27">
      <c r="A19" s="355"/>
      <c r="B19" s="350" t="s">
        <v>61</v>
      </c>
      <c r="C19" s="74">
        <v>1</v>
      </c>
      <c r="D19" s="364" t="s">
        <v>4415</v>
      </c>
      <c r="E19" s="47" t="s">
        <v>4416</v>
      </c>
      <c r="F19" s="74" t="s">
        <v>2</v>
      </c>
      <c r="G19" s="74" t="s">
        <v>2</v>
      </c>
      <c r="H19" s="47" t="s">
        <v>4405</v>
      </c>
      <c r="I19" s="63" t="s">
        <v>4417</v>
      </c>
      <c r="J19" s="171"/>
      <c r="K19" s="25"/>
      <c r="L19" s="57"/>
      <c r="M19" s="26"/>
      <c r="N19" s="27"/>
      <c r="O19" s="25"/>
      <c r="P19" s="25"/>
      <c r="Q19" s="25" t="s">
        <v>282</v>
      </c>
      <c r="R19" s="25"/>
      <c r="S19" s="25"/>
      <c r="T19" s="55"/>
      <c r="U19" s="55"/>
      <c r="V19" s="55"/>
      <c r="W19" s="55"/>
      <c r="X19" s="65"/>
      <c r="Y19" s="65"/>
      <c r="Z19" s="65"/>
      <c r="AA19" s="65"/>
    </row>
    <row r="20" spans="1:27">
      <c r="A20" s="344"/>
      <c r="B20" s="344"/>
      <c r="C20" s="74">
        <v>2</v>
      </c>
      <c r="D20" s="344"/>
      <c r="E20" s="47" t="s">
        <v>4418</v>
      </c>
      <c r="F20" s="74" t="s">
        <v>2</v>
      </c>
      <c r="G20" s="74" t="s">
        <v>2</v>
      </c>
      <c r="H20" s="47" t="s">
        <v>4405</v>
      </c>
      <c r="I20" s="63" t="s">
        <v>4419</v>
      </c>
      <c r="J20" s="171"/>
      <c r="K20" s="25"/>
      <c r="L20" s="57"/>
      <c r="M20" s="26"/>
      <c r="N20" s="27"/>
      <c r="O20" s="25"/>
      <c r="P20" s="25"/>
      <c r="Q20" s="25" t="s">
        <v>282</v>
      </c>
      <c r="R20" s="25"/>
      <c r="S20" s="25"/>
      <c r="T20" s="55"/>
      <c r="U20" s="55"/>
      <c r="V20" s="55"/>
      <c r="W20" s="55"/>
      <c r="X20" s="65"/>
      <c r="Y20" s="65"/>
      <c r="Z20" s="65"/>
      <c r="AA20" s="65"/>
    </row>
    <row r="21" spans="1:27" ht="15.75" customHeight="1">
      <c r="A21" s="344"/>
      <c r="B21" s="344"/>
      <c r="C21" s="74">
        <v>3</v>
      </c>
      <c r="D21" s="344"/>
      <c r="E21" s="47" t="s">
        <v>4420</v>
      </c>
      <c r="F21" s="74" t="s">
        <v>2</v>
      </c>
      <c r="G21" s="74" t="s">
        <v>2</v>
      </c>
      <c r="H21" s="47" t="s">
        <v>4405</v>
      </c>
      <c r="I21" s="63" t="s">
        <v>4421</v>
      </c>
      <c r="J21" s="171"/>
      <c r="K21" s="25"/>
      <c r="L21" s="57"/>
      <c r="M21" s="26"/>
      <c r="N21" s="27"/>
      <c r="O21" s="25"/>
      <c r="P21" s="25"/>
      <c r="Q21" s="25" t="s">
        <v>282</v>
      </c>
      <c r="R21" s="25"/>
      <c r="S21" s="25"/>
      <c r="T21" s="55"/>
      <c r="U21" s="55"/>
      <c r="V21" s="55"/>
      <c r="W21" s="55"/>
      <c r="X21" s="65"/>
      <c r="Y21" s="65"/>
      <c r="Z21" s="65"/>
      <c r="AA21" s="65"/>
    </row>
    <row r="22" spans="1:27" ht="15.75" customHeight="1">
      <c r="A22" s="344"/>
      <c r="B22" s="344"/>
      <c r="C22" s="74">
        <v>4</v>
      </c>
      <c r="D22" s="344"/>
      <c r="E22" s="47" t="s">
        <v>4422</v>
      </c>
      <c r="F22" s="74" t="s">
        <v>2</v>
      </c>
      <c r="G22" s="74" t="s">
        <v>2</v>
      </c>
      <c r="H22" s="47" t="s">
        <v>4405</v>
      </c>
      <c r="I22" s="63" t="s">
        <v>4423</v>
      </c>
      <c r="J22" s="171"/>
      <c r="K22" s="25"/>
      <c r="L22" s="57"/>
      <c r="M22" s="26"/>
      <c r="N22" s="27"/>
      <c r="O22" s="25"/>
      <c r="P22" s="25"/>
      <c r="Q22" s="25" t="s">
        <v>282</v>
      </c>
      <c r="R22" s="25"/>
      <c r="S22" s="25"/>
      <c r="T22" s="55"/>
      <c r="U22" s="55"/>
      <c r="V22" s="55"/>
      <c r="W22" s="55"/>
      <c r="X22" s="65"/>
      <c r="Y22" s="65"/>
      <c r="Z22" s="65"/>
      <c r="AA22" s="65"/>
    </row>
    <row r="23" spans="1:27" ht="15.75" customHeight="1">
      <c r="A23" s="344"/>
      <c r="B23" s="344"/>
      <c r="C23" s="74">
        <v>5</v>
      </c>
      <c r="D23" s="344"/>
      <c r="E23" s="47" t="s">
        <v>4424</v>
      </c>
      <c r="F23" s="74" t="s">
        <v>2</v>
      </c>
      <c r="G23" s="74" t="s">
        <v>2</v>
      </c>
      <c r="H23" s="47" t="s">
        <v>4405</v>
      </c>
      <c r="I23" s="63" t="s">
        <v>4425</v>
      </c>
      <c r="J23" s="171"/>
      <c r="K23" s="25"/>
      <c r="L23" s="57"/>
      <c r="M23" s="26"/>
      <c r="N23" s="27"/>
      <c r="O23" s="25"/>
      <c r="P23" s="25"/>
      <c r="Q23" s="25" t="s">
        <v>282</v>
      </c>
      <c r="R23" s="25"/>
      <c r="S23" s="25"/>
      <c r="T23" s="55"/>
      <c r="U23" s="55"/>
      <c r="V23" s="55"/>
      <c r="W23" s="55"/>
      <c r="X23" s="65"/>
      <c r="Y23" s="65"/>
      <c r="Z23" s="65"/>
      <c r="AA23" s="65"/>
    </row>
    <row r="24" spans="1:27" ht="15.75" customHeight="1">
      <c r="A24" s="344"/>
      <c r="B24" s="344"/>
      <c r="C24" s="74">
        <v>6</v>
      </c>
      <c r="D24" s="344"/>
      <c r="E24" s="47" t="s">
        <v>4426</v>
      </c>
      <c r="F24" s="74" t="s">
        <v>2</v>
      </c>
      <c r="G24" s="74" t="s">
        <v>2</v>
      </c>
      <c r="H24" s="47" t="s">
        <v>4405</v>
      </c>
      <c r="I24" s="63" t="s">
        <v>4427</v>
      </c>
      <c r="J24" s="171"/>
      <c r="K24" s="25"/>
      <c r="L24" s="57"/>
      <c r="M24" s="26"/>
      <c r="N24" s="27"/>
      <c r="O24" s="25"/>
      <c r="P24" s="25"/>
      <c r="Q24" s="25" t="s">
        <v>282</v>
      </c>
      <c r="R24" s="25"/>
      <c r="S24" s="25"/>
      <c r="T24" s="55"/>
      <c r="U24" s="55"/>
      <c r="V24" s="55"/>
      <c r="W24" s="55"/>
      <c r="X24" s="65"/>
      <c r="Y24" s="65"/>
      <c r="Z24" s="65"/>
      <c r="AA24" s="65"/>
    </row>
    <row r="25" spans="1:27" ht="15.75" customHeight="1">
      <c r="A25" s="344"/>
      <c r="B25" s="344"/>
      <c r="C25" s="74">
        <v>7</v>
      </c>
      <c r="D25" s="344"/>
      <c r="E25" s="206" t="s">
        <v>4428</v>
      </c>
      <c r="F25" s="74" t="s">
        <v>2</v>
      </c>
      <c r="G25" s="74" t="s">
        <v>2</v>
      </c>
      <c r="H25" s="206" t="s">
        <v>4405</v>
      </c>
      <c r="I25" s="207" t="s">
        <v>4429</v>
      </c>
      <c r="J25" s="207"/>
      <c r="K25" s="25"/>
      <c r="L25" s="57"/>
      <c r="M25" s="26"/>
      <c r="N25" s="27"/>
      <c r="O25" s="25"/>
      <c r="P25" s="25"/>
      <c r="Q25" s="25" t="s">
        <v>282</v>
      </c>
      <c r="R25" s="25" t="s">
        <v>298</v>
      </c>
      <c r="S25" s="25"/>
      <c r="T25" s="55"/>
      <c r="U25" s="55"/>
      <c r="V25" s="55"/>
      <c r="W25" s="55"/>
      <c r="X25" s="65"/>
      <c r="Y25" s="65"/>
      <c r="Z25" s="65"/>
      <c r="AA25" s="65"/>
    </row>
    <row r="26" spans="1:27" ht="15.75" customHeight="1">
      <c r="A26" s="352"/>
      <c r="B26" s="352"/>
      <c r="C26" s="86">
        <v>8</v>
      </c>
      <c r="D26" s="352"/>
      <c r="E26" s="208" t="s">
        <v>4430</v>
      </c>
      <c r="F26" s="86" t="s">
        <v>2</v>
      </c>
      <c r="G26" s="86" t="s">
        <v>2</v>
      </c>
      <c r="H26" s="208" t="s">
        <v>4405</v>
      </c>
      <c r="I26" s="207" t="s">
        <v>4431</v>
      </c>
      <c r="J26" s="207"/>
      <c r="K26" s="25"/>
      <c r="L26" s="57"/>
      <c r="M26" s="26"/>
      <c r="N26" s="27"/>
      <c r="O26" s="25"/>
      <c r="P26" s="25"/>
      <c r="Q26" s="25" t="s">
        <v>282</v>
      </c>
      <c r="R26" s="25" t="s">
        <v>305</v>
      </c>
      <c r="S26" s="25"/>
      <c r="T26" s="55"/>
      <c r="U26" s="55"/>
      <c r="V26" s="55"/>
      <c r="W26" s="55"/>
      <c r="X26" s="65"/>
      <c r="Y26" s="65"/>
      <c r="Z26" s="65"/>
      <c r="AA26" s="65"/>
    </row>
    <row r="27" spans="1:27" ht="15.75" customHeight="1">
      <c r="A27" s="344"/>
      <c r="B27" s="344"/>
      <c r="C27" s="74">
        <v>9</v>
      </c>
      <c r="D27" s="344"/>
      <c r="E27" s="47" t="s">
        <v>4432</v>
      </c>
      <c r="F27" s="74" t="s">
        <v>2</v>
      </c>
      <c r="G27" s="74" t="s">
        <v>2</v>
      </c>
      <c r="H27" s="47" t="s">
        <v>4405</v>
      </c>
      <c r="I27" s="63" t="s">
        <v>4433</v>
      </c>
      <c r="J27" s="171"/>
      <c r="K27" s="25"/>
      <c r="L27" s="57"/>
      <c r="M27" s="26"/>
      <c r="N27" s="27"/>
      <c r="O27" s="25"/>
      <c r="P27" s="25"/>
      <c r="Q27" s="25" t="s">
        <v>282</v>
      </c>
      <c r="R27" s="25"/>
      <c r="S27" s="25"/>
      <c r="T27" s="55"/>
      <c r="U27" s="55"/>
      <c r="V27" s="55"/>
      <c r="W27" s="55"/>
      <c r="X27" s="65"/>
      <c r="Y27" s="65"/>
      <c r="Z27" s="65"/>
      <c r="AA27" s="65"/>
    </row>
    <row r="28" spans="1:27" ht="15.75" customHeight="1">
      <c r="A28" s="344"/>
      <c r="B28" s="344"/>
      <c r="C28" s="74">
        <v>10</v>
      </c>
      <c r="D28" s="344"/>
      <c r="E28" s="47" t="s">
        <v>4434</v>
      </c>
      <c r="F28" s="74" t="s">
        <v>2</v>
      </c>
      <c r="G28" s="74" t="s">
        <v>2</v>
      </c>
      <c r="H28" s="47" t="s">
        <v>4405</v>
      </c>
      <c r="I28" s="63" t="s">
        <v>4435</v>
      </c>
      <c r="J28" s="171"/>
      <c r="K28" s="25"/>
      <c r="L28" s="57"/>
      <c r="M28" s="26"/>
      <c r="N28" s="27"/>
      <c r="O28" s="25"/>
      <c r="P28" s="25"/>
      <c r="Q28" s="25" t="s">
        <v>282</v>
      </c>
      <c r="R28" s="25"/>
      <c r="S28" s="25"/>
      <c r="T28" s="55"/>
      <c r="U28" s="55"/>
      <c r="V28" s="55"/>
      <c r="W28" s="55"/>
      <c r="X28" s="65"/>
      <c r="Y28" s="65"/>
      <c r="Z28" s="65"/>
      <c r="AA28" s="65"/>
    </row>
    <row r="29" spans="1:27" ht="15.75" customHeight="1">
      <c r="A29" s="345"/>
      <c r="B29" s="345"/>
      <c r="C29" s="74">
        <v>11</v>
      </c>
      <c r="D29" s="345"/>
      <c r="E29" s="47" t="s">
        <v>4436</v>
      </c>
      <c r="F29" s="74" t="s">
        <v>2</v>
      </c>
      <c r="G29" s="74" t="s">
        <v>2</v>
      </c>
      <c r="H29" s="47" t="s">
        <v>4405</v>
      </c>
      <c r="I29" s="63" t="s">
        <v>4437</v>
      </c>
      <c r="J29" s="171"/>
      <c r="K29" s="25"/>
      <c r="L29" s="57"/>
      <c r="M29" s="26"/>
      <c r="N29" s="27"/>
      <c r="O29" s="25"/>
      <c r="P29" s="25"/>
      <c r="Q29" s="25" t="s">
        <v>282</v>
      </c>
      <c r="R29" s="25"/>
      <c r="S29" s="25"/>
      <c r="T29" s="55"/>
      <c r="U29" s="55"/>
      <c r="V29" s="55"/>
      <c r="W29" s="55"/>
      <c r="X29" s="65"/>
      <c r="Y29" s="65"/>
      <c r="Z29" s="65"/>
      <c r="AA29" s="65"/>
    </row>
    <row r="30" spans="1:27" ht="15.75" customHeight="1">
      <c r="A30" s="355" t="s">
        <v>3898</v>
      </c>
      <c r="B30" s="350" t="s">
        <v>62</v>
      </c>
      <c r="C30" s="74">
        <v>1</v>
      </c>
      <c r="D30" s="364" t="s">
        <v>4438</v>
      </c>
      <c r="E30" s="80" t="s">
        <v>3900</v>
      </c>
      <c r="F30" s="74" t="s">
        <v>361</v>
      </c>
      <c r="G30" s="74" t="s">
        <v>327</v>
      </c>
      <c r="H30" s="47" t="s">
        <v>4439</v>
      </c>
      <c r="I30" s="67" t="s">
        <v>4440</v>
      </c>
      <c r="J30" s="67"/>
      <c r="K30" s="25"/>
      <c r="L30" s="57"/>
      <c r="M30" s="26"/>
      <c r="N30" s="197"/>
      <c r="O30" s="50"/>
      <c r="P30" s="50"/>
      <c r="Q30" s="25" t="s">
        <v>282</v>
      </c>
      <c r="R30" s="50"/>
      <c r="S30" s="25"/>
      <c r="T30" s="209"/>
      <c r="U30" s="209"/>
      <c r="V30" s="209"/>
      <c r="W30" s="209"/>
      <c r="X30" s="51"/>
      <c r="Y30" s="51"/>
      <c r="Z30" s="51"/>
      <c r="AA30" s="51"/>
    </row>
    <row r="31" spans="1:27" ht="15.75" customHeight="1">
      <c r="A31" s="344"/>
      <c r="B31" s="344"/>
      <c r="C31" s="74">
        <v>2</v>
      </c>
      <c r="D31" s="344"/>
      <c r="E31" s="80" t="s">
        <v>3903</v>
      </c>
      <c r="F31" s="74" t="s">
        <v>361</v>
      </c>
      <c r="G31" s="74" t="s">
        <v>327</v>
      </c>
      <c r="H31" s="47" t="s">
        <v>4439</v>
      </c>
      <c r="I31" s="67" t="s">
        <v>4440</v>
      </c>
      <c r="J31" s="67"/>
      <c r="K31" s="25"/>
      <c r="L31" s="57"/>
      <c r="M31" s="26"/>
      <c r="N31" s="197"/>
      <c r="O31" s="50"/>
      <c r="P31" s="50"/>
      <c r="Q31" s="25" t="s">
        <v>282</v>
      </c>
      <c r="R31" s="50"/>
      <c r="S31" s="25"/>
      <c r="T31" s="209"/>
      <c r="U31" s="209"/>
      <c r="V31" s="209"/>
      <c r="W31" s="209"/>
      <c r="X31" s="51"/>
      <c r="Y31" s="51"/>
      <c r="Z31" s="51"/>
      <c r="AA31" s="51"/>
    </row>
    <row r="32" spans="1:27" ht="15.75" customHeight="1">
      <c r="A32" s="344"/>
      <c r="B32" s="344"/>
      <c r="C32" s="74">
        <v>3</v>
      </c>
      <c r="D32" s="344"/>
      <c r="E32" s="80" t="s">
        <v>3904</v>
      </c>
      <c r="F32" s="74" t="s">
        <v>361</v>
      </c>
      <c r="G32" s="74" t="s">
        <v>327</v>
      </c>
      <c r="H32" s="47" t="s">
        <v>4439</v>
      </c>
      <c r="I32" s="67" t="s">
        <v>4440</v>
      </c>
      <c r="J32" s="67"/>
      <c r="K32" s="25"/>
      <c r="L32" s="57"/>
      <c r="M32" s="26"/>
      <c r="N32" s="197"/>
      <c r="O32" s="50"/>
      <c r="P32" s="50"/>
      <c r="Q32" s="25" t="s">
        <v>282</v>
      </c>
      <c r="R32" s="50"/>
      <c r="S32" s="25"/>
      <c r="T32" s="209"/>
      <c r="U32" s="209"/>
      <c r="V32" s="209"/>
      <c r="W32" s="209"/>
      <c r="X32" s="51"/>
      <c r="Y32" s="51"/>
      <c r="Z32" s="51"/>
      <c r="AA32" s="51"/>
    </row>
    <row r="33" spans="1:27" ht="15.75" customHeight="1">
      <c r="A33" s="344"/>
      <c r="B33" s="344"/>
      <c r="C33" s="74">
        <v>4</v>
      </c>
      <c r="D33" s="344"/>
      <c r="E33" s="80" t="s">
        <v>3905</v>
      </c>
      <c r="F33" s="74" t="s">
        <v>361</v>
      </c>
      <c r="G33" s="74" t="s">
        <v>327</v>
      </c>
      <c r="H33" s="47" t="s">
        <v>4439</v>
      </c>
      <c r="I33" s="67" t="s">
        <v>4440</v>
      </c>
      <c r="J33" s="67"/>
      <c r="K33" s="25"/>
      <c r="L33" s="57"/>
      <c r="M33" s="26"/>
      <c r="N33" s="100"/>
      <c r="O33" s="25"/>
      <c r="P33" s="25"/>
      <c r="Q33" s="25" t="s">
        <v>282</v>
      </c>
      <c r="R33" s="25" t="s">
        <v>7</v>
      </c>
      <c r="S33" s="25"/>
      <c r="T33" s="209"/>
      <c r="U33" s="209"/>
      <c r="V33" s="209"/>
      <c r="W33" s="209"/>
      <c r="X33" s="51"/>
      <c r="Y33" s="51"/>
      <c r="Z33" s="51"/>
      <c r="AA33" s="51"/>
    </row>
    <row r="34" spans="1:27" ht="15.75" customHeight="1">
      <c r="A34" s="344"/>
      <c r="B34" s="344"/>
      <c r="C34" s="74">
        <v>5</v>
      </c>
      <c r="D34" s="344"/>
      <c r="E34" s="80" t="s">
        <v>3906</v>
      </c>
      <c r="F34" s="74" t="s">
        <v>361</v>
      </c>
      <c r="G34" s="74" t="s">
        <v>327</v>
      </c>
      <c r="H34" s="47" t="s">
        <v>4439</v>
      </c>
      <c r="I34" s="67" t="s">
        <v>4440</v>
      </c>
      <c r="J34" s="67"/>
      <c r="K34" s="25"/>
      <c r="L34" s="57"/>
      <c r="M34" s="26"/>
      <c r="N34" s="100"/>
      <c r="O34" s="25"/>
      <c r="P34" s="25"/>
      <c r="Q34" s="25" t="s">
        <v>282</v>
      </c>
      <c r="R34" s="25" t="s">
        <v>7</v>
      </c>
      <c r="S34" s="25"/>
      <c r="T34" s="209"/>
      <c r="U34" s="209"/>
      <c r="V34" s="209"/>
      <c r="W34" s="209"/>
      <c r="X34" s="51"/>
      <c r="Y34" s="51"/>
      <c r="Z34" s="51"/>
      <c r="AA34" s="51"/>
    </row>
    <row r="35" spans="1:27" ht="15.75" customHeight="1">
      <c r="A35" s="344"/>
      <c r="B35" s="344"/>
      <c r="C35" s="74">
        <v>6</v>
      </c>
      <c r="D35" s="344"/>
      <c r="E35" s="80" t="s">
        <v>3907</v>
      </c>
      <c r="F35" s="74" t="s">
        <v>361</v>
      </c>
      <c r="G35" s="74" t="s">
        <v>327</v>
      </c>
      <c r="H35" s="47" t="s">
        <v>4439</v>
      </c>
      <c r="I35" s="67" t="s">
        <v>4440</v>
      </c>
      <c r="J35" s="67"/>
      <c r="K35" s="25"/>
      <c r="L35" s="57"/>
      <c r="M35" s="26"/>
      <c r="N35" s="100"/>
      <c r="O35" s="25"/>
      <c r="P35" s="25"/>
      <c r="Q35" s="25" t="s">
        <v>282</v>
      </c>
      <c r="R35" s="25" t="s">
        <v>7</v>
      </c>
      <c r="S35" s="25"/>
      <c r="T35" s="209"/>
      <c r="U35" s="209"/>
      <c r="V35" s="209"/>
      <c r="W35" s="209"/>
      <c r="X35" s="51"/>
      <c r="Y35" s="51"/>
      <c r="Z35" s="51"/>
      <c r="AA35" s="51"/>
    </row>
    <row r="36" spans="1:27" ht="15.75" customHeight="1">
      <c r="A36" s="344"/>
      <c r="B36" s="344"/>
      <c r="C36" s="74">
        <v>7</v>
      </c>
      <c r="D36" s="344"/>
      <c r="E36" s="80" t="s">
        <v>3908</v>
      </c>
      <c r="F36" s="74" t="s">
        <v>361</v>
      </c>
      <c r="G36" s="74" t="s">
        <v>327</v>
      </c>
      <c r="H36" s="47" t="s">
        <v>4439</v>
      </c>
      <c r="I36" s="67" t="s">
        <v>4440</v>
      </c>
      <c r="J36" s="67"/>
      <c r="K36" s="25"/>
      <c r="L36" s="57"/>
      <c r="M36" s="26"/>
      <c r="N36" s="197"/>
      <c r="O36" s="50"/>
      <c r="P36" s="50"/>
      <c r="Q36" s="25" t="s">
        <v>282</v>
      </c>
      <c r="R36" s="50"/>
      <c r="S36" s="25"/>
      <c r="T36" s="209"/>
      <c r="U36" s="209"/>
      <c r="V36" s="209"/>
      <c r="W36" s="209"/>
      <c r="X36" s="51"/>
      <c r="Y36" s="51"/>
      <c r="Z36" s="51"/>
      <c r="AA36" s="51"/>
    </row>
    <row r="37" spans="1:27" ht="15.75" customHeight="1">
      <c r="A37" s="344"/>
      <c r="B37" s="344"/>
      <c r="C37" s="74">
        <v>8</v>
      </c>
      <c r="D37" s="344"/>
      <c r="E37" s="210" t="s">
        <v>4441</v>
      </c>
      <c r="F37" s="74" t="s">
        <v>2</v>
      </c>
      <c r="G37" s="74" t="s">
        <v>2</v>
      </c>
      <c r="H37" s="210" t="s">
        <v>4439</v>
      </c>
      <c r="I37" s="207" t="s">
        <v>4440</v>
      </c>
      <c r="J37" s="207"/>
      <c r="K37" s="25"/>
      <c r="L37" s="57"/>
      <c r="M37" s="26"/>
      <c r="N37" s="197"/>
      <c r="O37" s="50"/>
      <c r="P37" s="50"/>
      <c r="Q37" s="25" t="s">
        <v>282</v>
      </c>
      <c r="R37" s="50" t="s">
        <v>298</v>
      </c>
      <c r="S37" s="25"/>
      <c r="T37" s="209"/>
      <c r="U37" s="209"/>
      <c r="V37" s="209"/>
      <c r="W37" s="209"/>
      <c r="X37" s="51"/>
      <c r="Y37" s="51"/>
      <c r="Z37" s="51"/>
      <c r="AA37" s="51"/>
    </row>
    <row r="38" spans="1:27" ht="15.75" customHeight="1">
      <c r="A38" s="353"/>
      <c r="B38" s="353"/>
      <c r="C38" s="86">
        <v>9</v>
      </c>
      <c r="D38" s="353"/>
      <c r="E38" s="208" t="s">
        <v>3909</v>
      </c>
      <c r="F38" s="86" t="s">
        <v>361</v>
      </c>
      <c r="G38" s="86" t="s">
        <v>327</v>
      </c>
      <c r="H38" s="208" t="s">
        <v>4439</v>
      </c>
      <c r="I38" s="207" t="s">
        <v>4442</v>
      </c>
      <c r="J38" s="207"/>
      <c r="K38" s="25"/>
      <c r="L38" s="57"/>
      <c r="M38" s="26"/>
      <c r="N38" s="197"/>
      <c r="O38" s="50"/>
      <c r="P38" s="50"/>
      <c r="Q38" s="25" t="s">
        <v>282</v>
      </c>
      <c r="R38" s="50" t="s">
        <v>305</v>
      </c>
      <c r="S38" s="25"/>
      <c r="T38" s="209"/>
      <c r="U38" s="209"/>
      <c r="V38" s="209"/>
      <c r="W38" s="209"/>
      <c r="X38" s="51"/>
      <c r="Y38" s="51"/>
      <c r="Z38" s="51"/>
      <c r="AA38" s="51"/>
    </row>
    <row r="39" spans="1:27" ht="15.75" customHeight="1">
      <c r="A39" s="355" t="s">
        <v>4443</v>
      </c>
      <c r="B39" s="350" t="s">
        <v>63</v>
      </c>
      <c r="C39" s="74">
        <v>1</v>
      </c>
      <c r="D39" s="364" t="s">
        <v>4444</v>
      </c>
      <c r="E39" s="80" t="s">
        <v>3882</v>
      </c>
      <c r="F39" s="74" t="s">
        <v>2</v>
      </c>
      <c r="G39" s="74" t="s">
        <v>2</v>
      </c>
      <c r="H39" s="47" t="s">
        <v>4405</v>
      </c>
      <c r="I39" s="63" t="s">
        <v>4445</v>
      </c>
      <c r="J39" s="171"/>
      <c r="K39" s="25"/>
      <c r="L39" s="57"/>
      <c r="M39" s="26"/>
      <c r="N39" s="27"/>
      <c r="O39" s="25"/>
      <c r="P39" s="25"/>
      <c r="Q39" s="25" t="s">
        <v>282</v>
      </c>
      <c r="R39" s="25"/>
      <c r="S39" s="25"/>
      <c r="T39" s="55"/>
      <c r="U39" s="55"/>
      <c r="V39" s="55"/>
      <c r="W39" s="55"/>
      <c r="X39" s="65"/>
      <c r="Y39" s="65"/>
      <c r="Z39" s="65"/>
      <c r="AA39" s="65"/>
    </row>
    <row r="40" spans="1:27" ht="15.75" customHeight="1">
      <c r="A40" s="344"/>
      <c r="B40" s="344"/>
      <c r="C40" s="74">
        <v>2</v>
      </c>
      <c r="D40" s="344"/>
      <c r="E40" s="80" t="s">
        <v>3885</v>
      </c>
      <c r="F40" s="74" t="s">
        <v>2</v>
      </c>
      <c r="G40" s="74" t="s">
        <v>2</v>
      </c>
      <c r="H40" s="47" t="s">
        <v>4405</v>
      </c>
      <c r="I40" s="63" t="s">
        <v>4446</v>
      </c>
      <c r="J40" s="171"/>
      <c r="K40" s="25"/>
      <c r="L40" s="57"/>
      <c r="M40" s="26"/>
      <c r="N40" s="27"/>
      <c r="O40" s="25"/>
      <c r="P40" s="25"/>
      <c r="Q40" s="25" t="s">
        <v>282</v>
      </c>
      <c r="R40" s="25" t="s">
        <v>7</v>
      </c>
      <c r="S40" s="25"/>
      <c r="T40" s="55"/>
      <c r="U40" s="55"/>
      <c r="V40" s="55"/>
      <c r="W40" s="55"/>
      <c r="X40" s="65"/>
      <c r="Y40" s="65"/>
      <c r="Z40" s="65"/>
      <c r="AA40" s="65"/>
    </row>
    <row r="41" spans="1:27" ht="15.75" customHeight="1">
      <c r="A41" s="344"/>
      <c r="B41" s="344"/>
      <c r="C41" s="74">
        <v>3</v>
      </c>
      <c r="D41" s="344"/>
      <c r="E41" s="80" t="s">
        <v>3887</v>
      </c>
      <c r="F41" s="74" t="s">
        <v>2</v>
      </c>
      <c r="G41" s="74" t="s">
        <v>2</v>
      </c>
      <c r="H41" s="47" t="s">
        <v>4405</v>
      </c>
      <c r="I41" s="63" t="s">
        <v>4447</v>
      </c>
      <c r="J41" s="171"/>
      <c r="K41" s="25"/>
      <c r="L41" s="57"/>
      <c r="M41" s="26"/>
      <c r="N41" s="27"/>
      <c r="O41" s="25"/>
      <c r="P41" s="25"/>
      <c r="Q41" s="25" t="s">
        <v>282</v>
      </c>
      <c r="R41" s="25"/>
      <c r="S41" s="25"/>
      <c r="T41" s="55"/>
      <c r="U41" s="55"/>
      <c r="V41" s="55"/>
      <c r="W41" s="55"/>
      <c r="X41" s="65"/>
      <c r="Y41" s="65"/>
      <c r="Z41" s="65"/>
      <c r="AA41" s="65"/>
    </row>
    <row r="42" spans="1:27" ht="15.75" customHeight="1">
      <c r="A42" s="344"/>
      <c r="B42" s="344"/>
      <c r="C42" s="74">
        <v>4</v>
      </c>
      <c r="D42" s="344"/>
      <c r="E42" s="80" t="s">
        <v>3888</v>
      </c>
      <c r="F42" s="74" t="s">
        <v>2</v>
      </c>
      <c r="G42" s="74" t="s">
        <v>2</v>
      </c>
      <c r="H42" s="47" t="s">
        <v>4405</v>
      </c>
      <c r="I42" s="63" t="s">
        <v>4448</v>
      </c>
      <c r="J42" s="171"/>
      <c r="K42" s="25"/>
      <c r="L42" s="57"/>
      <c r="M42" s="26"/>
      <c r="N42" s="27"/>
      <c r="O42" s="25"/>
      <c r="P42" s="25"/>
      <c r="Q42" s="25" t="s">
        <v>282</v>
      </c>
      <c r="R42" s="25" t="s">
        <v>7</v>
      </c>
      <c r="S42" s="25"/>
      <c r="T42" s="55"/>
      <c r="U42" s="55"/>
      <c r="V42" s="55"/>
      <c r="W42" s="55"/>
      <c r="X42" s="65"/>
      <c r="Y42" s="65"/>
      <c r="Z42" s="65"/>
      <c r="AA42" s="65"/>
    </row>
    <row r="43" spans="1:27" ht="15.75" customHeight="1">
      <c r="A43" s="344"/>
      <c r="B43" s="344"/>
      <c r="C43" s="74">
        <v>5</v>
      </c>
      <c r="D43" s="344"/>
      <c r="E43" s="80" t="s">
        <v>3889</v>
      </c>
      <c r="F43" s="74" t="s">
        <v>2</v>
      </c>
      <c r="G43" s="74" t="s">
        <v>2</v>
      </c>
      <c r="H43" s="47" t="s">
        <v>4405</v>
      </c>
      <c r="I43" s="63" t="s">
        <v>4447</v>
      </c>
      <c r="J43" s="171"/>
      <c r="K43" s="25"/>
      <c r="L43" s="57"/>
      <c r="M43" s="26"/>
      <c r="N43" s="27"/>
      <c r="O43" s="25"/>
      <c r="P43" s="25"/>
      <c r="Q43" s="25" t="s">
        <v>282</v>
      </c>
      <c r="R43" s="25"/>
      <c r="S43" s="25"/>
      <c r="T43" s="55"/>
      <c r="U43" s="55"/>
      <c r="V43" s="55"/>
      <c r="W43" s="55"/>
      <c r="X43" s="65"/>
      <c r="Y43" s="65"/>
      <c r="Z43" s="65"/>
      <c r="AA43" s="65"/>
    </row>
    <row r="44" spans="1:27" ht="15.75" customHeight="1">
      <c r="A44" s="344"/>
      <c r="B44" s="344"/>
      <c r="C44" s="74">
        <v>6</v>
      </c>
      <c r="D44" s="344"/>
      <c r="E44" s="80" t="s">
        <v>3890</v>
      </c>
      <c r="F44" s="74" t="s">
        <v>2</v>
      </c>
      <c r="G44" s="74" t="s">
        <v>2</v>
      </c>
      <c r="H44" s="47" t="s">
        <v>4405</v>
      </c>
      <c r="I44" s="63" t="s">
        <v>4447</v>
      </c>
      <c r="J44" s="171"/>
      <c r="K44" s="25"/>
      <c r="L44" s="57"/>
      <c r="M44" s="26"/>
      <c r="N44" s="27"/>
      <c r="O44" s="25"/>
      <c r="P44" s="25"/>
      <c r="Q44" s="25" t="s">
        <v>282</v>
      </c>
      <c r="R44" s="25" t="s">
        <v>7</v>
      </c>
      <c r="S44" s="25"/>
      <c r="T44" s="55"/>
      <c r="U44" s="55"/>
      <c r="V44" s="55"/>
      <c r="W44" s="55"/>
      <c r="X44" s="65"/>
      <c r="Y44" s="65"/>
      <c r="Z44" s="65"/>
      <c r="AA44" s="65"/>
    </row>
    <row r="45" spans="1:27" ht="15.75" customHeight="1">
      <c r="A45" s="344"/>
      <c r="B45" s="344"/>
      <c r="C45" s="74">
        <v>7</v>
      </c>
      <c r="D45" s="344"/>
      <c r="E45" s="80" t="s">
        <v>3908</v>
      </c>
      <c r="F45" s="74" t="s">
        <v>2</v>
      </c>
      <c r="G45" s="74" t="s">
        <v>2</v>
      </c>
      <c r="H45" s="47" t="s">
        <v>4405</v>
      </c>
      <c r="I45" s="63" t="s">
        <v>4449</v>
      </c>
      <c r="J45" s="171"/>
      <c r="K45" s="25"/>
      <c r="L45" s="57"/>
      <c r="M45" s="26"/>
      <c r="N45" s="27"/>
      <c r="O45" s="25"/>
      <c r="P45" s="25"/>
      <c r="Q45" s="25" t="s">
        <v>282</v>
      </c>
      <c r="R45" s="25"/>
      <c r="S45" s="25"/>
      <c r="T45" s="55"/>
      <c r="U45" s="55"/>
      <c r="V45" s="55"/>
      <c r="W45" s="55"/>
      <c r="X45" s="65"/>
      <c r="Y45" s="65"/>
      <c r="Z45" s="65"/>
      <c r="AA45" s="65"/>
    </row>
    <row r="46" spans="1:27" ht="34.5" customHeight="1">
      <c r="A46" s="344"/>
      <c r="B46" s="344"/>
      <c r="C46" s="74">
        <v>8</v>
      </c>
      <c r="D46" s="344"/>
      <c r="E46" s="206" t="s">
        <v>4441</v>
      </c>
      <c r="F46" s="74" t="s">
        <v>2</v>
      </c>
      <c r="G46" s="74" t="s">
        <v>2</v>
      </c>
      <c r="H46" s="206" t="s">
        <v>4405</v>
      </c>
      <c r="I46" s="207" t="s">
        <v>4450</v>
      </c>
      <c r="J46" s="207"/>
      <c r="K46" s="25"/>
      <c r="L46" s="57"/>
      <c r="M46" s="26"/>
      <c r="N46" s="27"/>
      <c r="O46" s="25"/>
      <c r="P46" s="25"/>
      <c r="Q46" s="25" t="s">
        <v>282</v>
      </c>
      <c r="R46" s="25" t="s">
        <v>298</v>
      </c>
      <c r="S46" s="25"/>
      <c r="T46" s="55"/>
      <c r="U46" s="55"/>
      <c r="V46" s="55"/>
      <c r="W46" s="55"/>
      <c r="X46" s="65"/>
      <c r="Y46" s="65"/>
      <c r="Z46" s="65"/>
      <c r="AA46" s="65"/>
    </row>
    <row r="47" spans="1:27" ht="34.5" customHeight="1">
      <c r="A47" s="353"/>
      <c r="B47" s="353"/>
      <c r="C47" s="86">
        <v>9</v>
      </c>
      <c r="D47" s="353"/>
      <c r="E47" s="208" t="s">
        <v>3909</v>
      </c>
      <c r="F47" s="86" t="s">
        <v>2</v>
      </c>
      <c r="G47" s="86" t="s">
        <v>2</v>
      </c>
      <c r="H47" s="208" t="s">
        <v>4405</v>
      </c>
      <c r="I47" s="207" t="s">
        <v>4451</v>
      </c>
      <c r="J47" s="207"/>
      <c r="K47" s="25"/>
      <c r="L47" s="57"/>
      <c r="M47" s="26"/>
      <c r="N47" s="27"/>
      <c r="O47" s="25"/>
      <c r="P47" s="25"/>
      <c r="Q47" s="25" t="s">
        <v>282</v>
      </c>
      <c r="R47" s="25" t="s">
        <v>305</v>
      </c>
      <c r="S47" s="25"/>
      <c r="T47" s="55"/>
      <c r="U47" s="55"/>
      <c r="V47" s="55"/>
      <c r="W47" s="55"/>
      <c r="X47" s="65"/>
      <c r="Y47" s="65"/>
      <c r="Z47" s="65"/>
      <c r="AA47" s="65"/>
    </row>
    <row r="48" spans="1:27" ht="15.75" customHeight="1">
      <c r="A48" s="355" t="s">
        <v>4452</v>
      </c>
      <c r="B48" s="350" t="s">
        <v>36</v>
      </c>
      <c r="C48" s="74">
        <v>1</v>
      </c>
      <c r="D48" s="364" t="s">
        <v>4453</v>
      </c>
      <c r="E48" s="80" t="s">
        <v>3882</v>
      </c>
      <c r="F48" s="74" t="s">
        <v>326</v>
      </c>
      <c r="G48" s="74" t="s">
        <v>524</v>
      </c>
      <c r="H48" s="80" t="s">
        <v>4454</v>
      </c>
      <c r="I48" s="83" t="s">
        <v>4455</v>
      </c>
      <c r="J48" s="271"/>
      <c r="K48" s="25"/>
      <c r="L48" s="57"/>
      <c r="M48" s="43"/>
      <c r="N48" s="79"/>
      <c r="O48" s="28" t="s">
        <v>140</v>
      </c>
      <c r="P48" s="25"/>
      <c r="Q48" s="25" t="s">
        <v>282</v>
      </c>
      <c r="R48" s="25"/>
      <c r="S48" s="25"/>
      <c r="T48" s="55"/>
      <c r="U48" s="55"/>
      <c r="V48" s="55"/>
      <c r="W48" s="55"/>
      <c r="X48" s="65"/>
      <c r="Y48" s="65"/>
      <c r="Z48" s="65"/>
      <c r="AA48" s="65"/>
    </row>
    <row r="49" spans="1:27" ht="15.75" customHeight="1">
      <c r="A49" s="344"/>
      <c r="B49" s="344"/>
      <c r="C49" s="74">
        <v>2</v>
      </c>
      <c r="D49" s="344"/>
      <c r="E49" s="80" t="s">
        <v>3885</v>
      </c>
      <c r="F49" s="74" t="s">
        <v>326</v>
      </c>
      <c r="G49" s="74" t="s">
        <v>327</v>
      </c>
      <c r="H49" s="80" t="s">
        <v>4456</v>
      </c>
      <c r="I49" s="83" t="s">
        <v>4457</v>
      </c>
      <c r="J49" s="271"/>
      <c r="K49" s="25"/>
      <c r="L49" s="57"/>
      <c r="M49" s="43"/>
      <c r="N49" s="79"/>
      <c r="O49" s="28" t="s">
        <v>140</v>
      </c>
      <c r="P49" s="25"/>
      <c r="Q49" s="25" t="s">
        <v>282</v>
      </c>
      <c r="R49" s="25" t="s">
        <v>7</v>
      </c>
      <c r="S49" s="25"/>
      <c r="T49" s="55"/>
      <c r="U49" s="55"/>
      <c r="V49" s="55"/>
      <c r="W49" s="55"/>
      <c r="X49" s="65"/>
      <c r="Y49" s="65"/>
      <c r="Z49" s="65"/>
      <c r="AA49" s="65"/>
    </row>
    <row r="50" spans="1:27" ht="15.75" customHeight="1">
      <c r="A50" s="344"/>
      <c r="B50" s="344"/>
      <c r="C50" s="74">
        <v>3</v>
      </c>
      <c r="D50" s="344"/>
      <c r="E50" s="80" t="s">
        <v>3887</v>
      </c>
      <c r="F50" s="74" t="s">
        <v>326</v>
      </c>
      <c r="G50" s="74" t="s">
        <v>524</v>
      </c>
      <c r="H50" s="80" t="s">
        <v>4458</v>
      </c>
      <c r="I50" s="83" t="s">
        <v>4455</v>
      </c>
      <c r="J50" s="271"/>
      <c r="K50" s="25"/>
      <c r="L50" s="57"/>
      <c r="M50" s="43"/>
      <c r="N50" s="79"/>
      <c r="O50" s="28" t="s">
        <v>140</v>
      </c>
      <c r="P50" s="25"/>
      <c r="Q50" s="25" t="s">
        <v>282</v>
      </c>
      <c r="R50" s="25"/>
      <c r="S50" s="25"/>
      <c r="T50" s="55"/>
      <c r="U50" s="55"/>
      <c r="V50" s="55"/>
      <c r="W50" s="55"/>
      <c r="X50" s="65"/>
      <c r="Y50" s="65"/>
      <c r="Z50" s="65"/>
      <c r="AA50" s="65"/>
    </row>
    <row r="51" spans="1:27" ht="15.75" customHeight="1">
      <c r="A51" s="344"/>
      <c r="B51" s="344"/>
      <c r="C51" s="74">
        <v>4</v>
      </c>
      <c r="D51" s="344"/>
      <c r="E51" s="80" t="s">
        <v>3888</v>
      </c>
      <c r="F51" s="74" t="s">
        <v>326</v>
      </c>
      <c r="G51" s="74" t="s">
        <v>327</v>
      </c>
      <c r="H51" s="80" t="s">
        <v>4459</v>
      </c>
      <c r="I51" s="83" t="s">
        <v>4460</v>
      </c>
      <c r="J51" s="271"/>
      <c r="K51" s="25"/>
      <c r="L51" s="57"/>
      <c r="M51" s="43"/>
      <c r="N51" s="79"/>
      <c r="O51" s="28" t="s">
        <v>140</v>
      </c>
      <c r="P51" s="25"/>
      <c r="Q51" s="25" t="s">
        <v>282</v>
      </c>
      <c r="R51" s="25" t="s">
        <v>7</v>
      </c>
      <c r="S51" s="25"/>
      <c r="T51" s="55"/>
      <c r="U51" s="55"/>
      <c r="V51" s="55"/>
      <c r="W51" s="55"/>
      <c r="X51" s="65"/>
      <c r="Y51" s="65"/>
      <c r="Z51" s="65"/>
      <c r="AA51" s="65"/>
    </row>
    <row r="52" spans="1:27" ht="15.75" customHeight="1">
      <c r="A52" s="344"/>
      <c r="B52" s="344"/>
      <c r="C52" s="74">
        <v>5</v>
      </c>
      <c r="D52" s="344"/>
      <c r="E52" s="80" t="s">
        <v>3889</v>
      </c>
      <c r="F52" s="74" t="s">
        <v>326</v>
      </c>
      <c r="G52" s="74" t="s">
        <v>524</v>
      </c>
      <c r="H52" s="80" t="s">
        <v>4461</v>
      </c>
      <c r="I52" s="83" t="s">
        <v>4455</v>
      </c>
      <c r="J52" s="271"/>
      <c r="K52" s="25"/>
      <c r="L52" s="57"/>
      <c r="M52" s="43"/>
      <c r="N52" s="79"/>
      <c r="O52" s="28" t="s">
        <v>140</v>
      </c>
      <c r="P52" s="25"/>
      <c r="Q52" s="25" t="s">
        <v>282</v>
      </c>
      <c r="R52" s="25"/>
      <c r="S52" s="25"/>
      <c r="T52" s="55"/>
      <c r="U52" s="55"/>
      <c r="V52" s="55"/>
      <c r="W52" s="55"/>
      <c r="X52" s="65"/>
      <c r="Y52" s="65"/>
      <c r="Z52" s="65"/>
      <c r="AA52" s="65"/>
    </row>
    <row r="53" spans="1:27" ht="15.75" customHeight="1">
      <c r="A53" s="344"/>
      <c r="B53" s="344"/>
      <c r="C53" s="74">
        <v>6</v>
      </c>
      <c r="D53" s="344"/>
      <c r="E53" s="80" t="s">
        <v>3890</v>
      </c>
      <c r="F53" s="74" t="s">
        <v>326</v>
      </c>
      <c r="G53" s="74" t="s">
        <v>327</v>
      </c>
      <c r="H53" s="80" t="s">
        <v>4462</v>
      </c>
      <c r="I53" s="83" t="s">
        <v>4460</v>
      </c>
      <c r="J53" s="271"/>
      <c r="K53" s="25"/>
      <c r="L53" s="57"/>
      <c r="M53" s="43"/>
      <c r="N53" s="79"/>
      <c r="O53" s="28" t="s">
        <v>140</v>
      </c>
      <c r="P53" s="25"/>
      <c r="Q53" s="25" t="s">
        <v>282</v>
      </c>
      <c r="R53" s="25" t="s">
        <v>7</v>
      </c>
      <c r="S53" s="25"/>
      <c r="T53" s="55"/>
      <c r="U53" s="55"/>
      <c r="V53" s="55"/>
      <c r="W53" s="55"/>
      <c r="X53" s="65"/>
      <c r="Y53" s="65"/>
      <c r="Z53" s="65"/>
      <c r="AA53" s="65"/>
    </row>
    <row r="54" spans="1:27" ht="15.75" customHeight="1">
      <c r="A54" s="344"/>
      <c r="B54" s="344"/>
      <c r="C54" s="74">
        <v>7</v>
      </c>
      <c r="D54" s="344"/>
      <c r="E54" s="210" t="s">
        <v>4441</v>
      </c>
      <c r="F54" s="74" t="s">
        <v>326</v>
      </c>
      <c r="G54" s="74" t="s">
        <v>327</v>
      </c>
      <c r="H54" s="80" t="s">
        <v>4463</v>
      </c>
      <c r="I54" s="83" t="s">
        <v>4464</v>
      </c>
      <c r="J54" s="271"/>
      <c r="K54" s="25"/>
      <c r="L54" s="57"/>
      <c r="M54" s="43"/>
      <c r="N54" s="55"/>
      <c r="O54" s="25"/>
      <c r="P54" s="25"/>
      <c r="Q54" s="25" t="s">
        <v>282</v>
      </c>
      <c r="R54" s="25" t="s">
        <v>298</v>
      </c>
      <c r="S54" s="25"/>
      <c r="T54" s="55"/>
      <c r="U54" s="55"/>
      <c r="V54" s="55"/>
      <c r="W54" s="55"/>
      <c r="X54" s="65"/>
      <c r="Y54" s="65"/>
      <c r="Z54" s="65"/>
      <c r="AA54" s="65"/>
    </row>
    <row r="55" spans="1:27" ht="15.75" customHeight="1">
      <c r="A55" s="353"/>
      <c r="B55" s="353"/>
      <c r="C55" s="86">
        <v>8</v>
      </c>
      <c r="D55" s="353"/>
      <c r="E55" s="208" t="s">
        <v>3909</v>
      </c>
      <c r="F55" s="86" t="s">
        <v>326</v>
      </c>
      <c r="G55" s="86" t="s">
        <v>327</v>
      </c>
      <c r="H55" s="181" t="s">
        <v>4465</v>
      </c>
      <c r="I55" s="83" t="s">
        <v>4466</v>
      </c>
      <c r="J55" s="271"/>
      <c r="K55" s="25"/>
      <c r="L55" s="57"/>
      <c r="M55" s="43"/>
      <c r="N55" s="55"/>
      <c r="O55" s="25"/>
      <c r="P55" s="25"/>
      <c r="Q55" s="25" t="s">
        <v>282</v>
      </c>
      <c r="R55" s="25" t="s">
        <v>305</v>
      </c>
      <c r="S55" s="25"/>
      <c r="T55" s="55"/>
      <c r="U55" s="55"/>
      <c r="V55" s="55"/>
      <c r="W55" s="55"/>
      <c r="X55" s="65"/>
      <c r="Y55" s="65"/>
      <c r="Z55" s="65"/>
      <c r="AA55" s="65"/>
    </row>
    <row r="56" spans="1:27" ht="15.75" customHeight="1">
      <c r="A56" s="355" t="s">
        <v>4467</v>
      </c>
      <c r="B56" s="350" t="s">
        <v>64</v>
      </c>
      <c r="C56" s="74">
        <v>1</v>
      </c>
      <c r="D56" s="364" t="s">
        <v>4468</v>
      </c>
      <c r="E56" s="80" t="s">
        <v>3900</v>
      </c>
      <c r="F56" s="74" t="s">
        <v>361</v>
      </c>
      <c r="G56" s="74" t="s">
        <v>327</v>
      </c>
      <c r="H56" s="47" t="s">
        <v>4469</v>
      </c>
      <c r="I56" s="67" t="s">
        <v>4470</v>
      </c>
      <c r="J56" s="67"/>
      <c r="K56" s="25"/>
      <c r="L56" s="57"/>
      <c r="M56" s="26"/>
      <c r="N56" s="197"/>
      <c r="O56" s="50"/>
      <c r="P56" s="50"/>
      <c r="Q56" s="25" t="s">
        <v>282</v>
      </c>
      <c r="R56" s="50"/>
      <c r="S56" s="25"/>
      <c r="T56" s="209"/>
      <c r="U56" s="209"/>
      <c r="V56" s="209"/>
      <c r="W56" s="209"/>
      <c r="X56" s="51"/>
      <c r="Y56" s="51"/>
      <c r="Z56" s="51"/>
      <c r="AA56" s="51"/>
    </row>
    <row r="57" spans="1:27" ht="15.75" customHeight="1">
      <c r="A57" s="344"/>
      <c r="B57" s="344"/>
      <c r="C57" s="74">
        <v>2</v>
      </c>
      <c r="D57" s="344"/>
      <c r="E57" s="80" t="s">
        <v>3903</v>
      </c>
      <c r="F57" s="74" t="s">
        <v>361</v>
      </c>
      <c r="G57" s="74" t="s">
        <v>327</v>
      </c>
      <c r="H57" s="47" t="s">
        <v>4469</v>
      </c>
      <c r="I57" s="67" t="s">
        <v>4470</v>
      </c>
      <c r="J57" s="67"/>
      <c r="K57" s="25"/>
      <c r="L57" s="57"/>
      <c r="M57" s="26"/>
      <c r="N57" s="197"/>
      <c r="O57" s="50"/>
      <c r="P57" s="50"/>
      <c r="Q57" s="25" t="s">
        <v>282</v>
      </c>
      <c r="R57" s="50"/>
      <c r="S57" s="25"/>
      <c r="T57" s="209"/>
      <c r="U57" s="209"/>
      <c r="V57" s="209"/>
      <c r="W57" s="209"/>
      <c r="X57" s="51"/>
      <c r="Y57" s="51"/>
      <c r="Z57" s="51"/>
      <c r="AA57" s="51"/>
    </row>
    <row r="58" spans="1:27" ht="15.75" customHeight="1">
      <c r="A58" s="344"/>
      <c r="B58" s="344"/>
      <c r="C58" s="74">
        <v>3</v>
      </c>
      <c r="D58" s="344"/>
      <c r="E58" s="80" t="s">
        <v>3904</v>
      </c>
      <c r="F58" s="74" t="s">
        <v>361</v>
      </c>
      <c r="G58" s="74" t="s">
        <v>327</v>
      </c>
      <c r="H58" s="47" t="s">
        <v>4469</v>
      </c>
      <c r="I58" s="67" t="s">
        <v>4470</v>
      </c>
      <c r="J58" s="67"/>
      <c r="K58" s="25"/>
      <c r="L58" s="57"/>
      <c r="M58" s="26"/>
      <c r="N58" s="197"/>
      <c r="O58" s="50"/>
      <c r="P58" s="50"/>
      <c r="Q58" s="25" t="s">
        <v>282</v>
      </c>
      <c r="R58" s="50"/>
      <c r="S58" s="25"/>
      <c r="T58" s="209"/>
      <c r="U58" s="209"/>
      <c r="V58" s="209"/>
      <c r="W58" s="209"/>
      <c r="X58" s="51"/>
      <c r="Y58" s="51"/>
      <c r="Z58" s="51"/>
      <c r="AA58" s="51"/>
    </row>
    <row r="59" spans="1:27" ht="15.75" customHeight="1">
      <c r="A59" s="344"/>
      <c r="B59" s="344"/>
      <c r="C59" s="74">
        <v>4</v>
      </c>
      <c r="D59" s="344"/>
      <c r="E59" s="80" t="s">
        <v>3905</v>
      </c>
      <c r="F59" s="74" t="s">
        <v>361</v>
      </c>
      <c r="G59" s="74" t="s">
        <v>327</v>
      </c>
      <c r="H59" s="47" t="s">
        <v>4469</v>
      </c>
      <c r="I59" s="67" t="s">
        <v>4471</v>
      </c>
      <c r="J59" s="67"/>
      <c r="K59" s="25"/>
      <c r="L59" s="57"/>
      <c r="M59" s="26"/>
      <c r="N59" s="100"/>
      <c r="O59" s="25"/>
      <c r="P59" s="25"/>
      <c r="Q59" s="25" t="s">
        <v>282</v>
      </c>
      <c r="R59" s="25" t="s">
        <v>7</v>
      </c>
      <c r="S59" s="25"/>
      <c r="T59" s="209"/>
      <c r="U59" s="209"/>
      <c r="V59" s="209"/>
      <c r="W59" s="209"/>
      <c r="X59" s="51"/>
      <c r="Y59" s="51"/>
      <c r="Z59" s="51"/>
      <c r="AA59" s="51"/>
    </row>
    <row r="60" spans="1:27" ht="15.75" customHeight="1">
      <c r="A60" s="344"/>
      <c r="B60" s="344"/>
      <c r="C60" s="74">
        <v>5</v>
      </c>
      <c r="D60" s="344"/>
      <c r="E60" s="80" t="s">
        <v>3906</v>
      </c>
      <c r="F60" s="74" t="s">
        <v>361</v>
      </c>
      <c r="G60" s="74" t="s">
        <v>327</v>
      </c>
      <c r="H60" s="47" t="s">
        <v>4469</v>
      </c>
      <c r="I60" s="67" t="s">
        <v>4470</v>
      </c>
      <c r="J60" s="67"/>
      <c r="K60" s="25"/>
      <c r="L60" s="57"/>
      <c r="M60" s="26"/>
      <c r="N60" s="100"/>
      <c r="O60" s="25"/>
      <c r="P60" s="25"/>
      <c r="Q60" s="25" t="s">
        <v>282</v>
      </c>
      <c r="R60" s="25" t="s">
        <v>7</v>
      </c>
      <c r="S60" s="25"/>
      <c r="T60" s="209"/>
      <c r="U60" s="209"/>
      <c r="V60" s="209"/>
      <c r="W60" s="209"/>
      <c r="X60" s="51"/>
      <c r="Y60" s="51"/>
      <c r="Z60" s="51"/>
      <c r="AA60" s="51"/>
    </row>
    <row r="61" spans="1:27" ht="15.75" customHeight="1">
      <c r="A61" s="344"/>
      <c r="B61" s="344"/>
      <c r="C61" s="74">
        <v>6</v>
      </c>
      <c r="D61" s="344"/>
      <c r="E61" s="80" t="s">
        <v>3907</v>
      </c>
      <c r="F61" s="74" t="s">
        <v>361</v>
      </c>
      <c r="G61" s="74" t="s">
        <v>327</v>
      </c>
      <c r="H61" s="47" t="s">
        <v>4469</v>
      </c>
      <c r="I61" s="67" t="s">
        <v>4470</v>
      </c>
      <c r="J61" s="67"/>
      <c r="K61" s="25"/>
      <c r="L61" s="57"/>
      <c r="M61" s="26"/>
      <c r="N61" s="100"/>
      <c r="O61" s="25"/>
      <c r="P61" s="25"/>
      <c r="Q61" s="25" t="s">
        <v>282</v>
      </c>
      <c r="R61" s="25"/>
      <c r="S61" s="25"/>
      <c r="T61" s="209"/>
      <c r="U61" s="209"/>
      <c r="V61" s="209"/>
      <c r="W61" s="209"/>
      <c r="X61" s="51"/>
      <c r="Y61" s="51"/>
      <c r="Z61" s="51"/>
      <c r="AA61" s="51"/>
    </row>
    <row r="62" spans="1:27" ht="15.75" customHeight="1">
      <c r="A62" s="344"/>
      <c r="B62" s="344"/>
      <c r="C62" s="74">
        <v>7</v>
      </c>
      <c r="D62" s="344"/>
      <c r="E62" s="80" t="s">
        <v>3908</v>
      </c>
      <c r="F62" s="74" t="s">
        <v>361</v>
      </c>
      <c r="G62" s="74" t="s">
        <v>327</v>
      </c>
      <c r="H62" s="47" t="s">
        <v>4469</v>
      </c>
      <c r="I62" s="67" t="s">
        <v>4471</v>
      </c>
      <c r="J62" s="67"/>
      <c r="K62" s="25"/>
      <c r="L62" s="57"/>
      <c r="M62" s="26"/>
      <c r="N62" s="197"/>
      <c r="O62" s="50"/>
      <c r="P62" s="50"/>
      <c r="Q62" s="25" t="s">
        <v>282</v>
      </c>
      <c r="R62" s="50"/>
      <c r="S62" s="25"/>
      <c r="T62" s="209"/>
      <c r="U62" s="209"/>
      <c r="V62" s="209"/>
      <c r="W62" s="209"/>
      <c r="X62" s="51"/>
      <c r="Y62" s="51"/>
      <c r="Z62" s="51"/>
      <c r="AA62" s="51"/>
    </row>
    <row r="63" spans="1:27" ht="15.75" customHeight="1">
      <c r="A63" s="344"/>
      <c r="B63" s="344"/>
      <c r="C63" s="74">
        <v>8</v>
      </c>
      <c r="D63" s="344"/>
      <c r="E63" s="210" t="s">
        <v>4441</v>
      </c>
      <c r="F63" s="45" t="s">
        <v>361</v>
      </c>
      <c r="G63" s="45" t="s">
        <v>327</v>
      </c>
      <c r="H63" s="44" t="s">
        <v>4469</v>
      </c>
      <c r="I63" s="211" t="s">
        <v>4470</v>
      </c>
      <c r="J63" s="439"/>
      <c r="K63" s="25"/>
      <c r="L63" s="57"/>
      <c r="M63" s="26"/>
      <c r="N63" s="197"/>
      <c r="O63" s="50"/>
      <c r="P63" s="50"/>
      <c r="Q63" s="25" t="s">
        <v>282</v>
      </c>
      <c r="R63" s="50" t="s">
        <v>298</v>
      </c>
      <c r="S63" s="25"/>
      <c r="T63" s="209"/>
      <c r="U63" s="209"/>
      <c r="V63" s="209"/>
      <c r="W63" s="209"/>
      <c r="X63" s="51"/>
      <c r="Y63" s="51"/>
      <c r="Z63" s="51"/>
      <c r="AA63" s="51"/>
    </row>
    <row r="64" spans="1:27" ht="15.75" customHeight="1">
      <c r="A64" s="353"/>
      <c r="B64" s="353"/>
      <c r="C64" s="86">
        <v>9</v>
      </c>
      <c r="D64" s="353"/>
      <c r="E64" s="208" t="s">
        <v>3909</v>
      </c>
      <c r="F64" s="86" t="s">
        <v>361</v>
      </c>
      <c r="G64" s="86" t="s">
        <v>327</v>
      </c>
      <c r="H64" s="175" t="s">
        <v>4469</v>
      </c>
      <c r="I64" s="145" t="s">
        <v>4470</v>
      </c>
      <c r="J64" s="145"/>
      <c r="K64" s="25"/>
      <c r="L64" s="57"/>
      <c r="M64" s="26"/>
      <c r="N64" s="197"/>
      <c r="O64" s="50"/>
      <c r="P64" s="50"/>
      <c r="Q64" s="25" t="s">
        <v>282</v>
      </c>
      <c r="R64" s="50" t="s">
        <v>305</v>
      </c>
      <c r="S64" s="25"/>
      <c r="T64" s="209"/>
      <c r="U64" s="209"/>
      <c r="V64" s="209"/>
      <c r="W64" s="209"/>
      <c r="X64" s="51"/>
      <c r="Y64" s="51"/>
      <c r="Z64" s="51"/>
      <c r="AA64" s="51"/>
    </row>
    <row r="65" spans="1:27" ht="15.75" customHeight="1">
      <c r="A65" s="355" t="s">
        <v>4472</v>
      </c>
      <c r="B65" s="350" t="s">
        <v>65</v>
      </c>
      <c r="C65" s="74">
        <v>1</v>
      </c>
      <c r="D65" s="364" t="s">
        <v>4473</v>
      </c>
      <c r="E65" s="80" t="s">
        <v>3325</v>
      </c>
      <c r="F65" s="74" t="s">
        <v>2</v>
      </c>
      <c r="G65" s="74" t="s">
        <v>2</v>
      </c>
      <c r="H65" s="47" t="s">
        <v>4474</v>
      </c>
      <c r="I65" s="23" t="s">
        <v>4475</v>
      </c>
      <c r="J65" s="170"/>
      <c r="K65" s="25"/>
      <c r="L65" s="57"/>
      <c r="M65" s="26"/>
      <c r="N65" s="27"/>
      <c r="O65" s="25"/>
      <c r="P65" s="25"/>
      <c r="Q65" s="25" t="s">
        <v>282</v>
      </c>
      <c r="R65" s="25"/>
      <c r="S65" s="25"/>
      <c r="T65" s="212">
        <v>30.3</v>
      </c>
      <c r="U65" s="213">
        <f t="shared" ref="U65:U66" si="0">T65/$T$73</f>
        <v>0.50838926174496646</v>
      </c>
      <c r="V65" s="213">
        <v>0.61829999999999996</v>
      </c>
      <c r="W65" s="214">
        <f t="shared" ref="W65:W66" si="1">V65-U65</f>
        <v>0.1099107382550335</v>
      </c>
      <c r="X65" s="30"/>
      <c r="Y65" s="30"/>
      <c r="Z65" s="30"/>
      <c r="AA65" s="30"/>
    </row>
    <row r="66" spans="1:27" ht="15.75" customHeight="1">
      <c r="A66" s="344"/>
      <c r="B66" s="344"/>
      <c r="C66" s="74">
        <v>2</v>
      </c>
      <c r="D66" s="344"/>
      <c r="E66" s="80" t="s">
        <v>1021</v>
      </c>
      <c r="F66" s="74" t="s">
        <v>2</v>
      </c>
      <c r="G66" s="74" t="s">
        <v>2</v>
      </c>
      <c r="H66" s="47" t="s">
        <v>4474</v>
      </c>
      <c r="I66" s="23" t="s">
        <v>4476</v>
      </c>
      <c r="J66" s="170"/>
      <c r="K66" s="25"/>
      <c r="L66" s="57"/>
      <c r="M66" s="26"/>
      <c r="N66" s="27"/>
      <c r="O66" s="25"/>
      <c r="P66" s="25"/>
      <c r="Q66" s="25" t="s">
        <v>282</v>
      </c>
      <c r="R66" s="25" t="s">
        <v>7</v>
      </c>
      <c r="S66" s="25"/>
      <c r="T66" s="212">
        <v>14.5</v>
      </c>
      <c r="U66" s="213">
        <f t="shared" si="0"/>
        <v>0.24328859060402683</v>
      </c>
      <c r="V66" s="213">
        <v>0.2487</v>
      </c>
      <c r="W66" s="214">
        <f t="shared" si="1"/>
        <v>5.4114093959731768E-3</v>
      </c>
      <c r="X66" s="30"/>
      <c r="Y66" s="30"/>
      <c r="Z66" s="30"/>
      <c r="AA66" s="30"/>
    </row>
    <row r="67" spans="1:27" ht="15.75" customHeight="1">
      <c r="A67" s="344"/>
      <c r="B67" s="344"/>
      <c r="C67" s="74">
        <v>3</v>
      </c>
      <c r="D67" s="344"/>
      <c r="E67" s="80" t="s">
        <v>4477</v>
      </c>
      <c r="F67" s="74" t="s">
        <v>2</v>
      </c>
      <c r="G67" s="74" t="s">
        <v>2</v>
      </c>
      <c r="H67" s="47" t="s">
        <v>4474</v>
      </c>
      <c r="I67" s="63" t="s">
        <v>4476</v>
      </c>
      <c r="J67" s="171"/>
      <c r="K67" s="25"/>
      <c r="L67" s="57"/>
      <c r="M67" s="26"/>
      <c r="N67" s="27"/>
      <c r="O67" s="25"/>
      <c r="P67" s="25"/>
      <c r="Q67" s="25" t="s">
        <v>282</v>
      </c>
      <c r="R67" s="25" t="s">
        <v>298</v>
      </c>
      <c r="S67" s="25"/>
      <c r="T67" s="212"/>
      <c r="U67" s="213"/>
      <c r="V67" s="213"/>
      <c r="W67" s="214"/>
      <c r="X67" s="30"/>
      <c r="Y67" s="30"/>
      <c r="Z67" s="30"/>
      <c r="AA67" s="30"/>
    </row>
    <row r="68" spans="1:27" ht="15.75" customHeight="1">
      <c r="A68" s="344"/>
      <c r="B68" s="344"/>
      <c r="C68" s="74">
        <v>4</v>
      </c>
      <c r="D68" s="344"/>
      <c r="E68" s="80" t="s">
        <v>4478</v>
      </c>
      <c r="F68" s="74" t="s">
        <v>2</v>
      </c>
      <c r="G68" s="74" t="s">
        <v>2</v>
      </c>
      <c r="H68" s="47" t="s">
        <v>4474</v>
      </c>
      <c r="I68" s="23" t="s">
        <v>4479</v>
      </c>
      <c r="J68" s="170"/>
      <c r="K68" s="25"/>
      <c r="L68" s="57"/>
      <c r="M68" s="26"/>
      <c r="N68" s="27"/>
      <c r="O68" s="25"/>
      <c r="P68" s="25"/>
      <c r="Q68" s="25" t="s">
        <v>282</v>
      </c>
      <c r="R68" s="25"/>
      <c r="S68" s="25"/>
      <c r="T68" s="212">
        <v>1.58</v>
      </c>
      <c r="U68" s="213">
        <f t="shared" ref="U68:U72" si="2">T68/$T$73</f>
        <v>2.6510067114093962E-2</v>
      </c>
      <c r="V68" s="213">
        <v>3.5000000000000003E-2</v>
      </c>
      <c r="W68" s="214">
        <f t="shared" ref="W68:W72" si="3">V68-U68</f>
        <v>8.4899328859060416E-3</v>
      </c>
      <c r="X68" s="30"/>
      <c r="Y68" s="30"/>
      <c r="Z68" s="30"/>
      <c r="AA68" s="30"/>
    </row>
    <row r="69" spans="1:27" ht="15.75" customHeight="1">
      <c r="A69" s="344"/>
      <c r="B69" s="344"/>
      <c r="C69" s="74">
        <v>5</v>
      </c>
      <c r="D69" s="344"/>
      <c r="E69" s="80" t="s">
        <v>4480</v>
      </c>
      <c r="F69" s="74" t="s">
        <v>2</v>
      </c>
      <c r="G69" s="74" t="s">
        <v>2</v>
      </c>
      <c r="H69" s="47" t="s">
        <v>4474</v>
      </c>
      <c r="I69" s="23" t="s">
        <v>4479</v>
      </c>
      <c r="J69" s="170"/>
      <c r="K69" s="25"/>
      <c r="L69" s="57"/>
      <c r="M69" s="26"/>
      <c r="N69" s="27"/>
      <c r="O69" s="25"/>
      <c r="P69" s="25"/>
      <c r="Q69" s="25" t="s">
        <v>282</v>
      </c>
      <c r="R69" s="25"/>
      <c r="S69" s="25"/>
      <c r="T69" s="212">
        <v>1.56</v>
      </c>
      <c r="U69" s="213">
        <f t="shared" si="2"/>
        <v>2.6174496644295303E-2</v>
      </c>
      <c r="V69" s="213">
        <v>3.5000000000000003E-2</v>
      </c>
      <c r="W69" s="214">
        <f t="shared" si="3"/>
        <v>8.8255033557047002E-3</v>
      </c>
      <c r="X69" s="65"/>
      <c r="Y69" s="65"/>
      <c r="Z69" s="65"/>
      <c r="AA69" s="65"/>
    </row>
    <row r="70" spans="1:27" ht="15.75" customHeight="1">
      <c r="A70" s="344"/>
      <c r="B70" s="344"/>
      <c r="C70" s="74">
        <v>6</v>
      </c>
      <c r="D70" s="344"/>
      <c r="E70" s="80" t="s">
        <v>4481</v>
      </c>
      <c r="F70" s="74" t="s">
        <v>2</v>
      </c>
      <c r="G70" s="74" t="s">
        <v>2</v>
      </c>
      <c r="H70" s="47" t="s">
        <v>4474</v>
      </c>
      <c r="I70" s="23" t="s">
        <v>4482</v>
      </c>
      <c r="J70" s="170"/>
      <c r="K70" s="25"/>
      <c r="L70" s="57"/>
      <c r="M70" s="26"/>
      <c r="N70" s="27"/>
      <c r="O70" s="25"/>
      <c r="P70" s="25"/>
      <c r="Q70" s="25" t="s">
        <v>282</v>
      </c>
      <c r="R70" s="25" t="s">
        <v>7</v>
      </c>
      <c r="S70" s="25"/>
      <c r="T70" s="212">
        <v>0.84199999999999997</v>
      </c>
      <c r="U70" s="213">
        <f t="shared" si="2"/>
        <v>1.4127516778523488E-2</v>
      </c>
      <c r="V70" s="213">
        <v>1.17E-2</v>
      </c>
      <c r="W70" s="214">
        <f t="shared" si="3"/>
        <v>-2.4275167785234881E-3</v>
      </c>
      <c r="X70" s="65"/>
      <c r="Y70" s="65"/>
      <c r="Z70" s="65"/>
      <c r="AA70" s="65"/>
    </row>
    <row r="71" spans="1:27" ht="15.75" customHeight="1">
      <c r="A71" s="344"/>
      <c r="B71" s="344"/>
      <c r="C71" s="74">
        <v>7</v>
      </c>
      <c r="D71" s="344"/>
      <c r="E71" s="80" t="s">
        <v>3908</v>
      </c>
      <c r="F71" s="74" t="s">
        <v>2</v>
      </c>
      <c r="G71" s="74" t="s">
        <v>2</v>
      </c>
      <c r="H71" s="47" t="s">
        <v>4474</v>
      </c>
      <c r="I71" s="23" t="s">
        <v>4483</v>
      </c>
      <c r="J71" s="170"/>
      <c r="K71" s="25"/>
      <c r="L71" s="57"/>
      <c r="M71" s="26"/>
      <c r="N71" s="27"/>
      <c r="O71" s="25"/>
      <c r="P71" s="25"/>
      <c r="Q71" s="25" t="s">
        <v>282</v>
      </c>
      <c r="R71" s="25"/>
      <c r="S71" s="25"/>
      <c r="T71" s="212">
        <v>1.46</v>
      </c>
      <c r="U71" s="213">
        <f t="shared" si="2"/>
        <v>2.4496644295302013E-2</v>
      </c>
      <c r="V71" s="213">
        <v>1.84E-2</v>
      </c>
      <c r="W71" s="214">
        <f t="shared" si="3"/>
        <v>-6.0966442953020138E-3</v>
      </c>
      <c r="X71" s="65"/>
      <c r="Y71" s="65"/>
      <c r="Z71" s="65"/>
      <c r="AA71" s="65"/>
    </row>
    <row r="72" spans="1:27" ht="15.75" customHeight="1">
      <c r="A72" s="344"/>
      <c r="B72" s="344"/>
      <c r="C72" s="74">
        <v>8</v>
      </c>
      <c r="D72" s="344"/>
      <c r="E72" s="80" t="s">
        <v>4484</v>
      </c>
      <c r="F72" s="74" t="s">
        <v>2</v>
      </c>
      <c r="G72" s="74" t="s">
        <v>2</v>
      </c>
      <c r="H72" s="47" t="s">
        <v>4485</v>
      </c>
      <c r="I72" s="23" t="s">
        <v>4486</v>
      </c>
      <c r="J72" s="170"/>
      <c r="K72" s="25"/>
      <c r="L72" s="57"/>
      <c r="M72" s="26"/>
      <c r="N72" s="27"/>
      <c r="O72" s="25"/>
      <c r="P72" s="25"/>
      <c r="Q72" s="25" t="s">
        <v>282</v>
      </c>
      <c r="R72" s="25"/>
      <c r="S72" s="25"/>
      <c r="T72" s="212">
        <v>1.3</v>
      </c>
      <c r="U72" s="213">
        <f t="shared" si="2"/>
        <v>2.1812080536912751E-2</v>
      </c>
      <c r="V72" s="213">
        <v>2.3E-2</v>
      </c>
      <c r="W72" s="214">
        <f t="shared" si="3"/>
        <v>1.1879194630872482E-3</v>
      </c>
      <c r="X72" s="65"/>
      <c r="Y72" s="65"/>
      <c r="Z72" s="65"/>
      <c r="AA72" s="65"/>
    </row>
    <row r="73" spans="1:27" ht="15.75" customHeight="1">
      <c r="A73" s="344"/>
      <c r="B73" s="344"/>
      <c r="C73" s="74">
        <v>9</v>
      </c>
      <c r="D73" s="345"/>
      <c r="E73" s="80" t="s">
        <v>4487</v>
      </c>
      <c r="F73" s="74" t="s">
        <v>2</v>
      </c>
      <c r="G73" s="74" t="s">
        <v>2</v>
      </c>
      <c r="H73" s="47" t="s">
        <v>4488</v>
      </c>
      <c r="I73" s="23" t="s">
        <v>4489</v>
      </c>
      <c r="J73" s="170"/>
      <c r="K73" s="25"/>
      <c r="L73" s="57"/>
      <c r="M73" s="26"/>
      <c r="N73" s="27"/>
      <c r="O73" s="25"/>
      <c r="P73" s="25"/>
      <c r="Q73" s="25" t="s">
        <v>282</v>
      </c>
      <c r="R73" s="25"/>
      <c r="S73" s="25"/>
      <c r="T73" s="212">
        <v>59.6</v>
      </c>
      <c r="U73" s="215"/>
      <c r="V73" s="215"/>
      <c r="W73" s="215"/>
      <c r="X73" s="65"/>
      <c r="Y73" s="65"/>
      <c r="Z73" s="65"/>
      <c r="AA73" s="65"/>
    </row>
    <row r="74" spans="1:27" ht="15.75" customHeight="1">
      <c r="A74" s="344"/>
      <c r="B74" s="344"/>
      <c r="C74" s="74">
        <v>10</v>
      </c>
      <c r="D74" s="364" t="s">
        <v>4490</v>
      </c>
      <c r="E74" s="80" t="s">
        <v>3325</v>
      </c>
      <c r="F74" s="74" t="s">
        <v>2</v>
      </c>
      <c r="G74" s="74" t="s">
        <v>2</v>
      </c>
      <c r="H74" s="47" t="s">
        <v>4474</v>
      </c>
      <c r="I74" s="63" t="s">
        <v>4491</v>
      </c>
      <c r="J74" s="171"/>
      <c r="K74" s="25"/>
      <c r="L74" s="57"/>
      <c r="M74" s="26"/>
      <c r="N74" s="27"/>
      <c r="O74" s="25"/>
      <c r="P74" s="25"/>
      <c r="Q74" s="25" t="s">
        <v>282</v>
      </c>
      <c r="R74" s="25"/>
      <c r="S74" s="25"/>
      <c r="T74" s="212">
        <v>30.3</v>
      </c>
      <c r="U74" s="213">
        <f t="shared" ref="U74:U75" si="4">T74/$T$73</f>
        <v>0.50838926174496646</v>
      </c>
      <c r="V74" s="213">
        <v>0.61829999999999996</v>
      </c>
      <c r="W74" s="214">
        <f t="shared" ref="W74:W75" si="5">V74-U74</f>
        <v>0.1099107382550335</v>
      </c>
      <c r="X74" s="30"/>
      <c r="Y74" s="30"/>
      <c r="Z74" s="30"/>
      <c r="AA74" s="30"/>
    </row>
    <row r="75" spans="1:27" ht="15.75" customHeight="1">
      <c r="A75" s="344"/>
      <c r="B75" s="344"/>
      <c r="C75" s="74">
        <v>11</v>
      </c>
      <c r="D75" s="344"/>
      <c r="E75" s="80" t="s">
        <v>1021</v>
      </c>
      <c r="F75" s="74" t="s">
        <v>2</v>
      </c>
      <c r="G75" s="74" t="s">
        <v>2</v>
      </c>
      <c r="H75" s="47" t="s">
        <v>4474</v>
      </c>
      <c r="I75" s="63" t="s">
        <v>4492</v>
      </c>
      <c r="J75" s="171"/>
      <c r="K75" s="25"/>
      <c r="L75" s="57"/>
      <c r="M75" s="26"/>
      <c r="N75" s="27"/>
      <c r="O75" s="25"/>
      <c r="P75" s="25"/>
      <c r="Q75" s="25" t="s">
        <v>282</v>
      </c>
      <c r="R75" s="25" t="s">
        <v>7</v>
      </c>
      <c r="S75" s="25"/>
      <c r="T75" s="212">
        <v>14.5</v>
      </c>
      <c r="U75" s="213">
        <f t="shared" si="4"/>
        <v>0.24328859060402683</v>
      </c>
      <c r="V75" s="213">
        <v>0.2487</v>
      </c>
      <c r="W75" s="214">
        <f t="shared" si="5"/>
        <v>5.4114093959731768E-3</v>
      </c>
      <c r="X75" s="30"/>
      <c r="Y75" s="30"/>
      <c r="Z75" s="30"/>
      <c r="AA75" s="30"/>
    </row>
    <row r="76" spans="1:27" ht="15.75" customHeight="1">
      <c r="A76" s="344"/>
      <c r="B76" s="344"/>
      <c r="C76" s="74">
        <v>12</v>
      </c>
      <c r="D76" s="344"/>
      <c r="E76" s="80" t="s">
        <v>4477</v>
      </c>
      <c r="F76" s="74" t="s">
        <v>2</v>
      </c>
      <c r="G76" s="74" t="s">
        <v>2</v>
      </c>
      <c r="H76" s="47" t="s">
        <v>4474</v>
      </c>
      <c r="I76" s="63" t="s">
        <v>4492</v>
      </c>
      <c r="J76" s="171"/>
      <c r="K76" s="25"/>
      <c r="L76" s="57"/>
      <c r="M76" s="26"/>
      <c r="N76" s="27"/>
      <c r="O76" s="25"/>
      <c r="P76" s="25"/>
      <c r="Q76" s="25" t="s">
        <v>282</v>
      </c>
      <c r="R76" s="25" t="s">
        <v>298</v>
      </c>
      <c r="S76" s="25"/>
      <c r="T76" s="212"/>
      <c r="U76" s="213"/>
      <c r="V76" s="213"/>
      <c r="W76" s="214"/>
      <c r="X76" s="30"/>
      <c r="Y76" s="30"/>
      <c r="Z76" s="30"/>
      <c r="AA76" s="30"/>
    </row>
    <row r="77" spans="1:27" ht="15.75" customHeight="1">
      <c r="A77" s="344"/>
      <c r="B77" s="344"/>
      <c r="C77" s="74">
        <v>13</v>
      </c>
      <c r="D77" s="344"/>
      <c r="E77" s="80" t="s">
        <v>4478</v>
      </c>
      <c r="F77" s="74" t="s">
        <v>2</v>
      </c>
      <c r="G77" s="74" t="s">
        <v>2</v>
      </c>
      <c r="H77" s="47" t="s">
        <v>4474</v>
      </c>
      <c r="I77" s="63" t="s">
        <v>4493</v>
      </c>
      <c r="J77" s="171"/>
      <c r="K77" s="25"/>
      <c r="L77" s="57"/>
      <c r="M77" s="26"/>
      <c r="N77" s="27"/>
      <c r="O77" s="25"/>
      <c r="P77" s="25"/>
      <c r="Q77" s="25" t="s">
        <v>282</v>
      </c>
      <c r="R77" s="25"/>
      <c r="S77" s="25"/>
      <c r="T77" s="212">
        <v>1.58</v>
      </c>
      <c r="U77" s="213">
        <f t="shared" ref="U77:U81" si="6">T77/$T$73</f>
        <v>2.6510067114093962E-2</v>
      </c>
      <c r="V77" s="213">
        <v>3.5000000000000003E-2</v>
      </c>
      <c r="W77" s="214">
        <f t="shared" ref="W77:W81" si="7">V77-U77</f>
        <v>8.4899328859060416E-3</v>
      </c>
      <c r="X77" s="30"/>
      <c r="Y77" s="30"/>
      <c r="Z77" s="30"/>
      <c r="AA77" s="30"/>
    </row>
    <row r="78" spans="1:27" ht="15.75" customHeight="1">
      <c r="A78" s="344"/>
      <c r="B78" s="344"/>
      <c r="C78" s="74">
        <v>14</v>
      </c>
      <c r="D78" s="344"/>
      <c r="E78" s="80" t="s">
        <v>4480</v>
      </c>
      <c r="F78" s="74" t="s">
        <v>2</v>
      </c>
      <c r="G78" s="74" t="s">
        <v>2</v>
      </c>
      <c r="H78" s="47" t="s">
        <v>4474</v>
      </c>
      <c r="I78" s="63" t="s">
        <v>4493</v>
      </c>
      <c r="J78" s="171"/>
      <c r="K78" s="25"/>
      <c r="L78" s="57"/>
      <c r="M78" s="26"/>
      <c r="N78" s="27"/>
      <c r="O78" s="25"/>
      <c r="P78" s="25"/>
      <c r="Q78" s="25" t="s">
        <v>282</v>
      </c>
      <c r="R78" s="25"/>
      <c r="S78" s="25"/>
      <c r="T78" s="212">
        <v>1.56</v>
      </c>
      <c r="U78" s="213">
        <f t="shared" si="6"/>
        <v>2.6174496644295303E-2</v>
      </c>
      <c r="V78" s="213">
        <v>3.5000000000000003E-2</v>
      </c>
      <c r="W78" s="214">
        <f t="shared" si="7"/>
        <v>8.8255033557047002E-3</v>
      </c>
      <c r="X78" s="65"/>
      <c r="Y78" s="65"/>
      <c r="Z78" s="65"/>
      <c r="AA78" s="65"/>
    </row>
    <row r="79" spans="1:27" ht="15.75" customHeight="1">
      <c r="A79" s="344"/>
      <c r="B79" s="344"/>
      <c r="C79" s="74">
        <v>15</v>
      </c>
      <c r="D79" s="344"/>
      <c r="E79" s="80" t="s">
        <v>4481</v>
      </c>
      <c r="F79" s="74" t="s">
        <v>2</v>
      </c>
      <c r="G79" s="74" t="s">
        <v>2</v>
      </c>
      <c r="H79" s="47" t="s">
        <v>4474</v>
      </c>
      <c r="I79" s="63" t="s">
        <v>4494</v>
      </c>
      <c r="J79" s="171"/>
      <c r="K79" s="25"/>
      <c r="L79" s="57"/>
      <c r="M79" s="26"/>
      <c r="N79" s="27"/>
      <c r="O79" s="25"/>
      <c r="P79" s="25"/>
      <c r="Q79" s="25" t="s">
        <v>282</v>
      </c>
      <c r="R79" s="25" t="s">
        <v>7</v>
      </c>
      <c r="S79" s="25"/>
      <c r="T79" s="212">
        <v>0.84199999999999997</v>
      </c>
      <c r="U79" s="213">
        <f t="shared" si="6"/>
        <v>1.4127516778523488E-2</v>
      </c>
      <c r="V79" s="213">
        <v>1.17E-2</v>
      </c>
      <c r="W79" s="214">
        <f t="shared" si="7"/>
        <v>-2.4275167785234881E-3</v>
      </c>
      <c r="X79" s="65"/>
      <c r="Y79" s="65"/>
      <c r="Z79" s="65"/>
      <c r="AA79" s="65"/>
    </row>
    <row r="80" spans="1:27" ht="15.75" customHeight="1">
      <c r="A80" s="344"/>
      <c r="B80" s="344"/>
      <c r="C80" s="74">
        <v>16</v>
      </c>
      <c r="D80" s="344"/>
      <c r="E80" s="80" t="s">
        <v>3908</v>
      </c>
      <c r="F80" s="74" t="s">
        <v>2</v>
      </c>
      <c r="G80" s="74" t="s">
        <v>2</v>
      </c>
      <c r="H80" s="47" t="s">
        <v>4474</v>
      </c>
      <c r="I80" s="63" t="s">
        <v>4495</v>
      </c>
      <c r="J80" s="171"/>
      <c r="K80" s="25"/>
      <c r="L80" s="57"/>
      <c r="M80" s="26"/>
      <c r="N80" s="27"/>
      <c r="O80" s="25"/>
      <c r="P80" s="25"/>
      <c r="Q80" s="25" t="s">
        <v>282</v>
      </c>
      <c r="R80" s="25"/>
      <c r="S80" s="25"/>
      <c r="T80" s="212">
        <v>1.46</v>
      </c>
      <c r="U80" s="213">
        <f t="shared" si="6"/>
        <v>2.4496644295302013E-2</v>
      </c>
      <c r="V80" s="213">
        <v>1.84E-2</v>
      </c>
      <c r="W80" s="214">
        <f t="shared" si="7"/>
        <v>-6.0966442953020138E-3</v>
      </c>
      <c r="X80" s="65"/>
      <c r="Y80" s="65"/>
      <c r="Z80" s="65"/>
      <c r="AA80" s="65"/>
    </row>
    <row r="81" spans="1:27" ht="15.75" customHeight="1">
      <c r="A81" s="344"/>
      <c r="B81" s="344"/>
      <c r="C81" s="74">
        <v>17</v>
      </c>
      <c r="D81" s="344"/>
      <c r="E81" s="80" t="s">
        <v>4484</v>
      </c>
      <c r="F81" s="74" t="s">
        <v>2</v>
      </c>
      <c r="G81" s="74" t="s">
        <v>2</v>
      </c>
      <c r="H81" s="47" t="s">
        <v>4485</v>
      </c>
      <c r="I81" s="63" t="s">
        <v>4496</v>
      </c>
      <c r="J81" s="171"/>
      <c r="K81" s="25"/>
      <c r="L81" s="57"/>
      <c r="M81" s="26"/>
      <c r="N81" s="27"/>
      <c r="O81" s="25"/>
      <c r="P81" s="25"/>
      <c r="Q81" s="25" t="s">
        <v>282</v>
      </c>
      <c r="R81" s="25"/>
      <c r="S81" s="25"/>
      <c r="T81" s="212">
        <v>1.3</v>
      </c>
      <c r="U81" s="213">
        <f t="shared" si="6"/>
        <v>2.1812080536912751E-2</v>
      </c>
      <c r="V81" s="213">
        <v>2.3E-2</v>
      </c>
      <c r="W81" s="214">
        <f t="shared" si="7"/>
        <v>1.1879194630872482E-3</v>
      </c>
      <c r="X81" s="65"/>
      <c r="Y81" s="65"/>
      <c r="Z81" s="65"/>
      <c r="AA81" s="65"/>
    </row>
    <row r="82" spans="1:27" ht="15.75" customHeight="1">
      <c r="A82" s="345"/>
      <c r="B82" s="345"/>
      <c r="C82" s="74">
        <v>18</v>
      </c>
      <c r="D82" s="345"/>
      <c r="E82" s="80" t="s">
        <v>4487</v>
      </c>
      <c r="F82" s="74" t="s">
        <v>2</v>
      </c>
      <c r="G82" s="74" t="s">
        <v>2</v>
      </c>
      <c r="H82" s="47" t="s">
        <v>4488</v>
      </c>
      <c r="I82" s="63" t="s">
        <v>4489</v>
      </c>
      <c r="J82" s="171"/>
      <c r="K82" s="25"/>
      <c r="L82" s="57"/>
      <c r="M82" s="26"/>
      <c r="N82" s="27"/>
      <c r="O82" s="25"/>
      <c r="P82" s="25"/>
      <c r="Q82" s="25" t="s">
        <v>282</v>
      </c>
      <c r="R82" s="25"/>
      <c r="S82" s="25"/>
      <c r="T82" s="212">
        <v>59.6</v>
      </c>
      <c r="U82" s="215"/>
      <c r="V82" s="215"/>
      <c r="W82" s="215"/>
      <c r="X82" s="65"/>
      <c r="Y82" s="65"/>
      <c r="Z82" s="65"/>
      <c r="AA82" s="65"/>
    </row>
    <row r="83" spans="1:27" ht="15.75" customHeight="1">
      <c r="A83" s="355" t="s">
        <v>4497</v>
      </c>
      <c r="B83" s="363" t="s">
        <v>4498</v>
      </c>
      <c r="C83" s="74">
        <v>1</v>
      </c>
      <c r="D83" s="364" t="s">
        <v>4499</v>
      </c>
      <c r="E83" s="364" t="s">
        <v>3882</v>
      </c>
      <c r="F83" s="363" t="s">
        <v>2</v>
      </c>
      <c r="G83" s="363" t="s">
        <v>2</v>
      </c>
      <c r="H83" s="47" t="s">
        <v>4500</v>
      </c>
      <c r="I83" s="47" t="s">
        <v>4501</v>
      </c>
      <c r="J83" s="168"/>
      <c r="K83" s="25"/>
      <c r="L83" s="57"/>
      <c r="M83" s="26"/>
      <c r="N83" s="27"/>
      <c r="O83" s="25"/>
      <c r="P83" s="25"/>
      <c r="Q83" s="25" t="s">
        <v>282</v>
      </c>
      <c r="R83" s="25"/>
      <c r="S83" s="25"/>
      <c r="T83" s="55"/>
      <c r="U83" s="55"/>
      <c r="V83" s="55"/>
      <c r="W83" s="55"/>
      <c r="X83" s="65"/>
      <c r="Y83" s="65"/>
      <c r="Z83" s="65"/>
      <c r="AA83" s="65"/>
    </row>
    <row r="84" spans="1:27" ht="15.75" customHeight="1">
      <c r="A84" s="344"/>
      <c r="B84" s="344"/>
      <c r="C84" s="74">
        <v>2</v>
      </c>
      <c r="D84" s="344"/>
      <c r="E84" s="345"/>
      <c r="F84" s="345"/>
      <c r="G84" s="345"/>
      <c r="H84" s="47" t="s">
        <v>4502</v>
      </c>
      <c r="I84" s="47" t="s">
        <v>4503</v>
      </c>
      <c r="J84" s="168"/>
      <c r="K84" s="25"/>
      <c r="L84" s="57"/>
      <c r="M84" s="26"/>
      <c r="N84" s="27"/>
      <c r="O84" s="25"/>
      <c r="P84" s="25"/>
      <c r="Q84" s="25" t="s">
        <v>282</v>
      </c>
      <c r="R84" s="25"/>
      <c r="S84" s="25"/>
      <c r="T84" s="55"/>
      <c r="U84" s="55"/>
      <c r="V84" s="55"/>
      <c r="W84" s="55"/>
      <c r="X84" s="65"/>
      <c r="Y84" s="65"/>
      <c r="Z84" s="65"/>
      <c r="AA84" s="65"/>
    </row>
    <row r="85" spans="1:27" ht="15.75" customHeight="1">
      <c r="A85" s="344"/>
      <c r="B85" s="344"/>
      <c r="C85" s="74">
        <v>3</v>
      </c>
      <c r="D85" s="344"/>
      <c r="E85" s="364" t="s">
        <v>4504</v>
      </c>
      <c r="F85" s="363" t="s">
        <v>2</v>
      </c>
      <c r="G85" s="363" t="s">
        <v>2</v>
      </c>
      <c r="H85" s="47" t="s">
        <v>4500</v>
      </c>
      <c r="I85" s="47" t="s">
        <v>4505</v>
      </c>
      <c r="J85" s="168"/>
      <c r="K85" s="25"/>
      <c r="L85" s="57"/>
      <c r="M85" s="26"/>
      <c r="N85" s="27"/>
      <c r="O85" s="25"/>
      <c r="P85" s="25"/>
      <c r="Q85" s="25" t="s">
        <v>282</v>
      </c>
      <c r="R85" s="25" t="s">
        <v>7</v>
      </c>
      <c r="S85" s="25"/>
      <c r="T85" s="55"/>
      <c r="U85" s="55"/>
      <c r="V85" s="55"/>
      <c r="W85" s="55"/>
      <c r="X85" s="65"/>
      <c r="Y85" s="65"/>
      <c r="Z85" s="65"/>
      <c r="AA85" s="65"/>
    </row>
    <row r="86" spans="1:27" ht="15.75" customHeight="1">
      <c r="A86" s="344"/>
      <c r="B86" s="344"/>
      <c r="C86" s="74">
        <v>4</v>
      </c>
      <c r="D86" s="344"/>
      <c r="E86" s="345"/>
      <c r="F86" s="345"/>
      <c r="G86" s="345"/>
      <c r="H86" s="47" t="s">
        <v>4502</v>
      </c>
      <c r="I86" s="47" t="s">
        <v>4503</v>
      </c>
      <c r="J86" s="168"/>
      <c r="K86" s="25"/>
      <c r="L86" s="57"/>
      <c r="M86" s="26"/>
      <c r="N86" s="27"/>
      <c r="O86" s="25"/>
      <c r="P86" s="25"/>
      <c r="Q86" s="25" t="s">
        <v>282</v>
      </c>
      <c r="R86" s="25" t="s">
        <v>7</v>
      </c>
      <c r="S86" s="25"/>
      <c r="T86" s="55"/>
      <c r="U86" s="55"/>
      <c r="V86" s="55"/>
      <c r="W86" s="55"/>
      <c r="X86" s="65"/>
      <c r="Y86" s="65"/>
      <c r="Z86" s="65"/>
      <c r="AA86" s="65"/>
    </row>
    <row r="87" spans="1:27" ht="33" customHeight="1">
      <c r="A87" s="344"/>
      <c r="B87" s="344"/>
      <c r="C87" s="74">
        <v>5</v>
      </c>
      <c r="D87" s="344"/>
      <c r="E87" s="364" t="s">
        <v>4506</v>
      </c>
      <c r="F87" s="363" t="s">
        <v>2</v>
      </c>
      <c r="G87" s="363" t="s">
        <v>2</v>
      </c>
      <c r="H87" s="47" t="s">
        <v>4500</v>
      </c>
      <c r="I87" s="67" t="s">
        <v>4505</v>
      </c>
      <c r="J87" s="67"/>
      <c r="K87" s="25"/>
      <c r="L87" s="57"/>
      <c r="M87" s="26"/>
      <c r="N87" s="27"/>
      <c r="O87" s="25"/>
      <c r="P87" s="25"/>
      <c r="Q87" s="25" t="s">
        <v>282</v>
      </c>
      <c r="R87" s="25" t="s">
        <v>298</v>
      </c>
      <c r="S87" s="25"/>
      <c r="T87" s="55"/>
      <c r="U87" s="55"/>
      <c r="V87" s="55"/>
      <c r="W87" s="55"/>
      <c r="X87" s="65"/>
      <c r="Y87" s="65"/>
      <c r="Z87" s="65"/>
      <c r="AA87" s="65"/>
    </row>
    <row r="88" spans="1:27" ht="15.75" customHeight="1">
      <c r="A88" s="344"/>
      <c r="B88" s="344"/>
      <c r="C88" s="74">
        <v>6</v>
      </c>
      <c r="D88" s="344"/>
      <c r="E88" s="345"/>
      <c r="F88" s="345"/>
      <c r="G88" s="345"/>
      <c r="H88" s="47" t="s">
        <v>4502</v>
      </c>
      <c r="I88" s="67" t="s">
        <v>4503</v>
      </c>
      <c r="J88" s="67"/>
      <c r="K88" s="25"/>
      <c r="L88" s="57"/>
      <c r="M88" s="26"/>
      <c r="N88" s="27"/>
      <c r="O88" s="25"/>
      <c r="P88" s="25"/>
      <c r="Q88" s="25" t="s">
        <v>282</v>
      </c>
      <c r="R88" s="25" t="s">
        <v>298</v>
      </c>
      <c r="S88" s="25"/>
      <c r="T88" s="55"/>
      <c r="U88" s="55"/>
      <c r="V88" s="55"/>
      <c r="W88" s="55"/>
      <c r="X88" s="65"/>
      <c r="Y88" s="65"/>
      <c r="Z88" s="65"/>
      <c r="AA88" s="65"/>
    </row>
    <row r="89" spans="1:27" ht="15.75" customHeight="1">
      <c r="A89" s="344"/>
      <c r="B89" s="344"/>
      <c r="C89" s="74">
        <v>7</v>
      </c>
      <c r="D89" s="344"/>
      <c r="E89" s="364" t="s">
        <v>4507</v>
      </c>
      <c r="F89" s="363" t="s">
        <v>2</v>
      </c>
      <c r="G89" s="363" t="s">
        <v>2</v>
      </c>
      <c r="H89" s="47" t="s">
        <v>4500</v>
      </c>
      <c r="I89" s="47" t="s">
        <v>4508</v>
      </c>
      <c r="J89" s="168"/>
      <c r="K89" s="25"/>
      <c r="L89" s="57"/>
      <c r="M89" s="26"/>
      <c r="N89" s="27"/>
      <c r="O89" s="25"/>
      <c r="P89" s="25"/>
      <c r="Q89" s="25" t="s">
        <v>282</v>
      </c>
      <c r="R89" s="25"/>
      <c r="S89" s="25"/>
      <c r="T89" s="55"/>
      <c r="U89" s="55"/>
      <c r="V89" s="55"/>
      <c r="W89" s="55"/>
      <c r="X89" s="65"/>
      <c r="Y89" s="65"/>
      <c r="Z89" s="65"/>
      <c r="AA89" s="65"/>
    </row>
    <row r="90" spans="1:27" ht="15.75" customHeight="1">
      <c r="A90" s="344"/>
      <c r="B90" s="344"/>
      <c r="C90" s="74">
        <v>8</v>
      </c>
      <c r="D90" s="344"/>
      <c r="E90" s="345"/>
      <c r="F90" s="345"/>
      <c r="G90" s="345"/>
      <c r="H90" s="47" t="s">
        <v>4502</v>
      </c>
      <c r="I90" s="47" t="s">
        <v>4503</v>
      </c>
      <c r="J90" s="168"/>
      <c r="K90" s="25"/>
      <c r="L90" s="57"/>
      <c r="M90" s="26"/>
      <c r="N90" s="27"/>
      <c r="O90" s="25"/>
      <c r="P90" s="25"/>
      <c r="Q90" s="25" t="s">
        <v>282</v>
      </c>
      <c r="R90" s="25"/>
      <c r="S90" s="25"/>
      <c r="T90" s="55"/>
      <c r="U90" s="55"/>
      <c r="V90" s="55"/>
      <c r="W90" s="55"/>
      <c r="X90" s="65"/>
      <c r="Y90" s="65"/>
      <c r="Z90" s="65"/>
      <c r="AA90" s="65"/>
    </row>
    <row r="91" spans="1:27" ht="15.75" customHeight="1">
      <c r="A91" s="344"/>
      <c r="B91" s="344"/>
      <c r="C91" s="74">
        <v>9</v>
      </c>
      <c r="D91" s="344"/>
      <c r="E91" s="364" t="s">
        <v>3887</v>
      </c>
      <c r="F91" s="363" t="s">
        <v>2</v>
      </c>
      <c r="G91" s="363" t="s">
        <v>2</v>
      </c>
      <c r="H91" s="47" t="s">
        <v>4500</v>
      </c>
      <c r="I91" s="47" t="s">
        <v>4508</v>
      </c>
      <c r="J91" s="168"/>
      <c r="K91" s="25"/>
      <c r="L91" s="57"/>
      <c r="M91" s="26"/>
      <c r="N91" s="27"/>
      <c r="O91" s="25"/>
      <c r="P91" s="25"/>
      <c r="Q91" s="25" t="s">
        <v>282</v>
      </c>
      <c r="R91" s="25"/>
      <c r="S91" s="25"/>
      <c r="T91" s="55"/>
      <c r="U91" s="55"/>
      <c r="V91" s="55"/>
      <c r="W91" s="55"/>
      <c r="X91" s="65"/>
      <c r="Y91" s="65"/>
      <c r="Z91" s="65"/>
      <c r="AA91" s="65"/>
    </row>
    <row r="92" spans="1:27" ht="15.75" customHeight="1">
      <c r="A92" s="344"/>
      <c r="B92" s="344"/>
      <c r="C92" s="74">
        <v>10</v>
      </c>
      <c r="D92" s="344"/>
      <c r="E92" s="345"/>
      <c r="F92" s="345"/>
      <c r="G92" s="345"/>
      <c r="H92" s="47" t="s">
        <v>4502</v>
      </c>
      <c r="I92" s="47" t="s">
        <v>4503</v>
      </c>
      <c r="J92" s="168"/>
      <c r="K92" s="25"/>
      <c r="L92" s="57"/>
      <c r="M92" s="26"/>
      <c r="N92" s="27"/>
      <c r="O92" s="25"/>
      <c r="P92" s="25"/>
      <c r="Q92" s="25" t="s">
        <v>282</v>
      </c>
      <c r="R92" s="25"/>
      <c r="S92" s="25"/>
      <c r="T92" s="55"/>
      <c r="U92" s="55"/>
      <c r="V92" s="55"/>
      <c r="W92" s="55"/>
      <c r="X92" s="65"/>
      <c r="Y92" s="65"/>
      <c r="Z92" s="65"/>
      <c r="AA92" s="65"/>
    </row>
    <row r="93" spans="1:27" ht="15.75" customHeight="1">
      <c r="A93" s="344"/>
      <c r="B93" s="344"/>
      <c r="C93" s="74">
        <v>11</v>
      </c>
      <c r="D93" s="344"/>
      <c r="E93" s="364" t="s">
        <v>3888</v>
      </c>
      <c r="F93" s="363" t="s">
        <v>2</v>
      </c>
      <c r="G93" s="363" t="s">
        <v>2</v>
      </c>
      <c r="H93" s="47" t="s">
        <v>4500</v>
      </c>
      <c r="I93" s="47" t="s">
        <v>4509</v>
      </c>
      <c r="J93" s="168"/>
      <c r="K93" s="25"/>
      <c r="L93" s="57"/>
      <c r="M93" s="26"/>
      <c r="N93" s="27"/>
      <c r="O93" s="25"/>
      <c r="P93" s="25"/>
      <c r="Q93" s="25" t="s">
        <v>282</v>
      </c>
      <c r="R93" s="25" t="s">
        <v>7</v>
      </c>
      <c r="S93" s="25"/>
      <c r="T93" s="55"/>
      <c r="U93" s="55"/>
      <c r="V93" s="55"/>
      <c r="W93" s="55"/>
      <c r="X93" s="65"/>
      <c r="Y93" s="65"/>
      <c r="Z93" s="65"/>
      <c r="AA93" s="65"/>
    </row>
    <row r="94" spans="1:27" ht="15.75" customHeight="1">
      <c r="A94" s="344"/>
      <c r="B94" s="344"/>
      <c r="C94" s="74">
        <v>12</v>
      </c>
      <c r="D94" s="344"/>
      <c r="E94" s="345"/>
      <c r="F94" s="345"/>
      <c r="G94" s="345"/>
      <c r="H94" s="47" t="s">
        <v>4502</v>
      </c>
      <c r="I94" s="47" t="s">
        <v>4503</v>
      </c>
      <c r="J94" s="168"/>
      <c r="K94" s="25"/>
      <c r="L94" s="57"/>
      <c r="M94" s="26"/>
      <c r="N94" s="27"/>
      <c r="O94" s="25"/>
      <c r="P94" s="25"/>
      <c r="Q94" s="25" t="s">
        <v>282</v>
      </c>
      <c r="R94" s="25" t="s">
        <v>7</v>
      </c>
      <c r="S94" s="25"/>
      <c r="T94" s="55"/>
      <c r="U94" s="55"/>
      <c r="V94" s="55"/>
      <c r="W94" s="55"/>
      <c r="X94" s="65"/>
      <c r="Y94" s="65"/>
      <c r="Z94" s="65"/>
      <c r="AA94" s="65"/>
    </row>
    <row r="95" spans="1:27" ht="15.75" customHeight="1">
      <c r="A95" s="344"/>
      <c r="B95" s="344"/>
      <c r="C95" s="74">
        <v>13</v>
      </c>
      <c r="D95" s="344"/>
      <c r="E95" s="364" t="s">
        <v>3908</v>
      </c>
      <c r="F95" s="363" t="s">
        <v>2</v>
      </c>
      <c r="G95" s="363" t="s">
        <v>2</v>
      </c>
      <c r="H95" s="47" t="s">
        <v>4500</v>
      </c>
      <c r="I95" s="47" t="s">
        <v>4510</v>
      </c>
      <c r="J95" s="168"/>
      <c r="K95" s="25"/>
      <c r="L95" s="57"/>
      <c r="M95" s="26"/>
      <c r="N95" s="27"/>
      <c r="O95" s="25"/>
      <c r="P95" s="25"/>
      <c r="Q95" s="25" t="s">
        <v>282</v>
      </c>
      <c r="R95" s="25"/>
      <c r="S95" s="25"/>
      <c r="T95" s="55"/>
      <c r="U95" s="55"/>
      <c r="V95" s="55"/>
      <c r="W95" s="55"/>
      <c r="X95" s="65"/>
      <c r="Y95" s="65"/>
      <c r="Z95" s="65"/>
      <c r="AA95" s="65"/>
    </row>
    <row r="96" spans="1:27" ht="15.75" customHeight="1">
      <c r="A96" s="345"/>
      <c r="B96" s="345"/>
      <c r="C96" s="74">
        <v>14</v>
      </c>
      <c r="D96" s="345"/>
      <c r="E96" s="345"/>
      <c r="F96" s="345"/>
      <c r="G96" s="345"/>
      <c r="H96" s="47" t="s">
        <v>4502</v>
      </c>
      <c r="I96" s="47" t="s">
        <v>4503</v>
      </c>
      <c r="J96" s="168"/>
      <c r="K96" s="25"/>
      <c r="L96" s="57"/>
      <c r="M96" s="26"/>
      <c r="N96" s="27"/>
      <c r="O96" s="25"/>
      <c r="P96" s="25"/>
      <c r="Q96" s="25" t="s">
        <v>282</v>
      </c>
      <c r="R96" s="25"/>
      <c r="S96" s="25"/>
      <c r="T96" s="55"/>
      <c r="U96" s="55"/>
      <c r="V96" s="55"/>
      <c r="W96" s="55"/>
      <c r="X96" s="65"/>
      <c r="Y96" s="65"/>
      <c r="Z96" s="65"/>
      <c r="AA96" s="65"/>
    </row>
    <row r="97" spans="1:27" ht="15.75" customHeight="1">
      <c r="A97" s="370" t="s">
        <v>4511</v>
      </c>
      <c r="B97" s="354" t="s">
        <v>208</v>
      </c>
      <c r="C97" s="86">
        <v>1</v>
      </c>
      <c r="D97" s="351" t="s">
        <v>4512</v>
      </c>
      <c r="E97" s="351" t="s">
        <v>3909</v>
      </c>
      <c r="F97" s="86" t="s">
        <v>2</v>
      </c>
      <c r="G97" s="86" t="s">
        <v>2</v>
      </c>
      <c r="H97" s="175" t="s">
        <v>4513</v>
      </c>
      <c r="I97" s="63" t="s">
        <v>4514</v>
      </c>
      <c r="J97" s="171"/>
      <c r="K97" s="25"/>
      <c r="L97" s="57"/>
      <c r="M97" s="26"/>
      <c r="N97" s="27"/>
      <c r="O97" s="25"/>
      <c r="P97" s="25"/>
      <c r="Q97" s="25" t="s">
        <v>282</v>
      </c>
      <c r="R97" s="25" t="s">
        <v>305</v>
      </c>
      <c r="S97" s="25"/>
      <c r="T97" s="55"/>
      <c r="U97" s="55"/>
      <c r="V97" s="55"/>
      <c r="W97" s="55"/>
      <c r="X97" s="65"/>
      <c r="Y97" s="65"/>
      <c r="Z97" s="65"/>
      <c r="AA97" s="65"/>
    </row>
    <row r="98" spans="1:27" ht="15.75" customHeight="1">
      <c r="A98" s="352"/>
      <c r="B98" s="352"/>
      <c r="C98" s="86">
        <v>2</v>
      </c>
      <c r="D98" s="352"/>
      <c r="E98" s="352"/>
      <c r="F98" s="354" t="s">
        <v>2</v>
      </c>
      <c r="G98" s="354" t="s">
        <v>2</v>
      </c>
      <c r="H98" s="175" t="s">
        <v>4500</v>
      </c>
      <c r="I98" s="67" t="s">
        <v>4515</v>
      </c>
      <c r="J98" s="67"/>
      <c r="K98" s="25"/>
      <c r="L98" s="57"/>
      <c r="M98" s="26"/>
      <c r="N98" s="27"/>
      <c r="O98" s="25"/>
      <c r="P98" s="25"/>
      <c r="Q98" s="25" t="s">
        <v>282</v>
      </c>
      <c r="R98" s="25" t="s">
        <v>305</v>
      </c>
      <c r="S98" s="25"/>
      <c r="T98" s="55"/>
      <c r="U98" s="55"/>
      <c r="V98" s="55"/>
      <c r="W98" s="55"/>
      <c r="X98" s="65"/>
      <c r="Y98" s="65"/>
      <c r="Z98" s="65"/>
      <c r="AA98" s="65"/>
    </row>
    <row r="99" spans="1:27" ht="15.75" customHeight="1">
      <c r="A99" s="353"/>
      <c r="B99" s="353"/>
      <c r="C99" s="86">
        <v>3</v>
      </c>
      <c r="D99" s="353"/>
      <c r="E99" s="353"/>
      <c r="F99" s="353"/>
      <c r="G99" s="353"/>
      <c r="H99" s="175" t="s">
        <v>4502</v>
      </c>
      <c r="I99" s="67" t="s">
        <v>4503</v>
      </c>
      <c r="J99" s="67"/>
      <c r="K99" s="25"/>
      <c r="L99" s="57"/>
      <c r="M99" s="26"/>
      <c r="N99" s="27"/>
      <c r="O99" s="25"/>
      <c r="P99" s="25"/>
      <c r="Q99" s="25" t="s">
        <v>282</v>
      </c>
      <c r="R99" s="25" t="s">
        <v>305</v>
      </c>
      <c r="S99" s="25"/>
      <c r="T99" s="55"/>
      <c r="U99" s="55"/>
      <c r="V99" s="55"/>
      <c r="W99" s="55"/>
      <c r="X99" s="65"/>
      <c r="Y99" s="65"/>
      <c r="Z99" s="65"/>
      <c r="AA99" s="65"/>
    </row>
    <row r="100" spans="1:27" ht="15.75" customHeight="1">
      <c r="A100" s="355" t="s">
        <v>4516</v>
      </c>
      <c r="B100" s="363" t="s">
        <v>206</v>
      </c>
      <c r="C100" s="61">
        <v>1</v>
      </c>
      <c r="D100" s="366" t="s">
        <v>4517</v>
      </c>
      <c r="E100" s="109" t="s">
        <v>3325</v>
      </c>
      <c r="F100" s="61" t="s">
        <v>2</v>
      </c>
      <c r="G100" s="61" t="s">
        <v>2</v>
      </c>
      <c r="H100" s="63" t="s">
        <v>4474</v>
      </c>
      <c r="I100" s="63" t="s">
        <v>4518</v>
      </c>
      <c r="J100" s="171"/>
      <c r="K100" s="25"/>
      <c r="L100" s="57"/>
      <c r="M100" s="26" t="s">
        <v>4519</v>
      </c>
      <c r="N100" s="27"/>
      <c r="O100" s="25"/>
      <c r="P100" s="25"/>
      <c r="Q100" s="25" t="s">
        <v>282</v>
      </c>
      <c r="R100" s="25"/>
      <c r="S100" s="25"/>
      <c r="T100" s="97"/>
      <c r="U100" s="216"/>
      <c r="V100" s="217"/>
      <c r="W100" s="217"/>
      <c r="X100" s="218"/>
      <c r="Y100" s="65"/>
      <c r="Z100" s="65"/>
      <c r="AA100" s="65"/>
    </row>
    <row r="101" spans="1:27" ht="15.75" customHeight="1">
      <c r="A101" s="352"/>
      <c r="B101" s="352"/>
      <c r="C101" s="86">
        <v>2</v>
      </c>
      <c r="D101" s="352"/>
      <c r="E101" s="181" t="s">
        <v>3909</v>
      </c>
      <c r="F101" s="86" t="s">
        <v>2</v>
      </c>
      <c r="G101" s="86" t="s">
        <v>2</v>
      </c>
      <c r="H101" s="52" t="s">
        <v>4474</v>
      </c>
      <c r="I101" s="219" t="s">
        <v>4520</v>
      </c>
      <c r="J101" s="440"/>
      <c r="K101" s="25"/>
      <c r="L101" s="57"/>
      <c r="M101" s="26"/>
      <c r="N101" s="27"/>
      <c r="O101" s="25"/>
      <c r="P101" s="25"/>
      <c r="Q101" s="25" t="s">
        <v>282</v>
      </c>
      <c r="R101" s="25" t="s">
        <v>305</v>
      </c>
      <c r="S101" s="25"/>
      <c r="T101" s="97"/>
      <c r="U101" s="216"/>
      <c r="V101" s="217"/>
      <c r="W101" s="217"/>
      <c r="X101" s="218"/>
      <c r="Y101" s="65"/>
      <c r="Z101" s="65"/>
      <c r="AA101" s="65"/>
    </row>
    <row r="102" spans="1:27" ht="15.75" customHeight="1">
      <c r="A102" s="344"/>
      <c r="B102" s="344"/>
      <c r="C102" s="61">
        <v>3</v>
      </c>
      <c r="D102" s="344"/>
      <c r="E102" s="109" t="s">
        <v>4478</v>
      </c>
      <c r="F102" s="61" t="s">
        <v>2</v>
      </c>
      <c r="G102" s="61" t="s">
        <v>2</v>
      </c>
      <c r="H102" s="63" t="s">
        <v>4474</v>
      </c>
      <c r="I102" s="63" t="s">
        <v>4521</v>
      </c>
      <c r="J102" s="171"/>
      <c r="K102" s="25"/>
      <c r="L102" s="57"/>
      <c r="M102" s="26"/>
      <c r="N102" s="27"/>
      <c r="O102" s="25"/>
      <c r="P102" s="25"/>
      <c r="Q102" s="25" t="s">
        <v>282</v>
      </c>
      <c r="R102" s="25"/>
      <c r="S102" s="25"/>
      <c r="T102" s="97"/>
      <c r="U102" s="216"/>
      <c r="V102" s="217"/>
      <c r="W102" s="217"/>
      <c r="X102" s="218"/>
      <c r="Y102" s="65"/>
      <c r="Z102" s="65"/>
      <c r="AA102" s="65"/>
    </row>
    <row r="103" spans="1:27" ht="15.75" customHeight="1">
      <c r="A103" s="344"/>
      <c r="B103" s="344"/>
      <c r="C103" s="61">
        <v>4</v>
      </c>
      <c r="D103" s="344"/>
      <c r="E103" s="109" t="s">
        <v>4480</v>
      </c>
      <c r="F103" s="61" t="s">
        <v>2</v>
      </c>
      <c r="G103" s="61" t="s">
        <v>2</v>
      </c>
      <c r="H103" s="63" t="s">
        <v>4474</v>
      </c>
      <c r="I103" s="63" t="s">
        <v>4522</v>
      </c>
      <c r="J103" s="171"/>
      <c r="K103" s="25"/>
      <c r="L103" s="57"/>
      <c r="M103" s="26"/>
      <c r="N103" s="27"/>
      <c r="O103" s="25"/>
      <c r="P103" s="25"/>
      <c r="Q103" s="25" t="s">
        <v>282</v>
      </c>
      <c r="R103" s="25"/>
      <c r="S103" s="25"/>
      <c r="T103" s="97"/>
      <c r="U103" s="216"/>
      <c r="V103" s="217"/>
      <c r="W103" s="217"/>
      <c r="X103" s="218"/>
      <c r="Y103" s="65"/>
      <c r="Z103" s="65"/>
      <c r="AA103" s="65"/>
    </row>
    <row r="104" spans="1:27" ht="15.75" customHeight="1">
      <c r="A104" s="344"/>
      <c r="B104" s="344"/>
      <c r="C104" s="61">
        <v>5</v>
      </c>
      <c r="D104" s="344"/>
      <c r="E104" s="109" t="s">
        <v>3908</v>
      </c>
      <c r="F104" s="61" t="s">
        <v>2</v>
      </c>
      <c r="G104" s="61" t="s">
        <v>2</v>
      </c>
      <c r="H104" s="63" t="s">
        <v>4474</v>
      </c>
      <c r="I104" s="63" t="s">
        <v>4523</v>
      </c>
      <c r="J104" s="171"/>
      <c r="K104" s="25"/>
      <c r="L104" s="57"/>
      <c r="M104" s="26"/>
      <c r="N104" s="27"/>
      <c r="O104" s="25"/>
      <c r="P104" s="25"/>
      <c r="Q104" s="25" t="s">
        <v>282</v>
      </c>
      <c r="R104" s="25"/>
      <c r="S104" s="25"/>
      <c r="T104" s="97"/>
      <c r="U104" s="216"/>
      <c r="V104" s="217"/>
      <c r="W104" s="217"/>
      <c r="X104" s="218"/>
      <c r="Y104" s="65"/>
      <c r="Z104" s="65"/>
      <c r="AA104" s="65"/>
    </row>
    <row r="105" spans="1:27" ht="15.75" customHeight="1">
      <c r="A105" s="344"/>
      <c r="B105" s="344"/>
      <c r="C105" s="61">
        <v>6</v>
      </c>
      <c r="D105" s="344"/>
      <c r="E105" s="109" t="s">
        <v>4484</v>
      </c>
      <c r="F105" s="61" t="s">
        <v>2</v>
      </c>
      <c r="G105" s="61" t="s">
        <v>2</v>
      </c>
      <c r="H105" s="63" t="s">
        <v>4485</v>
      </c>
      <c r="I105" s="63" t="s">
        <v>4524</v>
      </c>
      <c r="J105" s="171"/>
      <c r="K105" s="25"/>
      <c r="L105" s="57"/>
      <c r="M105" s="26"/>
      <c r="N105" s="27"/>
      <c r="O105" s="25"/>
      <c r="P105" s="25"/>
      <c r="Q105" s="25" t="s">
        <v>282</v>
      </c>
      <c r="R105" s="25"/>
      <c r="S105" s="25"/>
      <c r="T105" s="97"/>
      <c r="U105" s="216"/>
      <c r="V105" s="217"/>
      <c r="W105" s="217"/>
      <c r="X105" s="218"/>
      <c r="Y105" s="65"/>
      <c r="Z105" s="65"/>
      <c r="AA105" s="65"/>
    </row>
    <row r="106" spans="1:27" ht="15.75" customHeight="1">
      <c r="A106" s="345"/>
      <c r="B106" s="345"/>
      <c r="C106" s="61">
        <v>7</v>
      </c>
      <c r="D106" s="345"/>
      <c r="E106" s="109" t="s">
        <v>4487</v>
      </c>
      <c r="F106" s="61" t="s">
        <v>2</v>
      </c>
      <c r="G106" s="61" t="s">
        <v>2</v>
      </c>
      <c r="H106" s="63" t="s">
        <v>4488</v>
      </c>
      <c r="I106" s="63" t="s">
        <v>4489</v>
      </c>
      <c r="J106" s="171"/>
      <c r="K106" s="25"/>
      <c r="L106" s="57"/>
      <c r="M106" s="26"/>
      <c r="N106" s="27"/>
      <c r="O106" s="25"/>
      <c r="P106" s="25"/>
      <c r="Q106" s="25" t="s">
        <v>282</v>
      </c>
      <c r="R106" s="25"/>
      <c r="S106" s="25"/>
      <c r="T106" s="97"/>
      <c r="U106" s="216"/>
      <c r="V106" s="217"/>
      <c r="W106" s="217"/>
      <c r="X106" s="218"/>
      <c r="Y106" s="65"/>
      <c r="Z106" s="65"/>
      <c r="AA106" s="65"/>
    </row>
    <row r="107" spans="1:27" ht="15.75" customHeight="1">
      <c r="A107" s="355" t="s">
        <v>4525</v>
      </c>
      <c r="B107" s="363" t="s">
        <v>207</v>
      </c>
      <c r="C107" s="61">
        <v>1</v>
      </c>
      <c r="D107" s="366" t="s">
        <v>4526</v>
      </c>
      <c r="E107" s="366" t="s">
        <v>3882</v>
      </c>
      <c r="F107" s="401" t="s">
        <v>2</v>
      </c>
      <c r="G107" s="401" t="s">
        <v>2</v>
      </c>
      <c r="H107" s="67" t="s">
        <v>4500</v>
      </c>
      <c r="I107" s="63" t="s">
        <v>4527</v>
      </c>
      <c r="J107" s="171"/>
      <c r="K107" s="25"/>
      <c r="L107" s="57"/>
      <c r="M107" s="26"/>
      <c r="N107" s="27"/>
      <c r="O107" s="25"/>
      <c r="P107" s="25"/>
      <c r="Q107" s="25" t="s">
        <v>282</v>
      </c>
      <c r="R107" s="25"/>
      <c r="S107" s="25"/>
      <c r="T107" s="55"/>
      <c r="U107" s="55"/>
      <c r="V107" s="55"/>
      <c r="W107" s="55"/>
      <c r="X107" s="65"/>
      <c r="Y107" s="65"/>
      <c r="Z107" s="65"/>
      <c r="AA107" s="65"/>
    </row>
    <row r="108" spans="1:27" ht="15.75" customHeight="1">
      <c r="A108" s="344"/>
      <c r="B108" s="344"/>
      <c r="C108" s="61">
        <v>2</v>
      </c>
      <c r="D108" s="344"/>
      <c r="E108" s="345"/>
      <c r="F108" s="345"/>
      <c r="G108" s="345"/>
      <c r="H108" s="67" t="s">
        <v>4502</v>
      </c>
      <c r="I108" s="67" t="s">
        <v>4503</v>
      </c>
      <c r="J108" s="67"/>
      <c r="K108" s="25"/>
      <c r="L108" s="57"/>
      <c r="M108" s="26"/>
      <c r="N108" s="27"/>
      <c r="O108" s="25"/>
      <c r="P108" s="25"/>
      <c r="Q108" s="25" t="s">
        <v>282</v>
      </c>
      <c r="R108" s="25"/>
      <c r="S108" s="25"/>
      <c r="T108" s="55"/>
      <c r="U108" s="55"/>
      <c r="V108" s="55"/>
      <c r="W108" s="55"/>
      <c r="X108" s="65"/>
      <c r="Y108" s="65"/>
      <c r="Z108" s="65"/>
      <c r="AA108" s="65"/>
    </row>
    <row r="109" spans="1:27" ht="15.75" customHeight="1">
      <c r="A109" s="352"/>
      <c r="B109" s="352"/>
      <c r="C109" s="86">
        <v>3</v>
      </c>
      <c r="D109" s="352"/>
      <c r="E109" s="351" t="s">
        <v>3909</v>
      </c>
      <c r="F109" s="354" t="s">
        <v>2</v>
      </c>
      <c r="G109" s="354" t="s">
        <v>2</v>
      </c>
      <c r="H109" s="175" t="s">
        <v>4500</v>
      </c>
      <c r="I109" s="63" t="s">
        <v>4528</v>
      </c>
      <c r="J109" s="171"/>
      <c r="K109" s="25"/>
      <c r="L109" s="57"/>
      <c r="M109" s="26"/>
      <c r="N109" s="27"/>
      <c r="O109" s="25"/>
      <c r="P109" s="25"/>
      <c r="Q109" s="25" t="s">
        <v>282</v>
      </c>
      <c r="R109" s="25" t="s">
        <v>305</v>
      </c>
      <c r="S109" s="25"/>
      <c r="T109" s="55"/>
      <c r="U109" s="55"/>
      <c r="V109" s="55"/>
      <c r="W109" s="55"/>
      <c r="X109" s="65"/>
      <c r="Y109" s="65"/>
      <c r="Z109" s="65"/>
      <c r="AA109" s="65"/>
    </row>
    <row r="110" spans="1:27" ht="15.75" customHeight="1">
      <c r="A110" s="352"/>
      <c r="B110" s="352"/>
      <c r="C110" s="86">
        <v>4</v>
      </c>
      <c r="D110" s="352"/>
      <c r="E110" s="353"/>
      <c r="F110" s="353"/>
      <c r="G110" s="353"/>
      <c r="H110" s="175" t="s">
        <v>4502</v>
      </c>
      <c r="I110" s="67" t="s">
        <v>4503</v>
      </c>
      <c r="J110" s="67"/>
      <c r="K110" s="25"/>
      <c r="L110" s="57"/>
      <c r="M110" s="26"/>
      <c r="N110" s="27"/>
      <c r="O110" s="25"/>
      <c r="P110" s="25"/>
      <c r="Q110" s="25" t="s">
        <v>282</v>
      </c>
      <c r="R110" s="25" t="s">
        <v>305</v>
      </c>
      <c r="S110" s="25"/>
      <c r="T110" s="55"/>
      <c r="U110" s="55"/>
      <c r="V110" s="55"/>
      <c r="W110" s="55"/>
      <c r="X110" s="65"/>
      <c r="Y110" s="65"/>
      <c r="Z110" s="65"/>
      <c r="AA110" s="65"/>
    </row>
    <row r="111" spans="1:27" ht="15.75" customHeight="1">
      <c r="A111" s="344"/>
      <c r="B111" s="344"/>
      <c r="C111" s="61">
        <v>5</v>
      </c>
      <c r="D111" s="344"/>
      <c r="E111" s="366" t="s">
        <v>4507</v>
      </c>
      <c r="F111" s="367" t="s">
        <v>2</v>
      </c>
      <c r="G111" s="367" t="s">
        <v>2</v>
      </c>
      <c r="H111" s="67" t="s">
        <v>4500</v>
      </c>
      <c r="I111" s="63" t="s">
        <v>4508</v>
      </c>
      <c r="J111" s="171"/>
      <c r="K111" s="25"/>
      <c r="L111" s="57"/>
      <c r="M111" s="26"/>
      <c r="N111" s="27"/>
      <c r="O111" s="25"/>
      <c r="P111" s="25"/>
      <c r="Q111" s="25" t="s">
        <v>282</v>
      </c>
      <c r="R111" s="25"/>
      <c r="S111" s="25"/>
      <c r="T111" s="55"/>
      <c r="U111" s="55"/>
      <c r="V111" s="55"/>
      <c r="W111" s="55"/>
      <c r="X111" s="65"/>
      <c r="Y111" s="65"/>
      <c r="Z111" s="65"/>
      <c r="AA111" s="65"/>
    </row>
    <row r="112" spans="1:27" ht="15.75" customHeight="1">
      <c r="A112" s="344"/>
      <c r="B112" s="344"/>
      <c r="C112" s="61">
        <v>6</v>
      </c>
      <c r="D112" s="344"/>
      <c r="E112" s="345"/>
      <c r="F112" s="345"/>
      <c r="G112" s="345"/>
      <c r="H112" s="67" t="s">
        <v>4502</v>
      </c>
      <c r="I112" s="67" t="s">
        <v>4503</v>
      </c>
      <c r="J112" s="67"/>
      <c r="K112" s="25"/>
      <c r="L112" s="57"/>
      <c r="M112" s="26"/>
      <c r="N112" s="27"/>
      <c r="O112" s="25"/>
      <c r="P112" s="25"/>
      <c r="Q112" s="25" t="s">
        <v>282</v>
      </c>
      <c r="R112" s="25"/>
      <c r="S112" s="25"/>
      <c r="T112" s="55"/>
      <c r="U112" s="55"/>
      <c r="V112" s="55"/>
      <c r="W112" s="55"/>
      <c r="X112" s="65"/>
      <c r="Y112" s="65"/>
      <c r="Z112" s="65"/>
      <c r="AA112" s="65"/>
    </row>
    <row r="113" spans="1:27" ht="15.75" customHeight="1">
      <c r="A113" s="344"/>
      <c r="B113" s="344"/>
      <c r="C113" s="61">
        <v>7</v>
      </c>
      <c r="D113" s="344"/>
      <c r="E113" s="366" t="s">
        <v>3887</v>
      </c>
      <c r="F113" s="367" t="s">
        <v>2</v>
      </c>
      <c r="G113" s="367" t="s">
        <v>2</v>
      </c>
      <c r="H113" s="67" t="s">
        <v>4500</v>
      </c>
      <c r="I113" s="63" t="s">
        <v>4529</v>
      </c>
      <c r="J113" s="171"/>
      <c r="K113" s="25"/>
      <c r="L113" s="57"/>
      <c r="M113" s="26"/>
      <c r="N113" s="27"/>
      <c r="O113" s="25"/>
      <c r="P113" s="25"/>
      <c r="Q113" s="25" t="s">
        <v>282</v>
      </c>
      <c r="R113" s="25"/>
      <c r="S113" s="25"/>
      <c r="T113" s="55"/>
      <c r="U113" s="55"/>
      <c r="V113" s="55"/>
      <c r="W113" s="55"/>
      <c r="X113" s="65"/>
      <c r="Y113" s="65"/>
      <c r="Z113" s="65"/>
      <c r="AA113" s="65"/>
    </row>
    <row r="114" spans="1:27" ht="15.75" customHeight="1">
      <c r="A114" s="344"/>
      <c r="B114" s="344"/>
      <c r="C114" s="61">
        <v>8</v>
      </c>
      <c r="D114" s="344"/>
      <c r="E114" s="345"/>
      <c r="F114" s="345"/>
      <c r="G114" s="345"/>
      <c r="H114" s="67" t="s">
        <v>4502</v>
      </c>
      <c r="I114" s="67" t="s">
        <v>4503</v>
      </c>
      <c r="J114" s="67"/>
      <c r="K114" s="25"/>
      <c r="L114" s="57"/>
      <c r="M114" s="26"/>
      <c r="N114" s="27"/>
      <c r="O114" s="25"/>
      <c r="P114" s="25"/>
      <c r="Q114" s="25" t="s">
        <v>282</v>
      </c>
      <c r="R114" s="25"/>
      <c r="S114" s="25"/>
      <c r="T114" s="55"/>
      <c r="U114" s="55"/>
      <c r="V114" s="55"/>
      <c r="W114" s="55"/>
      <c r="X114" s="65"/>
      <c r="Y114" s="65"/>
      <c r="Z114" s="65"/>
      <c r="AA114" s="65"/>
    </row>
    <row r="115" spans="1:27" ht="15.75" customHeight="1">
      <c r="A115" s="344"/>
      <c r="B115" s="344"/>
      <c r="C115" s="61">
        <v>9</v>
      </c>
      <c r="D115" s="344"/>
      <c r="E115" s="366" t="s">
        <v>3908</v>
      </c>
      <c r="F115" s="367" t="s">
        <v>2</v>
      </c>
      <c r="G115" s="367" t="s">
        <v>2</v>
      </c>
      <c r="H115" s="67" t="s">
        <v>4500</v>
      </c>
      <c r="I115" s="63" t="s">
        <v>4510</v>
      </c>
      <c r="J115" s="171"/>
      <c r="K115" s="25"/>
      <c r="L115" s="57"/>
      <c r="M115" s="26"/>
      <c r="N115" s="27"/>
      <c r="O115" s="25"/>
      <c r="P115" s="25"/>
      <c r="Q115" s="25" t="s">
        <v>282</v>
      </c>
      <c r="R115" s="25"/>
      <c r="S115" s="25"/>
      <c r="T115" s="55"/>
      <c r="U115" s="55"/>
      <c r="V115" s="55"/>
      <c r="W115" s="55"/>
      <c r="X115" s="65"/>
      <c r="Y115" s="65"/>
      <c r="Z115" s="65"/>
      <c r="AA115" s="65"/>
    </row>
    <row r="116" spans="1:27" ht="15.75" customHeight="1">
      <c r="A116" s="345"/>
      <c r="B116" s="345"/>
      <c r="C116" s="61">
        <v>10</v>
      </c>
      <c r="D116" s="345"/>
      <c r="E116" s="345"/>
      <c r="F116" s="345"/>
      <c r="G116" s="345"/>
      <c r="H116" s="67" t="s">
        <v>4502</v>
      </c>
      <c r="I116" s="67" t="s">
        <v>4503</v>
      </c>
      <c r="J116" s="67"/>
      <c r="K116" s="25"/>
      <c r="L116" s="57"/>
      <c r="M116" s="26"/>
      <c r="N116" s="27"/>
      <c r="O116" s="25"/>
      <c r="P116" s="25"/>
      <c r="Q116" s="25" t="s">
        <v>282</v>
      </c>
      <c r="R116" s="25"/>
      <c r="S116" s="25"/>
      <c r="T116" s="55"/>
      <c r="U116" s="55"/>
      <c r="V116" s="55"/>
      <c r="W116" s="55"/>
      <c r="X116" s="65"/>
      <c r="Y116" s="65"/>
      <c r="Z116" s="65"/>
      <c r="AA116" s="65"/>
    </row>
    <row r="117" spans="1:27" ht="39" customHeight="1">
      <c r="A117" s="356" t="s">
        <v>4530</v>
      </c>
      <c r="B117" s="360" t="s">
        <v>4531</v>
      </c>
      <c r="C117" s="61">
        <v>1</v>
      </c>
      <c r="D117" s="23" t="s">
        <v>4532</v>
      </c>
      <c r="E117" s="23" t="s">
        <v>4533</v>
      </c>
      <c r="F117" s="31" t="s">
        <v>326</v>
      </c>
      <c r="G117" s="31" t="s">
        <v>327</v>
      </c>
      <c r="H117" s="23" t="s">
        <v>1470</v>
      </c>
      <c r="I117" s="23" t="s">
        <v>4534</v>
      </c>
      <c r="J117" s="170"/>
      <c r="K117" s="25"/>
      <c r="L117" s="99"/>
      <c r="M117" s="99"/>
      <c r="N117" s="55"/>
      <c r="O117" s="25"/>
      <c r="P117" s="25"/>
      <c r="Q117" s="25" t="s">
        <v>282</v>
      </c>
      <c r="R117" s="25"/>
      <c r="S117" s="25"/>
      <c r="T117" s="55"/>
      <c r="U117" s="55"/>
      <c r="V117" s="55"/>
      <c r="W117" s="55"/>
      <c r="X117" s="65"/>
      <c r="Y117" s="65"/>
      <c r="Z117" s="65"/>
      <c r="AA117" s="65"/>
    </row>
    <row r="118" spans="1:27" ht="39" customHeight="1">
      <c r="A118" s="344"/>
      <c r="B118" s="344"/>
      <c r="C118" s="61">
        <v>2</v>
      </c>
      <c r="D118" s="355" t="s">
        <v>4535</v>
      </c>
      <c r="E118" s="23" t="s">
        <v>4536</v>
      </c>
      <c r="F118" s="31" t="s">
        <v>326</v>
      </c>
      <c r="G118" s="31" t="s">
        <v>327</v>
      </c>
      <c r="H118" s="23" t="s">
        <v>4537</v>
      </c>
      <c r="I118" s="23" t="s">
        <v>4538</v>
      </c>
      <c r="J118" s="170"/>
      <c r="K118" s="25"/>
      <c r="L118" s="99"/>
      <c r="M118" s="99"/>
      <c r="N118" s="55"/>
      <c r="O118" s="25"/>
      <c r="P118" s="25"/>
      <c r="Q118" s="25" t="s">
        <v>282</v>
      </c>
      <c r="R118" s="25"/>
      <c r="S118" s="25"/>
      <c r="T118" s="55"/>
      <c r="U118" s="55"/>
      <c r="V118" s="55"/>
      <c r="W118" s="55"/>
      <c r="X118" s="65"/>
      <c r="Y118" s="65"/>
      <c r="Z118" s="65"/>
      <c r="AA118" s="65"/>
    </row>
    <row r="119" spans="1:27" ht="39" customHeight="1">
      <c r="A119" s="344"/>
      <c r="B119" s="344"/>
      <c r="C119" s="61">
        <v>3</v>
      </c>
      <c r="D119" s="344"/>
      <c r="E119" s="23" t="s">
        <v>4539</v>
      </c>
      <c r="F119" s="31" t="s">
        <v>326</v>
      </c>
      <c r="G119" s="31" t="s">
        <v>327</v>
      </c>
      <c r="H119" s="23" t="s">
        <v>4540</v>
      </c>
      <c r="I119" s="23" t="s">
        <v>4534</v>
      </c>
      <c r="J119" s="170"/>
      <c r="K119" s="25"/>
      <c r="L119" s="99"/>
      <c r="M119" s="99"/>
      <c r="N119" s="55"/>
      <c r="O119" s="25"/>
      <c r="P119" s="25"/>
      <c r="Q119" s="25" t="s">
        <v>282</v>
      </c>
      <c r="R119" s="25"/>
      <c r="S119" s="25"/>
      <c r="T119" s="55"/>
      <c r="U119" s="55"/>
      <c r="V119" s="55"/>
      <c r="W119" s="55"/>
      <c r="X119" s="65"/>
      <c r="Y119" s="65"/>
      <c r="Z119" s="65"/>
      <c r="AA119" s="65"/>
    </row>
    <row r="120" spans="1:27" ht="15.75" customHeight="1">
      <c r="A120" s="344"/>
      <c r="B120" s="369"/>
      <c r="C120" s="61">
        <v>4</v>
      </c>
      <c r="D120" s="345"/>
      <c r="E120" s="23" t="s">
        <v>4541</v>
      </c>
      <c r="F120" s="31" t="s">
        <v>326</v>
      </c>
      <c r="G120" s="31" t="s">
        <v>327</v>
      </c>
      <c r="H120" s="23" t="s">
        <v>4542</v>
      </c>
      <c r="I120" s="23" t="s">
        <v>4543</v>
      </c>
      <c r="J120" s="170"/>
      <c r="K120" s="25"/>
      <c r="L120" s="99"/>
      <c r="M120" s="99"/>
      <c r="N120" s="55"/>
      <c r="O120" s="25"/>
      <c r="P120" s="25"/>
      <c r="Q120" s="25" t="s">
        <v>282</v>
      </c>
      <c r="R120" s="25"/>
      <c r="S120" s="25"/>
      <c r="T120" s="55"/>
      <c r="U120" s="55"/>
      <c r="V120" s="55"/>
      <c r="W120" s="55"/>
      <c r="X120" s="65"/>
      <c r="Y120" s="65"/>
      <c r="Z120" s="65"/>
      <c r="AA120" s="65"/>
    </row>
    <row r="121" spans="1:27" ht="39" customHeight="1">
      <c r="A121" s="344"/>
      <c r="B121" s="360" t="s">
        <v>4544</v>
      </c>
      <c r="C121" s="61">
        <v>1</v>
      </c>
      <c r="D121" s="356" t="s">
        <v>4545</v>
      </c>
      <c r="E121" s="23" t="s">
        <v>4546</v>
      </c>
      <c r="F121" s="31" t="s">
        <v>326</v>
      </c>
      <c r="G121" s="31" t="s">
        <v>524</v>
      </c>
      <c r="H121" s="23" t="s">
        <v>4547</v>
      </c>
      <c r="I121" s="23" t="s">
        <v>4548</v>
      </c>
      <c r="J121" s="170"/>
      <c r="K121" s="25"/>
      <c r="L121" s="99"/>
      <c r="M121" s="99"/>
      <c r="N121" s="55"/>
      <c r="O121" s="28" t="s">
        <v>140</v>
      </c>
      <c r="P121" s="25"/>
      <c r="Q121" s="25" t="s">
        <v>282</v>
      </c>
      <c r="R121" s="25" t="s">
        <v>4549</v>
      </c>
      <c r="S121" s="25"/>
      <c r="T121" s="55"/>
      <c r="U121" s="55"/>
      <c r="V121" s="55"/>
      <c r="W121" s="55"/>
      <c r="X121" s="65"/>
      <c r="Y121" s="65"/>
      <c r="Z121" s="65"/>
      <c r="AA121" s="65"/>
    </row>
    <row r="122" spans="1:27" ht="39" customHeight="1">
      <c r="A122" s="344"/>
      <c r="B122" s="344"/>
      <c r="C122" s="61">
        <v>2</v>
      </c>
      <c r="D122" s="344"/>
      <c r="E122" s="23" t="s">
        <v>4550</v>
      </c>
      <c r="F122" s="31" t="s">
        <v>326</v>
      </c>
      <c r="G122" s="31" t="s">
        <v>524</v>
      </c>
      <c r="H122" s="23" t="s">
        <v>4551</v>
      </c>
      <c r="I122" s="23" t="s">
        <v>4552</v>
      </c>
      <c r="J122" s="170"/>
      <c r="K122" s="25"/>
      <c r="L122" s="99"/>
      <c r="M122" s="99"/>
      <c r="N122" s="55"/>
      <c r="O122" s="28" t="s">
        <v>140</v>
      </c>
      <c r="P122" s="25"/>
      <c r="Q122" s="25" t="s">
        <v>282</v>
      </c>
      <c r="R122" s="25" t="s">
        <v>4549</v>
      </c>
      <c r="S122" s="25"/>
      <c r="T122" s="55"/>
      <c r="U122" s="55"/>
      <c r="V122" s="55"/>
      <c r="W122" s="55"/>
      <c r="X122" s="65"/>
      <c r="Y122" s="65"/>
      <c r="Z122" s="65"/>
      <c r="AA122" s="65"/>
    </row>
    <row r="123" spans="1:27" ht="39" customHeight="1">
      <c r="A123" s="344"/>
      <c r="B123" s="344"/>
      <c r="C123" s="61">
        <v>3</v>
      </c>
      <c r="D123" s="344"/>
      <c r="E123" s="23" t="s">
        <v>4553</v>
      </c>
      <c r="F123" s="31" t="s">
        <v>326</v>
      </c>
      <c r="G123" s="31" t="s">
        <v>524</v>
      </c>
      <c r="H123" s="23" t="s">
        <v>4554</v>
      </c>
      <c r="I123" s="23" t="s">
        <v>4552</v>
      </c>
      <c r="J123" s="170"/>
      <c r="K123" s="25"/>
      <c r="L123" s="99"/>
      <c r="M123" s="99"/>
      <c r="N123" s="55"/>
      <c r="O123" s="28" t="s">
        <v>140</v>
      </c>
      <c r="P123" s="25"/>
      <c r="Q123" s="25" t="s">
        <v>282</v>
      </c>
      <c r="R123" s="25" t="s">
        <v>4549</v>
      </c>
      <c r="S123" s="25"/>
      <c r="T123" s="55"/>
      <c r="U123" s="55"/>
      <c r="V123" s="55"/>
      <c r="W123" s="55"/>
      <c r="X123" s="65"/>
      <c r="Y123" s="65"/>
      <c r="Z123" s="65"/>
      <c r="AA123" s="65"/>
    </row>
    <row r="124" spans="1:27" ht="39" customHeight="1">
      <c r="A124" s="344"/>
      <c r="B124" s="345"/>
      <c r="C124" s="61">
        <v>4</v>
      </c>
      <c r="D124" s="344"/>
      <c r="E124" s="23" t="s">
        <v>4555</v>
      </c>
      <c r="F124" s="31" t="s">
        <v>326</v>
      </c>
      <c r="G124" s="31" t="s">
        <v>524</v>
      </c>
      <c r="H124" s="23" t="s">
        <v>4556</v>
      </c>
      <c r="I124" s="23" t="s">
        <v>4552</v>
      </c>
      <c r="J124" s="170"/>
      <c r="K124" s="25"/>
      <c r="L124" s="99"/>
      <c r="M124" s="99"/>
      <c r="N124" s="55"/>
      <c r="O124" s="28" t="s">
        <v>140</v>
      </c>
      <c r="P124" s="25"/>
      <c r="Q124" s="25" t="s">
        <v>282</v>
      </c>
      <c r="R124" s="25" t="s">
        <v>4549</v>
      </c>
      <c r="S124" s="25"/>
      <c r="T124" s="55"/>
      <c r="U124" s="55"/>
      <c r="V124" s="55"/>
      <c r="W124" s="55"/>
      <c r="X124" s="65"/>
      <c r="Y124" s="65"/>
      <c r="Z124" s="65"/>
      <c r="AA124" s="65"/>
    </row>
    <row r="125" spans="1:27" ht="39" customHeight="1">
      <c r="A125" s="344"/>
      <c r="B125" s="350" t="s">
        <v>4557</v>
      </c>
      <c r="C125" s="111">
        <v>1</v>
      </c>
      <c r="D125" s="355" t="s">
        <v>4558</v>
      </c>
      <c r="E125" s="58" t="s">
        <v>4559</v>
      </c>
      <c r="F125" s="41" t="s">
        <v>326</v>
      </c>
      <c r="G125" s="41" t="s">
        <v>524</v>
      </c>
      <c r="H125" s="58" t="s">
        <v>4547</v>
      </c>
      <c r="I125" s="58" t="s">
        <v>4548</v>
      </c>
      <c r="J125" s="253"/>
      <c r="K125" s="25"/>
      <c r="L125" s="99"/>
      <c r="M125" s="220"/>
      <c r="N125" s="4"/>
      <c r="O125" s="28" t="s">
        <v>140</v>
      </c>
      <c r="P125" s="50"/>
      <c r="Q125" s="25" t="s">
        <v>282</v>
      </c>
      <c r="R125" s="50" t="s">
        <v>4560</v>
      </c>
      <c r="S125" s="25"/>
      <c r="T125" s="4"/>
      <c r="U125" s="4"/>
      <c r="V125" s="4"/>
      <c r="W125" s="4"/>
      <c r="X125" s="5"/>
      <c r="Y125" s="5"/>
      <c r="Z125" s="5"/>
      <c r="AA125" s="5"/>
    </row>
    <row r="126" spans="1:27" ht="15.75" customHeight="1">
      <c r="A126" s="344"/>
      <c r="B126" s="344"/>
      <c r="C126" s="111">
        <v>2</v>
      </c>
      <c r="D126" s="344"/>
      <c r="E126" s="355" t="s">
        <v>4561</v>
      </c>
      <c r="F126" s="350" t="s">
        <v>326</v>
      </c>
      <c r="G126" s="350" t="s">
        <v>349</v>
      </c>
      <c r="H126" s="58" t="s">
        <v>4562</v>
      </c>
      <c r="I126" s="58" t="s">
        <v>4563</v>
      </c>
      <c r="J126" s="253"/>
      <c r="K126" s="25"/>
      <c r="L126" s="99"/>
      <c r="M126" s="220"/>
      <c r="N126" s="4"/>
      <c r="O126" s="50"/>
      <c r="P126" s="50"/>
      <c r="Q126" s="25" t="s">
        <v>282</v>
      </c>
      <c r="R126" s="50" t="s">
        <v>4560</v>
      </c>
      <c r="S126" s="25"/>
      <c r="T126" s="4"/>
      <c r="U126" s="4"/>
      <c r="V126" s="4"/>
      <c r="W126" s="4"/>
      <c r="X126" s="5"/>
      <c r="Y126" s="5"/>
      <c r="Z126" s="5"/>
      <c r="AA126" s="5"/>
    </row>
    <row r="127" spans="1:27" ht="15.75" customHeight="1">
      <c r="A127" s="344"/>
      <c r="B127" s="344"/>
      <c r="C127" s="111">
        <v>3</v>
      </c>
      <c r="D127" s="344"/>
      <c r="E127" s="344"/>
      <c r="F127" s="344"/>
      <c r="G127" s="344"/>
      <c r="H127" s="58" t="s">
        <v>4564</v>
      </c>
      <c r="I127" s="58" t="s">
        <v>4565</v>
      </c>
      <c r="J127" s="253"/>
      <c r="K127" s="25"/>
      <c r="L127" s="99"/>
      <c r="M127" s="220"/>
      <c r="N127" s="4"/>
      <c r="O127" s="50"/>
      <c r="P127" s="50"/>
      <c r="Q127" s="25" t="s">
        <v>282</v>
      </c>
      <c r="R127" s="50" t="s">
        <v>4560</v>
      </c>
      <c r="S127" s="25"/>
      <c r="T127" s="4"/>
      <c r="U127" s="4"/>
      <c r="V127" s="4"/>
      <c r="W127" s="4"/>
      <c r="X127" s="5"/>
      <c r="Y127" s="5"/>
      <c r="Z127" s="5"/>
      <c r="AA127" s="5"/>
    </row>
    <row r="128" spans="1:27" ht="15.75" customHeight="1">
      <c r="A128" s="344"/>
      <c r="B128" s="344"/>
      <c r="C128" s="111">
        <v>4</v>
      </c>
      <c r="D128" s="344"/>
      <c r="E128" s="345"/>
      <c r="F128" s="345"/>
      <c r="G128" s="345"/>
      <c r="H128" s="58" t="s">
        <v>4566</v>
      </c>
      <c r="I128" s="58" t="s">
        <v>4567</v>
      </c>
      <c r="J128" s="253"/>
      <c r="K128" s="25"/>
      <c r="L128" s="99"/>
      <c r="M128" s="220"/>
      <c r="N128" s="4"/>
      <c r="O128" s="50"/>
      <c r="P128" s="50"/>
      <c r="Q128" s="25" t="s">
        <v>282</v>
      </c>
      <c r="R128" s="50" t="s">
        <v>4560</v>
      </c>
      <c r="S128" s="25"/>
      <c r="T128" s="4"/>
      <c r="U128" s="4"/>
      <c r="V128" s="4"/>
      <c r="W128" s="4"/>
      <c r="X128" s="5"/>
      <c r="Y128" s="5"/>
      <c r="Z128" s="5"/>
      <c r="AA128" s="5"/>
    </row>
    <row r="129" spans="1:27" ht="15.75" customHeight="1">
      <c r="A129" s="344"/>
      <c r="B129" s="344"/>
      <c r="C129" s="111">
        <v>5</v>
      </c>
      <c r="D129" s="344"/>
      <c r="E129" s="355" t="s">
        <v>4568</v>
      </c>
      <c r="F129" s="350" t="s">
        <v>326</v>
      </c>
      <c r="G129" s="350" t="s">
        <v>327</v>
      </c>
      <c r="H129" s="58" t="s">
        <v>4562</v>
      </c>
      <c r="I129" s="58" t="s">
        <v>4563</v>
      </c>
      <c r="J129" s="253"/>
      <c r="K129" s="25"/>
      <c r="L129" s="99"/>
      <c r="M129" s="220"/>
      <c r="N129" s="4"/>
      <c r="O129" s="50"/>
      <c r="P129" s="50"/>
      <c r="Q129" s="25" t="s">
        <v>282</v>
      </c>
      <c r="R129" s="50" t="s">
        <v>4560</v>
      </c>
      <c r="S129" s="25"/>
      <c r="T129" s="4"/>
      <c r="U129" s="4"/>
      <c r="V129" s="4"/>
      <c r="W129" s="4"/>
      <c r="X129" s="5"/>
      <c r="Y129" s="5"/>
      <c r="Z129" s="5"/>
      <c r="AA129" s="5"/>
    </row>
    <row r="130" spans="1:27" ht="15.75" customHeight="1">
      <c r="A130" s="344"/>
      <c r="B130" s="344"/>
      <c r="C130" s="111">
        <v>6</v>
      </c>
      <c r="D130" s="344"/>
      <c r="E130" s="344"/>
      <c r="F130" s="344"/>
      <c r="G130" s="344"/>
      <c r="H130" s="58" t="s">
        <v>4564</v>
      </c>
      <c r="I130" s="58" t="s">
        <v>4565</v>
      </c>
      <c r="J130" s="253"/>
      <c r="K130" s="25"/>
      <c r="L130" s="99"/>
      <c r="M130" s="220"/>
      <c r="N130" s="4"/>
      <c r="O130" s="50"/>
      <c r="P130" s="50"/>
      <c r="Q130" s="25" t="s">
        <v>282</v>
      </c>
      <c r="R130" s="50" t="s">
        <v>4560</v>
      </c>
      <c r="S130" s="25"/>
      <c r="T130" s="4"/>
      <c r="U130" s="4"/>
      <c r="V130" s="4"/>
      <c r="W130" s="4"/>
      <c r="X130" s="5"/>
      <c r="Y130" s="5"/>
      <c r="Z130" s="5"/>
      <c r="AA130" s="5"/>
    </row>
    <row r="131" spans="1:27" ht="15.75" customHeight="1">
      <c r="A131" s="344"/>
      <c r="B131" s="344"/>
      <c r="C131" s="111">
        <v>7</v>
      </c>
      <c r="D131" s="344"/>
      <c r="E131" s="345"/>
      <c r="F131" s="345"/>
      <c r="G131" s="345"/>
      <c r="H131" s="58" t="s">
        <v>4566</v>
      </c>
      <c r="I131" s="58" t="s">
        <v>4567</v>
      </c>
      <c r="J131" s="253"/>
      <c r="K131" s="25"/>
      <c r="L131" s="99"/>
      <c r="M131" s="220"/>
      <c r="N131" s="4"/>
      <c r="O131" s="50"/>
      <c r="P131" s="50"/>
      <c r="Q131" s="25" t="s">
        <v>282</v>
      </c>
      <c r="R131" s="50" t="s">
        <v>4560</v>
      </c>
      <c r="S131" s="25"/>
      <c r="T131" s="4"/>
      <c r="U131" s="4"/>
      <c r="V131" s="4"/>
      <c r="W131" s="4"/>
      <c r="X131" s="5"/>
      <c r="Y131" s="5"/>
      <c r="Z131" s="5"/>
      <c r="AA131" s="5"/>
    </row>
    <row r="132" spans="1:27" ht="15.75" customHeight="1">
      <c r="A132" s="344"/>
      <c r="B132" s="345"/>
      <c r="C132" s="111">
        <v>8</v>
      </c>
      <c r="D132" s="345"/>
      <c r="E132" s="58" t="s">
        <v>4569</v>
      </c>
      <c r="F132" s="41" t="s">
        <v>326</v>
      </c>
      <c r="G132" s="41" t="s">
        <v>524</v>
      </c>
      <c r="H132" s="58" t="s">
        <v>4556</v>
      </c>
      <c r="I132" s="58" t="s">
        <v>4548</v>
      </c>
      <c r="J132" s="253"/>
      <c r="K132" s="25"/>
      <c r="L132" s="99"/>
      <c r="M132" s="220"/>
      <c r="N132" s="4"/>
      <c r="O132" s="50"/>
      <c r="P132" s="50"/>
      <c r="Q132" s="25" t="s">
        <v>282</v>
      </c>
      <c r="R132" s="50" t="s">
        <v>4560</v>
      </c>
      <c r="S132" s="25"/>
      <c r="T132" s="4"/>
      <c r="U132" s="4"/>
      <c r="V132" s="4"/>
      <c r="W132" s="4"/>
      <c r="X132" s="5"/>
      <c r="Y132" s="5"/>
      <c r="Z132" s="5"/>
      <c r="AA132" s="5"/>
    </row>
    <row r="133" spans="1:27" ht="15.75" customHeight="1">
      <c r="A133" s="344"/>
      <c r="B133" s="350" t="s">
        <v>4570</v>
      </c>
      <c r="C133" s="111">
        <v>1</v>
      </c>
      <c r="D133" s="355" t="s">
        <v>4571</v>
      </c>
      <c r="E133" s="58" t="s">
        <v>4572</v>
      </c>
      <c r="F133" s="41" t="s">
        <v>326</v>
      </c>
      <c r="G133" s="41" t="s">
        <v>524</v>
      </c>
      <c r="H133" s="58" t="s">
        <v>4547</v>
      </c>
      <c r="I133" s="58" t="s">
        <v>4548</v>
      </c>
      <c r="J133" s="253"/>
      <c r="K133" s="25"/>
      <c r="L133" s="99"/>
      <c r="M133" s="220"/>
      <c r="N133" s="4"/>
      <c r="O133" s="50"/>
      <c r="P133" s="50"/>
      <c r="Q133" s="25" t="s">
        <v>282</v>
      </c>
      <c r="R133" s="50" t="s">
        <v>4573</v>
      </c>
      <c r="S133" s="25"/>
      <c r="T133" s="4"/>
      <c r="U133" s="4"/>
      <c r="V133" s="4"/>
      <c r="W133" s="4"/>
      <c r="X133" s="5"/>
      <c r="Y133" s="5"/>
      <c r="Z133" s="5"/>
      <c r="AA133" s="5"/>
    </row>
    <row r="134" spans="1:27" ht="15.75" customHeight="1">
      <c r="A134" s="344"/>
      <c r="B134" s="344"/>
      <c r="C134" s="111">
        <v>2</v>
      </c>
      <c r="D134" s="344"/>
      <c r="E134" s="58" t="s">
        <v>4574</v>
      </c>
      <c r="F134" s="41" t="s">
        <v>326</v>
      </c>
      <c r="G134" s="41" t="s">
        <v>524</v>
      </c>
      <c r="H134" s="58" t="s">
        <v>4575</v>
      </c>
      <c r="I134" s="58" t="s">
        <v>4552</v>
      </c>
      <c r="J134" s="253"/>
      <c r="K134" s="25"/>
      <c r="L134" s="99"/>
      <c r="M134" s="220"/>
      <c r="N134" s="4"/>
      <c r="O134" s="50"/>
      <c r="P134" s="50"/>
      <c r="Q134" s="25" t="s">
        <v>282</v>
      </c>
      <c r="R134" s="50" t="s">
        <v>4573</v>
      </c>
      <c r="S134" s="25"/>
      <c r="T134" s="4"/>
      <c r="U134" s="4"/>
      <c r="V134" s="4"/>
      <c r="W134" s="4"/>
      <c r="X134" s="5"/>
      <c r="Y134" s="5"/>
      <c r="Z134" s="5"/>
      <c r="AA134" s="5"/>
    </row>
    <row r="135" spans="1:27" ht="15.75" customHeight="1">
      <c r="A135" s="344"/>
      <c r="B135" s="344"/>
      <c r="C135" s="111">
        <v>3</v>
      </c>
      <c r="D135" s="344"/>
      <c r="E135" s="58" t="s">
        <v>4576</v>
      </c>
      <c r="F135" s="41" t="s">
        <v>326</v>
      </c>
      <c r="G135" s="41" t="s">
        <v>524</v>
      </c>
      <c r="H135" s="58" t="s">
        <v>4577</v>
      </c>
      <c r="I135" s="58" t="s">
        <v>4548</v>
      </c>
      <c r="J135" s="253"/>
      <c r="K135" s="25"/>
      <c r="L135" s="99"/>
      <c r="M135" s="220"/>
      <c r="N135" s="4"/>
      <c r="O135" s="50"/>
      <c r="P135" s="50"/>
      <c r="Q135" s="25" t="s">
        <v>282</v>
      </c>
      <c r="R135" s="50" t="s">
        <v>4573</v>
      </c>
      <c r="S135" s="25"/>
      <c r="T135" s="4"/>
      <c r="U135" s="4"/>
      <c r="V135" s="4"/>
      <c r="W135" s="4"/>
      <c r="X135" s="5"/>
      <c r="Y135" s="5"/>
      <c r="Z135" s="5"/>
      <c r="AA135" s="5"/>
    </row>
    <row r="136" spans="1:27" ht="15.75" customHeight="1">
      <c r="A136" s="344"/>
      <c r="B136" s="344"/>
      <c r="C136" s="111">
        <v>4</v>
      </c>
      <c r="D136" s="344"/>
      <c r="E136" s="58" t="s">
        <v>4578</v>
      </c>
      <c r="F136" s="41" t="s">
        <v>326</v>
      </c>
      <c r="G136" s="41" t="s">
        <v>349</v>
      </c>
      <c r="H136" s="58" t="s">
        <v>4579</v>
      </c>
      <c r="I136" s="58" t="s">
        <v>4548</v>
      </c>
      <c r="J136" s="253"/>
      <c r="K136" s="25"/>
      <c r="L136" s="99"/>
      <c r="M136" s="220"/>
      <c r="N136" s="4"/>
      <c r="O136" s="50"/>
      <c r="P136" s="50"/>
      <c r="Q136" s="25" t="s">
        <v>282</v>
      </c>
      <c r="R136" s="50" t="s">
        <v>4573</v>
      </c>
      <c r="S136" s="25"/>
      <c r="T136" s="4"/>
      <c r="U136" s="4"/>
      <c r="V136" s="4"/>
      <c r="W136" s="4"/>
      <c r="X136" s="5"/>
      <c r="Y136" s="5"/>
      <c r="Z136" s="5"/>
      <c r="AA136" s="5"/>
    </row>
    <row r="137" spans="1:27" ht="39" customHeight="1">
      <c r="A137" s="345"/>
      <c r="B137" s="345"/>
      <c r="C137" s="111">
        <v>5</v>
      </c>
      <c r="D137" s="345"/>
      <c r="E137" s="58" t="s">
        <v>4580</v>
      </c>
      <c r="F137" s="41" t="s">
        <v>326</v>
      </c>
      <c r="G137" s="41" t="s">
        <v>327</v>
      </c>
      <c r="H137" s="58" t="s">
        <v>4579</v>
      </c>
      <c r="I137" s="58" t="s">
        <v>4548</v>
      </c>
      <c r="J137" s="253"/>
      <c r="K137" s="25"/>
      <c r="L137" s="99"/>
      <c r="M137" s="220"/>
      <c r="N137" s="4"/>
      <c r="O137" s="50"/>
      <c r="P137" s="50"/>
      <c r="Q137" s="25" t="s">
        <v>282</v>
      </c>
      <c r="R137" s="50" t="s">
        <v>4573</v>
      </c>
      <c r="S137" s="25"/>
      <c r="T137" s="4"/>
      <c r="U137" s="4"/>
      <c r="V137" s="4"/>
      <c r="W137" s="4"/>
      <c r="X137" s="5"/>
      <c r="Y137" s="5"/>
      <c r="Z137" s="5"/>
      <c r="AA137" s="5"/>
    </row>
    <row r="138" spans="1:27" ht="33" customHeight="1">
      <c r="A138" s="356" t="s">
        <v>4581</v>
      </c>
      <c r="B138" s="360" t="s">
        <v>90</v>
      </c>
      <c r="C138" s="61">
        <v>1</v>
      </c>
      <c r="D138" s="365" t="s">
        <v>4582</v>
      </c>
      <c r="E138" s="73" t="s">
        <v>8</v>
      </c>
      <c r="F138" s="46" t="s">
        <v>326</v>
      </c>
      <c r="G138" s="46" t="s">
        <v>327</v>
      </c>
      <c r="H138" s="35" t="s">
        <v>4583</v>
      </c>
      <c r="I138" s="35" t="s">
        <v>4584</v>
      </c>
      <c r="J138" s="172"/>
      <c r="K138" s="25"/>
      <c r="L138" s="25"/>
      <c r="M138" s="377" t="s">
        <v>4585</v>
      </c>
      <c r="N138" s="55"/>
      <c r="O138" s="28" t="s">
        <v>140</v>
      </c>
      <c r="P138" s="28"/>
      <c r="Q138" s="25" t="s">
        <v>282</v>
      </c>
      <c r="R138" s="25" t="s">
        <v>4586</v>
      </c>
      <c r="S138" s="25" t="s">
        <v>140</v>
      </c>
      <c r="T138" s="55"/>
      <c r="U138" s="55"/>
      <c r="V138" s="55"/>
      <c r="W138" s="55"/>
      <c r="X138" s="65"/>
      <c r="Y138" s="65"/>
      <c r="Z138" s="65"/>
      <c r="AA138" s="65"/>
    </row>
    <row r="139" spans="1:27" ht="15.75" customHeight="1">
      <c r="A139" s="344"/>
      <c r="B139" s="344"/>
      <c r="C139" s="111">
        <v>2</v>
      </c>
      <c r="D139" s="344"/>
      <c r="E139" s="80" t="s">
        <v>4587</v>
      </c>
      <c r="F139" s="74" t="s">
        <v>326</v>
      </c>
      <c r="G139" s="74" t="s">
        <v>327</v>
      </c>
      <c r="H139" s="47" t="s">
        <v>4588</v>
      </c>
      <c r="I139" s="47" t="s">
        <v>4589</v>
      </c>
      <c r="J139" s="168"/>
      <c r="K139" s="25"/>
      <c r="L139" s="25"/>
      <c r="M139" s="344"/>
      <c r="N139" s="4"/>
      <c r="O139" s="28" t="s">
        <v>140</v>
      </c>
      <c r="P139" s="28"/>
      <c r="Q139" s="25" t="s">
        <v>282</v>
      </c>
      <c r="R139" s="50" t="s">
        <v>4590</v>
      </c>
      <c r="S139" s="25" t="s">
        <v>140</v>
      </c>
      <c r="T139" s="4"/>
      <c r="U139" s="4"/>
      <c r="V139" s="4"/>
      <c r="W139" s="4"/>
      <c r="X139" s="5"/>
      <c r="Y139" s="5"/>
      <c r="Z139" s="5"/>
      <c r="AA139" s="5"/>
    </row>
    <row r="140" spans="1:27" ht="15.75" customHeight="1">
      <c r="A140" s="344"/>
      <c r="B140" s="344"/>
      <c r="C140" s="111"/>
      <c r="D140" s="344"/>
      <c r="E140" s="80" t="s">
        <v>4591</v>
      </c>
      <c r="F140" s="74"/>
      <c r="G140" s="74"/>
      <c r="H140" s="58" t="s">
        <v>4592</v>
      </c>
      <c r="I140" s="58" t="s">
        <v>4593</v>
      </c>
      <c r="J140" s="253"/>
      <c r="K140" s="25"/>
      <c r="L140" s="221"/>
      <c r="M140" s="344"/>
      <c r="N140" s="4"/>
      <c r="O140" s="28"/>
      <c r="P140" s="28"/>
      <c r="Q140" s="25" t="s">
        <v>282</v>
      </c>
      <c r="R140" s="50"/>
      <c r="S140" s="25" t="s">
        <v>140</v>
      </c>
      <c r="T140" s="4"/>
      <c r="U140" s="4"/>
      <c r="V140" s="4"/>
      <c r="W140" s="4"/>
      <c r="X140" s="5"/>
      <c r="Y140" s="5"/>
      <c r="Z140" s="5"/>
      <c r="AA140" s="5"/>
    </row>
    <row r="141" spans="1:27" ht="15.75" customHeight="1">
      <c r="A141" s="344"/>
      <c r="B141" s="344"/>
      <c r="C141" s="111"/>
      <c r="D141" s="344"/>
      <c r="E141" s="80" t="s">
        <v>4594</v>
      </c>
      <c r="F141" s="74"/>
      <c r="G141" s="74"/>
      <c r="H141" s="58" t="s">
        <v>4592</v>
      </c>
      <c r="I141" s="58" t="s">
        <v>4593</v>
      </c>
      <c r="J141" s="253"/>
      <c r="K141" s="25"/>
      <c r="L141" s="221"/>
      <c r="M141" s="344"/>
      <c r="N141" s="4"/>
      <c r="O141" s="28"/>
      <c r="P141" s="28"/>
      <c r="Q141" s="25" t="s">
        <v>282</v>
      </c>
      <c r="R141" s="50"/>
      <c r="S141" s="25" t="s">
        <v>140</v>
      </c>
      <c r="T141" s="4"/>
      <c r="U141" s="4"/>
      <c r="V141" s="4"/>
      <c r="W141" s="4"/>
      <c r="X141" s="5"/>
      <c r="Y141" s="5"/>
      <c r="Z141" s="5"/>
      <c r="AA141" s="5"/>
    </row>
    <row r="142" spans="1:27" ht="15.75" customHeight="1">
      <c r="A142" s="344"/>
      <c r="B142" s="344"/>
      <c r="C142" s="111"/>
      <c r="D142" s="344"/>
      <c r="E142" s="80" t="s">
        <v>4595</v>
      </c>
      <c r="F142" s="74"/>
      <c r="G142" s="74"/>
      <c r="H142" s="58" t="s">
        <v>4596</v>
      </c>
      <c r="I142" s="58" t="s">
        <v>4593</v>
      </c>
      <c r="J142" s="253"/>
      <c r="K142" s="25"/>
      <c r="L142" s="221"/>
      <c r="M142" s="344"/>
      <c r="N142" s="4"/>
      <c r="O142" s="28"/>
      <c r="P142" s="28"/>
      <c r="Q142" s="25" t="s">
        <v>282</v>
      </c>
      <c r="R142" s="50"/>
      <c r="S142" s="25" t="s">
        <v>140</v>
      </c>
      <c r="T142" s="4"/>
      <c r="U142" s="4"/>
      <c r="V142" s="4"/>
      <c r="W142" s="4"/>
      <c r="X142" s="5"/>
      <c r="Y142" s="5"/>
      <c r="Z142" s="5"/>
      <c r="AA142" s="5"/>
    </row>
    <row r="143" spans="1:27" ht="15.75" customHeight="1">
      <c r="A143" s="344"/>
      <c r="B143" s="344"/>
      <c r="C143" s="111"/>
      <c r="D143" s="344"/>
      <c r="E143" s="80" t="s">
        <v>4597</v>
      </c>
      <c r="F143" s="74"/>
      <c r="G143" s="74"/>
      <c r="H143" s="58" t="s">
        <v>4598</v>
      </c>
      <c r="I143" s="58" t="s">
        <v>4593</v>
      </c>
      <c r="J143" s="253"/>
      <c r="K143" s="25"/>
      <c r="L143" s="221"/>
      <c r="M143" s="344"/>
      <c r="N143" s="4"/>
      <c r="O143" s="28"/>
      <c r="P143" s="28"/>
      <c r="Q143" s="25" t="s">
        <v>282</v>
      </c>
      <c r="R143" s="50"/>
      <c r="S143" s="25" t="s">
        <v>140</v>
      </c>
      <c r="T143" s="4"/>
      <c r="U143" s="4"/>
      <c r="V143" s="4"/>
      <c r="W143" s="4"/>
      <c r="X143" s="5"/>
      <c r="Y143" s="5"/>
      <c r="Z143" s="5"/>
      <c r="AA143" s="5"/>
    </row>
    <row r="144" spans="1:27" ht="15.75" customHeight="1">
      <c r="A144" s="344"/>
      <c r="B144" s="344"/>
      <c r="C144" s="111"/>
      <c r="D144" s="344"/>
      <c r="E144" s="80" t="s">
        <v>4599</v>
      </c>
      <c r="F144" s="74"/>
      <c r="G144" s="74"/>
      <c r="H144" s="58" t="s">
        <v>4600</v>
      </c>
      <c r="I144" s="58" t="s">
        <v>4593</v>
      </c>
      <c r="J144" s="253"/>
      <c r="K144" s="25"/>
      <c r="L144" s="221"/>
      <c r="M144" s="344"/>
      <c r="N144" s="4"/>
      <c r="O144" s="28"/>
      <c r="P144" s="28"/>
      <c r="Q144" s="25" t="s">
        <v>282</v>
      </c>
      <c r="R144" s="50"/>
      <c r="S144" s="25" t="s">
        <v>140</v>
      </c>
      <c r="T144" s="4"/>
      <c r="U144" s="4"/>
      <c r="V144" s="4"/>
      <c r="W144" s="4"/>
      <c r="X144" s="5"/>
      <c r="Y144" s="5"/>
      <c r="Z144" s="5"/>
      <c r="AA144" s="5"/>
    </row>
    <row r="145" spans="1:27" ht="15.75" customHeight="1">
      <c r="A145" s="344"/>
      <c r="B145" s="344"/>
      <c r="C145" s="111"/>
      <c r="D145" s="344"/>
      <c r="E145" s="80" t="s">
        <v>4601</v>
      </c>
      <c r="F145" s="74"/>
      <c r="G145" s="74"/>
      <c r="H145" s="58" t="s">
        <v>4602</v>
      </c>
      <c r="I145" s="58" t="s">
        <v>4593</v>
      </c>
      <c r="J145" s="253"/>
      <c r="K145" s="25"/>
      <c r="L145" s="221"/>
      <c r="M145" s="344"/>
      <c r="N145" s="4"/>
      <c r="O145" s="28"/>
      <c r="P145" s="28"/>
      <c r="Q145" s="25" t="s">
        <v>282</v>
      </c>
      <c r="R145" s="50"/>
      <c r="S145" s="25" t="s">
        <v>140</v>
      </c>
      <c r="T145" s="4"/>
      <c r="U145" s="4"/>
      <c r="V145" s="4"/>
      <c r="W145" s="4"/>
      <c r="X145" s="5"/>
      <c r="Y145" s="5"/>
      <c r="Z145" s="5"/>
      <c r="AA145" s="5"/>
    </row>
    <row r="146" spans="1:27" ht="15.75" customHeight="1">
      <c r="A146" s="344"/>
      <c r="B146" s="344"/>
      <c r="C146" s="111"/>
      <c r="D146" s="344"/>
      <c r="E146" s="80" t="s">
        <v>4603</v>
      </c>
      <c r="F146" s="74"/>
      <c r="G146" s="74"/>
      <c r="H146" s="58" t="s">
        <v>4602</v>
      </c>
      <c r="I146" s="58" t="s">
        <v>4593</v>
      </c>
      <c r="J146" s="253"/>
      <c r="K146" s="25"/>
      <c r="L146" s="221"/>
      <c r="M146" s="344"/>
      <c r="N146" s="4"/>
      <c r="O146" s="28"/>
      <c r="P146" s="28"/>
      <c r="Q146" s="25" t="s">
        <v>282</v>
      </c>
      <c r="R146" s="50"/>
      <c r="S146" s="25" t="s">
        <v>140</v>
      </c>
      <c r="T146" s="4"/>
      <c r="U146" s="4"/>
      <c r="V146" s="4"/>
      <c r="W146" s="4"/>
      <c r="X146" s="5"/>
      <c r="Y146" s="5"/>
      <c r="Z146" s="5"/>
      <c r="AA146" s="5"/>
    </row>
    <row r="147" spans="1:27" ht="15.75" customHeight="1">
      <c r="A147" s="344"/>
      <c r="B147" s="344"/>
      <c r="C147" s="111"/>
      <c r="D147" s="344"/>
      <c r="E147" s="80" t="s">
        <v>4604</v>
      </c>
      <c r="F147" s="74"/>
      <c r="G147" s="74"/>
      <c r="H147" s="58" t="s">
        <v>4605</v>
      </c>
      <c r="I147" s="58" t="s">
        <v>4593</v>
      </c>
      <c r="J147" s="253"/>
      <c r="K147" s="25"/>
      <c r="L147" s="221"/>
      <c r="M147" s="344"/>
      <c r="N147" s="4"/>
      <c r="O147" s="28"/>
      <c r="P147" s="28"/>
      <c r="Q147" s="25" t="s">
        <v>282</v>
      </c>
      <c r="R147" s="50"/>
      <c r="S147" s="25" t="s">
        <v>140</v>
      </c>
      <c r="T147" s="4"/>
      <c r="U147" s="4"/>
      <c r="V147" s="4"/>
      <c r="W147" s="4"/>
      <c r="X147" s="5"/>
      <c r="Y147" s="5"/>
      <c r="Z147" s="5"/>
      <c r="AA147" s="5"/>
    </row>
    <row r="148" spans="1:27" ht="15.75" customHeight="1">
      <c r="A148" s="344"/>
      <c r="B148" s="344"/>
      <c r="C148" s="111"/>
      <c r="D148" s="344"/>
      <c r="E148" s="80" t="s">
        <v>4606</v>
      </c>
      <c r="F148" s="74"/>
      <c r="G148" s="74"/>
      <c r="H148" s="58" t="s">
        <v>4607</v>
      </c>
      <c r="I148" s="58" t="s">
        <v>4593</v>
      </c>
      <c r="J148" s="253"/>
      <c r="K148" s="25"/>
      <c r="L148" s="221"/>
      <c r="M148" s="344"/>
      <c r="N148" s="4"/>
      <c r="O148" s="28"/>
      <c r="P148" s="28"/>
      <c r="Q148" s="25" t="s">
        <v>282</v>
      </c>
      <c r="R148" s="50"/>
      <c r="S148" s="25" t="s">
        <v>140</v>
      </c>
      <c r="T148" s="4"/>
      <c r="U148" s="4"/>
      <c r="V148" s="4"/>
      <c r="W148" s="4"/>
      <c r="X148" s="5"/>
      <c r="Y148" s="5"/>
      <c r="Z148" s="5"/>
      <c r="AA148" s="5"/>
    </row>
    <row r="149" spans="1:27" ht="15.75" customHeight="1">
      <c r="A149" s="344"/>
      <c r="B149" s="344"/>
      <c r="C149" s="111"/>
      <c r="D149" s="344"/>
      <c r="E149" s="80" t="s">
        <v>4608</v>
      </c>
      <c r="F149" s="74"/>
      <c r="G149" s="74"/>
      <c r="H149" s="58" t="s">
        <v>4609</v>
      </c>
      <c r="I149" s="58" t="s">
        <v>4593</v>
      </c>
      <c r="J149" s="253"/>
      <c r="K149" s="25"/>
      <c r="L149" s="221"/>
      <c r="M149" s="344"/>
      <c r="N149" s="4"/>
      <c r="O149" s="28"/>
      <c r="P149" s="28"/>
      <c r="Q149" s="25" t="s">
        <v>282</v>
      </c>
      <c r="R149" s="50"/>
      <c r="S149" s="25" t="s">
        <v>140</v>
      </c>
      <c r="T149" s="4"/>
      <c r="U149" s="4"/>
      <c r="V149" s="4"/>
      <c r="W149" s="4"/>
      <c r="X149" s="5"/>
      <c r="Y149" s="5"/>
      <c r="Z149" s="5"/>
      <c r="AA149" s="5"/>
    </row>
    <row r="150" spans="1:27" ht="15.75" customHeight="1">
      <c r="A150" s="344"/>
      <c r="B150" s="344"/>
      <c r="C150" s="111"/>
      <c r="D150" s="344"/>
      <c r="E150" s="80" t="s">
        <v>4610</v>
      </c>
      <c r="F150" s="74"/>
      <c r="G150" s="74"/>
      <c r="H150" s="58" t="s">
        <v>4611</v>
      </c>
      <c r="I150" s="58" t="s">
        <v>4593</v>
      </c>
      <c r="J150" s="253"/>
      <c r="K150" s="25"/>
      <c r="L150" s="221"/>
      <c r="M150" s="344"/>
      <c r="N150" s="4"/>
      <c r="O150" s="28"/>
      <c r="P150" s="28"/>
      <c r="Q150" s="25" t="s">
        <v>282</v>
      </c>
      <c r="R150" s="50"/>
      <c r="S150" s="25" t="s">
        <v>140</v>
      </c>
      <c r="T150" s="4"/>
      <c r="U150" s="4"/>
      <c r="V150" s="4"/>
      <c r="W150" s="4"/>
      <c r="X150" s="5"/>
      <c r="Y150" s="5"/>
      <c r="Z150" s="5"/>
      <c r="AA150" s="5"/>
    </row>
    <row r="151" spans="1:27" ht="15.75" customHeight="1">
      <c r="A151" s="344"/>
      <c r="B151" s="344"/>
      <c r="C151" s="111"/>
      <c r="D151" s="344"/>
      <c r="E151" s="80" t="s">
        <v>4612</v>
      </c>
      <c r="F151" s="74"/>
      <c r="G151" s="74"/>
      <c r="H151" s="58" t="s">
        <v>4613</v>
      </c>
      <c r="I151" s="58" t="s">
        <v>4593</v>
      </c>
      <c r="J151" s="253"/>
      <c r="K151" s="25"/>
      <c r="L151" s="221"/>
      <c r="M151" s="344"/>
      <c r="N151" s="4"/>
      <c r="O151" s="28"/>
      <c r="P151" s="28"/>
      <c r="Q151" s="25" t="s">
        <v>282</v>
      </c>
      <c r="R151" s="50"/>
      <c r="S151" s="25" t="s">
        <v>140</v>
      </c>
      <c r="T151" s="4"/>
      <c r="U151" s="4"/>
      <c r="V151" s="4"/>
      <c r="W151" s="4"/>
      <c r="X151" s="5"/>
      <c r="Y151" s="5"/>
      <c r="Z151" s="5"/>
      <c r="AA151" s="5"/>
    </row>
    <row r="152" spans="1:27" ht="15.75" customHeight="1">
      <c r="A152" s="344"/>
      <c r="B152" s="344"/>
      <c r="C152" s="111"/>
      <c r="D152" s="344"/>
      <c r="E152" s="80" t="s">
        <v>4614</v>
      </c>
      <c r="F152" s="74"/>
      <c r="G152" s="74"/>
      <c r="H152" s="58" t="s">
        <v>4615</v>
      </c>
      <c r="I152" s="58" t="s">
        <v>4593</v>
      </c>
      <c r="J152" s="253"/>
      <c r="K152" s="25"/>
      <c r="L152" s="221"/>
      <c r="M152" s="344"/>
      <c r="N152" s="4"/>
      <c r="O152" s="28"/>
      <c r="P152" s="28"/>
      <c r="Q152" s="25" t="s">
        <v>282</v>
      </c>
      <c r="R152" s="50"/>
      <c r="S152" s="25" t="s">
        <v>140</v>
      </c>
      <c r="T152" s="4"/>
      <c r="U152" s="4"/>
      <c r="V152" s="4"/>
      <c r="W152" s="4"/>
      <c r="X152" s="5"/>
      <c r="Y152" s="5"/>
      <c r="Z152" s="5"/>
      <c r="AA152" s="5"/>
    </row>
    <row r="153" spans="1:27" ht="15.75" customHeight="1">
      <c r="A153" s="344"/>
      <c r="B153" s="344"/>
      <c r="C153" s="111"/>
      <c r="D153" s="344"/>
      <c r="E153" s="80" t="s">
        <v>4616</v>
      </c>
      <c r="F153" s="74"/>
      <c r="G153" s="74"/>
      <c r="H153" s="58" t="s">
        <v>4617</v>
      </c>
      <c r="I153" s="58" t="s">
        <v>4593</v>
      </c>
      <c r="J153" s="253"/>
      <c r="K153" s="25"/>
      <c r="L153" s="221"/>
      <c r="M153" s="344"/>
      <c r="N153" s="4"/>
      <c r="O153" s="28"/>
      <c r="P153" s="28"/>
      <c r="Q153" s="25" t="s">
        <v>282</v>
      </c>
      <c r="R153" s="50"/>
      <c r="S153" s="25" t="s">
        <v>140</v>
      </c>
      <c r="T153" s="4"/>
      <c r="U153" s="4"/>
      <c r="V153" s="4"/>
      <c r="W153" s="4"/>
      <c r="X153" s="5"/>
      <c r="Y153" s="5"/>
      <c r="Z153" s="5"/>
      <c r="AA153" s="5"/>
    </row>
    <row r="154" spans="1:27" ht="15.75" customHeight="1">
      <c r="A154" s="344"/>
      <c r="B154" s="344"/>
      <c r="C154" s="111"/>
      <c r="D154" s="344"/>
      <c r="E154" s="80" t="s">
        <v>4618</v>
      </c>
      <c r="F154" s="74"/>
      <c r="G154" s="74"/>
      <c r="H154" s="58" t="s">
        <v>4617</v>
      </c>
      <c r="I154" s="58" t="s">
        <v>4593</v>
      </c>
      <c r="J154" s="253"/>
      <c r="K154" s="25"/>
      <c r="L154" s="221"/>
      <c r="M154" s="344"/>
      <c r="N154" s="4"/>
      <c r="O154" s="28"/>
      <c r="P154" s="28"/>
      <c r="Q154" s="25" t="s">
        <v>282</v>
      </c>
      <c r="R154" s="50"/>
      <c r="S154" s="25" t="s">
        <v>140</v>
      </c>
      <c r="T154" s="4"/>
      <c r="U154" s="4"/>
      <c r="V154" s="4"/>
      <c r="W154" s="4"/>
      <c r="X154" s="5"/>
      <c r="Y154" s="5"/>
      <c r="Z154" s="5"/>
      <c r="AA154" s="5"/>
    </row>
    <row r="155" spans="1:27" ht="15.75" customHeight="1">
      <c r="A155" s="344"/>
      <c r="B155" s="344"/>
      <c r="C155" s="111"/>
      <c r="D155" s="344"/>
      <c r="E155" s="80" t="s">
        <v>4619</v>
      </c>
      <c r="F155" s="74"/>
      <c r="G155" s="74"/>
      <c r="H155" s="58" t="s">
        <v>4620</v>
      </c>
      <c r="I155" s="58" t="s">
        <v>4593</v>
      </c>
      <c r="J155" s="253"/>
      <c r="K155" s="25"/>
      <c r="L155" s="221"/>
      <c r="M155" s="344"/>
      <c r="N155" s="4"/>
      <c r="O155" s="28"/>
      <c r="P155" s="28"/>
      <c r="Q155" s="25" t="s">
        <v>282</v>
      </c>
      <c r="R155" s="50"/>
      <c r="S155" s="25" t="s">
        <v>140</v>
      </c>
      <c r="T155" s="4"/>
      <c r="U155" s="4"/>
      <c r="V155" s="4"/>
      <c r="W155" s="4"/>
      <c r="X155" s="5"/>
      <c r="Y155" s="5"/>
      <c r="Z155" s="5"/>
      <c r="AA155" s="5"/>
    </row>
    <row r="156" spans="1:27" ht="15.75" customHeight="1">
      <c r="A156" s="344"/>
      <c r="B156" s="344"/>
      <c r="C156" s="111"/>
      <c r="D156" s="344"/>
      <c r="E156" s="80" t="s">
        <v>4621</v>
      </c>
      <c r="F156" s="74"/>
      <c r="G156" s="74"/>
      <c r="H156" s="58" t="s">
        <v>4622</v>
      </c>
      <c r="I156" s="58" t="s">
        <v>4593</v>
      </c>
      <c r="J156" s="253"/>
      <c r="K156" s="25"/>
      <c r="L156" s="221"/>
      <c r="M156" s="344"/>
      <c r="N156" s="4"/>
      <c r="O156" s="28"/>
      <c r="P156" s="28"/>
      <c r="Q156" s="25" t="s">
        <v>282</v>
      </c>
      <c r="R156" s="50"/>
      <c r="S156" s="25" t="s">
        <v>140</v>
      </c>
      <c r="T156" s="4"/>
      <c r="U156" s="4"/>
      <c r="V156" s="4"/>
      <c r="W156" s="4"/>
      <c r="X156" s="5"/>
      <c r="Y156" s="5"/>
      <c r="Z156" s="5"/>
      <c r="AA156" s="5"/>
    </row>
    <row r="157" spans="1:27" ht="15.75" customHeight="1">
      <c r="A157" s="344"/>
      <c r="B157" s="344"/>
      <c r="C157" s="111"/>
      <c r="D157" s="344"/>
      <c r="E157" s="80" t="s">
        <v>4623</v>
      </c>
      <c r="F157" s="74"/>
      <c r="G157" s="74"/>
      <c r="H157" s="58" t="s">
        <v>4620</v>
      </c>
      <c r="I157" s="58" t="s">
        <v>4593</v>
      </c>
      <c r="J157" s="253"/>
      <c r="K157" s="25"/>
      <c r="L157" s="221"/>
      <c r="M157" s="344"/>
      <c r="N157" s="4"/>
      <c r="O157" s="28"/>
      <c r="P157" s="28"/>
      <c r="Q157" s="25" t="s">
        <v>282</v>
      </c>
      <c r="R157" s="50"/>
      <c r="S157" s="25" t="s">
        <v>140</v>
      </c>
      <c r="T157" s="4"/>
      <c r="U157" s="4"/>
      <c r="V157" s="4"/>
      <c r="W157" s="4"/>
      <c r="X157" s="5"/>
      <c r="Y157" s="5"/>
      <c r="Z157" s="5"/>
      <c r="AA157" s="5"/>
    </row>
    <row r="158" spans="1:27" ht="15.75" customHeight="1">
      <c r="A158" s="344"/>
      <c r="B158" s="344"/>
      <c r="C158" s="111"/>
      <c r="D158" s="344"/>
      <c r="E158" s="80" t="s">
        <v>4624</v>
      </c>
      <c r="F158" s="74"/>
      <c r="G158" s="74"/>
      <c r="H158" s="58" t="s">
        <v>4625</v>
      </c>
      <c r="I158" s="58" t="s">
        <v>4593</v>
      </c>
      <c r="J158" s="253"/>
      <c r="K158" s="25"/>
      <c r="L158" s="221"/>
      <c r="M158" s="344"/>
      <c r="N158" s="4"/>
      <c r="O158" s="28"/>
      <c r="P158" s="28"/>
      <c r="Q158" s="25" t="s">
        <v>282</v>
      </c>
      <c r="R158" s="50"/>
      <c r="S158" s="25" t="s">
        <v>140</v>
      </c>
      <c r="T158" s="4"/>
      <c r="U158" s="4"/>
      <c r="V158" s="4"/>
      <c r="W158" s="4"/>
      <c r="X158" s="5"/>
      <c r="Y158" s="5"/>
      <c r="Z158" s="5"/>
      <c r="AA158" s="5"/>
    </row>
    <row r="159" spans="1:27" ht="15.75" customHeight="1">
      <c r="A159" s="344"/>
      <c r="B159" s="344"/>
      <c r="C159" s="111"/>
      <c r="D159" s="344"/>
      <c r="E159" s="80" t="s">
        <v>4626</v>
      </c>
      <c r="F159" s="74"/>
      <c r="G159" s="74"/>
      <c r="H159" s="58" t="s">
        <v>4627</v>
      </c>
      <c r="I159" s="58" t="s">
        <v>4593</v>
      </c>
      <c r="J159" s="253"/>
      <c r="K159" s="25"/>
      <c r="L159" s="221"/>
      <c r="M159" s="344"/>
      <c r="N159" s="4"/>
      <c r="O159" s="28"/>
      <c r="P159" s="28"/>
      <c r="Q159" s="25" t="s">
        <v>282</v>
      </c>
      <c r="R159" s="50"/>
      <c r="S159" s="25" t="s">
        <v>140</v>
      </c>
      <c r="T159" s="4"/>
      <c r="U159" s="4"/>
      <c r="V159" s="4"/>
      <c r="W159" s="4"/>
      <c r="X159" s="5"/>
      <c r="Y159" s="5"/>
      <c r="Z159" s="5"/>
      <c r="AA159" s="5"/>
    </row>
    <row r="160" spans="1:27" ht="15.75" customHeight="1">
      <c r="A160" s="344"/>
      <c r="B160" s="344"/>
      <c r="C160" s="111"/>
      <c r="D160" s="344"/>
      <c r="E160" s="80" t="s">
        <v>4628</v>
      </c>
      <c r="F160" s="74"/>
      <c r="G160" s="74"/>
      <c r="H160" s="58" t="s">
        <v>4629</v>
      </c>
      <c r="I160" s="58" t="s">
        <v>4593</v>
      </c>
      <c r="J160" s="253"/>
      <c r="K160" s="25"/>
      <c r="L160" s="221"/>
      <c r="M160" s="344"/>
      <c r="N160" s="4"/>
      <c r="O160" s="28"/>
      <c r="P160" s="28"/>
      <c r="Q160" s="25" t="s">
        <v>282</v>
      </c>
      <c r="R160" s="50"/>
      <c r="S160" s="25" t="s">
        <v>140</v>
      </c>
      <c r="T160" s="4"/>
      <c r="U160" s="4"/>
      <c r="V160" s="4"/>
      <c r="W160" s="4"/>
      <c r="X160" s="5"/>
      <c r="Y160" s="5"/>
      <c r="Z160" s="5"/>
      <c r="AA160" s="5"/>
    </row>
    <row r="161" spans="1:27" ht="15.75" customHeight="1">
      <c r="A161" s="344"/>
      <c r="B161" s="344"/>
      <c r="C161" s="111"/>
      <c r="D161" s="344"/>
      <c r="E161" s="80" t="s">
        <v>4630</v>
      </c>
      <c r="F161" s="74"/>
      <c r="G161" s="74"/>
      <c r="H161" s="58" t="s">
        <v>4631</v>
      </c>
      <c r="I161" s="58" t="s">
        <v>4593</v>
      </c>
      <c r="J161" s="253"/>
      <c r="K161" s="25"/>
      <c r="L161" s="25"/>
      <c r="M161" s="344"/>
      <c r="N161" s="4"/>
      <c r="O161" s="28"/>
      <c r="P161" s="28"/>
      <c r="Q161" s="25" t="s">
        <v>282</v>
      </c>
      <c r="R161" s="50"/>
      <c r="S161" s="25" t="s">
        <v>140</v>
      </c>
      <c r="T161" s="4"/>
      <c r="U161" s="4"/>
      <c r="V161" s="4"/>
      <c r="W161" s="4"/>
      <c r="X161" s="5"/>
      <c r="Y161" s="5"/>
      <c r="Z161" s="5"/>
      <c r="AA161" s="5"/>
    </row>
    <row r="162" spans="1:27" ht="15.75" customHeight="1">
      <c r="A162" s="344"/>
      <c r="B162" s="344"/>
      <c r="C162" s="111"/>
      <c r="D162" s="344"/>
      <c r="E162" s="80" t="s">
        <v>4632</v>
      </c>
      <c r="F162" s="74"/>
      <c r="G162" s="74"/>
      <c r="H162" s="58" t="s">
        <v>4629</v>
      </c>
      <c r="I162" s="58" t="s">
        <v>4593</v>
      </c>
      <c r="J162" s="253"/>
      <c r="K162" s="25"/>
      <c r="L162" s="25"/>
      <c r="M162" s="344"/>
      <c r="N162" s="4"/>
      <c r="O162" s="28"/>
      <c r="P162" s="28"/>
      <c r="Q162" s="25" t="s">
        <v>282</v>
      </c>
      <c r="R162" s="50"/>
      <c r="S162" s="25" t="s">
        <v>140</v>
      </c>
      <c r="T162" s="4"/>
      <c r="U162" s="4"/>
      <c r="V162" s="4"/>
      <c r="W162" s="4"/>
      <c r="X162" s="5"/>
      <c r="Y162" s="5"/>
      <c r="Z162" s="5"/>
      <c r="AA162" s="5"/>
    </row>
    <row r="163" spans="1:27" ht="15.75" customHeight="1">
      <c r="A163" s="344"/>
      <c r="B163" s="344"/>
      <c r="C163" s="111"/>
      <c r="D163" s="344"/>
      <c r="E163" s="80" t="s">
        <v>4633</v>
      </c>
      <c r="F163" s="74"/>
      <c r="G163" s="74"/>
      <c r="H163" s="58" t="s">
        <v>4629</v>
      </c>
      <c r="I163" s="58" t="s">
        <v>4593</v>
      </c>
      <c r="J163" s="253"/>
      <c r="K163" s="25"/>
      <c r="L163" s="25"/>
      <c r="M163" s="344"/>
      <c r="N163" s="4"/>
      <c r="O163" s="28"/>
      <c r="P163" s="28"/>
      <c r="Q163" s="25" t="s">
        <v>282</v>
      </c>
      <c r="R163" s="50"/>
      <c r="S163" s="25" t="s">
        <v>140</v>
      </c>
      <c r="T163" s="4"/>
      <c r="U163" s="4"/>
      <c r="V163" s="4"/>
      <c r="W163" s="4"/>
      <c r="X163" s="5"/>
      <c r="Y163" s="5"/>
      <c r="Z163" s="5"/>
      <c r="AA163" s="5"/>
    </row>
    <row r="164" spans="1:27" ht="15.75" customHeight="1">
      <c r="A164" s="344"/>
      <c r="B164" s="344"/>
      <c r="C164" s="111"/>
      <c r="D164" s="344"/>
      <c r="E164" s="80" t="s">
        <v>4634</v>
      </c>
      <c r="F164" s="74"/>
      <c r="G164" s="74"/>
      <c r="H164" s="58" t="s">
        <v>4629</v>
      </c>
      <c r="I164" s="58" t="s">
        <v>4593</v>
      </c>
      <c r="J164" s="253"/>
      <c r="K164" s="25"/>
      <c r="L164" s="25"/>
      <c r="M164" s="344"/>
      <c r="N164" s="4"/>
      <c r="O164" s="28"/>
      <c r="P164" s="28"/>
      <c r="Q164" s="25" t="s">
        <v>282</v>
      </c>
      <c r="R164" s="50"/>
      <c r="S164" s="25" t="s">
        <v>140</v>
      </c>
      <c r="T164" s="4"/>
      <c r="U164" s="4"/>
      <c r="V164" s="4"/>
      <c r="W164" s="4"/>
      <c r="X164" s="5"/>
      <c r="Y164" s="5"/>
      <c r="Z164" s="5"/>
      <c r="AA164" s="5"/>
    </row>
    <row r="165" spans="1:27" ht="15.75" customHeight="1">
      <c r="A165" s="344"/>
      <c r="B165" s="344"/>
      <c r="C165" s="111"/>
      <c r="D165" s="344"/>
      <c r="E165" s="80" t="s">
        <v>4635</v>
      </c>
      <c r="F165" s="74"/>
      <c r="G165" s="74"/>
      <c r="H165" s="58" t="s">
        <v>4629</v>
      </c>
      <c r="I165" s="58" t="s">
        <v>4593</v>
      </c>
      <c r="J165" s="253"/>
      <c r="K165" s="25"/>
      <c r="L165" s="25"/>
      <c r="M165" s="344"/>
      <c r="N165" s="4"/>
      <c r="O165" s="28"/>
      <c r="P165" s="28"/>
      <c r="Q165" s="25" t="s">
        <v>282</v>
      </c>
      <c r="R165" s="50"/>
      <c r="S165" s="25" t="s">
        <v>140</v>
      </c>
      <c r="T165" s="4"/>
      <c r="U165" s="4"/>
      <c r="V165" s="4"/>
      <c r="W165" s="4"/>
      <c r="X165" s="5"/>
      <c r="Y165" s="5"/>
      <c r="Z165" s="5"/>
      <c r="AA165" s="5"/>
    </row>
    <row r="166" spans="1:27" ht="15.75" customHeight="1">
      <c r="A166" s="344"/>
      <c r="B166" s="344"/>
      <c r="C166" s="111"/>
      <c r="D166" s="344"/>
      <c r="E166" s="75" t="s">
        <v>4636</v>
      </c>
      <c r="F166" s="74"/>
      <c r="G166" s="74"/>
      <c r="H166" s="58" t="s">
        <v>4637</v>
      </c>
      <c r="I166" s="58" t="s">
        <v>4593</v>
      </c>
      <c r="J166" s="253"/>
      <c r="K166" s="25"/>
      <c r="L166" s="25"/>
      <c r="M166" s="344"/>
      <c r="N166" s="4"/>
      <c r="O166" s="28"/>
      <c r="P166" s="28"/>
      <c r="Q166" s="25" t="s">
        <v>282</v>
      </c>
      <c r="R166" s="50"/>
      <c r="S166" s="25" t="s">
        <v>140</v>
      </c>
      <c r="T166" s="4"/>
      <c r="U166" s="4"/>
      <c r="V166" s="4"/>
      <c r="W166" s="4"/>
      <c r="X166" s="5"/>
      <c r="Y166" s="5"/>
      <c r="Z166" s="5"/>
      <c r="AA166" s="5"/>
    </row>
    <row r="167" spans="1:27" ht="15.75" customHeight="1">
      <c r="A167" s="344"/>
      <c r="B167" s="344"/>
      <c r="C167" s="111"/>
      <c r="D167" s="344"/>
      <c r="E167" s="75" t="s">
        <v>4638</v>
      </c>
      <c r="F167" s="74"/>
      <c r="G167" s="74"/>
      <c r="H167" s="58" t="s">
        <v>4639</v>
      </c>
      <c r="I167" s="58" t="s">
        <v>4593</v>
      </c>
      <c r="J167" s="253"/>
      <c r="K167" s="25"/>
      <c r="L167" s="25"/>
      <c r="M167" s="344"/>
      <c r="N167" s="4"/>
      <c r="O167" s="28"/>
      <c r="P167" s="28"/>
      <c r="Q167" s="25" t="s">
        <v>282</v>
      </c>
      <c r="R167" s="50"/>
      <c r="S167" s="25" t="s">
        <v>140</v>
      </c>
      <c r="T167" s="4"/>
      <c r="U167" s="4"/>
      <c r="V167" s="4"/>
      <c r="W167" s="4"/>
      <c r="X167" s="5"/>
      <c r="Y167" s="5"/>
      <c r="Z167" s="5"/>
      <c r="AA167" s="5"/>
    </row>
    <row r="168" spans="1:27" ht="15.75" customHeight="1">
      <c r="A168" s="345"/>
      <c r="B168" s="345"/>
      <c r="C168" s="111"/>
      <c r="D168" s="345"/>
      <c r="E168" s="75" t="s">
        <v>4640</v>
      </c>
      <c r="F168" s="74"/>
      <c r="G168" s="74"/>
      <c r="H168" s="58" t="s">
        <v>4629</v>
      </c>
      <c r="I168" s="58" t="s">
        <v>4593</v>
      </c>
      <c r="J168" s="253"/>
      <c r="K168" s="25"/>
      <c r="L168" s="25"/>
      <c r="M168" s="345"/>
      <c r="N168" s="4"/>
      <c r="O168" s="28"/>
      <c r="P168" s="28"/>
      <c r="Q168" s="25" t="s">
        <v>282</v>
      </c>
      <c r="R168" s="50"/>
      <c r="S168" s="25" t="s">
        <v>140</v>
      </c>
      <c r="T168" s="4"/>
      <c r="U168" s="4"/>
      <c r="V168" s="4"/>
      <c r="W168" s="4"/>
      <c r="X168" s="5"/>
      <c r="Y168" s="5"/>
      <c r="Z168" s="5"/>
      <c r="AA168" s="5"/>
    </row>
    <row r="169" spans="1:27" ht="15.75" customHeight="1">
      <c r="A169" s="355" t="s">
        <v>4641</v>
      </c>
      <c r="B169" s="350" t="s">
        <v>37</v>
      </c>
      <c r="C169" s="61">
        <v>1</v>
      </c>
      <c r="D169" s="355" t="s">
        <v>4642</v>
      </c>
      <c r="E169" s="62" t="s">
        <v>4643</v>
      </c>
      <c r="F169" s="31"/>
      <c r="G169" s="31"/>
      <c r="H169" s="23" t="s">
        <v>4644</v>
      </c>
      <c r="I169" s="23" t="s">
        <v>4645</v>
      </c>
      <c r="J169" s="170"/>
      <c r="K169" s="25"/>
      <c r="L169" s="57"/>
      <c r="M169" s="26"/>
      <c r="N169" s="27"/>
      <c r="O169" s="25"/>
      <c r="P169" s="25"/>
      <c r="Q169" s="25" t="s">
        <v>282</v>
      </c>
      <c r="R169" s="25"/>
      <c r="S169" s="25"/>
      <c r="T169" s="55"/>
      <c r="U169" s="55"/>
      <c r="V169" s="55"/>
      <c r="W169" s="55"/>
      <c r="X169" s="65"/>
      <c r="Y169" s="65"/>
      <c r="Z169" s="65"/>
      <c r="AA169" s="65"/>
    </row>
    <row r="170" spans="1:27" ht="15.75" customHeight="1">
      <c r="A170" s="344"/>
      <c r="B170" s="344"/>
      <c r="C170" s="61">
        <v>2</v>
      </c>
      <c r="D170" s="344"/>
      <c r="E170" s="23" t="s">
        <v>4646</v>
      </c>
      <c r="F170" s="31"/>
      <c r="G170" s="31"/>
      <c r="H170" s="23" t="s">
        <v>4647</v>
      </c>
      <c r="I170" s="23" t="s">
        <v>4648</v>
      </c>
      <c r="J170" s="170"/>
      <c r="K170" s="25"/>
      <c r="L170" s="57"/>
      <c r="M170" s="26"/>
      <c r="N170" s="27"/>
      <c r="O170" s="25"/>
      <c r="P170" s="25"/>
      <c r="Q170" s="25" t="s">
        <v>282</v>
      </c>
      <c r="R170" s="25"/>
      <c r="S170" s="25"/>
      <c r="T170" s="55"/>
      <c r="U170" s="55"/>
      <c r="V170" s="55"/>
      <c r="W170" s="55"/>
      <c r="X170" s="65"/>
      <c r="Y170" s="65"/>
      <c r="Z170" s="65"/>
      <c r="AA170" s="65"/>
    </row>
    <row r="171" spans="1:27" ht="15.75" customHeight="1">
      <c r="A171" s="344"/>
      <c r="B171" s="344"/>
      <c r="C171" s="61">
        <v>3</v>
      </c>
      <c r="D171" s="344"/>
      <c r="E171" s="23" t="s">
        <v>4649</v>
      </c>
      <c r="F171" s="31"/>
      <c r="G171" s="31"/>
      <c r="H171" s="23" t="s">
        <v>4650</v>
      </c>
      <c r="I171" s="23" t="s">
        <v>4651</v>
      </c>
      <c r="J171" s="170"/>
      <c r="K171" s="25"/>
      <c r="L171" s="57"/>
      <c r="M171" s="26"/>
      <c r="N171" s="27"/>
      <c r="O171" s="25"/>
      <c r="P171" s="25"/>
      <c r="Q171" s="25" t="s">
        <v>282</v>
      </c>
      <c r="R171" s="25"/>
      <c r="S171" s="25"/>
      <c r="T171" s="55"/>
      <c r="U171" s="55"/>
      <c r="V171" s="55"/>
      <c r="W171" s="55"/>
      <c r="X171" s="65"/>
      <c r="Y171" s="65"/>
      <c r="Z171" s="65"/>
      <c r="AA171" s="65"/>
    </row>
    <row r="172" spans="1:27" ht="15.75" customHeight="1">
      <c r="A172" s="344"/>
      <c r="B172" s="344"/>
      <c r="C172" s="61">
        <v>4</v>
      </c>
      <c r="D172" s="344"/>
      <c r="E172" s="23" t="s">
        <v>4652</v>
      </c>
      <c r="F172" s="31"/>
      <c r="G172" s="31"/>
      <c r="H172" s="23" t="s">
        <v>4653</v>
      </c>
      <c r="I172" s="23" t="s">
        <v>4654</v>
      </c>
      <c r="J172" s="170"/>
      <c r="K172" s="25"/>
      <c r="L172" s="57"/>
      <c r="M172" s="26"/>
      <c r="N172" s="27"/>
      <c r="O172" s="25"/>
      <c r="P172" s="25"/>
      <c r="Q172" s="25" t="s">
        <v>282</v>
      </c>
      <c r="R172" s="25"/>
      <c r="S172" s="25"/>
      <c r="T172" s="55"/>
      <c r="U172" s="55"/>
      <c r="V172" s="55"/>
      <c r="W172" s="55"/>
      <c r="X172" s="65"/>
      <c r="Y172" s="65"/>
      <c r="Z172" s="65"/>
      <c r="AA172" s="65"/>
    </row>
    <row r="173" spans="1:27" ht="15.75" customHeight="1">
      <c r="A173" s="344"/>
      <c r="B173" s="344"/>
      <c r="C173" s="61">
        <v>5</v>
      </c>
      <c r="D173" s="344"/>
      <c r="E173" s="23" t="s">
        <v>4655</v>
      </c>
      <c r="F173" s="31"/>
      <c r="G173" s="31"/>
      <c r="H173" s="23" t="s">
        <v>4656</v>
      </c>
      <c r="I173" s="23" t="s">
        <v>4657</v>
      </c>
      <c r="J173" s="170"/>
      <c r="K173" s="25"/>
      <c r="L173" s="57"/>
      <c r="M173" s="26"/>
      <c r="N173" s="27"/>
      <c r="O173" s="25"/>
      <c r="P173" s="25"/>
      <c r="Q173" s="25" t="s">
        <v>282</v>
      </c>
      <c r="R173" s="25"/>
      <c r="S173" s="25"/>
      <c r="T173" s="55"/>
      <c r="U173" s="55"/>
      <c r="V173" s="55"/>
      <c r="W173" s="55"/>
      <c r="X173" s="65"/>
      <c r="Y173" s="65"/>
      <c r="Z173" s="65"/>
      <c r="AA173" s="65"/>
    </row>
    <row r="174" spans="1:27" ht="86.25" customHeight="1">
      <c r="A174" s="345"/>
      <c r="B174" s="345"/>
      <c r="C174" s="61">
        <v>6</v>
      </c>
      <c r="D174" s="345"/>
      <c r="E174" s="35" t="s">
        <v>4658</v>
      </c>
      <c r="F174" s="46"/>
      <c r="G174" s="46"/>
      <c r="H174" s="35" t="s">
        <v>4659</v>
      </c>
      <c r="I174" s="35" t="s">
        <v>4660</v>
      </c>
      <c r="J174" s="172"/>
      <c r="K174" s="25"/>
      <c r="L174" s="57"/>
      <c r="M174" s="26"/>
      <c r="N174" s="27"/>
      <c r="O174" s="25"/>
      <c r="P174" s="25"/>
      <c r="Q174" s="25" t="s">
        <v>282</v>
      </c>
      <c r="R174" s="25"/>
      <c r="S174" s="25"/>
      <c r="T174" s="55"/>
      <c r="U174" s="55"/>
      <c r="V174" s="55"/>
      <c r="W174" s="55"/>
      <c r="X174" s="65"/>
      <c r="Y174" s="65"/>
      <c r="Z174" s="65"/>
      <c r="AA174" s="65"/>
    </row>
    <row r="175" spans="1:27" ht="15.75" customHeight="1">
      <c r="A175" s="364" t="s">
        <v>4661</v>
      </c>
      <c r="B175" s="350" t="s">
        <v>4662</v>
      </c>
      <c r="C175" s="61">
        <v>1</v>
      </c>
      <c r="D175" s="355" t="s">
        <v>4663</v>
      </c>
      <c r="E175" s="23" t="s">
        <v>3274</v>
      </c>
      <c r="F175" s="31"/>
      <c r="G175" s="31"/>
      <c r="H175" s="23" t="s">
        <v>3275</v>
      </c>
      <c r="I175" s="23" t="s">
        <v>4664</v>
      </c>
      <c r="J175" s="170"/>
      <c r="K175" s="25"/>
      <c r="L175" s="57"/>
      <c r="M175" s="26"/>
      <c r="N175" s="27"/>
      <c r="O175" s="25"/>
      <c r="P175" s="25"/>
      <c r="Q175" s="25" t="s">
        <v>282</v>
      </c>
      <c r="R175" s="25"/>
      <c r="S175" s="25"/>
      <c r="T175" s="55"/>
      <c r="U175" s="55"/>
      <c r="V175" s="55"/>
      <c r="W175" s="55"/>
      <c r="X175" s="65"/>
      <c r="Y175" s="65"/>
      <c r="Z175" s="65"/>
      <c r="AA175" s="65"/>
    </row>
    <row r="176" spans="1:27" ht="15.75" customHeight="1">
      <c r="A176" s="344"/>
      <c r="B176" s="344"/>
      <c r="C176" s="61">
        <v>2</v>
      </c>
      <c r="D176" s="344"/>
      <c r="E176" s="23" t="s">
        <v>3277</v>
      </c>
      <c r="F176" s="31"/>
      <c r="G176" s="31"/>
      <c r="H176" s="23" t="s">
        <v>3278</v>
      </c>
      <c r="I176" s="23" t="s">
        <v>4665</v>
      </c>
      <c r="J176" s="170"/>
      <c r="K176" s="25"/>
      <c r="L176" s="57"/>
      <c r="M176" s="26"/>
      <c r="N176" s="27"/>
      <c r="O176" s="25"/>
      <c r="P176" s="25"/>
      <c r="Q176" s="25" t="s">
        <v>282</v>
      </c>
      <c r="R176" s="25"/>
      <c r="S176" s="25"/>
      <c r="T176" s="55"/>
      <c r="U176" s="55"/>
      <c r="V176" s="55"/>
      <c r="W176" s="55"/>
      <c r="X176" s="65"/>
      <c r="Y176" s="65"/>
      <c r="Z176" s="65"/>
      <c r="AA176" s="65"/>
    </row>
    <row r="177" spans="1:27" ht="15.75" customHeight="1">
      <c r="A177" s="344"/>
      <c r="B177" s="344"/>
      <c r="C177" s="61">
        <v>3</v>
      </c>
      <c r="D177" s="344"/>
      <c r="E177" s="23" t="s">
        <v>3280</v>
      </c>
      <c r="F177" s="31"/>
      <c r="G177" s="31"/>
      <c r="H177" s="23" t="s">
        <v>3281</v>
      </c>
      <c r="I177" s="23" t="s">
        <v>4666</v>
      </c>
      <c r="J177" s="170"/>
      <c r="K177" s="25"/>
      <c r="L177" s="57"/>
      <c r="M177" s="26"/>
      <c r="N177" s="27"/>
      <c r="O177" s="25"/>
      <c r="P177" s="25"/>
      <c r="Q177" s="25" t="s">
        <v>282</v>
      </c>
      <c r="R177" s="25"/>
      <c r="S177" s="25"/>
      <c r="T177" s="55"/>
      <c r="U177" s="55"/>
      <c r="V177" s="55"/>
      <c r="W177" s="55"/>
      <c r="X177" s="65"/>
      <c r="Y177" s="65"/>
      <c r="Z177" s="65"/>
      <c r="AA177" s="65"/>
    </row>
    <row r="178" spans="1:27" ht="15.75" customHeight="1">
      <c r="A178" s="344"/>
      <c r="B178" s="344"/>
      <c r="C178" s="61">
        <v>4</v>
      </c>
      <c r="D178" s="344"/>
      <c r="E178" s="23" t="s">
        <v>3283</v>
      </c>
      <c r="F178" s="31"/>
      <c r="G178" s="31"/>
      <c r="H178" s="23" t="s">
        <v>3284</v>
      </c>
      <c r="I178" s="23" t="s">
        <v>4667</v>
      </c>
      <c r="J178" s="170"/>
      <c r="K178" s="25"/>
      <c r="L178" s="57"/>
      <c r="M178" s="26"/>
      <c r="N178" s="27"/>
      <c r="O178" s="25"/>
      <c r="P178" s="25"/>
      <c r="Q178" s="25" t="s">
        <v>282</v>
      </c>
      <c r="R178" s="25"/>
      <c r="S178" s="25"/>
      <c r="T178" s="55"/>
      <c r="U178" s="55"/>
      <c r="V178" s="55"/>
      <c r="W178" s="55"/>
      <c r="X178" s="65"/>
      <c r="Y178" s="65"/>
      <c r="Z178" s="65"/>
      <c r="AA178" s="65"/>
    </row>
    <row r="179" spans="1:27" ht="15.75" customHeight="1">
      <c r="A179" s="344"/>
      <c r="B179" s="344"/>
      <c r="C179" s="61">
        <v>5</v>
      </c>
      <c r="D179" s="344"/>
      <c r="E179" s="23" t="s">
        <v>3286</v>
      </c>
      <c r="F179" s="31"/>
      <c r="G179" s="31"/>
      <c r="H179" s="23" t="s">
        <v>3287</v>
      </c>
      <c r="I179" s="23" t="s">
        <v>4668</v>
      </c>
      <c r="J179" s="170"/>
      <c r="K179" s="25"/>
      <c r="L179" s="57"/>
      <c r="M179" s="26"/>
      <c r="N179" s="27"/>
      <c r="O179" s="25"/>
      <c r="P179" s="25"/>
      <c r="Q179" s="25" t="s">
        <v>282</v>
      </c>
      <c r="R179" s="25"/>
      <c r="S179" s="25"/>
      <c r="T179" s="55"/>
      <c r="U179" s="55"/>
      <c r="V179" s="55"/>
      <c r="W179" s="55"/>
      <c r="X179" s="65"/>
      <c r="Y179" s="65"/>
      <c r="Z179" s="65"/>
      <c r="AA179" s="65"/>
    </row>
    <row r="180" spans="1:27" ht="15.75" customHeight="1">
      <c r="A180" s="344"/>
      <c r="B180" s="344"/>
      <c r="C180" s="61">
        <v>6</v>
      </c>
      <c r="D180" s="344"/>
      <c r="E180" s="23" t="s">
        <v>3289</v>
      </c>
      <c r="F180" s="31"/>
      <c r="G180" s="31"/>
      <c r="H180" s="23" t="s">
        <v>3290</v>
      </c>
      <c r="I180" s="23" t="s">
        <v>4669</v>
      </c>
      <c r="J180" s="170"/>
      <c r="K180" s="25"/>
      <c r="L180" s="57"/>
      <c r="M180" s="26"/>
      <c r="N180" s="27"/>
      <c r="O180" s="25"/>
      <c r="P180" s="25"/>
      <c r="Q180" s="25" t="s">
        <v>282</v>
      </c>
      <c r="R180" s="25"/>
      <c r="S180" s="25"/>
      <c r="T180" s="55"/>
      <c r="U180" s="55"/>
      <c r="V180" s="55"/>
      <c r="W180" s="55"/>
      <c r="X180" s="65"/>
      <c r="Y180" s="65"/>
      <c r="Z180" s="65"/>
      <c r="AA180" s="65"/>
    </row>
    <row r="181" spans="1:27" ht="15.75" customHeight="1">
      <c r="A181" s="344"/>
      <c r="B181" s="344"/>
      <c r="C181" s="61">
        <v>7</v>
      </c>
      <c r="D181" s="344"/>
      <c r="E181" s="23" t="s">
        <v>3292</v>
      </c>
      <c r="F181" s="31"/>
      <c r="G181" s="31"/>
      <c r="H181" s="23" t="s">
        <v>3293</v>
      </c>
      <c r="I181" s="23" t="s">
        <v>4670</v>
      </c>
      <c r="J181" s="170"/>
      <c r="K181" s="25"/>
      <c r="L181" s="57"/>
      <c r="M181" s="26"/>
      <c r="N181" s="27"/>
      <c r="O181" s="25"/>
      <c r="P181" s="25"/>
      <c r="Q181" s="25" t="s">
        <v>282</v>
      </c>
      <c r="R181" s="25"/>
      <c r="S181" s="25"/>
      <c r="T181" s="55"/>
      <c r="U181" s="55"/>
      <c r="V181" s="55"/>
      <c r="W181" s="55"/>
      <c r="X181" s="65"/>
      <c r="Y181" s="65"/>
      <c r="Z181" s="65"/>
      <c r="AA181" s="65"/>
    </row>
    <row r="182" spans="1:27" ht="15.75" customHeight="1">
      <c r="A182" s="344"/>
      <c r="B182" s="344"/>
      <c r="C182" s="61">
        <v>8</v>
      </c>
      <c r="D182" s="344"/>
      <c r="E182" s="23" t="s">
        <v>3295</v>
      </c>
      <c r="F182" s="31"/>
      <c r="G182" s="31"/>
      <c r="H182" s="23" t="s">
        <v>3296</v>
      </c>
      <c r="I182" s="23" t="s">
        <v>4671</v>
      </c>
      <c r="J182" s="170"/>
      <c r="K182" s="25"/>
      <c r="L182" s="57"/>
      <c r="M182" s="26"/>
      <c r="N182" s="27"/>
      <c r="O182" s="25"/>
      <c r="P182" s="25"/>
      <c r="Q182" s="25" t="s">
        <v>282</v>
      </c>
      <c r="R182" s="25"/>
      <c r="S182" s="25"/>
      <c r="T182" s="55"/>
      <c r="U182" s="55"/>
      <c r="V182" s="55"/>
      <c r="W182" s="55"/>
      <c r="X182" s="65"/>
      <c r="Y182" s="65"/>
      <c r="Z182" s="65"/>
      <c r="AA182" s="65"/>
    </row>
    <row r="183" spans="1:27" ht="15.75" customHeight="1">
      <c r="A183" s="344"/>
      <c r="B183" s="344"/>
      <c r="C183" s="61">
        <v>9</v>
      </c>
      <c r="D183" s="344"/>
      <c r="E183" s="23" t="s">
        <v>3298</v>
      </c>
      <c r="F183" s="31"/>
      <c r="G183" s="31"/>
      <c r="H183" s="23" t="s">
        <v>3299</v>
      </c>
      <c r="I183" s="23" t="s">
        <v>4672</v>
      </c>
      <c r="J183" s="170"/>
      <c r="K183" s="25"/>
      <c r="L183" s="57"/>
      <c r="M183" s="26"/>
      <c r="N183" s="27"/>
      <c r="O183" s="28"/>
      <c r="P183" s="25"/>
      <c r="Q183" s="25" t="s">
        <v>282</v>
      </c>
      <c r="R183" s="25"/>
      <c r="S183" s="25"/>
      <c r="T183" s="55"/>
      <c r="U183" s="55"/>
      <c r="V183" s="55"/>
      <c r="W183" s="55"/>
      <c r="X183" s="65"/>
      <c r="Y183" s="65"/>
      <c r="Z183" s="65"/>
      <c r="AA183" s="65"/>
    </row>
    <row r="184" spans="1:27" ht="15.75" customHeight="1">
      <c r="A184" s="345"/>
      <c r="B184" s="345"/>
      <c r="C184" s="61">
        <v>10</v>
      </c>
      <c r="D184" s="345"/>
      <c r="E184" s="23" t="s">
        <v>3283</v>
      </c>
      <c r="F184" s="31"/>
      <c r="G184" s="31"/>
      <c r="H184" s="23" t="s">
        <v>3301</v>
      </c>
      <c r="I184" s="23" t="s">
        <v>4673</v>
      </c>
      <c r="J184" s="170"/>
      <c r="K184" s="25"/>
      <c r="L184" s="57"/>
      <c r="M184" s="26"/>
      <c r="N184" s="27"/>
      <c r="O184" s="25"/>
      <c r="P184" s="25"/>
      <c r="Q184" s="25" t="s">
        <v>282</v>
      </c>
      <c r="R184" s="25"/>
      <c r="S184" s="25"/>
      <c r="T184" s="55"/>
      <c r="U184" s="55"/>
      <c r="V184" s="55"/>
      <c r="W184" s="55"/>
      <c r="X184" s="65"/>
      <c r="Y184" s="65"/>
      <c r="Z184" s="65"/>
      <c r="AA184" s="65"/>
    </row>
    <row r="185" spans="1:27" ht="15.75" customHeight="1">
      <c r="A185" s="355" t="s">
        <v>4674</v>
      </c>
      <c r="B185" s="350" t="s">
        <v>4675</v>
      </c>
      <c r="C185" s="61">
        <v>1</v>
      </c>
      <c r="D185" s="355" t="s">
        <v>4676</v>
      </c>
      <c r="E185" s="23" t="s">
        <v>4677</v>
      </c>
      <c r="F185" s="31"/>
      <c r="G185" s="31"/>
      <c r="H185" s="23" t="s">
        <v>4678</v>
      </c>
      <c r="I185" s="23" t="s">
        <v>4679</v>
      </c>
      <c r="J185" s="170"/>
      <c r="K185" s="25"/>
      <c r="L185" s="57"/>
      <c r="M185" s="26"/>
      <c r="N185" s="27"/>
      <c r="O185" s="25"/>
      <c r="P185" s="25"/>
      <c r="Q185" s="25" t="s">
        <v>282</v>
      </c>
      <c r="R185" s="25"/>
      <c r="S185" s="25"/>
      <c r="T185" s="55"/>
      <c r="U185" s="55"/>
      <c r="V185" s="55"/>
      <c r="W185" s="55"/>
      <c r="X185" s="65"/>
      <c r="Y185" s="65"/>
      <c r="Z185" s="65"/>
      <c r="AA185" s="65"/>
    </row>
    <row r="186" spans="1:27" ht="15.75" customHeight="1">
      <c r="A186" s="345"/>
      <c r="B186" s="345"/>
      <c r="C186" s="61">
        <v>2</v>
      </c>
      <c r="D186" s="345"/>
      <c r="E186" s="23" t="s">
        <v>4680</v>
      </c>
      <c r="F186" s="31"/>
      <c r="G186" s="31"/>
      <c r="H186" s="23" t="s">
        <v>4681</v>
      </c>
      <c r="I186" s="23" t="s">
        <v>4682</v>
      </c>
      <c r="J186" s="170"/>
      <c r="K186" s="25"/>
      <c r="L186" s="57"/>
      <c r="M186" s="26"/>
      <c r="N186" s="27"/>
      <c r="O186" s="25"/>
      <c r="P186" s="25"/>
      <c r="Q186" s="25" t="s">
        <v>282</v>
      </c>
      <c r="R186" s="25"/>
      <c r="S186" s="25"/>
      <c r="T186" s="55"/>
      <c r="U186" s="55"/>
      <c r="V186" s="55"/>
      <c r="W186" s="55"/>
      <c r="X186" s="65"/>
      <c r="Y186" s="65"/>
      <c r="Z186" s="65"/>
      <c r="AA186" s="65"/>
    </row>
    <row r="187" spans="1:27" ht="15.75" customHeight="1">
      <c r="A187" s="355" t="s">
        <v>4683</v>
      </c>
      <c r="B187" s="350" t="s">
        <v>4684</v>
      </c>
      <c r="C187" s="61">
        <v>1</v>
      </c>
      <c r="D187" s="355" t="s">
        <v>4685</v>
      </c>
      <c r="E187" s="23" t="s">
        <v>4686</v>
      </c>
      <c r="F187" s="31"/>
      <c r="G187" s="31"/>
      <c r="H187" s="23" t="s">
        <v>4687</v>
      </c>
      <c r="I187" s="23" t="s">
        <v>4688</v>
      </c>
      <c r="J187" s="170"/>
      <c r="K187" s="25"/>
      <c r="L187" s="57"/>
      <c r="M187" s="26"/>
      <c r="N187" s="27"/>
      <c r="O187" s="25"/>
      <c r="P187" s="25"/>
      <c r="Q187" s="25" t="s">
        <v>282</v>
      </c>
      <c r="R187" s="25"/>
      <c r="S187" s="25"/>
      <c r="T187" s="55"/>
      <c r="U187" s="55"/>
      <c r="V187" s="55"/>
      <c r="W187" s="55"/>
      <c r="X187" s="65"/>
      <c r="Y187" s="65"/>
      <c r="Z187" s="65"/>
      <c r="AA187" s="65"/>
    </row>
    <row r="188" spans="1:27" ht="15.75" customHeight="1">
      <c r="A188" s="345"/>
      <c r="B188" s="345"/>
      <c r="C188" s="61">
        <v>2</v>
      </c>
      <c r="D188" s="345"/>
      <c r="E188" s="23" t="s">
        <v>4689</v>
      </c>
      <c r="F188" s="31" t="s">
        <v>327</v>
      </c>
      <c r="G188" s="31" t="s">
        <v>361</v>
      </c>
      <c r="H188" s="23" t="s">
        <v>4690</v>
      </c>
      <c r="I188" s="23" t="s">
        <v>4691</v>
      </c>
      <c r="J188" s="170"/>
      <c r="K188" s="25"/>
      <c r="L188" s="57"/>
      <c r="M188" s="26"/>
      <c r="N188" s="27"/>
      <c r="O188" s="25"/>
      <c r="P188" s="25"/>
      <c r="Q188" s="25" t="s">
        <v>282</v>
      </c>
      <c r="R188" s="25"/>
      <c r="S188" s="25"/>
      <c r="T188" s="55"/>
      <c r="U188" s="55"/>
      <c r="V188" s="55"/>
      <c r="W188" s="55"/>
      <c r="X188" s="65"/>
      <c r="Y188" s="65"/>
      <c r="Z188" s="65"/>
      <c r="AA188" s="65"/>
    </row>
    <row r="189" spans="1:27" ht="15.75" customHeight="1">
      <c r="A189" s="355" t="s">
        <v>4692</v>
      </c>
      <c r="B189" s="350" t="s">
        <v>4693</v>
      </c>
      <c r="C189" s="61">
        <v>1</v>
      </c>
      <c r="D189" s="355" t="s">
        <v>4692</v>
      </c>
      <c r="E189" s="39" t="s">
        <v>4694</v>
      </c>
      <c r="F189" s="31"/>
      <c r="G189" s="31"/>
      <c r="H189" s="23" t="s">
        <v>4695</v>
      </c>
      <c r="I189" s="23" t="s">
        <v>4696</v>
      </c>
      <c r="J189" s="170"/>
      <c r="K189" s="25"/>
      <c r="L189" s="57"/>
      <c r="M189" s="26"/>
      <c r="N189" s="27"/>
      <c r="O189" s="25"/>
      <c r="P189" s="25"/>
      <c r="Q189" s="25" t="s">
        <v>282</v>
      </c>
      <c r="R189" s="25"/>
      <c r="S189" s="25"/>
      <c r="T189" s="55"/>
      <c r="U189" s="55"/>
      <c r="V189" s="55"/>
      <c r="W189" s="55"/>
      <c r="X189" s="65"/>
      <c r="Y189" s="65"/>
      <c r="Z189" s="65"/>
      <c r="AA189" s="65"/>
    </row>
    <row r="190" spans="1:27" ht="15.75" customHeight="1">
      <c r="A190" s="345"/>
      <c r="B190" s="345"/>
      <c r="C190" s="61">
        <v>2</v>
      </c>
      <c r="D190" s="345"/>
      <c r="E190" s="39" t="s">
        <v>4697</v>
      </c>
      <c r="F190" s="31"/>
      <c r="G190" s="31"/>
      <c r="H190" s="23" t="s">
        <v>4698</v>
      </c>
      <c r="I190" s="23" t="s">
        <v>4699</v>
      </c>
      <c r="J190" s="170"/>
      <c r="K190" s="25"/>
      <c r="L190" s="57"/>
      <c r="M190" s="26"/>
      <c r="N190" s="27"/>
      <c r="O190" s="25"/>
      <c r="P190" s="25"/>
      <c r="Q190" s="25" t="s">
        <v>282</v>
      </c>
      <c r="R190" s="25"/>
      <c r="S190" s="25"/>
      <c r="T190" s="55"/>
      <c r="U190" s="55"/>
      <c r="V190" s="55"/>
      <c r="W190" s="55"/>
      <c r="X190" s="65"/>
      <c r="Y190" s="65"/>
      <c r="Z190" s="65"/>
      <c r="AA190" s="65"/>
    </row>
    <row r="191" spans="1:27" ht="15.75" customHeight="1">
      <c r="A191" s="355" t="s">
        <v>4700</v>
      </c>
      <c r="B191" s="350" t="s">
        <v>4701</v>
      </c>
      <c r="C191" s="61">
        <v>1</v>
      </c>
      <c r="D191" s="355" t="s">
        <v>4700</v>
      </c>
      <c r="E191" s="23" t="s">
        <v>4702</v>
      </c>
      <c r="F191" s="31" t="s">
        <v>2</v>
      </c>
      <c r="G191" s="31" t="s">
        <v>2</v>
      </c>
      <c r="H191" s="23" t="s">
        <v>4405</v>
      </c>
      <c r="I191" s="23" t="s">
        <v>4703</v>
      </c>
      <c r="J191" s="170"/>
      <c r="K191" s="25"/>
      <c r="L191" s="57"/>
      <c r="M191" s="26"/>
      <c r="N191" s="27"/>
      <c r="O191" s="25"/>
      <c r="P191" s="25"/>
      <c r="Q191" s="25" t="s">
        <v>282</v>
      </c>
      <c r="R191" s="25"/>
      <c r="S191" s="25"/>
      <c r="T191" s="55"/>
      <c r="U191" s="55"/>
      <c r="V191" s="55"/>
      <c r="W191" s="55"/>
      <c r="X191" s="65"/>
      <c r="Y191" s="65"/>
      <c r="Z191" s="65"/>
      <c r="AA191" s="65"/>
    </row>
    <row r="192" spans="1:27" ht="16.5" customHeight="1">
      <c r="A192" s="345"/>
      <c r="B192" s="345"/>
      <c r="C192" s="61">
        <v>2</v>
      </c>
      <c r="D192" s="345"/>
      <c r="E192" s="23" t="s">
        <v>4704</v>
      </c>
      <c r="F192" s="31" t="s">
        <v>2</v>
      </c>
      <c r="G192" s="31" t="s">
        <v>2</v>
      </c>
      <c r="H192" s="23" t="s">
        <v>4405</v>
      </c>
      <c r="I192" s="23" t="s">
        <v>4705</v>
      </c>
      <c r="J192" s="170"/>
      <c r="K192" s="25"/>
      <c r="L192" s="57"/>
      <c r="M192" s="26"/>
      <c r="N192" s="27"/>
      <c r="O192" s="25"/>
      <c r="P192" s="25"/>
      <c r="Q192" s="25" t="s">
        <v>282</v>
      </c>
      <c r="R192" s="25"/>
      <c r="S192" s="25"/>
      <c r="T192" s="55"/>
      <c r="U192" s="55"/>
      <c r="V192" s="55"/>
      <c r="W192" s="55"/>
      <c r="X192" s="65"/>
      <c r="Y192" s="65"/>
      <c r="Z192" s="65"/>
      <c r="AA192" s="65"/>
    </row>
    <row r="193" spans="1:27" ht="15.75" customHeight="1">
      <c r="A193" s="355" t="s">
        <v>4706</v>
      </c>
      <c r="B193" s="350" t="s">
        <v>157</v>
      </c>
      <c r="C193" s="61">
        <v>1</v>
      </c>
      <c r="D193" s="355" t="s">
        <v>4706</v>
      </c>
      <c r="E193" s="39" t="s">
        <v>4707</v>
      </c>
      <c r="F193" s="31"/>
      <c r="G193" s="31"/>
      <c r="H193" s="23" t="s">
        <v>4708</v>
      </c>
      <c r="I193" s="23" t="s">
        <v>4709</v>
      </c>
      <c r="J193" s="170"/>
      <c r="K193" s="25"/>
      <c r="L193" s="57"/>
      <c r="M193" s="26"/>
      <c r="N193" s="27"/>
      <c r="O193" s="25"/>
      <c r="P193" s="25"/>
      <c r="Q193" s="25" t="s">
        <v>282</v>
      </c>
      <c r="R193" s="25"/>
      <c r="S193" s="25"/>
      <c r="T193" s="55"/>
      <c r="U193" s="55"/>
      <c r="V193" s="55"/>
      <c r="W193" s="55"/>
      <c r="X193" s="65"/>
      <c r="Y193" s="65"/>
      <c r="Z193" s="65"/>
      <c r="AA193" s="65"/>
    </row>
    <row r="194" spans="1:27" ht="16.5" customHeight="1">
      <c r="A194" s="344"/>
      <c r="B194" s="344"/>
      <c r="C194" s="61">
        <v>2</v>
      </c>
      <c r="D194" s="344"/>
      <c r="E194" s="39" t="s">
        <v>4710</v>
      </c>
      <c r="F194" s="31"/>
      <c r="G194" s="31"/>
      <c r="H194" s="23" t="s">
        <v>4711</v>
      </c>
      <c r="I194" s="23" t="s">
        <v>4712</v>
      </c>
      <c r="J194" s="170"/>
      <c r="K194" s="25"/>
      <c r="L194" s="57"/>
      <c r="M194" s="26"/>
      <c r="N194" s="27"/>
      <c r="O194" s="25"/>
      <c r="P194" s="25"/>
      <c r="Q194" s="25" t="s">
        <v>282</v>
      </c>
      <c r="R194" s="25"/>
      <c r="S194" s="25"/>
      <c r="T194" s="55"/>
      <c r="U194" s="55"/>
      <c r="V194" s="55"/>
      <c r="W194" s="55"/>
      <c r="X194" s="65"/>
      <c r="Y194" s="65"/>
      <c r="Z194" s="65"/>
      <c r="AA194" s="65"/>
    </row>
    <row r="195" spans="1:27" ht="16.5" customHeight="1">
      <c r="A195" s="344"/>
      <c r="B195" s="344"/>
      <c r="C195" s="61">
        <v>3</v>
      </c>
      <c r="D195" s="344"/>
      <c r="E195" s="39" t="s">
        <v>4713</v>
      </c>
      <c r="F195" s="31"/>
      <c r="G195" s="31"/>
      <c r="H195" s="23" t="s">
        <v>4714</v>
      </c>
      <c r="I195" s="23" t="s">
        <v>4712</v>
      </c>
      <c r="J195" s="170"/>
      <c r="K195" s="25"/>
      <c r="L195" s="57"/>
      <c r="M195" s="26"/>
      <c r="N195" s="27"/>
      <c r="O195" s="25"/>
      <c r="P195" s="25"/>
      <c r="Q195" s="25" t="s">
        <v>282</v>
      </c>
      <c r="R195" s="25"/>
      <c r="S195" s="25"/>
      <c r="T195" s="55"/>
      <c r="U195" s="55"/>
      <c r="V195" s="55"/>
      <c r="W195" s="55"/>
      <c r="X195" s="65"/>
      <c r="Y195" s="65"/>
      <c r="Z195" s="65"/>
      <c r="AA195" s="65"/>
    </row>
    <row r="196" spans="1:27" ht="15.75" customHeight="1">
      <c r="A196" s="344"/>
      <c r="B196" s="344"/>
      <c r="C196" s="61">
        <v>4</v>
      </c>
      <c r="D196" s="344"/>
      <c r="E196" s="39" t="s">
        <v>4715</v>
      </c>
      <c r="F196" s="31"/>
      <c r="G196" s="31"/>
      <c r="H196" s="23" t="s">
        <v>4716</v>
      </c>
      <c r="I196" s="23" t="s">
        <v>4712</v>
      </c>
      <c r="J196" s="170"/>
      <c r="K196" s="25"/>
      <c r="L196" s="57"/>
      <c r="M196" s="26"/>
      <c r="N196" s="27"/>
      <c r="O196" s="25"/>
      <c r="P196" s="25"/>
      <c r="Q196" s="25" t="s">
        <v>282</v>
      </c>
      <c r="R196" s="25"/>
      <c r="S196" s="25"/>
      <c r="T196" s="55"/>
      <c r="U196" s="55"/>
      <c r="V196" s="55"/>
      <c r="W196" s="55"/>
      <c r="X196" s="65"/>
      <c r="Y196" s="65"/>
      <c r="Z196" s="65"/>
      <c r="AA196" s="65"/>
    </row>
    <row r="197" spans="1:27" ht="16.5" customHeight="1">
      <c r="A197" s="345"/>
      <c r="B197" s="345"/>
      <c r="C197" s="61">
        <v>5</v>
      </c>
      <c r="D197" s="345"/>
      <c r="E197" s="39" t="s">
        <v>4717</v>
      </c>
      <c r="F197" s="31"/>
      <c r="G197" s="31"/>
      <c r="H197" s="23" t="s">
        <v>4718</v>
      </c>
      <c r="I197" s="23" t="s">
        <v>4712</v>
      </c>
      <c r="J197" s="170"/>
      <c r="K197" s="25"/>
      <c r="L197" s="57"/>
      <c r="M197" s="26"/>
      <c r="N197" s="27"/>
      <c r="O197" s="25"/>
      <c r="P197" s="25"/>
      <c r="Q197" s="25" t="s">
        <v>282</v>
      </c>
      <c r="R197" s="25"/>
      <c r="S197" s="25"/>
      <c r="T197" s="55"/>
      <c r="U197" s="55"/>
      <c r="V197" s="55"/>
      <c r="W197" s="55"/>
      <c r="X197" s="65"/>
      <c r="Y197" s="65"/>
      <c r="Z197" s="65"/>
      <c r="AA197" s="65"/>
    </row>
    <row r="198" spans="1:27" ht="15.75" customHeight="1">
      <c r="A198" s="356" t="s">
        <v>4719</v>
      </c>
      <c r="B198" s="360" t="s">
        <v>4720</v>
      </c>
      <c r="C198" s="61">
        <v>1</v>
      </c>
      <c r="D198" s="356" t="s">
        <v>4719</v>
      </c>
      <c r="E198" s="39" t="s">
        <v>4721</v>
      </c>
      <c r="F198" s="31" t="s">
        <v>2</v>
      </c>
      <c r="G198" s="31" t="s">
        <v>2</v>
      </c>
      <c r="H198" s="23" t="s">
        <v>4722</v>
      </c>
      <c r="I198" s="23" t="s">
        <v>4723</v>
      </c>
      <c r="J198" s="170"/>
      <c r="K198" s="25"/>
      <c r="L198" s="57"/>
      <c r="M198" s="26"/>
      <c r="N198" s="27"/>
      <c r="O198" s="25"/>
      <c r="P198" s="25"/>
      <c r="Q198" s="25" t="s">
        <v>282</v>
      </c>
      <c r="R198" s="25"/>
      <c r="S198" s="25"/>
      <c r="T198" s="55"/>
      <c r="U198" s="55"/>
      <c r="V198" s="55"/>
      <c r="W198" s="55"/>
      <c r="X198" s="65"/>
      <c r="Y198" s="65"/>
      <c r="Z198" s="65"/>
      <c r="AA198" s="65"/>
    </row>
    <row r="199" spans="1:27" ht="15.75" customHeight="1">
      <c r="A199" s="345"/>
      <c r="B199" s="345"/>
      <c r="C199" s="61">
        <v>2</v>
      </c>
      <c r="D199" s="345"/>
      <c r="E199" s="39" t="s">
        <v>4724</v>
      </c>
      <c r="F199" s="31" t="s">
        <v>2</v>
      </c>
      <c r="G199" s="31" t="s">
        <v>2</v>
      </c>
      <c r="H199" s="23" t="s">
        <v>4722</v>
      </c>
      <c r="I199" s="23" t="s">
        <v>4723</v>
      </c>
      <c r="J199" s="170"/>
      <c r="K199" s="25"/>
      <c r="L199" s="57"/>
      <c r="M199" s="26"/>
      <c r="N199" s="27"/>
      <c r="O199" s="25"/>
      <c r="P199" s="25"/>
      <c r="Q199" s="25" t="s">
        <v>282</v>
      </c>
      <c r="R199" s="25"/>
      <c r="S199" s="25"/>
      <c r="T199" s="55"/>
      <c r="U199" s="55"/>
      <c r="V199" s="55"/>
      <c r="W199" s="55"/>
      <c r="X199" s="65"/>
      <c r="Y199" s="65"/>
      <c r="Z199" s="65"/>
      <c r="AA199" s="65"/>
    </row>
    <row r="200" spans="1:27" ht="69" customHeight="1">
      <c r="A200" s="63" t="s">
        <v>4725</v>
      </c>
      <c r="B200" s="61" t="s">
        <v>246</v>
      </c>
      <c r="C200" s="61">
        <v>1</v>
      </c>
      <c r="D200" s="63" t="s">
        <v>4726</v>
      </c>
      <c r="E200" s="109" t="s">
        <v>4727</v>
      </c>
      <c r="F200" s="61" t="s">
        <v>361</v>
      </c>
      <c r="G200" s="61" t="s">
        <v>327</v>
      </c>
      <c r="H200" s="63" t="s">
        <v>4728</v>
      </c>
      <c r="I200" s="63" t="s">
        <v>4729</v>
      </c>
      <c r="J200" s="171"/>
      <c r="K200" s="25"/>
      <c r="L200" s="57"/>
      <c r="M200" s="26"/>
      <c r="N200" s="222"/>
      <c r="O200" s="25"/>
      <c r="P200" s="25"/>
      <c r="Q200" s="25" t="s">
        <v>282</v>
      </c>
      <c r="R200" s="25"/>
      <c r="S200" s="25"/>
      <c r="T200" s="186"/>
      <c r="U200" s="186"/>
      <c r="V200" s="186"/>
      <c r="W200" s="186"/>
      <c r="X200" s="187"/>
      <c r="Y200" s="187"/>
      <c r="Z200" s="187"/>
      <c r="AA200" s="187"/>
    </row>
    <row r="201" spans="1:27" ht="15.75" customHeight="1">
      <c r="A201" s="355" t="s">
        <v>4730</v>
      </c>
      <c r="B201" s="350" t="s">
        <v>277</v>
      </c>
      <c r="C201" s="61">
        <v>1</v>
      </c>
      <c r="D201" s="355" t="s">
        <v>4730</v>
      </c>
      <c r="E201" s="359" t="s">
        <v>4731</v>
      </c>
      <c r="F201" s="31" t="s">
        <v>361</v>
      </c>
      <c r="G201" s="31" t="s">
        <v>327</v>
      </c>
      <c r="H201" s="39" t="s">
        <v>4732</v>
      </c>
      <c r="I201" s="23" t="s">
        <v>4733</v>
      </c>
      <c r="J201" s="170"/>
      <c r="K201" s="25"/>
      <c r="L201" s="57"/>
      <c r="M201" s="43"/>
      <c r="N201" s="55"/>
      <c r="O201" s="25"/>
      <c r="P201" s="25"/>
      <c r="Q201" s="25" t="s">
        <v>282</v>
      </c>
      <c r="R201" s="25"/>
      <c r="S201" s="25"/>
      <c r="T201" s="55"/>
      <c r="U201" s="55"/>
      <c r="V201" s="55"/>
      <c r="W201" s="55"/>
      <c r="X201" s="65"/>
      <c r="Y201" s="65"/>
      <c r="Z201" s="65"/>
      <c r="AA201" s="65"/>
    </row>
    <row r="202" spans="1:27" ht="27" customHeight="1">
      <c r="A202" s="344"/>
      <c r="B202" s="344"/>
      <c r="C202" s="61">
        <v>2</v>
      </c>
      <c r="D202" s="344"/>
      <c r="E202" s="345"/>
      <c r="F202" s="31" t="s">
        <v>361</v>
      </c>
      <c r="G202" s="31" t="s">
        <v>327</v>
      </c>
      <c r="H202" s="39" t="s">
        <v>4734</v>
      </c>
      <c r="I202" s="23" t="s">
        <v>4735</v>
      </c>
      <c r="J202" s="170"/>
      <c r="K202" s="25"/>
      <c r="L202" s="57"/>
      <c r="M202" s="43"/>
      <c r="N202" s="55"/>
      <c r="O202" s="25"/>
      <c r="P202" s="25"/>
      <c r="Q202" s="25" t="s">
        <v>282</v>
      </c>
      <c r="R202" s="25"/>
      <c r="S202" s="25"/>
      <c r="T202" s="55"/>
      <c r="U202" s="55"/>
      <c r="V202" s="55"/>
      <c r="W202" s="55"/>
      <c r="X202" s="65"/>
      <c r="Y202" s="65"/>
      <c r="Z202" s="65"/>
      <c r="AA202" s="65"/>
    </row>
    <row r="203" spans="1:27" ht="15.75" customHeight="1">
      <c r="A203" s="344"/>
      <c r="B203" s="344"/>
      <c r="C203" s="61">
        <v>3</v>
      </c>
      <c r="D203" s="344"/>
      <c r="E203" s="392" t="s">
        <v>4736</v>
      </c>
      <c r="F203" s="31" t="s">
        <v>361</v>
      </c>
      <c r="G203" s="31" t="s">
        <v>327</v>
      </c>
      <c r="H203" s="73" t="s">
        <v>4732</v>
      </c>
      <c r="I203" s="35" t="s">
        <v>4737</v>
      </c>
      <c r="J203" s="172"/>
      <c r="K203" s="25"/>
      <c r="L203" s="57"/>
      <c r="M203" s="43"/>
      <c r="N203" s="55"/>
      <c r="O203" s="25"/>
      <c r="P203" s="25"/>
      <c r="Q203" s="25" t="s">
        <v>282</v>
      </c>
      <c r="R203" s="25"/>
      <c r="S203" s="25"/>
      <c r="T203" s="55"/>
      <c r="U203" s="55"/>
      <c r="V203" s="55"/>
      <c r="W203" s="55"/>
      <c r="X203" s="65"/>
      <c r="Y203" s="65"/>
      <c r="Z203" s="65"/>
      <c r="AA203" s="65"/>
    </row>
    <row r="204" spans="1:27" ht="26.25" customHeight="1">
      <c r="A204" s="344"/>
      <c r="B204" s="344"/>
      <c r="C204" s="61">
        <v>4</v>
      </c>
      <c r="D204" s="344"/>
      <c r="E204" s="345"/>
      <c r="F204" s="31" t="s">
        <v>361</v>
      </c>
      <c r="G204" s="31" t="s">
        <v>327</v>
      </c>
      <c r="H204" s="39" t="s">
        <v>4734</v>
      </c>
      <c r="I204" s="23" t="s">
        <v>4738</v>
      </c>
      <c r="J204" s="170"/>
      <c r="K204" s="25"/>
      <c r="L204" s="57"/>
      <c r="M204" s="43"/>
      <c r="N204" s="55"/>
      <c r="O204" s="25"/>
      <c r="P204" s="25"/>
      <c r="Q204" s="25" t="s">
        <v>282</v>
      </c>
      <c r="R204" s="25"/>
      <c r="S204" s="25"/>
      <c r="T204" s="55"/>
      <c r="U204" s="55"/>
      <c r="V204" s="55"/>
      <c r="W204" s="55"/>
      <c r="X204" s="65"/>
      <c r="Y204" s="65"/>
      <c r="Z204" s="65"/>
      <c r="AA204" s="65"/>
    </row>
    <row r="205" spans="1:27" ht="15.75" customHeight="1">
      <c r="A205" s="344"/>
      <c r="B205" s="344"/>
      <c r="C205" s="61">
        <v>5</v>
      </c>
      <c r="D205" s="344"/>
      <c r="E205" s="39" t="s">
        <v>4739</v>
      </c>
      <c r="F205" s="31" t="s">
        <v>361</v>
      </c>
      <c r="G205" s="31" t="s">
        <v>327</v>
      </c>
      <c r="H205" s="39" t="s">
        <v>4732</v>
      </c>
      <c r="I205" s="23" t="s">
        <v>4740</v>
      </c>
      <c r="J205" s="170"/>
      <c r="K205" s="25"/>
      <c r="L205" s="57"/>
      <c r="M205" s="43"/>
      <c r="N205" s="223"/>
      <c r="O205" s="25"/>
      <c r="P205" s="25"/>
      <c r="Q205" s="25" t="s">
        <v>282</v>
      </c>
      <c r="R205" s="25"/>
      <c r="S205" s="25"/>
      <c r="T205" s="55"/>
      <c r="U205" s="55"/>
      <c r="V205" s="55"/>
      <c r="W205" s="55"/>
      <c r="X205" s="65"/>
      <c r="Y205" s="65"/>
      <c r="Z205" s="65"/>
      <c r="AA205" s="65"/>
    </row>
    <row r="206" spans="1:27" ht="15.75" customHeight="1">
      <c r="A206" s="344"/>
      <c r="B206" s="344"/>
      <c r="C206" s="61">
        <v>6</v>
      </c>
      <c r="D206" s="344"/>
      <c r="E206" s="39" t="s">
        <v>4741</v>
      </c>
      <c r="F206" s="31" t="s">
        <v>361</v>
      </c>
      <c r="G206" s="31" t="s">
        <v>327</v>
      </c>
      <c r="H206" s="39" t="s">
        <v>4732</v>
      </c>
      <c r="I206" s="23" t="s">
        <v>4740</v>
      </c>
      <c r="J206" s="170"/>
      <c r="K206" s="25"/>
      <c r="L206" s="57"/>
      <c r="M206" s="43"/>
      <c r="N206" s="55"/>
      <c r="O206" s="25"/>
      <c r="P206" s="25"/>
      <c r="Q206" s="25" t="s">
        <v>282</v>
      </c>
      <c r="R206" s="25"/>
      <c r="S206" s="25"/>
      <c r="T206" s="55"/>
      <c r="U206" s="55"/>
      <c r="V206" s="55"/>
      <c r="W206" s="55"/>
      <c r="X206" s="65"/>
      <c r="Y206" s="65"/>
      <c r="Z206" s="65"/>
      <c r="AA206" s="65"/>
    </row>
    <row r="207" spans="1:27" ht="15.75" customHeight="1">
      <c r="A207" s="344"/>
      <c r="B207" s="344"/>
      <c r="C207" s="61">
        <v>7</v>
      </c>
      <c r="D207" s="344"/>
      <c r="E207" s="39" t="s">
        <v>4742</v>
      </c>
      <c r="F207" s="31" t="s">
        <v>361</v>
      </c>
      <c r="G207" s="31" t="s">
        <v>327</v>
      </c>
      <c r="H207" s="39" t="s">
        <v>4732</v>
      </c>
      <c r="I207" s="23" t="s">
        <v>4740</v>
      </c>
      <c r="J207" s="170"/>
      <c r="K207" s="25"/>
      <c r="L207" s="57"/>
      <c r="M207" s="43"/>
      <c r="N207" s="55"/>
      <c r="O207" s="25"/>
      <c r="P207" s="25"/>
      <c r="Q207" s="25" t="s">
        <v>282</v>
      </c>
      <c r="R207" s="25"/>
      <c r="S207" s="25"/>
      <c r="T207" s="55"/>
      <c r="U207" s="55"/>
      <c r="V207" s="55"/>
      <c r="W207" s="55"/>
      <c r="X207" s="65"/>
      <c r="Y207" s="65"/>
      <c r="Z207" s="65"/>
      <c r="AA207" s="65"/>
    </row>
    <row r="208" spans="1:27" ht="15.75" customHeight="1">
      <c r="A208" s="344"/>
      <c r="B208" s="344"/>
      <c r="C208" s="61">
        <v>8</v>
      </c>
      <c r="D208" s="344"/>
      <c r="E208" s="39" t="s">
        <v>4743</v>
      </c>
      <c r="F208" s="31" t="s">
        <v>361</v>
      </c>
      <c r="G208" s="31" t="s">
        <v>327</v>
      </c>
      <c r="H208" s="39" t="s">
        <v>4732</v>
      </c>
      <c r="I208" s="23" t="s">
        <v>4740</v>
      </c>
      <c r="J208" s="170"/>
      <c r="K208" s="25"/>
      <c r="L208" s="57"/>
      <c r="M208" s="43"/>
      <c r="N208" s="55"/>
      <c r="O208" s="25"/>
      <c r="P208" s="25"/>
      <c r="Q208" s="25" t="s">
        <v>282</v>
      </c>
      <c r="R208" s="25"/>
      <c r="S208" s="25"/>
      <c r="T208" s="55"/>
      <c r="U208" s="55"/>
      <c r="V208" s="55"/>
      <c r="W208" s="55"/>
      <c r="X208" s="65"/>
      <c r="Y208" s="65"/>
      <c r="Z208" s="65"/>
      <c r="AA208" s="65"/>
    </row>
    <row r="209" spans="1:27" ht="15.75" customHeight="1">
      <c r="A209" s="344"/>
      <c r="B209" s="344"/>
      <c r="C209" s="61">
        <v>9</v>
      </c>
      <c r="D209" s="344"/>
      <c r="E209" s="73" t="s">
        <v>4744</v>
      </c>
      <c r="F209" s="46" t="s">
        <v>361</v>
      </c>
      <c r="G209" s="46" t="s">
        <v>327</v>
      </c>
      <c r="H209" s="73" t="s">
        <v>4732</v>
      </c>
      <c r="I209" s="35" t="s">
        <v>4740</v>
      </c>
      <c r="J209" s="172"/>
      <c r="K209" s="25"/>
      <c r="L209" s="57"/>
      <c r="M209" s="43"/>
      <c r="N209" s="55"/>
      <c r="O209" s="25"/>
      <c r="P209" s="25"/>
      <c r="Q209" s="25" t="s">
        <v>282</v>
      </c>
      <c r="R209" s="25"/>
      <c r="S209" s="25"/>
      <c r="T209" s="55"/>
      <c r="U209" s="55"/>
      <c r="V209" s="55"/>
      <c r="W209" s="55"/>
      <c r="X209" s="65"/>
      <c r="Y209" s="65"/>
      <c r="Z209" s="65"/>
      <c r="AA209" s="65"/>
    </row>
    <row r="210" spans="1:27" ht="15.75" customHeight="1">
      <c r="A210" s="344"/>
      <c r="B210" s="344"/>
      <c r="C210" s="61">
        <v>10</v>
      </c>
      <c r="D210" s="344"/>
      <c r="E210" s="73" t="s">
        <v>4745</v>
      </c>
      <c r="F210" s="46" t="s">
        <v>361</v>
      </c>
      <c r="G210" s="46" t="s">
        <v>327</v>
      </c>
      <c r="H210" s="73" t="s">
        <v>4732</v>
      </c>
      <c r="I210" s="35" t="s">
        <v>4740</v>
      </c>
      <c r="J210" s="172"/>
      <c r="K210" s="25"/>
      <c r="L210" s="57"/>
      <c r="M210" s="43"/>
      <c r="N210" s="55"/>
      <c r="O210" s="25"/>
      <c r="P210" s="25"/>
      <c r="Q210" s="25" t="s">
        <v>282</v>
      </c>
      <c r="R210" s="25"/>
      <c r="S210" s="25"/>
      <c r="T210" s="55"/>
      <c r="U210" s="55"/>
      <c r="V210" s="55"/>
      <c r="W210" s="55"/>
      <c r="X210" s="65"/>
      <c r="Y210" s="65"/>
      <c r="Z210" s="65"/>
      <c r="AA210" s="65"/>
    </row>
    <row r="211" spans="1:27" ht="15.75" customHeight="1">
      <c r="A211" s="345"/>
      <c r="B211" s="345"/>
      <c r="C211" s="61">
        <v>11</v>
      </c>
      <c r="D211" s="345"/>
      <c r="E211" s="73" t="s">
        <v>4746</v>
      </c>
      <c r="F211" s="46" t="s">
        <v>361</v>
      </c>
      <c r="G211" s="46" t="s">
        <v>327</v>
      </c>
      <c r="H211" s="73" t="s">
        <v>4732</v>
      </c>
      <c r="I211" s="35" t="s">
        <v>4740</v>
      </c>
      <c r="J211" s="172"/>
      <c r="K211" s="25"/>
      <c r="L211" s="57"/>
      <c r="M211" s="43"/>
      <c r="N211" s="55"/>
      <c r="O211" s="25"/>
      <c r="P211" s="25"/>
      <c r="Q211" s="25" t="s">
        <v>282</v>
      </c>
      <c r="R211" s="25"/>
      <c r="S211" s="25"/>
      <c r="T211" s="55"/>
      <c r="U211" s="55"/>
      <c r="V211" s="55"/>
      <c r="W211" s="55"/>
      <c r="X211" s="65"/>
      <c r="Y211" s="65"/>
      <c r="Z211" s="65"/>
      <c r="AA211" s="65"/>
    </row>
    <row r="212" spans="1:27" ht="15.75" customHeight="1">
      <c r="A212" s="355" t="s">
        <v>4747</v>
      </c>
      <c r="B212" s="350" t="s">
        <v>4748</v>
      </c>
      <c r="C212" s="61">
        <v>1</v>
      </c>
      <c r="D212" s="355" t="s">
        <v>4749</v>
      </c>
      <c r="E212" s="39" t="s">
        <v>4750</v>
      </c>
      <c r="F212" s="31" t="s">
        <v>326</v>
      </c>
      <c r="G212" s="31" t="s">
        <v>524</v>
      </c>
      <c r="H212" s="39" t="s">
        <v>4454</v>
      </c>
      <c r="I212" s="39" t="s">
        <v>4751</v>
      </c>
      <c r="J212" s="289"/>
      <c r="K212" s="25"/>
      <c r="L212" s="57"/>
      <c r="M212" s="43"/>
      <c r="N212" s="79"/>
      <c r="O212" s="25"/>
      <c r="P212" s="25"/>
      <c r="Q212" s="25" t="s">
        <v>282</v>
      </c>
      <c r="R212" s="25"/>
      <c r="S212" s="25"/>
      <c r="T212" s="55"/>
      <c r="U212" s="55"/>
      <c r="V212" s="55"/>
      <c r="W212" s="55"/>
      <c r="X212" s="65"/>
      <c r="Y212" s="65"/>
      <c r="Z212" s="65"/>
      <c r="AA212" s="65"/>
    </row>
    <row r="213" spans="1:27" ht="15.75" customHeight="1">
      <c r="A213" s="345"/>
      <c r="B213" s="345"/>
      <c r="C213" s="61">
        <v>2</v>
      </c>
      <c r="D213" s="345"/>
      <c r="E213" s="39" t="s">
        <v>4752</v>
      </c>
      <c r="F213" s="31" t="s">
        <v>326</v>
      </c>
      <c r="G213" s="31" t="s">
        <v>327</v>
      </c>
      <c r="H213" s="39" t="s">
        <v>4456</v>
      </c>
      <c r="I213" s="39" t="s">
        <v>4753</v>
      </c>
      <c r="J213" s="289"/>
      <c r="K213" s="25"/>
      <c r="L213" s="57"/>
      <c r="M213" s="43"/>
      <c r="N213" s="79"/>
      <c r="O213" s="25"/>
      <c r="P213" s="25"/>
      <c r="Q213" s="25" t="s">
        <v>282</v>
      </c>
      <c r="R213" s="25" t="s">
        <v>7</v>
      </c>
      <c r="S213" s="25"/>
      <c r="T213" s="55"/>
      <c r="U213" s="55"/>
      <c r="V213" s="55"/>
      <c r="W213" s="55"/>
      <c r="X213" s="65"/>
      <c r="Y213" s="65"/>
      <c r="Z213" s="65"/>
      <c r="AA213" s="65"/>
    </row>
    <row r="214" spans="1:27" ht="15.75" customHeight="1">
      <c r="A214" s="355" t="s">
        <v>4754</v>
      </c>
      <c r="B214" s="350" t="s">
        <v>4755</v>
      </c>
      <c r="C214" s="61">
        <v>1</v>
      </c>
      <c r="D214" s="355" t="s">
        <v>4756</v>
      </c>
      <c r="E214" s="39" t="s">
        <v>4757</v>
      </c>
      <c r="F214" s="31" t="s">
        <v>326</v>
      </c>
      <c r="G214" s="31" t="s">
        <v>524</v>
      </c>
      <c r="H214" s="39" t="s">
        <v>4458</v>
      </c>
      <c r="I214" s="39" t="s">
        <v>4751</v>
      </c>
      <c r="J214" s="289"/>
      <c r="K214" s="25"/>
      <c r="L214" s="57"/>
      <c r="M214" s="43"/>
      <c r="N214" s="79"/>
      <c r="O214" s="25"/>
      <c r="P214" s="25"/>
      <c r="Q214" s="25" t="s">
        <v>282</v>
      </c>
      <c r="R214" s="25"/>
      <c r="S214" s="25"/>
      <c r="T214" s="55"/>
      <c r="U214" s="55"/>
      <c r="V214" s="55"/>
      <c r="W214" s="55"/>
      <c r="X214" s="65"/>
      <c r="Y214" s="65"/>
      <c r="Z214" s="65"/>
      <c r="AA214" s="65"/>
    </row>
    <row r="215" spans="1:27" ht="15.75" customHeight="1">
      <c r="A215" s="345"/>
      <c r="B215" s="345"/>
      <c r="C215" s="61">
        <v>2</v>
      </c>
      <c r="D215" s="345"/>
      <c r="E215" s="39" t="s">
        <v>4758</v>
      </c>
      <c r="F215" s="31" t="s">
        <v>326</v>
      </c>
      <c r="G215" s="31" t="s">
        <v>327</v>
      </c>
      <c r="H215" s="39" t="s">
        <v>4459</v>
      </c>
      <c r="I215" s="39" t="s">
        <v>4759</v>
      </c>
      <c r="J215" s="289"/>
      <c r="K215" s="25"/>
      <c r="L215" s="57"/>
      <c r="M215" s="43"/>
      <c r="N215" s="79"/>
      <c r="O215" s="25"/>
      <c r="P215" s="25"/>
      <c r="Q215" s="25" t="s">
        <v>282</v>
      </c>
      <c r="R215" s="25" t="s">
        <v>7</v>
      </c>
      <c r="S215" s="25"/>
      <c r="T215" s="55"/>
      <c r="U215" s="55"/>
      <c r="V215" s="55"/>
      <c r="W215" s="55"/>
      <c r="X215" s="65"/>
      <c r="Y215" s="65"/>
      <c r="Z215" s="65"/>
      <c r="AA215" s="65"/>
    </row>
    <row r="216" spans="1:27" ht="15.75" customHeight="1">
      <c r="A216" s="355" t="s">
        <v>4760</v>
      </c>
      <c r="B216" s="350" t="s">
        <v>4761</v>
      </c>
      <c r="C216" s="61">
        <v>1</v>
      </c>
      <c r="D216" s="355" t="s">
        <v>4762</v>
      </c>
      <c r="E216" s="39" t="s">
        <v>4763</v>
      </c>
      <c r="F216" s="31" t="s">
        <v>326</v>
      </c>
      <c r="G216" s="31" t="s">
        <v>524</v>
      </c>
      <c r="H216" s="39" t="s">
        <v>4461</v>
      </c>
      <c r="I216" s="39" t="s">
        <v>4751</v>
      </c>
      <c r="J216" s="289"/>
      <c r="K216" s="25"/>
      <c r="L216" s="57"/>
      <c r="M216" s="43"/>
      <c r="N216" s="79"/>
      <c r="O216" s="25"/>
      <c r="P216" s="25"/>
      <c r="Q216" s="25" t="s">
        <v>282</v>
      </c>
      <c r="R216" s="25"/>
      <c r="S216" s="25"/>
      <c r="T216" s="55"/>
      <c r="U216" s="55"/>
      <c r="V216" s="55"/>
      <c r="W216" s="55"/>
      <c r="X216" s="65"/>
      <c r="Y216" s="65"/>
      <c r="Z216" s="65"/>
      <c r="AA216" s="65"/>
    </row>
    <row r="217" spans="1:27" ht="15.75" customHeight="1">
      <c r="A217" s="345"/>
      <c r="B217" s="345"/>
      <c r="C217" s="61">
        <v>2</v>
      </c>
      <c r="D217" s="345"/>
      <c r="E217" s="39" t="s">
        <v>4764</v>
      </c>
      <c r="F217" s="31" t="s">
        <v>326</v>
      </c>
      <c r="G217" s="31" t="s">
        <v>327</v>
      </c>
      <c r="H217" s="39" t="s">
        <v>4462</v>
      </c>
      <c r="I217" s="39" t="s">
        <v>4759</v>
      </c>
      <c r="J217" s="289"/>
      <c r="K217" s="25"/>
      <c r="L217" s="57"/>
      <c r="M217" s="43"/>
      <c r="N217" s="79"/>
      <c r="O217" s="25"/>
      <c r="P217" s="25"/>
      <c r="Q217" s="25" t="s">
        <v>282</v>
      </c>
      <c r="R217" s="25" t="s">
        <v>7</v>
      </c>
      <c r="S217" s="25"/>
      <c r="T217" s="55"/>
      <c r="U217" s="55"/>
      <c r="V217" s="55"/>
      <c r="W217" s="55"/>
      <c r="X217" s="65"/>
      <c r="Y217" s="65"/>
      <c r="Z217" s="65"/>
      <c r="AA217" s="65"/>
    </row>
    <row r="218" spans="1:27" ht="15.75" customHeight="1">
      <c r="A218" s="355" t="s">
        <v>4765</v>
      </c>
      <c r="B218" s="350" t="s">
        <v>4766</v>
      </c>
      <c r="C218" s="61">
        <v>1</v>
      </c>
      <c r="D218" s="355" t="s">
        <v>4767</v>
      </c>
      <c r="E218" s="39" t="s">
        <v>4768</v>
      </c>
      <c r="F218" s="31" t="s">
        <v>326</v>
      </c>
      <c r="G218" s="31" t="s">
        <v>524</v>
      </c>
      <c r="H218" s="39" t="s">
        <v>4769</v>
      </c>
      <c r="I218" s="39" t="s">
        <v>4751</v>
      </c>
      <c r="J218" s="289"/>
      <c r="K218" s="25"/>
      <c r="L218" s="57"/>
      <c r="M218" s="43"/>
      <c r="N218" s="79"/>
      <c r="O218" s="25"/>
      <c r="P218" s="25"/>
      <c r="Q218" s="25" t="s">
        <v>282</v>
      </c>
      <c r="R218" s="25"/>
      <c r="S218" s="25"/>
      <c r="T218" s="55"/>
      <c r="U218" s="55"/>
      <c r="V218" s="55"/>
      <c r="W218" s="55"/>
      <c r="X218" s="65"/>
      <c r="Y218" s="65"/>
      <c r="Z218" s="65"/>
      <c r="AA218" s="65"/>
    </row>
    <row r="219" spans="1:27" ht="15.75" customHeight="1">
      <c r="A219" s="345"/>
      <c r="B219" s="345"/>
      <c r="C219" s="61">
        <v>2</v>
      </c>
      <c r="D219" s="345"/>
      <c r="E219" s="39" t="s">
        <v>4770</v>
      </c>
      <c r="F219" s="31" t="s">
        <v>326</v>
      </c>
      <c r="G219" s="31" t="s">
        <v>327</v>
      </c>
      <c r="H219" s="39" t="s">
        <v>4771</v>
      </c>
      <c r="I219" s="39" t="s">
        <v>4759</v>
      </c>
      <c r="J219" s="289"/>
      <c r="K219" s="25"/>
      <c r="L219" s="57"/>
      <c r="M219" s="43"/>
      <c r="N219" s="79"/>
      <c r="O219" s="25"/>
      <c r="P219" s="25"/>
      <c r="Q219" s="25" t="s">
        <v>282</v>
      </c>
      <c r="R219" s="25" t="s">
        <v>7</v>
      </c>
      <c r="S219" s="25"/>
      <c r="T219" s="55"/>
      <c r="U219" s="55"/>
      <c r="V219" s="55"/>
      <c r="W219" s="55"/>
      <c r="X219" s="65"/>
      <c r="Y219" s="65"/>
      <c r="Z219" s="65"/>
      <c r="AA219" s="65"/>
    </row>
    <row r="220" spans="1:27" ht="15.75" customHeight="1">
      <c r="A220" s="23" t="s">
        <v>4772</v>
      </c>
      <c r="B220" s="31" t="s">
        <v>4773</v>
      </c>
      <c r="C220" s="61">
        <v>1</v>
      </c>
      <c r="D220" s="23" t="s">
        <v>4774</v>
      </c>
      <c r="E220" s="39" t="s">
        <v>4775</v>
      </c>
      <c r="F220" s="31" t="s">
        <v>326</v>
      </c>
      <c r="G220" s="31" t="s">
        <v>327</v>
      </c>
      <c r="H220" s="39" t="s">
        <v>4776</v>
      </c>
      <c r="I220" s="39" t="s">
        <v>4759</v>
      </c>
      <c r="J220" s="289"/>
      <c r="K220" s="25"/>
      <c r="L220" s="57"/>
      <c r="M220" s="43"/>
      <c r="N220" s="79"/>
      <c r="O220" s="25"/>
      <c r="P220" s="25"/>
      <c r="Q220" s="25" t="s">
        <v>282</v>
      </c>
      <c r="R220" s="25" t="s">
        <v>7</v>
      </c>
      <c r="S220" s="25"/>
      <c r="T220" s="55"/>
      <c r="U220" s="55"/>
      <c r="V220" s="55"/>
      <c r="W220" s="55"/>
      <c r="X220" s="65"/>
      <c r="Y220" s="65"/>
      <c r="Z220" s="65"/>
      <c r="AA220" s="65"/>
    </row>
    <row r="221" spans="1:27" ht="15.75" customHeight="1">
      <c r="A221" s="175" t="s">
        <v>4777</v>
      </c>
      <c r="B221" s="86" t="s">
        <v>209</v>
      </c>
      <c r="C221" s="86">
        <v>1</v>
      </c>
      <c r="D221" s="175" t="s">
        <v>4778</v>
      </c>
      <c r="E221" s="181" t="s">
        <v>4779</v>
      </c>
      <c r="F221" s="86" t="s">
        <v>326</v>
      </c>
      <c r="G221" s="86" t="s">
        <v>327</v>
      </c>
      <c r="H221" s="181" t="s">
        <v>4780</v>
      </c>
      <c r="I221" s="109" t="s">
        <v>4781</v>
      </c>
      <c r="J221" s="109"/>
      <c r="K221" s="25"/>
      <c r="L221" s="57"/>
      <c r="M221" s="43"/>
      <c r="N221" s="79"/>
      <c r="O221" s="25"/>
      <c r="P221" s="25"/>
      <c r="Q221" s="25" t="s">
        <v>282</v>
      </c>
      <c r="R221" s="25" t="s">
        <v>305</v>
      </c>
      <c r="S221" s="25"/>
      <c r="T221" s="55"/>
      <c r="U221" s="55"/>
      <c r="V221" s="55"/>
      <c r="W221" s="55"/>
      <c r="X221" s="65"/>
      <c r="Y221" s="65"/>
      <c r="Z221" s="65"/>
      <c r="AA221" s="65"/>
    </row>
    <row r="222" spans="1:27" ht="15.75" customHeight="1">
      <c r="A222" s="355" t="s">
        <v>4782</v>
      </c>
      <c r="B222" s="363" t="s">
        <v>4783</v>
      </c>
      <c r="C222" s="61">
        <v>1</v>
      </c>
      <c r="D222" s="364" t="s">
        <v>4784</v>
      </c>
      <c r="E222" s="73" t="s">
        <v>4750</v>
      </c>
      <c r="F222" s="46" t="s">
        <v>326</v>
      </c>
      <c r="G222" s="46" t="s">
        <v>524</v>
      </c>
      <c r="H222" s="73" t="s">
        <v>4454</v>
      </c>
      <c r="I222" s="73" t="s">
        <v>4785</v>
      </c>
      <c r="J222" s="79"/>
      <c r="K222" s="25"/>
      <c r="L222" s="57"/>
      <c r="M222" s="43"/>
      <c r="N222" s="79"/>
      <c r="O222" s="25"/>
      <c r="P222" s="25"/>
      <c r="Q222" s="25" t="s">
        <v>282</v>
      </c>
      <c r="R222" s="25" t="s">
        <v>297</v>
      </c>
      <c r="S222" s="25"/>
      <c r="T222" s="55"/>
      <c r="U222" s="55"/>
      <c r="V222" s="55"/>
      <c r="W222" s="55"/>
      <c r="X222" s="65"/>
      <c r="Y222" s="65"/>
      <c r="Z222" s="65"/>
      <c r="AA222" s="65"/>
    </row>
    <row r="223" spans="1:27" ht="15.75" customHeight="1">
      <c r="A223" s="345"/>
      <c r="B223" s="345"/>
      <c r="C223" s="61">
        <v>2</v>
      </c>
      <c r="D223" s="345"/>
      <c r="E223" s="73" t="s">
        <v>4752</v>
      </c>
      <c r="F223" s="46" t="s">
        <v>326</v>
      </c>
      <c r="G223" s="46" t="s">
        <v>327</v>
      </c>
      <c r="H223" s="73" t="s">
        <v>4456</v>
      </c>
      <c r="I223" s="73" t="s">
        <v>4786</v>
      </c>
      <c r="J223" s="79"/>
      <c r="K223" s="25"/>
      <c r="L223" s="57"/>
      <c r="M223" s="43"/>
      <c r="N223" s="79"/>
      <c r="O223" s="25"/>
      <c r="P223" s="25"/>
      <c r="Q223" s="25" t="s">
        <v>282</v>
      </c>
      <c r="R223" s="25" t="s">
        <v>297</v>
      </c>
      <c r="S223" s="25"/>
      <c r="T223" s="55"/>
      <c r="U223" s="55"/>
      <c r="V223" s="55"/>
      <c r="W223" s="55"/>
      <c r="X223" s="65"/>
      <c r="Y223" s="65"/>
      <c r="Z223" s="65"/>
      <c r="AA223" s="65"/>
    </row>
    <row r="224" spans="1:27" ht="15.75" customHeight="1">
      <c r="A224" s="355" t="s">
        <v>4782</v>
      </c>
      <c r="B224" s="363" t="s">
        <v>4787</v>
      </c>
      <c r="C224" s="61">
        <v>1</v>
      </c>
      <c r="D224" s="364" t="s">
        <v>4788</v>
      </c>
      <c r="E224" s="73" t="s">
        <v>4757</v>
      </c>
      <c r="F224" s="46" t="s">
        <v>326</v>
      </c>
      <c r="G224" s="46" t="s">
        <v>524</v>
      </c>
      <c r="H224" s="73" t="s">
        <v>4458</v>
      </c>
      <c r="I224" s="73" t="s">
        <v>4785</v>
      </c>
      <c r="J224" s="79"/>
      <c r="K224" s="25"/>
      <c r="L224" s="57"/>
      <c r="M224" s="43"/>
      <c r="N224" s="79"/>
      <c r="O224" s="25"/>
      <c r="P224" s="25"/>
      <c r="Q224" s="25" t="s">
        <v>282</v>
      </c>
      <c r="R224" s="25" t="s">
        <v>297</v>
      </c>
      <c r="S224" s="25"/>
      <c r="T224" s="55"/>
      <c r="U224" s="55"/>
      <c r="V224" s="55"/>
      <c r="W224" s="55"/>
      <c r="X224" s="65"/>
      <c r="Y224" s="65"/>
      <c r="Z224" s="65"/>
      <c r="AA224" s="65"/>
    </row>
    <row r="225" spans="1:27" ht="15.75" customHeight="1">
      <c r="A225" s="345"/>
      <c r="B225" s="345"/>
      <c r="C225" s="61">
        <v>2</v>
      </c>
      <c r="D225" s="345"/>
      <c r="E225" s="73" t="s">
        <v>4758</v>
      </c>
      <c r="F225" s="46" t="s">
        <v>326</v>
      </c>
      <c r="G225" s="46" t="s">
        <v>327</v>
      </c>
      <c r="H225" s="73" t="s">
        <v>4459</v>
      </c>
      <c r="I225" s="73" t="s">
        <v>4789</v>
      </c>
      <c r="J225" s="79"/>
      <c r="K225" s="25"/>
      <c r="L225" s="57"/>
      <c r="M225" s="43"/>
      <c r="N225" s="79"/>
      <c r="O225" s="25"/>
      <c r="P225" s="25"/>
      <c r="Q225" s="25" t="s">
        <v>282</v>
      </c>
      <c r="R225" s="25" t="s">
        <v>297</v>
      </c>
      <c r="S225" s="25"/>
      <c r="T225" s="55"/>
      <c r="U225" s="55"/>
      <c r="V225" s="55"/>
      <c r="W225" s="55"/>
      <c r="X225" s="65"/>
      <c r="Y225" s="65"/>
      <c r="Z225" s="65"/>
      <c r="AA225" s="65"/>
    </row>
    <row r="226" spans="1:27" ht="15.75" customHeight="1">
      <c r="A226" s="355" t="s">
        <v>4782</v>
      </c>
      <c r="B226" s="363" t="s">
        <v>4790</v>
      </c>
      <c r="C226" s="61">
        <v>1</v>
      </c>
      <c r="D226" s="364" t="s">
        <v>4791</v>
      </c>
      <c r="E226" s="73" t="s">
        <v>4763</v>
      </c>
      <c r="F226" s="46" t="s">
        <v>326</v>
      </c>
      <c r="G226" s="46" t="s">
        <v>524</v>
      </c>
      <c r="H226" s="73" t="s">
        <v>4461</v>
      </c>
      <c r="I226" s="73" t="s">
        <v>4785</v>
      </c>
      <c r="J226" s="79"/>
      <c r="K226" s="25"/>
      <c r="L226" s="57"/>
      <c r="M226" s="43"/>
      <c r="N226" s="79"/>
      <c r="O226" s="25"/>
      <c r="P226" s="25"/>
      <c r="Q226" s="25" t="s">
        <v>282</v>
      </c>
      <c r="R226" s="25" t="s">
        <v>297</v>
      </c>
      <c r="S226" s="25"/>
      <c r="T226" s="55"/>
      <c r="U226" s="55"/>
      <c r="V226" s="55"/>
      <c r="W226" s="55"/>
      <c r="X226" s="65"/>
      <c r="Y226" s="65"/>
      <c r="Z226" s="65"/>
      <c r="AA226" s="65"/>
    </row>
    <row r="227" spans="1:27" ht="15.75" customHeight="1">
      <c r="A227" s="345"/>
      <c r="B227" s="345"/>
      <c r="C227" s="61">
        <v>2</v>
      </c>
      <c r="D227" s="345"/>
      <c r="E227" s="73" t="s">
        <v>4764</v>
      </c>
      <c r="F227" s="46" t="s">
        <v>326</v>
      </c>
      <c r="G227" s="46" t="s">
        <v>327</v>
      </c>
      <c r="H227" s="73" t="s">
        <v>4462</v>
      </c>
      <c r="I227" s="73" t="s">
        <v>4789</v>
      </c>
      <c r="J227" s="79"/>
      <c r="K227" s="25"/>
      <c r="L227" s="57"/>
      <c r="M227" s="43"/>
      <c r="N227" s="79"/>
      <c r="O227" s="25"/>
      <c r="P227" s="25"/>
      <c r="Q227" s="25" t="s">
        <v>282</v>
      </c>
      <c r="R227" s="25" t="s">
        <v>297</v>
      </c>
      <c r="S227" s="25"/>
      <c r="T227" s="55"/>
      <c r="U227" s="55"/>
      <c r="V227" s="55"/>
      <c r="W227" s="55"/>
      <c r="X227" s="65"/>
      <c r="Y227" s="65"/>
      <c r="Z227" s="65"/>
      <c r="AA227" s="65"/>
    </row>
    <row r="228" spans="1:27" ht="15.75" customHeight="1">
      <c r="A228" s="58" t="s">
        <v>4782</v>
      </c>
      <c r="B228" s="74" t="s">
        <v>4792</v>
      </c>
      <c r="C228" s="61">
        <v>1</v>
      </c>
      <c r="D228" s="47" t="s">
        <v>4793</v>
      </c>
      <c r="E228" s="73" t="s">
        <v>4768</v>
      </c>
      <c r="F228" s="46" t="s">
        <v>326</v>
      </c>
      <c r="G228" s="46" t="s">
        <v>524</v>
      </c>
      <c r="H228" s="73" t="s">
        <v>4769</v>
      </c>
      <c r="I228" s="73" t="s">
        <v>4785</v>
      </c>
      <c r="J228" s="79"/>
      <c r="K228" s="25"/>
      <c r="L228" s="57"/>
      <c r="M228" s="132"/>
      <c r="N228" s="79"/>
      <c r="O228" s="25"/>
      <c r="P228" s="25"/>
      <c r="Q228" s="25" t="s">
        <v>282</v>
      </c>
      <c r="R228" s="25" t="s">
        <v>297</v>
      </c>
      <c r="S228" s="25"/>
      <c r="T228" s="55"/>
      <c r="U228" s="55"/>
      <c r="V228" s="55"/>
      <c r="W228" s="55"/>
      <c r="X228" s="65"/>
      <c r="Y228" s="65"/>
      <c r="Z228" s="65"/>
      <c r="AA228" s="65"/>
    </row>
    <row r="229" spans="1:27" ht="15.75" customHeight="1">
      <c r="A229" s="23" t="s">
        <v>4782</v>
      </c>
      <c r="B229" s="46" t="s">
        <v>4794</v>
      </c>
      <c r="C229" s="61">
        <v>1</v>
      </c>
      <c r="D229" s="35" t="s">
        <v>4795</v>
      </c>
      <c r="E229" s="73" t="s">
        <v>4775</v>
      </c>
      <c r="F229" s="46" t="s">
        <v>326</v>
      </c>
      <c r="G229" s="46" t="s">
        <v>327</v>
      </c>
      <c r="H229" s="73" t="s">
        <v>4776</v>
      </c>
      <c r="I229" s="73" t="s">
        <v>4789</v>
      </c>
      <c r="J229" s="79"/>
      <c r="K229" s="25"/>
      <c r="L229" s="57"/>
      <c r="M229" s="43"/>
      <c r="N229" s="79"/>
      <c r="O229" s="25"/>
      <c r="P229" s="25"/>
      <c r="Q229" s="25" t="s">
        <v>282</v>
      </c>
      <c r="R229" s="25" t="s">
        <v>297</v>
      </c>
      <c r="S229" s="25"/>
      <c r="T229" s="55"/>
      <c r="U229" s="55"/>
      <c r="V229" s="55"/>
      <c r="W229" s="55"/>
      <c r="X229" s="65"/>
      <c r="Y229" s="65"/>
      <c r="Z229" s="65"/>
      <c r="AA229" s="65"/>
    </row>
    <row r="230" spans="1:27" ht="15.75" customHeight="1">
      <c r="A230" s="175" t="s">
        <v>4782</v>
      </c>
      <c r="B230" s="86" t="s">
        <v>210</v>
      </c>
      <c r="C230" s="86">
        <v>1</v>
      </c>
      <c r="D230" s="175" t="s">
        <v>4796</v>
      </c>
      <c r="E230" s="181" t="s">
        <v>4797</v>
      </c>
      <c r="F230" s="86" t="s">
        <v>326</v>
      </c>
      <c r="G230" s="86" t="s">
        <v>327</v>
      </c>
      <c r="H230" s="181" t="s">
        <v>4798</v>
      </c>
      <c r="I230" s="109" t="s">
        <v>4799</v>
      </c>
      <c r="J230" s="109"/>
      <c r="K230" s="25"/>
      <c r="L230" s="57"/>
      <c r="M230" s="43"/>
      <c r="N230" s="55"/>
      <c r="O230" s="25"/>
      <c r="P230" s="25"/>
      <c r="Q230" s="25" t="s">
        <v>282</v>
      </c>
      <c r="R230" s="25" t="s">
        <v>305</v>
      </c>
      <c r="S230" s="25"/>
      <c r="T230" s="55"/>
      <c r="U230" s="55"/>
      <c r="V230" s="55"/>
      <c r="W230" s="55"/>
      <c r="X230" s="65"/>
      <c r="Y230" s="65"/>
      <c r="Z230" s="65"/>
      <c r="AA230" s="65"/>
    </row>
    <row r="231" spans="1:27" ht="15.75" customHeight="1">
      <c r="A231" s="351" t="s">
        <v>4800</v>
      </c>
      <c r="B231" s="354" t="s">
        <v>243</v>
      </c>
      <c r="C231" s="86">
        <v>1</v>
      </c>
      <c r="D231" s="351" t="s">
        <v>4801</v>
      </c>
      <c r="E231" s="181" t="s">
        <v>4750</v>
      </c>
      <c r="F231" s="86" t="s">
        <v>326</v>
      </c>
      <c r="G231" s="86" t="s">
        <v>524</v>
      </c>
      <c r="H231" s="181" t="s">
        <v>4454</v>
      </c>
      <c r="I231" s="73" t="s">
        <v>4802</v>
      </c>
      <c r="J231" s="79"/>
      <c r="K231" s="25"/>
      <c r="L231" s="57"/>
      <c r="M231" s="43"/>
      <c r="N231" s="79"/>
      <c r="O231" s="25"/>
      <c r="P231" s="25"/>
      <c r="Q231" s="25" t="s">
        <v>282</v>
      </c>
      <c r="R231" s="25" t="s">
        <v>308</v>
      </c>
      <c r="S231" s="25"/>
      <c r="T231" s="55"/>
      <c r="U231" s="55"/>
      <c r="V231" s="55"/>
      <c r="W231" s="55"/>
      <c r="X231" s="65"/>
      <c r="Y231" s="65"/>
      <c r="Z231" s="65"/>
      <c r="AA231" s="65"/>
    </row>
    <row r="232" spans="1:27" ht="15.75" customHeight="1">
      <c r="A232" s="353"/>
      <c r="B232" s="353"/>
      <c r="C232" s="86">
        <v>2</v>
      </c>
      <c r="D232" s="353"/>
      <c r="E232" s="181" t="s">
        <v>4752</v>
      </c>
      <c r="F232" s="86" t="s">
        <v>326</v>
      </c>
      <c r="G232" s="86" t="s">
        <v>327</v>
      </c>
      <c r="H232" s="181" t="s">
        <v>4456</v>
      </c>
      <c r="I232" s="73" t="s">
        <v>4803</v>
      </c>
      <c r="J232" s="79"/>
      <c r="K232" s="25"/>
      <c r="L232" s="57"/>
      <c r="M232" s="43"/>
      <c r="N232" s="79"/>
      <c r="O232" s="25"/>
      <c r="P232" s="25"/>
      <c r="Q232" s="25" t="s">
        <v>282</v>
      </c>
      <c r="R232" s="25" t="s">
        <v>308</v>
      </c>
      <c r="S232" s="25"/>
      <c r="T232" s="55"/>
      <c r="U232" s="55"/>
      <c r="V232" s="55"/>
      <c r="W232" s="55"/>
      <c r="X232" s="65"/>
      <c r="Y232" s="65"/>
      <c r="Z232" s="65"/>
      <c r="AA232" s="65"/>
    </row>
    <row r="233" spans="1:27" ht="15.75" customHeight="1">
      <c r="A233" s="351" t="s">
        <v>4800</v>
      </c>
      <c r="B233" s="354" t="s">
        <v>244</v>
      </c>
      <c r="C233" s="86">
        <v>1</v>
      </c>
      <c r="D233" s="351" t="s">
        <v>4804</v>
      </c>
      <c r="E233" s="181" t="s">
        <v>4757</v>
      </c>
      <c r="F233" s="86" t="s">
        <v>326</v>
      </c>
      <c r="G233" s="86" t="s">
        <v>524</v>
      </c>
      <c r="H233" s="181" t="s">
        <v>4458</v>
      </c>
      <c r="I233" s="73" t="s">
        <v>4802</v>
      </c>
      <c r="J233" s="79"/>
      <c r="K233" s="25"/>
      <c r="L233" s="57"/>
      <c r="M233" s="43"/>
      <c r="N233" s="79"/>
      <c r="O233" s="25"/>
      <c r="P233" s="25"/>
      <c r="Q233" s="25" t="s">
        <v>282</v>
      </c>
      <c r="R233" s="25" t="s">
        <v>308</v>
      </c>
      <c r="S233" s="25"/>
      <c r="T233" s="55"/>
      <c r="U233" s="55"/>
      <c r="V233" s="55"/>
      <c r="W233" s="55"/>
      <c r="X233" s="65"/>
      <c r="Y233" s="65"/>
      <c r="Z233" s="65"/>
      <c r="AA233" s="65"/>
    </row>
    <row r="234" spans="1:27" ht="15.75" customHeight="1">
      <c r="A234" s="353"/>
      <c r="B234" s="353"/>
      <c r="C234" s="86">
        <v>2</v>
      </c>
      <c r="D234" s="353"/>
      <c r="E234" s="181" t="s">
        <v>4758</v>
      </c>
      <c r="F234" s="86" t="s">
        <v>326</v>
      </c>
      <c r="G234" s="86" t="s">
        <v>327</v>
      </c>
      <c r="H234" s="181" t="s">
        <v>4459</v>
      </c>
      <c r="I234" s="73" t="s">
        <v>4805</v>
      </c>
      <c r="J234" s="79"/>
      <c r="K234" s="25"/>
      <c r="L234" s="57"/>
      <c r="M234" s="43"/>
      <c r="N234" s="79"/>
      <c r="O234" s="25"/>
      <c r="P234" s="25"/>
      <c r="Q234" s="25" t="s">
        <v>282</v>
      </c>
      <c r="R234" s="25" t="s">
        <v>308</v>
      </c>
      <c r="S234" s="25"/>
      <c r="T234" s="55"/>
      <c r="U234" s="55"/>
      <c r="V234" s="55"/>
      <c r="W234" s="55"/>
      <c r="X234" s="65"/>
      <c r="Y234" s="65"/>
      <c r="Z234" s="65"/>
      <c r="AA234" s="65"/>
    </row>
    <row r="235" spans="1:27" ht="15.75" customHeight="1">
      <c r="A235" s="351" t="s">
        <v>4800</v>
      </c>
      <c r="B235" s="354" t="s">
        <v>245</v>
      </c>
      <c r="C235" s="86">
        <v>1</v>
      </c>
      <c r="D235" s="351" t="s">
        <v>4806</v>
      </c>
      <c r="E235" s="181" t="s">
        <v>4763</v>
      </c>
      <c r="F235" s="86" t="s">
        <v>326</v>
      </c>
      <c r="G235" s="86" t="s">
        <v>524</v>
      </c>
      <c r="H235" s="181" t="s">
        <v>4461</v>
      </c>
      <c r="I235" s="73" t="s">
        <v>4802</v>
      </c>
      <c r="J235" s="79"/>
      <c r="K235" s="25"/>
      <c r="L235" s="57"/>
      <c r="M235" s="43"/>
      <c r="N235" s="79"/>
      <c r="O235" s="25"/>
      <c r="P235" s="25"/>
      <c r="Q235" s="25" t="s">
        <v>282</v>
      </c>
      <c r="R235" s="25" t="s">
        <v>308</v>
      </c>
      <c r="S235" s="25"/>
      <c r="T235" s="55"/>
      <c r="U235" s="55"/>
      <c r="V235" s="55"/>
      <c r="W235" s="55"/>
      <c r="X235" s="65"/>
      <c r="Y235" s="65"/>
      <c r="Z235" s="65"/>
      <c r="AA235" s="65"/>
    </row>
    <row r="236" spans="1:27" ht="15.75" customHeight="1">
      <c r="A236" s="353"/>
      <c r="B236" s="353"/>
      <c r="C236" s="86">
        <v>2</v>
      </c>
      <c r="D236" s="353"/>
      <c r="E236" s="181" t="s">
        <v>4764</v>
      </c>
      <c r="F236" s="86" t="s">
        <v>326</v>
      </c>
      <c r="G236" s="86" t="s">
        <v>327</v>
      </c>
      <c r="H236" s="181" t="s">
        <v>4462</v>
      </c>
      <c r="I236" s="73" t="s">
        <v>4805</v>
      </c>
      <c r="J236" s="79"/>
      <c r="K236" s="25"/>
      <c r="L236" s="57"/>
      <c r="M236" s="43"/>
      <c r="N236" s="79"/>
      <c r="O236" s="25"/>
      <c r="P236" s="25"/>
      <c r="Q236" s="25" t="s">
        <v>282</v>
      </c>
      <c r="R236" s="25" t="s">
        <v>308</v>
      </c>
      <c r="S236" s="25"/>
      <c r="T236" s="55"/>
      <c r="U236" s="55"/>
      <c r="V236" s="55"/>
      <c r="W236" s="55"/>
      <c r="X236" s="65"/>
      <c r="Y236" s="65"/>
      <c r="Z236" s="65"/>
      <c r="AA236" s="65"/>
    </row>
    <row r="237" spans="1:27" ht="15.75" customHeight="1">
      <c r="A237" s="351" t="s">
        <v>4800</v>
      </c>
      <c r="B237" s="354" t="s">
        <v>246</v>
      </c>
      <c r="C237" s="86">
        <v>1</v>
      </c>
      <c r="D237" s="351" t="s">
        <v>4807</v>
      </c>
      <c r="E237" s="181" t="s">
        <v>4808</v>
      </c>
      <c r="F237" s="86" t="s">
        <v>326</v>
      </c>
      <c r="G237" s="86" t="s">
        <v>524</v>
      </c>
      <c r="H237" s="181" t="s">
        <v>4809</v>
      </c>
      <c r="I237" s="73" t="s">
        <v>4805</v>
      </c>
      <c r="J237" s="79"/>
      <c r="K237" s="25"/>
      <c r="L237" s="57"/>
      <c r="M237" s="43"/>
      <c r="N237" s="79"/>
      <c r="O237" s="25"/>
      <c r="P237" s="25"/>
      <c r="Q237" s="25" t="s">
        <v>282</v>
      </c>
      <c r="R237" s="25" t="s">
        <v>308</v>
      </c>
      <c r="S237" s="25"/>
      <c r="T237" s="55"/>
      <c r="U237" s="55"/>
      <c r="V237" s="55"/>
      <c r="W237" s="55"/>
      <c r="X237" s="65"/>
      <c r="Y237" s="65"/>
      <c r="Z237" s="65"/>
      <c r="AA237" s="65"/>
    </row>
    <row r="238" spans="1:27" ht="15.75" customHeight="1">
      <c r="A238" s="353"/>
      <c r="B238" s="353"/>
      <c r="C238" s="86">
        <v>2</v>
      </c>
      <c r="D238" s="353"/>
      <c r="E238" s="181" t="s">
        <v>4810</v>
      </c>
      <c r="F238" s="86" t="s">
        <v>326</v>
      </c>
      <c r="G238" s="86" t="s">
        <v>327</v>
      </c>
      <c r="H238" s="181" t="s">
        <v>4811</v>
      </c>
      <c r="I238" s="73" t="s">
        <v>4812</v>
      </c>
      <c r="J238" s="79"/>
      <c r="K238" s="25"/>
      <c r="L238" s="57"/>
      <c r="M238" s="43"/>
      <c r="N238" s="79"/>
      <c r="O238" s="25"/>
      <c r="P238" s="25"/>
      <c r="Q238" s="25" t="s">
        <v>282</v>
      </c>
      <c r="R238" s="25" t="s">
        <v>308</v>
      </c>
      <c r="S238" s="25"/>
      <c r="T238" s="55"/>
      <c r="U238" s="55"/>
      <c r="V238" s="55"/>
      <c r="W238" s="55"/>
      <c r="X238" s="65"/>
      <c r="Y238" s="65"/>
      <c r="Z238" s="65"/>
      <c r="AA238" s="65"/>
    </row>
    <row r="239" spans="1:27" ht="15.75" customHeight="1">
      <c r="A239" s="175" t="s">
        <v>4800</v>
      </c>
      <c r="B239" s="86" t="s">
        <v>247</v>
      </c>
      <c r="C239" s="86">
        <v>1</v>
      </c>
      <c r="D239" s="175" t="s">
        <v>4813</v>
      </c>
      <c r="E239" s="181" t="s">
        <v>4768</v>
      </c>
      <c r="F239" s="86" t="s">
        <v>326</v>
      </c>
      <c r="G239" s="86" t="s">
        <v>524</v>
      </c>
      <c r="H239" s="181" t="s">
        <v>4769</v>
      </c>
      <c r="I239" s="73" t="s">
        <v>4802</v>
      </c>
      <c r="J239" s="79"/>
      <c r="K239" s="25"/>
      <c r="L239" s="57"/>
      <c r="M239" s="132"/>
      <c r="N239" s="79"/>
      <c r="O239" s="25"/>
      <c r="P239" s="25"/>
      <c r="Q239" s="25" t="s">
        <v>282</v>
      </c>
      <c r="R239" s="25" t="s">
        <v>308</v>
      </c>
      <c r="S239" s="25"/>
      <c r="T239" s="55"/>
      <c r="U239" s="55"/>
      <c r="V239" s="55"/>
      <c r="W239" s="55"/>
      <c r="X239" s="65"/>
      <c r="Y239" s="65"/>
      <c r="Z239" s="65"/>
      <c r="AA239" s="65"/>
    </row>
    <row r="240" spans="1:27" ht="15.75" customHeight="1">
      <c r="A240" s="175" t="s">
        <v>4800</v>
      </c>
      <c r="B240" s="86" t="s">
        <v>248</v>
      </c>
      <c r="C240" s="86">
        <v>1</v>
      </c>
      <c r="D240" s="175" t="s">
        <v>4814</v>
      </c>
      <c r="E240" s="181" t="s">
        <v>4775</v>
      </c>
      <c r="F240" s="86" t="s">
        <v>326</v>
      </c>
      <c r="G240" s="86" t="s">
        <v>327</v>
      </c>
      <c r="H240" s="181" t="s">
        <v>4776</v>
      </c>
      <c r="I240" s="73" t="s">
        <v>4805</v>
      </c>
      <c r="J240" s="79"/>
      <c r="K240" s="25"/>
      <c r="L240" s="57"/>
      <c r="M240" s="43"/>
      <c r="N240" s="79"/>
      <c r="O240" s="25"/>
      <c r="P240" s="25"/>
      <c r="Q240" s="25" t="s">
        <v>282</v>
      </c>
      <c r="R240" s="25" t="s">
        <v>308</v>
      </c>
      <c r="S240" s="25"/>
      <c r="T240" s="55"/>
      <c r="U240" s="55"/>
      <c r="V240" s="55"/>
      <c r="W240" s="55"/>
      <c r="X240" s="65"/>
      <c r="Y240" s="65"/>
      <c r="Z240" s="65"/>
      <c r="AA240" s="65"/>
    </row>
    <row r="241" spans="1:27" ht="15.75" customHeight="1">
      <c r="A241" s="23" t="s">
        <v>4815</v>
      </c>
      <c r="B241" s="360" t="s">
        <v>38</v>
      </c>
      <c r="C241" s="74">
        <v>1</v>
      </c>
      <c r="D241" s="364" t="s">
        <v>4816</v>
      </c>
      <c r="E241" s="80" t="s">
        <v>4817</v>
      </c>
      <c r="F241" s="74" t="s">
        <v>361</v>
      </c>
      <c r="G241" s="74" t="s">
        <v>327</v>
      </c>
      <c r="H241" s="80" t="s">
        <v>4818</v>
      </c>
      <c r="I241" s="63" t="s">
        <v>4819</v>
      </c>
      <c r="J241" s="171"/>
      <c r="K241" s="25"/>
      <c r="L241" s="57"/>
      <c r="M241" s="43"/>
      <c r="N241" s="223"/>
      <c r="O241" s="28" t="s">
        <v>140</v>
      </c>
      <c r="P241" s="25"/>
      <c r="Q241" s="25" t="s">
        <v>282</v>
      </c>
      <c r="R241" s="25"/>
      <c r="S241" s="25"/>
      <c r="T241" s="55"/>
      <c r="U241" s="55"/>
      <c r="V241" s="55"/>
      <c r="W241" s="55"/>
      <c r="X241" s="65"/>
      <c r="Y241" s="65"/>
      <c r="Z241" s="65"/>
      <c r="AA241" s="65"/>
    </row>
    <row r="242" spans="1:27" ht="15.75" customHeight="1">
      <c r="A242" s="355" t="s">
        <v>4820</v>
      </c>
      <c r="B242" s="344"/>
      <c r="C242" s="74">
        <v>2</v>
      </c>
      <c r="D242" s="344"/>
      <c r="E242" s="80" t="s">
        <v>4821</v>
      </c>
      <c r="F242" s="74" t="s">
        <v>361</v>
      </c>
      <c r="G242" s="74" t="s">
        <v>327</v>
      </c>
      <c r="H242" s="80" t="s">
        <v>4822</v>
      </c>
      <c r="I242" s="109" t="s">
        <v>4823</v>
      </c>
      <c r="J242" s="109"/>
      <c r="K242" s="25"/>
      <c r="L242" s="57"/>
      <c r="M242" s="43"/>
      <c r="N242" s="223"/>
      <c r="O242" s="25"/>
      <c r="P242" s="25"/>
      <c r="Q242" s="25" t="s">
        <v>282</v>
      </c>
      <c r="R242" s="25"/>
      <c r="S242" s="25"/>
      <c r="T242" s="55"/>
      <c r="U242" s="55"/>
      <c r="V242" s="55"/>
      <c r="W242" s="55"/>
      <c r="X242" s="65"/>
      <c r="Y242" s="65"/>
      <c r="Z242" s="65"/>
      <c r="AA242" s="65"/>
    </row>
    <row r="243" spans="1:27" ht="15.75" customHeight="1">
      <c r="A243" s="344"/>
      <c r="B243" s="344"/>
      <c r="C243" s="74">
        <v>3</v>
      </c>
      <c r="D243" s="344"/>
      <c r="E243" s="80" t="s">
        <v>4824</v>
      </c>
      <c r="F243" s="74" t="s">
        <v>361</v>
      </c>
      <c r="G243" s="74" t="s">
        <v>327</v>
      </c>
      <c r="H243" s="80" t="s">
        <v>4825</v>
      </c>
      <c r="I243" s="109" t="s">
        <v>4823</v>
      </c>
      <c r="J243" s="109"/>
      <c r="K243" s="25"/>
      <c r="L243" s="57"/>
      <c r="M243" s="43"/>
      <c r="N243" s="223"/>
      <c r="O243" s="25"/>
      <c r="P243" s="25"/>
      <c r="Q243" s="25" t="s">
        <v>282</v>
      </c>
      <c r="R243" s="25"/>
      <c r="S243" s="25"/>
      <c r="T243" s="55"/>
      <c r="U243" s="55"/>
      <c r="V243" s="55"/>
      <c r="W243" s="55"/>
      <c r="X243" s="65"/>
      <c r="Y243" s="65"/>
      <c r="Z243" s="65"/>
      <c r="AA243" s="65"/>
    </row>
    <row r="244" spans="1:27" ht="15.75" customHeight="1">
      <c r="A244" s="345"/>
      <c r="B244" s="344"/>
      <c r="C244" s="74">
        <v>4</v>
      </c>
      <c r="D244" s="344"/>
      <c r="E244" s="80" t="s">
        <v>4826</v>
      </c>
      <c r="F244" s="74" t="s">
        <v>361</v>
      </c>
      <c r="G244" s="74" t="s">
        <v>327</v>
      </c>
      <c r="H244" s="80" t="s">
        <v>4827</v>
      </c>
      <c r="I244" s="109" t="s">
        <v>4823</v>
      </c>
      <c r="J244" s="109"/>
      <c r="K244" s="25"/>
      <c r="L244" s="57"/>
      <c r="M244" s="43"/>
      <c r="N244" s="223"/>
      <c r="O244" s="25"/>
      <c r="P244" s="25"/>
      <c r="Q244" s="25" t="s">
        <v>282</v>
      </c>
      <c r="R244" s="25"/>
      <c r="S244" s="25"/>
      <c r="T244" s="55"/>
      <c r="U244" s="55"/>
      <c r="V244" s="55"/>
      <c r="W244" s="55"/>
      <c r="X244" s="65"/>
      <c r="Y244" s="65"/>
      <c r="Z244" s="65"/>
      <c r="AA244" s="65"/>
    </row>
    <row r="245" spans="1:27" ht="15.75" customHeight="1">
      <c r="A245" s="23" t="s">
        <v>4828</v>
      </c>
      <c r="B245" s="344"/>
      <c r="C245" s="74">
        <v>5</v>
      </c>
      <c r="D245" s="344"/>
      <c r="E245" s="80" t="s">
        <v>4829</v>
      </c>
      <c r="F245" s="74" t="s">
        <v>361</v>
      </c>
      <c r="G245" s="74" t="s">
        <v>327</v>
      </c>
      <c r="H245" s="80" t="s">
        <v>4830</v>
      </c>
      <c r="I245" s="109" t="s">
        <v>4831</v>
      </c>
      <c r="J245" s="109"/>
      <c r="K245" s="25"/>
      <c r="L245" s="57"/>
      <c r="M245" s="43"/>
      <c r="N245" s="223"/>
      <c r="O245" s="25"/>
      <c r="P245" s="25"/>
      <c r="Q245" s="25" t="s">
        <v>282</v>
      </c>
      <c r="R245" s="25"/>
      <c r="S245" s="25"/>
      <c r="T245" s="55"/>
      <c r="U245" s="55"/>
      <c r="V245" s="55"/>
      <c r="W245" s="55"/>
      <c r="X245" s="65"/>
      <c r="Y245" s="65"/>
      <c r="Z245" s="65"/>
      <c r="AA245" s="65"/>
    </row>
    <row r="246" spans="1:27" ht="15.75" customHeight="1">
      <c r="A246" s="355" t="s">
        <v>4832</v>
      </c>
      <c r="B246" s="344"/>
      <c r="C246" s="74">
        <v>6</v>
      </c>
      <c r="D246" s="344"/>
      <c r="E246" s="80" t="s">
        <v>4833</v>
      </c>
      <c r="F246" s="74" t="s">
        <v>361</v>
      </c>
      <c r="G246" s="74" t="s">
        <v>327</v>
      </c>
      <c r="H246" s="80" t="s">
        <v>4834</v>
      </c>
      <c r="I246" s="109" t="s">
        <v>4835</v>
      </c>
      <c r="J246" s="109"/>
      <c r="K246" s="25"/>
      <c r="L246" s="57"/>
      <c r="M246" s="43"/>
      <c r="N246" s="223"/>
      <c r="O246" s="25"/>
      <c r="P246" s="25"/>
      <c r="Q246" s="25" t="s">
        <v>282</v>
      </c>
      <c r="R246" s="25"/>
      <c r="S246" s="25"/>
      <c r="T246" s="55"/>
      <c r="U246" s="55"/>
      <c r="V246" s="55"/>
      <c r="W246" s="55"/>
      <c r="X246" s="65"/>
      <c r="Y246" s="65"/>
      <c r="Z246" s="65"/>
      <c r="AA246" s="65"/>
    </row>
    <row r="247" spans="1:27" ht="15.75" customHeight="1">
      <c r="A247" s="344"/>
      <c r="B247" s="344"/>
      <c r="C247" s="74">
        <v>7</v>
      </c>
      <c r="D247" s="344"/>
      <c r="E247" s="80" t="s">
        <v>4836</v>
      </c>
      <c r="F247" s="74" t="s">
        <v>361</v>
      </c>
      <c r="G247" s="74" t="s">
        <v>327</v>
      </c>
      <c r="H247" s="80" t="s">
        <v>4837</v>
      </c>
      <c r="I247" s="73" t="s">
        <v>4838</v>
      </c>
      <c r="J247" s="79"/>
      <c r="K247" s="25"/>
      <c r="L247" s="57"/>
      <c r="M247" s="43"/>
      <c r="N247" s="223"/>
      <c r="O247" s="25"/>
      <c r="P247" s="25"/>
      <c r="Q247" s="25" t="s">
        <v>282</v>
      </c>
      <c r="R247" s="25"/>
      <c r="S247" s="25"/>
      <c r="T247" s="55"/>
      <c r="U247" s="55"/>
      <c r="V247" s="55"/>
      <c r="W247" s="55"/>
      <c r="X247" s="65"/>
      <c r="Y247" s="65"/>
      <c r="Z247" s="65"/>
      <c r="AA247" s="65"/>
    </row>
    <row r="248" spans="1:27" ht="15.75" customHeight="1">
      <c r="A248" s="344"/>
      <c r="B248" s="344"/>
      <c r="C248" s="74">
        <v>8</v>
      </c>
      <c r="D248" s="344"/>
      <c r="E248" s="80" t="s">
        <v>4839</v>
      </c>
      <c r="F248" s="74" t="s">
        <v>361</v>
      </c>
      <c r="G248" s="74" t="s">
        <v>327</v>
      </c>
      <c r="H248" s="80" t="s">
        <v>4840</v>
      </c>
      <c r="I248" s="73" t="s">
        <v>4823</v>
      </c>
      <c r="J248" s="79"/>
      <c r="K248" s="25"/>
      <c r="L248" s="57"/>
      <c r="M248" s="43"/>
      <c r="N248" s="223"/>
      <c r="O248" s="25"/>
      <c r="P248" s="25"/>
      <c r="Q248" s="25" t="s">
        <v>282</v>
      </c>
      <c r="R248" s="25"/>
      <c r="S248" s="25"/>
      <c r="T248" s="55"/>
      <c r="U248" s="55"/>
      <c r="V248" s="55"/>
      <c r="W248" s="55"/>
      <c r="X248" s="65"/>
      <c r="Y248" s="65"/>
      <c r="Z248" s="65"/>
      <c r="AA248" s="65"/>
    </row>
    <row r="249" spans="1:27" ht="15.75" customHeight="1">
      <c r="A249" s="344"/>
      <c r="B249" s="344"/>
      <c r="C249" s="74">
        <v>9</v>
      </c>
      <c r="D249" s="344"/>
      <c r="E249" s="80" t="s">
        <v>4841</v>
      </c>
      <c r="F249" s="74" t="s">
        <v>361</v>
      </c>
      <c r="G249" s="74" t="s">
        <v>327</v>
      </c>
      <c r="H249" s="80" t="s">
        <v>4842</v>
      </c>
      <c r="I249" s="35" t="s">
        <v>4843</v>
      </c>
      <c r="J249" s="172"/>
      <c r="K249" s="25"/>
      <c r="L249" s="57"/>
      <c r="M249" s="43"/>
      <c r="N249" s="223"/>
      <c r="O249" s="25"/>
      <c r="P249" s="25"/>
      <c r="Q249" s="25" t="s">
        <v>282</v>
      </c>
      <c r="R249" s="25"/>
      <c r="S249" s="25"/>
      <c r="T249" s="55"/>
      <c r="U249" s="55"/>
      <c r="V249" s="55"/>
      <c r="W249" s="55"/>
      <c r="X249" s="65"/>
      <c r="Y249" s="65"/>
      <c r="Z249" s="65"/>
      <c r="AA249" s="65"/>
    </row>
    <row r="250" spans="1:27" ht="15.75" customHeight="1">
      <c r="A250" s="344"/>
      <c r="B250" s="344"/>
      <c r="C250" s="74">
        <v>10</v>
      </c>
      <c r="D250" s="344"/>
      <c r="E250" s="80" t="s">
        <v>4844</v>
      </c>
      <c r="F250" s="74" t="s">
        <v>361</v>
      </c>
      <c r="G250" s="74" t="s">
        <v>327</v>
      </c>
      <c r="H250" s="80" t="s">
        <v>4845</v>
      </c>
      <c r="I250" s="73" t="s">
        <v>4846</v>
      </c>
      <c r="J250" s="79"/>
      <c r="K250" s="25"/>
      <c r="L250" s="57"/>
      <c r="M250" s="43"/>
      <c r="N250" s="223"/>
      <c r="O250" s="25"/>
      <c r="P250" s="25"/>
      <c r="Q250" s="25" t="s">
        <v>282</v>
      </c>
      <c r="R250" s="25"/>
      <c r="S250" s="25"/>
      <c r="T250" s="55"/>
      <c r="U250" s="55"/>
      <c r="V250" s="55"/>
      <c r="W250" s="55"/>
      <c r="X250" s="65"/>
      <c r="Y250" s="65"/>
      <c r="Z250" s="65"/>
      <c r="AA250" s="65"/>
    </row>
    <row r="251" spans="1:27" ht="15.75" customHeight="1">
      <c r="A251" s="344"/>
      <c r="B251" s="344"/>
      <c r="C251" s="74">
        <v>11</v>
      </c>
      <c r="D251" s="344"/>
      <c r="E251" s="75" t="s">
        <v>4847</v>
      </c>
      <c r="F251" s="74" t="s">
        <v>361</v>
      </c>
      <c r="G251" s="74" t="s">
        <v>327</v>
      </c>
      <c r="H251" s="80" t="s">
        <v>4848</v>
      </c>
      <c r="I251" s="73" t="s">
        <v>4849</v>
      </c>
      <c r="J251" s="79"/>
      <c r="K251" s="25"/>
      <c r="L251" s="57"/>
      <c r="M251" s="43"/>
      <c r="N251" s="223"/>
      <c r="O251" s="25"/>
      <c r="P251" s="25"/>
      <c r="Q251" s="25"/>
      <c r="R251" s="25"/>
      <c r="S251" s="25"/>
      <c r="T251" s="55"/>
      <c r="U251" s="55"/>
      <c r="V251" s="55"/>
      <c r="W251" s="55"/>
      <c r="X251" s="65"/>
      <c r="Y251" s="65"/>
      <c r="Z251" s="65"/>
      <c r="AA251" s="65"/>
    </row>
    <row r="252" spans="1:27" ht="15.75" customHeight="1">
      <c r="A252" s="344"/>
      <c r="B252" s="344"/>
      <c r="C252" s="74">
        <v>12</v>
      </c>
      <c r="D252" s="344"/>
      <c r="E252" s="364" t="s">
        <v>4850</v>
      </c>
      <c r="F252" s="74" t="s">
        <v>361</v>
      </c>
      <c r="G252" s="74" t="s">
        <v>327</v>
      </c>
      <c r="H252" s="80" t="s">
        <v>4851</v>
      </c>
      <c r="I252" s="73" t="s">
        <v>4835</v>
      </c>
      <c r="J252" s="79"/>
      <c r="K252" s="25"/>
      <c r="L252" s="57"/>
      <c r="M252" s="43"/>
      <c r="N252" s="223"/>
      <c r="O252" s="25"/>
      <c r="P252" s="25"/>
      <c r="Q252" s="25" t="s">
        <v>282</v>
      </c>
      <c r="R252" s="25"/>
      <c r="S252" s="25"/>
      <c r="T252" s="55"/>
      <c r="U252" s="55"/>
      <c r="V252" s="55"/>
      <c r="W252" s="55"/>
      <c r="X252" s="65"/>
      <c r="Y252" s="65"/>
      <c r="Z252" s="65"/>
      <c r="AA252" s="65"/>
    </row>
    <row r="253" spans="1:27" ht="15.75" customHeight="1">
      <c r="A253" s="344"/>
      <c r="B253" s="344"/>
      <c r="C253" s="74">
        <v>13</v>
      </c>
      <c r="D253" s="344"/>
      <c r="E253" s="344"/>
      <c r="F253" s="74" t="s">
        <v>361</v>
      </c>
      <c r="G253" s="74" t="s">
        <v>327</v>
      </c>
      <c r="H253" s="80" t="s">
        <v>4852</v>
      </c>
      <c r="I253" s="73" t="s">
        <v>4853</v>
      </c>
      <c r="J253" s="79"/>
      <c r="K253" s="25"/>
      <c r="L253" s="57"/>
      <c r="M253" s="43"/>
      <c r="N253" s="223"/>
      <c r="O253" s="25"/>
      <c r="P253" s="25"/>
      <c r="Q253" s="25" t="s">
        <v>282</v>
      </c>
      <c r="R253" s="25" t="s">
        <v>7</v>
      </c>
      <c r="S253" s="25"/>
      <c r="T253" s="55"/>
      <c r="U253" s="55"/>
      <c r="V253" s="55"/>
      <c r="W253" s="55"/>
      <c r="X253" s="65"/>
      <c r="Y253" s="65"/>
      <c r="Z253" s="65"/>
      <c r="AA253" s="65"/>
    </row>
    <row r="254" spans="1:27" ht="15.75" customHeight="1">
      <c r="A254" s="344"/>
      <c r="B254" s="344"/>
      <c r="C254" s="74">
        <v>14</v>
      </c>
      <c r="D254" s="344"/>
      <c r="E254" s="344"/>
      <c r="F254" s="74" t="s">
        <v>361</v>
      </c>
      <c r="G254" s="74" t="s">
        <v>327</v>
      </c>
      <c r="H254" s="80" t="s">
        <v>4854</v>
      </c>
      <c r="I254" s="73" t="s">
        <v>4853</v>
      </c>
      <c r="J254" s="79"/>
      <c r="K254" s="25"/>
      <c r="L254" s="57"/>
      <c r="M254" s="43"/>
      <c r="N254" s="223"/>
      <c r="O254" s="25"/>
      <c r="P254" s="25"/>
      <c r="Q254" s="25" t="s">
        <v>282</v>
      </c>
      <c r="R254" s="25" t="s">
        <v>298</v>
      </c>
      <c r="S254" s="25"/>
      <c r="T254" s="55"/>
      <c r="U254" s="55"/>
      <c r="V254" s="55"/>
      <c r="W254" s="55"/>
      <c r="X254" s="65"/>
      <c r="Y254" s="65"/>
      <c r="Z254" s="65"/>
      <c r="AA254" s="65"/>
    </row>
    <row r="255" spans="1:27" ht="15.75" customHeight="1">
      <c r="A255" s="344"/>
      <c r="B255" s="344"/>
      <c r="C255" s="74">
        <v>15</v>
      </c>
      <c r="D255" s="344"/>
      <c r="E255" s="344"/>
      <c r="F255" s="74" t="s">
        <v>361</v>
      </c>
      <c r="G255" s="74" t="s">
        <v>327</v>
      </c>
      <c r="H255" s="80" t="s">
        <v>4855</v>
      </c>
      <c r="I255" s="73" t="s">
        <v>4856</v>
      </c>
      <c r="J255" s="79"/>
      <c r="K255" s="25"/>
      <c r="L255" s="57"/>
      <c r="M255" s="43"/>
      <c r="N255" s="223"/>
      <c r="O255" s="25"/>
      <c r="P255" s="25"/>
      <c r="Q255" s="25" t="s">
        <v>282</v>
      </c>
      <c r="R255" s="25" t="s">
        <v>7</v>
      </c>
      <c r="S255" s="25"/>
      <c r="T255" s="55"/>
      <c r="U255" s="55"/>
      <c r="V255" s="55"/>
      <c r="W255" s="55"/>
      <c r="X255" s="65"/>
      <c r="Y255" s="65"/>
      <c r="Z255" s="65"/>
      <c r="AA255" s="65"/>
    </row>
    <row r="256" spans="1:27" ht="15.75" customHeight="1">
      <c r="A256" s="344"/>
      <c r="B256" s="344"/>
      <c r="C256" s="74">
        <v>16</v>
      </c>
      <c r="D256" s="344"/>
      <c r="E256" s="344"/>
      <c r="F256" s="74" t="s">
        <v>361</v>
      </c>
      <c r="G256" s="74" t="s">
        <v>327</v>
      </c>
      <c r="H256" s="80" t="s">
        <v>4857</v>
      </c>
      <c r="I256" s="73" t="s">
        <v>4858</v>
      </c>
      <c r="J256" s="79"/>
      <c r="K256" s="25"/>
      <c r="L256" s="57"/>
      <c r="M256" s="43"/>
      <c r="N256" s="223"/>
      <c r="O256" s="25"/>
      <c r="P256" s="25"/>
      <c r="Q256" s="25" t="s">
        <v>282</v>
      </c>
      <c r="R256" s="25" t="s">
        <v>298</v>
      </c>
      <c r="S256" s="25"/>
      <c r="T256" s="55"/>
      <c r="U256" s="55"/>
      <c r="V256" s="55"/>
      <c r="W256" s="55"/>
      <c r="X256" s="65"/>
      <c r="Y256" s="65"/>
      <c r="Z256" s="65"/>
      <c r="AA256" s="65"/>
    </row>
    <row r="257" spans="1:27" ht="15.75" customHeight="1">
      <c r="A257" s="344"/>
      <c r="B257" s="344"/>
      <c r="C257" s="74">
        <v>17</v>
      </c>
      <c r="D257" s="344"/>
      <c r="E257" s="345"/>
      <c r="F257" s="74" t="s">
        <v>361</v>
      </c>
      <c r="G257" s="74" t="s">
        <v>327</v>
      </c>
      <c r="H257" s="80" t="s">
        <v>4859</v>
      </c>
      <c r="I257" s="73" t="s">
        <v>4849</v>
      </c>
      <c r="J257" s="79"/>
      <c r="K257" s="25"/>
      <c r="L257" s="57"/>
      <c r="M257" s="224"/>
      <c r="N257" s="223"/>
      <c r="O257" s="25"/>
      <c r="P257" s="25"/>
      <c r="Q257" s="25"/>
      <c r="R257" s="25"/>
      <c r="S257" s="25"/>
      <c r="T257" s="55"/>
      <c r="U257" s="55"/>
      <c r="V257" s="55"/>
      <c r="W257" s="55"/>
      <c r="X257" s="65"/>
      <c r="Y257" s="65"/>
      <c r="Z257" s="65"/>
      <c r="AA257" s="65"/>
    </row>
    <row r="258" spans="1:27" ht="15.75" customHeight="1">
      <c r="A258" s="344"/>
      <c r="B258" s="344"/>
      <c r="C258" s="74">
        <v>18</v>
      </c>
      <c r="D258" s="344"/>
      <c r="E258" s="80" t="s">
        <v>4860</v>
      </c>
      <c r="F258" s="74" t="s">
        <v>361</v>
      </c>
      <c r="G258" s="74" t="s">
        <v>327</v>
      </c>
      <c r="H258" s="80" t="s">
        <v>4861</v>
      </c>
      <c r="I258" s="73" t="s">
        <v>4862</v>
      </c>
      <c r="J258" s="79"/>
      <c r="K258" s="25"/>
      <c r="L258" s="57"/>
      <c r="M258" s="224"/>
      <c r="N258" s="223"/>
      <c r="O258" s="25"/>
      <c r="P258" s="25"/>
      <c r="Q258" s="25" t="s">
        <v>282</v>
      </c>
      <c r="R258" s="25"/>
      <c r="S258" s="25"/>
      <c r="T258" s="55"/>
      <c r="U258" s="55"/>
      <c r="V258" s="55"/>
      <c r="W258" s="55"/>
      <c r="X258" s="65"/>
      <c r="Y258" s="65"/>
      <c r="Z258" s="65"/>
      <c r="AA258" s="65"/>
    </row>
    <row r="259" spans="1:27" ht="15.75" customHeight="1">
      <c r="A259" s="344"/>
      <c r="B259" s="344"/>
      <c r="C259" s="74">
        <v>19</v>
      </c>
      <c r="D259" s="344"/>
      <c r="E259" s="80" t="s">
        <v>4863</v>
      </c>
      <c r="F259" s="74" t="s">
        <v>361</v>
      </c>
      <c r="G259" s="74" t="s">
        <v>327</v>
      </c>
      <c r="H259" s="80" t="s">
        <v>4864</v>
      </c>
      <c r="I259" s="73" t="s">
        <v>4819</v>
      </c>
      <c r="J259" s="79"/>
      <c r="K259" s="25"/>
      <c r="L259" s="57"/>
      <c r="M259" s="43"/>
      <c r="N259" s="223"/>
      <c r="O259" s="25"/>
      <c r="P259" s="25"/>
      <c r="Q259" s="25" t="s">
        <v>282</v>
      </c>
      <c r="R259" s="25"/>
      <c r="S259" s="25"/>
      <c r="T259" s="55"/>
      <c r="U259" s="55"/>
      <c r="V259" s="55"/>
      <c r="W259" s="55"/>
      <c r="X259" s="65"/>
      <c r="Y259" s="65"/>
      <c r="Z259" s="65"/>
      <c r="AA259" s="65"/>
    </row>
    <row r="260" spans="1:27" ht="48.75" customHeight="1">
      <c r="A260" s="345"/>
      <c r="B260" s="344"/>
      <c r="C260" s="74">
        <v>20</v>
      </c>
      <c r="D260" s="344"/>
      <c r="E260" s="80" t="s">
        <v>4865</v>
      </c>
      <c r="F260" s="74" t="s">
        <v>361</v>
      </c>
      <c r="G260" s="74" t="s">
        <v>327</v>
      </c>
      <c r="H260" s="80" t="s">
        <v>4866</v>
      </c>
      <c r="I260" s="73" t="s">
        <v>4867</v>
      </c>
      <c r="J260" s="79"/>
      <c r="K260" s="25"/>
      <c r="L260" s="57"/>
      <c r="M260" s="43"/>
      <c r="N260" s="223"/>
      <c r="O260" s="25"/>
      <c r="P260" s="25"/>
      <c r="Q260" s="25" t="s">
        <v>282</v>
      </c>
      <c r="R260" s="25"/>
      <c r="S260" s="25"/>
      <c r="T260" s="55"/>
      <c r="U260" s="55"/>
      <c r="V260" s="55"/>
      <c r="W260" s="55"/>
      <c r="X260" s="65"/>
      <c r="Y260" s="65"/>
      <c r="Z260" s="65"/>
      <c r="AA260" s="65"/>
    </row>
    <row r="261" spans="1:27" ht="15.75" customHeight="1">
      <c r="A261" s="350" t="s">
        <v>4868</v>
      </c>
      <c r="B261" s="344"/>
      <c r="C261" s="74">
        <v>21</v>
      </c>
      <c r="D261" s="344"/>
      <c r="E261" s="80" t="s">
        <v>4869</v>
      </c>
      <c r="F261" s="74" t="s">
        <v>361</v>
      </c>
      <c r="G261" s="74" t="s">
        <v>327</v>
      </c>
      <c r="H261" s="80" t="s">
        <v>4870</v>
      </c>
      <c r="I261" s="35" t="s">
        <v>4871</v>
      </c>
      <c r="J261" s="172"/>
      <c r="K261" s="25"/>
      <c r="L261" s="57"/>
      <c r="M261" s="43"/>
      <c r="N261" s="223"/>
      <c r="O261" s="25"/>
      <c r="P261" s="25"/>
      <c r="Q261" s="25" t="s">
        <v>282</v>
      </c>
      <c r="R261" s="25"/>
      <c r="S261" s="25"/>
      <c r="T261" s="55"/>
      <c r="U261" s="55"/>
      <c r="V261" s="55"/>
      <c r="W261" s="55"/>
      <c r="X261" s="65"/>
      <c r="Y261" s="65"/>
      <c r="Z261" s="65"/>
      <c r="AA261" s="65"/>
    </row>
    <row r="262" spans="1:27" ht="15.75" customHeight="1">
      <c r="A262" s="344"/>
      <c r="B262" s="344"/>
      <c r="C262" s="74">
        <v>22</v>
      </c>
      <c r="D262" s="344"/>
      <c r="E262" s="80" t="s">
        <v>4872</v>
      </c>
      <c r="F262" s="74" t="s">
        <v>361</v>
      </c>
      <c r="G262" s="74" t="s">
        <v>327</v>
      </c>
      <c r="H262" s="80" t="s">
        <v>4873</v>
      </c>
      <c r="I262" s="35" t="s">
        <v>4874</v>
      </c>
      <c r="J262" s="172"/>
      <c r="K262" s="25"/>
      <c r="L262" s="57"/>
      <c r="M262" s="43"/>
      <c r="N262" s="223"/>
      <c r="O262" s="25"/>
      <c r="P262" s="25"/>
      <c r="Q262" s="25" t="s">
        <v>282</v>
      </c>
      <c r="R262" s="25"/>
      <c r="S262" s="25"/>
      <c r="T262" s="55"/>
      <c r="U262" s="55"/>
      <c r="V262" s="55"/>
      <c r="W262" s="55"/>
      <c r="X262" s="65"/>
      <c r="Y262" s="65"/>
      <c r="Z262" s="65"/>
      <c r="AA262" s="65"/>
    </row>
    <row r="263" spans="1:27" ht="15.75" customHeight="1">
      <c r="A263" s="344"/>
      <c r="B263" s="344"/>
      <c r="C263" s="74">
        <v>23</v>
      </c>
      <c r="D263" s="344"/>
      <c r="E263" s="80" t="s">
        <v>4875</v>
      </c>
      <c r="F263" s="74" t="s">
        <v>361</v>
      </c>
      <c r="G263" s="74" t="s">
        <v>327</v>
      </c>
      <c r="H263" s="80" t="s">
        <v>4876</v>
      </c>
      <c r="I263" s="35" t="s">
        <v>4877</v>
      </c>
      <c r="J263" s="172"/>
      <c r="K263" s="25"/>
      <c r="L263" s="57"/>
      <c r="M263" s="43"/>
      <c r="N263" s="223"/>
      <c r="O263" s="25"/>
      <c r="P263" s="25"/>
      <c r="Q263" s="25" t="s">
        <v>282</v>
      </c>
      <c r="R263" s="25"/>
      <c r="S263" s="25"/>
      <c r="T263" s="55"/>
      <c r="U263" s="55"/>
      <c r="V263" s="55"/>
      <c r="W263" s="55"/>
      <c r="X263" s="65"/>
      <c r="Y263" s="65"/>
      <c r="Z263" s="65"/>
      <c r="AA263" s="65"/>
    </row>
    <row r="264" spans="1:27" ht="15.75" customHeight="1">
      <c r="A264" s="344"/>
      <c r="B264" s="344"/>
      <c r="C264" s="74">
        <v>24</v>
      </c>
      <c r="D264" s="344"/>
      <c r="E264" s="80" t="s">
        <v>4878</v>
      </c>
      <c r="F264" s="74" t="s">
        <v>361</v>
      </c>
      <c r="G264" s="74" t="s">
        <v>327</v>
      </c>
      <c r="H264" s="80" t="s">
        <v>4879</v>
      </c>
      <c r="I264" s="73" t="s">
        <v>4880</v>
      </c>
      <c r="J264" s="79"/>
      <c r="K264" s="25"/>
      <c r="L264" s="57"/>
      <c r="M264" s="225" t="s">
        <v>4881</v>
      </c>
      <c r="N264" s="223"/>
      <c r="O264" s="25"/>
      <c r="P264" s="25"/>
      <c r="Q264" s="25" t="s">
        <v>282</v>
      </c>
      <c r="R264" s="25"/>
      <c r="S264" s="25" t="s">
        <v>140</v>
      </c>
      <c r="T264" s="55"/>
      <c r="U264" s="55"/>
      <c r="V264" s="55"/>
      <c r="W264" s="55"/>
      <c r="X264" s="65"/>
      <c r="Y264" s="65"/>
      <c r="Z264" s="65"/>
      <c r="AA264" s="65"/>
    </row>
    <row r="265" spans="1:27" ht="15.75" customHeight="1">
      <c r="A265" s="344"/>
      <c r="B265" s="344"/>
      <c r="C265" s="74">
        <v>25</v>
      </c>
      <c r="D265" s="344"/>
      <c r="E265" s="80" t="s">
        <v>4882</v>
      </c>
      <c r="F265" s="74" t="s">
        <v>361</v>
      </c>
      <c r="G265" s="74" t="s">
        <v>327</v>
      </c>
      <c r="H265" s="80" t="s">
        <v>4883</v>
      </c>
      <c r="I265" s="35" t="s">
        <v>4884</v>
      </c>
      <c r="J265" s="172"/>
      <c r="K265" s="25"/>
      <c r="L265" s="57"/>
      <c r="M265" s="43"/>
      <c r="N265" s="223"/>
      <c r="O265" s="25"/>
      <c r="P265" s="25"/>
      <c r="Q265" s="25" t="s">
        <v>282</v>
      </c>
      <c r="R265" s="25"/>
      <c r="S265" s="25"/>
      <c r="T265" s="55"/>
      <c r="U265" s="55"/>
      <c r="V265" s="55"/>
      <c r="W265" s="55"/>
      <c r="X265" s="65"/>
      <c r="Y265" s="65"/>
      <c r="Z265" s="65"/>
      <c r="AA265" s="65"/>
    </row>
    <row r="266" spans="1:27" ht="15.75" customHeight="1">
      <c r="A266" s="344"/>
      <c r="B266" s="344"/>
      <c r="C266" s="74">
        <v>26</v>
      </c>
      <c r="D266" s="344"/>
      <c r="E266" s="80" t="s">
        <v>4885</v>
      </c>
      <c r="F266" s="74" t="s">
        <v>361</v>
      </c>
      <c r="G266" s="74" t="s">
        <v>327</v>
      </c>
      <c r="H266" s="80" t="s">
        <v>4886</v>
      </c>
      <c r="I266" s="35" t="s">
        <v>4887</v>
      </c>
      <c r="J266" s="172"/>
      <c r="K266" s="25"/>
      <c r="L266" s="57"/>
      <c r="M266" s="43"/>
      <c r="N266" s="223"/>
      <c r="O266" s="25"/>
      <c r="P266" s="25"/>
      <c r="Q266" s="25" t="s">
        <v>282</v>
      </c>
      <c r="R266" s="25"/>
      <c r="S266" s="25"/>
      <c r="T266" s="55"/>
      <c r="U266" s="55"/>
      <c r="V266" s="55"/>
      <c r="W266" s="55"/>
      <c r="X266" s="65"/>
      <c r="Y266" s="65"/>
      <c r="Z266" s="65"/>
      <c r="AA266" s="65"/>
    </row>
    <row r="267" spans="1:27" ht="15.75" customHeight="1">
      <c r="A267" s="352"/>
      <c r="B267" s="352"/>
      <c r="C267" s="86">
        <v>27</v>
      </c>
      <c r="D267" s="352"/>
      <c r="E267" s="181" t="s">
        <v>4888</v>
      </c>
      <c r="F267" s="86" t="s">
        <v>361</v>
      </c>
      <c r="G267" s="86" t="s">
        <v>327</v>
      </c>
      <c r="H267" s="181" t="s">
        <v>4889</v>
      </c>
      <c r="I267" s="35" t="s">
        <v>4890</v>
      </c>
      <c r="J267" s="172"/>
      <c r="K267" s="25"/>
      <c r="L267" s="57"/>
      <c r="M267" s="225" t="s">
        <v>4881</v>
      </c>
      <c r="N267" s="223"/>
      <c r="O267" s="25"/>
      <c r="P267" s="25"/>
      <c r="Q267" s="25" t="s">
        <v>282</v>
      </c>
      <c r="R267" s="25" t="s">
        <v>305</v>
      </c>
      <c r="S267" s="25" t="s">
        <v>140</v>
      </c>
      <c r="T267" s="55"/>
      <c r="U267" s="55"/>
      <c r="V267" s="55"/>
      <c r="W267" s="55"/>
      <c r="X267" s="65"/>
      <c r="Y267" s="65"/>
      <c r="Z267" s="65"/>
      <c r="AA267" s="65"/>
    </row>
    <row r="268" spans="1:27" ht="15.75" customHeight="1">
      <c r="A268" s="352"/>
      <c r="B268" s="352"/>
      <c r="C268" s="86">
        <v>28</v>
      </c>
      <c r="D268" s="352"/>
      <c r="E268" s="181" t="s">
        <v>4891</v>
      </c>
      <c r="F268" s="86" t="s">
        <v>361</v>
      </c>
      <c r="G268" s="86" t="s">
        <v>327</v>
      </c>
      <c r="H268" s="181" t="s">
        <v>4892</v>
      </c>
      <c r="I268" s="35" t="s">
        <v>4893</v>
      </c>
      <c r="J268" s="172"/>
      <c r="K268" s="25"/>
      <c r="L268" s="57"/>
      <c r="M268" s="43"/>
      <c r="N268" s="223"/>
      <c r="O268" s="25"/>
      <c r="P268" s="25"/>
      <c r="Q268" s="25" t="s">
        <v>282</v>
      </c>
      <c r="R268" s="25" t="s">
        <v>305</v>
      </c>
      <c r="S268" s="25"/>
      <c r="T268" s="55"/>
      <c r="U268" s="55"/>
      <c r="V268" s="55"/>
      <c r="W268" s="55"/>
      <c r="X268" s="65"/>
      <c r="Y268" s="65"/>
      <c r="Z268" s="65"/>
      <c r="AA268" s="65"/>
    </row>
    <row r="269" spans="1:27" ht="48" customHeight="1">
      <c r="A269" s="345"/>
      <c r="B269" s="345"/>
      <c r="C269" s="74">
        <v>29</v>
      </c>
      <c r="D269" s="345"/>
      <c r="E269" s="80" t="s">
        <v>4894</v>
      </c>
      <c r="F269" s="74" t="s">
        <v>361</v>
      </c>
      <c r="G269" s="74" t="s">
        <v>327</v>
      </c>
      <c r="H269" s="80" t="s">
        <v>4895</v>
      </c>
      <c r="I269" s="35" t="s">
        <v>4896</v>
      </c>
      <c r="J269" s="172"/>
      <c r="K269" s="25"/>
      <c r="L269" s="57"/>
      <c r="M269" s="43"/>
      <c r="N269" s="223"/>
      <c r="O269" s="25"/>
      <c r="P269" s="25"/>
      <c r="Q269" s="25" t="s">
        <v>282</v>
      </c>
      <c r="R269" s="25"/>
      <c r="S269" s="25"/>
      <c r="T269" s="55"/>
      <c r="U269" s="55"/>
      <c r="V269" s="55"/>
      <c r="W269" s="55"/>
      <c r="X269" s="65"/>
      <c r="Y269" s="65"/>
      <c r="Z269" s="65"/>
      <c r="AA269" s="65"/>
    </row>
    <row r="270" spans="1:27" ht="15.75" customHeight="1">
      <c r="A270" s="355" t="s">
        <v>4897</v>
      </c>
      <c r="B270" s="350" t="s">
        <v>92</v>
      </c>
      <c r="C270" s="74">
        <v>1</v>
      </c>
      <c r="D270" s="364" t="s">
        <v>4898</v>
      </c>
      <c r="E270" s="80" t="s">
        <v>4899</v>
      </c>
      <c r="F270" s="74" t="s">
        <v>361</v>
      </c>
      <c r="G270" s="74" t="s">
        <v>327</v>
      </c>
      <c r="H270" s="80" t="s">
        <v>4900</v>
      </c>
      <c r="I270" s="73" t="s">
        <v>4901</v>
      </c>
      <c r="J270" s="79"/>
      <c r="K270" s="25"/>
      <c r="L270" s="57"/>
      <c r="M270" s="43"/>
      <c r="N270" s="223"/>
      <c r="O270" s="25"/>
      <c r="P270" s="25"/>
      <c r="Q270" s="25" t="s">
        <v>282</v>
      </c>
      <c r="R270" s="25"/>
      <c r="S270" s="25"/>
      <c r="T270" s="55"/>
      <c r="U270" s="55"/>
      <c r="V270" s="55"/>
      <c r="W270" s="55"/>
      <c r="X270" s="65"/>
      <c r="Y270" s="65"/>
      <c r="Z270" s="65"/>
      <c r="AA270" s="65"/>
    </row>
    <row r="271" spans="1:27" ht="15.75" customHeight="1">
      <c r="A271" s="344"/>
      <c r="B271" s="344"/>
      <c r="C271" s="74">
        <v>2</v>
      </c>
      <c r="D271" s="344"/>
      <c r="E271" s="80" t="s">
        <v>4902</v>
      </c>
      <c r="F271" s="74" t="s">
        <v>361</v>
      </c>
      <c r="G271" s="74" t="s">
        <v>327</v>
      </c>
      <c r="H271" s="80" t="s">
        <v>4903</v>
      </c>
      <c r="I271" s="39" t="s">
        <v>4904</v>
      </c>
      <c r="J271" s="289"/>
      <c r="K271" s="25"/>
      <c r="L271" s="57"/>
      <c r="M271" s="43"/>
      <c r="N271" s="223"/>
      <c r="O271" s="25"/>
      <c r="P271" s="25"/>
      <c r="Q271" s="25" t="s">
        <v>282</v>
      </c>
      <c r="R271" s="25"/>
      <c r="S271" s="25"/>
      <c r="T271" s="55"/>
      <c r="U271" s="55"/>
      <c r="V271" s="55"/>
      <c r="W271" s="55"/>
      <c r="X271" s="65"/>
      <c r="Y271" s="65"/>
      <c r="Z271" s="65"/>
      <c r="AA271" s="65"/>
    </row>
    <row r="272" spans="1:27" ht="15.75" customHeight="1">
      <c r="A272" s="344"/>
      <c r="B272" s="344"/>
      <c r="C272" s="74">
        <v>3</v>
      </c>
      <c r="D272" s="344"/>
      <c r="E272" s="80" t="s">
        <v>4905</v>
      </c>
      <c r="F272" s="74" t="s">
        <v>361</v>
      </c>
      <c r="G272" s="74" t="s">
        <v>327</v>
      </c>
      <c r="H272" s="80" t="s">
        <v>4906</v>
      </c>
      <c r="I272" s="39" t="s">
        <v>4907</v>
      </c>
      <c r="J272" s="289"/>
      <c r="K272" s="25"/>
      <c r="L272" s="57"/>
      <c r="M272" s="43"/>
      <c r="N272" s="223"/>
      <c r="O272" s="28" t="s">
        <v>140</v>
      </c>
      <c r="P272" s="25"/>
      <c r="Q272" s="25" t="s">
        <v>282</v>
      </c>
      <c r="R272" s="25"/>
      <c r="S272" s="25"/>
      <c r="T272" s="55"/>
      <c r="U272" s="55"/>
      <c r="V272" s="55"/>
      <c r="W272" s="55"/>
      <c r="X272" s="65"/>
      <c r="Y272" s="65"/>
      <c r="Z272" s="65"/>
      <c r="AA272" s="65"/>
    </row>
    <row r="273" spans="1:27" ht="16.5" customHeight="1">
      <c r="A273" s="344"/>
      <c r="B273" s="344"/>
      <c r="C273" s="74">
        <v>4</v>
      </c>
      <c r="D273" s="344"/>
      <c r="E273" s="80" t="s">
        <v>4908</v>
      </c>
      <c r="F273" s="74" t="s">
        <v>361</v>
      </c>
      <c r="G273" s="74" t="s">
        <v>327</v>
      </c>
      <c r="H273" s="80" t="s">
        <v>4909</v>
      </c>
      <c r="I273" s="39" t="s">
        <v>3326</v>
      </c>
      <c r="J273" s="289"/>
      <c r="K273" s="25"/>
      <c r="L273" s="57"/>
      <c r="M273" s="43"/>
      <c r="N273" s="223"/>
      <c r="O273" s="28" t="s">
        <v>140</v>
      </c>
      <c r="P273" s="25"/>
      <c r="Q273" s="25" t="s">
        <v>282</v>
      </c>
      <c r="R273" s="25"/>
      <c r="S273" s="25"/>
      <c r="T273" s="55"/>
      <c r="U273" s="55"/>
      <c r="V273" s="55"/>
      <c r="W273" s="55"/>
      <c r="X273" s="65"/>
      <c r="Y273" s="65"/>
      <c r="Z273" s="65"/>
      <c r="AA273" s="65"/>
    </row>
    <row r="274" spans="1:27" ht="15.75" customHeight="1">
      <c r="A274" s="344"/>
      <c r="B274" s="344"/>
      <c r="C274" s="74">
        <v>5</v>
      </c>
      <c r="D274" s="344"/>
      <c r="E274" s="372" t="s">
        <v>4910</v>
      </c>
      <c r="F274" s="74" t="s">
        <v>361</v>
      </c>
      <c r="G274" s="74" t="s">
        <v>327</v>
      </c>
      <c r="H274" s="80" t="s">
        <v>4911</v>
      </c>
      <c r="I274" s="39" t="s">
        <v>4912</v>
      </c>
      <c r="J274" s="289"/>
      <c r="K274" s="25"/>
      <c r="L274" s="57"/>
      <c r="M274" s="43"/>
      <c r="N274" s="223"/>
      <c r="O274" s="25"/>
      <c r="P274" s="25"/>
      <c r="Q274" s="25" t="s">
        <v>282</v>
      </c>
      <c r="R274" s="25"/>
      <c r="S274" s="25"/>
      <c r="T274" s="55"/>
      <c r="U274" s="55"/>
      <c r="V274" s="55"/>
      <c r="W274" s="55"/>
      <c r="X274" s="65"/>
      <c r="Y274" s="65"/>
      <c r="Z274" s="65"/>
      <c r="AA274" s="65"/>
    </row>
    <row r="275" spans="1:27" ht="15.75" customHeight="1">
      <c r="A275" s="344"/>
      <c r="B275" s="344"/>
      <c r="C275" s="74">
        <v>6</v>
      </c>
      <c r="D275" s="344"/>
      <c r="E275" s="345"/>
      <c r="F275" s="74" t="s">
        <v>361</v>
      </c>
      <c r="G275" s="74" t="s">
        <v>327</v>
      </c>
      <c r="H275" s="80" t="s">
        <v>4913</v>
      </c>
      <c r="I275" s="39" t="s">
        <v>4912</v>
      </c>
      <c r="J275" s="289"/>
      <c r="K275" s="25"/>
      <c r="L275" s="57"/>
      <c r="M275" s="43"/>
      <c r="N275" s="223"/>
      <c r="O275" s="25"/>
      <c r="P275" s="25"/>
      <c r="Q275" s="25" t="s">
        <v>282</v>
      </c>
      <c r="R275" s="25"/>
      <c r="S275" s="25"/>
      <c r="T275" s="55"/>
      <c r="U275" s="55"/>
      <c r="V275" s="55"/>
      <c r="W275" s="55"/>
      <c r="X275" s="65"/>
      <c r="Y275" s="65"/>
      <c r="Z275" s="65"/>
      <c r="AA275" s="65"/>
    </row>
    <row r="276" spans="1:27" ht="15.75" customHeight="1">
      <c r="A276" s="344"/>
      <c r="B276" s="344"/>
      <c r="C276" s="74">
        <v>7</v>
      </c>
      <c r="D276" s="344"/>
      <c r="E276" s="372" t="s">
        <v>4914</v>
      </c>
      <c r="F276" s="74" t="s">
        <v>361</v>
      </c>
      <c r="G276" s="74" t="s">
        <v>524</v>
      </c>
      <c r="H276" s="80" t="s">
        <v>4915</v>
      </c>
      <c r="I276" s="39" t="s">
        <v>4907</v>
      </c>
      <c r="J276" s="289"/>
      <c r="K276" s="25"/>
      <c r="L276" s="57"/>
      <c r="M276" s="43"/>
      <c r="N276" s="223"/>
      <c r="O276" s="25"/>
      <c r="P276" s="25"/>
      <c r="Q276" s="25" t="s">
        <v>282</v>
      </c>
      <c r="R276" s="25" t="s">
        <v>7</v>
      </c>
      <c r="S276" s="25"/>
      <c r="T276" s="55"/>
      <c r="U276" s="55"/>
      <c r="V276" s="55"/>
      <c r="W276" s="55"/>
      <c r="X276" s="65"/>
      <c r="Y276" s="65"/>
      <c r="Z276" s="65"/>
      <c r="AA276" s="65"/>
    </row>
    <row r="277" spans="1:27" ht="42" customHeight="1">
      <c r="A277" s="344"/>
      <c r="B277" s="344"/>
      <c r="C277" s="74">
        <v>8</v>
      </c>
      <c r="D277" s="344"/>
      <c r="E277" s="345"/>
      <c r="F277" s="74" t="s">
        <v>361</v>
      </c>
      <c r="G277" s="74" t="s">
        <v>524</v>
      </c>
      <c r="H277" s="80" t="s">
        <v>4909</v>
      </c>
      <c r="I277" s="39" t="s">
        <v>4835</v>
      </c>
      <c r="J277" s="289"/>
      <c r="K277" s="25"/>
      <c r="L277" s="57"/>
      <c r="M277" s="43"/>
      <c r="N277" s="223"/>
      <c r="O277" s="25"/>
      <c r="P277" s="25"/>
      <c r="Q277" s="25" t="s">
        <v>282</v>
      </c>
      <c r="R277" s="25" t="s">
        <v>7</v>
      </c>
      <c r="S277" s="25"/>
      <c r="T277" s="55"/>
      <c r="U277" s="55"/>
      <c r="V277" s="55"/>
      <c r="W277" s="55"/>
      <c r="X277" s="65"/>
      <c r="Y277" s="65"/>
      <c r="Z277" s="65"/>
      <c r="AA277" s="65"/>
    </row>
    <row r="278" spans="1:27" ht="15.75" customHeight="1">
      <c r="A278" s="344"/>
      <c r="B278" s="344"/>
      <c r="C278" s="74">
        <v>9</v>
      </c>
      <c r="D278" s="344"/>
      <c r="E278" s="364" t="s">
        <v>4916</v>
      </c>
      <c r="F278" s="74" t="s">
        <v>361</v>
      </c>
      <c r="G278" s="74" t="s">
        <v>524</v>
      </c>
      <c r="H278" s="80" t="s">
        <v>4917</v>
      </c>
      <c r="I278" s="109" t="s">
        <v>4918</v>
      </c>
      <c r="J278" s="109"/>
      <c r="K278" s="25"/>
      <c r="L278" s="57"/>
      <c r="M278" s="43"/>
      <c r="N278" s="223"/>
      <c r="O278" s="25"/>
      <c r="P278" s="25"/>
      <c r="Q278" s="25" t="s">
        <v>282</v>
      </c>
      <c r="R278" s="25" t="s">
        <v>298</v>
      </c>
      <c r="S278" s="25"/>
      <c r="T278" s="55"/>
      <c r="U278" s="55"/>
      <c r="V278" s="55"/>
      <c r="W278" s="55"/>
      <c r="X278" s="65"/>
      <c r="Y278" s="65"/>
      <c r="Z278" s="65"/>
      <c r="AA278" s="65"/>
    </row>
    <row r="279" spans="1:27" ht="15.75" customHeight="1">
      <c r="A279" s="344"/>
      <c r="B279" s="344"/>
      <c r="C279" s="74">
        <v>10</v>
      </c>
      <c r="D279" s="344"/>
      <c r="E279" s="345"/>
      <c r="F279" s="74" t="s">
        <v>361</v>
      </c>
      <c r="G279" s="74" t="s">
        <v>524</v>
      </c>
      <c r="H279" s="80" t="s">
        <v>4909</v>
      </c>
      <c r="I279" s="109" t="s">
        <v>4835</v>
      </c>
      <c r="J279" s="109"/>
      <c r="K279" s="25"/>
      <c r="L279" s="57"/>
      <c r="M279" s="43"/>
      <c r="N279" s="223"/>
      <c r="O279" s="25"/>
      <c r="P279" s="25"/>
      <c r="Q279" s="25" t="s">
        <v>282</v>
      </c>
      <c r="R279" s="25" t="s">
        <v>298</v>
      </c>
      <c r="S279" s="25"/>
      <c r="T279" s="55"/>
      <c r="U279" s="55"/>
      <c r="V279" s="55"/>
      <c r="W279" s="55"/>
      <c r="X279" s="65"/>
      <c r="Y279" s="65"/>
      <c r="Z279" s="65"/>
      <c r="AA279" s="65"/>
    </row>
    <row r="280" spans="1:27" ht="15.75" customHeight="1">
      <c r="A280" s="344"/>
      <c r="B280" s="344"/>
      <c r="C280" s="74">
        <v>11</v>
      </c>
      <c r="D280" s="344"/>
      <c r="E280" s="364" t="s">
        <v>4919</v>
      </c>
      <c r="F280" s="74" t="s">
        <v>361</v>
      </c>
      <c r="G280" s="74" t="s">
        <v>524</v>
      </c>
      <c r="H280" s="80" t="s">
        <v>4920</v>
      </c>
      <c r="I280" s="109" t="s">
        <v>4907</v>
      </c>
      <c r="J280" s="109"/>
      <c r="K280" s="25"/>
      <c r="L280" s="57"/>
      <c r="M280" s="43"/>
      <c r="N280" s="223"/>
      <c r="O280" s="25"/>
      <c r="P280" s="25"/>
      <c r="Q280" s="25" t="s">
        <v>282</v>
      </c>
      <c r="R280" s="25" t="s">
        <v>7</v>
      </c>
      <c r="S280" s="25"/>
      <c r="T280" s="55"/>
      <c r="U280" s="55"/>
      <c r="V280" s="55"/>
      <c r="W280" s="55"/>
      <c r="X280" s="65"/>
      <c r="Y280" s="65"/>
      <c r="Z280" s="65"/>
      <c r="AA280" s="65"/>
    </row>
    <row r="281" spans="1:27" ht="15.75" customHeight="1">
      <c r="A281" s="344"/>
      <c r="B281" s="344"/>
      <c r="C281" s="74">
        <v>12</v>
      </c>
      <c r="D281" s="344"/>
      <c r="E281" s="345"/>
      <c r="F281" s="74" t="s">
        <v>361</v>
      </c>
      <c r="G281" s="74" t="s">
        <v>524</v>
      </c>
      <c r="H281" s="80" t="s">
        <v>4909</v>
      </c>
      <c r="I281" s="109" t="s">
        <v>4835</v>
      </c>
      <c r="J281" s="109"/>
      <c r="K281" s="25"/>
      <c r="L281" s="57"/>
      <c r="M281" s="43"/>
      <c r="N281" s="223"/>
      <c r="O281" s="25"/>
      <c r="P281" s="25"/>
      <c r="Q281" s="25" t="s">
        <v>282</v>
      </c>
      <c r="R281" s="25" t="s">
        <v>7</v>
      </c>
      <c r="S281" s="25"/>
      <c r="T281" s="55"/>
      <c r="U281" s="55"/>
      <c r="V281" s="55"/>
      <c r="W281" s="55"/>
      <c r="X281" s="65"/>
      <c r="Y281" s="65"/>
      <c r="Z281" s="65"/>
      <c r="AA281" s="65"/>
    </row>
    <row r="282" spans="1:27" ht="15.75" customHeight="1">
      <c r="A282" s="344"/>
      <c r="B282" s="344"/>
      <c r="C282" s="74">
        <v>13</v>
      </c>
      <c r="D282" s="344"/>
      <c r="E282" s="364" t="s">
        <v>4921</v>
      </c>
      <c r="F282" s="74" t="s">
        <v>361</v>
      </c>
      <c r="G282" s="74" t="s">
        <v>524</v>
      </c>
      <c r="H282" s="80" t="s">
        <v>4922</v>
      </c>
      <c r="I282" s="109" t="s">
        <v>4918</v>
      </c>
      <c r="J282" s="109"/>
      <c r="K282" s="25"/>
      <c r="L282" s="57"/>
      <c r="M282" s="43"/>
      <c r="N282" s="223"/>
      <c r="O282" s="25"/>
      <c r="P282" s="25"/>
      <c r="Q282" s="25" t="s">
        <v>282</v>
      </c>
      <c r="R282" s="25" t="s">
        <v>298</v>
      </c>
      <c r="S282" s="25"/>
      <c r="T282" s="55"/>
      <c r="U282" s="55"/>
      <c r="V282" s="55"/>
      <c r="W282" s="55"/>
      <c r="X282" s="65"/>
      <c r="Y282" s="65"/>
      <c r="Z282" s="65"/>
      <c r="AA282" s="65"/>
    </row>
    <row r="283" spans="1:27" ht="15.75" customHeight="1">
      <c r="A283" s="344"/>
      <c r="B283" s="344"/>
      <c r="C283" s="74">
        <v>14</v>
      </c>
      <c r="D283" s="344"/>
      <c r="E283" s="345"/>
      <c r="F283" s="74" t="s">
        <v>361</v>
      </c>
      <c r="G283" s="74" t="s">
        <v>524</v>
      </c>
      <c r="H283" s="80" t="s">
        <v>4909</v>
      </c>
      <c r="I283" s="109" t="s">
        <v>4835</v>
      </c>
      <c r="J283" s="109"/>
      <c r="K283" s="25"/>
      <c r="L283" s="57"/>
      <c r="M283" s="43"/>
      <c r="N283" s="223"/>
      <c r="O283" s="25"/>
      <c r="P283" s="25"/>
      <c r="Q283" s="25" t="s">
        <v>282</v>
      </c>
      <c r="R283" s="25" t="s">
        <v>298</v>
      </c>
      <c r="S283" s="25"/>
      <c r="T283" s="55"/>
      <c r="U283" s="55"/>
      <c r="V283" s="55"/>
      <c r="W283" s="55"/>
      <c r="X283" s="65"/>
      <c r="Y283" s="65"/>
      <c r="Z283" s="65"/>
      <c r="AA283" s="65"/>
    </row>
    <row r="284" spans="1:27" ht="15.75" customHeight="1">
      <c r="A284" s="344"/>
      <c r="B284" s="344"/>
      <c r="C284" s="74">
        <v>15</v>
      </c>
      <c r="D284" s="344"/>
      <c r="E284" s="364" t="s">
        <v>4923</v>
      </c>
      <c r="F284" s="74" t="s">
        <v>361</v>
      </c>
      <c r="G284" s="74" t="s">
        <v>524</v>
      </c>
      <c r="H284" s="80" t="s">
        <v>4924</v>
      </c>
      <c r="I284" s="109" t="s">
        <v>4918</v>
      </c>
      <c r="J284" s="109"/>
      <c r="K284" s="25"/>
      <c r="L284" s="57"/>
      <c r="M284" s="43"/>
      <c r="N284" s="223"/>
      <c r="O284" s="25"/>
      <c r="P284" s="25"/>
      <c r="Q284" s="25" t="s">
        <v>282</v>
      </c>
      <c r="R284" s="25" t="s">
        <v>298</v>
      </c>
      <c r="S284" s="25"/>
      <c r="T284" s="55"/>
      <c r="U284" s="55"/>
      <c r="V284" s="55"/>
      <c r="W284" s="55"/>
      <c r="X284" s="65"/>
      <c r="Y284" s="65"/>
      <c r="Z284" s="65"/>
      <c r="AA284" s="65"/>
    </row>
    <row r="285" spans="1:27" ht="15.75" customHeight="1">
      <c r="A285" s="344"/>
      <c r="B285" s="344"/>
      <c r="C285" s="74">
        <v>16</v>
      </c>
      <c r="D285" s="344"/>
      <c r="E285" s="344"/>
      <c r="F285" s="74" t="s">
        <v>361</v>
      </c>
      <c r="G285" s="74" t="s">
        <v>524</v>
      </c>
      <c r="H285" s="80" t="s">
        <v>4925</v>
      </c>
      <c r="I285" s="109" t="s">
        <v>4918</v>
      </c>
      <c r="J285" s="109"/>
      <c r="K285" s="25"/>
      <c r="L285" s="57"/>
      <c r="M285" s="43"/>
      <c r="N285" s="223"/>
      <c r="O285" s="25"/>
      <c r="P285" s="25"/>
      <c r="Q285" s="25" t="s">
        <v>282</v>
      </c>
      <c r="R285" s="25" t="s">
        <v>298</v>
      </c>
      <c r="S285" s="25"/>
      <c r="T285" s="55"/>
      <c r="U285" s="55"/>
      <c r="V285" s="55"/>
      <c r="W285" s="55"/>
      <c r="X285" s="65"/>
      <c r="Y285" s="65"/>
      <c r="Z285" s="65"/>
      <c r="AA285" s="65"/>
    </row>
    <row r="286" spans="1:27" ht="15.75" customHeight="1">
      <c r="A286" s="344"/>
      <c r="B286" s="344"/>
      <c r="C286" s="74">
        <v>17</v>
      </c>
      <c r="D286" s="344"/>
      <c r="E286" s="345"/>
      <c r="F286" s="74" t="s">
        <v>361</v>
      </c>
      <c r="G286" s="74" t="s">
        <v>524</v>
      </c>
      <c r="H286" s="80" t="s">
        <v>4926</v>
      </c>
      <c r="I286" s="109" t="s">
        <v>4927</v>
      </c>
      <c r="J286" s="109"/>
      <c r="K286" s="25"/>
      <c r="L286" s="57"/>
      <c r="M286" s="43"/>
      <c r="N286" s="223"/>
      <c r="O286" s="25"/>
      <c r="P286" s="25"/>
      <c r="Q286" s="25" t="s">
        <v>282</v>
      </c>
      <c r="R286" s="25" t="s">
        <v>298</v>
      </c>
      <c r="S286" s="25"/>
      <c r="T286" s="55"/>
      <c r="U286" s="55"/>
      <c r="V286" s="55"/>
      <c r="W286" s="55"/>
      <c r="X286" s="65"/>
      <c r="Y286" s="65"/>
      <c r="Z286" s="65"/>
      <c r="AA286" s="65"/>
    </row>
    <row r="287" spans="1:27" ht="15.75" customHeight="1">
      <c r="A287" s="344"/>
      <c r="B287" s="344"/>
      <c r="C287" s="74">
        <v>18</v>
      </c>
      <c r="D287" s="344"/>
      <c r="E287" s="372" t="s">
        <v>4928</v>
      </c>
      <c r="F287" s="74" t="s">
        <v>361</v>
      </c>
      <c r="G287" s="74" t="s">
        <v>524</v>
      </c>
      <c r="H287" s="80" t="s">
        <v>4929</v>
      </c>
      <c r="I287" s="39" t="s">
        <v>4907</v>
      </c>
      <c r="J287" s="289"/>
      <c r="K287" s="25"/>
      <c r="L287" s="57"/>
      <c r="M287" s="43"/>
      <c r="N287" s="223"/>
      <c r="O287" s="25"/>
      <c r="P287" s="25"/>
      <c r="Q287" s="25" t="s">
        <v>282</v>
      </c>
      <c r="R287" s="25" t="s">
        <v>7</v>
      </c>
      <c r="S287" s="25"/>
      <c r="T287" s="55"/>
      <c r="U287" s="55"/>
      <c r="V287" s="55"/>
      <c r="W287" s="55"/>
      <c r="X287" s="65"/>
      <c r="Y287" s="65"/>
      <c r="Z287" s="65"/>
      <c r="AA287" s="65"/>
    </row>
    <row r="288" spans="1:27" ht="15.75" customHeight="1">
      <c r="A288" s="344"/>
      <c r="B288" s="344"/>
      <c r="C288" s="74">
        <v>19</v>
      </c>
      <c r="D288" s="344"/>
      <c r="E288" s="344"/>
      <c r="F288" s="74" t="s">
        <v>361</v>
      </c>
      <c r="G288" s="74" t="s">
        <v>524</v>
      </c>
      <c r="H288" s="80" t="s">
        <v>4930</v>
      </c>
      <c r="I288" s="39" t="s">
        <v>4907</v>
      </c>
      <c r="J288" s="289"/>
      <c r="K288" s="25"/>
      <c r="L288" s="57"/>
      <c r="M288" s="43"/>
      <c r="N288" s="223"/>
      <c r="O288" s="25"/>
      <c r="P288" s="25"/>
      <c r="Q288" s="25" t="s">
        <v>282</v>
      </c>
      <c r="R288" s="25" t="s">
        <v>7</v>
      </c>
      <c r="S288" s="25"/>
      <c r="T288" s="55"/>
      <c r="U288" s="55"/>
      <c r="V288" s="55"/>
      <c r="W288" s="55"/>
      <c r="X288" s="65"/>
      <c r="Y288" s="65"/>
      <c r="Z288" s="65"/>
      <c r="AA288" s="65"/>
    </row>
    <row r="289" spans="1:27" ht="15.75" customHeight="1">
      <c r="A289" s="344"/>
      <c r="B289" s="344"/>
      <c r="C289" s="74">
        <v>20</v>
      </c>
      <c r="D289" s="344"/>
      <c r="E289" s="345"/>
      <c r="F289" s="74" t="s">
        <v>361</v>
      </c>
      <c r="G289" s="74" t="s">
        <v>524</v>
      </c>
      <c r="H289" s="80" t="s">
        <v>4926</v>
      </c>
      <c r="I289" s="39" t="s">
        <v>4927</v>
      </c>
      <c r="J289" s="289"/>
      <c r="K289" s="25"/>
      <c r="L289" s="57"/>
      <c r="M289" s="43"/>
      <c r="N289" s="223"/>
      <c r="O289" s="25"/>
      <c r="P289" s="25"/>
      <c r="Q289" s="25" t="s">
        <v>282</v>
      </c>
      <c r="R289" s="25" t="s">
        <v>7</v>
      </c>
      <c r="S289" s="25"/>
      <c r="T289" s="55"/>
      <c r="U289" s="55"/>
      <c r="V289" s="55"/>
      <c r="W289" s="55"/>
      <c r="X289" s="65"/>
      <c r="Y289" s="65"/>
      <c r="Z289" s="65"/>
      <c r="AA289" s="65"/>
    </row>
    <row r="290" spans="1:27" ht="15.75" customHeight="1">
      <c r="A290" s="344"/>
      <c r="B290" s="344"/>
      <c r="C290" s="74">
        <v>21</v>
      </c>
      <c r="D290" s="344"/>
      <c r="E290" s="364" t="s">
        <v>4931</v>
      </c>
      <c r="F290" s="74" t="s">
        <v>361</v>
      </c>
      <c r="G290" s="74" t="s">
        <v>524</v>
      </c>
      <c r="H290" s="80" t="s">
        <v>4924</v>
      </c>
      <c r="I290" s="109" t="s">
        <v>4918</v>
      </c>
      <c r="J290" s="109"/>
      <c r="K290" s="25"/>
      <c r="L290" s="57"/>
      <c r="M290" s="43"/>
      <c r="N290" s="223"/>
      <c r="O290" s="25"/>
      <c r="P290" s="25"/>
      <c r="Q290" s="25" t="s">
        <v>282</v>
      </c>
      <c r="R290" s="25" t="s">
        <v>298</v>
      </c>
      <c r="S290" s="25"/>
      <c r="T290" s="55"/>
      <c r="U290" s="55"/>
      <c r="V290" s="55"/>
      <c r="W290" s="55"/>
      <c r="X290" s="65"/>
      <c r="Y290" s="65"/>
      <c r="Z290" s="65"/>
      <c r="AA290" s="65"/>
    </row>
    <row r="291" spans="1:27" ht="15.75" customHeight="1">
      <c r="A291" s="344"/>
      <c r="B291" s="344"/>
      <c r="C291" s="74">
        <v>22</v>
      </c>
      <c r="D291" s="344"/>
      <c r="E291" s="344"/>
      <c r="F291" s="74" t="s">
        <v>361</v>
      </c>
      <c r="G291" s="74" t="s">
        <v>524</v>
      </c>
      <c r="H291" s="80" t="s">
        <v>4925</v>
      </c>
      <c r="I291" s="109" t="s">
        <v>4918</v>
      </c>
      <c r="J291" s="109"/>
      <c r="K291" s="25"/>
      <c r="L291" s="57"/>
      <c r="M291" s="43"/>
      <c r="N291" s="223"/>
      <c r="O291" s="25"/>
      <c r="P291" s="25"/>
      <c r="Q291" s="25" t="s">
        <v>282</v>
      </c>
      <c r="R291" s="25" t="s">
        <v>298</v>
      </c>
      <c r="S291" s="25"/>
      <c r="T291" s="55"/>
      <c r="U291" s="55"/>
      <c r="V291" s="55"/>
      <c r="W291" s="55"/>
      <c r="X291" s="65"/>
      <c r="Y291" s="65"/>
      <c r="Z291" s="65"/>
      <c r="AA291" s="65"/>
    </row>
    <row r="292" spans="1:27" ht="15.75" customHeight="1">
      <c r="A292" s="344"/>
      <c r="B292" s="344"/>
      <c r="C292" s="74">
        <v>23</v>
      </c>
      <c r="D292" s="344"/>
      <c r="E292" s="345"/>
      <c r="F292" s="74" t="s">
        <v>361</v>
      </c>
      <c r="G292" s="74" t="s">
        <v>524</v>
      </c>
      <c r="H292" s="80" t="s">
        <v>4926</v>
      </c>
      <c r="I292" s="109" t="s">
        <v>4927</v>
      </c>
      <c r="J292" s="109"/>
      <c r="K292" s="25"/>
      <c r="L292" s="57"/>
      <c r="M292" s="43"/>
      <c r="N292" s="223"/>
      <c r="O292" s="25"/>
      <c r="P292" s="25"/>
      <c r="Q292" s="25" t="s">
        <v>282</v>
      </c>
      <c r="R292" s="25" t="s">
        <v>298</v>
      </c>
      <c r="S292" s="25"/>
      <c r="T292" s="55"/>
      <c r="U292" s="55"/>
      <c r="V292" s="55"/>
      <c r="W292" s="55"/>
      <c r="X292" s="65"/>
      <c r="Y292" s="65"/>
      <c r="Z292" s="65"/>
      <c r="AA292" s="65"/>
    </row>
    <row r="293" spans="1:27" ht="15.75" customHeight="1">
      <c r="A293" s="344"/>
      <c r="B293" s="344"/>
      <c r="C293" s="74">
        <v>24</v>
      </c>
      <c r="D293" s="344"/>
      <c r="E293" s="364" t="s">
        <v>4932</v>
      </c>
      <c r="F293" s="363" t="s">
        <v>361</v>
      </c>
      <c r="G293" s="363" t="s">
        <v>524</v>
      </c>
      <c r="H293" s="80" t="s">
        <v>4933</v>
      </c>
      <c r="I293" s="73" t="s">
        <v>4934</v>
      </c>
      <c r="J293" s="79"/>
      <c r="K293" s="25"/>
      <c r="L293" s="57"/>
      <c r="M293" s="43"/>
      <c r="N293" s="223"/>
      <c r="O293" s="25"/>
      <c r="P293" s="25"/>
      <c r="Q293" s="25" t="s">
        <v>282</v>
      </c>
      <c r="R293" s="25" t="s">
        <v>7</v>
      </c>
      <c r="S293" s="25"/>
      <c r="T293" s="55"/>
      <c r="U293" s="55"/>
      <c r="V293" s="55"/>
      <c r="W293" s="55"/>
      <c r="X293" s="65"/>
      <c r="Y293" s="65"/>
      <c r="Z293" s="65"/>
      <c r="AA293" s="65"/>
    </row>
    <row r="294" spans="1:27" ht="15.75" customHeight="1">
      <c r="A294" s="344"/>
      <c r="B294" s="344"/>
      <c r="C294" s="74">
        <v>25</v>
      </c>
      <c r="D294" s="344"/>
      <c r="E294" s="345"/>
      <c r="F294" s="345"/>
      <c r="G294" s="345"/>
      <c r="H294" s="80" t="s">
        <v>522</v>
      </c>
      <c r="I294" s="73" t="s">
        <v>4934</v>
      </c>
      <c r="J294" s="79"/>
      <c r="K294" s="25"/>
      <c r="L294" s="57"/>
      <c r="M294" s="43"/>
      <c r="N294" s="223"/>
      <c r="O294" s="25"/>
      <c r="P294" s="25"/>
      <c r="Q294" s="25" t="s">
        <v>282</v>
      </c>
      <c r="R294" s="25" t="s">
        <v>7</v>
      </c>
      <c r="S294" s="25"/>
      <c r="T294" s="55"/>
      <c r="U294" s="55"/>
      <c r="V294" s="55"/>
      <c r="W294" s="55"/>
      <c r="X294" s="65"/>
      <c r="Y294" s="65"/>
      <c r="Z294" s="65"/>
      <c r="AA294" s="65"/>
    </row>
    <row r="295" spans="1:27" ht="15.75" customHeight="1">
      <c r="A295" s="344"/>
      <c r="B295" s="344"/>
      <c r="C295" s="74">
        <v>26</v>
      </c>
      <c r="D295" s="344"/>
      <c r="E295" s="364" t="s">
        <v>4935</v>
      </c>
      <c r="F295" s="363" t="s">
        <v>361</v>
      </c>
      <c r="G295" s="363" t="s">
        <v>524</v>
      </c>
      <c r="H295" s="80" t="s">
        <v>4936</v>
      </c>
      <c r="I295" s="73" t="s">
        <v>4934</v>
      </c>
      <c r="J295" s="79"/>
      <c r="K295" s="25"/>
      <c r="L295" s="57"/>
      <c r="M295" s="43"/>
      <c r="N295" s="223"/>
      <c r="O295" s="25"/>
      <c r="P295" s="25"/>
      <c r="Q295" s="25" t="s">
        <v>282</v>
      </c>
      <c r="R295" s="25" t="s">
        <v>298</v>
      </c>
      <c r="S295" s="25"/>
      <c r="T295" s="55"/>
      <c r="U295" s="55"/>
      <c r="V295" s="55"/>
      <c r="W295" s="55"/>
      <c r="X295" s="65"/>
      <c r="Y295" s="65"/>
      <c r="Z295" s="65"/>
      <c r="AA295" s="65"/>
    </row>
    <row r="296" spans="1:27" ht="15.75" customHeight="1">
      <c r="A296" s="344"/>
      <c r="B296" s="344"/>
      <c r="C296" s="74">
        <v>27</v>
      </c>
      <c r="D296" s="344"/>
      <c r="E296" s="345"/>
      <c r="F296" s="345"/>
      <c r="G296" s="345"/>
      <c r="H296" s="80" t="s">
        <v>522</v>
      </c>
      <c r="I296" s="73" t="s">
        <v>4934</v>
      </c>
      <c r="J296" s="79"/>
      <c r="K296" s="25"/>
      <c r="L296" s="57"/>
      <c r="M296" s="43"/>
      <c r="N296" s="223"/>
      <c r="O296" s="25"/>
      <c r="P296" s="25"/>
      <c r="Q296" s="25" t="s">
        <v>282</v>
      </c>
      <c r="R296" s="25" t="s">
        <v>298</v>
      </c>
      <c r="S296" s="25"/>
      <c r="T296" s="55"/>
      <c r="U296" s="55"/>
      <c r="V296" s="55"/>
      <c r="W296" s="55"/>
      <c r="X296" s="65"/>
      <c r="Y296" s="65"/>
      <c r="Z296" s="65"/>
      <c r="AA296" s="65"/>
    </row>
    <row r="297" spans="1:27" ht="15.75" customHeight="1">
      <c r="A297" s="344"/>
      <c r="B297" s="344"/>
      <c r="C297" s="74">
        <v>28</v>
      </c>
      <c r="D297" s="344"/>
      <c r="E297" s="364" t="s">
        <v>4937</v>
      </c>
      <c r="F297" s="74" t="s">
        <v>361</v>
      </c>
      <c r="G297" s="74" t="s">
        <v>327</v>
      </c>
      <c r="H297" s="80" t="s">
        <v>4938</v>
      </c>
      <c r="I297" s="39" t="s">
        <v>4907</v>
      </c>
      <c r="J297" s="289"/>
      <c r="K297" s="25"/>
      <c r="L297" s="57"/>
      <c r="M297" s="43"/>
      <c r="N297" s="223"/>
      <c r="O297" s="25"/>
      <c r="P297" s="25"/>
      <c r="Q297" s="25" t="s">
        <v>282</v>
      </c>
      <c r="R297" s="25"/>
      <c r="S297" s="25"/>
      <c r="T297" s="55"/>
      <c r="U297" s="55"/>
      <c r="V297" s="55"/>
      <c r="W297" s="55"/>
      <c r="X297" s="65"/>
      <c r="Y297" s="65"/>
      <c r="Z297" s="65"/>
      <c r="AA297" s="65"/>
    </row>
    <row r="298" spans="1:27" ht="15.75" customHeight="1">
      <c r="A298" s="344"/>
      <c r="B298" s="344"/>
      <c r="C298" s="74">
        <v>29</v>
      </c>
      <c r="D298" s="344"/>
      <c r="E298" s="344"/>
      <c r="F298" s="74" t="s">
        <v>361</v>
      </c>
      <c r="G298" s="74" t="s">
        <v>327</v>
      </c>
      <c r="H298" s="80" t="s">
        <v>4909</v>
      </c>
      <c r="I298" s="39" t="s">
        <v>4835</v>
      </c>
      <c r="J298" s="289"/>
      <c r="K298" s="25"/>
      <c r="L298" s="57"/>
      <c r="M298" s="43"/>
      <c r="N298" s="223"/>
      <c r="O298" s="25"/>
      <c r="P298" s="25"/>
      <c r="Q298" s="25" t="s">
        <v>282</v>
      </c>
      <c r="R298" s="25"/>
      <c r="S298" s="25"/>
      <c r="T298" s="55"/>
      <c r="U298" s="55"/>
      <c r="V298" s="55"/>
      <c r="W298" s="55"/>
      <c r="X298" s="65"/>
      <c r="Y298" s="65"/>
      <c r="Z298" s="65"/>
      <c r="AA298" s="65"/>
    </row>
    <row r="299" spans="1:27" ht="15.75" customHeight="1">
      <c r="A299" s="344"/>
      <c r="B299" s="344"/>
      <c r="C299" s="74">
        <v>30</v>
      </c>
      <c r="D299" s="344"/>
      <c r="E299" s="344"/>
      <c r="F299" s="74" t="s">
        <v>361</v>
      </c>
      <c r="G299" s="74" t="s">
        <v>327</v>
      </c>
      <c r="H299" s="80" t="s">
        <v>4939</v>
      </c>
      <c r="I299" s="39" t="s">
        <v>4907</v>
      </c>
      <c r="J299" s="289"/>
      <c r="K299" s="25"/>
      <c r="L299" s="57"/>
      <c r="M299" s="43"/>
      <c r="N299" s="223"/>
      <c r="O299" s="25"/>
      <c r="P299" s="25"/>
      <c r="Q299" s="25" t="s">
        <v>282</v>
      </c>
      <c r="R299" s="25"/>
      <c r="S299" s="25"/>
      <c r="T299" s="55"/>
      <c r="U299" s="55"/>
      <c r="V299" s="55"/>
      <c r="W299" s="55"/>
      <c r="X299" s="65"/>
      <c r="Y299" s="65"/>
      <c r="Z299" s="65"/>
      <c r="AA299" s="65"/>
    </row>
    <row r="300" spans="1:27" ht="15.75" customHeight="1">
      <c r="A300" s="344"/>
      <c r="B300" s="344"/>
      <c r="C300" s="74">
        <v>31</v>
      </c>
      <c r="D300" s="344"/>
      <c r="E300" s="344"/>
      <c r="F300" s="74" t="s">
        <v>361</v>
      </c>
      <c r="G300" s="74" t="s">
        <v>327</v>
      </c>
      <c r="H300" s="80" t="s">
        <v>4940</v>
      </c>
      <c r="I300" s="39" t="s">
        <v>4941</v>
      </c>
      <c r="J300" s="289"/>
      <c r="K300" s="25"/>
      <c r="L300" s="57"/>
      <c r="M300" s="43"/>
      <c r="N300" s="223"/>
      <c r="O300" s="25"/>
      <c r="P300" s="25"/>
      <c r="Q300" s="25" t="s">
        <v>282</v>
      </c>
      <c r="R300" s="25"/>
      <c r="S300" s="25"/>
      <c r="T300" s="55"/>
      <c r="U300" s="55"/>
      <c r="V300" s="55"/>
      <c r="W300" s="55"/>
      <c r="X300" s="65"/>
      <c r="Y300" s="65"/>
      <c r="Z300" s="65"/>
      <c r="AA300" s="65"/>
    </row>
    <row r="301" spans="1:27" ht="15.75" customHeight="1">
      <c r="A301" s="344"/>
      <c r="B301" s="344"/>
      <c r="C301" s="74">
        <v>32</v>
      </c>
      <c r="D301" s="344"/>
      <c r="E301" s="344"/>
      <c r="F301" s="74" t="s">
        <v>361</v>
      </c>
      <c r="G301" s="74" t="s">
        <v>327</v>
      </c>
      <c r="H301" s="80" t="s">
        <v>4942</v>
      </c>
      <c r="I301" s="39" t="s">
        <v>4907</v>
      </c>
      <c r="J301" s="289"/>
      <c r="K301" s="25"/>
      <c r="L301" s="57"/>
      <c r="M301" s="43"/>
      <c r="N301" s="223"/>
      <c r="O301" s="25"/>
      <c r="P301" s="25"/>
      <c r="Q301" s="25" t="s">
        <v>282</v>
      </c>
      <c r="R301" s="25"/>
      <c r="S301" s="25"/>
      <c r="T301" s="55"/>
      <c r="U301" s="55"/>
      <c r="V301" s="55"/>
      <c r="W301" s="55"/>
      <c r="X301" s="65"/>
      <c r="Y301" s="65"/>
      <c r="Z301" s="65"/>
      <c r="AA301" s="65"/>
    </row>
    <row r="302" spans="1:27" ht="15.75" customHeight="1">
      <c r="A302" s="345"/>
      <c r="B302" s="345"/>
      <c r="C302" s="74">
        <v>33</v>
      </c>
      <c r="D302" s="345"/>
      <c r="E302" s="345"/>
      <c r="F302" s="74" t="s">
        <v>361</v>
      </c>
      <c r="G302" s="74" t="s">
        <v>327</v>
      </c>
      <c r="H302" s="80" t="s">
        <v>4909</v>
      </c>
      <c r="I302" s="39" t="s">
        <v>4835</v>
      </c>
      <c r="J302" s="289"/>
      <c r="K302" s="25"/>
      <c r="L302" s="57"/>
      <c r="M302" s="43"/>
      <c r="N302" s="223"/>
      <c r="O302" s="25"/>
      <c r="P302" s="25"/>
      <c r="Q302" s="25" t="s">
        <v>282</v>
      </c>
      <c r="R302" s="25"/>
      <c r="S302" s="25"/>
      <c r="T302" s="55"/>
      <c r="U302" s="55"/>
      <c r="V302" s="55"/>
      <c r="W302" s="55"/>
      <c r="X302" s="65"/>
      <c r="Y302" s="65"/>
      <c r="Z302" s="65"/>
      <c r="AA302" s="65"/>
    </row>
    <row r="303" spans="1:27" ht="15.75" customHeight="1">
      <c r="A303" s="355" t="s">
        <v>4943</v>
      </c>
      <c r="B303" s="350" t="s">
        <v>102</v>
      </c>
      <c r="C303" s="74">
        <v>1</v>
      </c>
      <c r="D303" s="364" t="s">
        <v>4944</v>
      </c>
      <c r="E303" s="80" t="s">
        <v>4945</v>
      </c>
      <c r="F303" s="74"/>
      <c r="G303" s="74"/>
      <c r="H303" s="80" t="s">
        <v>4946</v>
      </c>
      <c r="I303" s="80" t="s">
        <v>4927</v>
      </c>
      <c r="J303" s="84"/>
      <c r="K303" s="25"/>
      <c r="L303" s="57"/>
      <c r="M303" s="43"/>
      <c r="N303" s="223"/>
      <c r="O303" s="25"/>
      <c r="P303" s="25"/>
      <c r="Q303" s="25" t="s">
        <v>282</v>
      </c>
      <c r="R303" s="25"/>
      <c r="S303" s="25"/>
      <c r="T303" s="55"/>
      <c r="U303" s="55"/>
      <c r="V303" s="55"/>
      <c r="W303" s="55"/>
      <c r="X303" s="65"/>
      <c r="Y303" s="65"/>
      <c r="Z303" s="65"/>
      <c r="AA303" s="65"/>
    </row>
    <row r="304" spans="1:27" ht="15.75" customHeight="1">
      <c r="A304" s="344"/>
      <c r="B304" s="344"/>
      <c r="C304" s="74">
        <v>2</v>
      </c>
      <c r="D304" s="344"/>
      <c r="E304" s="80" t="s">
        <v>4947</v>
      </c>
      <c r="F304" s="74"/>
      <c r="G304" s="74"/>
      <c r="H304" s="80" t="s">
        <v>4948</v>
      </c>
      <c r="I304" s="80" t="s">
        <v>4949</v>
      </c>
      <c r="J304" s="84"/>
      <c r="K304" s="25"/>
      <c r="L304" s="57"/>
      <c r="M304" s="43"/>
      <c r="N304" s="223"/>
      <c r="O304" s="25"/>
      <c r="P304" s="25"/>
      <c r="Q304" s="25" t="s">
        <v>282</v>
      </c>
      <c r="R304" s="25"/>
      <c r="S304" s="25"/>
      <c r="T304" s="55"/>
      <c r="U304" s="55"/>
      <c r="V304" s="55"/>
      <c r="W304" s="55"/>
      <c r="X304" s="65"/>
      <c r="Y304" s="65"/>
      <c r="Z304" s="65"/>
      <c r="AA304" s="65"/>
    </row>
    <row r="305" spans="1:27" ht="15.75" customHeight="1">
      <c r="A305" s="344"/>
      <c r="B305" s="344"/>
      <c r="C305" s="74">
        <v>3</v>
      </c>
      <c r="D305" s="344"/>
      <c r="E305" s="80" t="s">
        <v>4950</v>
      </c>
      <c r="F305" s="74"/>
      <c r="G305" s="74"/>
      <c r="H305" s="80" t="s">
        <v>4951</v>
      </c>
      <c r="I305" s="80" t="s">
        <v>4952</v>
      </c>
      <c r="J305" s="84"/>
      <c r="K305" s="25"/>
      <c r="L305" s="57"/>
      <c r="M305" s="43"/>
      <c r="N305" s="223"/>
      <c r="O305" s="28" t="s">
        <v>140</v>
      </c>
      <c r="P305" s="25"/>
      <c r="Q305" s="25" t="s">
        <v>282</v>
      </c>
      <c r="R305" s="25" t="s">
        <v>7</v>
      </c>
      <c r="S305" s="25"/>
      <c r="T305" s="55"/>
      <c r="U305" s="55"/>
      <c r="V305" s="55"/>
      <c r="W305" s="55"/>
      <c r="X305" s="65"/>
      <c r="Y305" s="65"/>
      <c r="Z305" s="65"/>
      <c r="AA305" s="65"/>
    </row>
    <row r="306" spans="1:27" ht="15.75" customHeight="1">
      <c r="A306" s="344"/>
      <c r="B306" s="344"/>
      <c r="C306" s="74">
        <v>4</v>
      </c>
      <c r="D306" s="344"/>
      <c r="E306" s="80" t="s">
        <v>4908</v>
      </c>
      <c r="F306" s="74"/>
      <c r="G306" s="74"/>
      <c r="H306" s="80" t="s">
        <v>3246</v>
      </c>
      <c r="I306" s="80" t="s">
        <v>4953</v>
      </c>
      <c r="J306" s="84"/>
      <c r="K306" s="25"/>
      <c r="L306" s="57"/>
      <c r="M306" s="43"/>
      <c r="N306" s="223"/>
      <c r="O306" s="28" t="s">
        <v>140</v>
      </c>
      <c r="P306" s="25"/>
      <c r="Q306" s="25" t="s">
        <v>282</v>
      </c>
      <c r="R306" s="25" t="s">
        <v>7</v>
      </c>
      <c r="S306" s="25"/>
      <c r="T306" s="55"/>
      <c r="U306" s="55"/>
      <c r="V306" s="55"/>
      <c r="W306" s="55"/>
      <c r="X306" s="65"/>
      <c r="Y306" s="65"/>
      <c r="Z306" s="65"/>
      <c r="AA306" s="65"/>
    </row>
    <row r="307" spans="1:27" ht="15.75" customHeight="1">
      <c r="A307" s="344"/>
      <c r="B307" s="344"/>
      <c r="C307" s="74">
        <v>5</v>
      </c>
      <c r="D307" s="344"/>
      <c r="E307" s="80" t="s">
        <v>4954</v>
      </c>
      <c r="F307" s="74"/>
      <c r="G307" s="74"/>
      <c r="H307" s="80" t="s">
        <v>4955</v>
      </c>
      <c r="I307" s="80" t="s">
        <v>4956</v>
      </c>
      <c r="J307" s="84"/>
      <c r="K307" s="25"/>
      <c r="L307" s="57"/>
      <c r="M307" s="43"/>
      <c r="N307" s="223"/>
      <c r="O307" s="28"/>
      <c r="P307" s="25"/>
      <c r="Q307" s="25" t="s">
        <v>282</v>
      </c>
      <c r="R307" s="25" t="s">
        <v>298</v>
      </c>
      <c r="S307" s="25"/>
      <c r="T307" s="55"/>
      <c r="U307" s="55"/>
      <c r="V307" s="55"/>
      <c r="W307" s="55"/>
      <c r="X307" s="65"/>
      <c r="Y307" s="65"/>
      <c r="Z307" s="65"/>
      <c r="AA307" s="65"/>
    </row>
    <row r="308" spans="1:27" ht="15.75" customHeight="1">
      <c r="A308" s="344"/>
      <c r="B308" s="344"/>
      <c r="C308" s="74">
        <v>6</v>
      </c>
      <c r="D308" s="344"/>
      <c r="E308" s="80" t="s">
        <v>4908</v>
      </c>
      <c r="F308" s="74"/>
      <c r="G308" s="74"/>
      <c r="H308" s="80" t="s">
        <v>4957</v>
      </c>
      <c r="I308" s="80" t="s">
        <v>4958</v>
      </c>
      <c r="J308" s="84"/>
      <c r="K308" s="25"/>
      <c r="L308" s="57"/>
      <c r="M308" s="43"/>
      <c r="N308" s="223"/>
      <c r="O308" s="28"/>
      <c r="P308" s="25"/>
      <c r="Q308" s="25" t="s">
        <v>282</v>
      </c>
      <c r="R308" s="25" t="s">
        <v>298</v>
      </c>
      <c r="S308" s="25"/>
      <c r="T308" s="55"/>
      <c r="U308" s="55"/>
      <c r="V308" s="55"/>
      <c r="W308" s="55"/>
      <c r="X308" s="65"/>
      <c r="Y308" s="65"/>
      <c r="Z308" s="65"/>
      <c r="AA308" s="65"/>
    </row>
    <row r="309" spans="1:27" ht="15.75" customHeight="1">
      <c r="A309" s="344"/>
      <c r="B309" s="344"/>
      <c r="C309" s="74">
        <v>7</v>
      </c>
      <c r="D309" s="344"/>
      <c r="E309" s="80" t="s">
        <v>4959</v>
      </c>
      <c r="F309" s="74"/>
      <c r="G309" s="74"/>
      <c r="H309" s="80" t="s">
        <v>4960</v>
      </c>
      <c r="I309" s="80" t="s">
        <v>4961</v>
      </c>
      <c r="J309" s="84"/>
      <c r="K309" s="25"/>
      <c r="L309" s="57"/>
      <c r="M309" s="43"/>
      <c r="N309" s="223"/>
      <c r="O309" s="28"/>
      <c r="P309" s="25"/>
      <c r="Q309" s="25" t="s">
        <v>282</v>
      </c>
      <c r="R309" s="25" t="s">
        <v>298</v>
      </c>
      <c r="S309" s="25"/>
      <c r="T309" s="55"/>
      <c r="U309" s="55"/>
      <c r="V309" s="55"/>
      <c r="W309" s="55"/>
      <c r="X309" s="65"/>
      <c r="Y309" s="65"/>
      <c r="Z309" s="65"/>
      <c r="AA309" s="65"/>
    </row>
    <row r="310" spans="1:27" ht="15.75" customHeight="1">
      <c r="A310" s="344"/>
      <c r="B310" s="344"/>
      <c r="C310" s="74">
        <v>8</v>
      </c>
      <c r="D310" s="344"/>
      <c r="E310" s="80" t="s">
        <v>4908</v>
      </c>
      <c r="F310" s="74"/>
      <c r="G310" s="74"/>
      <c r="H310" s="80" t="s">
        <v>4962</v>
      </c>
      <c r="I310" s="80" t="s">
        <v>4963</v>
      </c>
      <c r="J310" s="84"/>
      <c r="K310" s="25"/>
      <c r="L310" s="57"/>
      <c r="M310" s="43"/>
      <c r="N310" s="223"/>
      <c r="O310" s="28"/>
      <c r="P310" s="25"/>
      <c r="Q310" s="25" t="s">
        <v>282</v>
      </c>
      <c r="R310" s="25" t="s">
        <v>298</v>
      </c>
      <c r="S310" s="25"/>
      <c r="T310" s="55"/>
      <c r="U310" s="55"/>
      <c r="V310" s="55"/>
      <c r="W310" s="55"/>
      <c r="X310" s="65"/>
      <c r="Y310" s="65"/>
      <c r="Z310" s="65"/>
      <c r="AA310" s="65"/>
    </row>
    <row r="311" spans="1:27" ht="15.75" customHeight="1">
      <c r="A311" s="344"/>
      <c r="B311" s="344"/>
      <c r="C311" s="74">
        <v>9</v>
      </c>
      <c r="D311" s="344"/>
      <c r="E311" s="80" t="s">
        <v>4964</v>
      </c>
      <c r="F311" s="74"/>
      <c r="G311" s="74"/>
      <c r="H311" s="80" t="s">
        <v>4965</v>
      </c>
      <c r="I311" s="80" t="s">
        <v>4966</v>
      </c>
      <c r="J311" s="84"/>
      <c r="K311" s="25"/>
      <c r="L311" s="57"/>
      <c r="M311" s="43"/>
      <c r="N311" s="223"/>
      <c r="O311" s="28"/>
      <c r="P311" s="25"/>
      <c r="Q311" s="25" t="s">
        <v>282</v>
      </c>
      <c r="R311" s="25" t="s">
        <v>298</v>
      </c>
      <c r="S311" s="25"/>
      <c r="T311" s="55"/>
      <c r="U311" s="55"/>
      <c r="V311" s="55"/>
      <c r="W311" s="55"/>
      <c r="X311" s="65"/>
      <c r="Y311" s="65"/>
      <c r="Z311" s="65"/>
      <c r="AA311" s="65"/>
    </row>
    <row r="312" spans="1:27" ht="15.75" customHeight="1">
      <c r="A312" s="345"/>
      <c r="B312" s="344"/>
      <c r="C312" s="74">
        <v>10</v>
      </c>
      <c r="D312" s="344"/>
      <c r="E312" s="80" t="s">
        <v>4908</v>
      </c>
      <c r="F312" s="74"/>
      <c r="G312" s="74"/>
      <c r="H312" s="80" t="s">
        <v>3246</v>
      </c>
      <c r="I312" s="80" t="s">
        <v>4953</v>
      </c>
      <c r="J312" s="84"/>
      <c r="K312" s="25"/>
      <c r="L312" s="57"/>
      <c r="M312" s="43"/>
      <c r="N312" s="223"/>
      <c r="O312" s="28" t="s">
        <v>140</v>
      </c>
      <c r="P312" s="25"/>
      <c r="Q312" s="25" t="s">
        <v>282</v>
      </c>
      <c r="R312" s="25"/>
      <c r="S312" s="25"/>
      <c r="T312" s="55"/>
      <c r="U312" s="55"/>
      <c r="V312" s="55"/>
      <c r="W312" s="55"/>
      <c r="X312" s="65"/>
      <c r="Y312" s="65"/>
      <c r="Z312" s="65"/>
      <c r="AA312" s="65"/>
    </row>
    <row r="313" spans="1:27" ht="15.75" customHeight="1">
      <c r="A313" s="355" t="s">
        <v>4967</v>
      </c>
      <c r="B313" s="344"/>
      <c r="C313" s="74">
        <v>11</v>
      </c>
      <c r="D313" s="344"/>
      <c r="E313" s="80" t="s">
        <v>4968</v>
      </c>
      <c r="F313" s="74"/>
      <c r="G313" s="74"/>
      <c r="H313" s="80" t="s">
        <v>4969</v>
      </c>
      <c r="I313" s="80" t="s">
        <v>4970</v>
      </c>
      <c r="J313" s="84"/>
      <c r="K313" s="25"/>
      <c r="L313" s="57"/>
      <c r="M313" s="43"/>
      <c r="N313" s="223"/>
      <c r="O313" s="25"/>
      <c r="P313" s="25"/>
      <c r="Q313" s="25" t="s">
        <v>282</v>
      </c>
      <c r="R313" s="25"/>
      <c r="S313" s="25"/>
      <c r="T313" s="55"/>
      <c r="U313" s="55"/>
      <c r="V313" s="55"/>
      <c r="W313" s="55"/>
      <c r="X313" s="65"/>
      <c r="Y313" s="65"/>
      <c r="Z313" s="65"/>
      <c r="AA313" s="65"/>
    </row>
    <row r="314" spans="1:27" ht="15.75" customHeight="1">
      <c r="A314" s="344"/>
      <c r="B314" s="344"/>
      <c r="C314" s="74">
        <v>12</v>
      </c>
      <c r="D314" s="344"/>
      <c r="E314" s="80" t="s">
        <v>4971</v>
      </c>
      <c r="F314" s="74"/>
      <c r="G314" s="74"/>
      <c r="H314" s="80" t="s">
        <v>4972</v>
      </c>
      <c r="I314" s="80" t="s">
        <v>4973</v>
      </c>
      <c r="J314" s="84"/>
      <c r="K314" s="25"/>
      <c r="L314" s="57"/>
      <c r="M314" s="43"/>
      <c r="N314" s="223"/>
      <c r="O314" s="25"/>
      <c r="P314" s="25"/>
      <c r="Q314" s="25" t="s">
        <v>282</v>
      </c>
      <c r="R314" s="25"/>
      <c r="S314" s="25"/>
      <c r="T314" s="55"/>
      <c r="U314" s="55"/>
      <c r="V314" s="55"/>
      <c r="W314" s="55"/>
      <c r="X314" s="65"/>
      <c r="Y314" s="65"/>
      <c r="Z314" s="65"/>
      <c r="AA314" s="65"/>
    </row>
    <row r="315" spans="1:27" ht="15.75" customHeight="1">
      <c r="A315" s="345"/>
      <c r="B315" s="344"/>
      <c r="C315" s="74">
        <v>13</v>
      </c>
      <c r="D315" s="344"/>
      <c r="E315" s="80" t="s">
        <v>4974</v>
      </c>
      <c r="F315" s="74"/>
      <c r="G315" s="74"/>
      <c r="H315" s="80" t="s">
        <v>4975</v>
      </c>
      <c r="I315" s="80" t="s">
        <v>4976</v>
      </c>
      <c r="J315" s="84"/>
      <c r="K315" s="25"/>
      <c r="L315" s="57"/>
      <c r="M315" s="43"/>
      <c r="N315" s="223"/>
      <c r="O315" s="25"/>
      <c r="P315" s="25"/>
      <c r="Q315" s="25" t="s">
        <v>282</v>
      </c>
      <c r="R315" s="25"/>
      <c r="S315" s="25"/>
      <c r="T315" s="55"/>
      <c r="U315" s="55"/>
      <c r="V315" s="55"/>
      <c r="W315" s="55"/>
      <c r="X315" s="65"/>
      <c r="Y315" s="65"/>
      <c r="Z315" s="65"/>
      <c r="AA315" s="65"/>
    </row>
    <row r="316" spans="1:27" ht="15.75" customHeight="1">
      <c r="A316" s="355" t="s">
        <v>4977</v>
      </c>
      <c r="B316" s="344"/>
      <c r="C316" s="74">
        <v>14</v>
      </c>
      <c r="D316" s="344"/>
      <c r="E316" s="80" t="s">
        <v>4978</v>
      </c>
      <c r="F316" s="74"/>
      <c r="G316" s="74"/>
      <c r="H316" s="80" t="s">
        <v>4979</v>
      </c>
      <c r="I316" s="47" t="s">
        <v>4980</v>
      </c>
      <c r="J316" s="168"/>
      <c r="K316" s="25"/>
      <c r="L316" s="57"/>
      <c r="M316" s="43"/>
      <c r="N316" s="223"/>
      <c r="O316" s="25"/>
      <c r="P316" s="25"/>
      <c r="Q316" s="25" t="s">
        <v>282</v>
      </c>
      <c r="R316" s="25"/>
      <c r="S316" s="25"/>
      <c r="T316" s="55"/>
      <c r="U316" s="55"/>
      <c r="V316" s="55"/>
      <c r="W316" s="55"/>
      <c r="X316" s="65"/>
      <c r="Y316" s="65"/>
      <c r="Z316" s="65"/>
      <c r="AA316" s="65"/>
    </row>
    <row r="317" spans="1:27" ht="15.75" customHeight="1">
      <c r="A317" s="344"/>
      <c r="B317" s="344"/>
      <c r="C317" s="74">
        <v>15</v>
      </c>
      <c r="D317" s="344"/>
      <c r="E317" s="80" t="s">
        <v>4981</v>
      </c>
      <c r="F317" s="74"/>
      <c r="G317" s="74"/>
      <c r="H317" s="80" t="s">
        <v>4982</v>
      </c>
      <c r="I317" s="47" t="s">
        <v>4983</v>
      </c>
      <c r="J317" s="168"/>
      <c r="K317" s="25"/>
      <c r="L317" s="57"/>
      <c r="M317" s="43"/>
      <c r="N317" s="223"/>
      <c r="O317" s="25"/>
      <c r="P317" s="25"/>
      <c r="Q317" s="25" t="s">
        <v>282</v>
      </c>
      <c r="R317" s="25"/>
      <c r="S317" s="25"/>
      <c r="T317" s="55"/>
      <c r="U317" s="55"/>
      <c r="V317" s="55"/>
      <c r="W317" s="55"/>
      <c r="X317" s="65"/>
      <c r="Y317" s="65"/>
      <c r="Z317" s="65"/>
      <c r="AA317" s="65"/>
    </row>
    <row r="318" spans="1:27" ht="15.75" customHeight="1">
      <c r="A318" s="344"/>
      <c r="B318" s="344"/>
      <c r="C318" s="74">
        <v>16</v>
      </c>
      <c r="D318" s="344"/>
      <c r="E318" s="80" t="s">
        <v>4984</v>
      </c>
      <c r="F318" s="74"/>
      <c r="G318" s="74"/>
      <c r="H318" s="80" t="s">
        <v>4985</v>
      </c>
      <c r="I318" s="47" t="s">
        <v>4986</v>
      </c>
      <c r="J318" s="168"/>
      <c r="K318" s="25"/>
      <c r="L318" s="57"/>
      <c r="M318" s="43"/>
      <c r="N318" s="223"/>
      <c r="O318" s="25"/>
      <c r="P318" s="25"/>
      <c r="Q318" s="25" t="s">
        <v>282</v>
      </c>
      <c r="R318" s="25"/>
      <c r="S318" s="25"/>
      <c r="T318" s="55"/>
      <c r="U318" s="55"/>
      <c r="V318" s="55"/>
      <c r="W318" s="55"/>
      <c r="X318" s="65"/>
      <c r="Y318" s="65"/>
      <c r="Z318" s="65"/>
      <c r="AA318" s="65"/>
    </row>
    <row r="319" spans="1:27" ht="15.75" customHeight="1">
      <c r="A319" s="344"/>
      <c r="B319" s="344"/>
      <c r="C319" s="74">
        <v>17</v>
      </c>
      <c r="D319" s="344"/>
      <c r="E319" s="80" t="s">
        <v>4987</v>
      </c>
      <c r="F319" s="74"/>
      <c r="G319" s="74"/>
      <c r="H319" s="80" t="s">
        <v>4988</v>
      </c>
      <c r="I319" s="47" t="s">
        <v>4989</v>
      </c>
      <c r="J319" s="168"/>
      <c r="K319" s="25"/>
      <c r="L319" s="57"/>
      <c r="M319" s="43"/>
      <c r="N319" s="223"/>
      <c r="O319" s="25"/>
      <c r="P319" s="25"/>
      <c r="Q319" s="25" t="s">
        <v>282</v>
      </c>
      <c r="R319" s="25"/>
      <c r="S319" s="25"/>
      <c r="T319" s="55"/>
      <c r="U319" s="55"/>
      <c r="V319" s="55"/>
      <c r="W319" s="55"/>
      <c r="X319" s="65"/>
      <c r="Y319" s="65"/>
      <c r="Z319" s="65"/>
      <c r="AA319" s="65"/>
    </row>
    <row r="320" spans="1:27" ht="15.75" customHeight="1">
      <c r="A320" s="344"/>
      <c r="B320" s="344"/>
      <c r="C320" s="74">
        <v>18</v>
      </c>
      <c r="D320" s="344"/>
      <c r="E320" s="80" t="s">
        <v>4990</v>
      </c>
      <c r="F320" s="74"/>
      <c r="G320" s="74"/>
      <c r="H320" s="80" t="s">
        <v>4991</v>
      </c>
      <c r="I320" s="47" t="s">
        <v>4992</v>
      </c>
      <c r="J320" s="168"/>
      <c r="K320" s="25"/>
      <c r="L320" s="57"/>
      <c r="M320" s="43"/>
      <c r="N320" s="223"/>
      <c r="O320" s="25"/>
      <c r="P320" s="25"/>
      <c r="Q320" s="25" t="s">
        <v>282</v>
      </c>
      <c r="R320" s="25"/>
      <c r="S320" s="25"/>
      <c r="T320" s="55"/>
      <c r="U320" s="55"/>
      <c r="V320" s="55"/>
      <c r="W320" s="55"/>
      <c r="X320" s="65"/>
      <c r="Y320" s="65"/>
      <c r="Z320" s="65"/>
      <c r="AA320" s="65"/>
    </row>
    <row r="321" spans="1:27" ht="15.75" customHeight="1">
      <c r="A321" s="344"/>
      <c r="B321" s="344"/>
      <c r="C321" s="74">
        <v>19</v>
      </c>
      <c r="D321" s="344"/>
      <c r="E321" s="80" t="s">
        <v>4993</v>
      </c>
      <c r="F321" s="74"/>
      <c r="G321" s="74"/>
      <c r="H321" s="80" t="s">
        <v>4994</v>
      </c>
      <c r="I321" s="47" t="s">
        <v>4995</v>
      </c>
      <c r="J321" s="168"/>
      <c r="K321" s="25"/>
      <c r="L321" s="57"/>
      <c r="M321" s="43"/>
      <c r="N321" s="223"/>
      <c r="O321" s="25"/>
      <c r="P321" s="25"/>
      <c r="Q321" s="25" t="s">
        <v>282</v>
      </c>
      <c r="R321" s="25"/>
      <c r="S321" s="25"/>
      <c r="T321" s="55"/>
      <c r="U321" s="55"/>
      <c r="V321" s="55"/>
      <c r="W321" s="55"/>
      <c r="X321" s="65"/>
      <c r="Y321" s="65"/>
      <c r="Z321" s="65"/>
      <c r="AA321" s="65"/>
    </row>
    <row r="322" spans="1:27" ht="15.75" customHeight="1">
      <c r="A322" s="344"/>
      <c r="B322" s="344"/>
      <c r="C322" s="74">
        <v>20</v>
      </c>
      <c r="D322" s="344"/>
      <c r="E322" s="80" t="s">
        <v>4996</v>
      </c>
      <c r="F322" s="74"/>
      <c r="G322" s="74"/>
      <c r="H322" s="80" t="s">
        <v>4997</v>
      </c>
      <c r="I322" s="47" t="s">
        <v>4995</v>
      </c>
      <c r="J322" s="168"/>
      <c r="K322" s="25"/>
      <c r="L322" s="57"/>
      <c r="M322" s="43"/>
      <c r="N322" s="223"/>
      <c r="O322" s="25"/>
      <c r="P322" s="25"/>
      <c r="Q322" s="25" t="s">
        <v>282</v>
      </c>
      <c r="R322" s="25"/>
      <c r="S322" s="25"/>
      <c r="T322" s="55"/>
      <c r="U322" s="55"/>
      <c r="V322" s="55"/>
      <c r="W322" s="55"/>
      <c r="X322" s="65"/>
      <c r="Y322" s="65"/>
      <c r="Z322" s="65"/>
      <c r="AA322" s="65"/>
    </row>
    <row r="323" spans="1:27" ht="15.75" customHeight="1">
      <c r="A323" s="344"/>
      <c r="B323" s="344"/>
      <c r="C323" s="74">
        <v>21</v>
      </c>
      <c r="D323" s="344"/>
      <c r="E323" s="80" t="s">
        <v>4998</v>
      </c>
      <c r="F323" s="74"/>
      <c r="G323" s="74"/>
      <c r="H323" s="80" t="s">
        <v>4999</v>
      </c>
      <c r="I323" s="47" t="s">
        <v>4995</v>
      </c>
      <c r="J323" s="168"/>
      <c r="K323" s="25"/>
      <c r="L323" s="57"/>
      <c r="M323" s="43"/>
      <c r="N323" s="223"/>
      <c r="O323" s="25"/>
      <c r="P323" s="25"/>
      <c r="Q323" s="25" t="s">
        <v>282</v>
      </c>
      <c r="R323" s="25"/>
      <c r="S323" s="25"/>
      <c r="T323" s="55"/>
      <c r="U323" s="55"/>
      <c r="V323" s="55"/>
      <c r="W323" s="55"/>
      <c r="X323" s="65"/>
      <c r="Y323" s="65"/>
      <c r="Z323" s="65"/>
      <c r="AA323" s="65"/>
    </row>
    <row r="324" spans="1:27" ht="15.75" customHeight="1">
      <c r="A324" s="344"/>
      <c r="B324" s="344"/>
      <c r="C324" s="74">
        <v>22</v>
      </c>
      <c r="D324" s="344"/>
      <c r="E324" s="80" t="s">
        <v>5000</v>
      </c>
      <c r="F324" s="74"/>
      <c r="G324" s="74"/>
      <c r="H324" s="80" t="s">
        <v>5001</v>
      </c>
      <c r="I324" s="47" t="s">
        <v>4995</v>
      </c>
      <c r="J324" s="168"/>
      <c r="K324" s="25"/>
      <c r="L324" s="57"/>
      <c r="M324" s="43"/>
      <c r="N324" s="223"/>
      <c r="O324" s="25"/>
      <c r="P324" s="25"/>
      <c r="Q324" s="25" t="s">
        <v>282</v>
      </c>
      <c r="R324" s="25" t="s">
        <v>7</v>
      </c>
      <c r="S324" s="25"/>
      <c r="T324" s="55"/>
      <c r="U324" s="55"/>
      <c r="V324" s="55"/>
      <c r="W324" s="55"/>
      <c r="X324" s="65"/>
      <c r="Y324" s="65"/>
      <c r="Z324" s="65"/>
      <c r="AA324" s="65"/>
    </row>
    <row r="325" spans="1:27" ht="15.75" customHeight="1">
      <c r="A325" s="344"/>
      <c r="B325" s="344"/>
      <c r="C325" s="74">
        <v>23</v>
      </c>
      <c r="D325" s="344"/>
      <c r="E325" s="80" t="s">
        <v>5002</v>
      </c>
      <c r="F325" s="74"/>
      <c r="G325" s="74"/>
      <c r="H325" s="80" t="s">
        <v>5003</v>
      </c>
      <c r="I325" s="47" t="s">
        <v>4995</v>
      </c>
      <c r="J325" s="168"/>
      <c r="K325" s="25"/>
      <c r="L325" s="57"/>
      <c r="M325" s="43"/>
      <c r="N325" s="223"/>
      <c r="O325" s="25"/>
      <c r="P325" s="25"/>
      <c r="Q325" s="25" t="s">
        <v>282</v>
      </c>
      <c r="R325" s="25" t="s">
        <v>7</v>
      </c>
      <c r="S325" s="25"/>
      <c r="T325" s="55"/>
      <c r="U325" s="55"/>
      <c r="V325" s="55"/>
      <c r="W325" s="55"/>
      <c r="X325" s="65"/>
      <c r="Y325" s="65"/>
      <c r="Z325" s="65"/>
      <c r="AA325" s="65"/>
    </row>
    <row r="326" spans="1:27" ht="15.75" customHeight="1">
      <c r="A326" s="344"/>
      <c r="B326" s="344"/>
      <c r="C326" s="74">
        <v>24</v>
      </c>
      <c r="D326" s="344"/>
      <c r="E326" s="80" t="s">
        <v>5004</v>
      </c>
      <c r="F326" s="74"/>
      <c r="G326" s="74"/>
      <c r="H326" s="80" t="s">
        <v>5005</v>
      </c>
      <c r="I326" s="47" t="s">
        <v>5006</v>
      </c>
      <c r="J326" s="168"/>
      <c r="K326" s="25"/>
      <c r="L326" s="57"/>
      <c r="M326" s="43"/>
      <c r="N326" s="223"/>
      <c r="O326" s="25"/>
      <c r="P326" s="25"/>
      <c r="Q326" s="25" t="s">
        <v>282</v>
      </c>
      <c r="R326" s="25"/>
      <c r="S326" s="25"/>
      <c r="T326" s="55"/>
      <c r="U326" s="55"/>
      <c r="V326" s="55"/>
      <c r="W326" s="55"/>
      <c r="X326" s="65"/>
      <c r="Y326" s="65"/>
      <c r="Z326" s="65"/>
      <c r="AA326" s="65"/>
    </row>
    <row r="327" spans="1:27" ht="15.75" customHeight="1">
      <c r="A327" s="344"/>
      <c r="B327" s="344"/>
      <c r="C327" s="74">
        <v>25</v>
      </c>
      <c r="D327" s="344"/>
      <c r="E327" s="80" t="s">
        <v>5007</v>
      </c>
      <c r="F327" s="74"/>
      <c r="G327" s="74"/>
      <c r="H327" s="80" t="s">
        <v>5008</v>
      </c>
      <c r="I327" s="47" t="s">
        <v>5009</v>
      </c>
      <c r="J327" s="168"/>
      <c r="K327" s="25"/>
      <c r="L327" s="57"/>
      <c r="M327" s="43"/>
      <c r="N327" s="223"/>
      <c r="O327" s="25"/>
      <c r="P327" s="25"/>
      <c r="Q327" s="25" t="s">
        <v>282</v>
      </c>
      <c r="R327" s="25"/>
      <c r="S327" s="25"/>
      <c r="T327" s="55"/>
      <c r="U327" s="55"/>
      <c r="V327" s="55"/>
      <c r="W327" s="55"/>
      <c r="X327" s="65"/>
      <c r="Y327" s="65"/>
      <c r="Z327" s="65"/>
      <c r="AA327" s="65"/>
    </row>
    <row r="328" spans="1:27" ht="15.75" customHeight="1">
      <c r="A328" s="344"/>
      <c r="B328" s="344"/>
      <c r="C328" s="74">
        <v>26</v>
      </c>
      <c r="D328" s="344"/>
      <c r="E328" s="80" t="s">
        <v>5010</v>
      </c>
      <c r="F328" s="74"/>
      <c r="G328" s="74"/>
      <c r="H328" s="80" t="s">
        <v>5011</v>
      </c>
      <c r="I328" s="47" t="s">
        <v>5009</v>
      </c>
      <c r="J328" s="168"/>
      <c r="K328" s="25"/>
      <c r="L328" s="57"/>
      <c r="M328" s="43"/>
      <c r="N328" s="223"/>
      <c r="O328" s="25"/>
      <c r="P328" s="25"/>
      <c r="Q328" s="25" t="s">
        <v>282</v>
      </c>
      <c r="R328" s="25"/>
      <c r="S328" s="25"/>
      <c r="T328" s="55"/>
      <c r="U328" s="55"/>
      <c r="V328" s="55"/>
      <c r="W328" s="55"/>
      <c r="X328" s="65"/>
      <c r="Y328" s="65"/>
      <c r="Z328" s="65"/>
      <c r="AA328" s="65"/>
    </row>
    <row r="329" spans="1:27" ht="15.75" customHeight="1">
      <c r="A329" s="344"/>
      <c r="B329" s="344"/>
      <c r="C329" s="74">
        <v>27</v>
      </c>
      <c r="D329" s="344"/>
      <c r="E329" s="80" t="s">
        <v>5012</v>
      </c>
      <c r="F329" s="74"/>
      <c r="G329" s="74"/>
      <c r="H329" s="80" t="s">
        <v>5013</v>
      </c>
      <c r="I329" s="47" t="s">
        <v>5014</v>
      </c>
      <c r="J329" s="168"/>
      <c r="K329" s="25"/>
      <c r="L329" s="57"/>
      <c r="M329" s="43"/>
      <c r="N329" s="223"/>
      <c r="O329" s="25"/>
      <c r="P329" s="25"/>
      <c r="Q329" s="25" t="s">
        <v>282</v>
      </c>
      <c r="R329" s="25"/>
      <c r="S329" s="25"/>
      <c r="T329" s="55"/>
      <c r="U329" s="55"/>
      <c r="V329" s="55"/>
      <c r="W329" s="55"/>
      <c r="X329" s="65"/>
      <c r="Y329" s="65"/>
      <c r="Z329" s="65"/>
      <c r="AA329" s="65"/>
    </row>
    <row r="330" spans="1:27" ht="15.75" customHeight="1">
      <c r="A330" s="344"/>
      <c r="B330" s="344"/>
      <c r="C330" s="74">
        <v>28</v>
      </c>
      <c r="D330" s="344"/>
      <c r="E330" s="80" t="s">
        <v>5015</v>
      </c>
      <c r="F330" s="74"/>
      <c r="G330" s="74"/>
      <c r="H330" s="80" t="s">
        <v>5016</v>
      </c>
      <c r="I330" s="47" t="s">
        <v>5017</v>
      </c>
      <c r="J330" s="168"/>
      <c r="K330" s="25"/>
      <c r="L330" s="57"/>
      <c r="M330" s="43"/>
      <c r="N330" s="223"/>
      <c r="O330" s="25"/>
      <c r="P330" s="25"/>
      <c r="Q330" s="25" t="s">
        <v>282</v>
      </c>
      <c r="R330" s="25"/>
      <c r="S330" s="25"/>
      <c r="T330" s="55"/>
      <c r="U330" s="55"/>
      <c r="V330" s="55"/>
      <c r="W330" s="55"/>
      <c r="X330" s="65"/>
      <c r="Y330" s="65"/>
      <c r="Z330" s="65"/>
      <c r="AA330" s="65"/>
    </row>
    <row r="331" spans="1:27" ht="15.75" customHeight="1">
      <c r="A331" s="344"/>
      <c r="B331" s="344"/>
      <c r="C331" s="74">
        <v>29</v>
      </c>
      <c r="D331" s="344"/>
      <c r="E331" s="80" t="s">
        <v>5018</v>
      </c>
      <c r="F331" s="74"/>
      <c r="G331" s="74"/>
      <c r="H331" s="80" t="s">
        <v>5019</v>
      </c>
      <c r="I331" s="47" t="s">
        <v>5020</v>
      </c>
      <c r="J331" s="168"/>
      <c r="K331" s="25"/>
      <c r="L331" s="57"/>
      <c r="M331" s="43"/>
      <c r="N331" s="223"/>
      <c r="O331" s="25"/>
      <c r="P331" s="25"/>
      <c r="Q331" s="25" t="s">
        <v>282</v>
      </c>
      <c r="R331" s="25"/>
      <c r="S331" s="25"/>
      <c r="T331" s="55"/>
      <c r="U331" s="55"/>
      <c r="V331" s="55"/>
      <c r="W331" s="55"/>
      <c r="X331" s="65"/>
      <c r="Y331" s="65"/>
      <c r="Z331" s="65"/>
      <c r="AA331" s="65"/>
    </row>
    <row r="332" spans="1:27" ht="15.75" customHeight="1">
      <c r="A332" s="345"/>
      <c r="B332" s="345"/>
      <c r="C332" s="74">
        <v>30</v>
      </c>
      <c r="D332" s="345"/>
      <c r="E332" s="80" t="s">
        <v>5021</v>
      </c>
      <c r="F332" s="74"/>
      <c r="G332" s="74"/>
      <c r="H332" s="80" t="s">
        <v>5022</v>
      </c>
      <c r="I332" s="47" t="s">
        <v>5020</v>
      </c>
      <c r="J332" s="168"/>
      <c r="K332" s="25"/>
      <c r="L332" s="57"/>
      <c r="M332" s="43"/>
      <c r="N332" s="223"/>
      <c r="O332" s="25"/>
      <c r="P332" s="25"/>
      <c r="Q332" s="25" t="s">
        <v>282</v>
      </c>
      <c r="R332" s="25"/>
      <c r="S332" s="25"/>
      <c r="T332" s="55"/>
      <c r="U332" s="55"/>
      <c r="V332" s="55"/>
      <c r="W332" s="55"/>
      <c r="X332" s="65"/>
      <c r="Y332" s="65"/>
      <c r="Z332" s="65"/>
      <c r="AA332" s="65"/>
    </row>
    <row r="333" spans="1:27" ht="16.5" customHeight="1">
      <c r="A333" s="355" t="s">
        <v>5023</v>
      </c>
      <c r="B333" s="350" t="s">
        <v>5024</v>
      </c>
      <c r="C333" s="61">
        <v>1</v>
      </c>
      <c r="D333" s="355" t="s">
        <v>5025</v>
      </c>
      <c r="E333" s="39" t="s">
        <v>5026</v>
      </c>
      <c r="F333" s="31"/>
      <c r="G333" s="31"/>
      <c r="H333" s="39" t="s">
        <v>5027</v>
      </c>
      <c r="I333" s="23" t="s">
        <v>5028</v>
      </c>
      <c r="J333" s="170"/>
      <c r="K333" s="25"/>
      <c r="L333" s="57"/>
      <c r="M333" s="43"/>
      <c r="N333" s="223"/>
      <c r="O333" s="25"/>
      <c r="P333" s="25"/>
      <c r="Q333" s="25" t="s">
        <v>282</v>
      </c>
      <c r="R333" s="25"/>
      <c r="S333" s="25"/>
      <c r="T333" s="55"/>
      <c r="U333" s="55"/>
      <c r="V333" s="55"/>
      <c r="W333" s="55"/>
      <c r="X333" s="65"/>
      <c r="Y333" s="65"/>
      <c r="Z333" s="65"/>
      <c r="AA333" s="65"/>
    </row>
    <row r="334" spans="1:27" ht="16.5" customHeight="1">
      <c r="A334" s="344"/>
      <c r="B334" s="344"/>
      <c r="C334" s="61">
        <v>2</v>
      </c>
      <c r="D334" s="344"/>
      <c r="E334" s="39" t="s">
        <v>5029</v>
      </c>
      <c r="F334" s="31"/>
      <c r="G334" s="31"/>
      <c r="H334" s="39" t="s">
        <v>5030</v>
      </c>
      <c r="I334" s="23" t="s">
        <v>5028</v>
      </c>
      <c r="J334" s="170"/>
      <c r="K334" s="25"/>
      <c r="L334" s="57"/>
      <c r="M334" s="43"/>
      <c r="N334" s="223"/>
      <c r="O334" s="25"/>
      <c r="P334" s="25"/>
      <c r="Q334" s="25" t="s">
        <v>282</v>
      </c>
      <c r="R334" s="25"/>
      <c r="S334" s="25"/>
      <c r="T334" s="55"/>
      <c r="U334" s="55"/>
      <c r="V334" s="55"/>
      <c r="W334" s="55"/>
      <c r="X334" s="65"/>
      <c r="Y334" s="65"/>
      <c r="Z334" s="65"/>
      <c r="AA334" s="65"/>
    </row>
    <row r="335" spans="1:27" ht="15.75" customHeight="1">
      <c r="A335" s="344"/>
      <c r="B335" s="344"/>
      <c r="C335" s="61">
        <v>3</v>
      </c>
      <c r="D335" s="344"/>
      <c r="E335" s="39" t="s">
        <v>5031</v>
      </c>
      <c r="F335" s="31"/>
      <c r="G335" s="31"/>
      <c r="H335" s="39" t="s">
        <v>5032</v>
      </c>
      <c r="I335" s="23" t="s">
        <v>5033</v>
      </c>
      <c r="J335" s="170"/>
      <c r="K335" s="25"/>
      <c r="L335" s="57"/>
      <c r="M335" s="43"/>
      <c r="N335" s="223"/>
      <c r="O335" s="25"/>
      <c r="P335" s="25"/>
      <c r="Q335" s="25" t="s">
        <v>282</v>
      </c>
      <c r="R335" s="25"/>
      <c r="S335" s="25"/>
      <c r="T335" s="55"/>
      <c r="U335" s="55"/>
      <c r="V335" s="55"/>
      <c r="W335" s="55"/>
      <c r="X335" s="65"/>
      <c r="Y335" s="65"/>
      <c r="Z335" s="65"/>
      <c r="AA335" s="65"/>
    </row>
    <row r="336" spans="1:27" ht="15.75" customHeight="1">
      <c r="A336" s="344"/>
      <c r="B336" s="344"/>
      <c r="C336" s="61">
        <v>4</v>
      </c>
      <c r="D336" s="344"/>
      <c r="E336" s="39" t="s">
        <v>5034</v>
      </c>
      <c r="F336" s="31"/>
      <c r="G336" s="31"/>
      <c r="H336" s="39" t="s">
        <v>5035</v>
      </c>
      <c r="I336" s="23" t="s">
        <v>5036</v>
      </c>
      <c r="J336" s="170"/>
      <c r="K336" s="25"/>
      <c r="L336" s="57"/>
      <c r="M336" s="43"/>
      <c r="N336" s="223"/>
      <c r="O336" s="25"/>
      <c r="P336" s="25"/>
      <c r="Q336" s="25" t="s">
        <v>282</v>
      </c>
      <c r="R336" s="25"/>
      <c r="S336" s="25"/>
      <c r="T336" s="55"/>
      <c r="U336" s="55"/>
      <c r="V336" s="55"/>
      <c r="W336" s="55"/>
      <c r="X336" s="65"/>
      <c r="Y336" s="65"/>
      <c r="Z336" s="65"/>
      <c r="AA336" s="65"/>
    </row>
    <row r="337" spans="1:27" ht="16.5" customHeight="1">
      <c r="A337" s="344"/>
      <c r="B337" s="344"/>
      <c r="C337" s="61">
        <v>5</v>
      </c>
      <c r="D337" s="344"/>
      <c r="E337" s="39" t="s">
        <v>5037</v>
      </c>
      <c r="F337" s="31"/>
      <c r="G337" s="31"/>
      <c r="H337" s="39" t="s">
        <v>5038</v>
      </c>
      <c r="I337" s="23" t="s">
        <v>5028</v>
      </c>
      <c r="J337" s="170"/>
      <c r="K337" s="25"/>
      <c r="L337" s="57"/>
      <c r="M337" s="43"/>
      <c r="N337" s="223"/>
      <c r="O337" s="25"/>
      <c r="P337" s="25"/>
      <c r="Q337" s="25" t="s">
        <v>282</v>
      </c>
      <c r="R337" s="25"/>
      <c r="S337" s="25"/>
      <c r="T337" s="55"/>
      <c r="U337" s="55"/>
      <c r="V337" s="55"/>
      <c r="W337" s="55"/>
      <c r="X337" s="65"/>
      <c r="Y337" s="65"/>
      <c r="Z337" s="65"/>
      <c r="AA337" s="65"/>
    </row>
    <row r="338" spans="1:27" ht="15.75" customHeight="1">
      <c r="A338" s="345"/>
      <c r="B338" s="344"/>
      <c r="C338" s="61">
        <v>6</v>
      </c>
      <c r="D338" s="344"/>
      <c r="E338" s="39" t="s">
        <v>5039</v>
      </c>
      <c r="F338" s="31"/>
      <c r="G338" s="31"/>
      <c r="H338" s="39" t="s">
        <v>5040</v>
      </c>
      <c r="I338" s="23" t="s">
        <v>5036</v>
      </c>
      <c r="J338" s="170"/>
      <c r="K338" s="25"/>
      <c r="L338" s="57"/>
      <c r="M338" s="43"/>
      <c r="N338" s="223"/>
      <c r="O338" s="25"/>
      <c r="P338" s="25"/>
      <c r="Q338" s="25" t="s">
        <v>282</v>
      </c>
      <c r="R338" s="25"/>
      <c r="S338" s="25"/>
      <c r="T338" s="55"/>
      <c r="U338" s="55"/>
      <c r="V338" s="55"/>
      <c r="W338" s="55"/>
      <c r="X338" s="65"/>
      <c r="Y338" s="65"/>
      <c r="Z338" s="65"/>
      <c r="AA338" s="65"/>
    </row>
    <row r="339" spans="1:27" ht="15.75" customHeight="1">
      <c r="A339" s="355" t="s">
        <v>5041</v>
      </c>
      <c r="B339" s="344"/>
      <c r="C339" s="61">
        <v>7</v>
      </c>
      <c r="D339" s="344"/>
      <c r="E339" s="39" t="s">
        <v>5042</v>
      </c>
      <c r="F339" s="31" t="s">
        <v>361</v>
      </c>
      <c r="G339" s="31" t="s">
        <v>327</v>
      </c>
      <c r="H339" s="39" t="s">
        <v>5043</v>
      </c>
      <c r="I339" s="23" t="s">
        <v>5044</v>
      </c>
      <c r="J339" s="170"/>
      <c r="K339" s="25"/>
      <c r="L339" s="57"/>
      <c r="M339" s="43"/>
      <c r="N339" s="223"/>
      <c r="O339" s="25"/>
      <c r="P339" s="25"/>
      <c r="Q339" s="25" t="s">
        <v>282</v>
      </c>
      <c r="R339" s="25"/>
      <c r="S339" s="25"/>
      <c r="T339" s="55"/>
      <c r="U339" s="55"/>
      <c r="V339" s="55"/>
      <c r="W339" s="55"/>
      <c r="X339" s="65"/>
      <c r="Y339" s="65"/>
      <c r="Z339" s="65"/>
      <c r="AA339" s="65"/>
    </row>
    <row r="340" spans="1:27" ht="15.75" customHeight="1">
      <c r="A340" s="344"/>
      <c r="B340" s="344"/>
      <c r="C340" s="61">
        <v>8</v>
      </c>
      <c r="D340" s="344"/>
      <c r="E340" s="23" t="s">
        <v>5045</v>
      </c>
      <c r="F340" s="31" t="s">
        <v>361</v>
      </c>
      <c r="G340" s="31" t="s">
        <v>327</v>
      </c>
      <c r="H340" s="39" t="s">
        <v>5046</v>
      </c>
      <c r="I340" s="23" t="s">
        <v>5044</v>
      </c>
      <c r="J340" s="170"/>
      <c r="K340" s="25"/>
      <c r="L340" s="57"/>
      <c r="M340" s="43"/>
      <c r="N340" s="223"/>
      <c r="O340" s="25"/>
      <c r="P340" s="25"/>
      <c r="Q340" s="25" t="s">
        <v>282</v>
      </c>
      <c r="R340" s="25"/>
      <c r="S340" s="25"/>
      <c r="T340" s="55"/>
      <c r="U340" s="55"/>
      <c r="V340" s="55"/>
      <c r="W340" s="55"/>
      <c r="X340" s="65"/>
      <c r="Y340" s="65"/>
      <c r="Z340" s="65"/>
      <c r="AA340" s="65"/>
    </row>
    <row r="341" spans="1:27" ht="15.75" customHeight="1">
      <c r="A341" s="344"/>
      <c r="B341" s="344"/>
      <c r="C341" s="61">
        <v>9</v>
      </c>
      <c r="D341" s="344"/>
      <c r="E341" s="39" t="s">
        <v>5047</v>
      </c>
      <c r="F341" s="31" t="s">
        <v>361</v>
      </c>
      <c r="G341" s="31" t="s">
        <v>327</v>
      </c>
      <c r="H341" s="39" t="s">
        <v>5048</v>
      </c>
      <c r="I341" s="23" t="s">
        <v>5044</v>
      </c>
      <c r="J341" s="170"/>
      <c r="K341" s="25"/>
      <c r="L341" s="57"/>
      <c r="M341" s="43"/>
      <c r="N341" s="223"/>
      <c r="O341" s="25"/>
      <c r="P341" s="25"/>
      <c r="Q341" s="25" t="s">
        <v>282</v>
      </c>
      <c r="R341" s="25"/>
      <c r="S341" s="25"/>
      <c r="T341" s="55"/>
      <c r="U341" s="55"/>
      <c r="V341" s="55"/>
      <c r="W341" s="55"/>
      <c r="X341" s="65"/>
      <c r="Y341" s="65"/>
      <c r="Z341" s="65"/>
      <c r="AA341" s="65"/>
    </row>
    <row r="342" spans="1:27" ht="15.75" customHeight="1">
      <c r="A342" s="344"/>
      <c r="B342" s="344"/>
      <c r="C342" s="61">
        <v>10</v>
      </c>
      <c r="D342" s="344"/>
      <c r="E342" s="39" t="s">
        <v>5049</v>
      </c>
      <c r="F342" s="31" t="s">
        <v>361</v>
      </c>
      <c r="G342" s="31" t="s">
        <v>327</v>
      </c>
      <c r="H342" s="39" t="s">
        <v>5050</v>
      </c>
      <c r="I342" s="23" t="s">
        <v>5044</v>
      </c>
      <c r="J342" s="170"/>
      <c r="K342" s="25"/>
      <c r="L342" s="57"/>
      <c r="M342" s="43"/>
      <c r="N342" s="223"/>
      <c r="O342" s="25"/>
      <c r="P342" s="25"/>
      <c r="Q342" s="25" t="s">
        <v>282</v>
      </c>
      <c r="R342" s="25"/>
      <c r="S342" s="25"/>
      <c r="T342" s="55"/>
      <c r="U342" s="55"/>
      <c r="V342" s="55"/>
      <c r="W342" s="55"/>
      <c r="X342" s="65"/>
      <c r="Y342" s="65"/>
      <c r="Z342" s="65"/>
      <c r="AA342" s="65"/>
    </row>
    <row r="343" spans="1:27" ht="15.75" customHeight="1">
      <c r="A343" s="344"/>
      <c r="B343" s="344"/>
      <c r="C343" s="61">
        <v>11</v>
      </c>
      <c r="D343" s="344"/>
      <c r="E343" s="39" t="s">
        <v>5051</v>
      </c>
      <c r="F343" s="31" t="s">
        <v>361</v>
      </c>
      <c r="G343" s="31" t="s">
        <v>327</v>
      </c>
      <c r="H343" s="39" t="s">
        <v>5052</v>
      </c>
      <c r="I343" s="23" t="s">
        <v>5044</v>
      </c>
      <c r="J343" s="170"/>
      <c r="K343" s="25"/>
      <c r="L343" s="57"/>
      <c r="M343" s="43"/>
      <c r="N343" s="223"/>
      <c r="O343" s="25"/>
      <c r="P343" s="25"/>
      <c r="Q343" s="25" t="s">
        <v>282</v>
      </c>
      <c r="R343" s="25"/>
      <c r="S343" s="25"/>
      <c r="T343" s="55"/>
      <c r="U343" s="55"/>
      <c r="V343" s="55"/>
      <c r="W343" s="55"/>
      <c r="X343" s="65"/>
      <c r="Y343" s="65"/>
      <c r="Z343" s="65"/>
      <c r="AA343" s="65"/>
    </row>
    <row r="344" spans="1:27" ht="15.75" customHeight="1">
      <c r="A344" s="345"/>
      <c r="B344" s="344"/>
      <c r="C344" s="61">
        <v>12</v>
      </c>
      <c r="D344" s="344"/>
      <c r="E344" s="39" t="s">
        <v>5053</v>
      </c>
      <c r="F344" s="31" t="s">
        <v>361</v>
      </c>
      <c r="G344" s="31" t="s">
        <v>349</v>
      </c>
      <c r="H344" s="39" t="s">
        <v>5054</v>
      </c>
      <c r="I344" s="23" t="s">
        <v>5044</v>
      </c>
      <c r="J344" s="170"/>
      <c r="K344" s="25"/>
      <c r="L344" s="57"/>
      <c r="M344" s="43"/>
      <c r="N344" s="223"/>
      <c r="O344" s="25"/>
      <c r="P344" s="25"/>
      <c r="Q344" s="25" t="s">
        <v>282</v>
      </c>
      <c r="R344" s="25"/>
      <c r="S344" s="25"/>
      <c r="T344" s="55"/>
      <c r="U344" s="55"/>
      <c r="V344" s="55"/>
      <c r="W344" s="55"/>
      <c r="X344" s="65"/>
      <c r="Y344" s="65"/>
      <c r="Z344" s="65"/>
      <c r="AA344" s="65"/>
    </row>
    <row r="345" spans="1:27" ht="15.75" customHeight="1">
      <c r="A345" s="355" t="s">
        <v>5041</v>
      </c>
      <c r="B345" s="344"/>
      <c r="C345" s="61">
        <v>13</v>
      </c>
      <c r="D345" s="344"/>
      <c r="E345" s="355" t="s">
        <v>5055</v>
      </c>
      <c r="F345" s="350" t="s">
        <v>361</v>
      </c>
      <c r="G345" s="350" t="s">
        <v>349</v>
      </c>
      <c r="H345" s="39" t="s">
        <v>5056</v>
      </c>
      <c r="I345" s="23" t="s">
        <v>5057</v>
      </c>
      <c r="J345" s="170"/>
      <c r="K345" s="25"/>
      <c r="L345" s="57"/>
      <c r="M345" s="43"/>
      <c r="N345" s="223"/>
      <c r="O345" s="25"/>
      <c r="P345" s="25"/>
      <c r="Q345" s="25" t="s">
        <v>282</v>
      </c>
      <c r="R345" s="25"/>
      <c r="S345" s="25"/>
      <c r="T345" s="55"/>
      <c r="U345" s="55"/>
      <c r="V345" s="55"/>
      <c r="W345" s="55"/>
      <c r="X345" s="65"/>
      <c r="Y345" s="65"/>
      <c r="Z345" s="65"/>
      <c r="AA345" s="65"/>
    </row>
    <row r="346" spans="1:27" ht="15.75" customHeight="1">
      <c r="A346" s="344"/>
      <c r="B346" s="344"/>
      <c r="C346" s="61">
        <v>14</v>
      </c>
      <c r="D346" s="344"/>
      <c r="E346" s="345"/>
      <c r="F346" s="345"/>
      <c r="G346" s="345"/>
      <c r="H346" s="39" t="s">
        <v>5058</v>
      </c>
      <c r="I346" s="23" t="s">
        <v>5059</v>
      </c>
      <c r="J346" s="170"/>
      <c r="K346" s="25"/>
      <c r="L346" s="57"/>
      <c r="M346" s="43"/>
      <c r="N346" s="223"/>
      <c r="O346" s="25"/>
      <c r="P346" s="25"/>
      <c r="Q346" s="25" t="s">
        <v>282</v>
      </c>
      <c r="R346" s="25"/>
      <c r="S346" s="25"/>
      <c r="T346" s="55"/>
      <c r="U346" s="55"/>
      <c r="V346" s="55"/>
      <c r="W346" s="55"/>
      <c r="X346" s="65"/>
      <c r="Y346" s="65"/>
      <c r="Z346" s="65"/>
      <c r="AA346" s="65"/>
    </row>
    <row r="347" spans="1:27" ht="15.75" customHeight="1">
      <c r="A347" s="344"/>
      <c r="B347" s="344"/>
      <c r="C347" s="61">
        <v>15</v>
      </c>
      <c r="D347" s="344"/>
      <c r="E347" s="355" t="s">
        <v>5060</v>
      </c>
      <c r="F347" s="350" t="s">
        <v>361</v>
      </c>
      <c r="G347" s="350" t="s">
        <v>349</v>
      </c>
      <c r="H347" s="39" t="s">
        <v>5061</v>
      </c>
      <c r="I347" s="23" t="s">
        <v>5057</v>
      </c>
      <c r="J347" s="170"/>
      <c r="K347" s="25"/>
      <c r="L347" s="57"/>
      <c r="M347" s="43"/>
      <c r="N347" s="223"/>
      <c r="O347" s="25"/>
      <c r="P347" s="25"/>
      <c r="Q347" s="25" t="s">
        <v>282</v>
      </c>
      <c r="R347" s="25"/>
      <c r="S347" s="25"/>
      <c r="T347" s="55"/>
      <c r="U347" s="55"/>
      <c r="V347" s="55"/>
      <c r="W347" s="55"/>
      <c r="X347" s="65"/>
      <c r="Y347" s="65"/>
      <c r="Z347" s="65"/>
      <c r="AA347" s="65"/>
    </row>
    <row r="348" spans="1:27" ht="15.75" customHeight="1">
      <c r="A348" s="344"/>
      <c r="B348" s="344"/>
      <c r="C348" s="61">
        <v>16</v>
      </c>
      <c r="D348" s="344"/>
      <c r="E348" s="345"/>
      <c r="F348" s="345"/>
      <c r="G348" s="345"/>
      <c r="H348" s="39" t="s">
        <v>5058</v>
      </c>
      <c r="I348" s="23" t="s">
        <v>5059</v>
      </c>
      <c r="J348" s="170"/>
      <c r="K348" s="25"/>
      <c r="L348" s="57"/>
      <c r="M348" s="43"/>
      <c r="N348" s="223"/>
      <c r="O348" s="25"/>
      <c r="P348" s="25"/>
      <c r="Q348" s="25" t="s">
        <v>282</v>
      </c>
      <c r="R348" s="25"/>
      <c r="S348" s="25"/>
      <c r="T348" s="55"/>
      <c r="U348" s="55"/>
      <c r="V348" s="55"/>
      <c r="W348" s="55"/>
      <c r="X348" s="65"/>
      <c r="Y348" s="65"/>
      <c r="Z348" s="65"/>
      <c r="AA348" s="65"/>
    </row>
    <row r="349" spans="1:27" ht="15.75" customHeight="1">
      <c r="A349" s="344"/>
      <c r="B349" s="344"/>
      <c r="C349" s="61">
        <v>17</v>
      </c>
      <c r="D349" s="344"/>
      <c r="E349" s="355" t="s">
        <v>5062</v>
      </c>
      <c r="F349" s="350" t="s">
        <v>361</v>
      </c>
      <c r="G349" s="350" t="s">
        <v>349</v>
      </c>
      <c r="H349" s="39" t="s">
        <v>5063</v>
      </c>
      <c r="I349" s="23" t="s">
        <v>5057</v>
      </c>
      <c r="J349" s="170"/>
      <c r="K349" s="25"/>
      <c r="L349" s="57"/>
      <c r="M349" s="43"/>
      <c r="N349" s="223"/>
      <c r="O349" s="25"/>
      <c r="P349" s="25"/>
      <c r="Q349" s="25" t="s">
        <v>282</v>
      </c>
      <c r="R349" s="25"/>
      <c r="S349" s="25"/>
      <c r="T349" s="55"/>
      <c r="U349" s="55"/>
      <c r="V349" s="55"/>
      <c r="W349" s="55"/>
      <c r="X349" s="65"/>
      <c r="Y349" s="65"/>
      <c r="Z349" s="65"/>
      <c r="AA349" s="65"/>
    </row>
    <row r="350" spans="1:27" ht="15.75" customHeight="1">
      <c r="A350" s="344"/>
      <c r="B350" s="344"/>
      <c r="C350" s="61">
        <v>18</v>
      </c>
      <c r="D350" s="344"/>
      <c r="E350" s="345"/>
      <c r="F350" s="345"/>
      <c r="G350" s="345"/>
      <c r="H350" s="39" t="s">
        <v>5058</v>
      </c>
      <c r="I350" s="23" t="s">
        <v>5059</v>
      </c>
      <c r="J350" s="170"/>
      <c r="K350" s="25"/>
      <c r="L350" s="57"/>
      <c r="M350" s="43"/>
      <c r="N350" s="223"/>
      <c r="O350" s="25"/>
      <c r="P350" s="25"/>
      <c r="Q350" s="25" t="s">
        <v>282</v>
      </c>
      <c r="R350" s="25"/>
      <c r="S350" s="25"/>
      <c r="T350" s="55"/>
      <c r="U350" s="55"/>
      <c r="V350" s="55"/>
      <c r="W350" s="55"/>
      <c r="X350" s="65"/>
      <c r="Y350" s="65"/>
      <c r="Z350" s="65"/>
      <c r="AA350" s="65"/>
    </row>
    <row r="351" spans="1:27" ht="15.75" customHeight="1">
      <c r="A351" s="344"/>
      <c r="B351" s="344"/>
      <c r="C351" s="61">
        <v>19</v>
      </c>
      <c r="D351" s="344"/>
      <c r="E351" s="355" t="s">
        <v>5064</v>
      </c>
      <c r="F351" s="350" t="s">
        <v>361</v>
      </c>
      <c r="G351" s="350" t="s">
        <v>349</v>
      </c>
      <c r="H351" s="39" t="s">
        <v>5065</v>
      </c>
      <c r="I351" s="23" t="s">
        <v>5057</v>
      </c>
      <c r="J351" s="170"/>
      <c r="K351" s="25"/>
      <c r="L351" s="57"/>
      <c r="M351" s="43"/>
      <c r="N351" s="223"/>
      <c r="O351" s="25"/>
      <c r="P351" s="25"/>
      <c r="Q351" s="25" t="s">
        <v>282</v>
      </c>
      <c r="R351" s="25"/>
      <c r="S351" s="25"/>
      <c r="T351" s="55"/>
      <c r="U351" s="55"/>
      <c r="V351" s="55"/>
      <c r="W351" s="55"/>
      <c r="X351" s="65"/>
      <c r="Y351" s="65"/>
      <c r="Z351" s="65"/>
      <c r="AA351" s="65"/>
    </row>
    <row r="352" spans="1:27" ht="15.75" customHeight="1">
      <c r="A352" s="344"/>
      <c r="B352" s="344"/>
      <c r="C352" s="61">
        <v>20</v>
      </c>
      <c r="D352" s="344"/>
      <c r="E352" s="345"/>
      <c r="F352" s="345"/>
      <c r="G352" s="345"/>
      <c r="H352" s="39" t="s">
        <v>5058</v>
      </c>
      <c r="I352" s="23" t="s">
        <v>5059</v>
      </c>
      <c r="J352" s="170"/>
      <c r="K352" s="25"/>
      <c r="L352" s="57"/>
      <c r="M352" s="43"/>
      <c r="N352" s="223"/>
      <c r="O352" s="25"/>
      <c r="P352" s="25"/>
      <c r="Q352" s="25" t="s">
        <v>282</v>
      </c>
      <c r="R352" s="25"/>
      <c r="S352" s="25"/>
      <c r="T352" s="55"/>
      <c r="U352" s="55"/>
      <c r="V352" s="55"/>
      <c r="W352" s="55"/>
      <c r="X352" s="65"/>
      <c r="Y352" s="65"/>
      <c r="Z352" s="65"/>
      <c r="AA352" s="65"/>
    </row>
    <row r="353" spans="1:27" ht="15.75" customHeight="1">
      <c r="A353" s="344"/>
      <c r="B353" s="344"/>
      <c r="C353" s="61">
        <v>21</v>
      </c>
      <c r="D353" s="344"/>
      <c r="E353" s="355" t="s">
        <v>5066</v>
      </c>
      <c r="F353" s="350" t="s">
        <v>361</v>
      </c>
      <c r="G353" s="350" t="s">
        <v>349</v>
      </c>
      <c r="H353" s="39" t="s">
        <v>5067</v>
      </c>
      <c r="I353" s="23" t="s">
        <v>5057</v>
      </c>
      <c r="J353" s="170"/>
      <c r="K353" s="25"/>
      <c r="L353" s="57"/>
      <c r="M353" s="43"/>
      <c r="N353" s="223"/>
      <c r="O353" s="25"/>
      <c r="P353" s="25"/>
      <c r="Q353" s="25" t="s">
        <v>282</v>
      </c>
      <c r="R353" s="25"/>
      <c r="S353" s="25"/>
      <c r="T353" s="55"/>
      <c r="U353" s="55"/>
      <c r="V353" s="55"/>
      <c r="W353" s="55"/>
      <c r="X353" s="65"/>
      <c r="Y353" s="65"/>
      <c r="Z353" s="65"/>
      <c r="AA353" s="65"/>
    </row>
    <row r="354" spans="1:27" ht="15.75" customHeight="1">
      <c r="A354" s="344"/>
      <c r="B354" s="344"/>
      <c r="C354" s="61">
        <v>22</v>
      </c>
      <c r="D354" s="344"/>
      <c r="E354" s="345"/>
      <c r="F354" s="345"/>
      <c r="G354" s="345"/>
      <c r="H354" s="39" t="s">
        <v>5058</v>
      </c>
      <c r="I354" s="23" t="s">
        <v>5059</v>
      </c>
      <c r="J354" s="170"/>
      <c r="K354" s="25"/>
      <c r="L354" s="57"/>
      <c r="M354" s="43"/>
      <c r="N354" s="223"/>
      <c r="O354" s="25"/>
      <c r="P354" s="25"/>
      <c r="Q354" s="25" t="s">
        <v>282</v>
      </c>
      <c r="R354" s="25"/>
      <c r="S354" s="25"/>
      <c r="T354" s="55"/>
      <c r="U354" s="55"/>
      <c r="V354" s="55"/>
      <c r="W354" s="55"/>
      <c r="X354" s="65"/>
      <c r="Y354" s="65"/>
      <c r="Z354" s="65"/>
      <c r="AA354" s="65"/>
    </row>
    <row r="355" spans="1:27" ht="15.75" customHeight="1">
      <c r="A355" s="344"/>
      <c r="B355" s="344"/>
      <c r="C355" s="61">
        <v>23</v>
      </c>
      <c r="D355" s="344"/>
      <c r="E355" s="355" t="s">
        <v>5068</v>
      </c>
      <c r="F355" s="350" t="s">
        <v>361</v>
      </c>
      <c r="G355" s="350" t="s">
        <v>349</v>
      </c>
      <c r="H355" s="39" t="s">
        <v>5069</v>
      </c>
      <c r="I355" s="23" t="s">
        <v>5057</v>
      </c>
      <c r="J355" s="170"/>
      <c r="K355" s="25"/>
      <c r="L355" s="57"/>
      <c r="M355" s="43"/>
      <c r="N355" s="223"/>
      <c r="O355" s="25"/>
      <c r="P355" s="25"/>
      <c r="Q355" s="25" t="s">
        <v>282</v>
      </c>
      <c r="R355" s="25"/>
      <c r="S355" s="25"/>
      <c r="T355" s="55"/>
      <c r="U355" s="55"/>
      <c r="V355" s="55"/>
      <c r="W355" s="55"/>
      <c r="X355" s="65"/>
      <c r="Y355" s="65"/>
      <c r="Z355" s="65"/>
      <c r="AA355" s="65"/>
    </row>
    <row r="356" spans="1:27" ht="15.75" customHeight="1">
      <c r="A356" s="345"/>
      <c r="B356" s="345"/>
      <c r="C356" s="61">
        <v>24</v>
      </c>
      <c r="D356" s="345"/>
      <c r="E356" s="345"/>
      <c r="F356" s="345"/>
      <c r="G356" s="345"/>
      <c r="H356" s="39" t="s">
        <v>5058</v>
      </c>
      <c r="I356" s="23" t="s">
        <v>5059</v>
      </c>
      <c r="J356" s="170"/>
      <c r="K356" s="25"/>
      <c r="L356" s="57"/>
      <c r="M356" s="43"/>
      <c r="N356" s="223"/>
      <c r="O356" s="25"/>
      <c r="P356" s="25"/>
      <c r="Q356" s="25" t="s">
        <v>282</v>
      </c>
      <c r="R356" s="25"/>
      <c r="S356" s="25"/>
      <c r="T356" s="55"/>
      <c r="U356" s="55"/>
      <c r="V356" s="55"/>
      <c r="W356" s="55"/>
      <c r="X356" s="65"/>
      <c r="Y356" s="65"/>
      <c r="Z356" s="65"/>
      <c r="AA356" s="65"/>
    </row>
    <row r="357" spans="1:27" ht="15.75" customHeight="1">
      <c r="A357" s="355" t="s">
        <v>5041</v>
      </c>
      <c r="B357" s="350" t="s">
        <v>5070</v>
      </c>
      <c r="C357" s="61">
        <v>1</v>
      </c>
      <c r="D357" s="355" t="s">
        <v>5071</v>
      </c>
      <c r="E357" s="39" t="s">
        <v>5072</v>
      </c>
      <c r="F357" s="31" t="s">
        <v>361</v>
      </c>
      <c r="G357" s="31" t="s">
        <v>327</v>
      </c>
      <c r="H357" s="39" t="s">
        <v>5073</v>
      </c>
      <c r="I357" s="23" t="s">
        <v>5044</v>
      </c>
      <c r="J357" s="170"/>
      <c r="K357" s="25"/>
      <c r="L357" s="57"/>
      <c r="M357" s="43"/>
      <c r="N357" s="223"/>
      <c r="O357" s="25"/>
      <c r="P357" s="25"/>
      <c r="Q357" s="25" t="s">
        <v>282</v>
      </c>
      <c r="R357" s="25"/>
      <c r="S357" s="25"/>
      <c r="T357" s="55"/>
      <c r="U357" s="55"/>
      <c r="V357" s="55"/>
      <c r="W357" s="55"/>
      <c r="X357" s="65"/>
      <c r="Y357" s="65"/>
      <c r="Z357" s="65"/>
      <c r="AA357" s="65"/>
    </row>
    <row r="358" spans="1:27" ht="15.75" customHeight="1">
      <c r="A358" s="344"/>
      <c r="B358" s="344"/>
      <c r="C358" s="61">
        <v>2</v>
      </c>
      <c r="D358" s="344"/>
      <c r="E358" s="39" t="s">
        <v>5074</v>
      </c>
      <c r="F358" s="31" t="s">
        <v>361</v>
      </c>
      <c r="G358" s="31" t="s">
        <v>327</v>
      </c>
      <c r="H358" s="39" t="s">
        <v>5075</v>
      </c>
      <c r="I358" s="23" t="s">
        <v>5044</v>
      </c>
      <c r="J358" s="170"/>
      <c r="K358" s="25"/>
      <c r="L358" s="57"/>
      <c r="M358" s="43"/>
      <c r="N358" s="223"/>
      <c r="O358" s="25"/>
      <c r="P358" s="25"/>
      <c r="Q358" s="25" t="s">
        <v>282</v>
      </c>
      <c r="R358" s="25"/>
      <c r="S358" s="25"/>
      <c r="T358" s="55"/>
      <c r="U358" s="55"/>
      <c r="V358" s="55"/>
      <c r="W358" s="55"/>
      <c r="X358" s="65"/>
      <c r="Y358" s="65"/>
      <c r="Z358" s="65"/>
      <c r="AA358" s="65"/>
    </row>
    <row r="359" spans="1:27" ht="15.75" customHeight="1">
      <c r="A359" s="344"/>
      <c r="B359" s="344"/>
      <c r="C359" s="61">
        <v>3</v>
      </c>
      <c r="D359" s="344"/>
      <c r="E359" s="39" t="s">
        <v>5076</v>
      </c>
      <c r="F359" s="31" t="s">
        <v>361</v>
      </c>
      <c r="G359" s="31" t="s">
        <v>327</v>
      </c>
      <c r="H359" s="39" t="s">
        <v>5077</v>
      </c>
      <c r="I359" s="23" t="s">
        <v>5044</v>
      </c>
      <c r="J359" s="170"/>
      <c r="K359" s="25"/>
      <c r="L359" s="57"/>
      <c r="M359" s="43"/>
      <c r="N359" s="223"/>
      <c r="O359" s="25"/>
      <c r="P359" s="25"/>
      <c r="Q359" s="25" t="s">
        <v>282</v>
      </c>
      <c r="R359" s="25"/>
      <c r="S359" s="25"/>
      <c r="T359" s="55"/>
      <c r="U359" s="55"/>
      <c r="V359" s="55"/>
      <c r="W359" s="55"/>
      <c r="X359" s="65"/>
      <c r="Y359" s="65"/>
      <c r="Z359" s="65"/>
      <c r="AA359" s="65"/>
    </row>
    <row r="360" spans="1:27" ht="15.75" customHeight="1">
      <c r="A360" s="344"/>
      <c r="B360" s="344"/>
      <c r="C360" s="61">
        <v>4</v>
      </c>
      <c r="D360" s="344"/>
      <c r="E360" s="39" t="s">
        <v>5078</v>
      </c>
      <c r="F360" s="31" t="s">
        <v>361</v>
      </c>
      <c r="G360" s="31" t="s">
        <v>327</v>
      </c>
      <c r="H360" s="39" t="s">
        <v>5079</v>
      </c>
      <c r="I360" s="23" t="s">
        <v>5044</v>
      </c>
      <c r="J360" s="170"/>
      <c r="K360" s="25"/>
      <c r="L360" s="57"/>
      <c r="M360" s="43"/>
      <c r="N360" s="223"/>
      <c r="O360" s="25"/>
      <c r="P360" s="25"/>
      <c r="Q360" s="25" t="s">
        <v>282</v>
      </c>
      <c r="R360" s="25"/>
      <c r="S360" s="25"/>
      <c r="T360" s="55"/>
      <c r="U360" s="55"/>
      <c r="V360" s="55"/>
      <c r="W360" s="55"/>
      <c r="X360" s="65"/>
      <c r="Y360" s="65"/>
      <c r="Z360" s="65"/>
      <c r="AA360" s="65"/>
    </row>
    <row r="361" spans="1:27" ht="15.75" customHeight="1">
      <c r="A361" s="344"/>
      <c r="B361" s="344"/>
      <c r="C361" s="61">
        <v>5</v>
      </c>
      <c r="D361" s="344"/>
      <c r="E361" s="39" t="s">
        <v>5080</v>
      </c>
      <c r="F361" s="31" t="s">
        <v>361</v>
      </c>
      <c r="G361" s="31" t="s">
        <v>327</v>
      </c>
      <c r="H361" s="39" t="s">
        <v>5081</v>
      </c>
      <c r="I361" s="23" t="s">
        <v>5044</v>
      </c>
      <c r="J361" s="170"/>
      <c r="K361" s="25"/>
      <c r="L361" s="57"/>
      <c r="M361" s="43"/>
      <c r="N361" s="223"/>
      <c r="O361" s="25"/>
      <c r="P361" s="25"/>
      <c r="Q361" s="25" t="s">
        <v>282</v>
      </c>
      <c r="R361" s="25"/>
      <c r="S361" s="25"/>
      <c r="T361" s="55"/>
      <c r="U361" s="55"/>
      <c r="V361" s="55"/>
      <c r="W361" s="55"/>
      <c r="X361" s="65"/>
      <c r="Y361" s="65"/>
      <c r="Z361" s="65"/>
      <c r="AA361" s="65"/>
    </row>
    <row r="362" spans="1:27" ht="15.75" customHeight="1">
      <c r="A362" s="345"/>
      <c r="B362" s="344"/>
      <c r="C362" s="61">
        <v>6</v>
      </c>
      <c r="D362" s="344"/>
      <c r="E362" s="39" t="s">
        <v>5082</v>
      </c>
      <c r="F362" s="31" t="s">
        <v>361</v>
      </c>
      <c r="G362" s="31" t="s">
        <v>327</v>
      </c>
      <c r="H362" s="39" t="s">
        <v>5083</v>
      </c>
      <c r="I362" s="23" t="s">
        <v>5044</v>
      </c>
      <c r="J362" s="170"/>
      <c r="K362" s="25"/>
      <c r="L362" s="57"/>
      <c r="M362" s="43"/>
      <c r="N362" s="223"/>
      <c r="O362" s="25"/>
      <c r="P362" s="25"/>
      <c r="Q362" s="25" t="s">
        <v>282</v>
      </c>
      <c r="R362" s="25"/>
      <c r="S362" s="25"/>
      <c r="T362" s="55"/>
      <c r="U362" s="55"/>
      <c r="V362" s="55"/>
      <c r="W362" s="55"/>
      <c r="X362" s="65"/>
      <c r="Y362" s="65"/>
      <c r="Z362" s="65"/>
      <c r="AA362" s="65"/>
    </row>
    <row r="363" spans="1:27" ht="15.75" customHeight="1">
      <c r="A363" s="355" t="s">
        <v>5041</v>
      </c>
      <c r="B363" s="344"/>
      <c r="C363" s="61">
        <v>7</v>
      </c>
      <c r="D363" s="344"/>
      <c r="E363" s="355" t="s">
        <v>5055</v>
      </c>
      <c r="F363" s="350" t="s">
        <v>361</v>
      </c>
      <c r="G363" s="350" t="s">
        <v>327</v>
      </c>
      <c r="H363" s="39" t="s">
        <v>5084</v>
      </c>
      <c r="I363" s="23" t="s">
        <v>5057</v>
      </c>
      <c r="J363" s="170"/>
      <c r="K363" s="25"/>
      <c r="L363" s="57"/>
      <c r="M363" s="43"/>
      <c r="N363" s="223"/>
      <c r="O363" s="25"/>
      <c r="P363" s="25"/>
      <c r="Q363" s="25" t="s">
        <v>282</v>
      </c>
      <c r="R363" s="25"/>
      <c r="S363" s="25"/>
      <c r="T363" s="55"/>
      <c r="U363" s="55"/>
      <c r="V363" s="55"/>
      <c r="W363" s="55"/>
      <c r="X363" s="65"/>
      <c r="Y363" s="65"/>
      <c r="Z363" s="65"/>
      <c r="AA363" s="65"/>
    </row>
    <row r="364" spans="1:27" ht="15.75" customHeight="1">
      <c r="A364" s="344"/>
      <c r="B364" s="344"/>
      <c r="C364" s="61">
        <v>8</v>
      </c>
      <c r="D364" s="344"/>
      <c r="E364" s="345"/>
      <c r="F364" s="345"/>
      <c r="G364" s="345"/>
      <c r="H364" s="39" t="s">
        <v>5058</v>
      </c>
      <c r="I364" s="23" t="s">
        <v>5059</v>
      </c>
      <c r="J364" s="170"/>
      <c r="K364" s="25"/>
      <c r="L364" s="57"/>
      <c r="M364" s="43"/>
      <c r="N364" s="223"/>
      <c r="O364" s="25"/>
      <c r="P364" s="25"/>
      <c r="Q364" s="25" t="s">
        <v>282</v>
      </c>
      <c r="R364" s="25"/>
      <c r="S364" s="25"/>
      <c r="T364" s="55"/>
      <c r="U364" s="55"/>
      <c r="V364" s="55"/>
      <c r="W364" s="55"/>
      <c r="X364" s="65"/>
      <c r="Y364" s="65"/>
      <c r="Z364" s="65"/>
      <c r="AA364" s="65"/>
    </row>
    <row r="365" spans="1:27" ht="15.75" customHeight="1">
      <c r="A365" s="344"/>
      <c r="B365" s="344"/>
      <c r="C365" s="61">
        <v>9</v>
      </c>
      <c r="D365" s="344"/>
      <c r="E365" s="355" t="s">
        <v>5060</v>
      </c>
      <c r="F365" s="350" t="s">
        <v>361</v>
      </c>
      <c r="G365" s="350" t="s">
        <v>327</v>
      </c>
      <c r="H365" s="39" t="s">
        <v>5085</v>
      </c>
      <c r="I365" s="23" t="s">
        <v>5086</v>
      </c>
      <c r="J365" s="170"/>
      <c r="K365" s="25"/>
      <c r="L365" s="57"/>
      <c r="M365" s="43"/>
      <c r="N365" s="223"/>
      <c r="O365" s="25"/>
      <c r="P365" s="25"/>
      <c r="Q365" s="25" t="s">
        <v>282</v>
      </c>
      <c r="R365" s="25"/>
      <c r="S365" s="25"/>
      <c r="T365" s="55"/>
      <c r="U365" s="55"/>
      <c r="V365" s="55"/>
      <c r="W365" s="55"/>
      <c r="X365" s="65"/>
      <c r="Y365" s="65"/>
      <c r="Z365" s="65"/>
      <c r="AA365" s="65"/>
    </row>
    <row r="366" spans="1:27" ht="15.75" customHeight="1">
      <c r="A366" s="344"/>
      <c r="B366" s="344"/>
      <c r="C366" s="61">
        <v>10</v>
      </c>
      <c r="D366" s="344"/>
      <c r="E366" s="345"/>
      <c r="F366" s="345"/>
      <c r="G366" s="345"/>
      <c r="H366" s="39" t="s">
        <v>5058</v>
      </c>
      <c r="I366" s="23" t="s">
        <v>5059</v>
      </c>
      <c r="J366" s="170"/>
      <c r="K366" s="25"/>
      <c r="L366" s="57"/>
      <c r="M366" s="43"/>
      <c r="N366" s="223"/>
      <c r="O366" s="25"/>
      <c r="P366" s="25"/>
      <c r="Q366" s="25" t="s">
        <v>282</v>
      </c>
      <c r="R366" s="25"/>
      <c r="S366" s="25"/>
      <c r="T366" s="55"/>
      <c r="U366" s="55"/>
      <c r="V366" s="55"/>
      <c r="W366" s="55"/>
      <c r="X366" s="65"/>
      <c r="Y366" s="65"/>
      <c r="Z366" s="65"/>
      <c r="AA366" s="65"/>
    </row>
    <row r="367" spans="1:27" ht="15.75" customHeight="1">
      <c r="A367" s="344"/>
      <c r="B367" s="344"/>
      <c r="C367" s="61">
        <v>11</v>
      </c>
      <c r="D367" s="344"/>
      <c r="E367" s="355" t="s">
        <v>5062</v>
      </c>
      <c r="F367" s="350" t="s">
        <v>361</v>
      </c>
      <c r="G367" s="350" t="s">
        <v>327</v>
      </c>
      <c r="H367" s="39" t="s">
        <v>5087</v>
      </c>
      <c r="I367" s="23" t="s">
        <v>5086</v>
      </c>
      <c r="J367" s="170"/>
      <c r="K367" s="25"/>
      <c r="L367" s="57"/>
      <c r="M367" s="43"/>
      <c r="N367" s="223"/>
      <c r="O367" s="25"/>
      <c r="P367" s="25"/>
      <c r="Q367" s="25" t="s">
        <v>282</v>
      </c>
      <c r="R367" s="25"/>
      <c r="S367" s="25"/>
      <c r="T367" s="55"/>
      <c r="U367" s="55"/>
      <c r="V367" s="55"/>
      <c r="W367" s="55"/>
      <c r="X367" s="65"/>
      <c r="Y367" s="65"/>
      <c r="Z367" s="65"/>
      <c r="AA367" s="65"/>
    </row>
    <row r="368" spans="1:27" ht="15.75" customHeight="1">
      <c r="A368" s="344"/>
      <c r="B368" s="344"/>
      <c r="C368" s="61">
        <v>12</v>
      </c>
      <c r="D368" s="344"/>
      <c r="E368" s="345"/>
      <c r="F368" s="345"/>
      <c r="G368" s="345"/>
      <c r="H368" s="39" t="s">
        <v>5058</v>
      </c>
      <c r="I368" s="23" t="s">
        <v>5059</v>
      </c>
      <c r="J368" s="170"/>
      <c r="K368" s="25"/>
      <c r="L368" s="57"/>
      <c r="M368" s="43"/>
      <c r="N368" s="223"/>
      <c r="O368" s="25"/>
      <c r="P368" s="25"/>
      <c r="Q368" s="25" t="s">
        <v>282</v>
      </c>
      <c r="R368" s="25"/>
      <c r="S368" s="25"/>
      <c r="T368" s="55"/>
      <c r="U368" s="55"/>
      <c r="V368" s="55"/>
      <c r="W368" s="55"/>
      <c r="X368" s="65"/>
      <c r="Y368" s="65"/>
      <c r="Z368" s="65"/>
      <c r="AA368" s="65"/>
    </row>
    <row r="369" spans="1:27" ht="15.75" customHeight="1">
      <c r="A369" s="344"/>
      <c r="B369" s="344"/>
      <c r="C369" s="61">
        <v>13</v>
      </c>
      <c r="D369" s="344"/>
      <c r="E369" s="355" t="s">
        <v>5064</v>
      </c>
      <c r="F369" s="350" t="s">
        <v>361</v>
      </c>
      <c r="G369" s="350" t="s">
        <v>327</v>
      </c>
      <c r="H369" s="39" t="s">
        <v>5088</v>
      </c>
      <c r="I369" s="23" t="s">
        <v>5086</v>
      </c>
      <c r="J369" s="170"/>
      <c r="K369" s="25"/>
      <c r="L369" s="57"/>
      <c r="M369" s="43"/>
      <c r="N369" s="223"/>
      <c r="O369" s="25"/>
      <c r="P369" s="25"/>
      <c r="Q369" s="25" t="s">
        <v>282</v>
      </c>
      <c r="R369" s="25"/>
      <c r="S369" s="25"/>
      <c r="T369" s="55"/>
      <c r="U369" s="55"/>
      <c r="V369" s="55"/>
      <c r="W369" s="55"/>
      <c r="X369" s="65"/>
      <c r="Y369" s="65"/>
      <c r="Z369" s="65"/>
      <c r="AA369" s="65"/>
    </row>
    <row r="370" spans="1:27" ht="15.75" customHeight="1">
      <c r="A370" s="344"/>
      <c r="B370" s="344"/>
      <c r="C370" s="61">
        <v>14</v>
      </c>
      <c r="D370" s="344"/>
      <c r="E370" s="345"/>
      <c r="F370" s="345"/>
      <c r="G370" s="345"/>
      <c r="H370" s="39" t="s">
        <v>5058</v>
      </c>
      <c r="I370" s="23" t="s">
        <v>5059</v>
      </c>
      <c r="J370" s="170"/>
      <c r="K370" s="25"/>
      <c r="L370" s="57"/>
      <c r="M370" s="43"/>
      <c r="N370" s="223"/>
      <c r="O370" s="25"/>
      <c r="P370" s="25"/>
      <c r="Q370" s="25" t="s">
        <v>282</v>
      </c>
      <c r="R370" s="25"/>
      <c r="S370" s="25"/>
      <c r="T370" s="55"/>
      <c r="U370" s="55"/>
      <c r="V370" s="55"/>
      <c r="W370" s="55"/>
      <c r="X370" s="65"/>
      <c r="Y370" s="65"/>
      <c r="Z370" s="65"/>
      <c r="AA370" s="65"/>
    </row>
    <row r="371" spans="1:27" ht="15.75" customHeight="1">
      <c r="A371" s="344"/>
      <c r="B371" s="344"/>
      <c r="C371" s="61">
        <v>15</v>
      </c>
      <c r="D371" s="344"/>
      <c r="E371" s="355" t="s">
        <v>5066</v>
      </c>
      <c r="F371" s="350" t="s">
        <v>361</v>
      </c>
      <c r="G371" s="350" t="s">
        <v>327</v>
      </c>
      <c r="H371" s="39" t="s">
        <v>5089</v>
      </c>
      <c r="I371" s="23" t="s">
        <v>5086</v>
      </c>
      <c r="J371" s="170"/>
      <c r="K371" s="25"/>
      <c r="L371" s="57"/>
      <c r="M371" s="43"/>
      <c r="N371" s="223"/>
      <c r="O371" s="25"/>
      <c r="P371" s="25"/>
      <c r="Q371" s="25" t="s">
        <v>282</v>
      </c>
      <c r="R371" s="25"/>
      <c r="S371" s="25"/>
      <c r="T371" s="55"/>
      <c r="U371" s="55"/>
      <c r="V371" s="55"/>
      <c r="W371" s="55"/>
      <c r="X371" s="65"/>
      <c r="Y371" s="65"/>
      <c r="Z371" s="65"/>
      <c r="AA371" s="65"/>
    </row>
    <row r="372" spans="1:27" ht="15.75" customHeight="1">
      <c r="A372" s="344"/>
      <c r="B372" s="344"/>
      <c r="C372" s="61">
        <v>16</v>
      </c>
      <c r="D372" s="344"/>
      <c r="E372" s="345"/>
      <c r="F372" s="345"/>
      <c r="G372" s="345"/>
      <c r="H372" s="39" t="s">
        <v>5058</v>
      </c>
      <c r="I372" s="23" t="s">
        <v>5059</v>
      </c>
      <c r="J372" s="170"/>
      <c r="K372" s="25"/>
      <c r="L372" s="57"/>
      <c r="M372" s="43"/>
      <c r="N372" s="223"/>
      <c r="O372" s="25"/>
      <c r="P372" s="25"/>
      <c r="Q372" s="25" t="s">
        <v>282</v>
      </c>
      <c r="R372" s="25"/>
      <c r="S372" s="25"/>
      <c r="T372" s="55"/>
      <c r="U372" s="55"/>
      <c r="V372" s="55"/>
      <c r="W372" s="55"/>
      <c r="X372" s="65"/>
      <c r="Y372" s="65"/>
      <c r="Z372" s="65"/>
      <c r="AA372" s="65"/>
    </row>
    <row r="373" spans="1:27" ht="15.75" customHeight="1">
      <c r="A373" s="344"/>
      <c r="B373" s="344"/>
      <c r="C373" s="61">
        <v>17</v>
      </c>
      <c r="D373" s="344"/>
      <c r="E373" s="355" t="s">
        <v>5068</v>
      </c>
      <c r="F373" s="350" t="s">
        <v>361</v>
      </c>
      <c r="G373" s="350" t="s">
        <v>327</v>
      </c>
      <c r="H373" s="39" t="s">
        <v>5090</v>
      </c>
      <c r="I373" s="23" t="s">
        <v>5086</v>
      </c>
      <c r="J373" s="170"/>
      <c r="K373" s="25"/>
      <c r="L373" s="57"/>
      <c r="M373" s="43"/>
      <c r="N373" s="223"/>
      <c r="O373" s="25"/>
      <c r="P373" s="25"/>
      <c r="Q373" s="25" t="s">
        <v>282</v>
      </c>
      <c r="R373" s="25"/>
      <c r="S373" s="25"/>
      <c r="T373" s="55"/>
      <c r="U373" s="55"/>
      <c r="V373" s="55"/>
      <c r="W373" s="55"/>
      <c r="X373" s="65"/>
      <c r="Y373" s="65"/>
      <c r="Z373" s="65"/>
      <c r="AA373" s="65"/>
    </row>
    <row r="374" spans="1:27" ht="15.75" customHeight="1">
      <c r="A374" s="345"/>
      <c r="B374" s="345"/>
      <c r="C374" s="61">
        <v>18</v>
      </c>
      <c r="D374" s="345"/>
      <c r="E374" s="345"/>
      <c r="F374" s="345"/>
      <c r="G374" s="345"/>
      <c r="H374" s="39" t="s">
        <v>5058</v>
      </c>
      <c r="I374" s="23" t="s">
        <v>5059</v>
      </c>
      <c r="J374" s="170"/>
      <c r="K374" s="25"/>
      <c r="L374" s="57"/>
      <c r="M374" s="43"/>
      <c r="N374" s="223"/>
      <c r="O374" s="25"/>
      <c r="P374" s="25"/>
      <c r="Q374" s="25" t="s">
        <v>282</v>
      </c>
      <c r="R374" s="25"/>
      <c r="S374" s="25"/>
      <c r="T374" s="55"/>
      <c r="U374" s="55"/>
      <c r="V374" s="55"/>
      <c r="W374" s="55"/>
      <c r="X374" s="65"/>
      <c r="Y374" s="65"/>
      <c r="Z374" s="65"/>
      <c r="AA374" s="65"/>
    </row>
    <row r="375" spans="1:27" ht="15.75" customHeight="1">
      <c r="A375" s="355" t="s">
        <v>5091</v>
      </c>
      <c r="B375" s="350" t="s">
        <v>5092</v>
      </c>
      <c r="C375" s="61">
        <v>1</v>
      </c>
      <c r="D375" s="355" t="s">
        <v>5093</v>
      </c>
      <c r="E375" s="39" t="s">
        <v>5094</v>
      </c>
      <c r="F375" s="31" t="s">
        <v>361</v>
      </c>
      <c r="G375" s="31" t="s">
        <v>327</v>
      </c>
      <c r="H375" s="39" t="s">
        <v>5095</v>
      </c>
      <c r="I375" s="23" t="s">
        <v>5086</v>
      </c>
      <c r="J375" s="170"/>
      <c r="K375" s="25"/>
      <c r="L375" s="57"/>
      <c r="M375" s="43"/>
      <c r="N375" s="223"/>
      <c r="O375" s="25"/>
      <c r="P375" s="25"/>
      <c r="Q375" s="25" t="s">
        <v>282</v>
      </c>
      <c r="R375" s="25"/>
      <c r="S375" s="25"/>
      <c r="T375" s="55"/>
      <c r="U375" s="55"/>
      <c r="V375" s="55"/>
      <c r="W375" s="55"/>
      <c r="X375" s="65"/>
      <c r="Y375" s="65"/>
      <c r="Z375" s="65"/>
      <c r="AA375" s="65"/>
    </row>
    <row r="376" spans="1:27" ht="15.75" customHeight="1">
      <c r="A376" s="344"/>
      <c r="B376" s="344"/>
      <c r="C376" s="61">
        <v>2</v>
      </c>
      <c r="D376" s="344"/>
      <c r="E376" s="39" t="s">
        <v>5096</v>
      </c>
      <c r="F376" s="31" t="s">
        <v>361</v>
      </c>
      <c r="G376" s="31" t="s">
        <v>327</v>
      </c>
      <c r="H376" s="39" t="s">
        <v>5097</v>
      </c>
      <c r="I376" s="23" t="s">
        <v>5098</v>
      </c>
      <c r="J376" s="170"/>
      <c r="K376" s="25"/>
      <c r="L376" s="57"/>
      <c r="M376" s="43"/>
      <c r="N376" s="223"/>
      <c r="O376" s="25"/>
      <c r="P376" s="25"/>
      <c r="Q376" s="25" t="s">
        <v>282</v>
      </c>
      <c r="R376" s="25"/>
      <c r="S376" s="25"/>
      <c r="T376" s="55"/>
      <c r="U376" s="55"/>
      <c r="V376" s="55"/>
      <c r="W376" s="55"/>
      <c r="X376" s="65"/>
      <c r="Y376" s="65"/>
      <c r="Z376" s="65"/>
      <c r="AA376" s="65"/>
    </row>
    <row r="377" spans="1:27" ht="15.75" customHeight="1">
      <c r="A377" s="345"/>
      <c r="B377" s="344"/>
      <c r="C377" s="61">
        <v>3</v>
      </c>
      <c r="D377" s="344"/>
      <c r="E377" s="39" t="s">
        <v>5099</v>
      </c>
      <c r="F377" s="31" t="s">
        <v>361</v>
      </c>
      <c r="G377" s="31" t="s">
        <v>327</v>
      </c>
      <c r="H377" s="39" t="s">
        <v>5100</v>
      </c>
      <c r="I377" s="23" t="s">
        <v>5098</v>
      </c>
      <c r="J377" s="170"/>
      <c r="K377" s="25"/>
      <c r="L377" s="57"/>
      <c r="M377" s="43"/>
      <c r="N377" s="223"/>
      <c r="O377" s="25"/>
      <c r="P377" s="25"/>
      <c r="Q377" s="25" t="s">
        <v>282</v>
      </c>
      <c r="R377" s="25"/>
      <c r="S377" s="25"/>
      <c r="T377" s="55"/>
      <c r="U377" s="55"/>
      <c r="V377" s="55"/>
      <c r="W377" s="55"/>
      <c r="X377" s="65"/>
      <c r="Y377" s="65"/>
      <c r="Z377" s="65"/>
      <c r="AA377" s="65"/>
    </row>
    <row r="378" spans="1:27" ht="15.75" customHeight="1">
      <c r="A378" s="355" t="s">
        <v>5101</v>
      </c>
      <c r="B378" s="344"/>
      <c r="C378" s="61">
        <v>4</v>
      </c>
      <c r="D378" s="344"/>
      <c r="E378" s="355" t="s">
        <v>5102</v>
      </c>
      <c r="F378" s="31" t="s">
        <v>361</v>
      </c>
      <c r="G378" s="31" t="s">
        <v>327</v>
      </c>
      <c r="H378" s="39" t="s">
        <v>5103</v>
      </c>
      <c r="I378" s="23" t="s">
        <v>4907</v>
      </c>
      <c r="J378" s="170"/>
      <c r="K378" s="25"/>
      <c r="L378" s="57"/>
      <c r="M378" s="43"/>
      <c r="N378" s="223"/>
      <c r="O378" s="28" t="s">
        <v>140</v>
      </c>
      <c r="P378" s="25"/>
      <c r="Q378" s="25" t="s">
        <v>282</v>
      </c>
      <c r="R378" s="25"/>
      <c r="S378" s="25"/>
      <c r="T378" s="55"/>
      <c r="U378" s="55"/>
      <c r="V378" s="55"/>
      <c r="W378" s="55"/>
      <c r="X378" s="65"/>
      <c r="Y378" s="65"/>
      <c r="Z378" s="65"/>
      <c r="AA378" s="65"/>
    </row>
    <row r="379" spans="1:27" ht="15.75" customHeight="1">
      <c r="A379" s="344"/>
      <c r="B379" s="344"/>
      <c r="C379" s="61">
        <v>5</v>
      </c>
      <c r="D379" s="344"/>
      <c r="E379" s="345"/>
      <c r="F379" s="31" t="s">
        <v>361</v>
      </c>
      <c r="G379" s="31" t="s">
        <v>327</v>
      </c>
      <c r="H379" s="39" t="s">
        <v>5104</v>
      </c>
      <c r="I379" s="23" t="s">
        <v>5105</v>
      </c>
      <c r="J379" s="170"/>
      <c r="K379" s="25"/>
      <c r="L379" s="57"/>
      <c r="M379" s="43"/>
      <c r="N379" s="223"/>
      <c r="O379" s="28" t="s">
        <v>140</v>
      </c>
      <c r="P379" s="25"/>
      <c r="Q379" s="25" t="s">
        <v>282</v>
      </c>
      <c r="R379" s="25"/>
      <c r="S379" s="25"/>
      <c r="T379" s="55"/>
      <c r="U379" s="55"/>
      <c r="V379" s="55"/>
      <c r="W379" s="55"/>
      <c r="X379" s="65"/>
      <c r="Y379" s="65"/>
      <c r="Z379" s="65"/>
      <c r="AA379" s="65"/>
    </row>
    <row r="380" spans="1:27" ht="15.75" customHeight="1">
      <c r="A380" s="344"/>
      <c r="B380" s="344"/>
      <c r="C380" s="61">
        <v>6</v>
      </c>
      <c r="D380" s="344"/>
      <c r="E380" s="355" t="s">
        <v>5106</v>
      </c>
      <c r="F380" s="31" t="s">
        <v>361</v>
      </c>
      <c r="G380" s="31" t="s">
        <v>327</v>
      </c>
      <c r="H380" s="39" t="s">
        <v>5107</v>
      </c>
      <c r="I380" s="23" t="s">
        <v>4907</v>
      </c>
      <c r="J380" s="170"/>
      <c r="K380" s="25"/>
      <c r="L380" s="57"/>
      <c r="M380" s="43"/>
      <c r="N380" s="223"/>
      <c r="O380" s="25"/>
      <c r="P380" s="25"/>
      <c r="Q380" s="25" t="s">
        <v>282</v>
      </c>
      <c r="R380" s="25"/>
      <c r="S380" s="25"/>
      <c r="T380" s="55"/>
      <c r="U380" s="55"/>
      <c r="V380" s="55"/>
      <c r="W380" s="55"/>
      <c r="X380" s="65"/>
      <c r="Y380" s="65"/>
      <c r="Z380" s="65"/>
      <c r="AA380" s="65"/>
    </row>
    <row r="381" spans="1:27" ht="15.75" customHeight="1">
      <c r="A381" s="344"/>
      <c r="B381" s="344"/>
      <c r="C381" s="61">
        <v>7</v>
      </c>
      <c r="D381" s="344"/>
      <c r="E381" s="344"/>
      <c r="F381" s="360" t="s">
        <v>361</v>
      </c>
      <c r="G381" s="360" t="s">
        <v>327</v>
      </c>
      <c r="H381" s="359" t="s">
        <v>5104</v>
      </c>
      <c r="I381" s="23" t="s">
        <v>5108</v>
      </c>
      <c r="J381" s="170"/>
      <c r="K381" s="25"/>
      <c r="L381" s="57"/>
      <c r="M381" s="43"/>
      <c r="N381" s="223"/>
      <c r="O381" s="25"/>
      <c r="P381" s="25"/>
      <c r="Q381" s="25" t="s">
        <v>282</v>
      </c>
      <c r="R381" s="25"/>
      <c r="S381" s="25"/>
      <c r="T381" s="55"/>
      <c r="U381" s="55"/>
      <c r="V381" s="55"/>
      <c r="W381" s="55"/>
      <c r="X381" s="65"/>
      <c r="Y381" s="65"/>
      <c r="Z381" s="65"/>
      <c r="AA381" s="65"/>
    </row>
    <row r="382" spans="1:27" ht="15.75" customHeight="1">
      <c r="A382" s="344"/>
      <c r="B382" s="344"/>
      <c r="C382" s="61">
        <v>8</v>
      </c>
      <c r="D382" s="344"/>
      <c r="E382" s="344"/>
      <c r="F382" s="344"/>
      <c r="G382" s="344"/>
      <c r="H382" s="344"/>
      <c r="I382" s="23" t="s">
        <v>5109</v>
      </c>
      <c r="J382" s="170"/>
      <c r="K382" s="25"/>
      <c r="L382" s="57"/>
      <c r="M382" s="66"/>
      <c r="N382" s="223"/>
      <c r="O382" s="25"/>
      <c r="P382" s="25"/>
      <c r="Q382" s="25" t="s">
        <v>282</v>
      </c>
      <c r="R382" s="25"/>
      <c r="S382" s="25"/>
      <c r="T382" s="55"/>
      <c r="U382" s="55"/>
      <c r="V382" s="55"/>
      <c r="W382" s="55"/>
      <c r="X382" s="65"/>
      <c r="Y382" s="65"/>
      <c r="Z382" s="65"/>
      <c r="AA382" s="65"/>
    </row>
    <row r="383" spans="1:27" ht="20.25" customHeight="1">
      <c r="A383" s="345"/>
      <c r="B383" s="344"/>
      <c r="C383" s="61">
        <v>9</v>
      </c>
      <c r="D383" s="344"/>
      <c r="E383" s="345"/>
      <c r="F383" s="345"/>
      <c r="G383" s="345"/>
      <c r="H383" s="345"/>
      <c r="I383" s="23" t="s">
        <v>5098</v>
      </c>
      <c r="J383" s="170"/>
      <c r="K383" s="25"/>
      <c r="L383" s="57"/>
      <c r="M383" s="66"/>
      <c r="N383" s="223"/>
      <c r="O383" s="25"/>
      <c r="P383" s="25"/>
      <c r="Q383" s="25" t="s">
        <v>282</v>
      </c>
      <c r="R383" s="25"/>
      <c r="S383" s="25"/>
      <c r="T383" s="55"/>
      <c r="U383" s="55"/>
      <c r="V383" s="55"/>
      <c r="W383" s="55"/>
      <c r="X383" s="65"/>
      <c r="Y383" s="65"/>
      <c r="Z383" s="65"/>
      <c r="AA383" s="65"/>
    </row>
    <row r="384" spans="1:27" ht="15.75" customHeight="1">
      <c r="A384" s="355" t="s">
        <v>2900</v>
      </c>
      <c r="B384" s="344"/>
      <c r="C384" s="61">
        <v>10</v>
      </c>
      <c r="D384" s="344"/>
      <c r="E384" s="359" t="s">
        <v>5110</v>
      </c>
      <c r="F384" s="360" t="s">
        <v>361</v>
      </c>
      <c r="G384" s="360" t="s">
        <v>327</v>
      </c>
      <c r="H384" s="359" t="s">
        <v>5111</v>
      </c>
      <c r="I384" s="80" t="s">
        <v>5112</v>
      </c>
      <c r="J384" s="84"/>
      <c r="K384" s="25"/>
      <c r="L384" s="57"/>
      <c r="M384" s="66"/>
      <c r="N384" s="3"/>
      <c r="O384" s="25"/>
      <c r="P384" s="25"/>
      <c r="Q384" s="25" t="s">
        <v>282</v>
      </c>
      <c r="R384" s="50"/>
      <c r="S384" s="25"/>
      <c r="T384" s="3"/>
      <c r="U384" s="3"/>
      <c r="V384" s="3"/>
      <c r="W384" s="3"/>
    </row>
    <row r="385" spans="1:23" ht="15.75" customHeight="1">
      <c r="A385" s="344"/>
      <c r="B385" s="344"/>
      <c r="C385" s="61">
        <v>11</v>
      </c>
      <c r="D385" s="344"/>
      <c r="E385" s="344"/>
      <c r="F385" s="344"/>
      <c r="G385" s="344"/>
      <c r="H385" s="344"/>
      <c r="I385" s="146" t="s">
        <v>5113</v>
      </c>
      <c r="J385" s="146"/>
      <c r="K385" s="25"/>
      <c r="L385" s="57"/>
      <c r="M385" s="66"/>
      <c r="N385" s="3"/>
      <c r="O385" s="25"/>
      <c r="P385" s="25"/>
      <c r="Q385" s="25" t="s">
        <v>282</v>
      </c>
      <c r="R385" s="50"/>
      <c r="S385" s="25"/>
      <c r="T385" s="3"/>
      <c r="U385" s="3"/>
      <c r="V385" s="3"/>
      <c r="W385" s="3"/>
    </row>
    <row r="386" spans="1:23" ht="15.75" customHeight="1">
      <c r="A386" s="344"/>
      <c r="B386" s="344"/>
      <c r="C386" s="61">
        <v>12</v>
      </c>
      <c r="D386" s="344"/>
      <c r="E386" s="345"/>
      <c r="F386" s="345"/>
      <c r="G386" s="345"/>
      <c r="H386" s="345"/>
      <c r="I386" s="146" t="s">
        <v>5114</v>
      </c>
      <c r="J386" s="146"/>
      <c r="K386" s="25"/>
      <c r="L386" s="57"/>
      <c r="M386" s="66"/>
      <c r="N386" s="3"/>
      <c r="O386" s="25"/>
      <c r="P386" s="25"/>
      <c r="Q386" s="25" t="s">
        <v>282</v>
      </c>
      <c r="R386" s="50"/>
      <c r="S386" s="25"/>
      <c r="T386" s="3"/>
      <c r="U386" s="3"/>
      <c r="V386" s="3"/>
      <c r="W386" s="3"/>
    </row>
    <row r="387" spans="1:23" ht="15.75" customHeight="1">
      <c r="A387" s="344"/>
      <c r="B387" s="344"/>
      <c r="C387" s="61">
        <v>13</v>
      </c>
      <c r="D387" s="344"/>
      <c r="E387" s="392" t="s">
        <v>5115</v>
      </c>
      <c r="F387" s="371" t="s">
        <v>361</v>
      </c>
      <c r="G387" s="371" t="s">
        <v>327</v>
      </c>
      <c r="H387" s="73" t="s">
        <v>5116</v>
      </c>
      <c r="I387" s="80" t="s">
        <v>5108</v>
      </c>
      <c r="J387" s="84"/>
      <c r="K387" s="25"/>
      <c r="L387" s="57"/>
      <c r="M387" s="66"/>
      <c r="N387" s="3"/>
      <c r="O387" s="25"/>
      <c r="P387" s="25"/>
      <c r="Q387" s="25" t="s">
        <v>282</v>
      </c>
      <c r="R387" s="50"/>
      <c r="S387" s="25"/>
      <c r="T387" s="3"/>
      <c r="U387" s="3"/>
      <c r="V387" s="3"/>
      <c r="W387" s="3"/>
    </row>
    <row r="388" spans="1:23" ht="33" customHeight="1">
      <c r="A388" s="344"/>
      <c r="B388" s="344"/>
      <c r="C388" s="61">
        <v>14</v>
      </c>
      <c r="D388" s="344"/>
      <c r="E388" s="344"/>
      <c r="F388" s="344"/>
      <c r="G388" s="344"/>
      <c r="H388" s="392" t="s">
        <v>5117</v>
      </c>
      <c r="I388" s="80" t="s">
        <v>5118</v>
      </c>
      <c r="J388" s="84"/>
      <c r="K388" s="25"/>
      <c r="L388" s="57"/>
      <c r="M388" s="66"/>
      <c r="N388" s="3"/>
      <c r="O388" s="25"/>
      <c r="P388" s="25"/>
      <c r="Q388" s="25" t="s">
        <v>282</v>
      </c>
      <c r="R388" s="50"/>
      <c r="S388" s="25"/>
      <c r="T388" s="3"/>
      <c r="U388" s="3"/>
      <c r="V388" s="3"/>
      <c r="W388" s="3"/>
    </row>
    <row r="389" spans="1:23" ht="15.75" customHeight="1">
      <c r="A389" s="345"/>
      <c r="B389" s="345"/>
      <c r="C389" s="61">
        <v>15</v>
      </c>
      <c r="D389" s="345"/>
      <c r="E389" s="345"/>
      <c r="F389" s="345"/>
      <c r="G389" s="345"/>
      <c r="H389" s="345"/>
      <c r="I389" s="80" t="s">
        <v>5119</v>
      </c>
      <c r="J389" s="84"/>
      <c r="K389" s="25"/>
      <c r="L389" s="226"/>
      <c r="M389" s="66"/>
      <c r="N389" s="3"/>
      <c r="O389" s="25"/>
      <c r="P389" s="25"/>
      <c r="Q389" s="25" t="s">
        <v>282</v>
      </c>
      <c r="R389" s="50"/>
      <c r="S389" s="25"/>
      <c r="T389" s="3"/>
      <c r="U389" s="3"/>
      <c r="V389" s="3"/>
      <c r="W389" s="3"/>
    </row>
    <row r="390" spans="1:23" ht="15.75" customHeight="1">
      <c r="A390" s="351" t="s">
        <v>5120</v>
      </c>
      <c r="B390" s="354" t="s">
        <v>211</v>
      </c>
      <c r="C390" s="143">
        <v>1</v>
      </c>
      <c r="D390" s="351" t="s">
        <v>5121</v>
      </c>
      <c r="E390" s="181" t="s">
        <v>5122</v>
      </c>
      <c r="F390" s="86"/>
      <c r="G390" s="86"/>
      <c r="H390" s="181" t="s">
        <v>5123</v>
      </c>
      <c r="I390" s="109" t="s">
        <v>4904</v>
      </c>
      <c r="J390" s="109"/>
      <c r="K390" s="25"/>
      <c r="L390" s="57"/>
      <c r="M390" s="66"/>
      <c r="N390" s="3"/>
      <c r="O390" s="25"/>
      <c r="P390" s="25"/>
      <c r="Q390" s="25" t="s">
        <v>282</v>
      </c>
      <c r="R390" s="50" t="s">
        <v>305</v>
      </c>
      <c r="S390" s="25"/>
      <c r="T390" s="3"/>
      <c r="U390" s="3"/>
      <c r="V390" s="3"/>
      <c r="W390" s="3"/>
    </row>
    <row r="391" spans="1:23" ht="15.75" customHeight="1">
      <c r="A391" s="352"/>
      <c r="B391" s="352"/>
      <c r="C391" s="143">
        <v>2</v>
      </c>
      <c r="D391" s="352"/>
      <c r="E391" s="181" t="s">
        <v>5124</v>
      </c>
      <c r="F391" s="86"/>
      <c r="G391" s="86"/>
      <c r="H391" s="181" t="s">
        <v>5125</v>
      </c>
      <c r="I391" s="109" t="s">
        <v>4907</v>
      </c>
      <c r="J391" s="109"/>
      <c r="K391" s="25"/>
      <c r="L391" s="57"/>
      <c r="M391" s="66"/>
      <c r="N391" s="3"/>
      <c r="O391" s="25"/>
      <c r="P391" s="25"/>
      <c r="Q391" s="25" t="s">
        <v>282</v>
      </c>
      <c r="R391" s="50" t="s">
        <v>305</v>
      </c>
      <c r="S391" s="25"/>
      <c r="T391" s="3"/>
      <c r="U391" s="3"/>
      <c r="V391" s="3"/>
      <c r="W391" s="3"/>
    </row>
    <row r="392" spans="1:23" ht="15.75" customHeight="1">
      <c r="A392" s="352"/>
      <c r="B392" s="352"/>
      <c r="C392" s="143">
        <v>3</v>
      </c>
      <c r="D392" s="352"/>
      <c r="E392" s="181" t="s">
        <v>4908</v>
      </c>
      <c r="F392" s="86"/>
      <c r="G392" s="86"/>
      <c r="H392" s="181" t="s">
        <v>4909</v>
      </c>
      <c r="I392" s="109" t="s">
        <v>3326</v>
      </c>
      <c r="J392" s="109"/>
      <c r="K392" s="25"/>
      <c r="L392" s="57"/>
      <c r="M392" s="66"/>
      <c r="N392" s="3"/>
      <c r="O392" s="25"/>
      <c r="P392" s="25"/>
      <c r="Q392" s="25" t="s">
        <v>282</v>
      </c>
      <c r="R392" s="50" t="s">
        <v>305</v>
      </c>
      <c r="S392" s="25"/>
      <c r="T392" s="3"/>
      <c r="U392" s="3"/>
      <c r="V392" s="3"/>
      <c r="W392" s="3"/>
    </row>
    <row r="393" spans="1:23" ht="15.75" customHeight="1">
      <c r="A393" s="352"/>
      <c r="B393" s="352"/>
      <c r="C393" s="143">
        <v>4</v>
      </c>
      <c r="D393" s="352"/>
      <c r="E393" s="361" t="s">
        <v>5126</v>
      </c>
      <c r="F393" s="86"/>
      <c r="G393" s="86"/>
      <c r="H393" s="181" t="s">
        <v>5127</v>
      </c>
      <c r="I393" s="109" t="s">
        <v>5128</v>
      </c>
      <c r="J393" s="109"/>
      <c r="K393" s="25"/>
      <c r="L393" s="57"/>
      <c r="M393" s="66"/>
      <c r="N393" s="3"/>
      <c r="O393" s="25"/>
      <c r="P393" s="25"/>
      <c r="Q393" s="25" t="s">
        <v>282</v>
      </c>
      <c r="R393" s="50" t="s">
        <v>305</v>
      </c>
      <c r="S393" s="25"/>
      <c r="T393" s="3"/>
      <c r="U393" s="3"/>
      <c r="V393" s="3"/>
      <c r="W393" s="3"/>
    </row>
    <row r="394" spans="1:23" ht="15.75" customHeight="1">
      <c r="A394" s="353"/>
      <c r="B394" s="353"/>
      <c r="C394" s="143">
        <v>5</v>
      </c>
      <c r="D394" s="353"/>
      <c r="E394" s="353"/>
      <c r="F394" s="86"/>
      <c r="G394" s="86"/>
      <c r="H394" s="181" t="s">
        <v>5129</v>
      </c>
      <c r="I394" s="109" t="s">
        <v>5128</v>
      </c>
      <c r="J394" s="109"/>
      <c r="K394" s="25"/>
      <c r="L394" s="57"/>
      <c r="M394" s="66"/>
      <c r="N394" s="3"/>
      <c r="O394" s="25"/>
      <c r="P394" s="25"/>
      <c r="Q394" s="25" t="s">
        <v>282</v>
      </c>
      <c r="R394" s="50" t="s">
        <v>305</v>
      </c>
      <c r="S394" s="25"/>
      <c r="T394" s="3"/>
      <c r="U394" s="3"/>
      <c r="V394" s="3"/>
      <c r="W394" s="3"/>
    </row>
    <row r="395" spans="1:23" ht="15.75" customHeight="1">
      <c r="A395" s="351" t="s">
        <v>5130</v>
      </c>
      <c r="B395" s="354" t="s">
        <v>212</v>
      </c>
      <c r="C395" s="86">
        <v>1</v>
      </c>
      <c r="D395" s="351" t="s">
        <v>5131</v>
      </c>
      <c r="E395" s="181" t="s">
        <v>5132</v>
      </c>
      <c r="F395" s="86"/>
      <c r="G395" s="86"/>
      <c r="H395" s="181" t="s">
        <v>5133</v>
      </c>
      <c r="I395" s="109" t="s">
        <v>5134</v>
      </c>
      <c r="J395" s="109"/>
      <c r="K395" s="25"/>
      <c r="L395" s="57"/>
      <c r="M395" s="66"/>
      <c r="N395" s="3"/>
      <c r="O395" s="25"/>
      <c r="P395" s="25"/>
      <c r="Q395" s="25" t="s">
        <v>282</v>
      </c>
      <c r="R395" s="50" t="s">
        <v>305</v>
      </c>
      <c r="S395" s="25"/>
      <c r="T395" s="3"/>
      <c r="U395" s="3"/>
      <c r="V395" s="3"/>
      <c r="W395" s="3"/>
    </row>
    <row r="396" spans="1:23" ht="15.75" customHeight="1">
      <c r="A396" s="352"/>
      <c r="B396" s="352"/>
      <c r="C396" s="86">
        <v>2</v>
      </c>
      <c r="D396" s="352"/>
      <c r="E396" s="181" t="s">
        <v>5135</v>
      </c>
      <c r="F396" s="86"/>
      <c r="G396" s="86"/>
      <c r="H396" s="181" t="s">
        <v>5136</v>
      </c>
      <c r="I396" s="109" t="s">
        <v>5137</v>
      </c>
      <c r="J396" s="109"/>
      <c r="K396" s="25"/>
      <c r="L396" s="57"/>
      <c r="M396" s="66"/>
      <c r="N396" s="3"/>
      <c r="O396" s="25"/>
      <c r="P396" s="25"/>
      <c r="Q396" s="25" t="s">
        <v>282</v>
      </c>
      <c r="R396" s="50" t="s">
        <v>305</v>
      </c>
      <c r="S396" s="25"/>
      <c r="T396" s="3"/>
      <c r="U396" s="3"/>
      <c r="V396" s="3"/>
      <c r="W396" s="3"/>
    </row>
    <row r="397" spans="1:23" ht="15.75" customHeight="1">
      <c r="A397" s="352"/>
      <c r="B397" s="352"/>
      <c r="C397" s="86">
        <v>3</v>
      </c>
      <c r="D397" s="352"/>
      <c r="E397" s="181" t="s">
        <v>5138</v>
      </c>
      <c r="F397" s="86"/>
      <c r="G397" s="86"/>
      <c r="H397" s="181" t="s">
        <v>5139</v>
      </c>
      <c r="I397" s="109" t="s">
        <v>5140</v>
      </c>
      <c r="J397" s="109"/>
      <c r="K397" s="25"/>
      <c r="L397" s="57"/>
      <c r="M397" s="66"/>
      <c r="N397" s="3"/>
      <c r="O397" s="25"/>
      <c r="P397" s="25"/>
      <c r="Q397" s="25" t="s">
        <v>282</v>
      </c>
      <c r="R397" s="50" t="s">
        <v>305</v>
      </c>
      <c r="S397" s="25"/>
      <c r="T397" s="3"/>
      <c r="U397" s="3"/>
      <c r="V397" s="3"/>
      <c r="W397" s="3"/>
    </row>
    <row r="398" spans="1:23" ht="15.75" customHeight="1">
      <c r="A398" s="352"/>
      <c r="B398" s="352"/>
      <c r="C398" s="86">
        <v>4</v>
      </c>
      <c r="D398" s="352"/>
      <c r="E398" s="181" t="s">
        <v>4908</v>
      </c>
      <c r="F398" s="86"/>
      <c r="G398" s="86"/>
      <c r="H398" s="181" t="s">
        <v>3246</v>
      </c>
      <c r="I398" s="109" t="s">
        <v>4953</v>
      </c>
      <c r="J398" s="109"/>
      <c r="K398" s="25"/>
      <c r="L398" s="57"/>
      <c r="M398" s="66"/>
      <c r="N398" s="3"/>
      <c r="O398" s="25"/>
      <c r="P398" s="25"/>
      <c r="Q398" s="25" t="s">
        <v>282</v>
      </c>
      <c r="R398" s="50" t="s">
        <v>305</v>
      </c>
      <c r="S398" s="25"/>
      <c r="T398" s="3"/>
      <c r="U398" s="3"/>
      <c r="V398" s="3"/>
      <c r="W398" s="3"/>
    </row>
    <row r="399" spans="1:23" ht="15.75" customHeight="1">
      <c r="A399" s="352"/>
      <c r="B399" s="352"/>
      <c r="C399" s="86">
        <v>5</v>
      </c>
      <c r="D399" s="352"/>
      <c r="E399" s="181" t="s">
        <v>5141</v>
      </c>
      <c r="F399" s="86"/>
      <c r="G399" s="86"/>
      <c r="H399" s="181" t="s">
        <v>5142</v>
      </c>
      <c r="I399" s="109" t="s">
        <v>5143</v>
      </c>
      <c r="J399" s="109"/>
      <c r="K399" s="25"/>
      <c r="L399" s="57"/>
      <c r="M399" s="66"/>
      <c r="N399" s="3"/>
      <c r="O399" s="25"/>
      <c r="P399" s="25"/>
      <c r="Q399" s="25" t="s">
        <v>282</v>
      </c>
      <c r="R399" s="50" t="s">
        <v>305</v>
      </c>
      <c r="S399" s="25"/>
      <c r="T399" s="3"/>
      <c r="U399" s="3"/>
      <c r="V399" s="3"/>
      <c r="W399" s="3"/>
    </row>
    <row r="400" spans="1:23" ht="15.75" customHeight="1">
      <c r="A400" s="352"/>
      <c r="B400" s="352"/>
      <c r="C400" s="86">
        <v>6</v>
      </c>
      <c r="D400" s="352"/>
      <c r="E400" s="181" t="s">
        <v>4908</v>
      </c>
      <c r="F400" s="86"/>
      <c r="G400" s="86"/>
      <c r="H400" s="181" t="s">
        <v>4957</v>
      </c>
      <c r="I400" s="109" t="s">
        <v>4958</v>
      </c>
      <c r="J400" s="109"/>
      <c r="K400" s="25"/>
      <c r="L400" s="57"/>
      <c r="M400" s="66"/>
      <c r="N400" s="3"/>
      <c r="O400" s="25"/>
      <c r="P400" s="25"/>
      <c r="Q400" s="25" t="s">
        <v>282</v>
      </c>
      <c r="R400" s="50" t="s">
        <v>305</v>
      </c>
      <c r="S400" s="25"/>
      <c r="T400" s="3"/>
      <c r="U400" s="3"/>
      <c r="V400" s="3"/>
      <c r="W400" s="3"/>
    </row>
    <row r="401" spans="1:23" ht="15.75" customHeight="1">
      <c r="A401" s="352"/>
      <c r="B401" s="352"/>
      <c r="C401" s="86">
        <v>7</v>
      </c>
      <c r="D401" s="352"/>
      <c r="E401" s="181" t="s">
        <v>5144</v>
      </c>
      <c r="F401" s="86"/>
      <c r="G401" s="86"/>
      <c r="H401" s="181" t="s">
        <v>5145</v>
      </c>
      <c r="I401" s="109" t="s">
        <v>4961</v>
      </c>
      <c r="J401" s="109"/>
      <c r="K401" s="25"/>
      <c r="L401" s="57"/>
      <c r="M401" s="66"/>
      <c r="N401" s="3"/>
      <c r="O401" s="25"/>
      <c r="P401" s="25"/>
      <c r="Q401" s="25" t="s">
        <v>282</v>
      </c>
      <c r="R401" s="50" t="s">
        <v>305</v>
      </c>
      <c r="S401" s="25"/>
      <c r="T401" s="3"/>
      <c r="U401" s="3"/>
      <c r="V401" s="3"/>
      <c r="W401" s="3"/>
    </row>
    <row r="402" spans="1:23" ht="15.75" customHeight="1">
      <c r="A402" s="352"/>
      <c r="B402" s="352"/>
      <c r="C402" s="86">
        <v>8</v>
      </c>
      <c r="D402" s="352"/>
      <c r="E402" s="181" t="s">
        <v>4908</v>
      </c>
      <c r="F402" s="86"/>
      <c r="G402" s="86"/>
      <c r="H402" s="181" t="s">
        <v>4962</v>
      </c>
      <c r="I402" s="109" t="s">
        <v>4963</v>
      </c>
      <c r="J402" s="109"/>
      <c r="K402" s="25"/>
      <c r="L402" s="57"/>
      <c r="M402" s="66"/>
      <c r="N402" s="3"/>
      <c r="O402" s="25"/>
      <c r="P402" s="25"/>
      <c r="Q402" s="25" t="s">
        <v>282</v>
      </c>
      <c r="R402" s="50" t="s">
        <v>305</v>
      </c>
      <c r="S402" s="25"/>
      <c r="T402" s="3"/>
      <c r="U402" s="3"/>
      <c r="V402" s="3"/>
      <c r="W402" s="3"/>
    </row>
    <row r="403" spans="1:23" ht="15.75" customHeight="1">
      <c r="A403" s="352"/>
      <c r="B403" s="352"/>
      <c r="C403" s="86">
        <v>9</v>
      </c>
      <c r="D403" s="352"/>
      <c r="E403" s="181" t="s">
        <v>5146</v>
      </c>
      <c r="F403" s="86"/>
      <c r="G403" s="86"/>
      <c r="H403" s="181" t="s">
        <v>4979</v>
      </c>
      <c r="I403" s="63" t="s">
        <v>5147</v>
      </c>
      <c r="J403" s="171"/>
      <c r="K403" s="25"/>
      <c r="L403" s="57"/>
      <c r="M403" s="66"/>
      <c r="N403" s="3"/>
      <c r="O403" s="25"/>
      <c r="P403" s="25"/>
      <c r="Q403" s="25" t="s">
        <v>282</v>
      </c>
      <c r="R403" s="50" t="s">
        <v>305</v>
      </c>
      <c r="S403" s="25"/>
      <c r="T403" s="3"/>
      <c r="U403" s="3"/>
      <c r="V403" s="3"/>
      <c r="W403" s="3"/>
    </row>
    <row r="404" spans="1:23" ht="15.75" customHeight="1">
      <c r="A404" s="352"/>
      <c r="B404" s="352"/>
      <c r="C404" s="86">
        <v>10</v>
      </c>
      <c r="D404" s="352"/>
      <c r="E404" s="181" t="s">
        <v>5148</v>
      </c>
      <c r="F404" s="86"/>
      <c r="G404" s="86"/>
      <c r="H404" s="181" t="s">
        <v>5149</v>
      </c>
      <c r="I404" s="63" t="s">
        <v>4980</v>
      </c>
      <c r="J404" s="171"/>
      <c r="K404" s="25"/>
      <c r="L404" s="57"/>
      <c r="M404" s="66"/>
      <c r="N404" s="3"/>
      <c r="O404" s="25"/>
      <c r="P404" s="25"/>
      <c r="Q404" s="25" t="s">
        <v>282</v>
      </c>
      <c r="R404" s="50" t="s">
        <v>305</v>
      </c>
      <c r="S404" s="25"/>
      <c r="T404" s="3"/>
      <c r="U404" s="3"/>
      <c r="V404" s="3"/>
      <c r="W404" s="3"/>
    </row>
    <row r="405" spans="1:23" ht="15.75" customHeight="1">
      <c r="A405" s="352"/>
      <c r="B405" s="352"/>
      <c r="C405" s="86">
        <v>11</v>
      </c>
      <c r="D405" s="352"/>
      <c r="E405" s="181" t="s">
        <v>5150</v>
      </c>
      <c r="F405" s="86"/>
      <c r="G405" s="86"/>
      <c r="H405" s="181" t="s">
        <v>5151</v>
      </c>
      <c r="I405" s="63" t="s">
        <v>4995</v>
      </c>
      <c r="J405" s="171"/>
      <c r="K405" s="25"/>
      <c r="L405" s="57"/>
      <c r="M405" s="66"/>
      <c r="N405" s="3"/>
      <c r="O405" s="25"/>
      <c r="P405" s="25"/>
      <c r="Q405" s="25" t="s">
        <v>282</v>
      </c>
      <c r="R405" s="50" t="s">
        <v>305</v>
      </c>
      <c r="S405" s="25"/>
      <c r="T405" s="3"/>
      <c r="U405" s="3"/>
      <c r="V405" s="3"/>
      <c r="W405" s="3"/>
    </row>
    <row r="406" spans="1:23" ht="15.75" customHeight="1">
      <c r="A406" s="352"/>
      <c r="B406" s="352"/>
      <c r="C406" s="86">
        <v>12</v>
      </c>
      <c r="D406" s="352"/>
      <c r="E406" s="181" t="s">
        <v>5152</v>
      </c>
      <c r="F406" s="86"/>
      <c r="G406" s="86"/>
      <c r="H406" s="181" t="s">
        <v>5153</v>
      </c>
      <c r="I406" s="63" t="s">
        <v>5154</v>
      </c>
      <c r="J406" s="171"/>
      <c r="K406" s="25"/>
      <c r="L406" s="57"/>
      <c r="M406" s="66"/>
      <c r="N406" s="3"/>
      <c r="O406" s="25"/>
      <c r="P406" s="25"/>
      <c r="Q406" s="25" t="s">
        <v>282</v>
      </c>
      <c r="R406" s="50" t="s">
        <v>305</v>
      </c>
      <c r="S406" s="25"/>
      <c r="T406" s="3"/>
      <c r="U406" s="3"/>
      <c r="V406" s="3"/>
      <c r="W406" s="3"/>
    </row>
    <row r="407" spans="1:23" ht="15.75" customHeight="1">
      <c r="A407" s="352"/>
      <c r="B407" s="352"/>
      <c r="C407" s="86">
        <v>13</v>
      </c>
      <c r="D407" s="352"/>
      <c r="E407" s="181" t="s">
        <v>5155</v>
      </c>
      <c r="F407" s="86"/>
      <c r="G407" s="86"/>
      <c r="H407" s="181" t="s">
        <v>5156</v>
      </c>
      <c r="I407" s="63" t="s">
        <v>5157</v>
      </c>
      <c r="J407" s="171"/>
      <c r="K407" s="25"/>
      <c r="L407" s="57"/>
      <c r="M407" s="66"/>
      <c r="N407" s="3"/>
      <c r="O407" s="25"/>
      <c r="P407" s="25"/>
      <c r="Q407" s="25" t="s">
        <v>282</v>
      </c>
      <c r="R407" s="50" t="s">
        <v>305</v>
      </c>
      <c r="S407" s="25"/>
      <c r="T407" s="3"/>
      <c r="U407" s="3"/>
      <c r="V407" s="3"/>
      <c r="W407" s="3"/>
    </row>
    <row r="408" spans="1:23" ht="15.75" customHeight="1">
      <c r="A408" s="352"/>
      <c r="B408" s="352"/>
      <c r="C408" s="86">
        <v>14</v>
      </c>
      <c r="D408" s="352"/>
      <c r="E408" s="181" t="s">
        <v>5158</v>
      </c>
      <c r="F408" s="86"/>
      <c r="G408" s="86"/>
      <c r="H408" s="181" t="s">
        <v>5159</v>
      </c>
      <c r="I408" s="63" t="s">
        <v>5157</v>
      </c>
      <c r="J408" s="171"/>
      <c r="K408" s="25"/>
      <c r="L408" s="57"/>
      <c r="M408" s="66"/>
      <c r="N408" s="3"/>
      <c r="O408" s="25"/>
      <c r="P408" s="25"/>
      <c r="Q408" s="25" t="s">
        <v>282</v>
      </c>
      <c r="R408" s="50" t="s">
        <v>305</v>
      </c>
      <c r="S408" s="25"/>
      <c r="T408" s="3"/>
      <c r="U408" s="3"/>
      <c r="V408" s="3"/>
      <c r="W408" s="3"/>
    </row>
    <row r="409" spans="1:23" ht="15.75" customHeight="1">
      <c r="A409" s="353"/>
      <c r="B409" s="353"/>
      <c r="C409" s="86">
        <v>15</v>
      </c>
      <c r="D409" s="353"/>
      <c r="E409" s="181" t="s">
        <v>5160</v>
      </c>
      <c r="F409" s="86"/>
      <c r="G409" s="86"/>
      <c r="H409" s="181" t="s">
        <v>5161</v>
      </c>
      <c r="I409" s="63" t="s">
        <v>5162</v>
      </c>
      <c r="J409" s="171"/>
      <c r="K409" s="25"/>
      <c r="L409" s="57"/>
      <c r="M409" s="50"/>
      <c r="N409" s="3"/>
      <c r="O409" s="25"/>
      <c r="P409" s="25"/>
      <c r="Q409" s="25" t="s">
        <v>282</v>
      </c>
      <c r="R409" s="50" t="s">
        <v>305</v>
      </c>
      <c r="S409" s="25"/>
      <c r="T409" s="3"/>
      <c r="U409" s="3"/>
      <c r="V409" s="3"/>
      <c r="W409" s="3"/>
    </row>
    <row r="410" spans="1:23" ht="15.75" customHeight="1">
      <c r="A410" s="351" t="s">
        <v>5163</v>
      </c>
      <c r="B410" s="354" t="s">
        <v>213</v>
      </c>
      <c r="C410" s="86">
        <v>1</v>
      </c>
      <c r="D410" s="351" t="s">
        <v>5164</v>
      </c>
      <c r="E410" s="181" t="s">
        <v>5094</v>
      </c>
      <c r="F410" s="86" t="s">
        <v>361</v>
      </c>
      <c r="G410" s="86" t="s">
        <v>327</v>
      </c>
      <c r="H410" s="181" t="s">
        <v>5095</v>
      </c>
      <c r="I410" s="63" t="s">
        <v>5165</v>
      </c>
      <c r="J410" s="171"/>
      <c r="K410" s="25"/>
      <c r="L410" s="57"/>
      <c r="M410" s="50"/>
      <c r="N410" s="3"/>
      <c r="O410" s="25"/>
      <c r="P410" s="25"/>
      <c r="Q410" s="25" t="s">
        <v>282</v>
      </c>
      <c r="R410" s="50" t="s">
        <v>305</v>
      </c>
      <c r="S410" s="25"/>
      <c r="T410" s="3"/>
      <c r="U410" s="3"/>
      <c r="V410" s="3"/>
      <c r="W410" s="3"/>
    </row>
    <row r="411" spans="1:23" ht="15.75" customHeight="1">
      <c r="A411" s="353"/>
      <c r="B411" s="352"/>
      <c r="C411" s="86">
        <v>2</v>
      </c>
      <c r="D411" s="352"/>
      <c r="E411" s="181" t="s">
        <v>5150</v>
      </c>
      <c r="F411" s="86" t="s">
        <v>361</v>
      </c>
      <c r="G411" s="86" t="s">
        <v>327</v>
      </c>
      <c r="H411" s="181" t="s">
        <v>5166</v>
      </c>
      <c r="I411" s="63" t="s">
        <v>5167</v>
      </c>
      <c r="J411" s="171"/>
      <c r="K411" s="25"/>
      <c r="L411" s="66"/>
      <c r="M411" s="50"/>
      <c r="N411" s="3"/>
      <c r="O411" s="50"/>
      <c r="P411" s="50"/>
      <c r="Q411" s="25" t="s">
        <v>282</v>
      </c>
      <c r="R411" s="50" t="s">
        <v>305</v>
      </c>
      <c r="S411" s="25"/>
      <c r="T411" s="3"/>
      <c r="U411" s="3"/>
      <c r="V411" s="3"/>
      <c r="W411" s="3"/>
    </row>
    <row r="412" spans="1:23" ht="15.75" customHeight="1">
      <c r="A412" s="351" t="s">
        <v>5168</v>
      </c>
      <c r="B412" s="352"/>
      <c r="C412" s="86">
        <v>3</v>
      </c>
      <c r="D412" s="352"/>
      <c r="E412" s="351" t="s">
        <v>5169</v>
      </c>
      <c r="F412" s="86" t="s">
        <v>361</v>
      </c>
      <c r="G412" s="86" t="s">
        <v>327</v>
      </c>
      <c r="H412" s="181" t="s">
        <v>5170</v>
      </c>
      <c r="I412" s="63" t="s">
        <v>4907</v>
      </c>
      <c r="J412" s="171"/>
      <c r="K412" s="25"/>
      <c r="L412" s="66"/>
      <c r="M412" s="66" t="s">
        <v>1389</v>
      </c>
      <c r="N412" s="3"/>
      <c r="O412" s="50"/>
      <c r="P412" s="50"/>
      <c r="Q412" s="25" t="s">
        <v>282</v>
      </c>
      <c r="R412" s="50" t="s">
        <v>305</v>
      </c>
      <c r="S412" s="25"/>
      <c r="T412" s="3"/>
      <c r="U412" s="3"/>
      <c r="V412" s="3"/>
      <c r="W412" s="3"/>
    </row>
    <row r="413" spans="1:23" ht="15.75" customHeight="1">
      <c r="A413" s="353"/>
      <c r="B413" s="353"/>
      <c r="C413" s="86">
        <v>4</v>
      </c>
      <c r="D413" s="353"/>
      <c r="E413" s="353"/>
      <c r="F413" s="86" t="s">
        <v>361</v>
      </c>
      <c r="G413" s="86" t="s">
        <v>327</v>
      </c>
      <c r="H413" s="181" t="s">
        <v>5171</v>
      </c>
      <c r="I413" s="63" t="s">
        <v>5105</v>
      </c>
      <c r="J413" s="171"/>
      <c r="K413" s="25"/>
      <c r="L413" s="66"/>
      <c r="M413" s="66" t="s">
        <v>1389</v>
      </c>
      <c r="N413" s="3"/>
      <c r="O413" s="50"/>
      <c r="P413" s="50"/>
      <c r="Q413" s="25" t="s">
        <v>282</v>
      </c>
      <c r="R413" s="50" t="s">
        <v>305</v>
      </c>
      <c r="S413" s="25"/>
      <c r="T413" s="3"/>
      <c r="U413" s="3"/>
      <c r="V413" s="3"/>
      <c r="W413" s="3"/>
    </row>
    <row r="414" spans="1:23" ht="15.75" customHeight="1">
      <c r="A414" s="351" t="s">
        <v>5172</v>
      </c>
      <c r="B414" s="354" t="s">
        <v>5173</v>
      </c>
      <c r="C414" s="143">
        <v>1</v>
      </c>
      <c r="D414" s="357" t="s">
        <v>5174</v>
      </c>
      <c r="E414" s="181" t="s">
        <v>5175</v>
      </c>
      <c r="F414" s="86"/>
      <c r="G414" s="86"/>
      <c r="H414" s="181" t="s">
        <v>5176</v>
      </c>
      <c r="I414" s="73" t="s">
        <v>4907</v>
      </c>
      <c r="J414" s="79"/>
      <c r="K414" s="25"/>
      <c r="L414" s="57"/>
      <c r="M414" s="66" t="s">
        <v>1389</v>
      </c>
      <c r="N414" s="3"/>
      <c r="O414" s="25"/>
      <c r="P414" s="25"/>
      <c r="Q414" s="25" t="s">
        <v>282</v>
      </c>
      <c r="R414" s="50" t="s">
        <v>308</v>
      </c>
      <c r="S414" s="25"/>
      <c r="T414" s="3"/>
      <c r="U414" s="3"/>
      <c r="V414" s="3"/>
      <c r="W414" s="3"/>
    </row>
    <row r="415" spans="1:23" ht="15.75" customHeight="1">
      <c r="A415" s="352"/>
      <c r="B415" s="352"/>
      <c r="C415" s="143">
        <v>2</v>
      </c>
      <c r="D415" s="352"/>
      <c r="E415" s="181" t="s">
        <v>4908</v>
      </c>
      <c r="F415" s="86"/>
      <c r="G415" s="86"/>
      <c r="H415" s="181" t="s">
        <v>4909</v>
      </c>
      <c r="I415" s="73" t="s">
        <v>5177</v>
      </c>
      <c r="J415" s="79"/>
      <c r="K415" s="25"/>
      <c r="L415" s="57"/>
      <c r="M415" s="66" t="s">
        <v>1389</v>
      </c>
      <c r="N415" s="3"/>
      <c r="O415" s="25"/>
      <c r="P415" s="25"/>
      <c r="Q415" s="25" t="s">
        <v>282</v>
      </c>
      <c r="R415" s="50" t="s">
        <v>308</v>
      </c>
      <c r="S415" s="25"/>
      <c r="T415" s="3"/>
      <c r="U415" s="3"/>
      <c r="V415" s="3"/>
      <c r="W415" s="3"/>
    </row>
    <row r="416" spans="1:23" ht="15.75" customHeight="1">
      <c r="A416" s="352"/>
      <c r="B416" s="352"/>
      <c r="C416" s="143">
        <v>3</v>
      </c>
      <c r="D416" s="352"/>
      <c r="E416" s="361" t="s">
        <v>5178</v>
      </c>
      <c r="F416" s="86"/>
      <c r="G416" s="86"/>
      <c r="H416" s="181" t="s">
        <v>5179</v>
      </c>
      <c r="I416" s="73" t="s">
        <v>5180</v>
      </c>
      <c r="J416" s="79"/>
      <c r="K416" s="25"/>
      <c r="L416" s="57"/>
      <c r="M416" s="66" t="s">
        <v>1389</v>
      </c>
      <c r="N416" s="3"/>
      <c r="O416" s="25"/>
      <c r="P416" s="25"/>
      <c r="Q416" s="25" t="s">
        <v>282</v>
      </c>
      <c r="R416" s="50" t="s">
        <v>308</v>
      </c>
      <c r="S416" s="25"/>
      <c r="T416" s="3"/>
      <c r="U416" s="3"/>
      <c r="V416" s="3"/>
      <c r="W416" s="3"/>
    </row>
    <row r="417" spans="1:23" ht="15.75" customHeight="1">
      <c r="A417" s="353"/>
      <c r="B417" s="353"/>
      <c r="C417" s="143">
        <v>4</v>
      </c>
      <c r="D417" s="353"/>
      <c r="E417" s="353"/>
      <c r="F417" s="86"/>
      <c r="G417" s="86"/>
      <c r="H417" s="181" t="s">
        <v>5181</v>
      </c>
      <c r="I417" s="73" t="s">
        <v>5180</v>
      </c>
      <c r="J417" s="79"/>
      <c r="K417" s="25"/>
      <c r="L417" s="57"/>
      <c r="M417" s="66" t="s">
        <v>1389</v>
      </c>
      <c r="N417" s="3"/>
      <c r="O417" s="25"/>
      <c r="P417" s="25"/>
      <c r="Q417" s="25" t="s">
        <v>282</v>
      </c>
      <c r="R417" s="50" t="s">
        <v>308</v>
      </c>
      <c r="S417" s="25"/>
      <c r="T417" s="3"/>
      <c r="U417" s="3"/>
      <c r="V417" s="3"/>
      <c r="W417" s="3"/>
    </row>
    <row r="418" spans="1:23" ht="15.75" customHeight="1">
      <c r="A418" s="351" t="s">
        <v>5182</v>
      </c>
      <c r="B418" s="354" t="s">
        <v>5183</v>
      </c>
      <c r="C418" s="86">
        <v>1</v>
      </c>
      <c r="D418" s="351" t="s">
        <v>5184</v>
      </c>
      <c r="E418" s="181" t="s">
        <v>4945</v>
      </c>
      <c r="F418" s="86"/>
      <c r="G418" s="86"/>
      <c r="H418" s="181" t="s">
        <v>5185</v>
      </c>
      <c r="I418" s="73" t="s">
        <v>4927</v>
      </c>
      <c r="J418" s="79"/>
      <c r="K418" s="25"/>
      <c r="L418" s="57"/>
      <c r="M418" s="66" t="s">
        <v>1389</v>
      </c>
      <c r="N418" s="3"/>
      <c r="O418" s="25"/>
      <c r="P418" s="25"/>
      <c r="Q418" s="25" t="s">
        <v>282</v>
      </c>
      <c r="R418" s="50" t="s">
        <v>308</v>
      </c>
      <c r="S418" s="25"/>
      <c r="T418" s="3"/>
      <c r="U418" s="3"/>
      <c r="V418" s="3"/>
      <c r="W418" s="3"/>
    </row>
    <row r="419" spans="1:23" ht="15.75" customHeight="1">
      <c r="A419" s="352"/>
      <c r="B419" s="352"/>
      <c r="C419" s="86">
        <v>2</v>
      </c>
      <c r="D419" s="352"/>
      <c r="E419" s="181" t="s">
        <v>5186</v>
      </c>
      <c r="F419" s="86"/>
      <c r="G419" s="86"/>
      <c r="H419" s="181" t="s">
        <v>5187</v>
      </c>
      <c r="I419" s="73" t="s">
        <v>5188</v>
      </c>
      <c r="J419" s="79"/>
      <c r="K419" s="25"/>
      <c r="L419" s="57"/>
      <c r="M419" s="66" t="s">
        <v>1389</v>
      </c>
      <c r="N419" s="3"/>
      <c r="O419" s="25"/>
      <c r="P419" s="25"/>
      <c r="Q419" s="25" t="s">
        <v>282</v>
      </c>
      <c r="R419" s="50" t="s">
        <v>308</v>
      </c>
      <c r="S419" s="25"/>
      <c r="T419" s="3"/>
      <c r="U419" s="3"/>
      <c r="V419" s="3"/>
      <c r="W419" s="3"/>
    </row>
    <row r="420" spans="1:23" ht="15.75" customHeight="1">
      <c r="A420" s="352"/>
      <c r="B420" s="352"/>
      <c r="C420" s="86">
        <v>3</v>
      </c>
      <c r="D420" s="352"/>
      <c r="E420" s="181" t="s">
        <v>5189</v>
      </c>
      <c r="F420" s="86"/>
      <c r="G420" s="86"/>
      <c r="H420" s="181" t="s">
        <v>5190</v>
      </c>
      <c r="I420" s="73" t="s">
        <v>5191</v>
      </c>
      <c r="J420" s="79"/>
      <c r="K420" s="25"/>
      <c r="L420" s="57"/>
      <c r="M420" s="66" t="s">
        <v>1389</v>
      </c>
      <c r="N420" s="3"/>
      <c r="O420" s="25"/>
      <c r="P420" s="25"/>
      <c r="Q420" s="25" t="s">
        <v>282</v>
      </c>
      <c r="R420" s="50" t="s">
        <v>308</v>
      </c>
      <c r="S420" s="25"/>
      <c r="T420" s="3"/>
      <c r="U420" s="3"/>
      <c r="V420" s="3"/>
      <c r="W420" s="3"/>
    </row>
    <row r="421" spans="1:23" ht="15.75" customHeight="1">
      <c r="A421" s="352"/>
      <c r="B421" s="352"/>
      <c r="C421" s="86">
        <v>4</v>
      </c>
      <c r="D421" s="352"/>
      <c r="E421" s="181" t="s">
        <v>4908</v>
      </c>
      <c r="F421" s="86"/>
      <c r="G421" s="86"/>
      <c r="H421" s="181" t="s">
        <v>3246</v>
      </c>
      <c r="I421" s="73" t="s">
        <v>4953</v>
      </c>
      <c r="J421" s="79"/>
      <c r="K421" s="25"/>
      <c r="L421" s="57"/>
      <c r="M421" s="66" t="s">
        <v>1389</v>
      </c>
      <c r="N421" s="3"/>
      <c r="O421" s="25"/>
      <c r="P421" s="25"/>
      <c r="Q421" s="25" t="s">
        <v>282</v>
      </c>
      <c r="R421" s="50" t="s">
        <v>308</v>
      </c>
      <c r="S421" s="25"/>
      <c r="T421" s="3"/>
      <c r="U421" s="3"/>
      <c r="V421" s="3"/>
      <c r="W421" s="3"/>
    </row>
    <row r="422" spans="1:23" ht="15.75" customHeight="1">
      <c r="A422" s="352"/>
      <c r="B422" s="352"/>
      <c r="C422" s="86">
        <v>5</v>
      </c>
      <c r="D422" s="352"/>
      <c r="E422" s="181" t="s">
        <v>5192</v>
      </c>
      <c r="F422" s="86"/>
      <c r="G422" s="86"/>
      <c r="H422" s="181" t="s">
        <v>5193</v>
      </c>
      <c r="I422" s="73" t="s">
        <v>5194</v>
      </c>
      <c r="J422" s="79"/>
      <c r="K422" s="25"/>
      <c r="L422" s="57"/>
      <c r="M422" s="66" t="s">
        <v>1389</v>
      </c>
      <c r="N422" s="3"/>
      <c r="O422" s="25"/>
      <c r="P422" s="25"/>
      <c r="Q422" s="25" t="s">
        <v>282</v>
      </c>
      <c r="R422" s="50" t="s">
        <v>308</v>
      </c>
      <c r="S422" s="25"/>
      <c r="T422" s="3"/>
      <c r="U422" s="3"/>
      <c r="V422" s="3"/>
      <c r="W422" s="3"/>
    </row>
    <row r="423" spans="1:23" ht="15.75" customHeight="1">
      <c r="A423" s="352"/>
      <c r="B423" s="352"/>
      <c r="C423" s="86">
        <v>6</v>
      </c>
      <c r="D423" s="352"/>
      <c r="E423" s="181" t="s">
        <v>4908</v>
      </c>
      <c r="F423" s="86"/>
      <c r="G423" s="86"/>
      <c r="H423" s="181" t="s">
        <v>4957</v>
      </c>
      <c r="I423" s="73" t="s">
        <v>4958</v>
      </c>
      <c r="J423" s="79"/>
      <c r="K423" s="25"/>
      <c r="L423" s="57"/>
      <c r="M423" s="66" t="s">
        <v>1389</v>
      </c>
      <c r="N423" s="3"/>
      <c r="O423" s="25"/>
      <c r="P423" s="25"/>
      <c r="Q423" s="25" t="s">
        <v>282</v>
      </c>
      <c r="R423" s="50" t="s">
        <v>308</v>
      </c>
      <c r="S423" s="25"/>
      <c r="T423" s="3"/>
      <c r="U423" s="3"/>
      <c r="V423" s="3"/>
      <c r="W423" s="3"/>
    </row>
    <row r="424" spans="1:23" ht="15.75" customHeight="1">
      <c r="A424" s="352"/>
      <c r="B424" s="352"/>
      <c r="C424" s="86">
        <v>7</v>
      </c>
      <c r="D424" s="352"/>
      <c r="E424" s="181" t="s">
        <v>5195</v>
      </c>
      <c r="F424" s="86"/>
      <c r="G424" s="86"/>
      <c r="H424" s="181" t="s">
        <v>5196</v>
      </c>
      <c r="I424" s="73" t="s">
        <v>5197</v>
      </c>
      <c r="J424" s="79"/>
      <c r="K424" s="25"/>
      <c r="L424" s="57"/>
      <c r="M424" s="66" t="s">
        <v>1389</v>
      </c>
      <c r="N424" s="3"/>
      <c r="O424" s="25"/>
      <c r="P424" s="25"/>
      <c r="Q424" s="25" t="s">
        <v>282</v>
      </c>
      <c r="R424" s="50" t="s">
        <v>308</v>
      </c>
      <c r="S424" s="25"/>
      <c r="T424" s="3"/>
      <c r="U424" s="3"/>
      <c r="V424" s="3"/>
      <c r="W424" s="3"/>
    </row>
    <row r="425" spans="1:23" ht="15.75" customHeight="1">
      <c r="A425" s="352"/>
      <c r="B425" s="352"/>
      <c r="C425" s="86">
        <v>8</v>
      </c>
      <c r="D425" s="352"/>
      <c r="E425" s="181" t="s">
        <v>4908</v>
      </c>
      <c r="F425" s="86"/>
      <c r="G425" s="86"/>
      <c r="H425" s="181" t="s">
        <v>4962</v>
      </c>
      <c r="I425" s="73" t="s">
        <v>4963</v>
      </c>
      <c r="J425" s="79"/>
      <c r="K425" s="25"/>
      <c r="L425" s="57"/>
      <c r="M425" s="66" t="s">
        <v>1389</v>
      </c>
      <c r="N425" s="3"/>
      <c r="O425" s="25"/>
      <c r="P425" s="25"/>
      <c r="Q425" s="25" t="s">
        <v>282</v>
      </c>
      <c r="R425" s="50" t="s">
        <v>308</v>
      </c>
      <c r="S425" s="25"/>
      <c r="T425" s="3"/>
      <c r="U425" s="3"/>
      <c r="V425" s="3"/>
      <c r="W425" s="3"/>
    </row>
    <row r="426" spans="1:23" ht="15.75" customHeight="1">
      <c r="A426" s="352"/>
      <c r="B426" s="352"/>
      <c r="C426" s="86">
        <v>9</v>
      </c>
      <c r="D426" s="352"/>
      <c r="E426" s="181" t="s">
        <v>5198</v>
      </c>
      <c r="F426" s="86"/>
      <c r="G426" s="86"/>
      <c r="H426" s="181" t="s">
        <v>5199</v>
      </c>
      <c r="I426" s="35" t="s">
        <v>4995</v>
      </c>
      <c r="J426" s="172"/>
      <c r="K426" s="25"/>
      <c r="L426" s="57"/>
      <c r="M426" s="66" t="s">
        <v>1389</v>
      </c>
      <c r="N426" s="3"/>
      <c r="O426" s="25"/>
      <c r="P426" s="25"/>
      <c r="Q426" s="25" t="s">
        <v>282</v>
      </c>
      <c r="R426" s="50" t="s">
        <v>308</v>
      </c>
      <c r="S426" s="25"/>
      <c r="T426" s="3"/>
      <c r="U426" s="3"/>
      <c r="V426" s="3"/>
      <c r="W426" s="3"/>
    </row>
    <row r="427" spans="1:23" ht="15.75" customHeight="1">
      <c r="A427" s="352"/>
      <c r="B427" s="352"/>
      <c r="C427" s="86">
        <v>10</v>
      </c>
      <c r="D427" s="352"/>
      <c r="E427" s="181" t="s">
        <v>5200</v>
      </c>
      <c r="F427" s="86"/>
      <c r="G427" s="86"/>
      <c r="H427" s="181" t="s">
        <v>5201</v>
      </c>
      <c r="I427" s="35" t="s">
        <v>5202</v>
      </c>
      <c r="J427" s="172"/>
      <c r="K427" s="25"/>
      <c r="L427" s="57"/>
      <c r="M427" s="66" t="s">
        <v>1389</v>
      </c>
      <c r="N427" s="3"/>
      <c r="O427" s="25"/>
      <c r="P427" s="25"/>
      <c r="Q427" s="25" t="s">
        <v>282</v>
      </c>
      <c r="R427" s="50" t="s">
        <v>308</v>
      </c>
      <c r="S427" s="25"/>
      <c r="T427" s="3"/>
      <c r="U427" s="3"/>
      <c r="V427" s="3"/>
      <c r="W427" s="3"/>
    </row>
    <row r="428" spans="1:23" ht="15.75" customHeight="1">
      <c r="A428" s="352"/>
      <c r="B428" s="352"/>
      <c r="C428" s="86">
        <v>11</v>
      </c>
      <c r="D428" s="352"/>
      <c r="E428" s="181" t="s">
        <v>5203</v>
      </c>
      <c r="F428" s="86"/>
      <c r="G428" s="86"/>
      <c r="H428" s="181" t="s">
        <v>5204</v>
      </c>
      <c r="I428" s="35" t="s">
        <v>5205</v>
      </c>
      <c r="J428" s="172"/>
      <c r="K428" s="25"/>
      <c r="L428" s="57"/>
      <c r="M428" s="66" t="s">
        <v>1389</v>
      </c>
      <c r="N428" s="3"/>
      <c r="O428" s="25"/>
      <c r="P428" s="25"/>
      <c r="Q428" s="25" t="s">
        <v>282</v>
      </c>
      <c r="R428" s="50" t="s">
        <v>308</v>
      </c>
      <c r="S428" s="25"/>
      <c r="T428" s="3"/>
      <c r="U428" s="3"/>
      <c r="V428" s="3"/>
      <c r="W428" s="3"/>
    </row>
    <row r="429" spans="1:23" ht="15.75" customHeight="1">
      <c r="A429" s="352"/>
      <c r="B429" s="352"/>
      <c r="C429" s="86">
        <v>12</v>
      </c>
      <c r="D429" s="352"/>
      <c r="E429" s="181" t="s">
        <v>5206</v>
      </c>
      <c r="F429" s="86"/>
      <c r="G429" s="86"/>
      <c r="H429" s="181" t="s">
        <v>5207</v>
      </c>
      <c r="I429" s="35" t="s">
        <v>5205</v>
      </c>
      <c r="J429" s="172"/>
      <c r="K429" s="25"/>
      <c r="L429" s="57"/>
      <c r="M429" s="66" t="s">
        <v>1389</v>
      </c>
      <c r="N429" s="3"/>
      <c r="O429" s="25"/>
      <c r="P429" s="25"/>
      <c r="Q429" s="25" t="s">
        <v>282</v>
      </c>
      <c r="R429" s="50" t="s">
        <v>308</v>
      </c>
      <c r="S429" s="25"/>
      <c r="T429" s="3"/>
      <c r="U429" s="3"/>
      <c r="V429" s="3"/>
      <c r="W429" s="3"/>
    </row>
    <row r="430" spans="1:23" ht="15.75" customHeight="1">
      <c r="A430" s="353"/>
      <c r="B430" s="353"/>
      <c r="C430" s="86">
        <v>13</v>
      </c>
      <c r="D430" s="353"/>
      <c r="E430" s="181" t="s">
        <v>5160</v>
      </c>
      <c r="F430" s="86"/>
      <c r="G430" s="86"/>
      <c r="H430" s="181" t="s">
        <v>5161</v>
      </c>
      <c r="I430" s="35" t="s">
        <v>5208</v>
      </c>
      <c r="J430" s="172"/>
      <c r="K430" s="25"/>
      <c r="L430" s="57"/>
      <c r="M430" s="66" t="s">
        <v>1389</v>
      </c>
      <c r="N430" s="3"/>
      <c r="O430" s="25"/>
      <c r="P430" s="25"/>
      <c r="Q430" s="25" t="s">
        <v>282</v>
      </c>
      <c r="R430" s="50" t="s">
        <v>308</v>
      </c>
      <c r="S430" s="25"/>
      <c r="T430" s="3"/>
      <c r="U430" s="3"/>
      <c r="V430" s="3"/>
      <c r="W430" s="3"/>
    </row>
    <row r="431" spans="1:23" ht="15.75" customHeight="1">
      <c r="A431" s="351" t="s">
        <v>5209</v>
      </c>
      <c r="B431" s="354" t="s">
        <v>5210</v>
      </c>
      <c r="C431" s="86">
        <v>1</v>
      </c>
      <c r="D431" s="351" t="s">
        <v>5211</v>
      </c>
      <c r="E431" s="181" t="s">
        <v>5094</v>
      </c>
      <c r="F431" s="86" t="s">
        <v>361</v>
      </c>
      <c r="G431" s="86" t="s">
        <v>327</v>
      </c>
      <c r="H431" s="181" t="s">
        <v>5095</v>
      </c>
      <c r="I431" s="35" t="s">
        <v>5165</v>
      </c>
      <c r="J431" s="172"/>
      <c r="K431" s="25"/>
      <c r="L431" s="57"/>
      <c r="M431" s="66" t="s">
        <v>1389</v>
      </c>
      <c r="N431" s="3"/>
      <c r="O431" s="25"/>
      <c r="P431" s="25"/>
      <c r="Q431" s="25" t="s">
        <v>282</v>
      </c>
      <c r="R431" s="50" t="s">
        <v>308</v>
      </c>
      <c r="S431" s="25"/>
      <c r="T431" s="3"/>
      <c r="U431" s="3"/>
      <c r="V431" s="3"/>
      <c r="W431" s="3"/>
    </row>
    <row r="432" spans="1:23" ht="15.75" customHeight="1">
      <c r="A432" s="353"/>
      <c r="B432" s="352"/>
      <c r="C432" s="86">
        <v>2</v>
      </c>
      <c r="D432" s="352"/>
      <c r="E432" s="181" t="s">
        <v>5198</v>
      </c>
      <c r="F432" s="86" t="s">
        <v>361</v>
      </c>
      <c r="G432" s="86" t="s">
        <v>327</v>
      </c>
      <c r="H432" s="181" t="s">
        <v>5212</v>
      </c>
      <c r="I432" s="35" t="s">
        <v>5167</v>
      </c>
      <c r="J432" s="172"/>
      <c r="K432" s="25"/>
      <c r="L432" s="66"/>
      <c r="M432" s="66" t="s">
        <v>1389</v>
      </c>
      <c r="N432" s="3"/>
      <c r="O432" s="50"/>
      <c r="P432" s="50"/>
      <c r="Q432" s="25" t="s">
        <v>282</v>
      </c>
      <c r="R432" s="50" t="s">
        <v>308</v>
      </c>
      <c r="S432" s="25"/>
      <c r="T432" s="3"/>
      <c r="U432" s="3"/>
      <c r="V432" s="3"/>
      <c r="W432" s="3"/>
    </row>
    <row r="433" spans="1:23" ht="15.75" customHeight="1">
      <c r="A433" s="351" t="s">
        <v>5213</v>
      </c>
      <c r="B433" s="352"/>
      <c r="C433" s="86">
        <v>3</v>
      </c>
      <c r="D433" s="352"/>
      <c r="E433" s="351" t="s">
        <v>5214</v>
      </c>
      <c r="F433" s="86" t="s">
        <v>361</v>
      </c>
      <c r="G433" s="86" t="s">
        <v>327</v>
      </c>
      <c r="H433" s="181" t="s">
        <v>5215</v>
      </c>
      <c r="I433" s="35" t="s">
        <v>4907</v>
      </c>
      <c r="J433" s="172"/>
      <c r="K433" s="25"/>
      <c r="L433" s="66"/>
      <c r="M433" s="66"/>
      <c r="N433" s="3"/>
      <c r="O433" s="50"/>
      <c r="P433" s="50"/>
      <c r="Q433" s="25" t="s">
        <v>282</v>
      </c>
      <c r="R433" s="50" t="s">
        <v>308</v>
      </c>
      <c r="S433" s="25"/>
      <c r="T433" s="3"/>
      <c r="U433" s="3"/>
      <c r="V433" s="3"/>
      <c r="W433" s="3"/>
    </row>
    <row r="434" spans="1:23" ht="15.75" customHeight="1">
      <c r="A434" s="353"/>
      <c r="B434" s="353"/>
      <c r="C434" s="86">
        <v>4</v>
      </c>
      <c r="D434" s="353"/>
      <c r="E434" s="353"/>
      <c r="F434" s="86" t="s">
        <v>361</v>
      </c>
      <c r="G434" s="86" t="s">
        <v>327</v>
      </c>
      <c r="H434" s="181" t="s">
        <v>5216</v>
      </c>
      <c r="I434" s="35" t="s">
        <v>5105</v>
      </c>
      <c r="J434" s="172"/>
      <c r="K434" s="25"/>
      <c r="L434" s="66"/>
      <c r="M434" s="66"/>
      <c r="N434" s="3"/>
      <c r="O434" s="50"/>
      <c r="P434" s="50"/>
      <c r="Q434" s="25" t="s">
        <v>282</v>
      </c>
      <c r="R434" s="50" t="s">
        <v>308</v>
      </c>
      <c r="S434" s="25"/>
      <c r="T434" s="3"/>
      <c r="U434" s="3"/>
      <c r="V434" s="3"/>
      <c r="W434" s="3"/>
    </row>
    <row r="435" spans="1:23" ht="77.25" customHeight="1">
      <c r="A435" s="364" t="s">
        <v>5217</v>
      </c>
      <c r="B435" s="363" t="s">
        <v>5218</v>
      </c>
      <c r="C435" s="46">
        <v>1</v>
      </c>
      <c r="D435" s="364" t="s">
        <v>5219</v>
      </c>
      <c r="E435" s="73" t="s">
        <v>5220</v>
      </c>
      <c r="F435" s="46" t="s">
        <v>361</v>
      </c>
      <c r="G435" s="46" t="s">
        <v>327</v>
      </c>
      <c r="H435" s="73" t="s">
        <v>5221</v>
      </c>
      <c r="I435" s="35" t="s">
        <v>5222</v>
      </c>
      <c r="J435" s="172"/>
      <c r="K435" s="25"/>
      <c r="L435" s="57"/>
      <c r="M435" s="66"/>
      <c r="N435" s="84"/>
      <c r="O435" s="25"/>
      <c r="P435" s="25"/>
      <c r="Q435" s="25" t="s">
        <v>282</v>
      </c>
      <c r="R435" s="50"/>
      <c r="S435" s="25"/>
      <c r="T435" s="3"/>
      <c r="U435" s="3"/>
      <c r="V435" s="3"/>
      <c r="W435" s="3"/>
    </row>
    <row r="436" spans="1:23" ht="80.25" customHeight="1">
      <c r="A436" s="345"/>
      <c r="B436" s="345"/>
      <c r="C436" s="74">
        <v>2</v>
      </c>
      <c r="D436" s="345"/>
      <c r="E436" s="73" t="s">
        <v>5223</v>
      </c>
      <c r="F436" s="46" t="s">
        <v>361</v>
      </c>
      <c r="G436" s="46" t="s">
        <v>327</v>
      </c>
      <c r="H436" s="73" t="s">
        <v>5224</v>
      </c>
      <c r="I436" s="35" t="s">
        <v>5225</v>
      </c>
      <c r="J436" s="172"/>
      <c r="K436" s="25"/>
      <c r="L436" s="66"/>
      <c r="M436" s="66"/>
      <c r="N436" s="84"/>
      <c r="O436" s="50"/>
      <c r="P436" s="50"/>
      <c r="Q436" s="25" t="s">
        <v>282</v>
      </c>
      <c r="R436" s="50"/>
      <c r="S436" s="25"/>
      <c r="T436" s="3"/>
      <c r="U436" s="3"/>
      <c r="V436" s="3"/>
      <c r="W436" s="3"/>
    </row>
    <row r="437" spans="1:23" ht="15.75" customHeight="1">
      <c r="A437" s="68"/>
      <c r="B437" s="68"/>
      <c r="C437" s="180"/>
      <c r="D437" s="68"/>
      <c r="E437" s="194"/>
      <c r="F437" s="195"/>
      <c r="G437" s="195"/>
      <c r="H437" s="195"/>
      <c r="K437" s="68"/>
      <c r="M437" s="68"/>
      <c r="O437" s="68"/>
      <c r="P437" s="68"/>
      <c r="Q437" s="68"/>
      <c r="R437" s="68"/>
      <c r="S437" s="68"/>
    </row>
    <row r="438" spans="1:23" ht="15.75" customHeight="1">
      <c r="A438" s="68"/>
      <c r="B438" s="68"/>
      <c r="C438" s="180"/>
      <c r="D438" s="68"/>
      <c r="E438" s="194"/>
      <c r="F438" s="195"/>
      <c r="G438" s="195"/>
      <c r="H438" s="195"/>
      <c r="K438" s="68"/>
      <c r="M438" s="68"/>
      <c r="O438" s="68"/>
      <c r="P438" s="68"/>
      <c r="Q438" s="68"/>
      <c r="R438" s="68"/>
      <c r="S438" s="68"/>
    </row>
    <row r="439" spans="1:23" ht="15.75" customHeight="1">
      <c r="A439" s="68"/>
      <c r="B439" s="68"/>
      <c r="C439" s="180"/>
      <c r="D439" s="68"/>
      <c r="E439" s="194"/>
      <c r="F439" s="195"/>
      <c r="G439" s="195"/>
      <c r="H439" s="195"/>
      <c r="K439" s="68"/>
      <c r="M439" s="68"/>
      <c r="O439" s="68"/>
      <c r="P439" s="68"/>
      <c r="Q439" s="68"/>
      <c r="R439" s="68"/>
      <c r="S439" s="68"/>
    </row>
    <row r="440" spans="1:23" ht="15.75" customHeight="1">
      <c r="A440" s="68"/>
      <c r="B440" s="68"/>
      <c r="C440" s="180"/>
      <c r="D440" s="68"/>
      <c r="E440" s="194"/>
      <c r="F440" s="195"/>
      <c r="G440" s="195"/>
      <c r="H440" s="195"/>
      <c r="K440" s="68"/>
      <c r="M440" s="68"/>
      <c r="O440" s="68"/>
      <c r="P440" s="68"/>
      <c r="Q440" s="68"/>
      <c r="R440" s="68"/>
      <c r="S440" s="68"/>
    </row>
    <row r="441" spans="1:23" ht="15.75" customHeight="1">
      <c r="A441" s="68"/>
      <c r="B441" s="68"/>
      <c r="C441" s="180"/>
      <c r="D441" s="68"/>
      <c r="E441" s="194"/>
      <c r="F441" s="195"/>
      <c r="G441" s="195"/>
      <c r="H441" s="195"/>
      <c r="K441" s="68"/>
      <c r="M441" s="68"/>
      <c r="O441" s="68"/>
      <c r="P441" s="68"/>
      <c r="Q441" s="68"/>
      <c r="R441" s="68"/>
      <c r="S441" s="68"/>
    </row>
    <row r="442" spans="1:23" ht="15.75" customHeight="1">
      <c r="A442" s="68"/>
      <c r="B442" s="68"/>
      <c r="C442" s="180"/>
      <c r="D442" s="68"/>
      <c r="E442" s="194"/>
      <c r="F442" s="195"/>
      <c r="G442" s="195"/>
      <c r="H442" s="195"/>
      <c r="K442" s="68"/>
      <c r="M442" s="68"/>
      <c r="O442" s="68"/>
      <c r="P442" s="68"/>
      <c r="Q442" s="68"/>
      <c r="R442" s="68"/>
      <c r="S442" s="68"/>
    </row>
    <row r="443" spans="1:23" ht="15.75" customHeight="1">
      <c r="A443" s="68"/>
      <c r="B443" s="68"/>
      <c r="C443" s="180"/>
      <c r="D443" s="68"/>
      <c r="E443" s="194"/>
      <c r="F443" s="195"/>
      <c r="G443" s="195"/>
      <c r="H443" s="195"/>
      <c r="K443" s="68"/>
      <c r="M443" s="68"/>
      <c r="O443" s="68"/>
      <c r="P443" s="68"/>
      <c r="Q443" s="68"/>
      <c r="R443" s="68"/>
      <c r="S443" s="68"/>
    </row>
    <row r="444" spans="1:23" ht="15.75" customHeight="1">
      <c r="A444" s="68"/>
      <c r="B444" s="68"/>
      <c r="C444" s="180"/>
      <c r="D444" s="68"/>
      <c r="E444" s="194"/>
      <c r="F444" s="195"/>
      <c r="G444" s="195"/>
      <c r="H444" s="195"/>
      <c r="K444" s="68"/>
      <c r="M444" s="68"/>
      <c r="O444" s="68"/>
      <c r="P444" s="68"/>
      <c r="Q444" s="68"/>
      <c r="R444" s="68"/>
      <c r="S444" s="68"/>
    </row>
    <row r="445" spans="1:23" ht="15.75" customHeight="1">
      <c r="A445" s="68"/>
      <c r="B445" s="68"/>
      <c r="C445" s="180"/>
      <c r="D445" s="68"/>
      <c r="E445" s="194"/>
      <c r="F445" s="195"/>
      <c r="G445" s="195"/>
      <c r="H445" s="195"/>
      <c r="K445" s="68"/>
      <c r="M445" s="68"/>
      <c r="O445" s="68"/>
      <c r="P445" s="68"/>
      <c r="Q445" s="68"/>
      <c r="R445" s="68"/>
      <c r="S445" s="68"/>
    </row>
    <row r="446" spans="1:23" ht="15.75" customHeight="1">
      <c r="A446" s="68"/>
      <c r="B446" s="68"/>
      <c r="C446" s="180"/>
      <c r="D446" s="68"/>
      <c r="E446" s="194"/>
      <c r="F446" s="195"/>
      <c r="G446" s="195"/>
      <c r="H446" s="195"/>
      <c r="K446" s="68"/>
      <c r="M446" s="68"/>
      <c r="O446" s="68"/>
      <c r="P446" s="68"/>
      <c r="Q446" s="68"/>
      <c r="R446" s="68"/>
      <c r="S446" s="68"/>
    </row>
    <row r="447" spans="1:23" ht="15.75" customHeight="1">
      <c r="A447" s="68"/>
      <c r="B447" s="68"/>
      <c r="C447" s="180"/>
      <c r="D447" s="68"/>
      <c r="E447" s="194"/>
      <c r="F447" s="195"/>
      <c r="G447" s="195"/>
      <c r="H447" s="195"/>
      <c r="K447" s="68"/>
      <c r="M447" s="68"/>
      <c r="O447" s="68"/>
      <c r="P447" s="68"/>
      <c r="Q447" s="68"/>
      <c r="R447" s="68"/>
      <c r="S447" s="68"/>
    </row>
    <row r="448" spans="1:23" ht="15.75" customHeight="1">
      <c r="A448" s="68"/>
      <c r="B448" s="68"/>
      <c r="C448" s="180"/>
      <c r="D448" s="68"/>
      <c r="E448" s="194"/>
      <c r="F448" s="195"/>
      <c r="G448" s="195"/>
      <c r="H448" s="195"/>
      <c r="K448" s="68"/>
      <c r="M448" s="68"/>
      <c r="O448" s="68"/>
      <c r="P448" s="68"/>
      <c r="Q448" s="68"/>
      <c r="R448" s="68"/>
      <c r="S448" s="68"/>
    </row>
    <row r="449" spans="1:19" ht="15.75" customHeight="1">
      <c r="A449" s="68"/>
      <c r="B449" s="68"/>
      <c r="C449" s="180"/>
      <c r="D449" s="68"/>
      <c r="E449" s="194"/>
      <c r="F449" s="195"/>
      <c r="G449" s="195"/>
      <c r="H449" s="195"/>
      <c r="K449" s="68"/>
      <c r="M449" s="68"/>
      <c r="O449" s="68"/>
      <c r="P449" s="68"/>
      <c r="Q449" s="68"/>
      <c r="R449" s="68"/>
      <c r="S449" s="68"/>
    </row>
    <row r="450" spans="1:19" ht="15.75" customHeight="1">
      <c r="A450" s="68"/>
      <c r="B450" s="68"/>
      <c r="C450" s="180"/>
      <c r="D450" s="68"/>
      <c r="E450" s="194"/>
      <c r="F450" s="195"/>
      <c r="G450" s="195"/>
      <c r="H450" s="195"/>
      <c r="K450" s="68"/>
      <c r="M450" s="68"/>
      <c r="O450" s="68"/>
      <c r="P450" s="68"/>
      <c r="Q450" s="68"/>
      <c r="R450" s="68"/>
      <c r="S450" s="68"/>
    </row>
    <row r="451" spans="1:19" ht="15.75" customHeight="1">
      <c r="A451" s="68"/>
      <c r="B451" s="68"/>
      <c r="C451" s="180"/>
      <c r="D451" s="68"/>
      <c r="E451" s="194"/>
      <c r="F451" s="195"/>
      <c r="G451" s="195"/>
      <c r="H451" s="195"/>
      <c r="K451" s="68"/>
      <c r="M451" s="68"/>
      <c r="O451" s="68"/>
      <c r="P451" s="68"/>
      <c r="Q451" s="68"/>
      <c r="R451" s="68"/>
      <c r="S451" s="68"/>
    </row>
    <row r="452" spans="1:19" ht="15.75" customHeight="1">
      <c r="A452" s="68"/>
      <c r="B452" s="68"/>
      <c r="C452" s="180"/>
      <c r="D452" s="68"/>
      <c r="E452" s="194"/>
      <c r="F452" s="195"/>
      <c r="G452" s="195"/>
      <c r="H452" s="195"/>
      <c r="K452" s="68"/>
      <c r="M452" s="68"/>
      <c r="O452" s="68"/>
      <c r="P452" s="68"/>
      <c r="Q452" s="68"/>
      <c r="R452" s="68"/>
      <c r="S452" s="68"/>
    </row>
    <row r="453" spans="1:19" ht="15.75" customHeight="1">
      <c r="A453" s="68"/>
      <c r="B453" s="68"/>
      <c r="C453" s="180"/>
      <c r="D453" s="68"/>
      <c r="E453" s="194"/>
      <c r="F453" s="195"/>
      <c r="G453" s="195"/>
      <c r="H453" s="195"/>
      <c r="K453" s="68"/>
      <c r="M453" s="68"/>
      <c r="O453" s="68"/>
      <c r="P453" s="68"/>
      <c r="Q453" s="68"/>
      <c r="R453" s="68"/>
      <c r="S453" s="68"/>
    </row>
    <row r="454" spans="1:19" ht="15.75" customHeight="1">
      <c r="A454" s="68"/>
      <c r="B454" s="68"/>
      <c r="C454" s="180"/>
      <c r="D454" s="68"/>
      <c r="E454" s="194"/>
      <c r="F454" s="195"/>
      <c r="G454" s="195"/>
      <c r="H454" s="195"/>
      <c r="K454" s="68"/>
      <c r="M454" s="68"/>
      <c r="O454" s="68"/>
      <c r="P454" s="68"/>
      <c r="Q454" s="68"/>
      <c r="R454" s="68"/>
      <c r="S454" s="68"/>
    </row>
    <row r="455" spans="1:19" ht="15.75" customHeight="1">
      <c r="A455" s="68"/>
      <c r="B455" s="68"/>
      <c r="C455" s="180"/>
      <c r="D455" s="68"/>
      <c r="E455" s="194"/>
      <c r="F455" s="195"/>
      <c r="G455" s="195"/>
      <c r="H455" s="195"/>
      <c r="K455" s="68"/>
      <c r="M455" s="68"/>
      <c r="O455" s="68"/>
      <c r="P455" s="68"/>
      <c r="Q455" s="68"/>
      <c r="R455" s="68"/>
      <c r="S455" s="68"/>
    </row>
    <row r="456" spans="1:19" ht="15.75" customHeight="1">
      <c r="A456" s="68"/>
      <c r="B456" s="68"/>
      <c r="C456" s="180"/>
      <c r="D456" s="68"/>
      <c r="E456" s="194"/>
      <c r="F456" s="195"/>
      <c r="G456" s="195"/>
      <c r="H456" s="195"/>
      <c r="K456" s="68"/>
      <c r="M456" s="68"/>
      <c r="O456" s="68"/>
      <c r="P456" s="68"/>
      <c r="Q456" s="68"/>
      <c r="R456" s="68"/>
      <c r="S456" s="68"/>
    </row>
    <row r="457" spans="1:19" ht="15.75" customHeight="1">
      <c r="A457" s="68"/>
      <c r="B457" s="68"/>
      <c r="C457" s="180"/>
      <c r="D457" s="68"/>
      <c r="E457" s="194"/>
      <c r="F457" s="195"/>
      <c r="G457" s="195"/>
      <c r="H457" s="195"/>
      <c r="K457" s="68"/>
      <c r="M457" s="68"/>
      <c r="O457" s="68"/>
      <c r="P457" s="68"/>
      <c r="Q457" s="68"/>
      <c r="R457" s="68"/>
      <c r="S457" s="68"/>
    </row>
    <row r="458" spans="1:19" ht="15.75" customHeight="1">
      <c r="A458" s="68"/>
      <c r="B458" s="68"/>
      <c r="C458" s="180"/>
      <c r="D458" s="68"/>
      <c r="E458" s="194"/>
      <c r="F458" s="195"/>
      <c r="G458" s="195"/>
      <c r="H458" s="195"/>
      <c r="K458" s="68"/>
      <c r="M458" s="68"/>
      <c r="O458" s="68"/>
      <c r="P458" s="68"/>
      <c r="Q458" s="68"/>
      <c r="R458" s="68"/>
      <c r="S458" s="68"/>
    </row>
    <row r="459" spans="1:19" ht="15.75" customHeight="1">
      <c r="A459" s="68"/>
      <c r="B459" s="68"/>
      <c r="C459" s="180"/>
      <c r="D459" s="68"/>
      <c r="E459" s="194"/>
      <c r="F459" s="195"/>
      <c r="G459" s="195"/>
      <c r="H459" s="195"/>
      <c r="K459" s="68"/>
      <c r="M459" s="68"/>
      <c r="O459" s="68"/>
      <c r="P459" s="68"/>
      <c r="Q459" s="68"/>
      <c r="R459" s="68"/>
      <c r="S459" s="68"/>
    </row>
    <row r="460" spans="1:19" ht="15.75" customHeight="1">
      <c r="A460" s="68"/>
      <c r="B460" s="68"/>
      <c r="C460" s="180"/>
      <c r="D460" s="68"/>
      <c r="E460" s="194"/>
      <c r="F460" s="195"/>
      <c r="G460" s="195"/>
      <c r="H460" s="195"/>
      <c r="K460" s="68"/>
      <c r="M460" s="68"/>
      <c r="O460" s="68"/>
      <c r="P460" s="68"/>
      <c r="Q460" s="68"/>
      <c r="R460" s="68"/>
      <c r="S460" s="68"/>
    </row>
    <row r="461" spans="1:19" ht="15.75" customHeight="1">
      <c r="A461" s="68"/>
      <c r="B461" s="68"/>
      <c r="C461" s="180"/>
      <c r="D461" s="68"/>
      <c r="E461" s="194"/>
      <c r="F461" s="195"/>
      <c r="G461" s="195"/>
      <c r="H461" s="195"/>
      <c r="K461" s="68"/>
      <c r="M461" s="68"/>
      <c r="O461" s="68"/>
      <c r="P461" s="68"/>
      <c r="Q461" s="68"/>
      <c r="R461" s="68"/>
      <c r="S461" s="68"/>
    </row>
    <row r="462" spans="1:19" ht="15.75" customHeight="1">
      <c r="A462" s="68"/>
      <c r="B462" s="68"/>
      <c r="C462" s="180"/>
      <c r="D462" s="68"/>
      <c r="E462" s="194"/>
      <c r="F462" s="195"/>
      <c r="G462" s="195"/>
      <c r="H462" s="195"/>
      <c r="K462" s="68"/>
      <c r="M462" s="68"/>
      <c r="O462" s="68"/>
      <c r="P462" s="68"/>
      <c r="Q462" s="68"/>
      <c r="R462" s="68"/>
      <c r="S462" s="68"/>
    </row>
    <row r="463" spans="1:19" ht="15.75" customHeight="1">
      <c r="A463" s="68"/>
      <c r="B463" s="68"/>
      <c r="C463" s="180"/>
      <c r="D463" s="68"/>
      <c r="E463" s="194"/>
      <c r="F463" s="195"/>
      <c r="G463" s="195"/>
      <c r="H463" s="195"/>
      <c r="K463" s="68"/>
      <c r="M463" s="68"/>
      <c r="O463" s="68"/>
      <c r="P463" s="68"/>
      <c r="Q463" s="68"/>
      <c r="R463" s="68"/>
      <c r="S463" s="68"/>
    </row>
    <row r="464" spans="1:19" ht="15.75" customHeight="1">
      <c r="A464" s="68"/>
      <c r="B464" s="68"/>
      <c r="C464" s="180"/>
      <c r="D464" s="68"/>
      <c r="E464" s="194"/>
      <c r="F464" s="195"/>
      <c r="G464" s="195"/>
      <c r="H464" s="195"/>
      <c r="K464" s="68"/>
      <c r="M464" s="68"/>
      <c r="O464" s="68"/>
      <c r="P464" s="68"/>
      <c r="Q464" s="68"/>
      <c r="R464" s="68"/>
      <c r="S464" s="68"/>
    </row>
    <row r="465" spans="1:19" ht="15.75" customHeight="1">
      <c r="A465" s="68"/>
      <c r="B465" s="68"/>
      <c r="C465" s="180"/>
      <c r="D465" s="68"/>
      <c r="E465" s="194"/>
      <c r="F465" s="195"/>
      <c r="G465" s="195"/>
      <c r="H465" s="195"/>
      <c r="K465" s="68"/>
      <c r="M465" s="68"/>
      <c r="O465" s="68"/>
      <c r="P465" s="68"/>
      <c r="Q465" s="68"/>
      <c r="R465" s="68"/>
      <c r="S465" s="68"/>
    </row>
    <row r="466" spans="1:19" ht="15.75" customHeight="1">
      <c r="A466" s="68"/>
      <c r="B466" s="68"/>
      <c r="C466" s="180"/>
      <c r="D466" s="68"/>
      <c r="E466" s="194"/>
      <c r="F466" s="195"/>
      <c r="G466" s="195"/>
      <c r="H466" s="195"/>
      <c r="K466" s="68"/>
      <c r="M466" s="68"/>
      <c r="O466" s="68"/>
      <c r="P466" s="68"/>
      <c r="Q466" s="68"/>
      <c r="R466" s="68"/>
      <c r="S466" s="68"/>
    </row>
    <row r="467" spans="1:19" ht="15.75" customHeight="1">
      <c r="A467" s="68"/>
      <c r="B467" s="68"/>
      <c r="C467" s="180"/>
      <c r="D467" s="68"/>
      <c r="E467" s="194"/>
      <c r="F467" s="195"/>
      <c r="G467" s="195"/>
      <c r="H467" s="195"/>
      <c r="K467" s="68"/>
      <c r="M467" s="68"/>
      <c r="O467" s="68"/>
      <c r="P467" s="68"/>
      <c r="Q467" s="68"/>
      <c r="R467" s="68"/>
      <c r="S467" s="68"/>
    </row>
    <row r="468" spans="1:19" ht="15.75" customHeight="1">
      <c r="A468" s="68"/>
      <c r="B468" s="68"/>
      <c r="C468" s="180"/>
      <c r="D468" s="68"/>
      <c r="E468" s="194"/>
      <c r="F468" s="195"/>
      <c r="G468" s="195"/>
      <c r="H468" s="195"/>
      <c r="K468" s="68"/>
      <c r="M468" s="68"/>
      <c r="O468" s="68"/>
      <c r="P468" s="68"/>
      <c r="Q468" s="68"/>
      <c r="R468" s="68"/>
      <c r="S468" s="68"/>
    </row>
    <row r="469" spans="1:19" ht="15.75" customHeight="1">
      <c r="A469" s="68"/>
      <c r="B469" s="68"/>
      <c r="C469" s="180"/>
      <c r="D469" s="68"/>
      <c r="E469" s="194"/>
      <c r="F469" s="195"/>
      <c r="G469" s="195"/>
      <c r="H469" s="195"/>
      <c r="K469" s="68"/>
      <c r="M469" s="68"/>
      <c r="O469" s="68"/>
      <c r="P469" s="68"/>
      <c r="Q469" s="68"/>
      <c r="R469" s="68"/>
      <c r="S469" s="68"/>
    </row>
    <row r="470" spans="1:19" ht="15.75" customHeight="1">
      <c r="A470" s="68"/>
      <c r="B470" s="68"/>
      <c r="C470" s="180"/>
      <c r="D470" s="68"/>
      <c r="E470" s="194"/>
      <c r="F470" s="195"/>
      <c r="G470" s="195"/>
      <c r="H470" s="195"/>
      <c r="K470" s="68"/>
      <c r="M470" s="68"/>
      <c r="O470" s="68"/>
      <c r="P470" s="68"/>
      <c r="Q470" s="68"/>
      <c r="R470" s="68"/>
      <c r="S470" s="68"/>
    </row>
    <row r="471" spans="1:19" ht="15.75" customHeight="1">
      <c r="A471" s="68"/>
      <c r="B471" s="68"/>
      <c r="C471" s="180"/>
      <c r="D471" s="68"/>
      <c r="E471" s="194"/>
      <c r="F471" s="195"/>
      <c r="G471" s="195"/>
      <c r="H471" s="195"/>
      <c r="K471" s="68"/>
      <c r="M471" s="68"/>
      <c r="O471" s="68"/>
      <c r="P471" s="68"/>
      <c r="Q471" s="68"/>
      <c r="R471" s="68"/>
      <c r="S471" s="68"/>
    </row>
    <row r="472" spans="1:19" ht="15.75" customHeight="1">
      <c r="A472" s="68"/>
      <c r="B472" s="68"/>
      <c r="C472" s="180"/>
      <c r="D472" s="68"/>
      <c r="E472" s="194"/>
      <c r="F472" s="195"/>
      <c r="G472" s="195"/>
      <c r="H472" s="195"/>
      <c r="K472" s="68"/>
      <c r="M472" s="68"/>
      <c r="O472" s="68"/>
      <c r="P472" s="68"/>
      <c r="Q472" s="68"/>
      <c r="R472" s="68"/>
      <c r="S472" s="68"/>
    </row>
    <row r="473" spans="1:19" ht="15.75" customHeight="1">
      <c r="A473" s="68"/>
      <c r="B473" s="68"/>
      <c r="C473" s="180"/>
      <c r="D473" s="68"/>
      <c r="E473" s="194"/>
      <c r="F473" s="195"/>
      <c r="G473" s="195"/>
      <c r="H473" s="195"/>
      <c r="K473" s="68"/>
      <c r="M473" s="68"/>
      <c r="O473" s="68"/>
      <c r="P473" s="68"/>
      <c r="Q473" s="68"/>
      <c r="R473" s="68"/>
      <c r="S473" s="68"/>
    </row>
    <row r="474" spans="1:19" ht="15.75" customHeight="1">
      <c r="A474" s="68"/>
      <c r="B474" s="68"/>
      <c r="C474" s="180"/>
      <c r="D474" s="68"/>
      <c r="E474" s="194"/>
      <c r="F474" s="195"/>
      <c r="G474" s="195"/>
      <c r="H474" s="195"/>
      <c r="K474" s="68"/>
      <c r="M474" s="68"/>
      <c r="O474" s="68"/>
      <c r="P474" s="68"/>
      <c r="Q474" s="68"/>
      <c r="R474" s="68"/>
      <c r="S474" s="68"/>
    </row>
    <row r="475" spans="1:19" ht="15.75" customHeight="1">
      <c r="A475" s="68"/>
      <c r="B475" s="68"/>
      <c r="C475" s="180"/>
      <c r="D475" s="68"/>
      <c r="E475" s="194"/>
      <c r="F475" s="195"/>
      <c r="G475" s="195"/>
      <c r="H475" s="195"/>
      <c r="K475" s="68"/>
      <c r="M475" s="68"/>
      <c r="O475" s="68"/>
      <c r="P475" s="68"/>
      <c r="Q475" s="68"/>
      <c r="R475" s="68"/>
      <c r="S475" s="68"/>
    </row>
    <row r="476" spans="1:19" ht="15.75" customHeight="1">
      <c r="A476" s="68"/>
      <c r="B476" s="68"/>
      <c r="C476" s="180"/>
      <c r="D476" s="68"/>
      <c r="E476" s="194"/>
      <c r="F476" s="195"/>
      <c r="G476" s="195"/>
      <c r="H476" s="195"/>
      <c r="K476" s="68"/>
      <c r="M476" s="68"/>
      <c r="O476" s="68"/>
      <c r="P476" s="68"/>
      <c r="Q476" s="68"/>
      <c r="R476" s="68"/>
      <c r="S476" s="68"/>
    </row>
    <row r="477" spans="1:19" ht="15.75" customHeight="1">
      <c r="A477" s="68"/>
      <c r="B477" s="68"/>
      <c r="C477" s="180"/>
      <c r="D477" s="68"/>
      <c r="E477" s="194"/>
      <c r="F477" s="195"/>
      <c r="G477" s="195"/>
      <c r="H477" s="195"/>
      <c r="K477" s="68"/>
      <c r="M477" s="68"/>
      <c r="O477" s="68"/>
      <c r="P477" s="68"/>
      <c r="Q477" s="68"/>
      <c r="R477" s="68"/>
      <c r="S477" s="68"/>
    </row>
    <row r="478" spans="1:19" ht="15.75" customHeight="1">
      <c r="A478" s="68"/>
      <c r="B478" s="68"/>
      <c r="C478" s="180"/>
      <c r="D478" s="68"/>
      <c r="E478" s="194"/>
      <c r="F478" s="195"/>
      <c r="G478" s="195"/>
      <c r="H478" s="195"/>
      <c r="K478" s="68"/>
      <c r="M478" s="68"/>
      <c r="O478" s="68"/>
      <c r="P478" s="68"/>
      <c r="Q478" s="68"/>
      <c r="R478" s="68"/>
      <c r="S478" s="68"/>
    </row>
    <row r="479" spans="1:19" ht="15.75" customHeight="1">
      <c r="A479" s="68"/>
      <c r="B479" s="68"/>
      <c r="C479" s="180"/>
      <c r="D479" s="68"/>
      <c r="E479" s="194"/>
      <c r="F479" s="195"/>
      <c r="G479" s="195"/>
      <c r="H479" s="195"/>
      <c r="K479" s="68"/>
      <c r="M479" s="68"/>
      <c r="O479" s="68"/>
      <c r="P479" s="68"/>
      <c r="Q479" s="68"/>
      <c r="R479" s="68"/>
      <c r="S479" s="68"/>
    </row>
    <row r="480" spans="1:19" ht="15.75" customHeight="1">
      <c r="A480" s="68"/>
      <c r="B480" s="68"/>
      <c r="C480" s="180"/>
      <c r="D480" s="68"/>
      <c r="E480" s="194"/>
      <c r="F480" s="195"/>
      <c r="G480" s="195"/>
      <c r="H480" s="195"/>
      <c r="K480" s="68"/>
      <c r="M480" s="68"/>
      <c r="O480" s="68"/>
      <c r="P480" s="68"/>
      <c r="Q480" s="68"/>
      <c r="R480" s="68"/>
      <c r="S480" s="68"/>
    </row>
    <row r="481" spans="1:19" ht="15.75" customHeight="1">
      <c r="A481" s="68"/>
      <c r="B481" s="68"/>
      <c r="C481" s="180"/>
      <c r="D481" s="68"/>
      <c r="E481" s="194"/>
      <c r="F481" s="195"/>
      <c r="G481" s="195"/>
      <c r="H481" s="195"/>
      <c r="K481" s="68"/>
      <c r="M481" s="68"/>
      <c r="O481" s="68"/>
      <c r="P481" s="68"/>
      <c r="Q481" s="68"/>
      <c r="R481" s="68"/>
      <c r="S481" s="68"/>
    </row>
    <row r="482" spans="1:19" ht="15.75" customHeight="1">
      <c r="A482" s="68"/>
      <c r="B482" s="68"/>
      <c r="C482" s="180"/>
      <c r="D482" s="68"/>
      <c r="E482" s="194"/>
      <c r="F482" s="195"/>
      <c r="G482" s="195"/>
      <c r="H482" s="195"/>
      <c r="K482" s="68"/>
      <c r="M482" s="68"/>
      <c r="O482" s="68"/>
      <c r="P482" s="68"/>
      <c r="Q482" s="68"/>
      <c r="R482" s="68"/>
      <c r="S482" s="68"/>
    </row>
    <row r="483" spans="1:19" ht="15.75" customHeight="1">
      <c r="A483" s="68"/>
      <c r="B483" s="68"/>
      <c r="C483" s="180"/>
      <c r="D483" s="68"/>
      <c r="E483" s="194"/>
      <c r="F483" s="195"/>
      <c r="G483" s="195"/>
      <c r="H483" s="195"/>
      <c r="K483" s="68"/>
      <c r="M483" s="68"/>
      <c r="O483" s="68"/>
      <c r="P483" s="68"/>
      <c r="Q483" s="68"/>
      <c r="R483" s="68"/>
      <c r="S483" s="68"/>
    </row>
    <row r="484" spans="1:19" ht="15.75" customHeight="1">
      <c r="A484" s="68"/>
      <c r="B484" s="68"/>
      <c r="C484" s="180"/>
      <c r="D484" s="68"/>
      <c r="E484" s="194"/>
      <c r="F484" s="195"/>
      <c r="G484" s="195"/>
      <c r="H484" s="195"/>
      <c r="K484" s="68"/>
      <c r="M484" s="68"/>
      <c r="O484" s="68"/>
      <c r="P484" s="68"/>
      <c r="Q484" s="68"/>
      <c r="R484" s="68"/>
      <c r="S484" s="68"/>
    </row>
    <row r="485" spans="1:19" ht="15.75" customHeight="1">
      <c r="A485" s="68"/>
      <c r="B485" s="68"/>
      <c r="C485" s="180"/>
      <c r="D485" s="68"/>
      <c r="E485" s="194"/>
      <c r="F485" s="195"/>
      <c r="G485" s="195"/>
      <c r="H485" s="195"/>
      <c r="K485" s="68"/>
      <c r="M485" s="68"/>
      <c r="O485" s="68"/>
      <c r="P485" s="68"/>
      <c r="Q485" s="68"/>
      <c r="R485" s="68"/>
      <c r="S485" s="68"/>
    </row>
    <row r="486" spans="1:19" ht="15.75" customHeight="1">
      <c r="A486" s="68"/>
      <c r="B486" s="68"/>
      <c r="C486" s="180"/>
      <c r="D486" s="68"/>
      <c r="E486" s="194"/>
      <c r="F486" s="195"/>
      <c r="G486" s="195"/>
      <c r="H486" s="195"/>
      <c r="K486" s="68"/>
      <c r="M486" s="68"/>
      <c r="O486" s="68"/>
      <c r="P486" s="68"/>
      <c r="Q486" s="68"/>
      <c r="R486" s="68"/>
      <c r="S486" s="68"/>
    </row>
    <row r="487" spans="1:19" ht="15.75" customHeight="1">
      <c r="A487" s="68"/>
      <c r="B487" s="68"/>
      <c r="C487" s="180"/>
      <c r="D487" s="68"/>
      <c r="E487" s="194"/>
      <c r="F487" s="195"/>
      <c r="G487" s="195"/>
      <c r="H487" s="195"/>
      <c r="K487" s="68"/>
      <c r="M487" s="68"/>
      <c r="O487" s="68"/>
      <c r="P487" s="68"/>
      <c r="Q487" s="68"/>
      <c r="R487" s="68"/>
      <c r="S487" s="68"/>
    </row>
    <row r="488" spans="1:19" ht="15.75" customHeight="1">
      <c r="A488" s="68"/>
      <c r="B488" s="68"/>
      <c r="C488" s="180"/>
      <c r="D488" s="68"/>
      <c r="E488" s="194"/>
      <c r="F488" s="195"/>
      <c r="G488" s="195"/>
      <c r="H488" s="195"/>
      <c r="K488" s="68"/>
      <c r="M488" s="68"/>
      <c r="O488" s="68"/>
      <c r="P488" s="68"/>
      <c r="Q488" s="68"/>
      <c r="R488" s="68"/>
      <c r="S488" s="68"/>
    </row>
    <row r="489" spans="1:19" ht="15.75" customHeight="1">
      <c r="A489" s="68"/>
      <c r="B489" s="68"/>
      <c r="C489" s="180"/>
      <c r="D489" s="68"/>
      <c r="E489" s="194"/>
      <c r="F489" s="195"/>
      <c r="G489" s="195"/>
      <c r="H489" s="195"/>
      <c r="K489" s="68"/>
      <c r="M489" s="68"/>
      <c r="O489" s="68"/>
      <c r="P489" s="68"/>
      <c r="Q489" s="68"/>
      <c r="R489" s="68"/>
      <c r="S489" s="68"/>
    </row>
    <row r="490" spans="1:19" ht="15.75" customHeight="1">
      <c r="A490" s="68"/>
      <c r="B490" s="68"/>
      <c r="C490" s="180"/>
      <c r="D490" s="68"/>
      <c r="E490" s="194"/>
      <c r="F490" s="195"/>
      <c r="G490" s="195"/>
      <c r="H490" s="195"/>
      <c r="K490" s="68"/>
      <c r="M490" s="68"/>
      <c r="O490" s="68"/>
      <c r="P490" s="68"/>
      <c r="Q490" s="68"/>
      <c r="R490" s="68"/>
      <c r="S490" s="68"/>
    </row>
    <row r="491" spans="1:19" ht="15.75" customHeight="1">
      <c r="A491" s="68"/>
      <c r="B491" s="68"/>
      <c r="C491" s="180"/>
      <c r="D491" s="68"/>
      <c r="E491" s="194"/>
      <c r="F491" s="195"/>
      <c r="G491" s="195"/>
      <c r="H491" s="195"/>
      <c r="K491" s="68"/>
      <c r="M491" s="68"/>
      <c r="O491" s="68"/>
      <c r="P491" s="68"/>
      <c r="Q491" s="68"/>
      <c r="R491" s="68"/>
      <c r="S491" s="68"/>
    </row>
    <row r="492" spans="1:19" ht="15.75" customHeight="1">
      <c r="A492" s="68"/>
      <c r="B492" s="68"/>
      <c r="C492" s="180"/>
      <c r="D492" s="68"/>
      <c r="E492" s="194"/>
      <c r="F492" s="195"/>
      <c r="G492" s="195"/>
      <c r="H492" s="195"/>
      <c r="K492" s="68"/>
      <c r="M492" s="68"/>
      <c r="O492" s="68"/>
      <c r="P492" s="68"/>
      <c r="Q492" s="68"/>
      <c r="R492" s="68"/>
      <c r="S492" s="68"/>
    </row>
    <row r="493" spans="1:19" ht="15.75" customHeight="1">
      <c r="A493" s="68"/>
      <c r="B493" s="68"/>
      <c r="C493" s="180"/>
      <c r="D493" s="68"/>
      <c r="E493" s="194"/>
      <c r="F493" s="195"/>
      <c r="G493" s="195"/>
      <c r="H493" s="195"/>
      <c r="K493" s="68"/>
      <c r="M493" s="68"/>
      <c r="O493" s="68"/>
      <c r="P493" s="68"/>
      <c r="Q493" s="68"/>
      <c r="R493" s="68"/>
      <c r="S493" s="68"/>
    </row>
    <row r="494" spans="1:19" ht="15.75" customHeight="1">
      <c r="A494" s="68"/>
      <c r="B494" s="68"/>
      <c r="C494" s="180"/>
      <c r="D494" s="68"/>
      <c r="E494" s="194"/>
      <c r="F494" s="195"/>
      <c r="G494" s="195"/>
      <c r="H494" s="195"/>
      <c r="K494" s="68"/>
      <c r="M494" s="68"/>
      <c r="O494" s="68"/>
      <c r="P494" s="68"/>
      <c r="Q494" s="68"/>
      <c r="R494" s="68"/>
      <c r="S494" s="68"/>
    </row>
    <row r="495" spans="1:19" ht="15.75" customHeight="1">
      <c r="A495" s="68"/>
      <c r="B495" s="68"/>
      <c r="C495" s="180"/>
      <c r="D495" s="68"/>
      <c r="E495" s="194"/>
      <c r="F495" s="195"/>
      <c r="G495" s="195"/>
      <c r="H495" s="195"/>
      <c r="K495" s="68"/>
      <c r="M495" s="68"/>
      <c r="O495" s="68"/>
      <c r="P495" s="68"/>
      <c r="Q495" s="68"/>
      <c r="R495" s="68"/>
      <c r="S495" s="68"/>
    </row>
    <row r="496" spans="1:19" ht="15.75" customHeight="1">
      <c r="A496" s="68"/>
      <c r="B496" s="68"/>
      <c r="C496" s="180"/>
      <c r="D496" s="68"/>
      <c r="E496" s="194"/>
      <c r="F496" s="195"/>
      <c r="G496" s="195"/>
      <c r="H496" s="195"/>
      <c r="K496" s="68"/>
      <c r="M496" s="68"/>
      <c r="O496" s="68"/>
      <c r="P496" s="68"/>
      <c r="Q496" s="68"/>
      <c r="R496" s="68"/>
      <c r="S496" s="68"/>
    </row>
    <row r="497" spans="1:19" ht="15.75" customHeight="1">
      <c r="A497" s="68"/>
      <c r="B497" s="68"/>
      <c r="C497" s="180"/>
      <c r="D497" s="68"/>
      <c r="E497" s="194"/>
      <c r="F497" s="195"/>
      <c r="G497" s="195"/>
      <c r="H497" s="195"/>
      <c r="K497" s="68"/>
      <c r="M497" s="68"/>
      <c r="O497" s="68"/>
      <c r="P497" s="68"/>
      <c r="Q497" s="68"/>
      <c r="R497" s="68"/>
      <c r="S497" s="68"/>
    </row>
    <row r="498" spans="1:19" ht="15.75" customHeight="1">
      <c r="A498" s="68"/>
      <c r="B498" s="68"/>
      <c r="C498" s="180"/>
      <c r="D498" s="68"/>
      <c r="E498" s="194"/>
      <c r="F498" s="195"/>
      <c r="G498" s="195"/>
      <c r="H498" s="195"/>
      <c r="K498" s="68"/>
      <c r="M498" s="68"/>
      <c r="O498" s="68"/>
      <c r="P498" s="68"/>
      <c r="Q498" s="68"/>
      <c r="R498" s="68"/>
      <c r="S498" s="68"/>
    </row>
    <row r="499" spans="1:19" ht="15.75" customHeight="1">
      <c r="A499" s="68"/>
      <c r="B499" s="68"/>
      <c r="C499" s="180"/>
      <c r="D499" s="68"/>
      <c r="E499" s="194"/>
      <c r="F499" s="195"/>
      <c r="G499" s="195"/>
      <c r="H499" s="195"/>
      <c r="K499" s="68"/>
      <c r="M499" s="68"/>
      <c r="O499" s="68"/>
      <c r="P499" s="68"/>
      <c r="Q499" s="68"/>
      <c r="R499" s="68"/>
      <c r="S499" s="68"/>
    </row>
    <row r="500" spans="1:19" ht="15.75" customHeight="1">
      <c r="A500" s="68"/>
      <c r="B500" s="68"/>
      <c r="C500" s="180"/>
      <c r="D500" s="68"/>
      <c r="E500" s="194"/>
      <c r="F500" s="195"/>
      <c r="G500" s="195"/>
      <c r="H500" s="195"/>
      <c r="K500" s="68"/>
      <c r="M500" s="68"/>
      <c r="O500" s="68"/>
      <c r="P500" s="68"/>
      <c r="Q500" s="68"/>
      <c r="R500" s="68"/>
      <c r="S500" s="68"/>
    </row>
    <row r="501" spans="1:19" ht="15.75" customHeight="1">
      <c r="A501" s="68"/>
      <c r="B501" s="68"/>
      <c r="C501" s="180"/>
      <c r="D501" s="68"/>
      <c r="E501" s="194"/>
      <c r="F501" s="195"/>
      <c r="G501" s="195"/>
      <c r="H501" s="195"/>
      <c r="K501" s="68"/>
      <c r="M501" s="68"/>
      <c r="O501" s="68"/>
      <c r="P501" s="68"/>
      <c r="Q501" s="68"/>
      <c r="R501" s="68"/>
      <c r="S501" s="68"/>
    </row>
    <row r="502" spans="1:19" ht="15.75" customHeight="1">
      <c r="A502" s="68"/>
      <c r="B502" s="68"/>
      <c r="C502" s="180"/>
      <c r="D502" s="68"/>
      <c r="E502" s="194"/>
      <c r="F502" s="195"/>
      <c r="G502" s="195"/>
      <c r="H502" s="195"/>
      <c r="K502" s="68"/>
      <c r="M502" s="68"/>
      <c r="O502" s="68"/>
      <c r="P502" s="68"/>
      <c r="Q502" s="68"/>
      <c r="R502" s="68"/>
      <c r="S502" s="68"/>
    </row>
    <row r="503" spans="1:19" ht="15.75" customHeight="1">
      <c r="A503" s="68"/>
      <c r="B503" s="68"/>
      <c r="C503" s="180"/>
      <c r="D503" s="68"/>
      <c r="E503" s="194"/>
      <c r="F503" s="195"/>
      <c r="G503" s="195"/>
      <c r="H503" s="195"/>
      <c r="K503" s="68"/>
      <c r="M503" s="68"/>
      <c r="O503" s="68"/>
      <c r="P503" s="68"/>
      <c r="Q503" s="68"/>
      <c r="R503" s="68"/>
      <c r="S503" s="68"/>
    </row>
    <row r="504" spans="1:19" ht="15.75" customHeight="1">
      <c r="A504" s="68"/>
      <c r="B504" s="68"/>
      <c r="C504" s="180"/>
      <c r="D504" s="68"/>
      <c r="E504" s="194"/>
      <c r="F504" s="195"/>
      <c r="G504" s="195"/>
      <c r="H504" s="195"/>
      <c r="K504" s="68"/>
      <c r="M504" s="68"/>
      <c r="O504" s="68"/>
      <c r="P504" s="68"/>
      <c r="Q504" s="68"/>
      <c r="R504" s="68"/>
      <c r="S504" s="68"/>
    </row>
    <row r="505" spans="1:19" ht="15.75" customHeight="1">
      <c r="A505" s="68"/>
      <c r="B505" s="68"/>
      <c r="C505" s="180"/>
      <c r="D505" s="68"/>
      <c r="E505" s="194"/>
      <c r="F505" s="195"/>
      <c r="G505" s="195"/>
      <c r="H505" s="195"/>
      <c r="K505" s="68"/>
      <c r="M505" s="68"/>
      <c r="O505" s="68"/>
      <c r="P505" s="68"/>
      <c r="Q505" s="68"/>
      <c r="R505" s="68"/>
      <c r="S505" s="68"/>
    </row>
    <row r="506" spans="1:19" ht="15.75" customHeight="1">
      <c r="A506" s="68"/>
      <c r="B506" s="68"/>
      <c r="C506" s="180"/>
      <c r="D506" s="68"/>
      <c r="E506" s="194"/>
      <c r="F506" s="195"/>
      <c r="G506" s="195"/>
      <c r="H506" s="195"/>
      <c r="K506" s="68"/>
      <c r="M506" s="68"/>
      <c r="O506" s="68"/>
      <c r="P506" s="68"/>
      <c r="Q506" s="68"/>
      <c r="R506" s="68"/>
      <c r="S506" s="68"/>
    </row>
    <row r="507" spans="1:19" ht="15.75" customHeight="1">
      <c r="A507" s="68"/>
      <c r="B507" s="68"/>
      <c r="C507" s="180"/>
      <c r="D507" s="68"/>
      <c r="E507" s="194"/>
      <c r="F507" s="195"/>
      <c r="G507" s="195"/>
      <c r="H507" s="195"/>
      <c r="K507" s="68"/>
      <c r="M507" s="68"/>
      <c r="O507" s="68"/>
      <c r="P507" s="68"/>
      <c r="Q507" s="68"/>
      <c r="R507" s="68"/>
      <c r="S507" s="68"/>
    </row>
    <row r="508" spans="1:19" ht="15.75" customHeight="1">
      <c r="A508" s="68"/>
      <c r="B508" s="68"/>
      <c r="C508" s="180"/>
      <c r="D508" s="68"/>
      <c r="E508" s="194"/>
      <c r="F508" s="195"/>
      <c r="G508" s="195"/>
      <c r="H508" s="195"/>
      <c r="K508" s="68"/>
      <c r="M508" s="68"/>
      <c r="O508" s="68"/>
      <c r="P508" s="68"/>
      <c r="Q508" s="68"/>
      <c r="R508" s="68"/>
      <c r="S508" s="68"/>
    </row>
    <row r="509" spans="1:19" ht="15.75" customHeight="1">
      <c r="A509" s="68"/>
      <c r="B509" s="68"/>
      <c r="C509" s="180"/>
      <c r="D509" s="68"/>
      <c r="E509" s="194"/>
      <c r="F509" s="195"/>
      <c r="G509" s="195"/>
      <c r="H509" s="195"/>
      <c r="K509" s="68"/>
      <c r="M509" s="68"/>
      <c r="O509" s="68"/>
      <c r="P509" s="68"/>
      <c r="Q509" s="68"/>
      <c r="R509" s="68"/>
      <c r="S509" s="68"/>
    </row>
    <row r="510" spans="1:19" ht="15.75" customHeight="1">
      <c r="A510" s="68"/>
      <c r="B510" s="68"/>
      <c r="C510" s="180"/>
      <c r="D510" s="68"/>
      <c r="E510" s="194"/>
      <c r="F510" s="195"/>
      <c r="G510" s="195"/>
      <c r="H510" s="195"/>
      <c r="K510" s="68"/>
      <c r="M510" s="68"/>
      <c r="O510" s="68"/>
      <c r="P510" s="68"/>
      <c r="Q510" s="68"/>
      <c r="R510" s="68"/>
      <c r="S510" s="68"/>
    </row>
    <row r="511" spans="1:19" ht="15.75" customHeight="1">
      <c r="A511" s="68"/>
      <c r="B511" s="68"/>
      <c r="C511" s="180"/>
      <c r="D511" s="68"/>
      <c r="E511" s="194"/>
      <c r="F511" s="195"/>
      <c r="G511" s="195"/>
      <c r="H511" s="195"/>
      <c r="K511" s="68"/>
      <c r="M511" s="68"/>
      <c r="O511" s="68"/>
      <c r="P511" s="68"/>
      <c r="Q511" s="68"/>
      <c r="R511" s="68"/>
      <c r="S511" s="68"/>
    </row>
    <row r="512" spans="1:19" ht="15.75" customHeight="1">
      <c r="A512" s="68"/>
      <c r="B512" s="68"/>
      <c r="C512" s="180"/>
      <c r="D512" s="68"/>
      <c r="E512" s="194"/>
      <c r="F512" s="195"/>
      <c r="G512" s="195"/>
      <c r="H512" s="195"/>
      <c r="K512" s="68"/>
      <c r="M512" s="68"/>
      <c r="O512" s="68"/>
      <c r="P512" s="68"/>
      <c r="Q512" s="68"/>
      <c r="R512" s="68"/>
      <c r="S512" s="68"/>
    </row>
    <row r="513" spans="1:19" ht="15.75" customHeight="1">
      <c r="A513" s="68"/>
      <c r="B513" s="68"/>
      <c r="C513" s="180"/>
      <c r="D513" s="68"/>
      <c r="E513" s="194"/>
      <c r="F513" s="195"/>
      <c r="G513" s="195"/>
      <c r="H513" s="195"/>
      <c r="K513" s="68"/>
      <c r="M513" s="68"/>
      <c r="O513" s="68"/>
      <c r="P513" s="68"/>
      <c r="Q513" s="68"/>
      <c r="R513" s="68"/>
      <c r="S513" s="68"/>
    </row>
    <row r="514" spans="1:19" ht="15.75" customHeight="1">
      <c r="A514" s="68"/>
      <c r="B514" s="68"/>
      <c r="C514" s="180"/>
      <c r="D514" s="68"/>
      <c r="E514" s="194"/>
      <c r="F514" s="195"/>
      <c r="G514" s="195"/>
      <c r="H514" s="195"/>
      <c r="K514" s="68"/>
      <c r="M514" s="68"/>
      <c r="O514" s="68"/>
      <c r="P514" s="68"/>
      <c r="Q514" s="68"/>
      <c r="R514" s="68"/>
      <c r="S514" s="68"/>
    </row>
    <row r="515" spans="1:19" ht="15.75" customHeight="1">
      <c r="A515" s="68"/>
      <c r="B515" s="68"/>
      <c r="C515" s="180"/>
      <c r="D515" s="68"/>
      <c r="E515" s="194"/>
      <c r="F515" s="195"/>
      <c r="G515" s="195"/>
      <c r="H515" s="195"/>
      <c r="K515" s="68"/>
      <c r="M515" s="68"/>
      <c r="O515" s="68"/>
      <c r="P515" s="68"/>
      <c r="Q515" s="68"/>
      <c r="R515" s="68"/>
      <c r="S515" s="68"/>
    </row>
    <row r="516" spans="1:19" ht="15.75" customHeight="1">
      <c r="A516" s="68"/>
      <c r="B516" s="68"/>
      <c r="C516" s="180"/>
      <c r="D516" s="68"/>
      <c r="E516" s="194"/>
      <c r="F516" s="195"/>
      <c r="G516" s="195"/>
      <c r="H516" s="195"/>
      <c r="K516" s="68"/>
      <c r="M516" s="68"/>
      <c r="O516" s="68"/>
      <c r="P516" s="68"/>
      <c r="Q516" s="68"/>
      <c r="R516" s="68"/>
      <c r="S516" s="68"/>
    </row>
    <row r="517" spans="1:19" ht="15.75" customHeight="1">
      <c r="A517" s="68"/>
      <c r="B517" s="68"/>
      <c r="C517" s="180"/>
      <c r="D517" s="68"/>
      <c r="E517" s="194"/>
      <c r="F517" s="195"/>
      <c r="G517" s="195"/>
      <c r="H517" s="195"/>
      <c r="K517" s="68"/>
      <c r="M517" s="68"/>
      <c r="O517" s="68"/>
      <c r="P517" s="68"/>
      <c r="Q517" s="68"/>
      <c r="R517" s="68"/>
      <c r="S517" s="68"/>
    </row>
    <row r="518" spans="1:19" ht="15.75" customHeight="1">
      <c r="A518" s="68"/>
      <c r="B518" s="68"/>
      <c r="C518" s="180"/>
      <c r="D518" s="68"/>
      <c r="E518" s="194"/>
      <c r="F518" s="195"/>
      <c r="G518" s="195"/>
      <c r="H518" s="195"/>
      <c r="K518" s="68"/>
      <c r="M518" s="68"/>
      <c r="O518" s="68"/>
      <c r="P518" s="68"/>
      <c r="Q518" s="68"/>
      <c r="R518" s="68"/>
      <c r="S518" s="68"/>
    </row>
    <row r="519" spans="1:19" ht="15.75" customHeight="1">
      <c r="A519" s="68"/>
      <c r="B519" s="68"/>
      <c r="C519" s="180"/>
      <c r="D519" s="68"/>
      <c r="E519" s="194"/>
      <c r="F519" s="195"/>
      <c r="G519" s="195"/>
      <c r="H519" s="195"/>
      <c r="K519" s="68"/>
      <c r="M519" s="68"/>
      <c r="O519" s="68"/>
      <c r="P519" s="68"/>
      <c r="Q519" s="68"/>
      <c r="R519" s="68"/>
      <c r="S519" s="68"/>
    </row>
    <row r="520" spans="1:19" ht="15.75" customHeight="1">
      <c r="A520" s="68"/>
      <c r="B520" s="68"/>
      <c r="C520" s="180"/>
      <c r="D520" s="68"/>
      <c r="E520" s="194"/>
      <c r="F520" s="195"/>
      <c r="G520" s="195"/>
      <c r="H520" s="195"/>
      <c r="K520" s="68"/>
      <c r="M520" s="68"/>
      <c r="O520" s="68"/>
      <c r="P520" s="68"/>
      <c r="Q520" s="68"/>
      <c r="R520" s="68"/>
      <c r="S520" s="68"/>
    </row>
    <row r="521" spans="1:19" ht="15.75" customHeight="1">
      <c r="A521" s="68"/>
      <c r="B521" s="68"/>
      <c r="C521" s="180"/>
      <c r="D521" s="68"/>
      <c r="E521" s="194"/>
      <c r="F521" s="195"/>
      <c r="G521" s="195"/>
      <c r="H521" s="195"/>
      <c r="K521" s="68"/>
      <c r="M521" s="68"/>
      <c r="O521" s="68"/>
      <c r="P521" s="68"/>
      <c r="Q521" s="68"/>
      <c r="R521" s="68"/>
      <c r="S521" s="68"/>
    </row>
    <row r="522" spans="1:19" ht="15.75" customHeight="1">
      <c r="A522" s="68"/>
      <c r="B522" s="68"/>
      <c r="C522" s="180"/>
      <c r="D522" s="68"/>
      <c r="E522" s="194"/>
      <c r="F522" s="195"/>
      <c r="G522" s="195"/>
      <c r="H522" s="195"/>
      <c r="K522" s="68"/>
      <c r="M522" s="68"/>
      <c r="O522" s="68"/>
      <c r="P522" s="68"/>
      <c r="Q522" s="68"/>
      <c r="R522" s="68"/>
      <c r="S522" s="68"/>
    </row>
    <row r="523" spans="1:19" ht="15.75" customHeight="1">
      <c r="A523" s="68"/>
      <c r="B523" s="68"/>
      <c r="C523" s="180"/>
      <c r="D523" s="68"/>
      <c r="E523" s="194"/>
      <c r="F523" s="195"/>
      <c r="G523" s="195"/>
      <c r="H523" s="195"/>
      <c r="K523" s="68"/>
      <c r="M523" s="68"/>
      <c r="O523" s="68"/>
      <c r="P523" s="68"/>
      <c r="Q523" s="68"/>
      <c r="R523" s="68"/>
      <c r="S523" s="68"/>
    </row>
    <row r="524" spans="1:19" ht="15.75" customHeight="1">
      <c r="A524" s="68"/>
      <c r="B524" s="68"/>
      <c r="C524" s="180"/>
      <c r="D524" s="68"/>
      <c r="E524" s="194"/>
      <c r="F524" s="195"/>
      <c r="G524" s="195"/>
      <c r="H524" s="195"/>
      <c r="K524" s="68"/>
      <c r="M524" s="68"/>
      <c r="O524" s="68"/>
      <c r="P524" s="68"/>
      <c r="Q524" s="68"/>
      <c r="R524" s="68"/>
      <c r="S524" s="68"/>
    </row>
    <row r="525" spans="1:19" ht="15.75" customHeight="1">
      <c r="A525" s="68"/>
      <c r="B525" s="68"/>
      <c r="C525" s="180"/>
      <c r="D525" s="68"/>
      <c r="E525" s="194"/>
      <c r="F525" s="195"/>
      <c r="G525" s="195"/>
      <c r="H525" s="195"/>
      <c r="K525" s="68"/>
      <c r="M525" s="68"/>
      <c r="O525" s="68"/>
      <c r="P525" s="68"/>
      <c r="Q525" s="68"/>
      <c r="R525" s="68"/>
      <c r="S525" s="68"/>
    </row>
    <row r="526" spans="1:19" ht="15.75" customHeight="1">
      <c r="A526" s="68"/>
      <c r="B526" s="68"/>
      <c r="C526" s="180"/>
      <c r="D526" s="68"/>
      <c r="E526" s="194"/>
      <c r="F526" s="195"/>
      <c r="G526" s="195"/>
      <c r="H526" s="195"/>
      <c r="K526" s="68"/>
      <c r="M526" s="68"/>
      <c r="O526" s="68"/>
      <c r="P526" s="68"/>
      <c r="Q526" s="68"/>
      <c r="R526" s="68"/>
      <c r="S526" s="68"/>
    </row>
    <row r="527" spans="1:19" ht="15.75" customHeight="1">
      <c r="A527" s="68"/>
      <c r="B527" s="68"/>
      <c r="C527" s="180"/>
      <c r="D527" s="68"/>
      <c r="E527" s="194"/>
      <c r="F527" s="195"/>
      <c r="G527" s="195"/>
      <c r="H527" s="195"/>
      <c r="K527" s="68"/>
      <c r="M527" s="68"/>
      <c r="O527" s="68"/>
      <c r="P527" s="68"/>
      <c r="Q527" s="68"/>
      <c r="R527" s="68"/>
      <c r="S527" s="68"/>
    </row>
    <row r="528" spans="1:19" ht="15.75" customHeight="1">
      <c r="A528" s="68"/>
      <c r="B528" s="68"/>
      <c r="C528" s="180"/>
      <c r="D528" s="68"/>
      <c r="E528" s="194"/>
      <c r="F528" s="195"/>
      <c r="G528" s="195"/>
      <c r="H528" s="195"/>
      <c r="K528" s="68"/>
      <c r="M528" s="68"/>
      <c r="O528" s="68"/>
      <c r="P528" s="68"/>
      <c r="Q528" s="68"/>
      <c r="R528" s="68"/>
      <c r="S528" s="68"/>
    </row>
    <row r="529" spans="1:19" ht="15.75" customHeight="1">
      <c r="A529" s="68"/>
      <c r="B529" s="68"/>
      <c r="C529" s="180"/>
      <c r="D529" s="68"/>
      <c r="E529" s="194"/>
      <c r="F529" s="195"/>
      <c r="G529" s="195"/>
      <c r="H529" s="195"/>
      <c r="K529" s="68"/>
      <c r="M529" s="68"/>
      <c r="O529" s="68"/>
      <c r="P529" s="68"/>
      <c r="Q529" s="68"/>
      <c r="R529" s="68"/>
      <c r="S529" s="68"/>
    </row>
    <row r="530" spans="1:19" ht="15.75" customHeight="1">
      <c r="A530" s="68"/>
      <c r="B530" s="68"/>
      <c r="C530" s="180"/>
      <c r="D530" s="68"/>
      <c r="E530" s="194"/>
      <c r="F530" s="195"/>
      <c r="G530" s="195"/>
      <c r="H530" s="195"/>
      <c r="K530" s="68"/>
      <c r="M530" s="68"/>
      <c r="O530" s="68"/>
      <c r="P530" s="68"/>
      <c r="Q530" s="68"/>
      <c r="R530" s="68"/>
      <c r="S530" s="68"/>
    </row>
    <row r="531" spans="1:19" ht="15.75" customHeight="1">
      <c r="A531" s="68"/>
      <c r="B531" s="68"/>
      <c r="C531" s="180"/>
      <c r="D531" s="68"/>
      <c r="E531" s="194"/>
      <c r="F531" s="195"/>
      <c r="G531" s="195"/>
      <c r="H531" s="195"/>
      <c r="K531" s="68"/>
      <c r="M531" s="68"/>
      <c r="O531" s="68"/>
      <c r="P531" s="68"/>
      <c r="Q531" s="68"/>
      <c r="R531" s="68"/>
      <c r="S531" s="68"/>
    </row>
    <row r="532" spans="1:19" ht="15.75" customHeight="1">
      <c r="A532" s="68"/>
      <c r="B532" s="68"/>
      <c r="C532" s="180"/>
      <c r="D532" s="68"/>
      <c r="E532" s="194"/>
      <c r="F532" s="195"/>
      <c r="G532" s="195"/>
      <c r="H532" s="195"/>
      <c r="K532" s="68"/>
      <c r="M532" s="68"/>
      <c r="O532" s="68"/>
      <c r="P532" s="68"/>
      <c r="Q532" s="68"/>
      <c r="R532" s="68"/>
      <c r="S532" s="68"/>
    </row>
    <row r="533" spans="1:19" ht="15.75" customHeight="1">
      <c r="A533" s="68"/>
      <c r="B533" s="68"/>
      <c r="C533" s="180"/>
      <c r="D533" s="68"/>
      <c r="E533" s="194"/>
      <c r="F533" s="195"/>
      <c r="G533" s="195"/>
      <c r="H533" s="195"/>
      <c r="K533" s="68"/>
      <c r="M533" s="68"/>
      <c r="O533" s="68"/>
      <c r="P533" s="68"/>
      <c r="Q533" s="68"/>
      <c r="R533" s="68"/>
      <c r="S533" s="68"/>
    </row>
    <row r="534" spans="1:19" ht="15.75" customHeight="1">
      <c r="A534" s="68"/>
      <c r="B534" s="68"/>
      <c r="C534" s="180"/>
      <c r="D534" s="68"/>
      <c r="E534" s="194"/>
      <c r="F534" s="195"/>
      <c r="G534" s="195"/>
      <c r="H534" s="195"/>
      <c r="K534" s="68"/>
      <c r="M534" s="68"/>
      <c r="O534" s="68"/>
      <c r="P534" s="68"/>
      <c r="Q534" s="68"/>
      <c r="R534" s="68"/>
      <c r="S534" s="68"/>
    </row>
    <row r="535" spans="1:19" ht="15.75" customHeight="1">
      <c r="A535" s="68"/>
      <c r="B535" s="68"/>
      <c r="C535" s="180"/>
      <c r="D535" s="68"/>
      <c r="E535" s="194"/>
      <c r="F535" s="195"/>
      <c r="G535" s="195"/>
      <c r="H535" s="195"/>
      <c r="K535" s="68"/>
      <c r="M535" s="68"/>
      <c r="O535" s="68"/>
      <c r="P535" s="68"/>
      <c r="Q535" s="68"/>
      <c r="R535" s="68"/>
      <c r="S535" s="68"/>
    </row>
    <row r="536" spans="1:19" ht="15.75" customHeight="1">
      <c r="A536" s="68"/>
      <c r="B536" s="68"/>
      <c r="C536" s="180"/>
      <c r="D536" s="68"/>
      <c r="E536" s="194"/>
      <c r="F536" s="195"/>
      <c r="G536" s="195"/>
      <c r="H536" s="195"/>
      <c r="K536" s="68"/>
      <c r="M536" s="68"/>
      <c r="O536" s="68"/>
      <c r="P536" s="68"/>
      <c r="Q536" s="68"/>
      <c r="R536" s="68"/>
      <c r="S536" s="68"/>
    </row>
    <row r="537" spans="1:19" ht="15.75" customHeight="1">
      <c r="A537" s="68"/>
      <c r="B537" s="68"/>
      <c r="C537" s="180"/>
      <c r="D537" s="68"/>
      <c r="E537" s="194"/>
      <c r="F537" s="195"/>
      <c r="G537" s="195"/>
      <c r="H537" s="195"/>
      <c r="K537" s="68"/>
      <c r="M537" s="68"/>
      <c r="O537" s="68"/>
      <c r="P537" s="68"/>
      <c r="Q537" s="68"/>
      <c r="R537" s="68"/>
      <c r="S537" s="68"/>
    </row>
    <row r="538" spans="1:19" ht="15.75" customHeight="1">
      <c r="A538" s="68"/>
      <c r="B538" s="68"/>
      <c r="C538" s="180"/>
      <c r="D538" s="68"/>
      <c r="E538" s="194"/>
      <c r="F538" s="195"/>
      <c r="G538" s="195"/>
      <c r="H538" s="195"/>
      <c r="K538" s="68"/>
      <c r="M538" s="68"/>
      <c r="O538" s="68"/>
      <c r="P538" s="68"/>
      <c r="Q538" s="68"/>
      <c r="R538" s="68"/>
      <c r="S538" s="68"/>
    </row>
    <row r="539" spans="1:19" ht="15.75" customHeight="1">
      <c r="A539" s="68"/>
      <c r="B539" s="68"/>
      <c r="C539" s="180"/>
      <c r="D539" s="68"/>
      <c r="E539" s="194"/>
      <c r="F539" s="195"/>
      <c r="G539" s="195"/>
      <c r="H539" s="195"/>
      <c r="K539" s="68"/>
      <c r="M539" s="68"/>
      <c r="O539" s="68"/>
      <c r="P539" s="68"/>
      <c r="Q539" s="68"/>
      <c r="R539" s="68"/>
      <c r="S539" s="68"/>
    </row>
    <row r="540" spans="1:19" ht="15.75" customHeight="1">
      <c r="A540" s="68"/>
      <c r="B540" s="68"/>
      <c r="C540" s="180"/>
      <c r="D540" s="68"/>
      <c r="E540" s="194"/>
      <c r="F540" s="195"/>
      <c r="G540" s="195"/>
      <c r="H540" s="195"/>
      <c r="K540" s="68"/>
      <c r="M540" s="68"/>
      <c r="O540" s="68"/>
      <c r="P540" s="68"/>
      <c r="Q540" s="68"/>
      <c r="R540" s="68"/>
      <c r="S540" s="68"/>
    </row>
    <row r="541" spans="1:19" ht="15.75" customHeight="1">
      <c r="A541" s="68"/>
      <c r="B541" s="68"/>
      <c r="C541" s="180"/>
      <c r="D541" s="68"/>
      <c r="E541" s="194"/>
      <c r="F541" s="195"/>
      <c r="G541" s="195"/>
      <c r="H541" s="195"/>
      <c r="K541" s="68"/>
      <c r="M541" s="68"/>
      <c r="O541" s="68"/>
      <c r="P541" s="68"/>
      <c r="Q541" s="68"/>
      <c r="R541" s="68"/>
      <c r="S541" s="68"/>
    </row>
    <row r="542" spans="1:19" ht="15.75" customHeight="1">
      <c r="A542" s="68"/>
      <c r="B542" s="68"/>
      <c r="C542" s="180"/>
      <c r="D542" s="68"/>
      <c r="E542" s="194"/>
      <c r="F542" s="195"/>
      <c r="G542" s="195"/>
      <c r="H542" s="195"/>
      <c r="K542" s="68"/>
      <c r="M542" s="68"/>
      <c r="O542" s="68"/>
      <c r="P542" s="68"/>
      <c r="Q542" s="68"/>
      <c r="R542" s="68"/>
      <c r="S542" s="68"/>
    </row>
    <row r="543" spans="1:19" ht="15.75" customHeight="1">
      <c r="A543" s="68"/>
      <c r="B543" s="68"/>
      <c r="C543" s="180"/>
      <c r="D543" s="68"/>
      <c r="E543" s="194"/>
      <c r="F543" s="195"/>
      <c r="G543" s="195"/>
      <c r="H543" s="195"/>
      <c r="K543" s="68"/>
      <c r="M543" s="68"/>
      <c r="O543" s="68"/>
      <c r="P543" s="68"/>
      <c r="Q543" s="68"/>
      <c r="R543" s="68"/>
      <c r="S543" s="68"/>
    </row>
    <row r="544" spans="1:19" ht="15.75" customHeight="1">
      <c r="A544" s="68"/>
      <c r="B544" s="68"/>
      <c r="C544" s="180"/>
      <c r="D544" s="68"/>
      <c r="E544" s="194"/>
      <c r="F544" s="195"/>
      <c r="G544" s="195"/>
      <c r="H544" s="195"/>
      <c r="K544" s="68"/>
      <c r="M544" s="68"/>
      <c r="O544" s="68"/>
      <c r="P544" s="68"/>
      <c r="Q544" s="68"/>
      <c r="R544" s="68"/>
      <c r="S544" s="68"/>
    </row>
    <row r="545" spans="1:19" ht="15.75" customHeight="1">
      <c r="A545" s="68"/>
      <c r="B545" s="68"/>
      <c r="C545" s="180"/>
      <c r="D545" s="68"/>
      <c r="E545" s="194"/>
      <c r="F545" s="195"/>
      <c r="G545" s="195"/>
      <c r="H545" s="195"/>
      <c r="K545" s="68"/>
      <c r="M545" s="68"/>
      <c r="O545" s="68"/>
      <c r="P545" s="68"/>
      <c r="Q545" s="68"/>
      <c r="R545" s="68"/>
      <c r="S545" s="68"/>
    </row>
    <row r="546" spans="1:19" ht="15.75" customHeight="1">
      <c r="A546" s="68"/>
      <c r="B546" s="68"/>
      <c r="C546" s="180"/>
      <c r="D546" s="68"/>
      <c r="E546" s="194"/>
      <c r="F546" s="195"/>
      <c r="G546" s="195"/>
      <c r="H546" s="195"/>
      <c r="K546" s="68"/>
      <c r="M546" s="68"/>
      <c r="O546" s="68"/>
      <c r="P546" s="68"/>
      <c r="Q546" s="68"/>
      <c r="R546" s="68"/>
      <c r="S546" s="68"/>
    </row>
    <row r="547" spans="1:19" ht="15.75" customHeight="1">
      <c r="A547" s="68"/>
      <c r="B547" s="68"/>
      <c r="C547" s="180"/>
      <c r="D547" s="68"/>
      <c r="E547" s="194"/>
      <c r="F547" s="195"/>
      <c r="G547" s="195"/>
      <c r="H547" s="195"/>
      <c r="K547" s="68"/>
      <c r="M547" s="68"/>
      <c r="O547" s="68"/>
      <c r="P547" s="68"/>
      <c r="Q547" s="68"/>
      <c r="R547" s="68"/>
      <c r="S547" s="68"/>
    </row>
    <row r="548" spans="1:19" ht="15.75" customHeight="1">
      <c r="A548" s="68"/>
      <c r="B548" s="68"/>
      <c r="C548" s="180"/>
      <c r="D548" s="68"/>
      <c r="E548" s="194"/>
      <c r="F548" s="195"/>
      <c r="G548" s="195"/>
      <c r="H548" s="195"/>
      <c r="K548" s="68"/>
      <c r="M548" s="68"/>
      <c r="O548" s="68"/>
      <c r="P548" s="68"/>
      <c r="Q548" s="68"/>
      <c r="R548" s="68"/>
      <c r="S548" s="68"/>
    </row>
    <row r="549" spans="1:19" ht="15.75" customHeight="1">
      <c r="A549" s="68"/>
      <c r="B549" s="68"/>
      <c r="C549" s="180"/>
      <c r="D549" s="68"/>
      <c r="E549" s="194"/>
      <c r="F549" s="195"/>
      <c r="G549" s="195"/>
      <c r="H549" s="195"/>
      <c r="K549" s="68"/>
      <c r="M549" s="68"/>
      <c r="O549" s="68"/>
      <c r="P549" s="68"/>
      <c r="Q549" s="68"/>
      <c r="R549" s="68"/>
      <c r="S549" s="68"/>
    </row>
    <row r="550" spans="1:19" ht="15.75" customHeight="1">
      <c r="A550" s="68"/>
      <c r="B550" s="68"/>
      <c r="C550" s="180"/>
      <c r="D550" s="68"/>
      <c r="E550" s="194"/>
      <c r="F550" s="195"/>
      <c r="G550" s="195"/>
      <c r="H550" s="195"/>
      <c r="K550" s="68"/>
      <c r="M550" s="68"/>
      <c r="O550" s="68"/>
      <c r="P550" s="68"/>
      <c r="Q550" s="68"/>
      <c r="R550" s="68"/>
      <c r="S550" s="68"/>
    </row>
    <row r="551" spans="1:19" ht="15.75" customHeight="1">
      <c r="A551" s="68"/>
      <c r="B551" s="68"/>
      <c r="C551" s="180"/>
      <c r="D551" s="68"/>
      <c r="E551" s="194"/>
      <c r="F551" s="195"/>
      <c r="G551" s="195"/>
      <c r="H551" s="195"/>
      <c r="K551" s="68"/>
      <c r="M551" s="68"/>
      <c r="O551" s="68"/>
      <c r="P551" s="68"/>
      <c r="Q551" s="68"/>
      <c r="R551" s="68"/>
      <c r="S551" s="68"/>
    </row>
    <row r="552" spans="1:19" ht="15.75" customHeight="1">
      <c r="A552" s="68"/>
      <c r="B552" s="68"/>
      <c r="C552" s="180"/>
      <c r="D552" s="68"/>
      <c r="E552" s="194"/>
      <c r="F552" s="195"/>
      <c r="G552" s="195"/>
      <c r="H552" s="195"/>
      <c r="K552" s="68"/>
      <c r="M552" s="68"/>
      <c r="O552" s="68"/>
      <c r="P552" s="68"/>
      <c r="Q552" s="68"/>
      <c r="R552" s="68"/>
      <c r="S552" s="68"/>
    </row>
    <row r="553" spans="1:19" ht="15.75" customHeight="1">
      <c r="A553" s="68"/>
      <c r="B553" s="68"/>
      <c r="C553" s="180"/>
      <c r="D553" s="68"/>
      <c r="E553" s="194"/>
      <c r="F553" s="195"/>
      <c r="G553" s="195"/>
      <c r="H553" s="195"/>
      <c r="K553" s="68"/>
      <c r="M553" s="68"/>
      <c r="O553" s="68"/>
      <c r="P553" s="68"/>
      <c r="Q553" s="68"/>
      <c r="R553" s="68"/>
      <c r="S553" s="68"/>
    </row>
    <row r="554" spans="1:19" ht="15.75" customHeight="1">
      <c r="A554" s="68"/>
      <c r="B554" s="68"/>
      <c r="C554" s="180"/>
      <c r="D554" s="68"/>
      <c r="E554" s="194"/>
      <c r="F554" s="195"/>
      <c r="G554" s="195"/>
      <c r="H554" s="195"/>
      <c r="K554" s="68"/>
      <c r="M554" s="68"/>
      <c r="O554" s="68"/>
      <c r="P554" s="68"/>
      <c r="Q554" s="68"/>
      <c r="R554" s="68"/>
      <c r="S554" s="68"/>
    </row>
    <row r="555" spans="1:19" ht="15.75" customHeight="1">
      <c r="A555" s="68"/>
      <c r="B555" s="68"/>
      <c r="C555" s="180"/>
      <c r="D555" s="68"/>
      <c r="E555" s="194"/>
      <c r="F555" s="195"/>
      <c r="G555" s="195"/>
      <c r="H555" s="195"/>
      <c r="K555" s="68"/>
      <c r="M555" s="68"/>
      <c r="O555" s="68"/>
      <c r="P555" s="68"/>
      <c r="Q555" s="68"/>
      <c r="R555" s="68"/>
      <c r="S555" s="68"/>
    </row>
    <row r="556" spans="1:19" ht="15.75" customHeight="1">
      <c r="A556" s="68"/>
      <c r="B556" s="68"/>
      <c r="C556" s="180"/>
      <c r="D556" s="68"/>
      <c r="E556" s="194"/>
      <c r="F556" s="195"/>
      <c r="G556" s="195"/>
      <c r="H556" s="195"/>
      <c r="K556" s="68"/>
      <c r="M556" s="68"/>
      <c r="O556" s="68"/>
      <c r="P556" s="68"/>
      <c r="Q556" s="68"/>
      <c r="R556" s="68"/>
      <c r="S556" s="68"/>
    </row>
    <row r="557" spans="1:19" ht="15.75" customHeight="1">
      <c r="A557" s="68"/>
      <c r="B557" s="68"/>
      <c r="C557" s="180"/>
      <c r="D557" s="68"/>
      <c r="E557" s="194"/>
      <c r="F557" s="195"/>
      <c r="G557" s="195"/>
      <c r="H557" s="195"/>
      <c r="K557" s="68"/>
      <c r="M557" s="68"/>
      <c r="O557" s="68"/>
      <c r="P557" s="68"/>
      <c r="Q557" s="68"/>
      <c r="R557" s="68"/>
      <c r="S557" s="68"/>
    </row>
    <row r="558" spans="1:19" ht="15.75" customHeight="1">
      <c r="A558" s="68"/>
      <c r="B558" s="68"/>
      <c r="C558" s="180"/>
      <c r="D558" s="68"/>
      <c r="E558" s="194"/>
      <c r="F558" s="195"/>
      <c r="G558" s="195"/>
      <c r="H558" s="195"/>
      <c r="K558" s="68"/>
      <c r="M558" s="68"/>
      <c r="O558" s="68"/>
      <c r="P558" s="68"/>
      <c r="Q558" s="68"/>
      <c r="R558" s="68"/>
      <c r="S558" s="68"/>
    </row>
    <row r="559" spans="1:19" ht="15.75" customHeight="1">
      <c r="A559" s="68"/>
      <c r="B559" s="68"/>
      <c r="C559" s="180"/>
      <c r="D559" s="68"/>
      <c r="E559" s="194"/>
      <c r="F559" s="195"/>
      <c r="G559" s="195"/>
      <c r="H559" s="195"/>
      <c r="K559" s="68"/>
      <c r="M559" s="68"/>
      <c r="O559" s="68"/>
      <c r="P559" s="68"/>
      <c r="Q559" s="68"/>
      <c r="R559" s="68"/>
      <c r="S559" s="68"/>
    </row>
    <row r="560" spans="1:19" ht="15.75" customHeight="1">
      <c r="A560" s="68"/>
      <c r="B560" s="68"/>
      <c r="C560" s="180"/>
      <c r="D560" s="68"/>
      <c r="E560" s="194"/>
      <c r="F560" s="195"/>
      <c r="G560" s="195"/>
      <c r="H560" s="195"/>
      <c r="K560" s="68"/>
      <c r="M560" s="68"/>
      <c r="O560" s="68"/>
      <c r="P560" s="68"/>
      <c r="Q560" s="68"/>
      <c r="R560" s="68"/>
      <c r="S560" s="68"/>
    </row>
    <row r="561" spans="1:19" ht="15.75" customHeight="1">
      <c r="A561" s="68"/>
      <c r="B561" s="68"/>
      <c r="C561" s="180"/>
      <c r="D561" s="68"/>
      <c r="E561" s="194"/>
      <c r="F561" s="195"/>
      <c r="G561" s="195"/>
      <c r="H561" s="195"/>
      <c r="K561" s="68"/>
      <c r="M561" s="68"/>
      <c r="O561" s="68"/>
      <c r="P561" s="68"/>
      <c r="Q561" s="68"/>
      <c r="R561" s="68"/>
      <c r="S561" s="68"/>
    </row>
    <row r="562" spans="1:19" ht="15.75" customHeight="1">
      <c r="A562" s="68"/>
      <c r="B562" s="68"/>
      <c r="C562" s="180"/>
      <c r="D562" s="68"/>
      <c r="E562" s="194"/>
      <c r="F562" s="195"/>
      <c r="G562" s="195"/>
      <c r="H562" s="195"/>
      <c r="K562" s="68"/>
      <c r="M562" s="68"/>
      <c r="O562" s="68"/>
      <c r="P562" s="68"/>
      <c r="Q562" s="68"/>
      <c r="R562" s="68"/>
      <c r="S562" s="68"/>
    </row>
    <row r="563" spans="1:19" ht="15.75" customHeight="1">
      <c r="A563" s="68"/>
      <c r="B563" s="68"/>
      <c r="C563" s="180"/>
      <c r="D563" s="68"/>
      <c r="E563" s="194"/>
      <c r="F563" s="195"/>
      <c r="G563" s="195"/>
      <c r="H563" s="195"/>
      <c r="K563" s="68"/>
      <c r="M563" s="68"/>
      <c r="O563" s="68"/>
      <c r="P563" s="68"/>
      <c r="Q563" s="68"/>
      <c r="R563" s="68"/>
      <c r="S563" s="68"/>
    </row>
    <row r="564" spans="1:19" ht="15.75" customHeight="1">
      <c r="A564" s="68"/>
      <c r="B564" s="68"/>
      <c r="C564" s="180"/>
      <c r="D564" s="68"/>
      <c r="E564" s="194"/>
      <c r="F564" s="195"/>
      <c r="G564" s="195"/>
      <c r="H564" s="195"/>
      <c r="K564" s="68"/>
      <c r="M564" s="68"/>
      <c r="O564" s="68"/>
      <c r="P564" s="68"/>
      <c r="Q564" s="68"/>
      <c r="R564" s="68"/>
      <c r="S564" s="68"/>
    </row>
    <row r="565" spans="1:19" ht="15.75" customHeight="1">
      <c r="A565" s="68"/>
      <c r="B565" s="68"/>
      <c r="C565" s="180"/>
      <c r="D565" s="68"/>
      <c r="E565" s="194"/>
      <c r="F565" s="195"/>
      <c r="G565" s="195"/>
      <c r="H565" s="195"/>
      <c r="K565" s="68"/>
      <c r="M565" s="68"/>
      <c r="O565" s="68"/>
      <c r="P565" s="68"/>
      <c r="Q565" s="68"/>
      <c r="R565" s="68"/>
      <c r="S565" s="68"/>
    </row>
    <row r="566" spans="1:19" ht="15.75" customHeight="1">
      <c r="A566" s="68"/>
      <c r="B566" s="68"/>
      <c r="C566" s="180"/>
      <c r="D566" s="68"/>
      <c r="E566" s="194"/>
      <c r="F566" s="195"/>
      <c r="G566" s="195"/>
      <c r="H566" s="195"/>
      <c r="K566" s="68"/>
      <c r="M566" s="68"/>
      <c r="O566" s="68"/>
      <c r="P566" s="68"/>
      <c r="Q566" s="68"/>
      <c r="R566" s="68"/>
      <c r="S566" s="68"/>
    </row>
    <row r="567" spans="1:19" ht="15.75" customHeight="1">
      <c r="A567" s="68"/>
      <c r="B567" s="68"/>
      <c r="C567" s="180"/>
      <c r="D567" s="68"/>
      <c r="E567" s="194"/>
      <c r="F567" s="195"/>
      <c r="G567" s="195"/>
      <c r="H567" s="195"/>
      <c r="K567" s="68"/>
      <c r="M567" s="68"/>
      <c r="O567" s="68"/>
      <c r="P567" s="68"/>
      <c r="Q567" s="68"/>
      <c r="R567" s="68"/>
      <c r="S567" s="68"/>
    </row>
    <row r="568" spans="1:19" ht="15.75" customHeight="1">
      <c r="A568" s="68"/>
      <c r="B568" s="68"/>
      <c r="C568" s="180"/>
      <c r="D568" s="68"/>
      <c r="E568" s="194"/>
      <c r="F568" s="195"/>
      <c r="G568" s="195"/>
      <c r="H568" s="195"/>
      <c r="K568" s="68"/>
      <c r="M568" s="68"/>
      <c r="O568" s="68"/>
      <c r="P568" s="68"/>
      <c r="Q568" s="68"/>
      <c r="R568" s="68"/>
      <c r="S568" s="68"/>
    </row>
    <row r="569" spans="1:19" ht="15.75" customHeight="1">
      <c r="A569" s="68"/>
      <c r="B569" s="68"/>
      <c r="C569" s="180"/>
      <c r="D569" s="68"/>
      <c r="E569" s="194"/>
      <c r="F569" s="195"/>
      <c r="G569" s="195"/>
      <c r="H569" s="195"/>
      <c r="K569" s="68"/>
      <c r="M569" s="68"/>
      <c r="O569" s="68"/>
      <c r="P569" s="68"/>
      <c r="Q569" s="68"/>
      <c r="R569" s="68"/>
      <c r="S569" s="68"/>
    </row>
    <row r="570" spans="1:19" ht="15.75" customHeight="1">
      <c r="A570" s="68"/>
      <c r="B570" s="68"/>
      <c r="C570" s="180"/>
      <c r="D570" s="68"/>
      <c r="E570" s="194"/>
      <c r="F570" s="195"/>
      <c r="G570" s="195"/>
      <c r="H570" s="195"/>
      <c r="K570" s="68"/>
      <c r="M570" s="68"/>
      <c r="O570" s="68"/>
      <c r="P570" s="68"/>
      <c r="Q570" s="68"/>
      <c r="R570" s="68"/>
      <c r="S570" s="68"/>
    </row>
    <row r="571" spans="1:19" ht="15.75" customHeight="1">
      <c r="A571" s="68"/>
      <c r="B571" s="68"/>
      <c r="C571" s="180"/>
      <c r="D571" s="68"/>
      <c r="E571" s="194"/>
      <c r="F571" s="195"/>
      <c r="G571" s="195"/>
      <c r="H571" s="195"/>
      <c r="K571" s="68"/>
      <c r="M571" s="68"/>
      <c r="O571" s="68"/>
      <c r="P571" s="68"/>
      <c r="Q571" s="68"/>
      <c r="R571" s="68"/>
      <c r="S571" s="68"/>
    </row>
    <row r="572" spans="1:19" ht="15.75" customHeight="1">
      <c r="A572" s="68"/>
      <c r="B572" s="68"/>
      <c r="C572" s="180"/>
      <c r="D572" s="68"/>
      <c r="E572" s="194"/>
      <c r="F572" s="195"/>
      <c r="G572" s="195"/>
      <c r="H572" s="195"/>
      <c r="K572" s="68"/>
      <c r="M572" s="68"/>
      <c r="O572" s="68"/>
      <c r="P572" s="68"/>
      <c r="Q572" s="68"/>
      <c r="R572" s="68"/>
      <c r="S572" s="68"/>
    </row>
    <row r="573" spans="1:19" ht="15.75" customHeight="1">
      <c r="A573" s="68"/>
      <c r="B573" s="68"/>
      <c r="C573" s="180"/>
      <c r="D573" s="68"/>
      <c r="E573" s="194"/>
      <c r="F573" s="195"/>
      <c r="G573" s="195"/>
      <c r="H573" s="195"/>
      <c r="K573" s="68"/>
      <c r="M573" s="68"/>
      <c r="O573" s="68"/>
      <c r="P573" s="68"/>
      <c r="Q573" s="68"/>
      <c r="R573" s="68"/>
      <c r="S573" s="68"/>
    </row>
    <row r="574" spans="1:19" ht="15.75" customHeight="1">
      <c r="A574" s="68"/>
      <c r="B574" s="68"/>
      <c r="C574" s="180"/>
      <c r="D574" s="68"/>
      <c r="E574" s="194"/>
      <c r="F574" s="195"/>
      <c r="G574" s="195"/>
      <c r="H574" s="195"/>
      <c r="K574" s="68"/>
      <c r="M574" s="68"/>
      <c r="O574" s="68"/>
      <c r="P574" s="68"/>
      <c r="Q574" s="68"/>
      <c r="R574" s="68"/>
      <c r="S574" s="68"/>
    </row>
    <row r="575" spans="1:19" ht="15.75" customHeight="1">
      <c r="A575" s="68"/>
      <c r="B575" s="68"/>
      <c r="C575" s="180"/>
      <c r="D575" s="68"/>
      <c r="E575" s="194"/>
      <c r="F575" s="195"/>
      <c r="G575" s="195"/>
      <c r="H575" s="195"/>
      <c r="K575" s="68"/>
      <c r="M575" s="68"/>
      <c r="O575" s="68"/>
      <c r="P575" s="68"/>
      <c r="Q575" s="68"/>
      <c r="R575" s="68"/>
      <c r="S575" s="68"/>
    </row>
    <row r="576" spans="1:19" ht="15.75" customHeight="1">
      <c r="A576" s="68"/>
      <c r="B576" s="68"/>
      <c r="C576" s="180"/>
      <c r="D576" s="68"/>
      <c r="E576" s="194"/>
      <c r="F576" s="195"/>
      <c r="G576" s="195"/>
      <c r="H576" s="195"/>
      <c r="K576" s="68"/>
      <c r="M576" s="68"/>
      <c r="O576" s="68"/>
      <c r="P576" s="68"/>
      <c r="Q576" s="68"/>
      <c r="R576" s="68"/>
      <c r="S576" s="68"/>
    </row>
    <row r="577" spans="1:19" ht="15.75" customHeight="1">
      <c r="A577" s="68"/>
      <c r="B577" s="68"/>
      <c r="C577" s="180"/>
      <c r="D577" s="68"/>
      <c r="E577" s="194"/>
      <c r="F577" s="195"/>
      <c r="G577" s="195"/>
      <c r="H577" s="195"/>
      <c r="K577" s="68"/>
      <c r="M577" s="68"/>
      <c r="O577" s="68"/>
      <c r="P577" s="68"/>
      <c r="Q577" s="68"/>
      <c r="R577" s="68"/>
      <c r="S577" s="68"/>
    </row>
    <row r="578" spans="1:19" ht="15.75" customHeight="1">
      <c r="A578" s="68"/>
      <c r="B578" s="68"/>
      <c r="C578" s="180"/>
      <c r="D578" s="68"/>
      <c r="E578" s="194"/>
      <c r="F578" s="195"/>
      <c r="G578" s="195"/>
      <c r="H578" s="195"/>
      <c r="K578" s="68"/>
      <c r="M578" s="68"/>
      <c r="O578" s="68"/>
      <c r="P578" s="68"/>
      <c r="Q578" s="68"/>
      <c r="R578" s="68"/>
      <c r="S578" s="68"/>
    </row>
    <row r="579" spans="1:19" ht="15.75" customHeight="1">
      <c r="A579" s="68"/>
      <c r="B579" s="68"/>
      <c r="C579" s="180"/>
      <c r="D579" s="68"/>
      <c r="E579" s="194"/>
      <c r="F579" s="195"/>
      <c r="G579" s="195"/>
      <c r="H579" s="195"/>
      <c r="K579" s="68"/>
      <c r="M579" s="68"/>
      <c r="O579" s="68"/>
      <c r="P579" s="68"/>
      <c r="Q579" s="68"/>
      <c r="R579" s="68"/>
      <c r="S579" s="68"/>
    </row>
    <row r="580" spans="1:19" ht="15.75" customHeight="1">
      <c r="A580" s="68"/>
      <c r="B580" s="68"/>
      <c r="C580" s="180"/>
      <c r="D580" s="68"/>
      <c r="E580" s="194"/>
      <c r="F580" s="195"/>
      <c r="G580" s="195"/>
      <c r="H580" s="195"/>
      <c r="K580" s="68"/>
      <c r="M580" s="68"/>
      <c r="O580" s="68"/>
      <c r="P580" s="68"/>
      <c r="Q580" s="68"/>
      <c r="R580" s="68"/>
      <c r="S580" s="68"/>
    </row>
    <row r="581" spans="1:19" ht="15.75" customHeight="1">
      <c r="A581" s="68"/>
      <c r="B581" s="68"/>
      <c r="C581" s="180"/>
      <c r="D581" s="68"/>
      <c r="E581" s="194"/>
      <c r="F581" s="195"/>
      <c r="G581" s="195"/>
      <c r="H581" s="195"/>
      <c r="K581" s="68"/>
      <c r="M581" s="68"/>
      <c r="O581" s="68"/>
      <c r="P581" s="68"/>
      <c r="Q581" s="68"/>
      <c r="R581" s="68"/>
      <c r="S581" s="68"/>
    </row>
    <row r="582" spans="1:19" ht="15.75" customHeight="1">
      <c r="A582" s="68"/>
      <c r="B582" s="68"/>
      <c r="C582" s="180"/>
      <c r="D582" s="68"/>
      <c r="E582" s="194"/>
      <c r="F582" s="195"/>
      <c r="G582" s="195"/>
      <c r="H582" s="195"/>
      <c r="K582" s="68"/>
      <c r="M582" s="68"/>
      <c r="O582" s="68"/>
      <c r="P582" s="68"/>
      <c r="Q582" s="68"/>
      <c r="R582" s="68"/>
      <c r="S582" s="68"/>
    </row>
    <row r="583" spans="1:19" ht="15.75" customHeight="1">
      <c r="A583" s="68"/>
      <c r="B583" s="68"/>
      <c r="C583" s="180"/>
      <c r="D583" s="68"/>
      <c r="E583" s="194"/>
      <c r="F583" s="195"/>
      <c r="G583" s="195"/>
      <c r="H583" s="195"/>
      <c r="K583" s="68"/>
      <c r="M583" s="68"/>
      <c r="O583" s="68"/>
      <c r="P583" s="68"/>
      <c r="Q583" s="68"/>
      <c r="R583" s="68"/>
      <c r="S583" s="68"/>
    </row>
    <row r="584" spans="1:19" ht="15.75" customHeight="1">
      <c r="A584" s="68"/>
      <c r="B584" s="68"/>
      <c r="C584" s="180"/>
      <c r="D584" s="68"/>
      <c r="E584" s="194"/>
      <c r="F584" s="195"/>
      <c r="G584" s="195"/>
      <c r="H584" s="195"/>
      <c r="K584" s="68"/>
      <c r="M584" s="68"/>
      <c r="O584" s="68"/>
      <c r="P584" s="68"/>
      <c r="Q584" s="68"/>
      <c r="R584" s="68"/>
      <c r="S584" s="68"/>
    </row>
    <row r="585" spans="1:19" ht="15.75" customHeight="1">
      <c r="A585" s="68"/>
      <c r="B585" s="68"/>
      <c r="C585" s="180"/>
      <c r="D585" s="68"/>
      <c r="E585" s="194"/>
      <c r="F585" s="195"/>
      <c r="G585" s="195"/>
      <c r="H585" s="195"/>
      <c r="K585" s="68"/>
      <c r="M585" s="68"/>
      <c r="O585" s="68"/>
      <c r="P585" s="68"/>
      <c r="Q585" s="68"/>
      <c r="R585" s="68"/>
      <c r="S585" s="68"/>
    </row>
    <row r="586" spans="1:19" ht="15.75" customHeight="1">
      <c r="A586" s="68"/>
      <c r="B586" s="68"/>
      <c r="C586" s="180"/>
      <c r="D586" s="68"/>
      <c r="E586" s="194"/>
      <c r="F586" s="195"/>
      <c r="G586" s="195"/>
      <c r="H586" s="195"/>
      <c r="K586" s="68"/>
      <c r="M586" s="68"/>
      <c r="O586" s="68"/>
      <c r="P586" s="68"/>
      <c r="Q586" s="68"/>
      <c r="R586" s="68"/>
      <c r="S586" s="68"/>
    </row>
    <row r="587" spans="1:19" ht="15.75" customHeight="1">
      <c r="A587" s="68"/>
      <c r="B587" s="68"/>
      <c r="C587" s="180"/>
      <c r="D587" s="68"/>
      <c r="E587" s="194"/>
      <c r="F587" s="195"/>
      <c r="G587" s="195"/>
      <c r="H587" s="195"/>
      <c r="K587" s="68"/>
      <c r="M587" s="68"/>
      <c r="O587" s="68"/>
      <c r="P587" s="68"/>
      <c r="Q587" s="68"/>
      <c r="R587" s="68"/>
      <c r="S587" s="68"/>
    </row>
    <row r="588" spans="1:19" ht="15.75" customHeight="1">
      <c r="A588" s="68"/>
      <c r="B588" s="68"/>
      <c r="C588" s="180"/>
      <c r="D588" s="68"/>
      <c r="E588" s="194"/>
      <c r="F588" s="195"/>
      <c r="G588" s="195"/>
      <c r="H588" s="195"/>
      <c r="K588" s="68"/>
      <c r="M588" s="68"/>
      <c r="O588" s="68"/>
      <c r="P588" s="68"/>
      <c r="Q588" s="68"/>
      <c r="R588" s="68"/>
      <c r="S588" s="68"/>
    </row>
    <row r="589" spans="1:19" ht="15.75" customHeight="1">
      <c r="A589" s="68"/>
      <c r="B589" s="68"/>
      <c r="C589" s="180"/>
      <c r="D589" s="68"/>
      <c r="E589" s="194"/>
      <c r="F589" s="195"/>
      <c r="G589" s="195"/>
      <c r="H589" s="195"/>
      <c r="K589" s="68"/>
      <c r="M589" s="68"/>
      <c r="O589" s="68"/>
      <c r="P589" s="68"/>
      <c r="Q589" s="68"/>
      <c r="R589" s="68"/>
      <c r="S589" s="68"/>
    </row>
    <row r="590" spans="1:19" ht="15.75" customHeight="1">
      <c r="A590" s="68"/>
      <c r="B590" s="68"/>
      <c r="C590" s="180"/>
      <c r="D590" s="68"/>
      <c r="E590" s="194"/>
      <c r="F590" s="195"/>
      <c r="G590" s="195"/>
      <c r="H590" s="195"/>
      <c r="K590" s="68"/>
      <c r="M590" s="68"/>
      <c r="O590" s="68"/>
      <c r="P590" s="68"/>
      <c r="Q590" s="68"/>
      <c r="R590" s="68"/>
      <c r="S590" s="68"/>
    </row>
    <row r="591" spans="1:19" ht="15.75" customHeight="1">
      <c r="A591" s="68"/>
      <c r="B591" s="68"/>
      <c r="C591" s="180"/>
      <c r="D591" s="68"/>
      <c r="E591" s="194"/>
      <c r="F591" s="195"/>
      <c r="G591" s="195"/>
      <c r="H591" s="195"/>
      <c r="K591" s="68"/>
      <c r="M591" s="68"/>
      <c r="O591" s="68"/>
      <c r="P591" s="68"/>
      <c r="Q591" s="68"/>
      <c r="R591" s="68"/>
      <c r="S591" s="68"/>
    </row>
    <row r="592" spans="1:19" ht="15.75" customHeight="1">
      <c r="A592" s="68"/>
      <c r="B592" s="68"/>
      <c r="C592" s="180"/>
      <c r="D592" s="68"/>
      <c r="E592" s="194"/>
      <c r="F592" s="195"/>
      <c r="G592" s="195"/>
      <c r="H592" s="195"/>
      <c r="K592" s="68"/>
      <c r="M592" s="68"/>
      <c r="O592" s="68"/>
      <c r="P592" s="68"/>
      <c r="Q592" s="68"/>
      <c r="R592" s="68"/>
      <c r="S592" s="68"/>
    </row>
    <row r="593" spans="1:19" ht="15.75" customHeight="1">
      <c r="A593" s="68"/>
      <c r="B593" s="68"/>
      <c r="C593" s="180"/>
      <c r="D593" s="68"/>
      <c r="E593" s="194"/>
      <c r="F593" s="195"/>
      <c r="G593" s="195"/>
      <c r="H593" s="195"/>
      <c r="K593" s="68"/>
      <c r="M593" s="68"/>
      <c r="O593" s="68"/>
      <c r="P593" s="68"/>
      <c r="Q593" s="68"/>
      <c r="R593" s="68"/>
      <c r="S593" s="68"/>
    </row>
    <row r="594" spans="1:19" ht="15.75" customHeight="1">
      <c r="A594" s="68"/>
      <c r="B594" s="68"/>
      <c r="C594" s="180"/>
      <c r="D594" s="68"/>
      <c r="E594" s="194"/>
      <c r="F594" s="195"/>
      <c r="G594" s="195"/>
      <c r="H594" s="195"/>
      <c r="K594" s="68"/>
      <c r="M594" s="68"/>
      <c r="O594" s="68"/>
      <c r="P594" s="68"/>
      <c r="Q594" s="68"/>
      <c r="R594" s="68"/>
      <c r="S594" s="68"/>
    </row>
    <row r="595" spans="1:19" ht="15.75" customHeight="1">
      <c r="A595" s="68"/>
      <c r="B595" s="68"/>
      <c r="C595" s="180"/>
      <c r="D595" s="68"/>
      <c r="E595" s="194"/>
      <c r="F595" s="195"/>
      <c r="G595" s="195"/>
      <c r="H595" s="195"/>
      <c r="K595" s="68"/>
      <c r="M595" s="68"/>
      <c r="O595" s="68"/>
      <c r="P595" s="68"/>
      <c r="Q595" s="68"/>
      <c r="R595" s="68"/>
      <c r="S595" s="68"/>
    </row>
    <row r="596" spans="1:19" ht="15.75" customHeight="1">
      <c r="A596" s="68"/>
      <c r="B596" s="68"/>
      <c r="C596" s="180"/>
      <c r="D596" s="68"/>
      <c r="E596" s="194"/>
      <c r="F596" s="195"/>
      <c r="G596" s="195"/>
      <c r="H596" s="195"/>
      <c r="K596" s="68"/>
      <c r="M596" s="68"/>
      <c r="O596" s="68"/>
      <c r="P596" s="68"/>
      <c r="Q596" s="68"/>
      <c r="R596" s="68"/>
      <c r="S596" s="68"/>
    </row>
    <row r="597" spans="1:19" ht="15.75" customHeight="1">
      <c r="A597" s="68"/>
      <c r="B597" s="68"/>
      <c r="C597" s="180"/>
      <c r="D597" s="68"/>
      <c r="E597" s="194"/>
      <c r="F597" s="195"/>
      <c r="G597" s="195"/>
      <c r="H597" s="195"/>
      <c r="K597" s="68"/>
      <c r="M597" s="68"/>
      <c r="O597" s="68"/>
      <c r="P597" s="68"/>
      <c r="Q597" s="68"/>
      <c r="R597" s="68"/>
      <c r="S597" s="68"/>
    </row>
    <row r="598" spans="1:19" ht="15.75" customHeight="1">
      <c r="A598" s="68"/>
      <c r="B598" s="68"/>
      <c r="C598" s="180"/>
      <c r="D598" s="68"/>
      <c r="E598" s="194"/>
      <c r="F598" s="195"/>
      <c r="G598" s="195"/>
      <c r="H598" s="195"/>
      <c r="K598" s="68"/>
      <c r="M598" s="68"/>
      <c r="O598" s="68"/>
      <c r="P598" s="68"/>
      <c r="Q598" s="68"/>
      <c r="R598" s="68"/>
      <c r="S598" s="68"/>
    </row>
    <row r="599" spans="1:19" ht="15.75" customHeight="1">
      <c r="A599" s="68"/>
      <c r="B599" s="68"/>
      <c r="C599" s="180"/>
      <c r="D599" s="68"/>
      <c r="E599" s="194"/>
      <c r="F599" s="195"/>
      <c r="G599" s="195"/>
      <c r="H599" s="195"/>
      <c r="K599" s="68"/>
      <c r="M599" s="68"/>
      <c r="O599" s="68"/>
      <c r="P599" s="68"/>
      <c r="Q599" s="68"/>
      <c r="R599" s="68"/>
      <c r="S599" s="68"/>
    </row>
    <row r="600" spans="1:19" ht="15.75" customHeight="1">
      <c r="A600" s="68"/>
      <c r="B600" s="68"/>
      <c r="C600" s="180"/>
      <c r="D600" s="68"/>
      <c r="E600" s="194"/>
      <c r="F600" s="195"/>
      <c r="G600" s="195"/>
      <c r="H600" s="195"/>
      <c r="K600" s="68"/>
      <c r="M600" s="68"/>
      <c r="O600" s="68"/>
      <c r="P600" s="68"/>
      <c r="Q600" s="68"/>
      <c r="R600" s="68"/>
      <c r="S600" s="68"/>
    </row>
    <row r="601" spans="1:19" ht="15.75" customHeight="1">
      <c r="A601" s="68"/>
      <c r="B601" s="68"/>
      <c r="C601" s="180"/>
      <c r="D601" s="68"/>
      <c r="E601" s="194"/>
      <c r="F601" s="195"/>
      <c r="G601" s="195"/>
      <c r="H601" s="195"/>
      <c r="K601" s="68"/>
      <c r="M601" s="68"/>
      <c r="O601" s="68"/>
      <c r="P601" s="68"/>
      <c r="Q601" s="68"/>
      <c r="R601" s="68"/>
      <c r="S601" s="68"/>
    </row>
    <row r="602" spans="1:19" ht="15.75" customHeight="1">
      <c r="A602" s="68"/>
      <c r="B602" s="68"/>
      <c r="C602" s="180"/>
      <c r="D602" s="68"/>
      <c r="E602" s="194"/>
      <c r="F602" s="195"/>
      <c r="G602" s="195"/>
      <c r="H602" s="195"/>
      <c r="K602" s="68"/>
      <c r="M602" s="68"/>
      <c r="O602" s="68"/>
      <c r="P602" s="68"/>
      <c r="Q602" s="68"/>
      <c r="R602" s="68"/>
      <c r="S602" s="68"/>
    </row>
    <row r="603" spans="1:19" ht="15.75" customHeight="1">
      <c r="A603" s="68"/>
      <c r="B603" s="68"/>
      <c r="C603" s="180"/>
      <c r="D603" s="68"/>
      <c r="E603" s="194"/>
      <c r="F603" s="195"/>
      <c r="G603" s="195"/>
      <c r="H603" s="195"/>
      <c r="K603" s="68"/>
      <c r="M603" s="68"/>
      <c r="O603" s="68"/>
      <c r="P603" s="68"/>
      <c r="Q603" s="68"/>
      <c r="R603" s="68"/>
      <c r="S603" s="68"/>
    </row>
    <row r="604" spans="1:19" ht="15.75" customHeight="1">
      <c r="A604" s="68"/>
      <c r="B604" s="68"/>
      <c r="C604" s="180"/>
      <c r="D604" s="68"/>
      <c r="E604" s="194"/>
      <c r="F604" s="195"/>
      <c r="G604" s="195"/>
      <c r="H604" s="195"/>
      <c r="K604" s="68"/>
      <c r="M604" s="68"/>
      <c r="O604" s="68"/>
      <c r="P604" s="68"/>
      <c r="Q604" s="68"/>
      <c r="R604" s="68"/>
      <c r="S604" s="68"/>
    </row>
    <row r="605" spans="1:19" ht="15.75" customHeight="1">
      <c r="A605" s="68"/>
      <c r="B605" s="68"/>
      <c r="C605" s="180"/>
      <c r="D605" s="68"/>
      <c r="E605" s="194"/>
      <c r="F605" s="195"/>
      <c r="G605" s="195"/>
      <c r="H605" s="195"/>
      <c r="K605" s="68"/>
      <c r="M605" s="68"/>
      <c r="O605" s="68"/>
      <c r="P605" s="68"/>
      <c r="Q605" s="68"/>
      <c r="R605" s="68"/>
      <c r="S605" s="68"/>
    </row>
    <row r="606" spans="1:19" ht="15.75" customHeight="1">
      <c r="A606" s="68"/>
      <c r="B606" s="68"/>
      <c r="C606" s="180"/>
      <c r="D606" s="68"/>
      <c r="E606" s="194"/>
      <c r="F606" s="195"/>
      <c r="G606" s="195"/>
      <c r="H606" s="195"/>
      <c r="K606" s="68"/>
      <c r="M606" s="68"/>
      <c r="O606" s="68"/>
      <c r="P606" s="68"/>
      <c r="Q606" s="68"/>
      <c r="R606" s="68"/>
      <c r="S606" s="68"/>
    </row>
    <row r="607" spans="1:19" ht="15.75" customHeight="1">
      <c r="A607" s="68"/>
      <c r="B607" s="68"/>
      <c r="C607" s="180"/>
      <c r="D607" s="68"/>
      <c r="E607" s="194"/>
      <c r="F607" s="195"/>
      <c r="G607" s="195"/>
      <c r="H607" s="195"/>
      <c r="K607" s="68"/>
      <c r="M607" s="68"/>
      <c r="O607" s="68"/>
      <c r="P607" s="68"/>
      <c r="Q607" s="68"/>
      <c r="R607" s="68"/>
      <c r="S607" s="68"/>
    </row>
    <row r="608" spans="1:19" ht="15.75" customHeight="1">
      <c r="A608" s="68"/>
      <c r="B608" s="68"/>
      <c r="C608" s="180"/>
      <c r="D608" s="68"/>
      <c r="E608" s="194"/>
      <c r="F608" s="195"/>
      <c r="G608" s="195"/>
      <c r="H608" s="195"/>
      <c r="K608" s="68"/>
      <c r="M608" s="68"/>
      <c r="O608" s="68"/>
      <c r="P608" s="68"/>
      <c r="Q608" s="68"/>
      <c r="R608" s="68"/>
      <c r="S608" s="68"/>
    </row>
    <row r="609" spans="1:19" ht="15.75" customHeight="1">
      <c r="A609" s="68"/>
      <c r="B609" s="68"/>
      <c r="C609" s="180"/>
      <c r="D609" s="68"/>
      <c r="E609" s="194"/>
      <c r="F609" s="195"/>
      <c r="G609" s="195"/>
      <c r="H609" s="195"/>
      <c r="K609" s="68"/>
      <c r="M609" s="68"/>
      <c r="O609" s="68"/>
      <c r="P609" s="68"/>
      <c r="Q609" s="68"/>
      <c r="R609" s="68"/>
      <c r="S609" s="68"/>
    </row>
    <row r="610" spans="1:19" ht="15.75" customHeight="1">
      <c r="A610" s="68"/>
      <c r="B610" s="68"/>
      <c r="C610" s="180"/>
      <c r="D610" s="68"/>
      <c r="E610" s="194"/>
      <c r="F610" s="195"/>
      <c r="G610" s="195"/>
      <c r="H610" s="195"/>
      <c r="K610" s="68"/>
      <c r="M610" s="68"/>
      <c r="O610" s="68"/>
      <c r="P610" s="68"/>
      <c r="Q610" s="68"/>
      <c r="R610" s="68"/>
      <c r="S610" s="68"/>
    </row>
    <row r="611" spans="1:19" ht="15.75" customHeight="1">
      <c r="A611" s="68"/>
      <c r="B611" s="68"/>
      <c r="C611" s="180"/>
      <c r="D611" s="68"/>
      <c r="E611" s="194"/>
      <c r="F611" s="195"/>
      <c r="G611" s="195"/>
      <c r="H611" s="195"/>
      <c r="K611" s="68"/>
      <c r="M611" s="68"/>
      <c r="O611" s="68"/>
      <c r="P611" s="68"/>
      <c r="Q611" s="68"/>
      <c r="R611" s="68"/>
      <c r="S611" s="68"/>
    </row>
    <row r="612" spans="1:19" ht="15.75" customHeight="1">
      <c r="A612" s="68"/>
      <c r="B612" s="68"/>
      <c r="C612" s="180"/>
      <c r="D612" s="68"/>
      <c r="E612" s="194"/>
      <c r="F612" s="195"/>
      <c r="G612" s="195"/>
      <c r="H612" s="195"/>
      <c r="K612" s="68"/>
      <c r="M612" s="68"/>
      <c r="O612" s="68"/>
      <c r="P612" s="68"/>
      <c r="Q612" s="68"/>
      <c r="R612" s="68"/>
      <c r="S612" s="68"/>
    </row>
    <row r="613" spans="1:19" ht="15.75" customHeight="1">
      <c r="A613" s="68"/>
      <c r="B613" s="68"/>
      <c r="C613" s="180"/>
      <c r="D613" s="68"/>
      <c r="E613" s="194"/>
      <c r="F613" s="195"/>
      <c r="G613" s="195"/>
      <c r="H613" s="195"/>
      <c r="K613" s="68"/>
      <c r="M613" s="68"/>
      <c r="O613" s="68"/>
      <c r="P613" s="68"/>
      <c r="Q613" s="68"/>
      <c r="R613" s="68"/>
      <c r="S613" s="68"/>
    </row>
    <row r="614" spans="1:19" ht="15.75" customHeight="1">
      <c r="A614" s="68"/>
      <c r="B614" s="68"/>
      <c r="C614" s="180"/>
      <c r="D614" s="68"/>
      <c r="E614" s="194"/>
      <c r="F614" s="195"/>
      <c r="G614" s="195"/>
      <c r="H614" s="195"/>
      <c r="K614" s="68"/>
      <c r="M614" s="68"/>
      <c r="O614" s="68"/>
      <c r="P614" s="68"/>
      <c r="Q614" s="68"/>
      <c r="R614" s="68"/>
      <c r="S614" s="68"/>
    </row>
    <row r="615" spans="1:19" ht="15.75" customHeight="1">
      <c r="A615" s="68"/>
      <c r="B615" s="68"/>
      <c r="C615" s="180"/>
      <c r="D615" s="68"/>
      <c r="E615" s="194"/>
      <c r="F615" s="195"/>
      <c r="G615" s="195"/>
      <c r="H615" s="195"/>
      <c r="K615" s="68"/>
      <c r="M615" s="68"/>
      <c r="O615" s="68"/>
      <c r="P615" s="68"/>
      <c r="Q615" s="68"/>
      <c r="R615" s="68"/>
      <c r="S615" s="68"/>
    </row>
    <row r="616" spans="1:19" ht="15.75" customHeight="1">
      <c r="A616" s="68"/>
      <c r="B616" s="68"/>
      <c r="C616" s="180"/>
      <c r="D616" s="68"/>
      <c r="E616" s="194"/>
      <c r="F616" s="195"/>
      <c r="G616" s="195"/>
      <c r="H616" s="195"/>
      <c r="K616" s="68"/>
      <c r="M616" s="68"/>
      <c r="O616" s="68"/>
      <c r="P616" s="68"/>
      <c r="Q616" s="68"/>
      <c r="R616" s="68"/>
      <c r="S616" s="68"/>
    </row>
    <row r="617" spans="1:19" ht="15.75" customHeight="1">
      <c r="A617" s="68"/>
      <c r="B617" s="68"/>
      <c r="C617" s="180"/>
      <c r="D617" s="68"/>
      <c r="E617" s="194"/>
      <c r="F617" s="195"/>
      <c r="G617" s="195"/>
      <c r="H617" s="195"/>
      <c r="K617" s="68"/>
      <c r="M617" s="68"/>
      <c r="O617" s="68"/>
      <c r="P617" s="68"/>
      <c r="Q617" s="68"/>
      <c r="R617" s="68"/>
      <c r="S617" s="68"/>
    </row>
    <row r="618" spans="1:19" ht="15.75" customHeight="1">
      <c r="A618" s="68"/>
      <c r="B618" s="68"/>
      <c r="C618" s="180"/>
      <c r="D618" s="68"/>
      <c r="E618" s="194"/>
      <c r="F618" s="195"/>
      <c r="G618" s="195"/>
      <c r="H618" s="195"/>
      <c r="K618" s="68"/>
      <c r="M618" s="68"/>
      <c r="O618" s="68"/>
      <c r="P618" s="68"/>
      <c r="Q618" s="68"/>
      <c r="R618" s="68"/>
      <c r="S618" s="68"/>
    </row>
    <row r="619" spans="1:19" ht="15.75" customHeight="1">
      <c r="A619" s="68"/>
      <c r="B619" s="68"/>
      <c r="C619" s="180"/>
      <c r="D619" s="68"/>
      <c r="E619" s="194"/>
      <c r="F619" s="195"/>
      <c r="G619" s="195"/>
      <c r="H619" s="195"/>
      <c r="K619" s="68"/>
      <c r="M619" s="68"/>
      <c r="O619" s="68"/>
      <c r="P619" s="68"/>
      <c r="Q619" s="68"/>
      <c r="R619" s="68"/>
      <c r="S619" s="68"/>
    </row>
    <row r="620" spans="1:19" ht="15.75" customHeight="1">
      <c r="A620" s="68"/>
      <c r="B620" s="68"/>
      <c r="C620" s="180"/>
      <c r="D620" s="68"/>
      <c r="E620" s="194"/>
      <c r="F620" s="195"/>
      <c r="G620" s="195"/>
      <c r="H620" s="195"/>
      <c r="K620" s="68"/>
      <c r="M620" s="68"/>
      <c r="O620" s="68"/>
      <c r="P620" s="68"/>
      <c r="Q620" s="68"/>
      <c r="R620" s="68"/>
      <c r="S620" s="68"/>
    </row>
    <row r="621" spans="1:19" ht="15.75" customHeight="1">
      <c r="A621" s="68"/>
      <c r="B621" s="68"/>
      <c r="C621" s="180"/>
      <c r="D621" s="68"/>
      <c r="E621" s="194"/>
      <c r="F621" s="195"/>
      <c r="G621" s="195"/>
      <c r="H621" s="195"/>
      <c r="K621" s="68"/>
      <c r="M621" s="68"/>
      <c r="O621" s="68"/>
      <c r="P621" s="68"/>
      <c r="Q621" s="68"/>
      <c r="R621" s="68"/>
      <c r="S621" s="68"/>
    </row>
    <row r="622" spans="1:19" ht="15.75" customHeight="1">
      <c r="A622" s="68"/>
      <c r="B622" s="68"/>
      <c r="C622" s="180"/>
      <c r="D622" s="68"/>
      <c r="E622" s="194"/>
      <c r="F622" s="195"/>
      <c r="G622" s="195"/>
      <c r="H622" s="195"/>
      <c r="K622" s="68"/>
      <c r="M622" s="68"/>
      <c r="O622" s="68"/>
      <c r="P622" s="68"/>
      <c r="Q622" s="68"/>
      <c r="R622" s="68"/>
      <c r="S622" s="68"/>
    </row>
    <row r="623" spans="1:19" ht="15.75" customHeight="1">
      <c r="A623" s="68"/>
      <c r="B623" s="68"/>
      <c r="C623" s="180"/>
      <c r="D623" s="68"/>
      <c r="E623" s="194"/>
      <c r="F623" s="195"/>
      <c r="G623" s="195"/>
      <c r="H623" s="195"/>
      <c r="K623" s="68"/>
      <c r="M623" s="68"/>
      <c r="O623" s="68"/>
      <c r="P623" s="68"/>
      <c r="Q623" s="68"/>
      <c r="R623" s="68"/>
      <c r="S623" s="68"/>
    </row>
    <row r="624" spans="1:19" ht="15.75" customHeight="1">
      <c r="A624" s="68"/>
      <c r="B624" s="68"/>
      <c r="C624" s="180"/>
      <c r="D624" s="68"/>
      <c r="E624" s="194"/>
      <c r="F624" s="195"/>
      <c r="G624" s="195"/>
      <c r="H624" s="195"/>
      <c r="K624" s="68"/>
      <c r="M624" s="68"/>
      <c r="O624" s="68"/>
      <c r="P624" s="68"/>
      <c r="Q624" s="68"/>
      <c r="R624" s="68"/>
      <c r="S624" s="68"/>
    </row>
    <row r="625" spans="1:19" ht="15.75" customHeight="1">
      <c r="A625" s="68"/>
      <c r="B625" s="68"/>
      <c r="C625" s="180"/>
      <c r="D625" s="68"/>
      <c r="E625" s="194"/>
      <c r="F625" s="195"/>
      <c r="G625" s="195"/>
      <c r="H625" s="195"/>
      <c r="K625" s="68"/>
      <c r="M625" s="68"/>
      <c r="O625" s="68"/>
      <c r="P625" s="68"/>
      <c r="Q625" s="68"/>
      <c r="R625" s="68"/>
      <c r="S625" s="68"/>
    </row>
    <row r="626" spans="1:19" ht="15.75" customHeight="1">
      <c r="A626" s="68"/>
      <c r="B626" s="68"/>
      <c r="C626" s="180"/>
      <c r="D626" s="68"/>
      <c r="E626" s="194"/>
      <c r="F626" s="195"/>
      <c r="G626" s="195"/>
      <c r="H626" s="195"/>
      <c r="K626" s="68"/>
      <c r="M626" s="68"/>
      <c r="O626" s="68"/>
      <c r="P626" s="68"/>
      <c r="Q626" s="68"/>
      <c r="R626" s="68"/>
      <c r="S626" s="68"/>
    </row>
    <row r="627" spans="1:19" ht="15.75" customHeight="1">
      <c r="A627" s="68"/>
      <c r="B627" s="68"/>
      <c r="C627" s="180"/>
      <c r="D627" s="68"/>
      <c r="E627" s="194"/>
      <c r="F627" s="195"/>
      <c r="G627" s="195"/>
      <c r="H627" s="195"/>
      <c r="K627" s="68"/>
      <c r="M627" s="68"/>
      <c r="O627" s="68"/>
      <c r="P627" s="68"/>
      <c r="Q627" s="68"/>
      <c r="R627" s="68"/>
      <c r="S627" s="68"/>
    </row>
    <row r="628" spans="1:19" ht="15.75" customHeight="1">
      <c r="A628" s="68"/>
      <c r="B628" s="68"/>
      <c r="C628" s="180"/>
      <c r="D628" s="68"/>
      <c r="E628" s="194"/>
      <c r="F628" s="195"/>
      <c r="G628" s="195"/>
      <c r="H628" s="195"/>
      <c r="K628" s="68"/>
      <c r="M628" s="68"/>
      <c r="O628" s="68"/>
      <c r="P628" s="68"/>
      <c r="Q628" s="68"/>
      <c r="R628" s="68"/>
      <c r="S628" s="68"/>
    </row>
    <row r="629" spans="1:19" ht="15.75" customHeight="1">
      <c r="A629" s="68"/>
      <c r="B629" s="68"/>
      <c r="C629" s="180"/>
      <c r="D629" s="68"/>
      <c r="E629" s="194"/>
      <c r="F629" s="195"/>
      <c r="G629" s="195"/>
      <c r="H629" s="195"/>
      <c r="K629" s="68"/>
      <c r="M629" s="68"/>
      <c r="O629" s="68"/>
      <c r="P629" s="68"/>
      <c r="Q629" s="68"/>
      <c r="R629" s="68"/>
      <c r="S629" s="68"/>
    </row>
    <row r="630" spans="1:19" ht="15.75" customHeight="1">
      <c r="A630" s="68"/>
      <c r="B630" s="68"/>
      <c r="C630" s="180"/>
      <c r="D630" s="68"/>
      <c r="E630" s="194"/>
      <c r="F630" s="195"/>
      <c r="G630" s="195"/>
      <c r="H630" s="195"/>
      <c r="K630" s="68"/>
      <c r="M630" s="68"/>
      <c r="O630" s="68"/>
      <c r="P630" s="68"/>
      <c r="Q630" s="68"/>
      <c r="R630" s="68"/>
      <c r="S630" s="68"/>
    </row>
    <row r="631" spans="1:19" ht="15.75" customHeight="1">
      <c r="A631" s="68"/>
      <c r="B631" s="68"/>
      <c r="C631" s="180"/>
      <c r="D631" s="68"/>
      <c r="E631" s="194"/>
      <c r="F631" s="195"/>
      <c r="G631" s="195"/>
      <c r="H631" s="195"/>
      <c r="K631" s="68"/>
      <c r="M631" s="68"/>
      <c r="O631" s="68"/>
      <c r="P631" s="68"/>
      <c r="Q631" s="68"/>
      <c r="R631" s="68"/>
      <c r="S631" s="68"/>
    </row>
    <row r="632" spans="1:19" ht="15.75" customHeight="1">
      <c r="A632" s="68"/>
      <c r="B632" s="68"/>
      <c r="C632" s="180"/>
      <c r="D632" s="68"/>
      <c r="E632" s="194"/>
      <c r="F632" s="195"/>
      <c r="G632" s="195"/>
      <c r="H632" s="195"/>
      <c r="K632" s="68"/>
      <c r="M632" s="68"/>
      <c r="O632" s="68"/>
      <c r="P632" s="68"/>
      <c r="Q632" s="68"/>
      <c r="R632" s="68"/>
      <c r="S632" s="68"/>
    </row>
    <row r="633" spans="1:19" ht="15.75" customHeight="1">
      <c r="A633" s="68"/>
      <c r="B633" s="68"/>
      <c r="C633" s="180"/>
      <c r="D633" s="68"/>
      <c r="E633" s="194"/>
      <c r="F633" s="195"/>
      <c r="G633" s="195"/>
      <c r="H633" s="195"/>
      <c r="K633" s="68"/>
      <c r="M633" s="68"/>
      <c r="O633" s="68"/>
      <c r="P633" s="68"/>
      <c r="Q633" s="68"/>
      <c r="R633" s="68"/>
      <c r="S633" s="68"/>
    </row>
    <row r="634" spans="1:19" ht="15.75" customHeight="1">
      <c r="A634" s="68"/>
      <c r="B634" s="68"/>
      <c r="C634" s="180"/>
      <c r="D634" s="68"/>
      <c r="E634" s="194"/>
      <c r="F634" s="195"/>
      <c r="G634" s="195"/>
      <c r="H634" s="195"/>
      <c r="K634" s="68"/>
      <c r="M634" s="68"/>
      <c r="O634" s="68"/>
      <c r="P634" s="68"/>
      <c r="Q634" s="68"/>
      <c r="R634" s="68"/>
      <c r="S634" s="68"/>
    </row>
    <row r="635" spans="1:19" ht="15.75" customHeight="1">
      <c r="A635" s="68"/>
      <c r="B635" s="68"/>
      <c r="C635" s="180"/>
      <c r="D635" s="68"/>
      <c r="E635" s="194"/>
      <c r="F635" s="195"/>
      <c r="G635" s="195"/>
      <c r="H635" s="195"/>
      <c r="K635" s="68"/>
      <c r="M635" s="68"/>
      <c r="O635" s="68"/>
      <c r="P635" s="68"/>
      <c r="Q635" s="68"/>
      <c r="R635" s="68"/>
      <c r="S635" s="68"/>
    </row>
    <row r="636" spans="1:19" ht="15.75" customHeight="1">
      <c r="A636" s="68"/>
      <c r="B636" s="68"/>
      <c r="C636" s="180"/>
      <c r="D636" s="68"/>
      <c r="E636" s="194"/>
      <c r="F636" s="195"/>
      <c r="G636" s="195"/>
      <c r="H636" s="195"/>
      <c r="K636" s="68"/>
      <c r="M636" s="68"/>
      <c r="O636" s="68"/>
      <c r="P636" s="68"/>
      <c r="Q636" s="68"/>
      <c r="R636" s="68"/>
      <c r="S636" s="68"/>
    </row>
    <row r="637" spans="1:19" ht="15.75" customHeight="1">
      <c r="A637" s="68"/>
      <c r="B637" s="68"/>
      <c r="C637" s="180"/>
      <c r="D637" s="68"/>
      <c r="E637" s="194"/>
      <c r="F637" s="195"/>
      <c r="G637" s="195"/>
      <c r="H637" s="195"/>
      <c r="K637" s="68"/>
      <c r="M637" s="68"/>
      <c r="O637" s="68"/>
      <c r="P637" s="68"/>
      <c r="Q637" s="68"/>
      <c r="R637" s="68"/>
      <c r="S637" s="68"/>
    </row>
    <row r="638" spans="1:19" ht="15.75" customHeight="1">
      <c r="A638" s="68"/>
      <c r="B638" s="68"/>
      <c r="C638" s="180"/>
      <c r="D638" s="68"/>
      <c r="E638" s="194"/>
      <c r="F638" s="195"/>
      <c r="G638" s="195"/>
      <c r="H638" s="195"/>
      <c r="K638" s="68"/>
      <c r="M638" s="68"/>
      <c r="O638" s="68"/>
      <c r="P638" s="68"/>
      <c r="Q638" s="68"/>
      <c r="R638" s="68"/>
      <c r="S638" s="68"/>
    </row>
    <row r="639" spans="1:19" ht="15.75" customHeight="1">
      <c r="A639" s="68"/>
      <c r="B639" s="68"/>
      <c r="C639" s="180"/>
      <c r="D639" s="68"/>
      <c r="E639" s="194"/>
      <c r="F639" s="195"/>
      <c r="G639" s="195"/>
      <c r="H639" s="195"/>
      <c r="K639" s="68"/>
      <c r="M639" s="68"/>
      <c r="O639" s="68"/>
      <c r="P639" s="68"/>
      <c r="Q639" s="68"/>
      <c r="R639" s="68"/>
      <c r="S639" s="68"/>
    </row>
    <row r="640" spans="1:19" ht="15.75" customHeight="1">
      <c r="A640" s="68"/>
      <c r="B640" s="68"/>
      <c r="C640" s="180"/>
      <c r="D640" s="68"/>
      <c r="E640" s="194"/>
      <c r="F640" s="195"/>
      <c r="G640" s="195"/>
      <c r="H640" s="195"/>
      <c r="K640" s="68"/>
      <c r="M640" s="68"/>
      <c r="O640" s="68"/>
      <c r="P640" s="68"/>
      <c r="Q640" s="68"/>
      <c r="R640" s="68"/>
      <c r="S640" s="68"/>
    </row>
    <row r="641" spans="1:19" ht="15.75" customHeight="1">
      <c r="A641" s="68"/>
      <c r="B641" s="68"/>
      <c r="C641" s="180"/>
      <c r="D641" s="68"/>
      <c r="E641" s="194"/>
      <c r="F641" s="195"/>
      <c r="G641" s="195"/>
      <c r="H641" s="195"/>
      <c r="K641" s="68"/>
      <c r="M641" s="68"/>
      <c r="O641" s="68"/>
      <c r="P641" s="68"/>
      <c r="Q641" s="68"/>
      <c r="R641" s="68"/>
      <c r="S641" s="68"/>
    </row>
    <row r="642" spans="1:19" ht="15.75" customHeight="1">
      <c r="A642" s="68"/>
      <c r="B642" s="68"/>
      <c r="C642" s="180"/>
      <c r="D642" s="68"/>
      <c r="E642" s="194"/>
      <c r="F642" s="195"/>
      <c r="G642" s="195"/>
      <c r="H642" s="195"/>
      <c r="K642" s="68"/>
      <c r="M642" s="68"/>
      <c r="O642" s="68"/>
      <c r="P642" s="68"/>
      <c r="Q642" s="68"/>
      <c r="R642" s="68"/>
      <c r="S642" s="68"/>
    </row>
    <row r="643" spans="1:19" ht="15.75" customHeight="1">
      <c r="A643" s="68"/>
      <c r="B643" s="68"/>
      <c r="C643" s="180"/>
      <c r="D643" s="68"/>
      <c r="E643" s="194"/>
      <c r="F643" s="195"/>
      <c r="G643" s="195"/>
      <c r="H643" s="195"/>
      <c r="K643" s="68"/>
      <c r="M643" s="68"/>
      <c r="O643" s="68"/>
      <c r="P643" s="68"/>
      <c r="Q643" s="68"/>
      <c r="R643" s="68"/>
      <c r="S643" s="68"/>
    </row>
    <row r="644" spans="1:19" ht="15.75" customHeight="1">
      <c r="A644" s="68"/>
      <c r="B644" s="68"/>
      <c r="C644" s="180"/>
      <c r="D644" s="68"/>
      <c r="E644" s="194"/>
      <c r="F644" s="195"/>
      <c r="G644" s="195"/>
      <c r="H644" s="195"/>
      <c r="K644" s="68"/>
      <c r="M644" s="68"/>
      <c r="O644" s="68"/>
      <c r="P644" s="68"/>
      <c r="Q644" s="68"/>
      <c r="R644" s="68"/>
      <c r="S644" s="68"/>
    </row>
    <row r="645" spans="1:19" ht="15.75" customHeight="1">
      <c r="A645" s="68"/>
      <c r="B645" s="68"/>
      <c r="C645" s="180"/>
      <c r="D645" s="68"/>
      <c r="E645" s="194"/>
      <c r="F645" s="195"/>
      <c r="G645" s="195"/>
      <c r="H645" s="195"/>
      <c r="K645" s="68"/>
      <c r="M645" s="68"/>
      <c r="O645" s="68"/>
      <c r="P645" s="68"/>
      <c r="Q645" s="68"/>
      <c r="R645" s="68"/>
      <c r="S645" s="68"/>
    </row>
    <row r="646" spans="1:19" ht="15.75" customHeight="1">
      <c r="A646" s="68"/>
      <c r="B646" s="68"/>
      <c r="C646" s="180"/>
      <c r="D646" s="68"/>
      <c r="E646" s="194"/>
      <c r="F646" s="195"/>
      <c r="G646" s="195"/>
      <c r="H646" s="195"/>
      <c r="K646" s="68"/>
      <c r="M646" s="68"/>
      <c r="O646" s="68"/>
      <c r="P646" s="68"/>
      <c r="Q646" s="68"/>
      <c r="R646" s="68"/>
      <c r="S646" s="68"/>
    </row>
    <row r="647" spans="1:19" ht="15.75" customHeight="1">
      <c r="A647" s="68"/>
      <c r="B647" s="68"/>
      <c r="C647" s="180"/>
      <c r="D647" s="68"/>
      <c r="E647" s="194"/>
      <c r="F647" s="195"/>
      <c r="G647" s="195"/>
      <c r="H647" s="195"/>
      <c r="K647" s="68"/>
      <c r="M647" s="68"/>
      <c r="O647" s="68"/>
      <c r="P647" s="68"/>
      <c r="Q647" s="68"/>
      <c r="R647" s="68"/>
      <c r="S647" s="68"/>
    </row>
    <row r="648" spans="1:19" ht="15.75" customHeight="1">
      <c r="A648" s="68"/>
      <c r="B648" s="68"/>
      <c r="C648" s="180"/>
      <c r="D648" s="68"/>
      <c r="E648" s="194"/>
      <c r="F648" s="195"/>
      <c r="G648" s="195"/>
      <c r="H648" s="195"/>
      <c r="K648" s="68"/>
      <c r="M648" s="68"/>
      <c r="O648" s="68"/>
      <c r="P648" s="68"/>
      <c r="Q648" s="68"/>
      <c r="R648" s="68"/>
      <c r="S648" s="68"/>
    </row>
    <row r="649" spans="1:19" ht="15.75" customHeight="1">
      <c r="A649" s="68"/>
      <c r="B649" s="68"/>
      <c r="C649" s="180"/>
      <c r="D649" s="68"/>
      <c r="E649" s="194"/>
      <c r="F649" s="195"/>
      <c r="G649" s="195"/>
      <c r="H649" s="195"/>
      <c r="K649" s="68"/>
      <c r="M649" s="68"/>
      <c r="O649" s="68"/>
      <c r="P649" s="68"/>
      <c r="Q649" s="68"/>
      <c r="R649" s="68"/>
      <c r="S649" s="68"/>
    </row>
    <row r="650" spans="1:19" ht="15.75" customHeight="1">
      <c r="A650" s="68"/>
      <c r="B650" s="68"/>
      <c r="C650" s="180"/>
      <c r="D650" s="68"/>
      <c r="E650" s="194"/>
      <c r="F650" s="195"/>
      <c r="G650" s="195"/>
      <c r="H650" s="195"/>
      <c r="K650" s="68"/>
      <c r="M650" s="68"/>
      <c r="O650" s="68"/>
      <c r="P650" s="68"/>
      <c r="Q650" s="68"/>
      <c r="R650" s="68"/>
      <c r="S650" s="68"/>
    </row>
    <row r="651" spans="1:19" ht="15.75" customHeight="1">
      <c r="A651" s="68"/>
      <c r="B651" s="68"/>
      <c r="C651" s="180"/>
      <c r="D651" s="68"/>
      <c r="E651" s="194"/>
      <c r="F651" s="195"/>
      <c r="G651" s="195"/>
      <c r="H651" s="195"/>
      <c r="K651" s="68"/>
      <c r="M651" s="68"/>
      <c r="O651" s="68"/>
      <c r="P651" s="68"/>
      <c r="Q651" s="68"/>
      <c r="R651" s="68"/>
      <c r="S651" s="68"/>
    </row>
    <row r="652" spans="1:19" ht="15.75" customHeight="1">
      <c r="A652" s="68"/>
      <c r="B652" s="68"/>
      <c r="C652" s="180"/>
      <c r="D652" s="68"/>
      <c r="E652" s="194"/>
      <c r="F652" s="195"/>
      <c r="G652" s="195"/>
      <c r="H652" s="195"/>
      <c r="K652" s="68"/>
      <c r="M652" s="68"/>
      <c r="O652" s="68"/>
      <c r="P652" s="68"/>
      <c r="Q652" s="68"/>
      <c r="R652" s="68"/>
      <c r="S652" s="68"/>
    </row>
    <row r="653" spans="1:19" ht="15.75" customHeight="1">
      <c r="A653" s="68"/>
      <c r="B653" s="68"/>
      <c r="C653" s="180"/>
      <c r="D653" s="68"/>
      <c r="E653" s="194"/>
      <c r="F653" s="195"/>
      <c r="G653" s="195"/>
      <c r="H653" s="195"/>
      <c r="K653" s="68"/>
      <c r="M653" s="68"/>
      <c r="O653" s="68"/>
      <c r="P653" s="68"/>
      <c r="Q653" s="68"/>
      <c r="R653" s="68"/>
      <c r="S653" s="68"/>
    </row>
    <row r="654" spans="1:19" ht="15.75" customHeight="1">
      <c r="A654" s="68"/>
      <c r="B654" s="68"/>
      <c r="C654" s="180"/>
      <c r="D654" s="68"/>
      <c r="E654" s="194"/>
      <c r="F654" s="195"/>
      <c r="G654" s="195"/>
      <c r="H654" s="195"/>
      <c r="K654" s="68"/>
      <c r="M654" s="68"/>
      <c r="O654" s="68"/>
      <c r="P654" s="68"/>
      <c r="Q654" s="68"/>
      <c r="R654" s="68"/>
      <c r="S654" s="68"/>
    </row>
    <row r="655" spans="1:19" ht="15.75" customHeight="1">
      <c r="A655" s="68"/>
      <c r="B655" s="68"/>
      <c r="C655" s="180"/>
      <c r="D655" s="68"/>
      <c r="E655" s="194"/>
      <c r="F655" s="195"/>
      <c r="G655" s="195"/>
      <c r="H655" s="195"/>
      <c r="K655" s="68"/>
      <c r="M655" s="68"/>
      <c r="O655" s="68"/>
      <c r="P655" s="68"/>
      <c r="Q655" s="68"/>
      <c r="R655" s="68"/>
      <c r="S655" s="68"/>
    </row>
    <row r="656" spans="1:19" ht="15.75" customHeight="1">
      <c r="A656" s="68"/>
      <c r="B656" s="68"/>
      <c r="C656" s="180"/>
      <c r="D656" s="68"/>
      <c r="E656" s="194"/>
      <c r="F656" s="195"/>
      <c r="G656" s="195"/>
      <c r="H656" s="195"/>
      <c r="K656" s="68"/>
      <c r="M656" s="68"/>
      <c r="O656" s="68"/>
      <c r="P656" s="68"/>
      <c r="Q656" s="68"/>
      <c r="R656" s="68"/>
      <c r="S656" s="68"/>
    </row>
    <row r="657" spans="1:19" ht="15.75" customHeight="1">
      <c r="A657" s="68"/>
      <c r="B657" s="68"/>
      <c r="C657" s="180"/>
      <c r="D657" s="68"/>
      <c r="E657" s="194"/>
      <c r="F657" s="195"/>
      <c r="G657" s="195"/>
      <c r="H657" s="195"/>
      <c r="K657" s="68"/>
      <c r="M657" s="68"/>
      <c r="O657" s="68"/>
      <c r="P657" s="68"/>
      <c r="Q657" s="68"/>
      <c r="R657" s="68"/>
      <c r="S657" s="68"/>
    </row>
    <row r="658" spans="1:19" ht="15.75" customHeight="1">
      <c r="A658" s="68"/>
      <c r="B658" s="68"/>
      <c r="C658" s="180"/>
      <c r="D658" s="68"/>
      <c r="E658" s="194"/>
      <c r="F658" s="195"/>
      <c r="G658" s="195"/>
      <c r="H658" s="195"/>
      <c r="K658" s="68"/>
      <c r="M658" s="68"/>
      <c r="O658" s="68"/>
      <c r="P658" s="68"/>
      <c r="Q658" s="68"/>
      <c r="R658" s="68"/>
      <c r="S658" s="68"/>
    </row>
    <row r="659" spans="1:19" ht="15.75" customHeight="1">
      <c r="A659" s="68"/>
      <c r="B659" s="68"/>
      <c r="C659" s="180"/>
      <c r="D659" s="68"/>
      <c r="E659" s="194"/>
      <c r="F659" s="195"/>
      <c r="G659" s="195"/>
      <c r="H659" s="195"/>
      <c r="K659" s="68"/>
      <c r="M659" s="68"/>
      <c r="O659" s="68"/>
      <c r="P659" s="68"/>
      <c r="Q659" s="68"/>
      <c r="R659" s="68"/>
      <c r="S659" s="68"/>
    </row>
    <row r="660" spans="1:19" ht="15.75" customHeight="1">
      <c r="A660" s="68"/>
      <c r="B660" s="68"/>
      <c r="C660" s="180"/>
      <c r="D660" s="68"/>
      <c r="E660" s="194"/>
      <c r="F660" s="195"/>
      <c r="G660" s="195"/>
      <c r="H660" s="195"/>
      <c r="K660" s="68"/>
      <c r="M660" s="68"/>
      <c r="O660" s="68"/>
      <c r="P660" s="68"/>
      <c r="Q660" s="68"/>
      <c r="R660" s="68"/>
      <c r="S660" s="68"/>
    </row>
    <row r="661" spans="1:19" ht="15.75" customHeight="1">
      <c r="A661" s="68"/>
      <c r="B661" s="68"/>
      <c r="C661" s="180"/>
      <c r="D661" s="68"/>
      <c r="E661" s="194"/>
      <c r="F661" s="195"/>
      <c r="G661" s="195"/>
      <c r="H661" s="195"/>
      <c r="K661" s="68"/>
      <c r="M661" s="68"/>
      <c r="O661" s="68"/>
      <c r="P661" s="68"/>
      <c r="Q661" s="68"/>
      <c r="R661" s="68"/>
      <c r="S661" s="68"/>
    </row>
    <row r="662" spans="1:19" ht="15.75" customHeight="1">
      <c r="A662" s="68"/>
      <c r="B662" s="68"/>
      <c r="C662" s="180"/>
      <c r="D662" s="68"/>
      <c r="E662" s="194"/>
      <c r="F662" s="195"/>
      <c r="G662" s="195"/>
      <c r="H662" s="195"/>
      <c r="K662" s="68"/>
      <c r="M662" s="68"/>
      <c r="O662" s="68"/>
      <c r="P662" s="68"/>
      <c r="Q662" s="68"/>
      <c r="R662" s="68"/>
      <c r="S662" s="68"/>
    </row>
    <row r="663" spans="1:19" ht="15.75" customHeight="1">
      <c r="A663" s="68"/>
      <c r="B663" s="68"/>
      <c r="C663" s="180"/>
      <c r="D663" s="68"/>
      <c r="E663" s="194"/>
      <c r="F663" s="195"/>
      <c r="G663" s="195"/>
      <c r="H663" s="195"/>
      <c r="K663" s="68"/>
      <c r="M663" s="68"/>
      <c r="O663" s="68"/>
      <c r="P663" s="68"/>
      <c r="Q663" s="68"/>
      <c r="R663" s="68"/>
      <c r="S663" s="68"/>
    </row>
    <row r="664" spans="1:19" ht="15.75" customHeight="1">
      <c r="A664" s="68"/>
      <c r="B664" s="68"/>
      <c r="C664" s="180"/>
      <c r="D664" s="68"/>
      <c r="E664" s="194"/>
      <c r="F664" s="195"/>
      <c r="G664" s="195"/>
      <c r="H664" s="195"/>
      <c r="K664" s="68"/>
      <c r="M664" s="68"/>
      <c r="O664" s="68"/>
      <c r="P664" s="68"/>
      <c r="Q664" s="68"/>
      <c r="R664" s="68"/>
      <c r="S664" s="68"/>
    </row>
    <row r="665" spans="1:19" ht="15.75" customHeight="1">
      <c r="A665" s="68"/>
      <c r="B665" s="68"/>
      <c r="C665" s="180"/>
      <c r="D665" s="68"/>
      <c r="E665" s="194"/>
      <c r="F665" s="195"/>
      <c r="G665" s="195"/>
      <c r="H665" s="195"/>
      <c r="K665" s="68"/>
      <c r="M665" s="68"/>
      <c r="O665" s="68"/>
      <c r="P665" s="68"/>
      <c r="Q665" s="68"/>
      <c r="R665" s="68"/>
      <c r="S665" s="68"/>
    </row>
    <row r="666" spans="1:19" ht="15.75" customHeight="1">
      <c r="A666" s="68"/>
      <c r="B666" s="68"/>
      <c r="C666" s="180"/>
      <c r="D666" s="68"/>
      <c r="E666" s="194"/>
      <c r="F666" s="195"/>
      <c r="G666" s="195"/>
      <c r="H666" s="195"/>
      <c r="K666" s="68"/>
      <c r="M666" s="68"/>
      <c r="O666" s="68"/>
      <c r="P666" s="68"/>
      <c r="Q666" s="68"/>
      <c r="R666" s="68"/>
      <c r="S666" s="68"/>
    </row>
    <row r="667" spans="1:19" ht="15.75" customHeight="1">
      <c r="A667" s="68"/>
      <c r="B667" s="68"/>
      <c r="C667" s="180"/>
      <c r="D667" s="68"/>
      <c r="E667" s="194"/>
      <c r="F667" s="195"/>
      <c r="G667" s="195"/>
      <c r="H667" s="195"/>
      <c r="K667" s="68"/>
      <c r="M667" s="68"/>
      <c r="O667" s="68"/>
      <c r="P667" s="68"/>
      <c r="Q667" s="68"/>
      <c r="R667" s="68"/>
      <c r="S667" s="68"/>
    </row>
    <row r="668" spans="1:19" ht="15.75" customHeight="1">
      <c r="A668" s="68"/>
      <c r="B668" s="68"/>
      <c r="C668" s="180"/>
      <c r="D668" s="68"/>
      <c r="E668" s="194"/>
      <c r="F668" s="195"/>
      <c r="G668" s="195"/>
      <c r="H668" s="195"/>
      <c r="K668" s="68"/>
      <c r="M668" s="68"/>
      <c r="O668" s="68"/>
      <c r="P668" s="68"/>
      <c r="Q668" s="68"/>
      <c r="R668" s="68"/>
      <c r="S668" s="68"/>
    </row>
    <row r="669" spans="1:19" ht="15.75" customHeight="1">
      <c r="A669" s="68"/>
      <c r="B669" s="68"/>
      <c r="C669" s="180"/>
      <c r="D669" s="68"/>
      <c r="E669" s="194"/>
      <c r="F669" s="195"/>
      <c r="G669" s="195"/>
      <c r="H669" s="195"/>
      <c r="K669" s="68"/>
      <c r="M669" s="68"/>
      <c r="O669" s="68"/>
      <c r="P669" s="68"/>
      <c r="Q669" s="68"/>
      <c r="R669" s="68"/>
      <c r="S669" s="68"/>
    </row>
    <row r="670" spans="1:19" ht="15.75" customHeight="1">
      <c r="A670" s="68"/>
      <c r="B670" s="68"/>
      <c r="C670" s="180"/>
      <c r="D670" s="68"/>
      <c r="E670" s="194"/>
      <c r="F670" s="195"/>
      <c r="G670" s="195"/>
      <c r="H670" s="195"/>
      <c r="K670" s="68"/>
      <c r="M670" s="68"/>
      <c r="O670" s="68"/>
      <c r="P670" s="68"/>
      <c r="Q670" s="68"/>
      <c r="R670" s="68"/>
      <c r="S670" s="68"/>
    </row>
    <row r="671" spans="1:19" ht="15.75" customHeight="1">
      <c r="A671" s="68"/>
      <c r="B671" s="68"/>
      <c r="C671" s="180"/>
      <c r="D671" s="68"/>
      <c r="E671" s="194"/>
      <c r="F671" s="195"/>
      <c r="G671" s="195"/>
      <c r="H671" s="195"/>
      <c r="K671" s="68"/>
      <c r="M671" s="68"/>
      <c r="O671" s="68"/>
      <c r="P671" s="68"/>
      <c r="Q671" s="68"/>
      <c r="R671" s="68"/>
      <c r="S671" s="68"/>
    </row>
    <row r="672" spans="1:19" ht="15.75" customHeight="1">
      <c r="A672" s="68"/>
      <c r="B672" s="68"/>
      <c r="C672" s="180"/>
      <c r="D672" s="68"/>
      <c r="E672" s="194"/>
      <c r="F672" s="195"/>
      <c r="G672" s="195"/>
      <c r="H672" s="195"/>
      <c r="K672" s="68"/>
      <c r="M672" s="68"/>
      <c r="O672" s="68"/>
      <c r="P672" s="68"/>
      <c r="Q672" s="68"/>
      <c r="R672" s="68"/>
      <c r="S672" s="68"/>
    </row>
    <row r="673" spans="1:19" ht="15.75" customHeight="1">
      <c r="A673" s="68"/>
      <c r="B673" s="68"/>
      <c r="C673" s="180"/>
      <c r="D673" s="68"/>
      <c r="E673" s="194"/>
      <c r="F673" s="195"/>
      <c r="G673" s="195"/>
      <c r="H673" s="195"/>
      <c r="K673" s="68"/>
      <c r="M673" s="68"/>
      <c r="O673" s="68"/>
      <c r="P673" s="68"/>
      <c r="Q673" s="68"/>
      <c r="R673" s="68"/>
      <c r="S673" s="68"/>
    </row>
    <row r="674" spans="1:19" ht="15.75" customHeight="1">
      <c r="A674" s="68"/>
      <c r="B674" s="68"/>
      <c r="C674" s="180"/>
      <c r="D674" s="68"/>
      <c r="E674" s="194"/>
      <c r="F674" s="195"/>
      <c r="G674" s="195"/>
      <c r="H674" s="195"/>
      <c r="K674" s="68"/>
      <c r="M674" s="68"/>
      <c r="O674" s="68"/>
      <c r="P674" s="68"/>
      <c r="Q674" s="68"/>
      <c r="R674" s="68"/>
      <c r="S674" s="68"/>
    </row>
    <row r="675" spans="1:19" ht="15.75" customHeight="1">
      <c r="A675" s="68"/>
      <c r="B675" s="68"/>
      <c r="C675" s="180"/>
      <c r="D675" s="68"/>
      <c r="E675" s="194"/>
      <c r="F675" s="195"/>
      <c r="G675" s="195"/>
      <c r="H675" s="195"/>
      <c r="K675" s="68"/>
      <c r="M675" s="68"/>
      <c r="O675" s="68"/>
      <c r="P675" s="68"/>
      <c r="Q675" s="68"/>
      <c r="R675" s="68"/>
      <c r="S675" s="68"/>
    </row>
    <row r="676" spans="1:19" ht="15.75" customHeight="1">
      <c r="A676" s="68"/>
      <c r="B676" s="68"/>
      <c r="C676" s="180"/>
      <c r="D676" s="68"/>
      <c r="E676" s="194"/>
      <c r="F676" s="195"/>
      <c r="G676" s="195"/>
      <c r="H676" s="195"/>
      <c r="K676" s="68"/>
      <c r="M676" s="68"/>
      <c r="O676" s="68"/>
      <c r="P676" s="68"/>
      <c r="Q676" s="68"/>
      <c r="R676" s="68"/>
      <c r="S676" s="68"/>
    </row>
    <row r="677" spans="1:19" ht="15.75" customHeight="1">
      <c r="A677" s="68"/>
      <c r="B677" s="68"/>
      <c r="C677" s="180"/>
      <c r="D677" s="68"/>
      <c r="E677" s="194"/>
      <c r="F677" s="195"/>
      <c r="G677" s="195"/>
      <c r="H677" s="195"/>
      <c r="K677" s="68"/>
      <c r="M677" s="68"/>
      <c r="O677" s="68"/>
      <c r="P677" s="68"/>
      <c r="Q677" s="68"/>
      <c r="R677" s="68"/>
      <c r="S677" s="68"/>
    </row>
    <row r="678" spans="1:19" ht="15.75" customHeight="1">
      <c r="A678" s="68"/>
      <c r="B678" s="68"/>
      <c r="C678" s="180"/>
      <c r="D678" s="68"/>
      <c r="E678" s="194"/>
      <c r="F678" s="195"/>
      <c r="G678" s="195"/>
      <c r="H678" s="195"/>
      <c r="K678" s="68"/>
      <c r="M678" s="68"/>
      <c r="O678" s="68"/>
      <c r="P678" s="68"/>
      <c r="Q678" s="68"/>
      <c r="R678" s="68"/>
      <c r="S678" s="68"/>
    </row>
    <row r="679" spans="1:19" ht="15.75" customHeight="1">
      <c r="A679" s="68"/>
      <c r="B679" s="68"/>
      <c r="C679" s="180"/>
      <c r="D679" s="68"/>
      <c r="E679" s="194"/>
      <c r="F679" s="195"/>
      <c r="G679" s="195"/>
      <c r="H679" s="195"/>
      <c r="K679" s="68"/>
      <c r="M679" s="68"/>
      <c r="O679" s="68"/>
      <c r="P679" s="68"/>
      <c r="Q679" s="68"/>
      <c r="R679" s="68"/>
      <c r="S679" s="68"/>
    </row>
    <row r="680" spans="1:19" ht="15.75" customHeight="1">
      <c r="A680" s="68"/>
      <c r="B680" s="68"/>
      <c r="C680" s="180"/>
      <c r="D680" s="68"/>
      <c r="E680" s="194"/>
      <c r="F680" s="195"/>
      <c r="G680" s="195"/>
      <c r="H680" s="195"/>
      <c r="K680" s="68"/>
      <c r="M680" s="68"/>
      <c r="O680" s="68"/>
      <c r="P680" s="68"/>
      <c r="Q680" s="68"/>
      <c r="R680" s="68"/>
      <c r="S680" s="68"/>
    </row>
    <row r="681" spans="1:19" ht="15.75" customHeight="1">
      <c r="A681" s="68"/>
      <c r="B681" s="68"/>
      <c r="C681" s="180"/>
      <c r="D681" s="68"/>
      <c r="E681" s="194"/>
      <c r="F681" s="195"/>
      <c r="G681" s="195"/>
      <c r="H681" s="195"/>
      <c r="K681" s="68"/>
      <c r="M681" s="68"/>
      <c r="O681" s="68"/>
      <c r="P681" s="68"/>
      <c r="Q681" s="68"/>
      <c r="R681" s="68"/>
      <c r="S681" s="68"/>
    </row>
    <row r="682" spans="1:19" ht="15.75" customHeight="1">
      <c r="A682" s="68"/>
      <c r="B682" s="68"/>
      <c r="C682" s="180"/>
      <c r="D682" s="68"/>
      <c r="E682" s="194"/>
      <c r="F682" s="195"/>
      <c r="G682" s="195"/>
      <c r="H682" s="195"/>
      <c r="K682" s="68"/>
      <c r="M682" s="68"/>
      <c r="O682" s="68"/>
      <c r="P682" s="68"/>
      <c r="Q682" s="68"/>
      <c r="R682" s="68"/>
      <c r="S682" s="68"/>
    </row>
    <row r="683" spans="1:19" ht="15.75" customHeight="1">
      <c r="A683" s="68"/>
      <c r="B683" s="68"/>
      <c r="C683" s="180"/>
      <c r="D683" s="68"/>
      <c r="E683" s="194"/>
      <c r="F683" s="195"/>
      <c r="G683" s="195"/>
      <c r="H683" s="195"/>
      <c r="K683" s="68"/>
      <c r="M683" s="68"/>
      <c r="O683" s="68"/>
      <c r="P683" s="68"/>
      <c r="Q683" s="68"/>
      <c r="R683" s="68"/>
      <c r="S683" s="68"/>
    </row>
    <row r="684" spans="1:19" ht="15.75" customHeight="1">
      <c r="A684" s="68"/>
      <c r="B684" s="68"/>
      <c r="C684" s="180"/>
      <c r="D684" s="68"/>
      <c r="E684" s="194"/>
      <c r="F684" s="195"/>
      <c r="G684" s="195"/>
      <c r="H684" s="195"/>
      <c r="K684" s="68"/>
      <c r="M684" s="68"/>
      <c r="O684" s="68"/>
      <c r="P684" s="68"/>
      <c r="Q684" s="68"/>
      <c r="R684" s="68"/>
      <c r="S684" s="68"/>
    </row>
    <row r="685" spans="1:19" ht="15.75" customHeight="1">
      <c r="A685" s="68"/>
      <c r="B685" s="68"/>
      <c r="C685" s="180"/>
      <c r="D685" s="68"/>
      <c r="E685" s="194"/>
      <c r="F685" s="195"/>
      <c r="G685" s="195"/>
      <c r="H685" s="195"/>
      <c r="K685" s="68"/>
      <c r="M685" s="68"/>
      <c r="O685" s="68"/>
      <c r="P685" s="68"/>
      <c r="Q685" s="68"/>
      <c r="R685" s="68"/>
      <c r="S685" s="68"/>
    </row>
    <row r="686" spans="1:19" ht="15.75" customHeight="1">
      <c r="A686" s="68"/>
      <c r="B686" s="68"/>
      <c r="C686" s="180"/>
      <c r="D686" s="68"/>
      <c r="E686" s="194"/>
      <c r="F686" s="195"/>
      <c r="G686" s="195"/>
      <c r="H686" s="195"/>
      <c r="K686" s="68"/>
      <c r="M686" s="68"/>
      <c r="O686" s="68"/>
      <c r="P686" s="68"/>
      <c r="Q686" s="68"/>
      <c r="R686" s="68"/>
      <c r="S686" s="68"/>
    </row>
    <row r="687" spans="1:19" ht="15.75" customHeight="1">
      <c r="A687" s="68"/>
      <c r="B687" s="68"/>
      <c r="C687" s="180"/>
      <c r="D687" s="68"/>
      <c r="E687" s="194"/>
      <c r="F687" s="195"/>
      <c r="G687" s="195"/>
      <c r="H687" s="195"/>
      <c r="K687" s="68"/>
      <c r="M687" s="68"/>
      <c r="O687" s="68"/>
      <c r="P687" s="68"/>
      <c r="Q687" s="68"/>
      <c r="R687" s="68"/>
      <c r="S687" s="68"/>
    </row>
    <row r="688" spans="1:19" ht="15.75" customHeight="1">
      <c r="A688" s="68"/>
      <c r="B688" s="68"/>
      <c r="C688" s="180"/>
      <c r="D688" s="68"/>
      <c r="E688" s="194"/>
      <c r="F688" s="195"/>
      <c r="G688" s="195"/>
      <c r="H688" s="195"/>
      <c r="K688" s="68"/>
      <c r="M688" s="68"/>
      <c r="O688" s="68"/>
      <c r="P688" s="68"/>
      <c r="Q688" s="68"/>
      <c r="R688" s="68"/>
      <c r="S688" s="68"/>
    </row>
    <row r="689" spans="1:19" ht="15.75" customHeight="1">
      <c r="A689" s="68"/>
      <c r="B689" s="68"/>
      <c r="C689" s="180"/>
      <c r="D689" s="68"/>
      <c r="E689" s="194"/>
      <c r="F689" s="195"/>
      <c r="G689" s="195"/>
      <c r="H689" s="195"/>
      <c r="K689" s="68"/>
      <c r="M689" s="68"/>
      <c r="O689" s="68"/>
      <c r="P689" s="68"/>
      <c r="Q689" s="68"/>
      <c r="R689" s="68"/>
      <c r="S689" s="68"/>
    </row>
    <row r="690" spans="1:19" ht="15.75" customHeight="1">
      <c r="A690" s="68"/>
      <c r="B690" s="68"/>
      <c r="C690" s="180"/>
      <c r="D690" s="68"/>
      <c r="E690" s="194"/>
      <c r="F690" s="195"/>
      <c r="G690" s="195"/>
      <c r="H690" s="195"/>
      <c r="K690" s="68"/>
      <c r="M690" s="68"/>
      <c r="O690" s="68"/>
      <c r="P690" s="68"/>
      <c r="Q690" s="68"/>
      <c r="R690" s="68"/>
      <c r="S690" s="68"/>
    </row>
    <row r="691" spans="1:19" ht="15.75" customHeight="1">
      <c r="A691" s="68"/>
      <c r="B691" s="68"/>
      <c r="C691" s="180"/>
      <c r="D691" s="68"/>
      <c r="E691" s="194"/>
      <c r="F691" s="195"/>
      <c r="G691" s="195"/>
      <c r="H691" s="195"/>
      <c r="K691" s="68"/>
      <c r="M691" s="68"/>
      <c r="O691" s="68"/>
      <c r="P691" s="68"/>
      <c r="Q691" s="68"/>
      <c r="R691" s="68"/>
      <c r="S691" s="68"/>
    </row>
    <row r="692" spans="1:19" ht="15.75" customHeight="1">
      <c r="A692" s="68"/>
      <c r="B692" s="68"/>
      <c r="C692" s="180"/>
      <c r="D692" s="68"/>
      <c r="E692" s="194"/>
      <c r="F692" s="195"/>
      <c r="G692" s="195"/>
      <c r="H692" s="195"/>
      <c r="K692" s="68"/>
      <c r="M692" s="68"/>
      <c r="O692" s="68"/>
      <c r="P692" s="68"/>
      <c r="Q692" s="68"/>
      <c r="R692" s="68"/>
      <c r="S692" s="68"/>
    </row>
    <row r="693" spans="1:19" ht="15.75" customHeight="1">
      <c r="A693" s="68"/>
      <c r="B693" s="68"/>
      <c r="C693" s="180"/>
      <c r="D693" s="68"/>
      <c r="E693" s="194"/>
      <c r="F693" s="195"/>
      <c r="G693" s="195"/>
      <c r="H693" s="195"/>
      <c r="K693" s="68"/>
      <c r="M693" s="68"/>
      <c r="O693" s="68"/>
      <c r="P693" s="68"/>
      <c r="Q693" s="68"/>
      <c r="R693" s="68"/>
      <c r="S693" s="68"/>
    </row>
    <row r="694" spans="1:19" ht="15.75" customHeight="1">
      <c r="A694" s="68"/>
      <c r="B694" s="68"/>
      <c r="C694" s="180"/>
      <c r="D694" s="68"/>
      <c r="E694" s="194"/>
      <c r="F694" s="195"/>
      <c r="G694" s="195"/>
      <c r="H694" s="195"/>
      <c r="K694" s="68"/>
      <c r="M694" s="68"/>
      <c r="O694" s="68"/>
      <c r="P694" s="68"/>
      <c r="Q694" s="68"/>
      <c r="R694" s="68"/>
      <c r="S694" s="68"/>
    </row>
    <row r="695" spans="1:19" ht="15.75" customHeight="1">
      <c r="A695" s="68"/>
      <c r="B695" s="68"/>
      <c r="C695" s="180"/>
      <c r="D695" s="68"/>
      <c r="E695" s="194"/>
      <c r="F695" s="195"/>
      <c r="G695" s="195"/>
      <c r="H695" s="195"/>
      <c r="K695" s="68"/>
      <c r="M695" s="68"/>
      <c r="O695" s="68"/>
      <c r="P695" s="68"/>
      <c r="Q695" s="68"/>
      <c r="R695" s="68"/>
      <c r="S695" s="68"/>
    </row>
    <row r="696" spans="1:19" ht="15.75" customHeight="1">
      <c r="A696" s="68"/>
      <c r="B696" s="68"/>
      <c r="C696" s="180"/>
      <c r="D696" s="68"/>
      <c r="E696" s="194"/>
      <c r="F696" s="195"/>
      <c r="G696" s="195"/>
      <c r="H696" s="195"/>
      <c r="K696" s="68"/>
      <c r="M696" s="68"/>
      <c r="O696" s="68"/>
      <c r="P696" s="68"/>
      <c r="Q696" s="68"/>
      <c r="R696" s="68"/>
      <c r="S696" s="68"/>
    </row>
    <row r="697" spans="1:19" ht="15.75" customHeight="1">
      <c r="A697" s="68"/>
      <c r="B697" s="68"/>
      <c r="C697" s="180"/>
      <c r="D697" s="68"/>
      <c r="E697" s="194"/>
      <c r="F697" s="195"/>
      <c r="G697" s="195"/>
      <c r="H697" s="195"/>
      <c r="K697" s="68"/>
      <c r="M697" s="68"/>
      <c r="O697" s="68"/>
      <c r="P697" s="68"/>
      <c r="Q697" s="68"/>
      <c r="R697" s="68"/>
      <c r="S697" s="68"/>
    </row>
    <row r="698" spans="1:19" ht="15.75" customHeight="1">
      <c r="A698" s="68"/>
      <c r="B698" s="68"/>
      <c r="C698" s="180"/>
      <c r="D698" s="68"/>
      <c r="E698" s="194"/>
      <c r="F698" s="195"/>
      <c r="G698" s="195"/>
      <c r="H698" s="195"/>
      <c r="K698" s="68"/>
      <c r="M698" s="68"/>
      <c r="O698" s="68"/>
      <c r="P698" s="68"/>
      <c r="Q698" s="68"/>
      <c r="R698" s="68"/>
      <c r="S698" s="68"/>
    </row>
    <row r="699" spans="1:19" ht="15.75" customHeight="1">
      <c r="A699" s="68"/>
      <c r="B699" s="68"/>
      <c r="C699" s="180"/>
      <c r="D699" s="68"/>
      <c r="E699" s="194"/>
      <c r="F699" s="195"/>
      <c r="G699" s="195"/>
      <c r="H699" s="195"/>
      <c r="K699" s="68"/>
      <c r="M699" s="68"/>
      <c r="O699" s="68"/>
      <c r="P699" s="68"/>
      <c r="Q699" s="68"/>
      <c r="R699" s="68"/>
      <c r="S699" s="68"/>
    </row>
    <row r="700" spans="1:19" ht="15.75" customHeight="1">
      <c r="A700" s="68"/>
      <c r="B700" s="68"/>
      <c r="C700" s="180"/>
      <c r="D700" s="68"/>
      <c r="E700" s="194"/>
      <c r="F700" s="195"/>
      <c r="G700" s="195"/>
      <c r="H700" s="195"/>
      <c r="K700" s="68"/>
      <c r="M700" s="68"/>
      <c r="O700" s="68"/>
      <c r="P700" s="68"/>
      <c r="Q700" s="68"/>
      <c r="R700" s="68"/>
      <c r="S700" s="68"/>
    </row>
    <row r="701" spans="1:19" ht="15.75" customHeight="1">
      <c r="A701" s="68"/>
      <c r="B701" s="68"/>
      <c r="C701" s="180"/>
      <c r="D701" s="68"/>
      <c r="E701" s="194"/>
      <c r="F701" s="195"/>
      <c r="G701" s="195"/>
      <c r="H701" s="195"/>
      <c r="K701" s="68"/>
      <c r="M701" s="68"/>
      <c r="O701" s="68"/>
      <c r="P701" s="68"/>
      <c r="Q701" s="68"/>
      <c r="R701" s="68"/>
      <c r="S701" s="68"/>
    </row>
    <row r="702" spans="1:19" ht="15.75" customHeight="1">
      <c r="A702" s="68"/>
      <c r="B702" s="68"/>
      <c r="C702" s="180"/>
      <c r="D702" s="68"/>
      <c r="E702" s="194"/>
      <c r="F702" s="195"/>
      <c r="G702" s="195"/>
      <c r="H702" s="195"/>
      <c r="K702" s="68"/>
      <c r="M702" s="68"/>
      <c r="O702" s="68"/>
      <c r="P702" s="68"/>
      <c r="Q702" s="68"/>
      <c r="R702" s="68"/>
      <c r="S702" s="68"/>
    </row>
    <row r="703" spans="1:19" ht="15.75" customHeight="1">
      <c r="A703" s="68"/>
      <c r="B703" s="68"/>
      <c r="C703" s="180"/>
      <c r="D703" s="68"/>
      <c r="E703" s="194"/>
      <c r="F703" s="195"/>
      <c r="G703" s="195"/>
      <c r="H703" s="195"/>
      <c r="K703" s="68"/>
      <c r="M703" s="68"/>
      <c r="O703" s="68"/>
      <c r="P703" s="68"/>
      <c r="Q703" s="68"/>
      <c r="R703" s="68"/>
      <c r="S703" s="68"/>
    </row>
    <row r="704" spans="1:19" ht="15.75" customHeight="1">
      <c r="A704" s="68"/>
      <c r="B704" s="68"/>
      <c r="C704" s="180"/>
      <c r="D704" s="68"/>
      <c r="E704" s="194"/>
      <c r="F704" s="195"/>
      <c r="G704" s="195"/>
      <c r="H704" s="195"/>
      <c r="K704" s="68"/>
      <c r="M704" s="68"/>
      <c r="O704" s="68"/>
      <c r="P704" s="68"/>
      <c r="Q704" s="68"/>
      <c r="R704" s="68"/>
      <c r="S704" s="68"/>
    </row>
    <row r="705" spans="1:19" ht="15.75" customHeight="1">
      <c r="A705" s="68"/>
      <c r="B705" s="68"/>
      <c r="C705" s="180"/>
      <c r="D705" s="68"/>
      <c r="E705" s="194"/>
      <c r="F705" s="195"/>
      <c r="G705" s="195"/>
      <c r="H705" s="195"/>
      <c r="K705" s="68"/>
      <c r="M705" s="68"/>
      <c r="O705" s="68"/>
      <c r="P705" s="68"/>
      <c r="Q705" s="68"/>
      <c r="R705" s="68"/>
      <c r="S705" s="68"/>
    </row>
    <row r="706" spans="1:19" ht="15.75" customHeight="1">
      <c r="A706" s="68"/>
      <c r="B706" s="68"/>
      <c r="C706" s="180"/>
      <c r="D706" s="68"/>
      <c r="E706" s="194"/>
      <c r="F706" s="195"/>
      <c r="G706" s="195"/>
      <c r="H706" s="195"/>
      <c r="K706" s="68"/>
      <c r="M706" s="68"/>
      <c r="O706" s="68"/>
      <c r="P706" s="68"/>
      <c r="Q706" s="68"/>
      <c r="R706" s="68"/>
      <c r="S706" s="68"/>
    </row>
    <row r="707" spans="1:19" ht="15.75" customHeight="1">
      <c r="A707" s="68"/>
      <c r="B707" s="68"/>
      <c r="C707" s="180"/>
      <c r="D707" s="68"/>
      <c r="E707" s="194"/>
      <c r="F707" s="195"/>
      <c r="G707" s="195"/>
      <c r="H707" s="195"/>
      <c r="K707" s="68"/>
      <c r="M707" s="68"/>
      <c r="O707" s="68"/>
      <c r="P707" s="68"/>
      <c r="Q707" s="68"/>
      <c r="R707" s="68"/>
      <c r="S707" s="68"/>
    </row>
    <row r="708" spans="1:19" ht="15.75" customHeight="1">
      <c r="A708" s="68"/>
      <c r="B708" s="68"/>
      <c r="C708" s="180"/>
      <c r="D708" s="68"/>
      <c r="E708" s="194"/>
      <c r="F708" s="195"/>
      <c r="G708" s="195"/>
      <c r="H708" s="195"/>
      <c r="K708" s="68"/>
      <c r="M708" s="68"/>
      <c r="O708" s="68"/>
      <c r="P708" s="68"/>
      <c r="Q708" s="68"/>
      <c r="R708" s="68"/>
      <c r="S708" s="68"/>
    </row>
    <row r="709" spans="1:19" ht="15.75" customHeight="1">
      <c r="A709" s="68"/>
      <c r="B709" s="68"/>
      <c r="C709" s="180"/>
      <c r="D709" s="68"/>
      <c r="E709" s="194"/>
      <c r="F709" s="195"/>
      <c r="G709" s="195"/>
      <c r="H709" s="195"/>
      <c r="K709" s="68"/>
      <c r="M709" s="68"/>
      <c r="O709" s="68"/>
      <c r="P709" s="68"/>
      <c r="Q709" s="68"/>
      <c r="R709" s="68"/>
      <c r="S709" s="68"/>
    </row>
    <row r="710" spans="1:19" ht="15.75" customHeight="1">
      <c r="A710" s="68"/>
      <c r="B710" s="68"/>
      <c r="C710" s="180"/>
      <c r="D710" s="68"/>
      <c r="E710" s="194"/>
      <c r="F710" s="195"/>
      <c r="G710" s="195"/>
      <c r="H710" s="195"/>
      <c r="K710" s="68"/>
      <c r="M710" s="68"/>
      <c r="O710" s="68"/>
      <c r="P710" s="68"/>
      <c r="Q710" s="68"/>
      <c r="R710" s="68"/>
      <c r="S710" s="68"/>
    </row>
    <row r="711" spans="1:19" ht="15.75" customHeight="1">
      <c r="A711" s="68"/>
      <c r="B711" s="68"/>
      <c r="C711" s="180"/>
      <c r="D711" s="68"/>
      <c r="E711" s="194"/>
      <c r="F711" s="195"/>
      <c r="G711" s="195"/>
      <c r="H711" s="195"/>
      <c r="K711" s="68"/>
      <c r="M711" s="68"/>
      <c r="O711" s="68"/>
      <c r="P711" s="68"/>
      <c r="Q711" s="68"/>
      <c r="R711" s="68"/>
      <c r="S711" s="68"/>
    </row>
    <row r="712" spans="1:19" ht="15.75" customHeight="1">
      <c r="A712" s="68"/>
      <c r="B712" s="68"/>
      <c r="C712" s="180"/>
      <c r="D712" s="68"/>
      <c r="E712" s="194"/>
      <c r="F712" s="195"/>
      <c r="G712" s="195"/>
      <c r="H712" s="195"/>
      <c r="K712" s="68"/>
      <c r="M712" s="68"/>
      <c r="O712" s="68"/>
      <c r="P712" s="68"/>
      <c r="Q712" s="68"/>
      <c r="R712" s="68"/>
      <c r="S712" s="68"/>
    </row>
    <row r="713" spans="1:19" ht="15.75" customHeight="1">
      <c r="A713" s="68"/>
      <c r="B713" s="68"/>
      <c r="C713" s="180"/>
      <c r="D713" s="68"/>
      <c r="E713" s="194"/>
      <c r="F713" s="195"/>
      <c r="G713" s="195"/>
      <c r="H713" s="195"/>
      <c r="K713" s="68"/>
      <c r="M713" s="68"/>
      <c r="O713" s="68"/>
      <c r="P713" s="68"/>
      <c r="Q713" s="68"/>
      <c r="R713" s="68"/>
      <c r="S713" s="68"/>
    </row>
    <row r="714" spans="1:19" ht="15.75" customHeight="1">
      <c r="A714" s="68"/>
      <c r="B714" s="68"/>
      <c r="C714" s="180"/>
      <c r="D714" s="68"/>
      <c r="E714" s="194"/>
      <c r="F714" s="195"/>
      <c r="G714" s="195"/>
      <c r="H714" s="195"/>
      <c r="K714" s="68"/>
      <c r="M714" s="68"/>
      <c r="O714" s="68"/>
      <c r="P714" s="68"/>
      <c r="Q714" s="68"/>
      <c r="R714" s="68"/>
      <c r="S714" s="68"/>
    </row>
    <row r="715" spans="1:19" ht="15.75" customHeight="1">
      <c r="A715" s="68"/>
      <c r="B715" s="68"/>
      <c r="C715" s="180"/>
      <c r="D715" s="68"/>
      <c r="E715" s="194"/>
      <c r="F715" s="195"/>
      <c r="G715" s="195"/>
      <c r="H715" s="195"/>
      <c r="K715" s="68"/>
      <c r="M715" s="68"/>
      <c r="O715" s="68"/>
      <c r="P715" s="68"/>
      <c r="Q715" s="68"/>
      <c r="R715" s="68"/>
      <c r="S715" s="68"/>
    </row>
    <row r="716" spans="1:19" ht="15.75" customHeight="1">
      <c r="A716" s="68"/>
      <c r="B716" s="68"/>
      <c r="C716" s="180"/>
      <c r="D716" s="68"/>
      <c r="E716" s="194"/>
      <c r="F716" s="195"/>
      <c r="G716" s="195"/>
      <c r="H716" s="195"/>
      <c r="K716" s="68"/>
      <c r="M716" s="68"/>
      <c r="O716" s="68"/>
      <c r="P716" s="68"/>
      <c r="Q716" s="68"/>
      <c r="R716" s="68"/>
      <c r="S716" s="68"/>
    </row>
    <row r="717" spans="1:19" ht="15.75" customHeight="1">
      <c r="A717" s="68"/>
      <c r="B717" s="68"/>
      <c r="C717" s="180"/>
      <c r="D717" s="68"/>
      <c r="E717" s="194"/>
      <c r="F717" s="195"/>
      <c r="G717" s="195"/>
      <c r="H717" s="195"/>
      <c r="K717" s="68"/>
      <c r="M717" s="68"/>
      <c r="O717" s="68"/>
      <c r="P717" s="68"/>
      <c r="Q717" s="68"/>
      <c r="R717" s="68"/>
      <c r="S717" s="68"/>
    </row>
    <row r="718" spans="1:19" ht="15.75" customHeight="1">
      <c r="A718" s="68"/>
      <c r="B718" s="68"/>
      <c r="C718" s="180"/>
      <c r="D718" s="68"/>
      <c r="E718" s="194"/>
      <c r="F718" s="195"/>
      <c r="G718" s="195"/>
      <c r="H718" s="195"/>
      <c r="K718" s="68"/>
      <c r="M718" s="68"/>
      <c r="O718" s="68"/>
      <c r="P718" s="68"/>
      <c r="Q718" s="68"/>
      <c r="R718" s="68"/>
      <c r="S718" s="68"/>
    </row>
    <row r="719" spans="1:19" ht="15.75" customHeight="1">
      <c r="A719" s="68"/>
      <c r="B719" s="68"/>
      <c r="C719" s="180"/>
      <c r="D719" s="68"/>
      <c r="E719" s="194"/>
      <c r="F719" s="195"/>
      <c r="G719" s="195"/>
      <c r="H719" s="195"/>
      <c r="K719" s="68"/>
      <c r="M719" s="68"/>
      <c r="O719" s="68"/>
      <c r="P719" s="68"/>
      <c r="Q719" s="68"/>
      <c r="R719" s="68"/>
      <c r="S719" s="68"/>
    </row>
    <row r="720" spans="1:19" ht="15.75" customHeight="1">
      <c r="A720" s="68"/>
      <c r="B720" s="68"/>
      <c r="C720" s="180"/>
      <c r="D720" s="68"/>
      <c r="E720" s="194"/>
      <c r="F720" s="195"/>
      <c r="G720" s="195"/>
      <c r="H720" s="195"/>
      <c r="K720" s="68"/>
      <c r="M720" s="68"/>
      <c r="O720" s="68"/>
      <c r="P720" s="68"/>
      <c r="Q720" s="68"/>
      <c r="R720" s="68"/>
      <c r="S720" s="68"/>
    </row>
    <row r="721" spans="1:19" ht="15.75" customHeight="1">
      <c r="A721" s="68"/>
      <c r="B721" s="68"/>
      <c r="C721" s="180"/>
      <c r="D721" s="68"/>
      <c r="E721" s="194"/>
      <c r="F721" s="195"/>
      <c r="G721" s="195"/>
      <c r="H721" s="195"/>
      <c r="K721" s="68"/>
      <c r="M721" s="68"/>
      <c r="O721" s="68"/>
      <c r="P721" s="68"/>
      <c r="Q721" s="68"/>
      <c r="R721" s="68"/>
      <c r="S721" s="68"/>
    </row>
    <row r="722" spans="1:19" ht="15.75" customHeight="1">
      <c r="A722" s="68"/>
      <c r="B722" s="68"/>
      <c r="C722" s="180"/>
      <c r="D722" s="68"/>
      <c r="E722" s="194"/>
      <c r="F722" s="195"/>
      <c r="G722" s="195"/>
      <c r="H722" s="195"/>
      <c r="K722" s="68"/>
      <c r="M722" s="68"/>
      <c r="O722" s="68"/>
      <c r="P722" s="68"/>
      <c r="Q722" s="68"/>
      <c r="R722" s="68"/>
      <c r="S722" s="68"/>
    </row>
    <row r="723" spans="1:19" ht="15.75" customHeight="1">
      <c r="A723" s="68"/>
      <c r="B723" s="68"/>
      <c r="C723" s="180"/>
      <c r="D723" s="68"/>
      <c r="E723" s="194"/>
      <c r="F723" s="195"/>
      <c r="G723" s="195"/>
      <c r="H723" s="195"/>
      <c r="K723" s="68"/>
      <c r="M723" s="68"/>
      <c r="O723" s="68"/>
      <c r="P723" s="68"/>
      <c r="Q723" s="68"/>
      <c r="R723" s="68"/>
      <c r="S723" s="68"/>
    </row>
    <row r="724" spans="1:19" ht="15.75" customHeight="1">
      <c r="A724" s="68"/>
      <c r="B724" s="68"/>
      <c r="C724" s="180"/>
      <c r="D724" s="68"/>
      <c r="E724" s="194"/>
      <c r="F724" s="195"/>
      <c r="G724" s="195"/>
      <c r="H724" s="195"/>
      <c r="K724" s="68"/>
      <c r="M724" s="68"/>
      <c r="O724" s="68"/>
      <c r="P724" s="68"/>
      <c r="Q724" s="68"/>
      <c r="R724" s="68"/>
      <c r="S724" s="68"/>
    </row>
    <row r="725" spans="1:19" ht="15.75" customHeight="1">
      <c r="A725" s="68"/>
      <c r="B725" s="68"/>
      <c r="C725" s="180"/>
      <c r="D725" s="68"/>
      <c r="E725" s="194"/>
      <c r="F725" s="195"/>
      <c r="G725" s="195"/>
      <c r="H725" s="195"/>
      <c r="K725" s="68"/>
      <c r="M725" s="68"/>
      <c r="O725" s="68"/>
      <c r="P725" s="68"/>
      <c r="Q725" s="68"/>
      <c r="R725" s="68"/>
      <c r="S725" s="68"/>
    </row>
    <row r="726" spans="1:19" ht="15.75" customHeight="1">
      <c r="A726" s="68"/>
      <c r="B726" s="68"/>
      <c r="C726" s="180"/>
      <c r="D726" s="68"/>
      <c r="E726" s="194"/>
      <c r="F726" s="195"/>
      <c r="G726" s="195"/>
      <c r="H726" s="195"/>
      <c r="K726" s="68"/>
      <c r="M726" s="68"/>
      <c r="O726" s="68"/>
      <c r="P726" s="68"/>
      <c r="Q726" s="68"/>
      <c r="R726" s="68"/>
      <c r="S726" s="68"/>
    </row>
    <row r="727" spans="1:19" ht="15.75" customHeight="1">
      <c r="A727" s="68"/>
      <c r="B727" s="68"/>
      <c r="C727" s="180"/>
      <c r="D727" s="68"/>
      <c r="E727" s="194"/>
      <c r="F727" s="195"/>
      <c r="G727" s="195"/>
      <c r="H727" s="195"/>
      <c r="K727" s="68"/>
      <c r="M727" s="68"/>
      <c r="O727" s="68"/>
      <c r="P727" s="68"/>
      <c r="Q727" s="68"/>
      <c r="R727" s="68"/>
      <c r="S727" s="68"/>
    </row>
    <row r="728" spans="1:19" ht="15.75" customHeight="1">
      <c r="A728" s="68"/>
      <c r="B728" s="68"/>
      <c r="C728" s="180"/>
      <c r="D728" s="68"/>
      <c r="E728" s="194"/>
      <c r="F728" s="195"/>
      <c r="G728" s="195"/>
      <c r="H728" s="195"/>
      <c r="K728" s="68"/>
      <c r="M728" s="68"/>
      <c r="O728" s="68"/>
      <c r="P728" s="68"/>
      <c r="Q728" s="68"/>
      <c r="R728" s="68"/>
      <c r="S728" s="68"/>
    </row>
    <row r="729" spans="1:19" ht="15.75" customHeight="1">
      <c r="A729" s="68"/>
      <c r="B729" s="68"/>
      <c r="C729" s="180"/>
      <c r="D729" s="68"/>
      <c r="E729" s="194"/>
      <c r="F729" s="195"/>
      <c r="G729" s="195"/>
      <c r="H729" s="195"/>
      <c r="K729" s="68"/>
      <c r="M729" s="68"/>
      <c r="O729" s="68"/>
      <c r="P729" s="68"/>
      <c r="Q729" s="68"/>
      <c r="R729" s="68"/>
      <c r="S729" s="68"/>
    </row>
    <row r="730" spans="1:19" ht="15.75" customHeight="1">
      <c r="A730" s="68"/>
      <c r="B730" s="68"/>
      <c r="C730" s="180"/>
      <c r="D730" s="68"/>
      <c r="E730" s="194"/>
      <c r="F730" s="195"/>
      <c r="G730" s="195"/>
      <c r="H730" s="195"/>
      <c r="K730" s="68"/>
      <c r="M730" s="68"/>
      <c r="O730" s="68"/>
      <c r="P730" s="68"/>
      <c r="Q730" s="68"/>
      <c r="R730" s="68"/>
      <c r="S730" s="68"/>
    </row>
    <row r="731" spans="1:19" ht="15.75" customHeight="1">
      <c r="A731" s="68"/>
      <c r="B731" s="68"/>
      <c r="C731" s="180"/>
      <c r="D731" s="68"/>
      <c r="E731" s="194"/>
      <c r="F731" s="195"/>
      <c r="G731" s="195"/>
      <c r="H731" s="195"/>
      <c r="K731" s="68"/>
      <c r="M731" s="68"/>
      <c r="O731" s="68"/>
      <c r="P731" s="68"/>
      <c r="Q731" s="68"/>
      <c r="R731" s="68"/>
      <c r="S731" s="68"/>
    </row>
    <row r="732" spans="1:19" ht="15.75" customHeight="1">
      <c r="A732" s="68"/>
      <c r="B732" s="68"/>
      <c r="C732" s="180"/>
      <c r="D732" s="68"/>
      <c r="E732" s="194"/>
      <c r="F732" s="195"/>
      <c r="G732" s="195"/>
      <c r="H732" s="195"/>
      <c r="K732" s="68"/>
      <c r="M732" s="68"/>
      <c r="O732" s="68"/>
      <c r="P732" s="68"/>
      <c r="Q732" s="68"/>
      <c r="R732" s="68"/>
      <c r="S732" s="68"/>
    </row>
    <row r="733" spans="1:19" ht="15.75" customHeight="1">
      <c r="A733" s="68"/>
      <c r="B733" s="68"/>
      <c r="C733" s="180"/>
      <c r="D733" s="68"/>
      <c r="E733" s="194"/>
      <c r="F733" s="195"/>
      <c r="G733" s="195"/>
      <c r="H733" s="195"/>
      <c r="K733" s="68"/>
      <c r="M733" s="68"/>
      <c r="O733" s="68"/>
      <c r="P733" s="68"/>
      <c r="Q733" s="68"/>
      <c r="R733" s="68"/>
      <c r="S733" s="68"/>
    </row>
    <row r="734" spans="1:19" ht="15.75" customHeight="1">
      <c r="A734" s="68"/>
      <c r="B734" s="68"/>
      <c r="C734" s="180"/>
      <c r="D734" s="68"/>
      <c r="E734" s="194"/>
      <c r="F734" s="195"/>
      <c r="G734" s="195"/>
      <c r="H734" s="195"/>
      <c r="K734" s="68"/>
      <c r="M734" s="68"/>
      <c r="O734" s="68"/>
      <c r="P734" s="68"/>
      <c r="Q734" s="68"/>
      <c r="R734" s="68"/>
      <c r="S734" s="68"/>
    </row>
    <row r="735" spans="1:19" ht="15.75" customHeight="1">
      <c r="A735" s="68"/>
      <c r="B735" s="68"/>
      <c r="C735" s="180"/>
      <c r="D735" s="68"/>
      <c r="E735" s="194"/>
      <c r="F735" s="195"/>
      <c r="G735" s="195"/>
      <c r="H735" s="195"/>
      <c r="K735" s="68"/>
      <c r="M735" s="68"/>
      <c r="O735" s="68"/>
      <c r="P735" s="68"/>
      <c r="Q735" s="68"/>
      <c r="R735" s="68"/>
      <c r="S735" s="68"/>
    </row>
    <row r="736" spans="1:19" ht="15.75" customHeight="1">
      <c r="A736" s="68"/>
      <c r="B736" s="68"/>
      <c r="C736" s="180"/>
      <c r="D736" s="68"/>
      <c r="E736" s="194"/>
      <c r="F736" s="195"/>
      <c r="G736" s="195"/>
      <c r="H736" s="195"/>
      <c r="K736" s="68"/>
      <c r="M736" s="68"/>
      <c r="O736" s="68"/>
      <c r="P736" s="68"/>
      <c r="Q736" s="68"/>
      <c r="R736" s="68"/>
      <c r="S736" s="68"/>
    </row>
    <row r="737" spans="1:19" ht="15.75" customHeight="1">
      <c r="A737" s="68"/>
      <c r="B737" s="68"/>
      <c r="C737" s="180"/>
      <c r="D737" s="68"/>
      <c r="E737" s="194"/>
      <c r="F737" s="195"/>
      <c r="G737" s="195"/>
      <c r="H737" s="195"/>
      <c r="K737" s="68"/>
      <c r="M737" s="68"/>
      <c r="O737" s="68"/>
      <c r="P737" s="68"/>
      <c r="Q737" s="68"/>
      <c r="R737" s="68"/>
      <c r="S737" s="68"/>
    </row>
    <row r="738" spans="1:19" ht="15.75" customHeight="1">
      <c r="A738" s="68"/>
      <c r="B738" s="68"/>
      <c r="C738" s="180"/>
      <c r="D738" s="68"/>
      <c r="E738" s="194"/>
      <c r="F738" s="195"/>
      <c r="G738" s="195"/>
      <c r="H738" s="195"/>
      <c r="K738" s="68"/>
      <c r="M738" s="68"/>
      <c r="O738" s="68"/>
      <c r="P738" s="68"/>
      <c r="Q738" s="68"/>
      <c r="R738" s="68"/>
      <c r="S738" s="68"/>
    </row>
    <row r="739" spans="1:19" ht="15.75" customHeight="1">
      <c r="A739" s="68"/>
      <c r="B739" s="68"/>
      <c r="C739" s="180"/>
      <c r="D739" s="68"/>
      <c r="E739" s="194"/>
      <c r="F739" s="195"/>
      <c r="G739" s="195"/>
      <c r="H739" s="195"/>
      <c r="K739" s="68"/>
      <c r="M739" s="68"/>
      <c r="O739" s="68"/>
      <c r="P739" s="68"/>
      <c r="Q739" s="68"/>
      <c r="R739" s="68"/>
      <c r="S739" s="68"/>
    </row>
    <row r="740" spans="1:19" ht="15.75" customHeight="1">
      <c r="A740" s="68"/>
      <c r="B740" s="68"/>
      <c r="C740" s="180"/>
      <c r="D740" s="68"/>
      <c r="E740" s="194"/>
      <c r="F740" s="195"/>
      <c r="G740" s="195"/>
      <c r="H740" s="195"/>
      <c r="K740" s="68"/>
      <c r="M740" s="68"/>
      <c r="O740" s="68"/>
      <c r="P740" s="68"/>
      <c r="Q740" s="68"/>
      <c r="R740" s="68"/>
      <c r="S740" s="68"/>
    </row>
    <row r="741" spans="1:19" ht="15.75" customHeight="1">
      <c r="A741" s="68"/>
      <c r="B741" s="68"/>
      <c r="C741" s="180"/>
      <c r="D741" s="68"/>
      <c r="E741" s="194"/>
      <c r="F741" s="195"/>
      <c r="G741" s="195"/>
      <c r="H741" s="195"/>
      <c r="K741" s="68"/>
      <c r="M741" s="68"/>
      <c r="O741" s="68"/>
      <c r="P741" s="68"/>
      <c r="Q741" s="68"/>
      <c r="R741" s="68"/>
      <c r="S741" s="68"/>
    </row>
    <row r="742" spans="1:19" ht="15.75" customHeight="1">
      <c r="A742" s="68"/>
      <c r="B742" s="68"/>
      <c r="C742" s="180"/>
      <c r="D742" s="68"/>
      <c r="E742" s="194"/>
      <c r="F742" s="195"/>
      <c r="G742" s="195"/>
      <c r="H742" s="195"/>
      <c r="K742" s="68"/>
      <c r="M742" s="68"/>
      <c r="O742" s="68"/>
      <c r="P742" s="68"/>
      <c r="Q742" s="68"/>
      <c r="R742" s="68"/>
      <c r="S742" s="68"/>
    </row>
    <row r="743" spans="1:19" ht="15.75" customHeight="1">
      <c r="A743" s="68"/>
      <c r="B743" s="68"/>
      <c r="C743" s="180"/>
      <c r="D743" s="68"/>
      <c r="E743" s="194"/>
      <c r="F743" s="195"/>
      <c r="G743" s="195"/>
      <c r="H743" s="195"/>
      <c r="K743" s="68"/>
      <c r="M743" s="68"/>
      <c r="O743" s="68"/>
      <c r="P743" s="68"/>
      <c r="Q743" s="68"/>
      <c r="R743" s="68"/>
      <c r="S743" s="68"/>
    </row>
    <row r="744" spans="1:19" ht="15.75" customHeight="1">
      <c r="A744" s="68"/>
      <c r="B744" s="68"/>
      <c r="C744" s="180"/>
      <c r="D744" s="68"/>
      <c r="E744" s="194"/>
      <c r="F744" s="195"/>
      <c r="G744" s="195"/>
      <c r="H744" s="195"/>
      <c r="K744" s="68"/>
      <c r="M744" s="68"/>
      <c r="O744" s="68"/>
      <c r="P744" s="68"/>
      <c r="Q744" s="68"/>
      <c r="R744" s="68"/>
      <c r="S744" s="68"/>
    </row>
    <row r="745" spans="1:19" ht="15.75" customHeight="1">
      <c r="A745" s="68"/>
      <c r="B745" s="68"/>
      <c r="C745" s="180"/>
      <c r="D745" s="68"/>
      <c r="E745" s="194"/>
      <c r="F745" s="195"/>
      <c r="G745" s="195"/>
      <c r="H745" s="195"/>
      <c r="K745" s="68"/>
      <c r="M745" s="68"/>
      <c r="O745" s="68"/>
      <c r="P745" s="68"/>
      <c r="Q745" s="68"/>
      <c r="R745" s="68"/>
      <c r="S745" s="68"/>
    </row>
    <row r="746" spans="1:19" ht="15.75" customHeight="1">
      <c r="A746" s="68"/>
      <c r="B746" s="68"/>
      <c r="C746" s="180"/>
      <c r="D746" s="68"/>
      <c r="E746" s="194"/>
      <c r="F746" s="195"/>
      <c r="G746" s="195"/>
      <c r="H746" s="195"/>
      <c r="K746" s="68"/>
      <c r="M746" s="68"/>
      <c r="O746" s="68"/>
      <c r="P746" s="68"/>
      <c r="Q746" s="68"/>
      <c r="R746" s="68"/>
      <c r="S746" s="68"/>
    </row>
    <row r="747" spans="1:19" ht="15.75" customHeight="1">
      <c r="A747" s="68"/>
      <c r="B747" s="68"/>
      <c r="C747" s="180"/>
      <c r="D747" s="68"/>
      <c r="E747" s="194"/>
      <c r="F747" s="195"/>
      <c r="G747" s="195"/>
      <c r="H747" s="195"/>
      <c r="K747" s="68"/>
      <c r="M747" s="68"/>
      <c r="O747" s="68"/>
      <c r="P747" s="68"/>
      <c r="Q747" s="68"/>
      <c r="R747" s="68"/>
      <c r="S747" s="68"/>
    </row>
    <row r="748" spans="1:19" ht="15.75" customHeight="1">
      <c r="A748" s="68"/>
      <c r="B748" s="68"/>
      <c r="C748" s="180"/>
      <c r="D748" s="68"/>
      <c r="E748" s="194"/>
      <c r="F748" s="195"/>
      <c r="G748" s="195"/>
      <c r="H748" s="195"/>
      <c r="K748" s="68"/>
      <c r="M748" s="68"/>
      <c r="O748" s="68"/>
      <c r="P748" s="68"/>
      <c r="Q748" s="68"/>
      <c r="R748" s="68"/>
      <c r="S748" s="68"/>
    </row>
    <row r="749" spans="1:19" ht="15.75" customHeight="1">
      <c r="A749" s="68"/>
      <c r="B749" s="68"/>
      <c r="C749" s="180"/>
      <c r="D749" s="68"/>
      <c r="E749" s="194"/>
      <c r="F749" s="195"/>
      <c r="G749" s="195"/>
      <c r="H749" s="195"/>
      <c r="K749" s="68"/>
      <c r="M749" s="68"/>
      <c r="O749" s="68"/>
      <c r="P749" s="68"/>
      <c r="Q749" s="68"/>
      <c r="R749" s="68"/>
      <c r="S749" s="68"/>
    </row>
    <row r="750" spans="1:19" ht="15.75" customHeight="1">
      <c r="A750" s="68"/>
      <c r="B750" s="68"/>
      <c r="C750" s="180"/>
      <c r="D750" s="68"/>
      <c r="E750" s="194"/>
      <c r="F750" s="195"/>
      <c r="G750" s="195"/>
      <c r="H750" s="195"/>
      <c r="K750" s="68"/>
      <c r="M750" s="68"/>
      <c r="O750" s="68"/>
      <c r="P750" s="68"/>
      <c r="Q750" s="68"/>
      <c r="R750" s="68"/>
      <c r="S750" s="68"/>
    </row>
    <row r="751" spans="1:19" ht="15.75" customHeight="1">
      <c r="A751" s="68"/>
      <c r="B751" s="68"/>
      <c r="C751" s="180"/>
      <c r="D751" s="68"/>
      <c r="E751" s="194"/>
      <c r="F751" s="195"/>
      <c r="G751" s="195"/>
      <c r="H751" s="195"/>
      <c r="K751" s="68"/>
      <c r="M751" s="68"/>
      <c r="O751" s="68"/>
      <c r="P751" s="68"/>
      <c r="Q751" s="68"/>
      <c r="R751" s="68"/>
      <c r="S751" s="68"/>
    </row>
    <row r="752" spans="1:19" ht="15.75" customHeight="1">
      <c r="A752" s="68"/>
      <c r="B752" s="68"/>
      <c r="C752" s="180"/>
      <c r="D752" s="68"/>
      <c r="E752" s="194"/>
      <c r="F752" s="195"/>
      <c r="G752" s="195"/>
      <c r="H752" s="195"/>
      <c r="K752" s="68"/>
      <c r="M752" s="68"/>
      <c r="O752" s="68"/>
      <c r="P752" s="68"/>
      <c r="Q752" s="68"/>
      <c r="R752" s="68"/>
      <c r="S752" s="68"/>
    </row>
    <row r="753" spans="1:19" ht="15.75" customHeight="1">
      <c r="A753" s="68"/>
      <c r="B753" s="68"/>
      <c r="C753" s="180"/>
      <c r="D753" s="68"/>
      <c r="E753" s="194"/>
      <c r="F753" s="195"/>
      <c r="G753" s="195"/>
      <c r="H753" s="195"/>
      <c r="K753" s="68"/>
      <c r="M753" s="68"/>
      <c r="O753" s="68"/>
      <c r="P753" s="68"/>
      <c r="Q753" s="68"/>
      <c r="R753" s="68"/>
      <c r="S753" s="68"/>
    </row>
    <row r="754" spans="1:19" ht="15.75" customHeight="1">
      <c r="A754" s="68"/>
      <c r="B754" s="68"/>
      <c r="C754" s="180"/>
      <c r="D754" s="68"/>
      <c r="E754" s="194"/>
      <c r="F754" s="195"/>
      <c r="G754" s="195"/>
      <c r="H754" s="195"/>
      <c r="K754" s="68"/>
      <c r="M754" s="68"/>
      <c r="O754" s="68"/>
      <c r="P754" s="68"/>
      <c r="Q754" s="68"/>
      <c r="R754" s="68"/>
      <c r="S754" s="68"/>
    </row>
    <row r="755" spans="1:19" ht="15.75" customHeight="1">
      <c r="A755" s="68"/>
      <c r="B755" s="68"/>
      <c r="C755" s="180"/>
      <c r="D755" s="68"/>
      <c r="E755" s="194"/>
      <c r="F755" s="195"/>
      <c r="G755" s="195"/>
      <c r="H755" s="195"/>
      <c r="K755" s="68"/>
      <c r="M755" s="68"/>
      <c r="O755" s="68"/>
      <c r="P755" s="68"/>
      <c r="Q755" s="68"/>
      <c r="R755" s="68"/>
      <c r="S755" s="68"/>
    </row>
    <row r="756" spans="1:19" ht="15.75" customHeight="1">
      <c r="A756" s="68"/>
      <c r="B756" s="68"/>
      <c r="C756" s="180"/>
      <c r="D756" s="68"/>
      <c r="E756" s="194"/>
      <c r="F756" s="195"/>
      <c r="G756" s="195"/>
      <c r="H756" s="195"/>
      <c r="K756" s="68"/>
      <c r="M756" s="68"/>
      <c r="O756" s="68"/>
      <c r="P756" s="68"/>
      <c r="Q756" s="68"/>
      <c r="R756" s="68"/>
      <c r="S756" s="68"/>
    </row>
    <row r="757" spans="1:19" ht="15.75" customHeight="1">
      <c r="A757" s="68"/>
      <c r="B757" s="68"/>
      <c r="C757" s="180"/>
      <c r="D757" s="68"/>
      <c r="E757" s="194"/>
      <c r="F757" s="195"/>
      <c r="G757" s="195"/>
      <c r="H757" s="195"/>
      <c r="K757" s="68"/>
      <c r="M757" s="68"/>
      <c r="O757" s="68"/>
      <c r="P757" s="68"/>
      <c r="Q757" s="68"/>
      <c r="R757" s="68"/>
      <c r="S757" s="68"/>
    </row>
    <row r="758" spans="1:19" ht="15.75" customHeight="1">
      <c r="A758" s="68"/>
      <c r="B758" s="68"/>
      <c r="C758" s="180"/>
      <c r="D758" s="68"/>
      <c r="E758" s="194"/>
      <c r="F758" s="195"/>
      <c r="G758" s="195"/>
      <c r="H758" s="195"/>
      <c r="K758" s="68"/>
      <c r="M758" s="68"/>
      <c r="O758" s="68"/>
      <c r="P758" s="68"/>
      <c r="Q758" s="68"/>
      <c r="R758" s="68"/>
      <c r="S758" s="68"/>
    </row>
    <row r="759" spans="1:19" ht="15.75" customHeight="1">
      <c r="A759" s="68"/>
      <c r="B759" s="68"/>
      <c r="C759" s="180"/>
      <c r="D759" s="68"/>
      <c r="E759" s="194"/>
      <c r="F759" s="195"/>
      <c r="G759" s="195"/>
      <c r="H759" s="195"/>
      <c r="K759" s="68"/>
      <c r="M759" s="68"/>
      <c r="O759" s="68"/>
      <c r="P759" s="68"/>
      <c r="Q759" s="68"/>
      <c r="R759" s="68"/>
      <c r="S759" s="68"/>
    </row>
    <row r="760" spans="1:19" ht="15.75" customHeight="1">
      <c r="A760" s="68"/>
      <c r="B760" s="68"/>
      <c r="C760" s="180"/>
      <c r="D760" s="68"/>
      <c r="E760" s="194"/>
      <c r="F760" s="195"/>
      <c r="G760" s="195"/>
      <c r="H760" s="195"/>
      <c r="K760" s="68"/>
      <c r="M760" s="68"/>
      <c r="O760" s="68"/>
      <c r="P760" s="68"/>
      <c r="Q760" s="68"/>
      <c r="R760" s="68"/>
      <c r="S760" s="68"/>
    </row>
    <row r="761" spans="1:19" ht="15.75" customHeight="1">
      <c r="A761" s="68"/>
      <c r="B761" s="68"/>
      <c r="C761" s="180"/>
      <c r="D761" s="68"/>
      <c r="E761" s="194"/>
      <c r="F761" s="195"/>
      <c r="G761" s="195"/>
      <c r="H761" s="195"/>
      <c r="K761" s="68"/>
      <c r="M761" s="68"/>
      <c r="O761" s="68"/>
      <c r="P761" s="68"/>
      <c r="Q761" s="68"/>
      <c r="R761" s="68"/>
      <c r="S761" s="68"/>
    </row>
    <row r="762" spans="1:19" ht="15.75" customHeight="1">
      <c r="A762" s="68"/>
      <c r="B762" s="68"/>
      <c r="C762" s="180"/>
      <c r="D762" s="68"/>
      <c r="E762" s="194"/>
      <c r="F762" s="195"/>
      <c r="G762" s="195"/>
      <c r="H762" s="195"/>
      <c r="K762" s="68"/>
      <c r="M762" s="68"/>
      <c r="O762" s="68"/>
      <c r="P762" s="68"/>
      <c r="Q762" s="68"/>
      <c r="R762" s="68"/>
      <c r="S762" s="68"/>
    </row>
    <row r="763" spans="1:19" ht="15.75" customHeight="1">
      <c r="A763" s="68"/>
      <c r="B763" s="68"/>
      <c r="C763" s="180"/>
      <c r="D763" s="68"/>
      <c r="E763" s="194"/>
      <c r="F763" s="195"/>
      <c r="G763" s="195"/>
      <c r="H763" s="195"/>
      <c r="K763" s="68"/>
      <c r="M763" s="68"/>
      <c r="O763" s="68"/>
      <c r="P763" s="68"/>
      <c r="Q763" s="68"/>
      <c r="R763" s="68"/>
      <c r="S763" s="68"/>
    </row>
    <row r="764" spans="1:19" ht="15.75" customHeight="1">
      <c r="A764" s="68"/>
      <c r="B764" s="68"/>
      <c r="C764" s="180"/>
      <c r="D764" s="68"/>
      <c r="E764" s="194"/>
      <c r="F764" s="195"/>
      <c r="G764" s="195"/>
      <c r="H764" s="195"/>
      <c r="K764" s="68"/>
      <c r="M764" s="68"/>
      <c r="O764" s="68"/>
      <c r="P764" s="68"/>
      <c r="Q764" s="68"/>
      <c r="R764" s="68"/>
      <c r="S764" s="68"/>
    </row>
    <row r="765" spans="1:19" ht="15.75" customHeight="1">
      <c r="A765" s="68"/>
      <c r="B765" s="68"/>
      <c r="C765" s="180"/>
      <c r="D765" s="68"/>
      <c r="E765" s="194"/>
      <c r="F765" s="195"/>
      <c r="G765" s="195"/>
      <c r="H765" s="195"/>
      <c r="K765" s="68"/>
      <c r="M765" s="68"/>
      <c r="O765" s="68"/>
      <c r="P765" s="68"/>
      <c r="Q765" s="68"/>
      <c r="R765" s="68"/>
      <c r="S765" s="68"/>
    </row>
    <row r="766" spans="1:19" ht="15.75" customHeight="1">
      <c r="A766" s="68"/>
      <c r="B766" s="68"/>
      <c r="C766" s="180"/>
      <c r="D766" s="68"/>
      <c r="E766" s="194"/>
      <c r="F766" s="195"/>
      <c r="G766" s="195"/>
      <c r="H766" s="195"/>
      <c r="K766" s="68"/>
      <c r="M766" s="68"/>
      <c r="O766" s="68"/>
      <c r="P766" s="68"/>
      <c r="Q766" s="68"/>
      <c r="R766" s="68"/>
      <c r="S766" s="68"/>
    </row>
    <row r="767" spans="1:19" ht="15.75" customHeight="1">
      <c r="A767" s="68"/>
      <c r="B767" s="68"/>
      <c r="C767" s="180"/>
      <c r="D767" s="68"/>
      <c r="E767" s="194"/>
      <c r="F767" s="195"/>
      <c r="G767" s="195"/>
      <c r="H767" s="195"/>
      <c r="K767" s="68"/>
      <c r="M767" s="68"/>
      <c r="O767" s="68"/>
      <c r="P767" s="68"/>
      <c r="Q767" s="68"/>
      <c r="R767" s="68"/>
      <c r="S767" s="68"/>
    </row>
    <row r="768" spans="1:19" ht="15.75" customHeight="1">
      <c r="A768" s="68"/>
      <c r="B768" s="68"/>
      <c r="C768" s="180"/>
      <c r="D768" s="68"/>
      <c r="E768" s="194"/>
      <c r="F768" s="195"/>
      <c r="G768" s="195"/>
      <c r="H768" s="195"/>
      <c r="K768" s="68"/>
      <c r="M768" s="68"/>
      <c r="O768" s="68"/>
      <c r="P768" s="68"/>
      <c r="Q768" s="68"/>
      <c r="R768" s="68"/>
      <c r="S768" s="68"/>
    </row>
    <row r="769" spans="1:19" ht="15.75" customHeight="1">
      <c r="A769" s="68"/>
      <c r="B769" s="68"/>
      <c r="C769" s="180"/>
      <c r="D769" s="68"/>
      <c r="E769" s="194"/>
      <c r="F769" s="195"/>
      <c r="G769" s="195"/>
      <c r="H769" s="195"/>
      <c r="K769" s="68"/>
      <c r="M769" s="68"/>
      <c r="O769" s="68"/>
      <c r="P769" s="68"/>
      <c r="Q769" s="68"/>
      <c r="R769" s="68"/>
      <c r="S769" s="68"/>
    </row>
    <row r="770" spans="1:19" ht="15.75" customHeight="1">
      <c r="A770" s="68"/>
      <c r="B770" s="68"/>
      <c r="C770" s="180"/>
      <c r="D770" s="68"/>
      <c r="E770" s="194"/>
      <c r="F770" s="195"/>
      <c r="G770" s="195"/>
      <c r="H770" s="195"/>
      <c r="K770" s="68"/>
      <c r="M770" s="68"/>
      <c r="O770" s="68"/>
      <c r="P770" s="68"/>
      <c r="Q770" s="68"/>
      <c r="R770" s="68"/>
      <c r="S770" s="68"/>
    </row>
    <row r="771" spans="1:19" ht="15.75" customHeight="1">
      <c r="A771" s="68"/>
      <c r="B771" s="68"/>
      <c r="C771" s="180"/>
      <c r="D771" s="68"/>
      <c r="E771" s="194"/>
      <c r="F771" s="195"/>
      <c r="G771" s="195"/>
      <c r="H771" s="195"/>
      <c r="K771" s="68"/>
      <c r="M771" s="68"/>
      <c r="O771" s="68"/>
      <c r="P771" s="68"/>
      <c r="Q771" s="68"/>
      <c r="R771" s="68"/>
      <c r="S771" s="68"/>
    </row>
    <row r="772" spans="1:19" ht="15.75" customHeight="1">
      <c r="A772" s="68"/>
      <c r="B772" s="68"/>
      <c r="C772" s="180"/>
      <c r="D772" s="68"/>
      <c r="E772" s="194"/>
      <c r="F772" s="195"/>
      <c r="G772" s="195"/>
      <c r="H772" s="195"/>
      <c r="K772" s="68"/>
      <c r="M772" s="68"/>
      <c r="O772" s="68"/>
      <c r="P772" s="68"/>
      <c r="Q772" s="68"/>
      <c r="R772" s="68"/>
      <c r="S772" s="68"/>
    </row>
    <row r="773" spans="1:19" ht="15.75" customHeight="1">
      <c r="A773" s="68"/>
      <c r="B773" s="68"/>
      <c r="C773" s="180"/>
      <c r="D773" s="68"/>
      <c r="E773" s="194"/>
      <c r="F773" s="195"/>
      <c r="G773" s="195"/>
      <c r="H773" s="195"/>
      <c r="K773" s="68"/>
      <c r="M773" s="68"/>
      <c r="O773" s="68"/>
      <c r="P773" s="68"/>
      <c r="Q773" s="68"/>
      <c r="R773" s="68"/>
      <c r="S773" s="68"/>
    </row>
    <row r="774" spans="1:19" ht="15.75" customHeight="1">
      <c r="A774" s="68"/>
      <c r="B774" s="68"/>
      <c r="C774" s="180"/>
      <c r="D774" s="68"/>
      <c r="E774" s="194"/>
      <c r="F774" s="195"/>
      <c r="G774" s="195"/>
      <c r="H774" s="195"/>
      <c r="K774" s="68"/>
      <c r="M774" s="68"/>
      <c r="O774" s="68"/>
      <c r="P774" s="68"/>
      <c r="Q774" s="68"/>
      <c r="R774" s="68"/>
      <c r="S774" s="68"/>
    </row>
    <row r="775" spans="1:19" ht="15.75" customHeight="1">
      <c r="A775" s="68"/>
      <c r="B775" s="68"/>
      <c r="C775" s="180"/>
      <c r="D775" s="68"/>
      <c r="E775" s="194"/>
      <c r="F775" s="195"/>
      <c r="G775" s="195"/>
      <c r="H775" s="195"/>
      <c r="K775" s="68"/>
      <c r="M775" s="68"/>
      <c r="O775" s="68"/>
      <c r="P775" s="68"/>
      <c r="Q775" s="68"/>
      <c r="R775" s="68"/>
      <c r="S775" s="68"/>
    </row>
    <row r="776" spans="1:19" ht="15.75" customHeight="1">
      <c r="A776" s="68"/>
      <c r="B776" s="68"/>
      <c r="C776" s="180"/>
      <c r="D776" s="68"/>
      <c r="E776" s="194"/>
      <c r="F776" s="195"/>
      <c r="G776" s="195"/>
      <c r="H776" s="195"/>
      <c r="K776" s="68"/>
      <c r="M776" s="68"/>
      <c r="O776" s="68"/>
      <c r="P776" s="68"/>
      <c r="Q776" s="68"/>
      <c r="R776" s="68"/>
      <c r="S776" s="68"/>
    </row>
    <row r="777" spans="1:19" ht="15.75" customHeight="1">
      <c r="A777" s="68"/>
      <c r="B777" s="68"/>
      <c r="C777" s="180"/>
      <c r="D777" s="68"/>
      <c r="E777" s="194"/>
      <c r="F777" s="195"/>
      <c r="G777" s="195"/>
      <c r="H777" s="195"/>
      <c r="K777" s="68"/>
      <c r="M777" s="68"/>
      <c r="O777" s="68"/>
      <c r="P777" s="68"/>
      <c r="Q777" s="68"/>
      <c r="R777" s="68"/>
      <c r="S777" s="68"/>
    </row>
    <row r="778" spans="1:19" ht="15.75" customHeight="1">
      <c r="A778" s="68"/>
      <c r="B778" s="68"/>
      <c r="C778" s="180"/>
      <c r="D778" s="68"/>
      <c r="E778" s="194"/>
      <c r="F778" s="195"/>
      <c r="G778" s="195"/>
      <c r="H778" s="195"/>
      <c r="K778" s="68"/>
      <c r="M778" s="68"/>
      <c r="O778" s="68"/>
      <c r="P778" s="68"/>
      <c r="Q778" s="68"/>
      <c r="R778" s="68"/>
      <c r="S778" s="68"/>
    </row>
    <row r="779" spans="1:19" ht="15.75" customHeight="1">
      <c r="A779" s="68"/>
      <c r="B779" s="68"/>
      <c r="C779" s="180"/>
      <c r="D779" s="68"/>
      <c r="E779" s="194"/>
      <c r="F779" s="195"/>
      <c r="G779" s="195"/>
      <c r="H779" s="195"/>
      <c r="K779" s="68"/>
      <c r="M779" s="68"/>
      <c r="O779" s="68"/>
      <c r="P779" s="68"/>
      <c r="Q779" s="68"/>
      <c r="R779" s="68"/>
      <c r="S779" s="68"/>
    </row>
    <row r="780" spans="1:19" ht="15.75" customHeight="1">
      <c r="A780" s="68"/>
      <c r="B780" s="68"/>
      <c r="C780" s="180"/>
      <c r="D780" s="68"/>
      <c r="E780" s="194"/>
      <c r="F780" s="195"/>
      <c r="G780" s="195"/>
      <c r="H780" s="195"/>
      <c r="K780" s="68"/>
      <c r="M780" s="68"/>
      <c r="O780" s="68"/>
      <c r="P780" s="68"/>
      <c r="Q780" s="68"/>
      <c r="R780" s="68"/>
      <c r="S780" s="68"/>
    </row>
    <row r="781" spans="1:19" ht="15.75" customHeight="1">
      <c r="A781" s="68"/>
      <c r="B781" s="68"/>
      <c r="C781" s="180"/>
      <c r="D781" s="68"/>
      <c r="E781" s="194"/>
      <c r="F781" s="195"/>
      <c r="G781" s="195"/>
      <c r="H781" s="195"/>
      <c r="K781" s="68"/>
      <c r="M781" s="68"/>
      <c r="O781" s="68"/>
      <c r="P781" s="68"/>
      <c r="Q781" s="68"/>
      <c r="R781" s="68"/>
      <c r="S781" s="68"/>
    </row>
    <row r="782" spans="1:19" ht="15.75" customHeight="1">
      <c r="A782" s="68"/>
      <c r="B782" s="68"/>
      <c r="C782" s="180"/>
      <c r="D782" s="68"/>
      <c r="E782" s="194"/>
      <c r="F782" s="195"/>
      <c r="G782" s="195"/>
      <c r="H782" s="195"/>
      <c r="K782" s="68"/>
      <c r="M782" s="68"/>
      <c r="O782" s="68"/>
      <c r="P782" s="68"/>
      <c r="Q782" s="68"/>
      <c r="R782" s="68"/>
      <c r="S782" s="68"/>
    </row>
    <row r="783" spans="1:19" ht="15.75" customHeight="1">
      <c r="A783" s="68"/>
      <c r="B783" s="68"/>
      <c r="C783" s="180"/>
      <c r="D783" s="68"/>
      <c r="E783" s="194"/>
      <c r="F783" s="195"/>
      <c r="G783" s="195"/>
      <c r="H783" s="195"/>
      <c r="K783" s="68"/>
      <c r="M783" s="68"/>
      <c r="O783" s="68"/>
      <c r="P783" s="68"/>
      <c r="Q783" s="68"/>
      <c r="R783" s="68"/>
      <c r="S783" s="68"/>
    </row>
    <row r="784" spans="1:19" ht="15.75" customHeight="1">
      <c r="A784" s="68"/>
      <c r="B784" s="68"/>
      <c r="C784" s="180"/>
      <c r="D784" s="68"/>
      <c r="E784" s="194"/>
      <c r="F784" s="195"/>
      <c r="G784" s="195"/>
      <c r="H784" s="195"/>
      <c r="K784" s="68"/>
      <c r="M784" s="68"/>
      <c r="O784" s="68"/>
      <c r="P784" s="68"/>
      <c r="Q784" s="68"/>
      <c r="R784" s="68"/>
      <c r="S784" s="68"/>
    </row>
    <row r="785" spans="1:19" ht="15.75" customHeight="1">
      <c r="A785" s="68"/>
      <c r="B785" s="68"/>
      <c r="C785" s="180"/>
      <c r="D785" s="68"/>
      <c r="E785" s="194"/>
      <c r="F785" s="195"/>
      <c r="G785" s="195"/>
      <c r="H785" s="195"/>
      <c r="K785" s="68"/>
      <c r="M785" s="68"/>
      <c r="O785" s="68"/>
      <c r="P785" s="68"/>
      <c r="Q785" s="68"/>
      <c r="R785" s="68"/>
      <c r="S785" s="68"/>
    </row>
    <row r="786" spans="1:19" ht="15.75" customHeight="1">
      <c r="A786" s="68"/>
      <c r="B786" s="68"/>
      <c r="C786" s="180"/>
      <c r="D786" s="68"/>
      <c r="E786" s="194"/>
      <c r="F786" s="195"/>
      <c r="G786" s="195"/>
      <c r="H786" s="195"/>
      <c r="K786" s="68"/>
      <c r="M786" s="68"/>
      <c r="O786" s="68"/>
      <c r="P786" s="68"/>
      <c r="Q786" s="68"/>
      <c r="R786" s="68"/>
      <c r="S786" s="68"/>
    </row>
    <row r="787" spans="1:19" ht="15.75" customHeight="1">
      <c r="A787" s="68"/>
      <c r="B787" s="68"/>
      <c r="C787" s="180"/>
      <c r="D787" s="68"/>
      <c r="E787" s="194"/>
      <c r="F787" s="195"/>
      <c r="G787" s="195"/>
      <c r="H787" s="195"/>
      <c r="K787" s="68"/>
      <c r="M787" s="68"/>
      <c r="O787" s="68"/>
      <c r="P787" s="68"/>
      <c r="Q787" s="68"/>
      <c r="R787" s="68"/>
      <c r="S787" s="68"/>
    </row>
    <row r="788" spans="1:19" ht="15.75" customHeight="1">
      <c r="A788" s="68"/>
      <c r="B788" s="68"/>
      <c r="C788" s="180"/>
      <c r="D788" s="68"/>
      <c r="E788" s="194"/>
      <c r="F788" s="195"/>
      <c r="G788" s="195"/>
      <c r="H788" s="195"/>
      <c r="K788" s="68"/>
      <c r="M788" s="68"/>
      <c r="O788" s="68"/>
      <c r="P788" s="68"/>
      <c r="Q788" s="68"/>
      <c r="R788" s="68"/>
      <c r="S788" s="68"/>
    </row>
    <row r="789" spans="1:19" ht="15.75" customHeight="1">
      <c r="A789" s="68"/>
      <c r="B789" s="68"/>
      <c r="C789" s="180"/>
      <c r="D789" s="68"/>
      <c r="E789" s="194"/>
      <c r="F789" s="195"/>
      <c r="G789" s="195"/>
      <c r="H789" s="195"/>
      <c r="K789" s="68"/>
      <c r="M789" s="68"/>
      <c r="O789" s="68"/>
      <c r="P789" s="68"/>
      <c r="Q789" s="68"/>
      <c r="R789" s="68"/>
      <c r="S789" s="68"/>
    </row>
    <row r="790" spans="1:19" ht="15.75" customHeight="1">
      <c r="A790" s="68"/>
      <c r="B790" s="68"/>
      <c r="C790" s="180"/>
      <c r="D790" s="68"/>
      <c r="E790" s="194"/>
      <c r="F790" s="195"/>
      <c r="G790" s="195"/>
      <c r="H790" s="195"/>
      <c r="K790" s="68"/>
      <c r="M790" s="68"/>
      <c r="O790" s="68"/>
      <c r="P790" s="68"/>
      <c r="Q790" s="68"/>
      <c r="R790" s="68"/>
      <c r="S790" s="68"/>
    </row>
    <row r="791" spans="1:19" ht="15.75" customHeight="1">
      <c r="A791" s="68"/>
      <c r="B791" s="68"/>
      <c r="C791" s="180"/>
      <c r="D791" s="68"/>
      <c r="E791" s="194"/>
      <c r="F791" s="195"/>
      <c r="G791" s="195"/>
      <c r="H791" s="195"/>
      <c r="K791" s="68"/>
      <c r="M791" s="68"/>
      <c r="O791" s="68"/>
      <c r="P791" s="68"/>
      <c r="Q791" s="68"/>
      <c r="R791" s="68"/>
      <c r="S791" s="68"/>
    </row>
    <row r="792" spans="1:19" ht="15.75" customHeight="1">
      <c r="A792" s="68"/>
      <c r="B792" s="68"/>
      <c r="C792" s="180"/>
      <c r="D792" s="68"/>
      <c r="E792" s="194"/>
      <c r="F792" s="195"/>
      <c r="G792" s="195"/>
      <c r="H792" s="195"/>
      <c r="K792" s="68"/>
      <c r="M792" s="68"/>
      <c r="O792" s="68"/>
      <c r="P792" s="68"/>
      <c r="Q792" s="68"/>
      <c r="R792" s="68"/>
      <c r="S792" s="68"/>
    </row>
    <row r="793" spans="1:19" ht="15.75" customHeight="1">
      <c r="A793" s="68"/>
      <c r="B793" s="68"/>
      <c r="C793" s="180"/>
      <c r="D793" s="68"/>
      <c r="E793" s="194"/>
      <c r="F793" s="195"/>
      <c r="G793" s="195"/>
      <c r="H793" s="195"/>
      <c r="K793" s="68"/>
      <c r="M793" s="68"/>
      <c r="O793" s="68"/>
      <c r="P793" s="68"/>
      <c r="Q793" s="68"/>
      <c r="R793" s="68"/>
      <c r="S793" s="68"/>
    </row>
    <row r="794" spans="1:19" ht="15.75" customHeight="1">
      <c r="A794" s="68"/>
      <c r="B794" s="68"/>
      <c r="C794" s="180"/>
      <c r="D794" s="68"/>
      <c r="E794" s="194"/>
      <c r="F794" s="195"/>
      <c r="G794" s="195"/>
      <c r="H794" s="195"/>
      <c r="K794" s="68"/>
      <c r="M794" s="68"/>
      <c r="O794" s="68"/>
      <c r="P794" s="68"/>
      <c r="Q794" s="68"/>
      <c r="R794" s="68"/>
      <c r="S794" s="68"/>
    </row>
    <row r="795" spans="1:19" ht="15.75" customHeight="1">
      <c r="A795" s="68"/>
      <c r="B795" s="68"/>
      <c r="C795" s="180"/>
      <c r="D795" s="68"/>
      <c r="E795" s="194"/>
      <c r="F795" s="195"/>
      <c r="G795" s="195"/>
      <c r="H795" s="195"/>
      <c r="K795" s="68"/>
      <c r="M795" s="68"/>
      <c r="O795" s="68"/>
      <c r="P795" s="68"/>
      <c r="Q795" s="68"/>
      <c r="R795" s="68"/>
      <c r="S795" s="68"/>
    </row>
    <row r="796" spans="1:19" ht="15.75" customHeight="1">
      <c r="A796" s="68"/>
      <c r="B796" s="68"/>
      <c r="C796" s="180"/>
      <c r="D796" s="68"/>
      <c r="E796" s="194"/>
      <c r="F796" s="195"/>
      <c r="G796" s="195"/>
      <c r="H796" s="195"/>
      <c r="K796" s="68"/>
      <c r="M796" s="68"/>
      <c r="O796" s="68"/>
      <c r="P796" s="68"/>
      <c r="Q796" s="68"/>
      <c r="R796" s="68"/>
      <c r="S796" s="68"/>
    </row>
    <row r="797" spans="1:19" ht="15.75" customHeight="1">
      <c r="A797" s="68"/>
      <c r="B797" s="68"/>
      <c r="C797" s="180"/>
      <c r="D797" s="68"/>
      <c r="E797" s="194"/>
      <c r="F797" s="195"/>
      <c r="G797" s="195"/>
      <c r="H797" s="195"/>
      <c r="K797" s="68"/>
      <c r="M797" s="68"/>
      <c r="O797" s="68"/>
      <c r="P797" s="68"/>
      <c r="Q797" s="68"/>
      <c r="R797" s="68"/>
      <c r="S797" s="68"/>
    </row>
    <row r="798" spans="1:19" ht="15.75" customHeight="1">
      <c r="A798" s="68"/>
      <c r="B798" s="68"/>
      <c r="C798" s="180"/>
      <c r="D798" s="68"/>
      <c r="E798" s="194"/>
      <c r="F798" s="195"/>
      <c r="G798" s="195"/>
      <c r="H798" s="195"/>
      <c r="K798" s="68"/>
      <c r="M798" s="68"/>
      <c r="O798" s="68"/>
      <c r="P798" s="68"/>
      <c r="Q798" s="68"/>
      <c r="R798" s="68"/>
      <c r="S798" s="68"/>
    </row>
    <row r="799" spans="1:19" ht="15.75" customHeight="1">
      <c r="A799" s="68"/>
      <c r="B799" s="68"/>
      <c r="C799" s="180"/>
      <c r="D799" s="68"/>
      <c r="E799" s="194"/>
      <c r="F799" s="195"/>
      <c r="G799" s="195"/>
      <c r="H799" s="195"/>
      <c r="K799" s="68"/>
      <c r="M799" s="68"/>
      <c r="O799" s="68"/>
      <c r="P799" s="68"/>
      <c r="Q799" s="68"/>
      <c r="R799" s="68"/>
      <c r="S799" s="68"/>
    </row>
    <row r="800" spans="1:19" ht="15.75" customHeight="1">
      <c r="A800" s="68"/>
      <c r="B800" s="68"/>
      <c r="C800" s="180"/>
      <c r="D800" s="68"/>
      <c r="E800" s="194"/>
      <c r="F800" s="195"/>
      <c r="G800" s="195"/>
      <c r="H800" s="195"/>
      <c r="K800" s="68"/>
      <c r="M800" s="68"/>
      <c r="O800" s="68"/>
      <c r="P800" s="68"/>
      <c r="Q800" s="68"/>
      <c r="R800" s="68"/>
      <c r="S800" s="68"/>
    </row>
    <row r="801" spans="1:19" ht="15.75" customHeight="1">
      <c r="A801" s="68"/>
      <c r="B801" s="68"/>
      <c r="C801" s="180"/>
      <c r="D801" s="68"/>
      <c r="E801" s="194"/>
      <c r="F801" s="195"/>
      <c r="G801" s="195"/>
      <c r="H801" s="195"/>
      <c r="K801" s="68"/>
      <c r="M801" s="68"/>
      <c r="O801" s="68"/>
      <c r="P801" s="68"/>
      <c r="Q801" s="68"/>
      <c r="R801" s="68"/>
      <c r="S801" s="68"/>
    </row>
    <row r="802" spans="1:19" ht="15.75" customHeight="1">
      <c r="A802" s="68"/>
      <c r="B802" s="68"/>
      <c r="C802" s="180"/>
      <c r="D802" s="68"/>
      <c r="E802" s="194"/>
      <c r="F802" s="195"/>
      <c r="G802" s="195"/>
      <c r="H802" s="195"/>
      <c r="K802" s="68"/>
      <c r="M802" s="68"/>
      <c r="O802" s="68"/>
      <c r="P802" s="68"/>
      <c r="Q802" s="68"/>
      <c r="R802" s="68"/>
      <c r="S802" s="68"/>
    </row>
    <row r="803" spans="1:19" ht="15.75" customHeight="1">
      <c r="A803" s="68"/>
      <c r="B803" s="68"/>
      <c r="C803" s="180"/>
      <c r="D803" s="68"/>
      <c r="E803" s="194"/>
      <c r="F803" s="195"/>
      <c r="G803" s="195"/>
      <c r="H803" s="195"/>
      <c r="K803" s="68"/>
      <c r="M803" s="68"/>
      <c r="O803" s="68"/>
      <c r="P803" s="68"/>
      <c r="Q803" s="68"/>
      <c r="R803" s="68"/>
      <c r="S803" s="68"/>
    </row>
    <row r="804" spans="1:19" ht="15.75" customHeight="1">
      <c r="A804" s="68"/>
      <c r="B804" s="68"/>
      <c r="C804" s="180"/>
      <c r="D804" s="68"/>
      <c r="E804" s="194"/>
      <c r="F804" s="195"/>
      <c r="G804" s="195"/>
      <c r="H804" s="195"/>
      <c r="K804" s="68"/>
      <c r="M804" s="68"/>
      <c r="O804" s="68"/>
      <c r="P804" s="68"/>
      <c r="Q804" s="68"/>
      <c r="R804" s="68"/>
      <c r="S804" s="68"/>
    </row>
    <row r="805" spans="1:19" ht="15.75" customHeight="1">
      <c r="A805" s="68"/>
      <c r="B805" s="68"/>
      <c r="C805" s="180"/>
      <c r="D805" s="68"/>
      <c r="E805" s="194"/>
      <c r="F805" s="195"/>
      <c r="G805" s="195"/>
      <c r="H805" s="195"/>
      <c r="K805" s="68"/>
      <c r="M805" s="68"/>
      <c r="O805" s="68"/>
      <c r="P805" s="68"/>
      <c r="Q805" s="68"/>
      <c r="R805" s="68"/>
      <c r="S805" s="68"/>
    </row>
    <row r="806" spans="1:19" ht="15.75" customHeight="1">
      <c r="A806" s="68"/>
      <c r="B806" s="68"/>
      <c r="C806" s="180"/>
      <c r="D806" s="68"/>
      <c r="E806" s="194"/>
      <c r="F806" s="195"/>
      <c r="G806" s="195"/>
      <c r="H806" s="195"/>
      <c r="K806" s="68"/>
      <c r="M806" s="68"/>
      <c r="O806" s="68"/>
      <c r="P806" s="68"/>
      <c r="Q806" s="68"/>
      <c r="R806" s="68"/>
      <c r="S806" s="68"/>
    </row>
    <row r="807" spans="1:19" ht="15.75" customHeight="1">
      <c r="A807" s="68"/>
      <c r="B807" s="68"/>
      <c r="C807" s="180"/>
      <c r="D807" s="68"/>
      <c r="E807" s="194"/>
      <c r="F807" s="195"/>
      <c r="G807" s="195"/>
      <c r="H807" s="195"/>
      <c r="K807" s="68"/>
      <c r="M807" s="68"/>
      <c r="O807" s="68"/>
      <c r="P807" s="68"/>
      <c r="Q807" s="68"/>
      <c r="R807" s="68"/>
      <c r="S807" s="68"/>
    </row>
    <row r="808" spans="1:19" ht="15.75" customHeight="1">
      <c r="A808" s="68"/>
      <c r="B808" s="68"/>
      <c r="C808" s="180"/>
      <c r="D808" s="68"/>
      <c r="E808" s="194"/>
      <c r="F808" s="195"/>
      <c r="G808" s="195"/>
      <c r="H808" s="195"/>
      <c r="K808" s="68"/>
      <c r="M808" s="68"/>
      <c r="O808" s="68"/>
      <c r="P808" s="68"/>
      <c r="Q808" s="68"/>
      <c r="R808" s="68"/>
      <c r="S808" s="68"/>
    </row>
    <row r="809" spans="1:19" ht="15.75" customHeight="1">
      <c r="A809" s="68"/>
      <c r="B809" s="68"/>
      <c r="C809" s="180"/>
      <c r="D809" s="68"/>
      <c r="E809" s="194"/>
      <c r="F809" s="195"/>
      <c r="G809" s="195"/>
      <c r="H809" s="195"/>
      <c r="K809" s="68"/>
      <c r="M809" s="68"/>
      <c r="O809" s="68"/>
      <c r="P809" s="68"/>
      <c r="Q809" s="68"/>
      <c r="R809" s="68"/>
      <c r="S809" s="68"/>
    </row>
    <row r="810" spans="1:19" ht="15.75" customHeight="1">
      <c r="A810" s="68"/>
      <c r="B810" s="68"/>
      <c r="C810" s="180"/>
      <c r="D810" s="68"/>
      <c r="E810" s="194"/>
      <c r="F810" s="195"/>
      <c r="G810" s="195"/>
      <c r="H810" s="195"/>
      <c r="K810" s="68"/>
      <c r="M810" s="68"/>
      <c r="O810" s="68"/>
      <c r="P810" s="68"/>
      <c r="Q810" s="68"/>
      <c r="R810" s="68"/>
      <c r="S810" s="68"/>
    </row>
    <row r="811" spans="1:19" ht="15.75" customHeight="1">
      <c r="A811" s="68"/>
      <c r="B811" s="68"/>
      <c r="C811" s="180"/>
      <c r="D811" s="68"/>
      <c r="E811" s="194"/>
      <c r="F811" s="195"/>
      <c r="G811" s="195"/>
      <c r="H811" s="195"/>
      <c r="K811" s="68"/>
      <c r="M811" s="68"/>
      <c r="O811" s="68"/>
      <c r="P811" s="68"/>
      <c r="Q811" s="68"/>
      <c r="R811" s="68"/>
      <c r="S811" s="68"/>
    </row>
    <row r="812" spans="1:19" ht="15.75" customHeight="1">
      <c r="A812" s="68"/>
      <c r="B812" s="68"/>
      <c r="C812" s="180"/>
      <c r="D812" s="68"/>
      <c r="E812" s="194"/>
      <c r="F812" s="195"/>
      <c r="G812" s="195"/>
      <c r="H812" s="195"/>
      <c r="K812" s="68"/>
      <c r="M812" s="68"/>
      <c r="O812" s="68"/>
      <c r="P812" s="68"/>
      <c r="Q812" s="68"/>
      <c r="R812" s="68"/>
      <c r="S812" s="68"/>
    </row>
    <row r="813" spans="1:19" ht="15.75" customHeight="1">
      <c r="A813" s="68"/>
      <c r="B813" s="68"/>
      <c r="C813" s="180"/>
      <c r="D813" s="68"/>
      <c r="E813" s="194"/>
      <c r="F813" s="195"/>
      <c r="G813" s="195"/>
      <c r="H813" s="195"/>
      <c r="K813" s="68"/>
      <c r="M813" s="68"/>
      <c r="O813" s="68"/>
      <c r="P813" s="68"/>
      <c r="Q813" s="68"/>
      <c r="R813" s="68"/>
      <c r="S813" s="68"/>
    </row>
    <row r="814" spans="1:19" ht="15.75" customHeight="1">
      <c r="A814" s="68"/>
      <c r="B814" s="68"/>
      <c r="C814" s="180"/>
      <c r="D814" s="68"/>
      <c r="E814" s="194"/>
      <c r="F814" s="195"/>
      <c r="G814" s="195"/>
      <c r="H814" s="195"/>
      <c r="K814" s="68"/>
      <c r="M814" s="68"/>
      <c r="O814" s="68"/>
      <c r="P814" s="68"/>
      <c r="Q814" s="68"/>
      <c r="R814" s="68"/>
      <c r="S814" s="68"/>
    </row>
    <row r="815" spans="1:19" ht="15.75" customHeight="1">
      <c r="A815" s="68"/>
      <c r="B815" s="68"/>
      <c r="C815" s="180"/>
      <c r="D815" s="68"/>
      <c r="E815" s="194"/>
      <c r="F815" s="195"/>
      <c r="G815" s="195"/>
      <c r="H815" s="195"/>
      <c r="K815" s="68"/>
      <c r="M815" s="68"/>
      <c r="O815" s="68"/>
      <c r="P815" s="68"/>
      <c r="Q815" s="68"/>
      <c r="R815" s="68"/>
      <c r="S815" s="68"/>
    </row>
    <row r="816" spans="1:19" ht="15.75" customHeight="1">
      <c r="A816" s="68"/>
      <c r="B816" s="68"/>
      <c r="C816" s="180"/>
      <c r="D816" s="68"/>
      <c r="E816" s="194"/>
      <c r="F816" s="195"/>
      <c r="G816" s="195"/>
      <c r="H816" s="195"/>
      <c r="K816" s="68"/>
      <c r="M816" s="68"/>
      <c r="O816" s="68"/>
      <c r="P816" s="68"/>
      <c r="Q816" s="68"/>
      <c r="R816" s="68"/>
      <c r="S816" s="68"/>
    </row>
    <row r="817" spans="1:19" ht="15.75" customHeight="1">
      <c r="A817" s="68"/>
      <c r="B817" s="68"/>
      <c r="C817" s="180"/>
      <c r="D817" s="68"/>
      <c r="E817" s="194"/>
      <c r="F817" s="195"/>
      <c r="G817" s="195"/>
      <c r="H817" s="195"/>
      <c r="K817" s="68"/>
      <c r="M817" s="68"/>
      <c r="O817" s="68"/>
      <c r="P817" s="68"/>
      <c r="Q817" s="68"/>
      <c r="R817" s="68"/>
      <c r="S817" s="68"/>
    </row>
    <row r="818" spans="1:19" ht="15.75" customHeight="1">
      <c r="A818" s="68"/>
      <c r="B818" s="68"/>
      <c r="C818" s="180"/>
      <c r="D818" s="68"/>
      <c r="E818" s="194"/>
      <c r="F818" s="195"/>
      <c r="G818" s="195"/>
      <c r="H818" s="195"/>
      <c r="K818" s="68"/>
      <c r="M818" s="68"/>
      <c r="O818" s="68"/>
      <c r="P818" s="68"/>
      <c r="Q818" s="68"/>
      <c r="R818" s="68"/>
      <c r="S818" s="68"/>
    </row>
    <row r="819" spans="1:19" ht="15.75" customHeight="1">
      <c r="A819" s="68"/>
      <c r="B819" s="68"/>
      <c r="C819" s="180"/>
      <c r="D819" s="68"/>
      <c r="E819" s="194"/>
      <c r="F819" s="195"/>
      <c r="G819" s="195"/>
      <c r="H819" s="195"/>
      <c r="K819" s="68"/>
      <c r="M819" s="68"/>
      <c r="O819" s="68"/>
      <c r="P819" s="68"/>
      <c r="Q819" s="68"/>
      <c r="R819" s="68"/>
      <c r="S819" s="68"/>
    </row>
    <row r="820" spans="1:19" ht="15.75" customHeight="1">
      <c r="A820" s="68"/>
      <c r="B820" s="68"/>
      <c r="C820" s="180"/>
      <c r="D820" s="68"/>
      <c r="E820" s="194"/>
      <c r="F820" s="195"/>
      <c r="G820" s="195"/>
      <c r="H820" s="195"/>
      <c r="K820" s="68"/>
      <c r="M820" s="68"/>
      <c r="O820" s="68"/>
      <c r="P820" s="68"/>
      <c r="Q820" s="68"/>
      <c r="R820" s="68"/>
      <c r="S820" s="68"/>
    </row>
    <row r="821" spans="1:19" ht="15.75" customHeight="1">
      <c r="A821" s="68"/>
      <c r="B821" s="68"/>
      <c r="C821" s="180"/>
      <c r="D821" s="68"/>
      <c r="E821" s="194"/>
      <c r="F821" s="195"/>
      <c r="G821" s="195"/>
      <c r="H821" s="195"/>
      <c r="K821" s="68"/>
      <c r="M821" s="68"/>
      <c r="O821" s="68"/>
      <c r="P821" s="68"/>
      <c r="Q821" s="68"/>
      <c r="R821" s="68"/>
      <c r="S821" s="68"/>
    </row>
    <row r="822" spans="1:19" ht="15.75" customHeight="1">
      <c r="A822" s="68"/>
      <c r="B822" s="68"/>
      <c r="C822" s="180"/>
      <c r="D822" s="68"/>
      <c r="E822" s="194"/>
      <c r="F822" s="195"/>
      <c r="G822" s="195"/>
      <c r="H822" s="195"/>
      <c r="K822" s="68"/>
      <c r="M822" s="68"/>
      <c r="O822" s="68"/>
      <c r="P822" s="68"/>
      <c r="Q822" s="68"/>
      <c r="R822" s="68"/>
      <c r="S822" s="68"/>
    </row>
    <row r="823" spans="1:19" ht="15.75" customHeight="1">
      <c r="A823" s="68"/>
      <c r="B823" s="68"/>
      <c r="C823" s="180"/>
      <c r="D823" s="68"/>
      <c r="E823" s="194"/>
      <c r="F823" s="195"/>
      <c r="G823" s="195"/>
      <c r="H823" s="195"/>
      <c r="K823" s="68"/>
      <c r="M823" s="68"/>
      <c r="O823" s="68"/>
      <c r="P823" s="68"/>
      <c r="Q823" s="68"/>
      <c r="R823" s="68"/>
      <c r="S823" s="68"/>
    </row>
    <row r="824" spans="1:19" ht="15.75" customHeight="1">
      <c r="A824" s="68"/>
      <c r="B824" s="68"/>
      <c r="C824" s="180"/>
      <c r="D824" s="68"/>
      <c r="E824" s="194"/>
      <c r="F824" s="195"/>
      <c r="G824" s="195"/>
      <c r="H824" s="195"/>
      <c r="K824" s="68"/>
      <c r="M824" s="68"/>
      <c r="O824" s="68"/>
      <c r="P824" s="68"/>
      <c r="Q824" s="68"/>
      <c r="R824" s="68"/>
      <c r="S824" s="68"/>
    </row>
    <row r="825" spans="1:19" ht="15.75" customHeight="1">
      <c r="A825" s="68"/>
      <c r="B825" s="68"/>
      <c r="C825" s="180"/>
      <c r="D825" s="68"/>
      <c r="E825" s="194"/>
      <c r="F825" s="195"/>
      <c r="G825" s="195"/>
      <c r="H825" s="195"/>
      <c r="K825" s="68"/>
      <c r="M825" s="68"/>
      <c r="O825" s="68"/>
      <c r="P825" s="68"/>
      <c r="Q825" s="68"/>
      <c r="R825" s="68"/>
      <c r="S825" s="68"/>
    </row>
    <row r="826" spans="1:19" ht="15.75" customHeight="1">
      <c r="A826" s="68"/>
      <c r="B826" s="68"/>
      <c r="C826" s="180"/>
      <c r="D826" s="68"/>
      <c r="E826" s="194"/>
      <c r="F826" s="195"/>
      <c r="G826" s="195"/>
      <c r="H826" s="195"/>
      <c r="K826" s="68"/>
      <c r="M826" s="68"/>
      <c r="O826" s="68"/>
      <c r="P826" s="68"/>
      <c r="Q826" s="68"/>
      <c r="R826" s="68"/>
      <c r="S826" s="68"/>
    </row>
    <row r="827" spans="1:19" ht="15.75" customHeight="1">
      <c r="A827" s="68"/>
      <c r="B827" s="68"/>
      <c r="C827" s="180"/>
      <c r="D827" s="68"/>
      <c r="E827" s="194"/>
      <c r="F827" s="195"/>
      <c r="G827" s="195"/>
      <c r="H827" s="195"/>
      <c r="K827" s="68"/>
      <c r="M827" s="68"/>
      <c r="O827" s="68"/>
      <c r="P827" s="68"/>
      <c r="Q827" s="68"/>
      <c r="R827" s="68"/>
      <c r="S827" s="68"/>
    </row>
    <row r="828" spans="1:19" ht="15.75" customHeight="1">
      <c r="A828" s="68"/>
      <c r="B828" s="68"/>
      <c r="C828" s="180"/>
      <c r="D828" s="68"/>
      <c r="E828" s="194"/>
      <c r="F828" s="195"/>
      <c r="G828" s="195"/>
      <c r="H828" s="195"/>
      <c r="K828" s="68"/>
      <c r="M828" s="68"/>
      <c r="O828" s="68"/>
      <c r="P828" s="68"/>
      <c r="Q828" s="68"/>
      <c r="R828" s="68"/>
      <c r="S828" s="68"/>
    </row>
    <row r="829" spans="1:19" ht="15.75" customHeight="1">
      <c r="A829" s="68"/>
      <c r="B829" s="68"/>
      <c r="C829" s="180"/>
      <c r="D829" s="68"/>
      <c r="E829" s="194"/>
      <c r="F829" s="195"/>
      <c r="G829" s="195"/>
      <c r="H829" s="195"/>
      <c r="K829" s="68"/>
      <c r="M829" s="68"/>
      <c r="O829" s="68"/>
      <c r="P829" s="68"/>
      <c r="Q829" s="68"/>
      <c r="R829" s="68"/>
      <c r="S829" s="68"/>
    </row>
    <row r="830" spans="1:19" ht="15.75" customHeight="1">
      <c r="A830" s="68"/>
      <c r="B830" s="68"/>
      <c r="C830" s="180"/>
      <c r="D830" s="68"/>
      <c r="E830" s="194"/>
      <c r="F830" s="195"/>
      <c r="G830" s="195"/>
      <c r="H830" s="195"/>
      <c r="K830" s="68"/>
      <c r="M830" s="68"/>
      <c r="O830" s="68"/>
      <c r="P830" s="68"/>
      <c r="Q830" s="68"/>
      <c r="R830" s="68"/>
      <c r="S830" s="68"/>
    </row>
    <row r="831" spans="1:19" ht="15.75" customHeight="1">
      <c r="A831" s="68"/>
      <c r="B831" s="68"/>
      <c r="C831" s="180"/>
      <c r="D831" s="68"/>
      <c r="E831" s="194"/>
      <c r="F831" s="195"/>
      <c r="G831" s="195"/>
      <c r="H831" s="195"/>
      <c r="K831" s="68"/>
      <c r="M831" s="68"/>
      <c r="O831" s="68"/>
      <c r="P831" s="68"/>
      <c r="Q831" s="68"/>
      <c r="R831" s="68"/>
      <c r="S831" s="68"/>
    </row>
    <row r="832" spans="1:19" ht="15.75" customHeight="1">
      <c r="A832" s="68"/>
      <c r="B832" s="68"/>
      <c r="C832" s="180"/>
      <c r="D832" s="68"/>
      <c r="E832" s="194"/>
      <c r="F832" s="195"/>
      <c r="G832" s="195"/>
      <c r="H832" s="195"/>
      <c r="K832" s="68"/>
      <c r="M832" s="68"/>
      <c r="O832" s="68"/>
      <c r="P832" s="68"/>
      <c r="Q832" s="68"/>
      <c r="R832" s="68"/>
      <c r="S832" s="68"/>
    </row>
    <row r="833" spans="1:19" ht="15.75" customHeight="1">
      <c r="A833" s="68"/>
      <c r="B833" s="68"/>
      <c r="C833" s="180"/>
      <c r="D833" s="68"/>
      <c r="E833" s="194"/>
      <c r="F833" s="195"/>
      <c r="G833" s="195"/>
      <c r="H833" s="195"/>
      <c r="K833" s="68"/>
      <c r="M833" s="68"/>
      <c r="O833" s="68"/>
      <c r="P833" s="68"/>
      <c r="Q833" s="68"/>
      <c r="R833" s="68"/>
      <c r="S833" s="68"/>
    </row>
    <row r="834" spans="1:19" ht="15.75" customHeight="1">
      <c r="A834" s="68"/>
      <c r="B834" s="68"/>
      <c r="C834" s="180"/>
      <c r="D834" s="68"/>
      <c r="E834" s="194"/>
      <c r="F834" s="195"/>
      <c r="G834" s="195"/>
      <c r="H834" s="195"/>
      <c r="K834" s="68"/>
      <c r="M834" s="68"/>
      <c r="O834" s="68"/>
      <c r="P834" s="68"/>
      <c r="Q834" s="68"/>
      <c r="R834" s="68"/>
      <c r="S834" s="68"/>
    </row>
    <row r="835" spans="1:19" ht="15.75" customHeight="1">
      <c r="A835" s="68"/>
      <c r="B835" s="68"/>
      <c r="C835" s="180"/>
      <c r="D835" s="68"/>
      <c r="E835" s="194"/>
      <c r="F835" s="195"/>
      <c r="G835" s="195"/>
      <c r="H835" s="195"/>
      <c r="K835" s="68"/>
      <c r="M835" s="68"/>
      <c r="O835" s="68"/>
      <c r="P835" s="68"/>
      <c r="Q835" s="68"/>
      <c r="R835" s="68"/>
      <c r="S835" s="68"/>
    </row>
    <row r="836" spans="1:19" ht="15.75" customHeight="1">
      <c r="A836" s="68"/>
      <c r="B836" s="68"/>
      <c r="C836" s="180"/>
      <c r="D836" s="68"/>
      <c r="E836" s="194"/>
      <c r="F836" s="195"/>
      <c r="G836" s="195"/>
      <c r="H836" s="195"/>
      <c r="K836" s="68"/>
      <c r="M836" s="68"/>
      <c r="O836" s="68"/>
      <c r="P836" s="68"/>
      <c r="Q836" s="68"/>
      <c r="R836" s="68"/>
      <c r="S836" s="68"/>
    </row>
    <row r="837" spans="1:19" ht="15.75" customHeight="1">
      <c r="A837" s="68"/>
      <c r="B837" s="68"/>
      <c r="C837" s="180"/>
      <c r="D837" s="68"/>
      <c r="E837" s="194"/>
      <c r="F837" s="195"/>
      <c r="G837" s="195"/>
      <c r="H837" s="195"/>
      <c r="K837" s="68"/>
      <c r="M837" s="68"/>
      <c r="O837" s="68"/>
      <c r="P837" s="68"/>
      <c r="Q837" s="68"/>
      <c r="R837" s="68"/>
      <c r="S837" s="68"/>
    </row>
    <row r="838" spans="1:19" ht="15.75" customHeight="1">
      <c r="A838" s="68"/>
      <c r="B838" s="68"/>
      <c r="C838" s="180"/>
      <c r="D838" s="68"/>
      <c r="E838" s="194"/>
      <c r="F838" s="195"/>
      <c r="G838" s="195"/>
      <c r="H838" s="195"/>
      <c r="K838" s="68"/>
      <c r="M838" s="68"/>
      <c r="O838" s="68"/>
      <c r="P838" s="68"/>
      <c r="Q838" s="68"/>
      <c r="R838" s="68"/>
      <c r="S838" s="68"/>
    </row>
    <row r="839" spans="1:19" ht="15.75" customHeight="1">
      <c r="A839" s="68"/>
      <c r="B839" s="68"/>
      <c r="C839" s="180"/>
      <c r="D839" s="68"/>
      <c r="E839" s="194"/>
      <c r="F839" s="195"/>
      <c r="G839" s="195"/>
      <c r="H839" s="195"/>
      <c r="K839" s="68"/>
      <c r="M839" s="68"/>
      <c r="O839" s="68"/>
      <c r="P839" s="68"/>
      <c r="Q839" s="68"/>
      <c r="R839" s="68"/>
      <c r="S839" s="68"/>
    </row>
    <row r="840" spans="1:19" ht="15.75" customHeight="1">
      <c r="A840" s="68"/>
      <c r="B840" s="68"/>
      <c r="C840" s="180"/>
      <c r="D840" s="68"/>
      <c r="E840" s="194"/>
      <c r="F840" s="195"/>
      <c r="G840" s="195"/>
      <c r="H840" s="195"/>
      <c r="K840" s="68"/>
      <c r="M840" s="68"/>
      <c r="O840" s="68"/>
      <c r="P840" s="68"/>
      <c r="Q840" s="68"/>
      <c r="R840" s="68"/>
      <c r="S840" s="68"/>
    </row>
    <row r="841" spans="1:19" ht="15.75" customHeight="1">
      <c r="A841" s="68"/>
      <c r="B841" s="68"/>
      <c r="C841" s="180"/>
      <c r="D841" s="68"/>
      <c r="E841" s="194"/>
      <c r="F841" s="195"/>
      <c r="G841" s="195"/>
      <c r="H841" s="195"/>
      <c r="K841" s="68"/>
      <c r="M841" s="68"/>
      <c r="O841" s="68"/>
      <c r="P841" s="68"/>
      <c r="Q841" s="68"/>
      <c r="R841" s="68"/>
      <c r="S841" s="68"/>
    </row>
    <row r="842" spans="1:19" ht="15.75" customHeight="1">
      <c r="A842" s="68"/>
      <c r="B842" s="68"/>
      <c r="C842" s="180"/>
      <c r="D842" s="68"/>
      <c r="E842" s="194"/>
      <c r="F842" s="195"/>
      <c r="G842" s="195"/>
      <c r="H842" s="195"/>
      <c r="K842" s="68"/>
      <c r="M842" s="68"/>
      <c r="O842" s="68"/>
      <c r="P842" s="68"/>
      <c r="Q842" s="68"/>
      <c r="R842" s="68"/>
      <c r="S842" s="68"/>
    </row>
    <row r="843" spans="1:19" ht="15.75" customHeight="1">
      <c r="A843" s="68"/>
      <c r="B843" s="68"/>
      <c r="C843" s="180"/>
      <c r="D843" s="68"/>
      <c r="E843" s="194"/>
      <c r="F843" s="195"/>
      <c r="G843" s="195"/>
      <c r="H843" s="195"/>
      <c r="K843" s="68"/>
      <c r="M843" s="68"/>
      <c r="O843" s="68"/>
      <c r="P843" s="68"/>
      <c r="Q843" s="68"/>
      <c r="R843" s="68"/>
      <c r="S843" s="68"/>
    </row>
    <row r="844" spans="1:19" ht="15.75" customHeight="1">
      <c r="A844" s="68"/>
      <c r="B844" s="68"/>
      <c r="C844" s="180"/>
      <c r="D844" s="68"/>
      <c r="E844" s="194"/>
      <c r="F844" s="195"/>
      <c r="G844" s="195"/>
      <c r="H844" s="195"/>
      <c r="K844" s="68"/>
      <c r="M844" s="68"/>
      <c r="O844" s="68"/>
      <c r="P844" s="68"/>
      <c r="Q844" s="68"/>
      <c r="R844" s="68"/>
      <c r="S844" s="68"/>
    </row>
    <row r="845" spans="1:19" ht="15.75" customHeight="1">
      <c r="A845" s="68"/>
      <c r="B845" s="68"/>
      <c r="C845" s="180"/>
      <c r="D845" s="68"/>
      <c r="E845" s="194"/>
      <c r="F845" s="195"/>
      <c r="G845" s="195"/>
      <c r="H845" s="195"/>
      <c r="K845" s="68"/>
      <c r="M845" s="68"/>
      <c r="O845" s="68"/>
      <c r="P845" s="68"/>
      <c r="Q845" s="68"/>
      <c r="R845" s="68"/>
      <c r="S845" s="68"/>
    </row>
    <row r="846" spans="1:19" ht="15.75" customHeight="1">
      <c r="A846" s="68"/>
      <c r="B846" s="68"/>
      <c r="C846" s="180"/>
      <c r="D846" s="68"/>
      <c r="E846" s="194"/>
      <c r="F846" s="195"/>
      <c r="G846" s="195"/>
      <c r="H846" s="195"/>
      <c r="K846" s="68"/>
      <c r="M846" s="68"/>
      <c r="O846" s="68"/>
      <c r="P846" s="68"/>
      <c r="Q846" s="68"/>
      <c r="R846" s="68"/>
      <c r="S846" s="68"/>
    </row>
    <row r="847" spans="1:19" ht="15.75" customHeight="1">
      <c r="A847" s="68"/>
      <c r="B847" s="68"/>
      <c r="C847" s="180"/>
      <c r="D847" s="68"/>
      <c r="E847" s="194"/>
      <c r="F847" s="195"/>
      <c r="G847" s="195"/>
      <c r="H847" s="195"/>
      <c r="K847" s="68"/>
      <c r="M847" s="68"/>
      <c r="O847" s="68"/>
      <c r="P847" s="68"/>
      <c r="Q847" s="68"/>
      <c r="R847" s="68"/>
      <c r="S847" s="68"/>
    </row>
    <row r="848" spans="1:19" ht="15.75" customHeight="1">
      <c r="A848" s="68"/>
      <c r="B848" s="68"/>
      <c r="C848" s="180"/>
      <c r="D848" s="68"/>
      <c r="E848" s="194"/>
      <c r="F848" s="195"/>
      <c r="G848" s="195"/>
      <c r="H848" s="195"/>
      <c r="K848" s="68"/>
      <c r="M848" s="68"/>
      <c r="O848" s="68"/>
      <c r="P848" s="68"/>
      <c r="Q848" s="68"/>
      <c r="R848" s="68"/>
      <c r="S848" s="68"/>
    </row>
    <row r="849" spans="1:19" ht="15.75" customHeight="1">
      <c r="A849" s="68"/>
      <c r="B849" s="68"/>
      <c r="C849" s="180"/>
      <c r="D849" s="68"/>
      <c r="E849" s="194"/>
      <c r="F849" s="195"/>
      <c r="G849" s="195"/>
      <c r="H849" s="195"/>
      <c r="K849" s="68"/>
      <c r="M849" s="68"/>
      <c r="O849" s="68"/>
      <c r="P849" s="68"/>
      <c r="Q849" s="68"/>
      <c r="R849" s="68"/>
      <c r="S849" s="68"/>
    </row>
    <row r="850" spans="1:19" ht="15.75" customHeight="1">
      <c r="A850" s="68"/>
      <c r="B850" s="68"/>
      <c r="C850" s="180"/>
      <c r="D850" s="68"/>
      <c r="E850" s="194"/>
      <c r="F850" s="195"/>
      <c r="G850" s="195"/>
      <c r="H850" s="195"/>
      <c r="K850" s="68"/>
      <c r="M850" s="68"/>
      <c r="O850" s="68"/>
      <c r="P850" s="68"/>
      <c r="Q850" s="68"/>
      <c r="R850" s="68"/>
      <c r="S850" s="68"/>
    </row>
    <row r="851" spans="1:19" ht="15.75" customHeight="1">
      <c r="A851" s="68"/>
      <c r="B851" s="68"/>
      <c r="C851" s="180"/>
      <c r="D851" s="68"/>
      <c r="E851" s="194"/>
      <c r="F851" s="195"/>
      <c r="G851" s="195"/>
      <c r="H851" s="195"/>
      <c r="K851" s="68"/>
      <c r="M851" s="68"/>
      <c r="O851" s="68"/>
      <c r="P851" s="68"/>
      <c r="Q851" s="68"/>
      <c r="R851" s="68"/>
      <c r="S851" s="68"/>
    </row>
    <row r="852" spans="1:19" ht="15.75" customHeight="1">
      <c r="A852" s="68"/>
      <c r="B852" s="68"/>
      <c r="C852" s="180"/>
      <c r="D852" s="68"/>
      <c r="E852" s="194"/>
      <c r="F852" s="195"/>
      <c r="G852" s="195"/>
      <c r="H852" s="195"/>
      <c r="K852" s="68"/>
      <c r="M852" s="68"/>
      <c r="O852" s="68"/>
      <c r="P852" s="68"/>
      <c r="Q852" s="68"/>
      <c r="R852" s="68"/>
      <c r="S852" s="68"/>
    </row>
    <row r="853" spans="1:19" ht="15.75" customHeight="1">
      <c r="A853" s="68"/>
      <c r="B853" s="68"/>
      <c r="C853" s="180"/>
      <c r="D853" s="68"/>
      <c r="E853" s="194"/>
      <c r="F853" s="195"/>
      <c r="G853" s="195"/>
      <c r="H853" s="195"/>
      <c r="K853" s="68"/>
      <c r="M853" s="68"/>
      <c r="O853" s="68"/>
      <c r="P853" s="68"/>
      <c r="Q853" s="68"/>
      <c r="R853" s="68"/>
      <c r="S853" s="68"/>
    </row>
    <row r="854" spans="1:19" ht="15.75" customHeight="1">
      <c r="A854" s="68"/>
      <c r="B854" s="68"/>
      <c r="C854" s="180"/>
      <c r="D854" s="68"/>
      <c r="E854" s="194"/>
      <c r="F854" s="195"/>
      <c r="G854" s="195"/>
      <c r="H854" s="195"/>
      <c r="K854" s="68"/>
      <c r="M854" s="68"/>
      <c r="O854" s="68"/>
      <c r="P854" s="68"/>
      <c r="Q854" s="68"/>
      <c r="R854" s="68"/>
      <c r="S854" s="68"/>
    </row>
    <row r="855" spans="1:19" ht="15.75" customHeight="1">
      <c r="A855" s="68"/>
      <c r="B855" s="68"/>
      <c r="C855" s="180"/>
      <c r="D855" s="68"/>
      <c r="E855" s="194"/>
      <c r="F855" s="195"/>
      <c r="G855" s="195"/>
      <c r="H855" s="195"/>
      <c r="K855" s="68"/>
      <c r="M855" s="68"/>
      <c r="O855" s="68"/>
      <c r="P855" s="68"/>
      <c r="Q855" s="68"/>
      <c r="R855" s="68"/>
      <c r="S855" s="68"/>
    </row>
    <row r="856" spans="1:19" ht="15.75" customHeight="1">
      <c r="A856" s="68"/>
      <c r="B856" s="68"/>
      <c r="C856" s="180"/>
      <c r="D856" s="68"/>
      <c r="E856" s="194"/>
      <c r="F856" s="195"/>
      <c r="G856" s="195"/>
      <c r="H856" s="195"/>
      <c r="K856" s="68"/>
      <c r="M856" s="68"/>
      <c r="O856" s="68"/>
      <c r="P856" s="68"/>
      <c r="Q856" s="68"/>
      <c r="R856" s="68"/>
      <c r="S856" s="68"/>
    </row>
    <row r="857" spans="1:19" ht="15.75" customHeight="1">
      <c r="A857" s="68"/>
      <c r="B857" s="68"/>
      <c r="C857" s="180"/>
      <c r="D857" s="68"/>
      <c r="E857" s="194"/>
      <c r="F857" s="195"/>
      <c r="G857" s="195"/>
      <c r="H857" s="195"/>
      <c r="K857" s="68"/>
      <c r="M857" s="68"/>
      <c r="O857" s="68"/>
      <c r="P857" s="68"/>
      <c r="Q857" s="68"/>
      <c r="R857" s="68"/>
      <c r="S857" s="68"/>
    </row>
    <row r="858" spans="1:19" ht="15.75" customHeight="1">
      <c r="A858" s="68"/>
      <c r="B858" s="68"/>
      <c r="C858" s="180"/>
      <c r="D858" s="68"/>
      <c r="E858" s="194"/>
      <c r="F858" s="195"/>
      <c r="G858" s="195"/>
      <c r="H858" s="195"/>
      <c r="K858" s="68"/>
      <c r="M858" s="68"/>
      <c r="O858" s="68"/>
      <c r="P858" s="68"/>
      <c r="Q858" s="68"/>
      <c r="R858" s="68"/>
      <c r="S858" s="68"/>
    </row>
    <row r="859" spans="1:19" ht="15.75" customHeight="1">
      <c r="A859" s="68"/>
      <c r="B859" s="68"/>
      <c r="C859" s="180"/>
      <c r="D859" s="68"/>
      <c r="E859" s="194"/>
      <c r="F859" s="195"/>
      <c r="G859" s="195"/>
      <c r="H859" s="195"/>
      <c r="K859" s="68"/>
      <c r="M859" s="68"/>
      <c r="O859" s="68"/>
      <c r="P859" s="68"/>
      <c r="Q859" s="68"/>
      <c r="R859" s="68"/>
      <c r="S859" s="68"/>
    </row>
    <row r="860" spans="1:19" ht="15.75" customHeight="1">
      <c r="A860" s="68"/>
      <c r="B860" s="68"/>
      <c r="C860" s="180"/>
      <c r="D860" s="68"/>
      <c r="E860" s="194"/>
      <c r="F860" s="195"/>
      <c r="G860" s="195"/>
      <c r="H860" s="195"/>
      <c r="K860" s="68"/>
      <c r="M860" s="68"/>
      <c r="O860" s="68"/>
      <c r="P860" s="68"/>
      <c r="Q860" s="68"/>
      <c r="R860" s="68"/>
      <c r="S860" s="68"/>
    </row>
    <row r="861" spans="1:19" ht="15.75" customHeight="1">
      <c r="A861" s="68"/>
      <c r="B861" s="68"/>
      <c r="C861" s="180"/>
      <c r="D861" s="68"/>
      <c r="E861" s="194"/>
      <c r="F861" s="195"/>
      <c r="G861" s="195"/>
      <c r="H861" s="195"/>
      <c r="K861" s="68"/>
      <c r="M861" s="68"/>
      <c r="O861" s="68"/>
      <c r="P861" s="68"/>
      <c r="Q861" s="68"/>
      <c r="R861" s="68"/>
      <c r="S861" s="68"/>
    </row>
    <row r="862" spans="1:19" ht="15.75" customHeight="1">
      <c r="A862" s="68"/>
      <c r="B862" s="68"/>
      <c r="C862" s="180"/>
      <c r="D862" s="68"/>
      <c r="E862" s="194"/>
      <c r="F862" s="195"/>
      <c r="G862" s="195"/>
      <c r="H862" s="195"/>
      <c r="K862" s="68"/>
      <c r="M862" s="68"/>
      <c r="O862" s="68"/>
      <c r="P862" s="68"/>
      <c r="Q862" s="68"/>
      <c r="R862" s="68"/>
      <c r="S862" s="68"/>
    </row>
    <row r="863" spans="1:19" ht="15.75" customHeight="1">
      <c r="A863" s="68"/>
      <c r="B863" s="68"/>
      <c r="C863" s="180"/>
      <c r="D863" s="68"/>
      <c r="E863" s="194"/>
      <c r="F863" s="195"/>
      <c r="G863" s="195"/>
      <c r="H863" s="195"/>
      <c r="K863" s="68"/>
      <c r="M863" s="68"/>
      <c r="O863" s="68"/>
      <c r="P863" s="68"/>
      <c r="Q863" s="68"/>
      <c r="R863" s="68"/>
      <c r="S863" s="68"/>
    </row>
    <row r="864" spans="1:19" ht="15.75" customHeight="1">
      <c r="A864" s="68"/>
      <c r="B864" s="68"/>
      <c r="C864" s="180"/>
      <c r="D864" s="68"/>
      <c r="E864" s="194"/>
      <c r="F864" s="195"/>
      <c r="G864" s="195"/>
      <c r="H864" s="195"/>
      <c r="K864" s="68"/>
      <c r="M864" s="68"/>
      <c r="O864" s="68"/>
      <c r="P864" s="68"/>
      <c r="Q864" s="68"/>
      <c r="R864" s="68"/>
      <c r="S864" s="68"/>
    </row>
    <row r="865" spans="1:19" ht="15.75" customHeight="1">
      <c r="A865" s="68"/>
      <c r="B865" s="68"/>
      <c r="C865" s="180"/>
      <c r="D865" s="68"/>
      <c r="E865" s="194"/>
      <c r="F865" s="195"/>
      <c r="G865" s="195"/>
      <c r="H865" s="195"/>
      <c r="K865" s="68"/>
      <c r="M865" s="68"/>
      <c r="O865" s="68"/>
      <c r="P865" s="68"/>
      <c r="Q865" s="68"/>
      <c r="R865" s="68"/>
      <c r="S865" s="68"/>
    </row>
    <row r="866" spans="1:19" ht="15.75" customHeight="1">
      <c r="A866" s="68"/>
      <c r="B866" s="68"/>
      <c r="C866" s="180"/>
      <c r="D866" s="68"/>
      <c r="E866" s="194"/>
      <c r="F866" s="195"/>
      <c r="G866" s="195"/>
      <c r="H866" s="195"/>
      <c r="K866" s="68"/>
      <c r="M866" s="68"/>
      <c r="O866" s="68"/>
      <c r="P866" s="68"/>
      <c r="Q866" s="68"/>
      <c r="R866" s="68"/>
      <c r="S866" s="68"/>
    </row>
    <row r="867" spans="1:19" ht="15.75" customHeight="1">
      <c r="A867" s="68"/>
      <c r="B867" s="68"/>
      <c r="C867" s="180"/>
      <c r="D867" s="68"/>
      <c r="E867" s="194"/>
      <c r="F867" s="195"/>
      <c r="G867" s="195"/>
      <c r="H867" s="195"/>
      <c r="K867" s="68"/>
      <c r="M867" s="68"/>
      <c r="O867" s="68"/>
      <c r="P867" s="68"/>
      <c r="Q867" s="68"/>
      <c r="R867" s="68"/>
      <c r="S867" s="68"/>
    </row>
    <row r="868" spans="1:19" ht="15.75" customHeight="1">
      <c r="A868" s="68"/>
      <c r="B868" s="68"/>
      <c r="C868" s="180"/>
      <c r="D868" s="68"/>
      <c r="E868" s="194"/>
      <c r="F868" s="195"/>
      <c r="G868" s="195"/>
      <c r="H868" s="195"/>
      <c r="K868" s="68"/>
      <c r="M868" s="68"/>
      <c r="O868" s="68"/>
      <c r="P868" s="68"/>
      <c r="Q868" s="68"/>
      <c r="R868" s="68"/>
      <c r="S868" s="68"/>
    </row>
    <row r="869" spans="1:19" ht="15.75" customHeight="1">
      <c r="A869" s="68"/>
      <c r="B869" s="68"/>
      <c r="C869" s="180"/>
      <c r="D869" s="68"/>
      <c r="E869" s="194"/>
      <c r="F869" s="195"/>
      <c r="G869" s="195"/>
      <c r="H869" s="195"/>
      <c r="K869" s="68"/>
      <c r="M869" s="68"/>
      <c r="O869" s="68"/>
      <c r="P869" s="68"/>
      <c r="Q869" s="68"/>
      <c r="R869" s="68"/>
      <c r="S869" s="68"/>
    </row>
    <row r="870" spans="1:19" ht="15.75" customHeight="1">
      <c r="A870" s="68"/>
      <c r="B870" s="68"/>
      <c r="C870" s="180"/>
      <c r="D870" s="68"/>
      <c r="E870" s="194"/>
      <c r="F870" s="195"/>
      <c r="G870" s="195"/>
      <c r="H870" s="195"/>
      <c r="K870" s="68"/>
      <c r="M870" s="68"/>
      <c r="O870" s="68"/>
      <c r="P870" s="68"/>
      <c r="Q870" s="68"/>
      <c r="R870" s="68"/>
      <c r="S870" s="68"/>
    </row>
    <row r="871" spans="1:19" ht="15.75" customHeight="1">
      <c r="A871" s="68"/>
      <c r="B871" s="68"/>
      <c r="C871" s="180"/>
      <c r="D871" s="68"/>
      <c r="E871" s="194"/>
      <c r="F871" s="195"/>
      <c r="G871" s="195"/>
      <c r="H871" s="195"/>
      <c r="K871" s="68"/>
      <c r="M871" s="68"/>
      <c r="O871" s="68"/>
      <c r="P871" s="68"/>
      <c r="Q871" s="68"/>
      <c r="R871" s="68"/>
      <c r="S871" s="68"/>
    </row>
    <row r="872" spans="1:19" ht="15.75" customHeight="1">
      <c r="A872" s="68"/>
      <c r="B872" s="68"/>
      <c r="C872" s="180"/>
      <c r="D872" s="68"/>
      <c r="E872" s="194"/>
      <c r="F872" s="195"/>
      <c r="G872" s="195"/>
      <c r="H872" s="195"/>
      <c r="K872" s="68"/>
      <c r="M872" s="68"/>
      <c r="O872" s="68"/>
      <c r="P872" s="68"/>
      <c r="Q872" s="68"/>
      <c r="R872" s="68"/>
      <c r="S872" s="68"/>
    </row>
    <row r="873" spans="1:19" ht="15.75" customHeight="1">
      <c r="A873" s="68"/>
      <c r="B873" s="68"/>
      <c r="C873" s="180"/>
      <c r="D873" s="68"/>
      <c r="E873" s="194"/>
      <c r="F873" s="195"/>
      <c r="G873" s="195"/>
      <c r="H873" s="195"/>
      <c r="K873" s="68"/>
      <c r="M873" s="68"/>
      <c r="O873" s="68"/>
      <c r="P873" s="68"/>
      <c r="Q873" s="68"/>
      <c r="R873" s="68"/>
      <c r="S873" s="68"/>
    </row>
    <row r="874" spans="1:19" ht="15.75" customHeight="1">
      <c r="A874" s="68"/>
      <c r="B874" s="68"/>
      <c r="C874" s="180"/>
      <c r="D874" s="68"/>
      <c r="E874" s="194"/>
      <c r="F874" s="195"/>
      <c r="G874" s="195"/>
      <c r="H874" s="195"/>
      <c r="K874" s="68"/>
      <c r="M874" s="68"/>
      <c r="O874" s="68"/>
      <c r="P874" s="68"/>
      <c r="Q874" s="68"/>
      <c r="R874" s="68"/>
      <c r="S874" s="68"/>
    </row>
    <row r="875" spans="1:19" ht="15.75" customHeight="1">
      <c r="A875" s="68"/>
      <c r="B875" s="68"/>
      <c r="C875" s="180"/>
      <c r="D875" s="68"/>
      <c r="E875" s="194"/>
      <c r="F875" s="195"/>
      <c r="G875" s="195"/>
      <c r="H875" s="195"/>
      <c r="K875" s="68"/>
      <c r="M875" s="68"/>
      <c r="O875" s="68"/>
      <c r="P875" s="68"/>
      <c r="Q875" s="68"/>
      <c r="R875" s="68"/>
      <c r="S875" s="68"/>
    </row>
    <row r="876" spans="1:19" ht="15.75" customHeight="1">
      <c r="A876" s="68"/>
      <c r="B876" s="68"/>
      <c r="C876" s="180"/>
      <c r="D876" s="68"/>
      <c r="E876" s="194"/>
      <c r="F876" s="195"/>
      <c r="G876" s="195"/>
      <c r="H876" s="195"/>
      <c r="K876" s="68"/>
      <c r="M876" s="68"/>
      <c r="O876" s="68"/>
      <c r="P876" s="68"/>
      <c r="Q876" s="68"/>
      <c r="R876" s="68"/>
      <c r="S876" s="68"/>
    </row>
    <row r="877" spans="1:19" ht="15.75" customHeight="1">
      <c r="A877" s="68"/>
      <c r="B877" s="68"/>
      <c r="C877" s="180"/>
      <c r="D877" s="68"/>
      <c r="E877" s="194"/>
      <c r="F877" s="195"/>
      <c r="G877" s="195"/>
      <c r="H877" s="195"/>
      <c r="K877" s="68"/>
      <c r="M877" s="68"/>
      <c r="O877" s="68"/>
      <c r="P877" s="68"/>
      <c r="Q877" s="68"/>
      <c r="R877" s="68"/>
      <c r="S877" s="68"/>
    </row>
    <row r="878" spans="1:19" ht="15.75" customHeight="1">
      <c r="A878" s="68"/>
      <c r="B878" s="68"/>
      <c r="C878" s="180"/>
      <c r="D878" s="68"/>
      <c r="E878" s="194"/>
      <c r="F878" s="195"/>
      <c r="G878" s="195"/>
      <c r="H878" s="195"/>
      <c r="K878" s="68"/>
      <c r="M878" s="68"/>
      <c r="O878" s="68"/>
      <c r="P878" s="68"/>
      <c r="Q878" s="68"/>
      <c r="R878" s="68"/>
      <c r="S878" s="68"/>
    </row>
    <row r="879" spans="1:19" ht="15.75" customHeight="1">
      <c r="A879" s="68"/>
      <c r="B879" s="68"/>
      <c r="C879" s="180"/>
      <c r="D879" s="68"/>
      <c r="E879" s="194"/>
      <c r="F879" s="195"/>
      <c r="G879" s="195"/>
      <c r="H879" s="195"/>
      <c r="K879" s="68"/>
      <c r="M879" s="68"/>
      <c r="O879" s="68"/>
      <c r="P879" s="68"/>
      <c r="Q879" s="68"/>
      <c r="R879" s="68"/>
      <c r="S879" s="68"/>
    </row>
    <row r="880" spans="1:19" ht="15.75" customHeight="1">
      <c r="A880" s="68"/>
      <c r="B880" s="68"/>
      <c r="C880" s="180"/>
      <c r="D880" s="68"/>
      <c r="E880" s="194"/>
      <c r="F880" s="195"/>
      <c r="G880" s="195"/>
      <c r="H880" s="195"/>
      <c r="K880" s="68"/>
      <c r="M880" s="68"/>
      <c r="O880" s="68"/>
      <c r="P880" s="68"/>
      <c r="Q880" s="68"/>
      <c r="R880" s="68"/>
      <c r="S880" s="68"/>
    </row>
    <row r="881" spans="1:19" ht="15.75" customHeight="1">
      <c r="A881" s="68"/>
      <c r="B881" s="68"/>
      <c r="C881" s="180"/>
      <c r="D881" s="68"/>
      <c r="E881" s="194"/>
      <c r="F881" s="195"/>
      <c r="G881" s="195"/>
      <c r="H881" s="195"/>
      <c r="K881" s="68"/>
      <c r="M881" s="68"/>
      <c r="O881" s="68"/>
      <c r="P881" s="68"/>
      <c r="Q881" s="68"/>
      <c r="R881" s="68"/>
      <c r="S881" s="68"/>
    </row>
    <row r="882" spans="1:19" ht="15.75" customHeight="1">
      <c r="A882" s="68"/>
      <c r="B882" s="68"/>
      <c r="C882" s="180"/>
      <c r="D882" s="68"/>
      <c r="E882" s="194"/>
      <c r="F882" s="195"/>
      <c r="G882" s="195"/>
      <c r="H882" s="195"/>
      <c r="K882" s="68"/>
      <c r="M882" s="68"/>
      <c r="O882" s="68"/>
      <c r="P882" s="68"/>
      <c r="Q882" s="68"/>
      <c r="R882" s="68"/>
      <c r="S882" s="68"/>
    </row>
    <row r="883" spans="1:19" ht="15.75" customHeight="1">
      <c r="A883" s="68"/>
      <c r="B883" s="68"/>
      <c r="C883" s="180"/>
      <c r="D883" s="68"/>
      <c r="E883" s="194"/>
      <c r="F883" s="195"/>
      <c r="G883" s="195"/>
      <c r="H883" s="195"/>
      <c r="K883" s="68"/>
      <c r="M883" s="68"/>
      <c r="O883" s="68"/>
      <c r="P883" s="68"/>
      <c r="Q883" s="68"/>
      <c r="R883" s="68"/>
      <c r="S883" s="68"/>
    </row>
    <row r="884" spans="1:19" ht="15.75" customHeight="1">
      <c r="A884" s="68"/>
      <c r="B884" s="68"/>
      <c r="C884" s="180"/>
      <c r="D884" s="68"/>
      <c r="E884" s="194"/>
      <c r="F884" s="195"/>
      <c r="G884" s="195"/>
      <c r="H884" s="195"/>
      <c r="K884" s="68"/>
      <c r="M884" s="68"/>
      <c r="O884" s="68"/>
      <c r="P884" s="68"/>
      <c r="Q884" s="68"/>
      <c r="R884" s="68"/>
      <c r="S884" s="68"/>
    </row>
    <row r="885" spans="1:19" ht="15.75" customHeight="1">
      <c r="A885" s="68"/>
      <c r="B885" s="68"/>
      <c r="C885" s="180"/>
      <c r="D885" s="68"/>
      <c r="E885" s="194"/>
      <c r="F885" s="195"/>
      <c r="G885" s="195"/>
      <c r="H885" s="195"/>
      <c r="K885" s="68"/>
      <c r="M885" s="68"/>
      <c r="O885" s="68"/>
      <c r="P885" s="68"/>
      <c r="Q885" s="68"/>
      <c r="R885" s="68"/>
      <c r="S885" s="68"/>
    </row>
    <row r="886" spans="1:19" ht="15.75" customHeight="1">
      <c r="A886" s="68"/>
      <c r="B886" s="68"/>
      <c r="C886" s="180"/>
      <c r="D886" s="68"/>
      <c r="E886" s="194"/>
      <c r="F886" s="195"/>
      <c r="G886" s="195"/>
      <c r="H886" s="195"/>
      <c r="K886" s="68"/>
      <c r="M886" s="68"/>
      <c r="O886" s="68"/>
      <c r="P886" s="68"/>
      <c r="Q886" s="68"/>
      <c r="R886" s="68"/>
      <c r="S886" s="68"/>
    </row>
    <row r="887" spans="1:19" ht="15.75" customHeight="1">
      <c r="A887" s="68"/>
      <c r="B887" s="68"/>
      <c r="C887" s="180"/>
      <c r="D887" s="68"/>
      <c r="E887" s="194"/>
      <c r="F887" s="195"/>
      <c r="G887" s="195"/>
      <c r="H887" s="195"/>
      <c r="K887" s="68"/>
      <c r="M887" s="68"/>
      <c r="O887" s="68"/>
      <c r="P887" s="68"/>
      <c r="Q887" s="68"/>
      <c r="R887" s="68"/>
      <c r="S887" s="68"/>
    </row>
    <row r="888" spans="1:19" ht="15.75" customHeight="1">
      <c r="A888" s="68"/>
      <c r="B888" s="68"/>
      <c r="C888" s="180"/>
      <c r="D888" s="68"/>
      <c r="E888" s="194"/>
      <c r="F888" s="195"/>
      <c r="G888" s="195"/>
      <c r="H888" s="195"/>
      <c r="K888" s="68"/>
      <c r="M888" s="68"/>
      <c r="O888" s="68"/>
      <c r="P888" s="68"/>
      <c r="Q888" s="68"/>
      <c r="R888" s="68"/>
      <c r="S888" s="68"/>
    </row>
    <row r="889" spans="1:19" ht="15.75" customHeight="1">
      <c r="A889" s="68"/>
      <c r="B889" s="68"/>
      <c r="C889" s="180"/>
      <c r="D889" s="68"/>
      <c r="E889" s="194"/>
      <c r="F889" s="195"/>
      <c r="G889" s="195"/>
      <c r="H889" s="195"/>
      <c r="K889" s="68"/>
      <c r="M889" s="68"/>
      <c r="O889" s="68"/>
      <c r="P889" s="68"/>
      <c r="Q889" s="68"/>
      <c r="R889" s="68"/>
      <c r="S889" s="68"/>
    </row>
    <row r="890" spans="1:19" ht="15.75" customHeight="1">
      <c r="A890" s="68"/>
      <c r="B890" s="68"/>
      <c r="C890" s="180"/>
      <c r="D890" s="68"/>
      <c r="E890" s="194"/>
      <c r="F890" s="195"/>
      <c r="G890" s="195"/>
      <c r="H890" s="195"/>
      <c r="K890" s="68"/>
      <c r="M890" s="68"/>
      <c r="O890" s="68"/>
      <c r="P890" s="68"/>
      <c r="Q890" s="68"/>
      <c r="R890" s="68"/>
      <c r="S890" s="68"/>
    </row>
    <row r="891" spans="1:19" ht="15.75" customHeight="1">
      <c r="A891" s="68"/>
      <c r="B891" s="68"/>
      <c r="C891" s="180"/>
      <c r="D891" s="68"/>
      <c r="E891" s="194"/>
      <c r="F891" s="195"/>
      <c r="G891" s="195"/>
      <c r="H891" s="195"/>
      <c r="K891" s="68"/>
      <c r="M891" s="68"/>
      <c r="O891" s="68"/>
      <c r="P891" s="68"/>
      <c r="Q891" s="68"/>
      <c r="R891" s="68"/>
      <c r="S891" s="68"/>
    </row>
    <row r="892" spans="1:19" ht="15.75" customHeight="1">
      <c r="A892" s="68"/>
      <c r="B892" s="68"/>
      <c r="C892" s="180"/>
      <c r="D892" s="68"/>
      <c r="E892" s="194"/>
      <c r="F892" s="195"/>
      <c r="G892" s="195"/>
      <c r="H892" s="195"/>
      <c r="K892" s="68"/>
      <c r="M892" s="68"/>
      <c r="O892" s="68"/>
      <c r="P892" s="68"/>
      <c r="Q892" s="68"/>
      <c r="R892" s="68"/>
      <c r="S892" s="68"/>
    </row>
    <row r="893" spans="1:19" ht="15.75" customHeight="1">
      <c r="A893" s="68"/>
      <c r="B893" s="68"/>
      <c r="C893" s="180"/>
      <c r="D893" s="68"/>
      <c r="E893" s="194"/>
      <c r="F893" s="195"/>
      <c r="G893" s="195"/>
      <c r="H893" s="195"/>
      <c r="K893" s="68"/>
      <c r="M893" s="68"/>
      <c r="O893" s="68"/>
      <c r="P893" s="68"/>
      <c r="Q893" s="68"/>
      <c r="R893" s="68"/>
      <c r="S893" s="68"/>
    </row>
    <row r="894" spans="1:19" ht="15.75" customHeight="1">
      <c r="A894" s="68"/>
      <c r="B894" s="68"/>
      <c r="C894" s="180"/>
      <c r="D894" s="68"/>
      <c r="E894" s="194"/>
      <c r="F894" s="195"/>
      <c r="G894" s="195"/>
      <c r="H894" s="195"/>
      <c r="K894" s="68"/>
      <c r="M894" s="68"/>
      <c r="O894" s="68"/>
      <c r="P894" s="68"/>
      <c r="Q894" s="68"/>
      <c r="R894" s="68"/>
      <c r="S894" s="68"/>
    </row>
    <row r="895" spans="1:19" ht="15.75" customHeight="1">
      <c r="A895" s="68"/>
      <c r="B895" s="68"/>
      <c r="C895" s="180"/>
      <c r="D895" s="68"/>
      <c r="E895" s="194"/>
      <c r="F895" s="195"/>
      <c r="G895" s="195"/>
      <c r="H895" s="195"/>
      <c r="K895" s="68"/>
      <c r="M895" s="68"/>
      <c r="O895" s="68"/>
      <c r="P895" s="68"/>
      <c r="Q895" s="68"/>
      <c r="R895" s="68"/>
      <c r="S895" s="68"/>
    </row>
    <row r="896" spans="1:19" ht="15.75" customHeight="1">
      <c r="A896" s="68"/>
      <c r="B896" s="68"/>
      <c r="C896" s="180"/>
      <c r="D896" s="68"/>
      <c r="E896" s="194"/>
      <c r="F896" s="195"/>
      <c r="G896" s="195"/>
      <c r="H896" s="195"/>
      <c r="K896" s="68"/>
      <c r="M896" s="68"/>
      <c r="O896" s="68"/>
      <c r="P896" s="68"/>
      <c r="Q896" s="68"/>
      <c r="R896" s="68"/>
      <c r="S896" s="68"/>
    </row>
    <row r="897" spans="1:19" ht="15.75" customHeight="1">
      <c r="A897" s="68"/>
      <c r="B897" s="68"/>
      <c r="C897" s="180"/>
      <c r="D897" s="68"/>
      <c r="E897" s="194"/>
      <c r="F897" s="195"/>
      <c r="G897" s="195"/>
      <c r="H897" s="195"/>
      <c r="K897" s="68"/>
      <c r="M897" s="68"/>
      <c r="O897" s="68"/>
      <c r="P897" s="68"/>
      <c r="Q897" s="68"/>
      <c r="R897" s="68"/>
      <c r="S897" s="68"/>
    </row>
    <row r="898" spans="1:19" ht="15.75" customHeight="1">
      <c r="A898" s="68"/>
      <c r="B898" s="68"/>
      <c r="C898" s="180"/>
      <c r="D898" s="68"/>
      <c r="E898" s="194"/>
      <c r="F898" s="195"/>
      <c r="G898" s="195"/>
      <c r="H898" s="195"/>
      <c r="K898" s="68"/>
      <c r="M898" s="68"/>
      <c r="O898" s="68"/>
      <c r="P898" s="68"/>
      <c r="Q898" s="68"/>
      <c r="R898" s="68"/>
      <c r="S898" s="68"/>
    </row>
    <row r="899" spans="1:19" ht="15.75" customHeight="1">
      <c r="A899" s="68"/>
      <c r="B899" s="68"/>
      <c r="C899" s="180"/>
      <c r="D899" s="68"/>
      <c r="E899" s="194"/>
      <c r="F899" s="195"/>
      <c r="G899" s="195"/>
      <c r="H899" s="195"/>
      <c r="K899" s="68"/>
      <c r="M899" s="68"/>
      <c r="O899" s="68"/>
      <c r="P899" s="68"/>
      <c r="Q899" s="68"/>
      <c r="R899" s="68"/>
      <c r="S899" s="68"/>
    </row>
    <row r="900" spans="1:19" ht="15.75" customHeight="1">
      <c r="A900" s="68"/>
      <c r="B900" s="68"/>
      <c r="C900" s="180"/>
      <c r="D900" s="68"/>
      <c r="E900" s="194"/>
      <c r="F900" s="195"/>
      <c r="G900" s="195"/>
      <c r="H900" s="195"/>
      <c r="K900" s="68"/>
      <c r="M900" s="68"/>
      <c r="O900" s="68"/>
      <c r="P900" s="68"/>
      <c r="Q900" s="68"/>
      <c r="R900" s="68"/>
      <c r="S900" s="68"/>
    </row>
    <row r="901" spans="1:19" ht="15.75" customHeight="1">
      <c r="A901" s="68"/>
      <c r="B901" s="68"/>
      <c r="C901" s="180"/>
      <c r="D901" s="68"/>
      <c r="E901" s="194"/>
      <c r="F901" s="195"/>
      <c r="G901" s="195"/>
      <c r="H901" s="195"/>
      <c r="K901" s="68"/>
      <c r="M901" s="68"/>
      <c r="O901" s="68"/>
      <c r="P901" s="68"/>
      <c r="Q901" s="68"/>
      <c r="R901" s="68"/>
      <c r="S901" s="68"/>
    </row>
    <row r="902" spans="1:19" ht="15.75" customHeight="1">
      <c r="A902" s="68"/>
      <c r="B902" s="68"/>
      <c r="C902" s="180"/>
      <c r="D902" s="68"/>
      <c r="E902" s="194"/>
      <c r="F902" s="195"/>
      <c r="G902" s="195"/>
      <c r="H902" s="195"/>
      <c r="K902" s="68"/>
      <c r="M902" s="68"/>
      <c r="O902" s="68"/>
      <c r="P902" s="68"/>
      <c r="Q902" s="68"/>
      <c r="R902" s="68"/>
      <c r="S902" s="68"/>
    </row>
    <row r="903" spans="1:19" ht="15.75" customHeight="1">
      <c r="A903" s="68"/>
      <c r="B903" s="68"/>
      <c r="C903" s="180"/>
      <c r="D903" s="68"/>
      <c r="E903" s="194"/>
      <c r="F903" s="195"/>
      <c r="G903" s="195"/>
      <c r="H903" s="195"/>
      <c r="K903" s="68"/>
      <c r="M903" s="68"/>
      <c r="O903" s="68"/>
      <c r="P903" s="68"/>
      <c r="Q903" s="68"/>
      <c r="R903" s="68"/>
      <c r="S903" s="68"/>
    </row>
    <row r="904" spans="1:19" ht="15.75" customHeight="1">
      <c r="A904" s="68"/>
      <c r="B904" s="68"/>
      <c r="C904" s="180"/>
      <c r="D904" s="68"/>
      <c r="E904" s="194"/>
      <c r="F904" s="195"/>
      <c r="G904" s="195"/>
      <c r="H904" s="195"/>
      <c r="K904" s="68"/>
      <c r="M904" s="68"/>
      <c r="O904" s="68"/>
      <c r="P904" s="68"/>
      <c r="Q904" s="68"/>
      <c r="R904" s="68"/>
      <c r="S904" s="68"/>
    </row>
    <row r="905" spans="1:19" ht="15.75" customHeight="1">
      <c r="A905" s="68"/>
      <c r="B905" s="68"/>
      <c r="C905" s="180"/>
      <c r="D905" s="68"/>
      <c r="E905" s="194"/>
      <c r="F905" s="195"/>
      <c r="G905" s="195"/>
      <c r="H905" s="195"/>
      <c r="K905" s="68"/>
      <c r="M905" s="68"/>
      <c r="O905" s="68"/>
      <c r="P905" s="68"/>
      <c r="Q905" s="68"/>
      <c r="R905" s="68"/>
      <c r="S905" s="68"/>
    </row>
    <row r="906" spans="1:19" ht="15.75" customHeight="1">
      <c r="A906" s="68"/>
      <c r="B906" s="68"/>
      <c r="C906" s="180"/>
      <c r="D906" s="68"/>
      <c r="E906" s="194"/>
      <c r="F906" s="195"/>
      <c r="G906" s="195"/>
      <c r="H906" s="195"/>
      <c r="K906" s="68"/>
      <c r="M906" s="68"/>
      <c r="O906" s="68"/>
      <c r="P906" s="68"/>
      <c r="Q906" s="68"/>
      <c r="R906" s="68"/>
      <c r="S906" s="68"/>
    </row>
    <row r="907" spans="1:19" ht="15.75" customHeight="1">
      <c r="A907" s="68"/>
      <c r="B907" s="68"/>
      <c r="C907" s="180"/>
      <c r="D907" s="68"/>
      <c r="E907" s="194"/>
      <c r="F907" s="195"/>
      <c r="G907" s="195"/>
      <c r="H907" s="195"/>
      <c r="K907" s="68"/>
      <c r="M907" s="68"/>
      <c r="O907" s="68"/>
      <c r="P907" s="68"/>
      <c r="Q907" s="68"/>
      <c r="R907" s="68"/>
      <c r="S907" s="68"/>
    </row>
    <row r="908" spans="1:19" ht="15.75" customHeight="1">
      <c r="A908" s="68"/>
      <c r="B908" s="68"/>
      <c r="C908" s="180"/>
      <c r="D908" s="68"/>
      <c r="E908" s="194"/>
      <c r="F908" s="195"/>
      <c r="G908" s="195"/>
      <c r="H908" s="195"/>
      <c r="K908" s="68"/>
      <c r="M908" s="68"/>
      <c r="O908" s="68"/>
      <c r="P908" s="68"/>
      <c r="Q908" s="68"/>
      <c r="R908" s="68"/>
      <c r="S908" s="68"/>
    </row>
    <row r="909" spans="1:19" ht="15.75" customHeight="1">
      <c r="A909" s="68"/>
      <c r="B909" s="68"/>
      <c r="C909" s="180"/>
      <c r="D909" s="68"/>
      <c r="E909" s="194"/>
      <c r="F909" s="195"/>
      <c r="G909" s="195"/>
      <c r="H909" s="195"/>
      <c r="K909" s="68"/>
      <c r="M909" s="68"/>
      <c r="O909" s="68"/>
      <c r="P909" s="68"/>
      <c r="Q909" s="68"/>
      <c r="R909" s="68"/>
      <c r="S909" s="68"/>
    </row>
    <row r="910" spans="1:19" ht="15.75" customHeight="1">
      <c r="A910" s="68"/>
      <c r="B910" s="68"/>
      <c r="C910" s="180"/>
      <c r="D910" s="68"/>
      <c r="E910" s="194"/>
      <c r="F910" s="195"/>
      <c r="G910" s="195"/>
      <c r="H910" s="195"/>
      <c r="K910" s="68"/>
      <c r="M910" s="68"/>
      <c r="O910" s="68"/>
      <c r="P910" s="68"/>
      <c r="Q910" s="68"/>
      <c r="R910" s="68"/>
      <c r="S910" s="68"/>
    </row>
    <row r="911" spans="1:19" ht="15.75" customHeight="1">
      <c r="A911" s="68"/>
      <c r="B911" s="68"/>
      <c r="C911" s="180"/>
      <c r="D911" s="68"/>
      <c r="E911" s="194"/>
      <c r="F911" s="195"/>
      <c r="G911" s="195"/>
      <c r="H911" s="195"/>
      <c r="K911" s="68"/>
      <c r="M911" s="68"/>
      <c r="O911" s="68"/>
      <c r="P911" s="68"/>
      <c r="Q911" s="68"/>
      <c r="R911" s="68"/>
      <c r="S911" s="68"/>
    </row>
    <row r="912" spans="1:19" ht="15.75" customHeight="1">
      <c r="A912" s="68"/>
      <c r="B912" s="68"/>
      <c r="C912" s="180"/>
      <c r="D912" s="68"/>
      <c r="E912" s="194"/>
      <c r="F912" s="195"/>
      <c r="G912" s="195"/>
      <c r="H912" s="195"/>
      <c r="K912" s="68"/>
      <c r="M912" s="68"/>
      <c r="O912" s="68"/>
      <c r="P912" s="68"/>
      <c r="Q912" s="68"/>
      <c r="R912" s="68"/>
      <c r="S912" s="68"/>
    </row>
    <row r="913" spans="1:19" ht="15.75" customHeight="1">
      <c r="A913" s="68"/>
      <c r="B913" s="68"/>
      <c r="C913" s="180"/>
      <c r="D913" s="68"/>
      <c r="E913" s="194"/>
      <c r="F913" s="195"/>
      <c r="G913" s="195"/>
      <c r="H913" s="195"/>
      <c r="K913" s="68"/>
      <c r="M913" s="68"/>
      <c r="O913" s="68"/>
      <c r="P913" s="68"/>
      <c r="Q913" s="68"/>
      <c r="R913" s="68"/>
      <c r="S913" s="68"/>
    </row>
    <row r="914" spans="1:19" ht="15.75" customHeight="1">
      <c r="A914" s="68"/>
      <c r="B914" s="68"/>
      <c r="C914" s="180"/>
      <c r="D914" s="68"/>
      <c r="E914" s="194"/>
      <c r="F914" s="195"/>
      <c r="G914" s="195"/>
      <c r="H914" s="195"/>
      <c r="K914" s="68"/>
      <c r="M914" s="68"/>
      <c r="O914" s="68"/>
      <c r="P914" s="68"/>
      <c r="Q914" s="68"/>
      <c r="R914" s="68"/>
      <c r="S914" s="68"/>
    </row>
    <row r="915" spans="1:19" ht="15.75" customHeight="1">
      <c r="A915" s="68"/>
      <c r="B915" s="68"/>
      <c r="C915" s="180"/>
      <c r="D915" s="68"/>
      <c r="E915" s="194"/>
      <c r="F915" s="195"/>
      <c r="G915" s="195"/>
      <c r="H915" s="195"/>
      <c r="K915" s="68"/>
      <c r="M915" s="68"/>
      <c r="O915" s="68"/>
      <c r="P915" s="68"/>
      <c r="Q915" s="68"/>
      <c r="R915" s="68"/>
      <c r="S915" s="68"/>
    </row>
    <row r="916" spans="1:19" ht="15.75" customHeight="1">
      <c r="A916" s="68"/>
      <c r="B916" s="68"/>
      <c r="C916" s="180"/>
      <c r="D916" s="68"/>
      <c r="E916" s="194"/>
      <c r="F916" s="195"/>
      <c r="G916" s="195"/>
      <c r="H916" s="195"/>
      <c r="K916" s="68"/>
      <c r="M916" s="68"/>
      <c r="O916" s="68"/>
      <c r="P916" s="68"/>
      <c r="Q916" s="68"/>
      <c r="R916" s="68"/>
      <c r="S916" s="68"/>
    </row>
    <row r="917" spans="1:19" ht="15.75" customHeight="1">
      <c r="A917" s="68"/>
      <c r="B917" s="68"/>
      <c r="C917" s="180"/>
      <c r="D917" s="68"/>
      <c r="E917" s="194"/>
      <c r="F917" s="195"/>
      <c r="G917" s="195"/>
      <c r="H917" s="195"/>
      <c r="K917" s="68"/>
      <c r="M917" s="68"/>
      <c r="O917" s="68"/>
      <c r="P917" s="68"/>
      <c r="Q917" s="68"/>
      <c r="R917" s="68"/>
      <c r="S917" s="68"/>
    </row>
    <row r="918" spans="1:19" ht="15.75" customHeight="1">
      <c r="A918" s="68"/>
      <c r="B918" s="68"/>
      <c r="C918" s="180"/>
      <c r="D918" s="68"/>
      <c r="E918" s="194"/>
      <c r="F918" s="195"/>
      <c r="G918" s="195"/>
      <c r="H918" s="195"/>
      <c r="K918" s="68"/>
      <c r="M918" s="68"/>
      <c r="O918" s="68"/>
      <c r="P918" s="68"/>
      <c r="Q918" s="68"/>
      <c r="R918" s="68"/>
      <c r="S918" s="68"/>
    </row>
    <row r="919" spans="1:19" ht="15.75" customHeight="1">
      <c r="A919" s="68"/>
      <c r="B919" s="68"/>
      <c r="C919" s="180"/>
      <c r="D919" s="68"/>
      <c r="E919" s="194"/>
      <c r="F919" s="195"/>
      <c r="G919" s="195"/>
      <c r="H919" s="195"/>
      <c r="K919" s="68"/>
      <c r="M919" s="68"/>
      <c r="O919" s="68"/>
      <c r="P919" s="68"/>
      <c r="Q919" s="68"/>
      <c r="R919" s="68"/>
      <c r="S919" s="68"/>
    </row>
    <row r="920" spans="1:19" ht="15.75" customHeight="1">
      <c r="A920" s="68"/>
      <c r="B920" s="68"/>
      <c r="C920" s="180"/>
      <c r="D920" s="68"/>
      <c r="E920" s="194"/>
      <c r="F920" s="195"/>
      <c r="G920" s="195"/>
      <c r="H920" s="195"/>
      <c r="K920" s="68"/>
      <c r="M920" s="68"/>
      <c r="O920" s="68"/>
      <c r="P920" s="68"/>
      <c r="Q920" s="68"/>
      <c r="R920" s="68"/>
      <c r="S920" s="68"/>
    </row>
    <row r="921" spans="1:19" ht="15.75" customHeight="1">
      <c r="A921" s="68"/>
      <c r="B921" s="68"/>
      <c r="C921" s="180"/>
      <c r="D921" s="68"/>
      <c r="E921" s="194"/>
      <c r="F921" s="195"/>
      <c r="G921" s="195"/>
      <c r="H921" s="195"/>
      <c r="K921" s="68"/>
      <c r="M921" s="68"/>
      <c r="O921" s="68"/>
      <c r="P921" s="68"/>
      <c r="Q921" s="68"/>
      <c r="R921" s="68"/>
      <c r="S921" s="68"/>
    </row>
    <row r="922" spans="1:19" ht="15.75" customHeight="1">
      <c r="A922" s="68"/>
      <c r="B922" s="68"/>
      <c r="C922" s="180"/>
      <c r="D922" s="68"/>
      <c r="E922" s="194"/>
      <c r="F922" s="195"/>
      <c r="G922" s="195"/>
      <c r="H922" s="195"/>
      <c r="K922" s="68"/>
      <c r="M922" s="68"/>
      <c r="O922" s="68"/>
      <c r="P922" s="68"/>
      <c r="Q922" s="68"/>
      <c r="R922" s="68"/>
      <c r="S922" s="68"/>
    </row>
    <row r="923" spans="1:19" ht="15.75" customHeight="1">
      <c r="A923" s="68"/>
      <c r="B923" s="68"/>
      <c r="C923" s="180"/>
      <c r="D923" s="68"/>
      <c r="E923" s="194"/>
      <c r="F923" s="195"/>
      <c r="G923" s="195"/>
      <c r="H923" s="195"/>
      <c r="K923" s="68"/>
      <c r="M923" s="68"/>
      <c r="O923" s="68"/>
      <c r="P923" s="68"/>
      <c r="Q923" s="68"/>
      <c r="R923" s="68"/>
      <c r="S923" s="68"/>
    </row>
    <row r="924" spans="1:19" ht="15.75" customHeight="1">
      <c r="A924" s="68"/>
      <c r="B924" s="68"/>
      <c r="C924" s="180"/>
      <c r="D924" s="68"/>
      <c r="E924" s="194"/>
      <c r="F924" s="195"/>
      <c r="G924" s="195"/>
      <c r="H924" s="195"/>
      <c r="K924" s="68"/>
      <c r="M924" s="68"/>
      <c r="O924" s="68"/>
      <c r="P924" s="68"/>
      <c r="Q924" s="68"/>
      <c r="R924" s="68"/>
      <c r="S924" s="68"/>
    </row>
    <row r="925" spans="1:19" ht="15.75" customHeight="1">
      <c r="A925" s="68"/>
      <c r="B925" s="68"/>
      <c r="C925" s="180"/>
      <c r="D925" s="68"/>
      <c r="E925" s="194"/>
      <c r="F925" s="195"/>
      <c r="G925" s="195"/>
      <c r="H925" s="195"/>
      <c r="K925" s="68"/>
      <c r="M925" s="68"/>
      <c r="O925" s="68"/>
      <c r="P925" s="68"/>
      <c r="Q925" s="68"/>
      <c r="R925" s="68"/>
      <c r="S925" s="68"/>
    </row>
    <row r="926" spans="1:19" ht="15.75" customHeight="1">
      <c r="A926" s="68"/>
      <c r="B926" s="68"/>
      <c r="C926" s="180"/>
      <c r="D926" s="68"/>
      <c r="E926" s="194"/>
      <c r="F926" s="195"/>
      <c r="G926" s="195"/>
      <c r="H926" s="195"/>
      <c r="K926" s="68"/>
      <c r="M926" s="68"/>
      <c r="O926" s="68"/>
      <c r="P926" s="68"/>
      <c r="Q926" s="68"/>
      <c r="R926" s="68"/>
      <c r="S926" s="68"/>
    </row>
    <row r="927" spans="1:19" ht="15.75" customHeight="1">
      <c r="A927" s="68"/>
      <c r="B927" s="68"/>
      <c r="C927" s="180"/>
      <c r="D927" s="68"/>
      <c r="E927" s="194"/>
      <c r="F927" s="195"/>
      <c r="G927" s="195"/>
      <c r="H927" s="195"/>
      <c r="K927" s="68"/>
      <c r="M927" s="68"/>
      <c r="O927" s="68"/>
      <c r="P927" s="68"/>
      <c r="Q927" s="68"/>
      <c r="R927" s="68"/>
      <c r="S927" s="68"/>
    </row>
    <row r="928" spans="1:19" ht="15.75" customHeight="1">
      <c r="A928" s="68"/>
      <c r="B928" s="68"/>
      <c r="C928" s="180"/>
      <c r="D928" s="68"/>
      <c r="E928" s="194"/>
      <c r="F928" s="195"/>
      <c r="G928" s="195"/>
      <c r="H928" s="195"/>
      <c r="K928" s="68"/>
      <c r="M928" s="68"/>
      <c r="O928" s="68"/>
      <c r="P928" s="68"/>
      <c r="Q928" s="68"/>
      <c r="R928" s="68"/>
      <c r="S928" s="68"/>
    </row>
    <row r="929" spans="1:19" ht="15.75" customHeight="1">
      <c r="A929" s="68"/>
      <c r="B929" s="68"/>
      <c r="C929" s="180"/>
      <c r="D929" s="68"/>
      <c r="E929" s="194"/>
      <c r="F929" s="195"/>
      <c r="G929" s="195"/>
      <c r="H929" s="195"/>
      <c r="K929" s="68"/>
      <c r="M929" s="68"/>
      <c r="O929" s="68"/>
      <c r="P929" s="68"/>
      <c r="Q929" s="68"/>
      <c r="R929" s="68"/>
      <c r="S929" s="68"/>
    </row>
    <row r="930" spans="1:19" ht="15.75" customHeight="1">
      <c r="A930" s="68"/>
      <c r="B930" s="68"/>
      <c r="C930" s="180"/>
      <c r="D930" s="68"/>
      <c r="E930" s="194"/>
      <c r="F930" s="195"/>
      <c r="G930" s="195"/>
      <c r="H930" s="195"/>
      <c r="K930" s="68"/>
      <c r="M930" s="68"/>
      <c r="O930" s="68"/>
      <c r="P930" s="68"/>
      <c r="Q930" s="68"/>
      <c r="R930" s="68"/>
      <c r="S930" s="68"/>
    </row>
    <row r="931" spans="1:19" ht="15.75" customHeight="1">
      <c r="A931" s="68"/>
      <c r="B931" s="68"/>
      <c r="C931" s="180"/>
      <c r="D931" s="68"/>
      <c r="E931" s="194"/>
      <c r="F931" s="195"/>
      <c r="G931" s="195"/>
      <c r="H931" s="195"/>
      <c r="K931" s="68"/>
      <c r="M931" s="68"/>
      <c r="O931" s="68"/>
      <c r="P931" s="68"/>
      <c r="Q931" s="68"/>
      <c r="R931" s="68"/>
      <c r="S931" s="68"/>
    </row>
    <row r="932" spans="1:19" ht="15.75" customHeight="1">
      <c r="A932" s="68"/>
      <c r="B932" s="68"/>
      <c r="C932" s="180"/>
      <c r="D932" s="68"/>
      <c r="E932" s="194"/>
      <c r="F932" s="195"/>
      <c r="G932" s="195"/>
      <c r="H932" s="195"/>
      <c r="K932" s="68"/>
      <c r="M932" s="68"/>
      <c r="O932" s="68"/>
      <c r="P932" s="68"/>
      <c r="Q932" s="68"/>
      <c r="R932" s="68"/>
      <c r="S932" s="68"/>
    </row>
    <row r="933" spans="1:19" ht="15.75" customHeight="1">
      <c r="A933" s="68"/>
      <c r="B933" s="68"/>
      <c r="C933" s="180"/>
      <c r="D933" s="68"/>
      <c r="E933" s="194"/>
      <c r="F933" s="195"/>
      <c r="G933" s="195"/>
      <c r="H933" s="195"/>
      <c r="K933" s="68"/>
      <c r="M933" s="68"/>
      <c r="O933" s="68"/>
      <c r="P933" s="68"/>
      <c r="Q933" s="68"/>
      <c r="R933" s="68"/>
      <c r="S933" s="68"/>
    </row>
    <row r="934" spans="1:19" ht="15.75" customHeight="1">
      <c r="A934" s="68"/>
      <c r="B934" s="68"/>
      <c r="C934" s="180"/>
      <c r="D934" s="68"/>
      <c r="E934" s="194"/>
      <c r="F934" s="195"/>
      <c r="G934" s="195"/>
      <c r="H934" s="195"/>
      <c r="K934" s="68"/>
      <c r="M934" s="68"/>
      <c r="O934" s="68"/>
      <c r="P934" s="68"/>
      <c r="Q934" s="68"/>
      <c r="R934" s="68"/>
      <c r="S934" s="68"/>
    </row>
    <row r="935" spans="1:19" ht="15.75" customHeight="1">
      <c r="A935" s="68"/>
      <c r="B935" s="68"/>
      <c r="C935" s="180"/>
      <c r="D935" s="68"/>
      <c r="E935" s="194"/>
      <c r="F935" s="195"/>
      <c r="G935" s="195"/>
      <c r="H935" s="195"/>
      <c r="K935" s="68"/>
      <c r="M935" s="68"/>
      <c r="O935" s="68"/>
      <c r="P935" s="68"/>
      <c r="Q935" s="68"/>
      <c r="R935" s="68"/>
      <c r="S935" s="68"/>
    </row>
    <row r="936" spans="1:19" ht="15.75" customHeight="1">
      <c r="A936" s="68"/>
      <c r="B936" s="68"/>
      <c r="C936" s="180"/>
      <c r="D936" s="68"/>
      <c r="E936" s="194"/>
      <c r="F936" s="195"/>
      <c r="G936" s="195"/>
      <c r="H936" s="195"/>
      <c r="K936" s="68"/>
      <c r="M936" s="68"/>
      <c r="O936" s="68"/>
      <c r="P936" s="68"/>
      <c r="Q936" s="68"/>
      <c r="R936" s="68"/>
      <c r="S936" s="68"/>
    </row>
    <row r="937" spans="1:19" ht="15.75" customHeight="1">
      <c r="A937" s="68"/>
      <c r="B937" s="68"/>
      <c r="C937" s="180"/>
      <c r="D937" s="68"/>
      <c r="E937" s="194"/>
      <c r="F937" s="195"/>
      <c r="G937" s="195"/>
      <c r="H937" s="195"/>
      <c r="K937" s="68"/>
      <c r="M937" s="68"/>
      <c r="O937" s="68"/>
      <c r="P937" s="68"/>
      <c r="Q937" s="68"/>
      <c r="R937" s="68"/>
      <c r="S937" s="68"/>
    </row>
    <row r="938" spans="1:19" ht="15.75" customHeight="1">
      <c r="A938" s="68"/>
      <c r="B938" s="68"/>
      <c r="C938" s="180"/>
      <c r="D938" s="68"/>
      <c r="E938" s="194"/>
      <c r="F938" s="195"/>
      <c r="G938" s="195"/>
      <c r="H938" s="195"/>
      <c r="K938" s="68"/>
      <c r="M938" s="68"/>
      <c r="O938" s="68"/>
      <c r="P938" s="68"/>
      <c r="Q938" s="68"/>
      <c r="R938" s="68"/>
      <c r="S938" s="68"/>
    </row>
    <row r="939" spans="1:19" ht="15.75" customHeight="1">
      <c r="A939" s="68"/>
      <c r="B939" s="68"/>
      <c r="C939" s="180"/>
      <c r="D939" s="68"/>
      <c r="E939" s="194"/>
      <c r="F939" s="195"/>
      <c r="G939" s="195"/>
      <c r="H939" s="195"/>
      <c r="K939" s="68"/>
      <c r="M939" s="68"/>
      <c r="O939" s="68"/>
      <c r="P939" s="68"/>
      <c r="Q939" s="68"/>
      <c r="R939" s="68"/>
      <c r="S939" s="68"/>
    </row>
    <row r="940" spans="1:19" ht="15.75" customHeight="1">
      <c r="A940" s="68"/>
      <c r="B940" s="68"/>
      <c r="C940" s="180"/>
      <c r="D940" s="68"/>
      <c r="E940" s="194"/>
      <c r="F940" s="195"/>
      <c r="G940" s="195"/>
      <c r="H940" s="195"/>
      <c r="K940" s="68"/>
      <c r="M940" s="68"/>
      <c r="O940" s="68"/>
      <c r="P940" s="68"/>
      <c r="Q940" s="68"/>
      <c r="R940" s="68"/>
      <c r="S940" s="68"/>
    </row>
    <row r="941" spans="1:19" ht="15.75" customHeight="1">
      <c r="A941" s="68"/>
      <c r="B941" s="68"/>
      <c r="C941" s="180"/>
      <c r="D941" s="68"/>
      <c r="E941" s="194"/>
      <c r="F941" s="195"/>
      <c r="G941" s="195"/>
      <c r="H941" s="195"/>
      <c r="K941" s="68"/>
      <c r="M941" s="68"/>
      <c r="O941" s="68"/>
      <c r="P941" s="68"/>
      <c r="Q941" s="68"/>
      <c r="R941" s="68"/>
      <c r="S941" s="68"/>
    </row>
    <row r="942" spans="1:19" ht="15.75" customHeight="1">
      <c r="A942" s="68"/>
      <c r="B942" s="68"/>
      <c r="C942" s="180"/>
      <c r="D942" s="68"/>
      <c r="E942" s="194"/>
      <c r="F942" s="195"/>
      <c r="G942" s="195"/>
      <c r="H942" s="195"/>
      <c r="K942" s="68"/>
      <c r="M942" s="68"/>
      <c r="O942" s="68"/>
      <c r="P942" s="68"/>
      <c r="Q942" s="68"/>
      <c r="R942" s="68"/>
      <c r="S942" s="68"/>
    </row>
    <row r="943" spans="1:19" ht="15.75" customHeight="1">
      <c r="A943" s="68"/>
      <c r="B943" s="68"/>
      <c r="C943" s="180"/>
      <c r="D943" s="68"/>
      <c r="E943" s="194"/>
      <c r="F943" s="195"/>
      <c r="G943" s="195"/>
      <c r="H943" s="195"/>
      <c r="K943" s="68"/>
      <c r="M943" s="68"/>
      <c r="O943" s="68"/>
      <c r="P943" s="68"/>
      <c r="Q943" s="68"/>
      <c r="R943" s="68"/>
      <c r="S943" s="68"/>
    </row>
    <row r="944" spans="1:19" ht="15.75" customHeight="1">
      <c r="A944" s="68"/>
      <c r="B944" s="68"/>
      <c r="C944" s="180"/>
      <c r="D944" s="68"/>
      <c r="E944" s="194"/>
      <c r="F944" s="195"/>
      <c r="G944" s="195"/>
      <c r="H944" s="195"/>
      <c r="K944" s="68"/>
      <c r="M944" s="68"/>
      <c r="O944" s="68"/>
      <c r="P944" s="68"/>
      <c r="Q944" s="68"/>
      <c r="R944" s="68"/>
      <c r="S944" s="68"/>
    </row>
    <row r="945" spans="1:19" ht="15.75" customHeight="1">
      <c r="A945" s="68"/>
      <c r="B945" s="68"/>
      <c r="C945" s="180"/>
      <c r="D945" s="68"/>
      <c r="E945" s="194"/>
      <c r="F945" s="195"/>
      <c r="G945" s="195"/>
      <c r="H945" s="195"/>
      <c r="K945" s="68"/>
      <c r="M945" s="68"/>
      <c r="O945" s="68"/>
      <c r="P945" s="68"/>
      <c r="Q945" s="68"/>
      <c r="R945" s="68"/>
      <c r="S945" s="68"/>
    </row>
    <row r="946" spans="1:19" ht="15.75" customHeight="1">
      <c r="A946" s="68"/>
      <c r="B946" s="68"/>
      <c r="C946" s="180"/>
      <c r="D946" s="68"/>
      <c r="E946" s="194"/>
      <c r="F946" s="195"/>
      <c r="G946" s="195"/>
      <c r="H946" s="195"/>
      <c r="K946" s="68"/>
      <c r="M946" s="68"/>
      <c r="O946" s="68"/>
      <c r="P946" s="68"/>
      <c r="Q946" s="68"/>
      <c r="R946" s="68"/>
      <c r="S946" s="68"/>
    </row>
    <row r="947" spans="1:19" ht="15.75" customHeight="1">
      <c r="A947" s="68"/>
      <c r="B947" s="68"/>
      <c r="C947" s="180"/>
      <c r="D947" s="68"/>
      <c r="E947" s="194"/>
      <c r="F947" s="195"/>
      <c r="G947" s="195"/>
      <c r="H947" s="195"/>
      <c r="K947" s="68"/>
      <c r="M947" s="68"/>
      <c r="O947" s="68"/>
      <c r="P947" s="68"/>
      <c r="Q947" s="68"/>
      <c r="R947" s="68"/>
      <c r="S947" s="68"/>
    </row>
    <row r="948" spans="1:19" ht="15.75" customHeight="1">
      <c r="A948" s="68"/>
      <c r="B948" s="68"/>
      <c r="C948" s="180"/>
      <c r="D948" s="68"/>
      <c r="E948" s="194"/>
      <c r="F948" s="195"/>
      <c r="G948" s="195"/>
      <c r="H948" s="195"/>
      <c r="K948" s="68"/>
      <c r="M948" s="68"/>
      <c r="O948" s="68"/>
      <c r="P948" s="68"/>
      <c r="Q948" s="68"/>
      <c r="R948" s="68"/>
      <c r="S948" s="68"/>
    </row>
    <row r="949" spans="1:19" ht="15.75" customHeight="1">
      <c r="A949" s="68"/>
      <c r="B949" s="68"/>
      <c r="C949" s="180"/>
      <c r="D949" s="68"/>
      <c r="E949" s="194"/>
      <c r="F949" s="195"/>
      <c r="G949" s="195"/>
      <c r="H949" s="195"/>
      <c r="K949" s="68"/>
      <c r="M949" s="68"/>
      <c r="O949" s="68"/>
      <c r="P949" s="68"/>
      <c r="Q949" s="68"/>
      <c r="R949" s="68"/>
      <c r="S949" s="68"/>
    </row>
    <row r="950" spans="1:19" ht="15.75" customHeight="1">
      <c r="A950" s="68"/>
      <c r="B950" s="68"/>
      <c r="C950" s="180"/>
      <c r="D950" s="68"/>
      <c r="E950" s="194"/>
      <c r="F950" s="195"/>
      <c r="G950" s="195"/>
      <c r="H950" s="195"/>
      <c r="K950" s="68"/>
      <c r="M950" s="68"/>
      <c r="O950" s="68"/>
      <c r="P950" s="68"/>
      <c r="Q950" s="68"/>
      <c r="R950" s="68"/>
      <c r="S950" s="68"/>
    </row>
    <row r="951" spans="1:19" ht="15.75" customHeight="1">
      <c r="A951" s="68"/>
      <c r="B951" s="68"/>
      <c r="C951" s="180"/>
      <c r="D951" s="68"/>
      <c r="E951" s="194"/>
      <c r="F951" s="195"/>
      <c r="G951" s="195"/>
      <c r="H951" s="195"/>
      <c r="K951" s="68"/>
      <c r="M951" s="68"/>
      <c r="O951" s="68"/>
      <c r="P951" s="68"/>
      <c r="Q951" s="68"/>
      <c r="R951" s="68"/>
      <c r="S951" s="68"/>
    </row>
    <row r="952" spans="1:19" ht="15.75" customHeight="1">
      <c r="A952" s="68"/>
      <c r="B952" s="68"/>
      <c r="C952" s="180"/>
      <c r="D952" s="68"/>
      <c r="E952" s="194"/>
      <c r="F952" s="195"/>
      <c r="G952" s="195"/>
      <c r="H952" s="195"/>
      <c r="K952" s="68"/>
      <c r="M952" s="68"/>
      <c r="O952" s="68"/>
      <c r="P952" s="68"/>
      <c r="Q952" s="68"/>
      <c r="R952" s="68"/>
      <c r="S952" s="68"/>
    </row>
    <row r="953" spans="1:19" ht="15.75" customHeight="1">
      <c r="A953" s="68"/>
      <c r="B953" s="68"/>
      <c r="C953" s="180"/>
      <c r="D953" s="68"/>
      <c r="E953" s="194"/>
      <c r="F953" s="195"/>
      <c r="G953" s="195"/>
      <c r="H953" s="195"/>
      <c r="K953" s="68"/>
      <c r="M953" s="68"/>
      <c r="O953" s="68"/>
      <c r="P953" s="68"/>
      <c r="Q953" s="68"/>
      <c r="R953" s="68"/>
      <c r="S953" s="68"/>
    </row>
    <row r="954" spans="1:19" ht="15.75" customHeight="1">
      <c r="A954" s="68"/>
      <c r="B954" s="68"/>
      <c r="C954" s="180"/>
      <c r="D954" s="68"/>
      <c r="E954" s="194"/>
      <c r="F954" s="195"/>
      <c r="G954" s="195"/>
      <c r="H954" s="195"/>
      <c r="K954" s="68"/>
      <c r="M954" s="68"/>
      <c r="O954" s="68"/>
      <c r="P954" s="68"/>
      <c r="Q954" s="68"/>
      <c r="R954" s="68"/>
      <c r="S954" s="68"/>
    </row>
    <row r="955" spans="1:19" ht="15.75" customHeight="1">
      <c r="A955" s="68"/>
      <c r="B955" s="68"/>
      <c r="C955" s="180"/>
      <c r="D955" s="68"/>
      <c r="E955" s="194"/>
      <c r="F955" s="195"/>
      <c r="G955" s="195"/>
      <c r="H955" s="195"/>
      <c r="K955" s="68"/>
      <c r="M955" s="68"/>
      <c r="O955" s="68"/>
      <c r="P955" s="68"/>
      <c r="Q955" s="68"/>
      <c r="R955" s="68"/>
      <c r="S955" s="68"/>
    </row>
    <row r="956" spans="1:19" ht="15.75" customHeight="1">
      <c r="A956" s="68"/>
      <c r="B956" s="68"/>
      <c r="C956" s="180"/>
      <c r="D956" s="68"/>
      <c r="E956" s="194"/>
      <c r="F956" s="195"/>
      <c r="G956" s="195"/>
      <c r="H956" s="195"/>
      <c r="K956" s="68"/>
      <c r="M956" s="68"/>
      <c r="O956" s="68"/>
      <c r="P956" s="68"/>
      <c r="Q956" s="68"/>
      <c r="R956" s="68"/>
      <c r="S956" s="68"/>
    </row>
    <row r="957" spans="1:19" ht="15.75" customHeight="1">
      <c r="A957" s="68"/>
      <c r="B957" s="68"/>
      <c r="C957" s="180"/>
      <c r="D957" s="68"/>
      <c r="E957" s="194"/>
      <c r="F957" s="195"/>
      <c r="G957" s="195"/>
      <c r="H957" s="195"/>
      <c r="K957" s="68"/>
      <c r="M957" s="68"/>
      <c r="O957" s="68"/>
      <c r="P957" s="68"/>
      <c r="Q957" s="68"/>
      <c r="R957" s="68"/>
      <c r="S957" s="68"/>
    </row>
    <row r="958" spans="1:19" ht="15.75" customHeight="1">
      <c r="A958" s="68"/>
      <c r="B958" s="68"/>
      <c r="C958" s="180"/>
      <c r="D958" s="68"/>
      <c r="E958" s="194"/>
      <c r="F958" s="195"/>
      <c r="G958" s="195"/>
      <c r="H958" s="195"/>
      <c r="K958" s="68"/>
      <c r="M958" s="68"/>
      <c r="O958" s="68"/>
      <c r="P958" s="68"/>
      <c r="Q958" s="68"/>
      <c r="R958" s="68"/>
      <c r="S958" s="68"/>
    </row>
    <row r="959" spans="1:19" ht="15.75" customHeight="1">
      <c r="A959" s="68"/>
      <c r="B959" s="68"/>
      <c r="C959" s="180"/>
      <c r="D959" s="68"/>
      <c r="E959" s="194"/>
      <c r="F959" s="195"/>
      <c r="G959" s="195"/>
      <c r="H959" s="195"/>
      <c r="K959" s="68"/>
      <c r="M959" s="68"/>
      <c r="O959" s="68"/>
      <c r="P959" s="68"/>
      <c r="Q959" s="68"/>
      <c r="R959" s="68"/>
      <c r="S959" s="68"/>
    </row>
    <row r="960" spans="1:19" ht="15.75" customHeight="1">
      <c r="A960" s="68"/>
      <c r="B960" s="68"/>
      <c r="C960" s="180"/>
      <c r="D960" s="68"/>
      <c r="E960" s="194"/>
      <c r="F960" s="195"/>
      <c r="G960" s="195"/>
      <c r="H960" s="195"/>
      <c r="K960" s="68"/>
      <c r="M960" s="68"/>
      <c r="O960" s="68"/>
      <c r="P960" s="68"/>
      <c r="Q960" s="68"/>
      <c r="R960" s="68"/>
      <c r="S960" s="68"/>
    </row>
    <row r="961" spans="1:19" ht="15.75" customHeight="1">
      <c r="A961" s="68"/>
      <c r="B961" s="68"/>
      <c r="C961" s="180"/>
      <c r="D961" s="68"/>
      <c r="E961" s="194"/>
      <c r="F961" s="195"/>
      <c r="G961" s="195"/>
      <c r="H961" s="195"/>
      <c r="K961" s="68"/>
      <c r="M961" s="68"/>
      <c r="O961" s="68"/>
      <c r="P961" s="68"/>
      <c r="Q961" s="68"/>
      <c r="R961" s="68"/>
      <c r="S961" s="68"/>
    </row>
    <row r="962" spans="1:19" ht="15.75" customHeight="1">
      <c r="A962" s="68"/>
      <c r="B962" s="68"/>
      <c r="C962" s="180"/>
      <c r="D962" s="68"/>
      <c r="E962" s="194"/>
      <c r="F962" s="195"/>
      <c r="G962" s="195"/>
      <c r="H962" s="195"/>
      <c r="K962" s="68"/>
      <c r="M962" s="68"/>
      <c r="O962" s="68"/>
      <c r="P962" s="68"/>
      <c r="Q962" s="68"/>
      <c r="R962" s="68"/>
      <c r="S962" s="68"/>
    </row>
    <row r="963" spans="1:19" ht="15.75" customHeight="1">
      <c r="A963" s="68"/>
      <c r="B963" s="68"/>
      <c r="C963" s="180"/>
      <c r="D963" s="68"/>
      <c r="E963" s="194"/>
      <c r="F963" s="195"/>
      <c r="G963" s="195"/>
      <c r="H963" s="195"/>
      <c r="K963" s="68"/>
      <c r="M963" s="68"/>
      <c r="O963" s="68"/>
      <c r="P963" s="68"/>
      <c r="Q963" s="68"/>
      <c r="R963" s="68"/>
      <c r="S963" s="68"/>
    </row>
    <row r="964" spans="1:19" ht="15.75" customHeight="1">
      <c r="A964" s="68"/>
      <c r="B964" s="68"/>
      <c r="C964" s="180"/>
      <c r="D964" s="68"/>
      <c r="E964" s="194"/>
      <c r="F964" s="195"/>
      <c r="G964" s="195"/>
      <c r="H964" s="195"/>
      <c r="K964" s="68"/>
      <c r="M964" s="68"/>
      <c r="O964" s="68"/>
      <c r="P964" s="68"/>
      <c r="Q964" s="68"/>
      <c r="R964" s="68"/>
      <c r="S964" s="68"/>
    </row>
    <row r="965" spans="1:19" ht="15.75" customHeight="1">
      <c r="A965" s="68"/>
      <c r="B965" s="68"/>
      <c r="C965" s="180"/>
      <c r="D965" s="68"/>
      <c r="E965" s="194"/>
      <c r="F965" s="195"/>
      <c r="G965" s="195"/>
      <c r="H965" s="195"/>
      <c r="K965" s="68"/>
      <c r="M965" s="68"/>
      <c r="O965" s="68"/>
      <c r="P965" s="68"/>
      <c r="Q965" s="68"/>
      <c r="R965" s="68"/>
      <c r="S965" s="68"/>
    </row>
    <row r="966" spans="1:19" ht="15.75" customHeight="1">
      <c r="A966" s="68"/>
      <c r="B966" s="68"/>
      <c r="C966" s="180"/>
      <c r="D966" s="68"/>
      <c r="E966" s="194"/>
      <c r="F966" s="195"/>
      <c r="G966" s="195"/>
      <c r="H966" s="195"/>
      <c r="K966" s="68"/>
      <c r="M966" s="68"/>
      <c r="O966" s="68"/>
      <c r="P966" s="68"/>
      <c r="Q966" s="68"/>
      <c r="R966" s="68"/>
      <c r="S966" s="68"/>
    </row>
    <row r="967" spans="1:19" ht="15.75" customHeight="1">
      <c r="A967" s="68"/>
      <c r="B967" s="68"/>
      <c r="C967" s="180"/>
      <c r="D967" s="68"/>
      <c r="E967" s="194"/>
      <c r="F967" s="195"/>
      <c r="G967" s="195"/>
      <c r="H967" s="195"/>
      <c r="K967" s="68"/>
      <c r="M967" s="68"/>
      <c r="O967" s="68"/>
      <c r="P967" s="68"/>
      <c r="Q967" s="68"/>
      <c r="R967" s="68"/>
      <c r="S967" s="68"/>
    </row>
    <row r="968" spans="1:19" ht="15.75" customHeight="1">
      <c r="A968" s="68"/>
      <c r="B968" s="68"/>
      <c r="C968" s="180"/>
      <c r="D968" s="68"/>
      <c r="E968" s="194"/>
      <c r="F968" s="195"/>
      <c r="G968" s="195"/>
      <c r="H968" s="195"/>
      <c r="K968" s="68"/>
      <c r="M968" s="68"/>
      <c r="O968" s="68"/>
      <c r="P968" s="68"/>
      <c r="Q968" s="68"/>
      <c r="R968" s="68"/>
      <c r="S968" s="68"/>
    </row>
    <row r="969" spans="1:19" ht="15.75" customHeight="1">
      <c r="A969" s="68"/>
      <c r="B969" s="68"/>
      <c r="C969" s="180"/>
      <c r="D969" s="68"/>
      <c r="E969" s="194"/>
      <c r="F969" s="195"/>
      <c r="G969" s="195"/>
      <c r="H969" s="195"/>
      <c r="K969" s="68"/>
      <c r="M969" s="68"/>
      <c r="O969" s="68"/>
      <c r="P969" s="68"/>
      <c r="Q969" s="68"/>
      <c r="R969" s="68"/>
      <c r="S969" s="68"/>
    </row>
    <row r="970" spans="1:19" ht="15.75" customHeight="1">
      <c r="A970" s="68"/>
      <c r="B970" s="68"/>
      <c r="C970" s="180"/>
      <c r="D970" s="68"/>
      <c r="E970" s="194"/>
      <c r="F970" s="195"/>
      <c r="G970" s="195"/>
      <c r="H970" s="195"/>
      <c r="K970" s="68"/>
      <c r="M970" s="68"/>
      <c r="O970" s="68"/>
      <c r="P970" s="68"/>
      <c r="Q970" s="68"/>
      <c r="R970" s="68"/>
      <c r="S970" s="68"/>
    </row>
    <row r="971" spans="1:19" ht="15.75" customHeight="1">
      <c r="A971" s="68"/>
      <c r="B971" s="68"/>
      <c r="C971" s="180"/>
      <c r="D971" s="68"/>
      <c r="E971" s="194"/>
      <c r="F971" s="195"/>
      <c r="G971" s="195"/>
      <c r="H971" s="195"/>
      <c r="K971" s="68"/>
      <c r="M971" s="68"/>
      <c r="O971" s="68"/>
      <c r="P971" s="68"/>
      <c r="Q971" s="68"/>
      <c r="R971" s="68"/>
      <c r="S971" s="68"/>
    </row>
    <row r="972" spans="1:19" ht="15.75" customHeight="1">
      <c r="A972" s="68"/>
      <c r="B972" s="68"/>
      <c r="C972" s="180"/>
      <c r="D972" s="68"/>
      <c r="E972" s="194"/>
      <c r="F972" s="195"/>
      <c r="G972" s="195"/>
      <c r="H972" s="195"/>
      <c r="K972" s="68"/>
      <c r="M972" s="68"/>
      <c r="O972" s="68"/>
      <c r="P972" s="68"/>
      <c r="Q972" s="68"/>
      <c r="R972" s="68"/>
      <c r="S972" s="68"/>
    </row>
    <row r="973" spans="1:19" ht="15.75" customHeight="1">
      <c r="A973" s="68"/>
      <c r="B973" s="68"/>
      <c r="C973" s="180"/>
      <c r="D973" s="68"/>
      <c r="E973" s="194"/>
      <c r="F973" s="195"/>
      <c r="G973" s="195"/>
      <c r="H973" s="195"/>
      <c r="K973" s="68"/>
      <c r="M973" s="68"/>
      <c r="O973" s="68"/>
      <c r="P973" s="68"/>
      <c r="Q973" s="68"/>
      <c r="R973" s="68"/>
      <c r="S973" s="68"/>
    </row>
    <row r="974" spans="1:19" ht="15.75" customHeight="1">
      <c r="A974" s="68"/>
      <c r="B974" s="68"/>
      <c r="C974" s="180"/>
      <c r="D974" s="68"/>
      <c r="E974" s="194"/>
      <c r="F974" s="195"/>
      <c r="G974" s="195"/>
      <c r="H974" s="195"/>
      <c r="K974" s="68"/>
      <c r="M974" s="68"/>
      <c r="O974" s="68"/>
      <c r="P974" s="68"/>
      <c r="Q974" s="68"/>
      <c r="R974" s="68"/>
      <c r="S974" s="68"/>
    </row>
    <row r="975" spans="1:19" ht="15.75" customHeight="1">
      <c r="A975" s="68"/>
      <c r="B975" s="68"/>
      <c r="C975" s="180"/>
      <c r="D975" s="68"/>
      <c r="E975" s="194"/>
      <c r="F975" s="195"/>
      <c r="G975" s="195"/>
      <c r="H975" s="195"/>
      <c r="K975" s="68"/>
      <c r="M975" s="68"/>
      <c r="O975" s="68"/>
      <c r="P975" s="68"/>
      <c r="Q975" s="68"/>
      <c r="R975" s="68"/>
      <c r="S975" s="68"/>
    </row>
    <row r="976" spans="1:19" ht="15.75" customHeight="1">
      <c r="A976" s="68"/>
      <c r="B976" s="68"/>
      <c r="C976" s="180"/>
      <c r="D976" s="68"/>
      <c r="E976" s="194"/>
      <c r="F976" s="195"/>
      <c r="G976" s="195"/>
      <c r="H976" s="195"/>
      <c r="K976" s="68"/>
      <c r="M976" s="68"/>
      <c r="O976" s="68"/>
      <c r="P976" s="68"/>
      <c r="Q976" s="68"/>
      <c r="R976" s="68"/>
      <c r="S976" s="68"/>
    </row>
    <row r="977" spans="1:19" ht="15.75" customHeight="1">
      <c r="A977" s="68"/>
      <c r="B977" s="68"/>
      <c r="C977" s="180"/>
      <c r="D977" s="68"/>
      <c r="E977" s="194"/>
      <c r="F977" s="195"/>
      <c r="G977" s="195"/>
      <c r="H977" s="195"/>
      <c r="K977" s="68"/>
      <c r="M977" s="68"/>
      <c r="O977" s="68"/>
      <c r="P977" s="68"/>
      <c r="Q977" s="68"/>
      <c r="R977" s="68"/>
      <c r="S977" s="68"/>
    </row>
    <row r="978" spans="1:19" ht="15.75" customHeight="1">
      <c r="A978" s="68"/>
      <c r="B978" s="68"/>
      <c r="C978" s="180"/>
      <c r="D978" s="68"/>
      <c r="E978" s="194"/>
      <c r="F978" s="195"/>
      <c r="G978" s="195"/>
      <c r="H978" s="195"/>
      <c r="K978" s="68"/>
      <c r="M978" s="68"/>
      <c r="O978" s="68"/>
      <c r="P978" s="68"/>
      <c r="Q978" s="68"/>
      <c r="R978" s="68"/>
      <c r="S978" s="68"/>
    </row>
    <row r="979" spans="1:19" ht="15.75" customHeight="1">
      <c r="A979" s="68"/>
      <c r="B979" s="68"/>
      <c r="C979" s="180"/>
      <c r="D979" s="68"/>
      <c r="E979" s="194"/>
      <c r="F979" s="195"/>
      <c r="G979" s="195"/>
      <c r="H979" s="195"/>
      <c r="K979" s="68"/>
      <c r="M979" s="68"/>
      <c r="O979" s="68"/>
      <c r="P979" s="68"/>
      <c r="Q979" s="68"/>
      <c r="R979" s="68"/>
      <c r="S979" s="68"/>
    </row>
    <row r="980" spans="1:19" ht="15.75" customHeight="1">
      <c r="A980" s="68"/>
      <c r="B980" s="68"/>
      <c r="C980" s="180"/>
      <c r="D980" s="68"/>
      <c r="E980" s="194"/>
      <c r="F980" s="195"/>
      <c r="G980" s="195"/>
      <c r="H980" s="195"/>
      <c r="K980" s="68"/>
      <c r="M980" s="68"/>
      <c r="O980" s="68"/>
      <c r="P980" s="68"/>
      <c r="Q980" s="68"/>
      <c r="R980" s="68"/>
      <c r="S980" s="68"/>
    </row>
    <row r="981" spans="1:19" ht="15.75" customHeight="1">
      <c r="A981" s="68"/>
      <c r="B981" s="68"/>
      <c r="C981" s="180"/>
      <c r="D981" s="68"/>
      <c r="E981" s="194"/>
      <c r="F981" s="195"/>
      <c r="G981" s="195"/>
      <c r="H981" s="195"/>
      <c r="K981" s="68"/>
      <c r="M981" s="68"/>
      <c r="O981" s="68"/>
      <c r="P981" s="68"/>
      <c r="Q981" s="68"/>
      <c r="R981" s="68"/>
      <c r="S981" s="68"/>
    </row>
    <row r="982" spans="1:19" ht="15.75" customHeight="1">
      <c r="A982" s="68"/>
      <c r="B982" s="68"/>
      <c r="C982" s="180"/>
      <c r="D982" s="68"/>
      <c r="E982" s="194"/>
      <c r="F982" s="195"/>
      <c r="G982" s="195"/>
      <c r="H982" s="195"/>
      <c r="K982" s="68"/>
      <c r="M982" s="68"/>
      <c r="O982" s="68"/>
      <c r="P982" s="68"/>
      <c r="Q982" s="68"/>
      <c r="R982" s="68"/>
      <c r="S982" s="68"/>
    </row>
    <row r="983" spans="1:19" ht="15.75" customHeight="1">
      <c r="A983" s="68"/>
      <c r="B983" s="68"/>
      <c r="C983" s="180"/>
      <c r="D983" s="68"/>
      <c r="E983" s="194"/>
      <c r="F983" s="195"/>
      <c r="G983" s="195"/>
      <c r="H983" s="195"/>
      <c r="K983" s="68"/>
      <c r="M983" s="68"/>
      <c r="O983" s="68"/>
      <c r="P983" s="68"/>
      <c r="Q983" s="68"/>
      <c r="R983" s="68"/>
      <c r="S983" s="68"/>
    </row>
    <row r="984" spans="1:19" ht="15.75" customHeight="1">
      <c r="A984" s="68"/>
      <c r="B984" s="68"/>
      <c r="C984" s="180"/>
      <c r="D984" s="68"/>
      <c r="E984" s="194"/>
      <c r="F984" s="195"/>
      <c r="G984" s="195"/>
      <c r="H984" s="195"/>
      <c r="K984" s="68"/>
      <c r="M984" s="68"/>
      <c r="O984" s="68"/>
      <c r="P984" s="68"/>
      <c r="Q984" s="68"/>
      <c r="R984" s="68"/>
      <c r="S984" s="68"/>
    </row>
    <row r="985" spans="1:19" ht="15.75" customHeight="1">
      <c r="A985" s="68"/>
      <c r="B985" s="68"/>
      <c r="C985" s="180"/>
      <c r="D985" s="68"/>
      <c r="E985" s="194"/>
      <c r="F985" s="195"/>
      <c r="G985" s="195"/>
      <c r="H985" s="195"/>
      <c r="K985" s="68"/>
      <c r="M985" s="68"/>
      <c r="O985" s="68"/>
      <c r="P985" s="68"/>
      <c r="Q985" s="68"/>
      <c r="R985" s="68"/>
      <c r="S985" s="68"/>
    </row>
    <row r="986" spans="1:19" ht="15.75" customHeight="1">
      <c r="A986" s="68"/>
      <c r="B986" s="68"/>
      <c r="C986" s="180"/>
      <c r="D986" s="68"/>
      <c r="E986" s="194"/>
      <c r="F986" s="195"/>
      <c r="G986" s="195"/>
      <c r="H986" s="195"/>
      <c r="K986" s="68"/>
      <c r="M986" s="68"/>
      <c r="O986" s="68"/>
      <c r="P986" s="68"/>
      <c r="Q986" s="68"/>
      <c r="R986" s="68"/>
      <c r="S986" s="68"/>
    </row>
    <row r="987" spans="1:19" ht="15.75" customHeight="1">
      <c r="A987" s="68"/>
      <c r="B987" s="68"/>
      <c r="C987" s="180"/>
      <c r="D987" s="68"/>
      <c r="E987" s="194"/>
      <c r="F987" s="195"/>
      <c r="G987" s="195"/>
      <c r="H987" s="195"/>
      <c r="K987" s="68"/>
      <c r="M987" s="68"/>
      <c r="O987" s="68"/>
      <c r="P987" s="68"/>
      <c r="Q987" s="68"/>
      <c r="R987" s="68"/>
      <c r="S987" s="68"/>
    </row>
    <row r="988" spans="1:19" ht="15.75" customHeight="1">
      <c r="A988" s="68"/>
      <c r="B988" s="68"/>
      <c r="C988" s="180"/>
      <c r="D988" s="68"/>
      <c r="E988" s="194"/>
      <c r="F988" s="195"/>
      <c r="G988" s="195"/>
      <c r="H988" s="195"/>
      <c r="K988" s="68"/>
      <c r="M988" s="68"/>
      <c r="O988" s="68"/>
      <c r="P988" s="68"/>
      <c r="Q988" s="68"/>
      <c r="R988" s="68"/>
      <c r="S988" s="68"/>
    </row>
    <row r="989" spans="1:19" ht="15.75" customHeight="1">
      <c r="A989" s="68"/>
      <c r="B989" s="68"/>
      <c r="C989" s="180"/>
      <c r="D989" s="68"/>
      <c r="E989" s="194"/>
      <c r="F989" s="195"/>
      <c r="G989" s="195"/>
      <c r="H989" s="195"/>
      <c r="K989" s="68"/>
      <c r="M989" s="68"/>
      <c r="O989" s="68"/>
      <c r="P989" s="68"/>
      <c r="Q989" s="68"/>
      <c r="R989" s="68"/>
      <c r="S989" s="68"/>
    </row>
    <row r="990" spans="1:19" ht="15.75" customHeight="1">
      <c r="A990" s="68"/>
      <c r="B990" s="68"/>
      <c r="C990" s="180"/>
      <c r="D990" s="68"/>
      <c r="E990" s="194"/>
      <c r="F990" s="195"/>
      <c r="G990" s="195"/>
      <c r="H990" s="195"/>
      <c r="K990" s="68"/>
      <c r="M990" s="68"/>
      <c r="O990" s="68"/>
      <c r="P990" s="68"/>
      <c r="Q990" s="68"/>
      <c r="R990" s="68"/>
      <c r="S990" s="68"/>
    </row>
    <row r="991" spans="1:19" ht="15.75" customHeight="1">
      <c r="A991" s="68"/>
      <c r="B991" s="68"/>
      <c r="C991" s="180"/>
      <c r="D991" s="68"/>
      <c r="E991" s="194"/>
      <c r="F991" s="195"/>
      <c r="G991" s="195"/>
      <c r="H991" s="195"/>
      <c r="K991" s="68"/>
      <c r="M991" s="68"/>
      <c r="O991" s="68"/>
      <c r="P991" s="68"/>
      <c r="Q991" s="68"/>
      <c r="R991" s="68"/>
      <c r="S991" s="68"/>
    </row>
    <row r="992" spans="1:19" ht="15.75" customHeight="1">
      <c r="A992" s="68"/>
      <c r="B992" s="68"/>
      <c r="C992" s="180"/>
      <c r="D992" s="68"/>
      <c r="E992" s="194"/>
      <c r="F992" s="195"/>
      <c r="G992" s="195"/>
      <c r="H992" s="195"/>
      <c r="K992" s="68"/>
      <c r="M992" s="68"/>
      <c r="O992" s="68"/>
      <c r="P992" s="68"/>
      <c r="Q992" s="68"/>
      <c r="R992" s="68"/>
      <c r="S992" s="68"/>
    </row>
    <row r="993" spans="1:19" ht="15.75" customHeight="1">
      <c r="A993" s="68"/>
      <c r="B993" s="68"/>
      <c r="C993" s="180"/>
      <c r="D993" s="68"/>
      <c r="E993" s="194"/>
      <c r="F993" s="195"/>
      <c r="G993" s="195"/>
      <c r="H993" s="195"/>
      <c r="K993" s="68"/>
      <c r="M993" s="68"/>
      <c r="O993" s="68"/>
      <c r="P993" s="68"/>
      <c r="Q993" s="68"/>
      <c r="R993" s="68"/>
      <c r="S993" s="68"/>
    </row>
    <row r="994" spans="1:19" ht="15.75" customHeight="1">
      <c r="A994" s="68"/>
      <c r="B994" s="68"/>
      <c r="C994" s="180"/>
      <c r="D994" s="68"/>
      <c r="E994" s="194"/>
      <c r="F994" s="195"/>
      <c r="G994" s="195"/>
      <c r="H994" s="195"/>
      <c r="K994" s="68"/>
      <c r="M994" s="68"/>
      <c r="O994" s="68"/>
      <c r="P994" s="68"/>
      <c r="Q994" s="68"/>
      <c r="R994" s="68"/>
      <c r="S994" s="68"/>
    </row>
    <row r="995" spans="1:19" ht="15.75" customHeight="1">
      <c r="A995" s="68"/>
      <c r="B995" s="68"/>
      <c r="C995" s="180"/>
      <c r="D995" s="68"/>
      <c r="E995" s="194"/>
      <c r="F995" s="195"/>
      <c r="G995" s="195"/>
      <c r="H995" s="195"/>
      <c r="K995" s="68"/>
      <c r="M995" s="68"/>
      <c r="O995" s="68"/>
      <c r="P995" s="68"/>
      <c r="Q995" s="68"/>
      <c r="R995" s="68"/>
      <c r="S995" s="68"/>
    </row>
    <row r="996" spans="1:19" ht="15.75" customHeight="1">
      <c r="A996" s="68"/>
      <c r="B996" s="68"/>
      <c r="C996" s="180"/>
      <c r="D996" s="68"/>
      <c r="E996" s="194"/>
      <c r="F996" s="195"/>
      <c r="G996" s="195"/>
      <c r="H996" s="195"/>
      <c r="K996" s="68"/>
      <c r="M996" s="68"/>
      <c r="O996" s="68"/>
      <c r="P996" s="68"/>
      <c r="Q996" s="68"/>
      <c r="R996" s="68"/>
      <c r="S996" s="68"/>
    </row>
    <row r="997" spans="1:19" ht="15.75" customHeight="1">
      <c r="A997" s="68"/>
      <c r="B997" s="68"/>
      <c r="C997" s="180"/>
      <c r="D997" s="68"/>
      <c r="E997" s="194"/>
      <c r="F997" s="195"/>
      <c r="G997" s="195"/>
      <c r="H997" s="195"/>
      <c r="K997" s="68"/>
      <c r="M997" s="68"/>
      <c r="O997" s="68"/>
      <c r="P997" s="68"/>
      <c r="Q997" s="68"/>
      <c r="R997" s="68"/>
      <c r="S997" s="68"/>
    </row>
    <row r="998" spans="1:19" ht="15.75" customHeight="1">
      <c r="A998" s="68"/>
      <c r="B998" s="68"/>
      <c r="C998" s="180"/>
      <c r="D998" s="68"/>
      <c r="E998" s="194"/>
      <c r="F998" s="195"/>
      <c r="G998" s="195"/>
      <c r="H998" s="195"/>
      <c r="K998" s="68"/>
      <c r="M998" s="68"/>
      <c r="O998" s="68"/>
      <c r="P998" s="68"/>
      <c r="Q998" s="68"/>
      <c r="R998" s="68"/>
      <c r="S998" s="68"/>
    </row>
    <row r="999" spans="1:19" ht="15.75" customHeight="1">
      <c r="A999" s="68"/>
      <c r="B999" s="68"/>
      <c r="C999" s="180"/>
      <c r="D999" s="68"/>
      <c r="E999" s="194"/>
      <c r="F999" s="195"/>
      <c r="G999" s="195"/>
      <c r="H999" s="195"/>
      <c r="K999" s="68"/>
      <c r="M999" s="68"/>
      <c r="O999" s="68"/>
      <c r="P999" s="68"/>
      <c r="Q999" s="68"/>
      <c r="R999" s="68"/>
      <c r="S999" s="68"/>
    </row>
    <row r="1000" spans="1:19" ht="15.75" customHeight="1">
      <c r="A1000" s="68"/>
      <c r="B1000" s="68"/>
      <c r="C1000" s="180"/>
      <c r="D1000" s="68"/>
      <c r="E1000" s="194"/>
      <c r="F1000" s="195"/>
      <c r="G1000" s="195"/>
      <c r="H1000" s="195"/>
      <c r="K1000" s="68"/>
      <c r="M1000" s="68"/>
      <c r="O1000" s="68"/>
      <c r="P1000" s="68"/>
      <c r="Q1000" s="68"/>
      <c r="R1000" s="68"/>
      <c r="S1000" s="68"/>
    </row>
  </sheetData>
  <mergeCells count="280">
    <mergeCell ref="D435:D436"/>
    <mergeCell ref="D357:D374"/>
    <mergeCell ref="D375:D389"/>
    <mergeCell ref="D390:D394"/>
    <mergeCell ref="D395:D409"/>
    <mergeCell ref="D410:D413"/>
    <mergeCell ref="D414:D417"/>
    <mergeCell ref="D418:D430"/>
    <mergeCell ref="D118:D120"/>
    <mergeCell ref="D121:D124"/>
    <mergeCell ref="D241:D269"/>
    <mergeCell ref="D231:D232"/>
    <mergeCell ref="D235:D236"/>
    <mergeCell ref="D237:D238"/>
    <mergeCell ref="B117:B120"/>
    <mergeCell ref="B121:B124"/>
    <mergeCell ref="A117:A137"/>
    <mergeCell ref="B133:B137"/>
    <mergeCell ref="B138:B168"/>
    <mergeCell ref="B169:B174"/>
    <mergeCell ref="B175:B184"/>
    <mergeCell ref="A435:A436"/>
    <mergeCell ref="B431:B434"/>
    <mergeCell ref="B435:B436"/>
    <mergeCell ref="B357:B374"/>
    <mergeCell ref="B375:B389"/>
    <mergeCell ref="B390:B394"/>
    <mergeCell ref="B395:B409"/>
    <mergeCell ref="B410:B413"/>
    <mergeCell ref="B414:B417"/>
    <mergeCell ref="B418:B430"/>
    <mergeCell ref="A357:A362"/>
    <mergeCell ref="A363:A374"/>
    <mergeCell ref="A375:A377"/>
    <mergeCell ref="A378:A383"/>
    <mergeCell ref="A384:A389"/>
    <mergeCell ref="A390:A394"/>
    <mergeCell ref="A395:A409"/>
    <mergeCell ref="A201:A211"/>
    <mergeCell ref="A212:A213"/>
    <mergeCell ref="A214:A215"/>
    <mergeCell ref="A216:A217"/>
    <mergeCell ref="A218:A219"/>
    <mergeCell ref="A222:A223"/>
    <mergeCell ref="A333:A338"/>
    <mergeCell ref="A339:A344"/>
    <mergeCell ref="A270:A302"/>
    <mergeCell ref="A224:A225"/>
    <mergeCell ref="A226:A227"/>
    <mergeCell ref="A231:A232"/>
    <mergeCell ref="A233:A234"/>
    <mergeCell ref="A235:A236"/>
    <mergeCell ref="A237:A238"/>
    <mergeCell ref="A242:A244"/>
    <mergeCell ref="A246:A260"/>
    <mergeCell ref="A261:A269"/>
    <mergeCell ref="A138:A168"/>
    <mergeCell ref="A169:A174"/>
    <mergeCell ref="A175:A184"/>
    <mergeCell ref="A185:A186"/>
    <mergeCell ref="A187:A188"/>
    <mergeCell ref="A189:A190"/>
    <mergeCell ref="A191:A192"/>
    <mergeCell ref="A193:A197"/>
    <mergeCell ref="A198:A199"/>
    <mergeCell ref="B241:B269"/>
    <mergeCell ref="B235:B236"/>
    <mergeCell ref="B237:B238"/>
    <mergeCell ref="A303:A312"/>
    <mergeCell ref="B303:B332"/>
    <mergeCell ref="A313:A315"/>
    <mergeCell ref="A316:A332"/>
    <mergeCell ref="B333:B356"/>
    <mergeCell ref="A345:A356"/>
    <mergeCell ref="E416:E417"/>
    <mergeCell ref="E433:E434"/>
    <mergeCell ref="E293:E294"/>
    <mergeCell ref="A433:A434"/>
    <mergeCell ref="D270:D302"/>
    <mergeCell ref="D303:D332"/>
    <mergeCell ref="D333:D356"/>
    <mergeCell ref="D431:D434"/>
    <mergeCell ref="A410:A411"/>
    <mergeCell ref="A412:A413"/>
    <mergeCell ref="A414:A417"/>
    <mergeCell ref="A418:A430"/>
    <mergeCell ref="A431:A432"/>
    <mergeCell ref="B270:B302"/>
    <mergeCell ref="F384:F386"/>
    <mergeCell ref="G384:G386"/>
    <mergeCell ref="E387:E389"/>
    <mergeCell ref="F387:F389"/>
    <mergeCell ref="G387:G389"/>
    <mergeCell ref="E393:E394"/>
    <mergeCell ref="E412:E413"/>
    <mergeCell ref="E363:E364"/>
    <mergeCell ref="F363:F364"/>
    <mergeCell ref="G363:G364"/>
    <mergeCell ref="E365:E366"/>
    <mergeCell ref="F365:F366"/>
    <mergeCell ref="G365:G366"/>
    <mergeCell ref="E367:E368"/>
    <mergeCell ref="F373:F374"/>
    <mergeCell ref="G373:G374"/>
    <mergeCell ref="E369:E370"/>
    <mergeCell ref="F369:F370"/>
    <mergeCell ref="G369:G370"/>
    <mergeCell ref="E371:E372"/>
    <mergeCell ref="F371:F372"/>
    <mergeCell ref="G371:G372"/>
    <mergeCell ref="E373:E374"/>
    <mergeCell ref="H384:H386"/>
    <mergeCell ref="H388:H389"/>
    <mergeCell ref="E378:E379"/>
    <mergeCell ref="E380:E383"/>
    <mergeCell ref="F381:F383"/>
    <mergeCell ref="G381:G383"/>
    <mergeCell ref="H381:H383"/>
    <mergeCell ref="E384:E386"/>
    <mergeCell ref="E295:E296"/>
    <mergeCell ref="E297:E302"/>
    <mergeCell ref="E345:E346"/>
    <mergeCell ref="F345:F346"/>
    <mergeCell ref="G345:G346"/>
    <mergeCell ref="F347:F348"/>
    <mergeCell ref="G347:G348"/>
    <mergeCell ref="E347:E348"/>
    <mergeCell ref="E349:E350"/>
    <mergeCell ref="F349:F350"/>
    <mergeCell ref="G349:G350"/>
    <mergeCell ref="E351:E352"/>
    <mergeCell ref="F351:F352"/>
    <mergeCell ref="G351:G352"/>
    <mergeCell ref="F367:F368"/>
    <mergeCell ref="G367:G368"/>
    <mergeCell ref="F293:F294"/>
    <mergeCell ref="G293:G294"/>
    <mergeCell ref="F295:F296"/>
    <mergeCell ref="G295:G296"/>
    <mergeCell ref="F355:F356"/>
    <mergeCell ref="G355:G356"/>
    <mergeCell ref="E353:E354"/>
    <mergeCell ref="F353:F354"/>
    <mergeCell ref="G353:G354"/>
    <mergeCell ref="E355:E356"/>
    <mergeCell ref="E252:E257"/>
    <mergeCell ref="E274:E275"/>
    <mergeCell ref="E276:E277"/>
    <mergeCell ref="E278:E279"/>
    <mergeCell ref="E280:E281"/>
    <mergeCell ref="E282:E283"/>
    <mergeCell ref="E284:E286"/>
    <mergeCell ref="E287:E289"/>
    <mergeCell ref="E290:E292"/>
    <mergeCell ref="B212:B213"/>
    <mergeCell ref="B214:B215"/>
    <mergeCell ref="B216:B217"/>
    <mergeCell ref="B218:B219"/>
    <mergeCell ref="D218:D219"/>
    <mergeCell ref="B222:B223"/>
    <mergeCell ref="D222:D223"/>
    <mergeCell ref="B233:B234"/>
    <mergeCell ref="D233:D234"/>
    <mergeCell ref="D212:D213"/>
    <mergeCell ref="D214:D215"/>
    <mergeCell ref="D216:D217"/>
    <mergeCell ref="B224:B225"/>
    <mergeCell ref="D224:D225"/>
    <mergeCell ref="B226:B227"/>
    <mergeCell ref="D226:D227"/>
    <mergeCell ref="B231:B232"/>
    <mergeCell ref="F126:F128"/>
    <mergeCell ref="G126:G128"/>
    <mergeCell ref="B185:B186"/>
    <mergeCell ref="B187:B188"/>
    <mergeCell ref="B189:B190"/>
    <mergeCell ref="D189:D190"/>
    <mergeCell ref="D191:D192"/>
    <mergeCell ref="E201:E202"/>
    <mergeCell ref="E203:E204"/>
    <mergeCell ref="B191:B192"/>
    <mergeCell ref="B193:B197"/>
    <mergeCell ref="D193:D197"/>
    <mergeCell ref="B198:B199"/>
    <mergeCell ref="D198:D199"/>
    <mergeCell ref="D138:D168"/>
    <mergeCell ref="D169:D174"/>
    <mergeCell ref="D175:D184"/>
    <mergeCell ref="D185:D186"/>
    <mergeCell ref="D187:D188"/>
    <mergeCell ref="D201:D211"/>
    <mergeCell ref="B201:B211"/>
    <mergeCell ref="D125:D132"/>
    <mergeCell ref="D133:D137"/>
    <mergeCell ref="B125:B132"/>
    <mergeCell ref="E129:E131"/>
    <mergeCell ref="F129:F131"/>
    <mergeCell ref="G129:G131"/>
    <mergeCell ref="M138:M168"/>
    <mergeCell ref="E115:E116"/>
    <mergeCell ref="F115:F116"/>
    <mergeCell ref="G115:G116"/>
    <mergeCell ref="E126:E128"/>
    <mergeCell ref="F85:F86"/>
    <mergeCell ref="G85:G86"/>
    <mergeCell ref="E85:E86"/>
    <mergeCell ref="E87:E88"/>
    <mergeCell ref="F87:F88"/>
    <mergeCell ref="G87:G88"/>
    <mergeCell ref="E89:E90"/>
    <mergeCell ref="F89:F90"/>
    <mergeCell ref="G89:G90"/>
    <mergeCell ref="F93:F94"/>
    <mergeCell ref="G93:G94"/>
    <mergeCell ref="E91:E92"/>
    <mergeCell ref="F91:F92"/>
    <mergeCell ref="G91:G92"/>
    <mergeCell ref="E93:E94"/>
    <mergeCell ref="F109:F110"/>
    <mergeCell ref="D65:D73"/>
    <mergeCell ref="E95:E96"/>
    <mergeCell ref="F95:F96"/>
    <mergeCell ref="G107:G108"/>
    <mergeCell ref="E109:E110"/>
    <mergeCell ref="E111:E112"/>
    <mergeCell ref="F111:F112"/>
    <mergeCell ref="G111:G112"/>
    <mergeCell ref="E113:E114"/>
    <mergeCell ref="F113:F114"/>
    <mergeCell ref="G113:G114"/>
    <mergeCell ref="G109:G110"/>
    <mergeCell ref="B97:B99"/>
    <mergeCell ref="E107:E108"/>
    <mergeCell ref="F107:F108"/>
    <mergeCell ref="D97:D99"/>
    <mergeCell ref="A100:A106"/>
    <mergeCell ref="B100:B106"/>
    <mergeCell ref="A107:A116"/>
    <mergeCell ref="B107:B116"/>
    <mergeCell ref="D100:D106"/>
    <mergeCell ref="D107:D116"/>
    <mergeCell ref="A48:A55"/>
    <mergeCell ref="B48:B55"/>
    <mergeCell ref="D48:D55"/>
    <mergeCell ref="D56:D64"/>
    <mergeCell ref="A56:A64"/>
    <mergeCell ref="B56:B64"/>
    <mergeCell ref="D8:D9"/>
    <mergeCell ref="G95:G96"/>
    <mergeCell ref="E97:E99"/>
    <mergeCell ref="F98:F99"/>
    <mergeCell ref="G98:G99"/>
    <mergeCell ref="D74:D82"/>
    <mergeCell ref="E83:E84"/>
    <mergeCell ref="F83:F84"/>
    <mergeCell ref="G83:G84"/>
    <mergeCell ref="A39:A47"/>
    <mergeCell ref="B39:B47"/>
    <mergeCell ref="D39:D47"/>
    <mergeCell ref="A65:A82"/>
    <mergeCell ref="B65:B82"/>
    <mergeCell ref="A83:A96"/>
    <mergeCell ref="B83:B96"/>
    <mergeCell ref="D83:D96"/>
    <mergeCell ref="A97:A99"/>
    <mergeCell ref="E8:E9"/>
    <mergeCell ref="A4:A7"/>
    <mergeCell ref="B4:B7"/>
    <mergeCell ref="D4:D7"/>
    <mergeCell ref="A8:A9"/>
    <mergeCell ref="B8:B9"/>
    <mergeCell ref="A30:A38"/>
    <mergeCell ref="B30:B38"/>
    <mergeCell ref="D30:D38"/>
    <mergeCell ref="A10:A18"/>
    <mergeCell ref="B10:B18"/>
    <mergeCell ref="A19:A29"/>
    <mergeCell ref="B19:B29"/>
    <mergeCell ref="D10:D18"/>
    <mergeCell ref="D19:D29"/>
  </mergeCells>
  <conditionalFormatting sqref="I3:J6 I8:J9 I19:J24 I27:J36">
    <cfRule type="cellIs" dxfId="675" priority="1" stopIfTrue="1" operator="equal">
      <formula>"OK"</formula>
    </cfRule>
  </conditionalFormatting>
  <conditionalFormatting sqref="I3:J6 I8:J9 I19:J24 I27:J36">
    <cfRule type="cellIs" dxfId="674" priority="2" stopIfTrue="1" operator="equal">
      <formula>"Fail"</formula>
    </cfRule>
  </conditionalFormatting>
  <conditionalFormatting sqref="I3:J6 I8:J9 I19:J24 I27:J36">
    <cfRule type="cellIs" dxfId="673" priority="3" stopIfTrue="1" operator="equal">
      <formula>"OK"</formula>
    </cfRule>
  </conditionalFormatting>
  <conditionalFormatting sqref="I3:J6 I8:J9 I19:J24 I27:J36">
    <cfRule type="cellIs" dxfId="672" priority="4" stopIfTrue="1" operator="equal">
      <formula>"Fail"</formula>
    </cfRule>
  </conditionalFormatting>
  <conditionalFormatting sqref="K3:K15 L3:L9 K17:K25 L19:L25 K27:L37 K39:L46 K48:K54 K56:L62 K65:K100 L97:L99 K102:K108 K111:K199 L138:L190 K212:K220 K222:K231 K241:L266 K270:K389 L270:L386 K414:K434 L414:L431">
    <cfRule type="containsText" dxfId="671" priority="5" operator="containsText" text="NG">
      <formula>NOT(ISERROR(SEARCH(("NG"),(K3))))</formula>
    </cfRule>
  </conditionalFormatting>
  <conditionalFormatting sqref="K3:K15 L3:L9 K17:K25 L19:L25 K27:L37 K39:L46 K48:K54 K56:L62 K65:K100 L97:L99 K102:K108 K111:K199 L138:L190 K212:K220 K222:K231 K241:L266 K270:K389 L270:L386 K414:K434 L414:L431">
    <cfRule type="containsText" dxfId="670" priority="6" operator="containsText" text="OK">
      <formula>NOT(ISERROR(SEARCH(("OK"),(K3))))</formula>
    </cfRule>
  </conditionalFormatting>
  <conditionalFormatting sqref="N8:N9 N19:N43 K39:K44 N45:N47 N56:N70 N72:N73 N83:N92 K85:K90 K95:K96 N95:N96 N169:N190">
    <cfRule type="containsText" dxfId="669" priority="7" operator="containsText" text="미해당">
      <formula>NOT(ISERROR(SEARCH(("미해당"),(N8))))</formula>
    </cfRule>
  </conditionalFormatting>
  <conditionalFormatting sqref="L65:L73">
    <cfRule type="containsText" dxfId="668" priority="8" operator="containsText" text="NG">
      <formula>NOT(ISERROR(SEARCH(("NG"),(L65))))</formula>
    </cfRule>
  </conditionalFormatting>
  <conditionalFormatting sqref="L65:L73">
    <cfRule type="containsText" dxfId="667" priority="9" operator="containsText" text="OK">
      <formula>NOT(ISERROR(SEARCH(("OK"),(L65))))</formula>
    </cfRule>
  </conditionalFormatting>
  <conditionalFormatting sqref="L83:L96">
    <cfRule type="containsText" dxfId="666" priority="10" operator="containsText" text="NG">
      <formula>NOT(ISERROR(SEARCH(("NG"),(L83))))</formula>
    </cfRule>
  </conditionalFormatting>
  <conditionalFormatting sqref="L83:L96">
    <cfRule type="containsText" dxfId="665" priority="11" operator="containsText" text="OK">
      <formula>NOT(ISERROR(SEARCH(("OK"),(L83))))</formula>
    </cfRule>
  </conditionalFormatting>
  <conditionalFormatting sqref="L30:L37">
    <cfRule type="containsText" dxfId="664" priority="12" operator="containsText" text="NG">
      <formula>NOT(ISERROR(SEARCH(("NG"),(L30))))</formula>
    </cfRule>
  </conditionalFormatting>
  <conditionalFormatting sqref="L30:L37">
    <cfRule type="containsText" dxfId="663" priority="13" operator="containsText" text="OK">
      <formula>NOT(ISERROR(SEARCH(("OK"),(L30))))</formula>
    </cfRule>
  </conditionalFormatting>
  <conditionalFormatting sqref="N175:N184">
    <cfRule type="containsText" dxfId="662" priority="14" operator="containsText" text="미해당">
      <formula>NOT(ISERROR(SEARCH(("미해당"),(N175))))</formula>
    </cfRule>
  </conditionalFormatting>
  <conditionalFormatting sqref="L175:L184">
    <cfRule type="containsText" dxfId="661" priority="15" operator="containsText" text="NG">
      <formula>NOT(ISERROR(SEARCH(("NG"),(L175))))</formula>
    </cfRule>
  </conditionalFormatting>
  <conditionalFormatting sqref="L175:L184">
    <cfRule type="containsText" dxfId="660" priority="16" operator="containsText" text="OK">
      <formula>NOT(ISERROR(SEARCH(("OK"),(L175))))</formula>
    </cfRule>
  </conditionalFormatting>
  <conditionalFormatting sqref="L185:L186">
    <cfRule type="containsText" dxfId="659" priority="17" operator="containsText" text="NG">
      <formula>NOT(ISERROR(SEARCH(("NG"),(L185))))</formula>
    </cfRule>
  </conditionalFormatting>
  <conditionalFormatting sqref="L185:L186">
    <cfRule type="containsText" dxfId="658" priority="18" operator="containsText" text="OK">
      <formula>NOT(ISERROR(SEARCH(("OK"),(L185))))</formula>
    </cfRule>
  </conditionalFormatting>
  <conditionalFormatting sqref="L187:L188">
    <cfRule type="containsText" dxfId="657" priority="19" operator="containsText" text="NG">
      <formula>NOT(ISERROR(SEARCH(("NG"),(L187))))</formula>
    </cfRule>
  </conditionalFormatting>
  <conditionalFormatting sqref="L187:L188">
    <cfRule type="containsText" dxfId="656" priority="20" operator="containsText" text="OK">
      <formula>NOT(ISERROR(SEARCH(("OK"),(L187))))</formula>
    </cfRule>
  </conditionalFormatting>
  <conditionalFormatting sqref="L169:L188">
    <cfRule type="containsText" dxfId="655" priority="21" operator="containsText" text="NG">
      <formula>NOT(ISERROR(SEARCH(("NG"),(L169))))</formula>
    </cfRule>
  </conditionalFormatting>
  <conditionalFormatting sqref="L169:L188">
    <cfRule type="containsText" dxfId="654" priority="22" operator="containsText" text="OK">
      <formula>NOT(ISERROR(SEARCH(("OK"),(L169))))</formula>
    </cfRule>
  </conditionalFormatting>
  <conditionalFormatting sqref="K8 N8">
    <cfRule type="containsText" dxfId="653" priority="23" operator="containsText" text="미해당">
      <formula>NOT(ISERROR(SEARCH(("미해당"),(K8))))</formula>
    </cfRule>
  </conditionalFormatting>
  <conditionalFormatting sqref="L189:L190">
    <cfRule type="containsText" dxfId="652" priority="24" operator="containsText" text="NG">
      <formula>NOT(ISERROR(SEARCH(("NG"),(L189))))</formula>
    </cfRule>
  </conditionalFormatting>
  <conditionalFormatting sqref="L189:L190">
    <cfRule type="containsText" dxfId="651" priority="25" operator="containsText" text="OK">
      <formula>NOT(ISERROR(SEARCH(("OK"),(L189))))</formula>
    </cfRule>
  </conditionalFormatting>
  <conditionalFormatting sqref="L8:L9">
    <cfRule type="containsText" dxfId="650" priority="26" operator="containsText" text="NG">
      <formula>NOT(ISERROR(SEARCH(("NG"),(L8))))</formula>
    </cfRule>
  </conditionalFormatting>
  <conditionalFormatting sqref="L8:L9">
    <cfRule type="containsText" dxfId="649" priority="27" operator="containsText" text="OK">
      <formula>NOT(ISERROR(SEARCH(("OK"),(L8))))</formula>
    </cfRule>
  </conditionalFormatting>
  <conditionalFormatting sqref="L19:L25 L27:L37">
    <cfRule type="containsText" dxfId="648" priority="28" operator="containsText" text="NG">
      <formula>NOT(ISERROR(SEARCH(("NG"),(L19))))</formula>
    </cfRule>
  </conditionalFormatting>
  <conditionalFormatting sqref="L19:L25 L27:L37">
    <cfRule type="containsText" dxfId="647" priority="29" operator="containsText" text="OK">
      <formula>NOT(ISERROR(SEARCH(("OK"),(L19))))</formula>
    </cfRule>
  </conditionalFormatting>
  <conditionalFormatting sqref="K191:K192 N191:N199 K194:K199">
    <cfRule type="containsText" dxfId="646" priority="30" operator="containsText" text="미해당">
      <formula>NOT(ISERROR(SEARCH(("미해당"),(K191))))</formula>
    </cfRule>
  </conditionalFormatting>
  <conditionalFormatting sqref="L191:L192">
    <cfRule type="containsText" dxfId="645" priority="31" operator="containsText" text="NG">
      <formula>NOT(ISERROR(SEARCH(("NG"),(L191))))</formula>
    </cfRule>
  </conditionalFormatting>
  <conditionalFormatting sqref="L191:L192">
    <cfRule type="containsText" dxfId="644" priority="32" operator="containsText" text="OK">
      <formula>NOT(ISERROR(SEARCH(("OK"),(L191))))</formula>
    </cfRule>
  </conditionalFormatting>
  <conditionalFormatting sqref="L193:L197">
    <cfRule type="containsText" dxfId="643" priority="33" operator="containsText" text="NG">
      <formula>NOT(ISERROR(SEARCH(("NG"),(L193))))</formula>
    </cfRule>
  </conditionalFormatting>
  <conditionalFormatting sqref="L193:L197">
    <cfRule type="containsText" dxfId="642" priority="34" operator="containsText" text="OK">
      <formula>NOT(ISERROR(SEARCH(("OK"),(L193))))</formula>
    </cfRule>
  </conditionalFormatting>
  <conditionalFormatting sqref="L198:L199">
    <cfRule type="containsText" dxfId="641" priority="35" operator="containsText" text="NG">
      <formula>NOT(ISERROR(SEARCH(("NG"),(L198))))</formula>
    </cfRule>
  </conditionalFormatting>
  <conditionalFormatting sqref="L198:L199">
    <cfRule type="containsText" dxfId="640" priority="36" operator="containsText" text="OK">
      <formula>NOT(ISERROR(SEARCH(("OK"),(L198))))</formula>
    </cfRule>
  </conditionalFormatting>
  <conditionalFormatting sqref="L212:L213">
    <cfRule type="containsText" dxfId="639" priority="37" operator="containsText" text="NG">
      <formula>NOT(ISERROR(SEARCH(("NG"),(L212))))</formula>
    </cfRule>
  </conditionalFormatting>
  <conditionalFormatting sqref="L212:L213">
    <cfRule type="containsText" dxfId="638" priority="38" operator="containsText" text="OK">
      <formula>NOT(ISERROR(SEARCH(("OK"),(L212))))</formula>
    </cfRule>
  </conditionalFormatting>
  <conditionalFormatting sqref="L214:L215">
    <cfRule type="containsText" dxfId="637" priority="39" operator="containsText" text="NG">
      <formula>NOT(ISERROR(SEARCH(("NG"),(L214))))</formula>
    </cfRule>
  </conditionalFormatting>
  <conditionalFormatting sqref="L214:L215">
    <cfRule type="containsText" dxfId="636" priority="40" operator="containsText" text="OK">
      <formula>NOT(ISERROR(SEARCH(("OK"),(L214))))</formula>
    </cfRule>
  </conditionalFormatting>
  <conditionalFormatting sqref="L217">
    <cfRule type="containsText" dxfId="635" priority="41" operator="containsText" text="NG">
      <formula>NOT(ISERROR(SEARCH(("NG"),(L217))))</formula>
    </cfRule>
  </conditionalFormatting>
  <conditionalFormatting sqref="L217">
    <cfRule type="containsText" dxfId="634" priority="42" operator="containsText" text="OK">
      <formula>NOT(ISERROR(SEARCH(("OK"),(L217))))</formula>
    </cfRule>
  </conditionalFormatting>
  <conditionalFormatting sqref="L216">
    <cfRule type="containsText" dxfId="633" priority="43" operator="containsText" text="NG">
      <formula>NOT(ISERROR(SEARCH(("NG"),(L216))))</formula>
    </cfRule>
  </conditionalFormatting>
  <conditionalFormatting sqref="L216">
    <cfRule type="containsText" dxfId="632" priority="44" operator="containsText" text="OK">
      <formula>NOT(ISERROR(SEARCH(("OK"),(L216))))</formula>
    </cfRule>
  </conditionalFormatting>
  <conditionalFormatting sqref="L219">
    <cfRule type="containsText" dxfId="631" priority="45" operator="containsText" text="NG">
      <formula>NOT(ISERROR(SEARCH(("NG"),(L219))))</formula>
    </cfRule>
  </conditionalFormatting>
  <conditionalFormatting sqref="L219">
    <cfRule type="containsText" dxfId="630" priority="46" operator="containsText" text="OK">
      <formula>NOT(ISERROR(SEARCH(("OK"),(L219))))</formula>
    </cfRule>
  </conditionalFormatting>
  <conditionalFormatting sqref="L218">
    <cfRule type="containsText" dxfId="629" priority="47" operator="containsText" text="NG">
      <formula>NOT(ISERROR(SEARCH(("NG"),(L218))))</formula>
    </cfRule>
  </conditionalFormatting>
  <conditionalFormatting sqref="L218">
    <cfRule type="containsText" dxfId="628" priority="48" operator="containsText" text="OK">
      <formula>NOT(ISERROR(SEARCH(("OK"),(L218))))</formula>
    </cfRule>
  </conditionalFormatting>
  <conditionalFormatting sqref="L220">
    <cfRule type="containsText" dxfId="627" priority="49" operator="containsText" text="NG">
      <formula>NOT(ISERROR(SEARCH(("NG"),(L220))))</formula>
    </cfRule>
  </conditionalFormatting>
  <conditionalFormatting sqref="L220">
    <cfRule type="containsText" dxfId="626" priority="50" operator="containsText" text="OK">
      <formula>NOT(ISERROR(SEARCH(("OK"),(L220))))</formula>
    </cfRule>
  </conditionalFormatting>
  <conditionalFormatting sqref="K100 N100:N137 K102:K108 K111:K137">
    <cfRule type="containsText" dxfId="625" priority="51" operator="containsText" text="미해당">
      <formula>NOT(ISERROR(SEARCH(("미해당"),(K100))))</formula>
    </cfRule>
  </conditionalFormatting>
  <conditionalFormatting sqref="L100 L102:L108 L111:L137">
    <cfRule type="containsText" dxfId="624" priority="52" operator="containsText" text="NG">
      <formula>NOT(ISERROR(SEARCH(("NG"),(L100))))</formula>
    </cfRule>
  </conditionalFormatting>
  <conditionalFormatting sqref="L100 L102:L108 L111:L137">
    <cfRule type="containsText" dxfId="623" priority="53" operator="containsText" text="OK">
      <formula>NOT(ISERROR(SEARCH(("OK"),(L100))))</formula>
    </cfRule>
  </conditionalFormatting>
  <conditionalFormatting sqref="L228">
    <cfRule type="containsText" dxfId="622" priority="54" operator="containsText" text="NG">
      <formula>NOT(ISERROR(SEARCH(("NG"),(L228))))</formula>
    </cfRule>
  </conditionalFormatting>
  <conditionalFormatting sqref="L228">
    <cfRule type="containsText" dxfId="621" priority="55" operator="containsText" text="OK">
      <formula>NOT(ISERROR(SEARCH(("OK"),(L228))))</formula>
    </cfRule>
  </conditionalFormatting>
  <conditionalFormatting sqref="L229">
    <cfRule type="containsText" dxfId="620" priority="56" operator="containsText" text="NG">
      <formula>NOT(ISERROR(SEARCH(("NG"),(L229))))</formula>
    </cfRule>
  </conditionalFormatting>
  <conditionalFormatting sqref="L229">
    <cfRule type="containsText" dxfId="619" priority="57" operator="containsText" text="OK">
      <formula>NOT(ISERROR(SEARCH(("OK"),(L229))))</formula>
    </cfRule>
  </conditionalFormatting>
  <conditionalFormatting sqref="L222:L223">
    <cfRule type="containsText" dxfId="618" priority="58" operator="containsText" text="NG">
      <formula>NOT(ISERROR(SEARCH(("NG"),(L222))))</formula>
    </cfRule>
  </conditionalFormatting>
  <conditionalFormatting sqref="L222:L223">
    <cfRule type="containsText" dxfId="617" priority="59" operator="containsText" text="OK">
      <formula>NOT(ISERROR(SEARCH(("OK"),(L222))))</formula>
    </cfRule>
  </conditionalFormatting>
  <conditionalFormatting sqref="L224:L225">
    <cfRule type="containsText" dxfId="616" priority="60" operator="containsText" text="NG">
      <formula>NOT(ISERROR(SEARCH(("NG"),(L224))))</formula>
    </cfRule>
  </conditionalFormatting>
  <conditionalFormatting sqref="L224:L225">
    <cfRule type="containsText" dxfId="615" priority="61" operator="containsText" text="OK">
      <formula>NOT(ISERROR(SEARCH(("OK"),(L224))))</formula>
    </cfRule>
  </conditionalFormatting>
  <conditionalFormatting sqref="L227">
    <cfRule type="containsText" dxfId="614" priority="62" operator="containsText" text="NG">
      <formula>NOT(ISERROR(SEARCH(("NG"),(L227))))</formula>
    </cfRule>
  </conditionalFormatting>
  <conditionalFormatting sqref="L227">
    <cfRule type="containsText" dxfId="613" priority="63" operator="containsText" text="OK">
      <formula>NOT(ISERROR(SEARCH(("OK"),(L227))))</formula>
    </cfRule>
  </conditionalFormatting>
  <conditionalFormatting sqref="L226">
    <cfRule type="containsText" dxfId="612" priority="64" operator="containsText" text="NG">
      <formula>NOT(ISERROR(SEARCH(("NG"),(L226))))</formula>
    </cfRule>
  </conditionalFormatting>
  <conditionalFormatting sqref="L226">
    <cfRule type="containsText" dxfId="611" priority="65" operator="containsText" text="OK">
      <formula>NOT(ISERROR(SEARCH(("OK"),(L226))))</formula>
    </cfRule>
  </conditionalFormatting>
  <conditionalFormatting sqref="L387:L389">
    <cfRule type="containsText" dxfId="610" priority="66" operator="containsText" text="NG">
      <formula>NOT(ISERROR(SEARCH(("NG"),(L387))))</formula>
    </cfRule>
  </conditionalFormatting>
  <conditionalFormatting sqref="L387:L389">
    <cfRule type="containsText" dxfId="609" priority="67" operator="containsText" text="OK">
      <formula>NOT(ISERROR(SEARCH(("OK"),(L387))))</formula>
    </cfRule>
  </conditionalFormatting>
  <conditionalFormatting sqref="K117:K137">
    <cfRule type="containsText" dxfId="608" priority="68" operator="containsText" text="NG">
      <formula>NOT(ISERROR(SEARCH(("NG"),(K117))))</formula>
    </cfRule>
  </conditionalFormatting>
  <conditionalFormatting sqref="K117:K137">
    <cfRule type="containsText" dxfId="607" priority="69" operator="containsText" text="OK">
      <formula>NOT(ISERROR(SEARCH(("OK"),(K117))))</formula>
    </cfRule>
  </conditionalFormatting>
  <conditionalFormatting sqref="L10:L15 L17:L18">
    <cfRule type="containsText" dxfId="606" priority="70" operator="containsText" text="NG">
      <formula>NOT(ISERROR(SEARCH(("NG"),(L10))))</formula>
    </cfRule>
  </conditionalFormatting>
  <conditionalFormatting sqref="L10:L15 L17:L18">
    <cfRule type="containsText" dxfId="605" priority="71" operator="containsText" text="OK">
      <formula>NOT(ISERROR(SEARCH(("OK"),(L10))))</formula>
    </cfRule>
  </conditionalFormatting>
  <conditionalFormatting sqref="N10:N18">
    <cfRule type="containsText" dxfId="604" priority="72" operator="containsText" text="미해당">
      <formula>NOT(ISERROR(SEARCH(("미해당"),(N10))))</formula>
    </cfRule>
  </conditionalFormatting>
  <conditionalFormatting sqref="N10:N18">
    <cfRule type="containsText" dxfId="603" priority="73" operator="containsText" text="미해당">
      <formula>NOT(ISERROR(SEARCH(("미해당"),(N10))))</formula>
    </cfRule>
  </conditionalFormatting>
  <conditionalFormatting sqref="L10:L15 L17:L18">
    <cfRule type="containsText" dxfId="602" priority="74" operator="containsText" text="NG">
      <formula>NOT(ISERROR(SEARCH(("NG"),(L10))))</formula>
    </cfRule>
  </conditionalFormatting>
  <conditionalFormatting sqref="L10:L15 L17:L18">
    <cfRule type="containsText" dxfId="601" priority="75" operator="containsText" text="OK">
      <formula>NOT(ISERROR(SEARCH(("OK"),(L10))))</formula>
    </cfRule>
  </conditionalFormatting>
  <conditionalFormatting sqref="L48:L49">
    <cfRule type="containsText" dxfId="600" priority="76" operator="containsText" text="NG">
      <formula>NOT(ISERROR(SEARCH(("NG"),(L48))))</formula>
    </cfRule>
  </conditionalFormatting>
  <conditionalFormatting sqref="L48:L49">
    <cfRule type="containsText" dxfId="599" priority="77" operator="containsText" text="OK">
      <formula>NOT(ISERROR(SEARCH(("OK"),(L48))))</formula>
    </cfRule>
  </conditionalFormatting>
  <conditionalFormatting sqref="L50:L51">
    <cfRule type="containsText" dxfId="598" priority="78" operator="containsText" text="NG">
      <formula>NOT(ISERROR(SEARCH(("NG"),(L50))))</formula>
    </cfRule>
  </conditionalFormatting>
  <conditionalFormatting sqref="L50:L51">
    <cfRule type="containsText" dxfId="597" priority="79" operator="containsText" text="OK">
      <formula>NOT(ISERROR(SEARCH(("OK"),(L50))))</formula>
    </cfRule>
  </conditionalFormatting>
  <conditionalFormatting sqref="L53:L54">
    <cfRule type="containsText" dxfId="596" priority="80" operator="containsText" text="NG">
      <formula>NOT(ISERROR(SEARCH(("NG"),(L53))))</formula>
    </cfRule>
  </conditionalFormatting>
  <conditionalFormatting sqref="L53:L54">
    <cfRule type="containsText" dxfId="595" priority="81" operator="containsText" text="OK">
      <formula>NOT(ISERROR(SEARCH(("OK"),(L53))))</formula>
    </cfRule>
  </conditionalFormatting>
  <conditionalFormatting sqref="L52">
    <cfRule type="containsText" dxfId="594" priority="82" operator="containsText" text="NG">
      <formula>NOT(ISERROR(SEARCH(("NG"),(L52))))</formula>
    </cfRule>
  </conditionalFormatting>
  <conditionalFormatting sqref="L52">
    <cfRule type="containsText" dxfId="593" priority="83" operator="containsText" text="OK">
      <formula>NOT(ISERROR(SEARCH(("OK"),(L52))))</formula>
    </cfRule>
  </conditionalFormatting>
  <conditionalFormatting sqref="I7:J7">
    <cfRule type="cellIs" dxfId="592" priority="84" stopIfTrue="1" operator="equal">
      <formula>"OK"</formula>
    </cfRule>
  </conditionalFormatting>
  <conditionalFormatting sqref="I7:J7">
    <cfRule type="cellIs" dxfId="591" priority="85" stopIfTrue="1" operator="equal">
      <formula>"Fail"</formula>
    </cfRule>
  </conditionalFormatting>
  <conditionalFormatting sqref="I7:J7">
    <cfRule type="cellIs" dxfId="590" priority="86" stopIfTrue="1" operator="equal">
      <formula>"OK"</formula>
    </cfRule>
  </conditionalFormatting>
  <conditionalFormatting sqref="I7:J7">
    <cfRule type="cellIs" dxfId="589" priority="87" stopIfTrue="1" operator="equal">
      <formula>"Fail"</formula>
    </cfRule>
  </conditionalFormatting>
  <conditionalFormatting sqref="K16">
    <cfRule type="containsText" dxfId="588" priority="88" operator="containsText" text="NG">
      <formula>NOT(ISERROR(SEARCH(("NG"),(K16))))</formula>
    </cfRule>
  </conditionalFormatting>
  <conditionalFormatting sqref="K16">
    <cfRule type="containsText" dxfId="587" priority="89" operator="containsText" text="OK">
      <formula>NOT(ISERROR(SEARCH(("OK"),(K16))))</formula>
    </cfRule>
  </conditionalFormatting>
  <conditionalFormatting sqref="L16">
    <cfRule type="containsText" dxfId="586" priority="90" operator="containsText" text="NG">
      <formula>NOT(ISERROR(SEARCH(("NG"),(L16))))</formula>
    </cfRule>
  </conditionalFormatting>
  <conditionalFormatting sqref="L16">
    <cfRule type="containsText" dxfId="585" priority="91" operator="containsText" text="OK">
      <formula>NOT(ISERROR(SEARCH(("OK"),(L16))))</formula>
    </cfRule>
  </conditionalFormatting>
  <conditionalFormatting sqref="L16">
    <cfRule type="containsText" dxfId="584" priority="92" operator="containsText" text="NG">
      <formula>NOT(ISERROR(SEARCH(("NG"),(L16))))</formula>
    </cfRule>
  </conditionalFormatting>
  <conditionalFormatting sqref="L16">
    <cfRule type="containsText" dxfId="583" priority="93" operator="containsText" text="OK">
      <formula>NOT(ISERROR(SEARCH(("OK"),(L16))))</formula>
    </cfRule>
  </conditionalFormatting>
  <conditionalFormatting sqref="K26:L26">
    <cfRule type="containsText" dxfId="582" priority="94" operator="containsText" text="NG">
      <formula>NOT(ISERROR(SEARCH(("NG"),(K26))))</formula>
    </cfRule>
  </conditionalFormatting>
  <conditionalFormatting sqref="K26:L26">
    <cfRule type="containsText" dxfId="581" priority="95" operator="containsText" text="OK">
      <formula>NOT(ISERROR(SEARCH(("OK"),(K26))))</formula>
    </cfRule>
  </conditionalFormatting>
  <conditionalFormatting sqref="L26">
    <cfRule type="containsText" dxfId="580" priority="96" operator="containsText" text="NG">
      <formula>NOT(ISERROR(SEARCH(("NG"),(L26))))</formula>
    </cfRule>
  </conditionalFormatting>
  <conditionalFormatting sqref="L26">
    <cfRule type="containsText" dxfId="579" priority="97" operator="containsText" text="OK">
      <formula>NOT(ISERROR(SEARCH(("OK"),(L26))))</formula>
    </cfRule>
  </conditionalFormatting>
  <conditionalFormatting sqref="K38:L38">
    <cfRule type="containsText" dxfId="578" priority="98" operator="containsText" text="NG">
      <formula>NOT(ISERROR(SEARCH(("NG"),(K38))))</formula>
    </cfRule>
  </conditionalFormatting>
  <conditionalFormatting sqref="K38:L38">
    <cfRule type="containsText" dxfId="577" priority="99" operator="containsText" text="OK">
      <formula>NOT(ISERROR(SEARCH(("OK"),(K38))))</formula>
    </cfRule>
  </conditionalFormatting>
  <conditionalFormatting sqref="L38">
    <cfRule type="containsText" dxfId="576" priority="100" operator="containsText" text="NG">
      <formula>NOT(ISERROR(SEARCH(("NG"),(L38))))</formula>
    </cfRule>
  </conditionalFormatting>
  <conditionalFormatting sqref="L38">
    <cfRule type="containsText" dxfId="575" priority="101" operator="containsText" text="OK">
      <formula>NOT(ISERROR(SEARCH(("OK"),(L38))))</formula>
    </cfRule>
  </conditionalFormatting>
  <conditionalFormatting sqref="L38">
    <cfRule type="containsText" dxfId="574" priority="102" operator="containsText" text="NG">
      <formula>NOT(ISERROR(SEARCH(("NG"),(L38))))</formula>
    </cfRule>
  </conditionalFormatting>
  <conditionalFormatting sqref="L38">
    <cfRule type="containsText" dxfId="573" priority="103" operator="containsText" text="OK">
      <formula>NOT(ISERROR(SEARCH(("OK"),(L38))))</formula>
    </cfRule>
  </conditionalFormatting>
  <conditionalFormatting sqref="K47:L47">
    <cfRule type="containsText" dxfId="572" priority="104" operator="containsText" text="NG">
      <formula>NOT(ISERROR(SEARCH(("NG"),(K47))))</formula>
    </cfRule>
  </conditionalFormatting>
  <conditionalFormatting sqref="K47:L47">
    <cfRule type="containsText" dxfId="571" priority="105" operator="containsText" text="OK">
      <formula>NOT(ISERROR(SEARCH(("OK"),(K47))))</formula>
    </cfRule>
  </conditionalFormatting>
  <conditionalFormatting sqref="K55">
    <cfRule type="containsText" dxfId="570" priority="106" operator="containsText" text="NG">
      <formula>NOT(ISERROR(SEARCH(("NG"),(K55))))</formula>
    </cfRule>
  </conditionalFormatting>
  <conditionalFormatting sqref="K55">
    <cfRule type="containsText" dxfId="569" priority="107" operator="containsText" text="OK">
      <formula>NOT(ISERROR(SEARCH(("OK"),(K55))))</formula>
    </cfRule>
  </conditionalFormatting>
  <conditionalFormatting sqref="L55">
    <cfRule type="containsText" dxfId="568" priority="108" operator="containsText" text="NG">
      <formula>NOT(ISERROR(SEARCH(("NG"),(L55))))</formula>
    </cfRule>
  </conditionalFormatting>
  <conditionalFormatting sqref="L55">
    <cfRule type="containsText" dxfId="567" priority="109" operator="containsText" text="OK">
      <formula>NOT(ISERROR(SEARCH(("OK"),(L55))))</formula>
    </cfRule>
  </conditionalFormatting>
  <conditionalFormatting sqref="K63:L63">
    <cfRule type="containsText" dxfId="566" priority="110" operator="containsText" text="NG">
      <formula>NOT(ISERROR(SEARCH(("NG"),(K63))))</formula>
    </cfRule>
  </conditionalFormatting>
  <conditionalFormatting sqref="K63:L63">
    <cfRule type="containsText" dxfId="565" priority="111" operator="containsText" text="OK">
      <formula>NOT(ISERROR(SEARCH(("OK"),(K63))))</formula>
    </cfRule>
  </conditionalFormatting>
  <conditionalFormatting sqref="K64:L64">
    <cfRule type="containsText" dxfId="564" priority="112" operator="containsText" text="NG">
      <formula>NOT(ISERROR(SEARCH(("NG"),(K64))))</formula>
    </cfRule>
  </conditionalFormatting>
  <conditionalFormatting sqref="K64:L64">
    <cfRule type="containsText" dxfId="563" priority="113" operator="containsText" text="OK">
      <formula>NOT(ISERROR(SEARCH(("OK"),(K64))))</formula>
    </cfRule>
  </conditionalFormatting>
  <conditionalFormatting sqref="K97:K99 N97:N99">
    <cfRule type="containsText" dxfId="562" priority="114" operator="containsText" text="미해당">
      <formula>NOT(ISERROR(SEARCH(("미해당"),(K97))))</formula>
    </cfRule>
  </conditionalFormatting>
  <conditionalFormatting sqref="K101">
    <cfRule type="containsText" dxfId="561" priority="115" operator="containsText" text="NG">
      <formula>NOT(ISERROR(SEARCH(("NG"),(K101))))</formula>
    </cfRule>
  </conditionalFormatting>
  <conditionalFormatting sqref="K101">
    <cfRule type="containsText" dxfId="560" priority="116" operator="containsText" text="OK">
      <formula>NOT(ISERROR(SEARCH(("OK"),(K101))))</formula>
    </cfRule>
  </conditionalFormatting>
  <conditionalFormatting sqref="K101">
    <cfRule type="containsText" dxfId="559" priority="117" operator="containsText" text="미해당">
      <formula>NOT(ISERROR(SEARCH(("미해당"),(K101))))</formula>
    </cfRule>
  </conditionalFormatting>
  <conditionalFormatting sqref="L101">
    <cfRule type="containsText" dxfId="558" priority="118" operator="containsText" text="NG">
      <formula>NOT(ISERROR(SEARCH(("NG"),(L101))))</formula>
    </cfRule>
  </conditionalFormatting>
  <conditionalFormatting sqref="L101">
    <cfRule type="containsText" dxfId="557" priority="119" operator="containsText" text="OK">
      <formula>NOT(ISERROR(SEARCH(("OK"),(L101))))</formula>
    </cfRule>
  </conditionalFormatting>
  <conditionalFormatting sqref="K109">
    <cfRule type="containsText" dxfId="556" priority="120" operator="containsText" text="NG">
      <formula>NOT(ISERROR(SEARCH(("NG"),(K109))))</formula>
    </cfRule>
  </conditionalFormatting>
  <conditionalFormatting sqref="K109">
    <cfRule type="containsText" dxfId="555" priority="121" operator="containsText" text="OK">
      <formula>NOT(ISERROR(SEARCH(("OK"),(K109))))</formula>
    </cfRule>
  </conditionalFormatting>
  <conditionalFormatting sqref="K109">
    <cfRule type="containsText" dxfId="554" priority="122" operator="containsText" text="미해당">
      <formula>NOT(ISERROR(SEARCH(("미해당"),(K109))))</formula>
    </cfRule>
  </conditionalFormatting>
  <conditionalFormatting sqref="L109">
    <cfRule type="containsText" dxfId="553" priority="123" operator="containsText" text="NG">
      <formula>NOT(ISERROR(SEARCH(("NG"),(L109))))</formula>
    </cfRule>
  </conditionalFormatting>
  <conditionalFormatting sqref="L109">
    <cfRule type="containsText" dxfId="552" priority="124" operator="containsText" text="OK">
      <formula>NOT(ISERROR(SEARCH(("OK"),(L109))))</formula>
    </cfRule>
  </conditionalFormatting>
  <conditionalFormatting sqref="K110">
    <cfRule type="containsText" dxfId="551" priority="125" operator="containsText" text="NG">
      <formula>NOT(ISERROR(SEARCH(("NG"),(K110))))</formula>
    </cfRule>
  </conditionalFormatting>
  <conditionalFormatting sqref="K110">
    <cfRule type="containsText" dxfId="550" priority="126" operator="containsText" text="OK">
      <formula>NOT(ISERROR(SEARCH(("OK"),(K110))))</formula>
    </cfRule>
  </conditionalFormatting>
  <conditionalFormatting sqref="K110">
    <cfRule type="containsText" dxfId="549" priority="127" operator="containsText" text="미해당">
      <formula>NOT(ISERROR(SEARCH(("미해당"),(K110))))</formula>
    </cfRule>
  </conditionalFormatting>
  <conditionalFormatting sqref="L110">
    <cfRule type="containsText" dxfId="548" priority="128" operator="containsText" text="NG">
      <formula>NOT(ISERROR(SEARCH(("NG"),(L110))))</formula>
    </cfRule>
  </conditionalFormatting>
  <conditionalFormatting sqref="L110">
    <cfRule type="containsText" dxfId="547" priority="129" operator="containsText" text="OK">
      <formula>NOT(ISERROR(SEARCH(("OK"),(L110))))</formula>
    </cfRule>
  </conditionalFormatting>
  <conditionalFormatting sqref="K221">
    <cfRule type="containsText" dxfId="546" priority="130" operator="containsText" text="NG">
      <formula>NOT(ISERROR(SEARCH(("NG"),(K221))))</formula>
    </cfRule>
  </conditionalFormatting>
  <conditionalFormatting sqref="K221">
    <cfRule type="containsText" dxfId="545" priority="131" operator="containsText" text="OK">
      <formula>NOT(ISERROR(SEARCH(("OK"),(K221))))</formula>
    </cfRule>
  </conditionalFormatting>
  <conditionalFormatting sqref="L221">
    <cfRule type="containsText" dxfId="544" priority="132" operator="containsText" text="NG">
      <formula>NOT(ISERROR(SEARCH(("NG"),(L221))))</formula>
    </cfRule>
  </conditionalFormatting>
  <conditionalFormatting sqref="L221">
    <cfRule type="containsText" dxfId="543" priority="133" operator="containsText" text="OK">
      <formula>NOT(ISERROR(SEARCH(("OK"),(L221))))</formula>
    </cfRule>
  </conditionalFormatting>
  <conditionalFormatting sqref="L230">
    <cfRule type="containsText" dxfId="542" priority="134" operator="containsText" text="NG">
      <formula>NOT(ISERROR(SEARCH(("NG"),(L230))))</formula>
    </cfRule>
  </conditionalFormatting>
  <conditionalFormatting sqref="L230">
    <cfRule type="containsText" dxfId="541" priority="135" operator="containsText" text="OK">
      <formula>NOT(ISERROR(SEARCH(("OK"),(L230))))</formula>
    </cfRule>
  </conditionalFormatting>
  <conditionalFormatting sqref="K267:L267">
    <cfRule type="containsText" dxfId="540" priority="136" operator="containsText" text="NG">
      <formula>NOT(ISERROR(SEARCH(("NG"),(K267))))</formula>
    </cfRule>
  </conditionalFormatting>
  <conditionalFormatting sqref="K267:L267">
    <cfRule type="containsText" dxfId="539" priority="137" operator="containsText" text="OK">
      <formula>NOT(ISERROR(SEARCH(("OK"),(K267))))</formula>
    </cfRule>
  </conditionalFormatting>
  <conditionalFormatting sqref="K269:L269">
    <cfRule type="containsText" dxfId="538" priority="138" operator="containsText" text="NG">
      <formula>NOT(ISERROR(SEARCH(("NG"),(K269))))</formula>
    </cfRule>
  </conditionalFormatting>
  <conditionalFormatting sqref="K269:L269">
    <cfRule type="containsText" dxfId="537" priority="139" operator="containsText" text="OK">
      <formula>NOT(ISERROR(SEARCH(("OK"),(K269))))</formula>
    </cfRule>
  </conditionalFormatting>
  <conditionalFormatting sqref="K390:K413">
    <cfRule type="containsText" dxfId="536" priority="140" operator="containsText" text="NG">
      <formula>NOT(ISERROR(SEARCH(("NG"),(K390))))</formula>
    </cfRule>
  </conditionalFormatting>
  <conditionalFormatting sqref="K390:K413">
    <cfRule type="containsText" dxfId="535" priority="141" operator="containsText" text="OK">
      <formula>NOT(ISERROR(SEARCH(("OK"),(K390))))</formula>
    </cfRule>
  </conditionalFormatting>
  <conditionalFormatting sqref="L390:L410">
    <cfRule type="containsText" dxfId="534" priority="142" operator="containsText" text="NG">
      <formula>NOT(ISERROR(SEARCH(("NG"),(L390))))</formula>
    </cfRule>
  </conditionalFormatting>
  <conditionalFormatting sqref="L390:L410">
    <cfRule type="containsText" dxfId="533" priority="143" operator="containsText" text="OK">
      <formula>NOT(ISERROR(SEARCH(("OK"),(L390))))</formula>
    </cfRule>
  </conditionalFormatting>
  <conditionalFormatting sqref="K232:K240">
    <cfRule type="containsText" dxfId="532" priority="144" operator="containsText" text="NG">
      <formula>NOT(ISERROR(SEARCH(("NG"),(K232))))</formula>
    </cfRule>
  </conditionalFormatting>
  <conditionalFormatting sqref="K232:K240">
    <cfRule type="containsText" dxfId="531" priority="145" operator="containsText" text="OK">
      <formula>NOT(ISERROR(SEARCH(("OK"),(K232))))</formula>
    </cfRule>
  </conditionalFormatting>
  <conditionalFormatting sqref="L239">
    <cfRule type="containsText" dxfId="530" priority="146" operator="containsText" text="NG">
      <formula>NOT(ISERROR(SEARCH(("NG"),(L239))))</formula>
    </cfRule>
  </conditionalFormatting>
  <conditionalFormatting sqref="L239">
    <cfRule type="containsText" dxfId="529" priority="147" operator="containsText" text="OK">
      <formula>NOT(ISERROR(SEARCH(("OK"),(L239))))</formula>
    </cfRule>
  </conditionalFormatting>
  <conditionalFormatting sqref="L240">
    <cfRule type="containsText" dxfId="528" priority="148" operator="containsText" text="NG">
      <formula>NOT(ISERROR(SEARCH(("NG"),(L240))))</formula>
    </cfRule>
  </conditionalFormatting>
  <conditionalFormatting sqref="L240">
    <cfRule type="containsText" dxfId="527" priority="149" operator="containsText" text="OK">
      <formula>NOT(ISERROR(SEARCH(("OK"),(L240))))</formula>
    </cfRule>
  </conditionalFormatting>
  <conditionalFormatting sqref="L231:L232">
    <cfRule type="containsText" dxfId="526" priority="150" operator="containsText" text="NG">
      <formula>NOT(ISERROR(SEARCH(("NG"),(L231))))</formula>
    </cfRule>
  </conditionalFormatting>
  <conditionalFormatting sqref="L231:L232">
    <cfRule type="containsText" dxfId="525" priority="151" operator="containsText" text="OK">
      <formula>NOT(ISERROR(SEARCH(("OK"),(L231))))</formula>
    </cfRule>
  </conditionalFormatting>
  <conditionalFormatting sqref="L233:L234">
    <cfRule type="containsText" dxfId="524" priority="152" operator="containsText" text="NG">
      <formula>NOT(ISERROR(SEARCH(("NG"),(L233))))</formula>
    </cfRule>
  </conditionalFormatting>
  <conditionalFormatting sqref="L233:L234">
    <cfRule type="containsText" dxfId="523" priority="153" operator="containsText" text="OK">
      <formula>NOT(ISERROR(SEARCH(("OK"),(L233))))</formula>
    </cfRule>
  </conditionalFormatting>
  <conditionalFormatting sqref="L236">
    <cfRule type="containsText" dxfId="522" priority="154" operator="containsText" text="NG">
      <formula>NOT(ISERROR(SEARCH(("NG"),(L236))))</formula>
    </cfRule>
  </conditionalFormatting>
  <conditionalFormatting sqref="L236">
    <cfRule type="containsText" dxfId="521" priority="155" operator="containsText" text="OK">
      <formula>NOT(ISERROR(SEARCH(("OK"),(L236))))</formula>
    </cfRule>
  </conditionalFormatting>
  <conditionalFormatting sqref="L235">
    <cfRule type="containsText" dxfId="520" priority="156" operator="containsText" text="NG">
      <formula>NOT(ISERROR(SEARCH(("NG"),(L235))))</formula>
    </cfRule>
  </conditionalFormatting>
  <conditionalFormatting sqref="L235">
    <cfRule type="containsText" dxfId="519" priority="157" operator="containsText" text="OK">
      <formula>NOT(ISERROR(SEARCH(("OK"),(L235))))</formula>
    </cfRule>
  </conditionalFormatting>
  <conditionalFormatting sqref="L238">
    <cfRule type="containsText" dxfId="518" priority="158" operator="containsText" text="NG">
      <formula>NOT(ISERROR(SEARCH(("NG"),(L238))))</formula>
    </cfRule>
  </conditionalFormatting>
  <conditionalFormatting sqref="L238">
    <cfRule type="containsText" dxfId="517" priority="159" operator="containsText" text="OK">
      <formula>NOT(ISERROR(SEARCH(("OK"),(L238))))</formula>
    </cfRule>
  </conditionalFormatting>
  <conditionalFormatting sqref="L237">
    <cfRule type="containsText" dxfId="516" priority="160" operator="containsText" text="NG">
      <formula>NOT(ISERROR(SEARCH(("NG"),(L237))))</formula>
    </cfRule>
  </conditionalFormatting>
  <conditionalFormatting sqref="L237">
    <cfRule type="containsText" dxfId="515" priority="161" operator="containsText" text="OK">
      <formula>NOT(ISERROR(SEARCH(("OK"),(L237))))</formula>
    </cfRule>
  </conditionalFormatting>
  <conditionalFormatting sqref="K200">
    <cfRule type="containsText" dxfId="514" priority="162" operator="containsText" text="NG">
      <formula>NOT(ISERROR(SEARCH(("NG"),(K200))))</formula>
    </cfRule>
  </conditionalFormatting>
  <conditionalFormatting sqref="K200">
    <cfRule type="containsText" dxfId="513" priority="163" operator="containsText" text="OK">
      <formula>NOT(ISERROR(SEARCH(("OK"),(K200))))</formula>
    </cfRule>
  </conditionalFormatting>
  <conditionalFormatting sqref="K200 N200">
    <cfRule type="containsText" dxfId="512" priority="164" operator="containsText" text="미해당">
      <formula>NOT(ISERROR(SEARCH(("미해당"),(K200))))</formula>
    </cfRule>
  </conditionalFormatting>
  <conditionalFormatting sqref="L200">
    <cfRule type="containsText" dxfId="511" priority="165" operator="containsText" text="NG">
      <formula>NOT(ISERROR(SEARCH(("NG"),(L200))))</formula>
    </cfRule>
  </conditionalFormatting>
  <conditionalFormatting sqref="L200">
    <cfRule type="containsText" dxfId="510" priority="166" operator="containsText" text="OK">
      <formula>NOT(ISERROR(SEARCH(("OK"),(L200))))</formula>
    </cfRule>
  </conditionalFormatting>
  <conditionalFormatting sqref="K268:L268">
    <cfRule type="containsText" dxfId="509" priority="167" operator="containsText" text="NG">
      <formula>NOT(ISERROR(SEARCH(("NG"),(K268))))</formula>
    </cfRule>
  </conditionalFormatting>
  <conditionalFormatting sqref="K268:L268">
    <cfRule type="containsText" dxfId="508" priority="168" operator="containsText" text="OK">
      <formula>NOT(ISERROR(SEARCH(("OK"),(K268))))</formula>
    </cfRule>
  </conditionalFormatting>
  <conditionalFormatting sqref="N74:N79 N81:N82">
    <cfRule type="containsText" dxfId="507" priority="169" operator="containsText" text="미해당">
      <formula>NOT(ISERROR(SEARCH(("미해당"),(N74))))</formula>
    </cfRule>
  </conditionalFormatting>
  <conditionalFormatting sqref="L74:L82">
    <cfRule type="containsText" dxfId="506" priority="170" operator="containsText" text="NG">
      <formula>NOT(ISERROR(SEARCH(("NG"),(L74))))</formula>
    </cfRule>
  </conditionalFormatting>
  <conditionalFormatting sqref="L74:L82">
    <cfRule type="containsText" dxfId="505" priority="171" operator="containsText" text="OK">
      <formula>NOT(ISERROR(SEARCH(("OK"),(L74))))</formula>
    </cfRule>
  </conditionalFormatting>
  <conditionalFormatting sqref="K435:K436 L435">
    <cfRule type="containsText" dxfId="504" priority="172" operator="containsText" text="NG">
      <formula>NOT(ISERROR(SEARCH(("NG"),(K435))))</formula>
    </cfRule>
  </conditionalFormatting>
  <conditionalFormatting sqref="K435:K436 L435">
    <cfRule type="containsText" dxfId="503" priority="173" operator="containsText" text="OK">
      <formula>NOT(ISERROR(SEARCH(("OK"),(K435))))</formula>
    </cfRule>
  </conditionalFormatting>
  <conditionalFormatting sqref="K201:L211">
    <cfRule type="containsText" dxfId="502" priority="174" operator="containsText" text="NG">
      <formula>NOT(ISERROR(SEARCH(("NG"),(K201))))</formula>
    </cfRule>
  </conditionalFormatting>
  <conditionalFormatting sqref="K201:L211">
    <cfRule type="containsText" dxfId="501" priority="175" operator="containsText" text="OK">
      <formula>NOT(ISERROR(SEARCH(("OK"),(K201))))</formula>
    </cfRule>
  </conditionalFormatting>
  <conditionalFormatting sqref="M39:M40 M42:M43 M65 M68:M69 M72:M73 M85:M90 M95:M96">
    <cfRule type="containsText" dxfId="500" priority="176" operator="containsText" text="미해당">
      <formula>NOT(ISERROR(SEARCH(("미해당"),(M39))))</formula>
    </cfRule>
  </conditionalFormatting>
  <conditionalFormatting sqref="M8">
    <cfRule type="containsText" dxfId="499" priority="177" operator="containsText" text="미해당">
      <formula>NOT(ISERROR(SEARCH(("미해당"),(M8))))</formula>
    </cfRule>
  </conditionalFormatting>
  <conditionalFormatting sqref="M191:M192 M194:M199">
    <cfRule type="containsText" dxfId="498" priority="178" operator="containsText" text="미해당">
      <formula>NOT(ISERROR(SEARCH(("미해당"),(M191))))</formula>
    </cfRule>
  </conditionalFormatting>
  <conditionalFormatting sqref="M100:M137">
    <cfRule type="containsText" dxfId="497" priority="179" operator="containsText" text="미해당">
      <formula>NOT(ISERROR(SEARCH(("미해당"),(M100))))</formula>
    </cfRule>
  </conditionalFormatting>
  <conditionalFormatting sqref="M97:M99">
    <cfRule type="containsText" dxfId="496" priority="180" operator="containsText" text="미해당">
      <formula>NOT(ISERROR(SEARCH(("미해당"),(M97))))</formula>
    </cfRule>
  </conditionalFormatting>
  <conditionalFormatting sqref="M200">
    <cfRule type="containsText" dxfId="495" priority="181" operator="containsText" text="미해당">
      <formula>NOT(ISERROR(SEARCH(("미해당"),(M200))))</formula>
    </cfRule>
  </conditionalFormatting>
  <conditionalFormatting sqref="M74 M77:M78 M81:M82">
    <cfRule type="containsText" dxfId="494" priority="182" operator="containsText" text="미해당">
      <formula>NOT(ISERROR(SEARCH(("미해당"),(M74))))</formula>
    </cfRule>
  </conditionalFormatting>
  <dataValidations count="3">
    <dataValidation type="list" allowBlank="1" showErrorMessage="1" sqref="O4:P4 O48:O53 O121:O125 O138:P188 O241 O272:O273 O305:O312 O378:O379">
      <formula1>"필수,중요,선택"</formula1>
    </dataValidation>
    <dataValidation type="list" allowBlank="1" showErrorMessage="1" sqref="K4:L436">
      <formula1>"Pass,Fail,NA"</formula1>
    </dataValidation>
    <dataValidation type="list" allowBlank="1" showErrorMessage="1" sqref="O5:P47 P48:P53 O54:P120 P121:P125 O126:P137 O189:P240 P241 O242:P271 P272:P273 O274:P304 P305:P312 O313:P377 P378:P379 O380:P410 O414:P431 O435:P435">
      <formula1>"Proto,M/CAR,Pilot,M,SOP"</formula1>
    </dataValidation>
  </dataValidations>
  <pageMargins left="0.7" right="0.7" top="0.75" bottom="0.75"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002060"/>
  </sheetPr>
  <dimension ref="A1:AA1000"/>
  <sheetViews>
    <sheetView topLeftCell="F1" workbookViewId="0">
      <selection activeCell="J3" sqref="J3"/>
    </sheetView>
  </sheetViews>
  <sheetFormatPr defaultColWidth="14.42578125" defaultRowHeight="15" customHeight="1"/>
  <cols>
    <col min="1" max="1" width="34.42578125" customWidth="1"/>
    <col min="2" max="3" width="9" customWidth="1"/>
    <col min="4" max="5" width="43.28515625" customWidth="1"/>
    <col min="6" max="7" width="5.42578125" customWidth="1"/>
    <col min="8" max="8" width="59.5703125" customWidth="1"/>
    <col min="9" max="9" width="43.28515625" customWidth="1"/>
    <col min="10" max="10" width="43.28515625" style="326" customWidth="1"/>
    <col min="11" max="11" width="9" customWidth="1"/>
    <col min="12" max="12" width="15.28515625" customWidth="1"/>
    <col min="13" max="13" width="15.42578125" customWidth="1"/>
    <col min="14" max="15" width="9" customWidth="1"/>
    <col min="16" max="17" width="7.42578125" customWidth="1"/>
    <col min="18" max="18" width="18" customWidth="1"/>
    <col min="19" max="19" width="7.42578125" customWidth="1"/>
    <col min="20" max="27" width="9" customWidth="1"/>
  </cols>
  <sheetData>
    <row r="1" spans="1:27" ht="39.75" customHeight="1">
      <c r="A1" s="8"/>
      <c r="B1" s="11" t="str">
        <f t="array" ref="B1">"BAS_"&amp;TEXT(MAX(IFERROR(--MID($B$2:$B$4998,5,3),0)),"000")</f>
        <v>BAS_022</v>
      </c>
      <c r="C1" s="3"/>
      <c r="D1" s="8"/>
      <c r="E1" s="9"/>
      <c r="F1" s="3"/>
      <c r="G1" s="3"/>
      <c r="H1" s="7"/>
      <c r="I1" s="7"/>
      <c r="J1" s="10"/>
      <c r="K1" s="11"/>
      <c r="L1" s="3"/>
      <c r="M1" s="11"/>
      <c r="N1" s="3"/>
      <c r="O1" s="11"/>
      <c r="P1" s="11"/>
      <c r="Q1" s="11"/>
      <c r="R1" s="11"/>
      <c r="S1" s="11"/>
    </row>
    <row r="2" spans="1:27" ht="39" customHeight="1">
      <c r="A2" s="12" t="s">
        <v>309</v>
      </c>
      <c r="B2" s="70" t="s">
        <v>310</v>
      </c>
      <c r="C2" s="70" t="s">
        <v>311</v>
      </c>
      <c r="D2" s="12" t="s">
        <v>312</v>
      </c>
      <c r="E2" s="12" t="s">
        <v>313</v>
      </c>
      <c r="F2" s="70" t="s">
        <v>314</v>
      </c>
      <c r="G2" s="70" t="s">
        <v>315</v>
      </c>
      <c r="H2" s="12" t="s">
        <v>316</v>
      </c>
      <c r="I2" s="12" t="s">
        <v>317</v>
      </c>
      <c r="J2" s="70" t="s">
        <v>7999</v>
      </c>
      <c r="K2" s="70" t="s">
        <v>291</v>
      </c>
      <c r="L2" s="70" t="s">
        <v>318</v>
      </c>
      <c r="M2" s="70" t="s">
        <v>293</v>
      </c>
      <c r="N2" s="13"/>
      <c r="O2" s="70" t="s">
        <v>319</v>
      </c>
      <c r="P2" s="70" t="s">
        <v>320</v>
      </c>
      <c r="Q2" s="70" t="s">
        <v>321</v>
      </c>
      <c r="R2" s="70" t="s">
        <v>1</v>
      </c>
      <c r="S2" s="70" t="s">
        <v>322</v>
      </c>
      <c r="T2" s="14"/>
      <c r="U2" s="14"/>
      <c r="V2" s="14"/>
      <c r="W2" s="14"/>
      <c r="X2" s="14"/>
      <c r="Y2" s="14"/>
      <c r="Z2" s="14"/>
      <c r="AA2" s="14"/>
    </row>
    <row r="3" spans="1:27" ht="37.5">
      <c r="A3" s="15" t="s">
        <v>5226</v>
      </c>
      <c r="B3" s="16"/>
      <c r="C3" s="16"/>
      <c r="D3" s="17"/>
      <c r="E3" s="18"/>
      <c r="F3" s="19"/>
      <c r="G3" s="19"/>
      <c r="H3" s="17"/>
      <c r="I3" s="20"/>
      <c r="J3" s="20"/>
      <c r="K3" s="16"/>
      <c r="L3" s="16"/>
      <c r="M3" s="71"/>
      <c r="N3" s="3"/>
      <c r="O3" s="16"/>
      <c r="P3" s="16"/>
      <c r="Q3" s="16"/>
      <c r="R3" s="16"/>
      <c r="S3" s="16"/>
    </row>
    <row r="4" spans="1:27" ht="120">
      <c r="A4" s="368" t="s">
        <v>5227</v>
      </c>
      <c r="B4" s="350" t="s">
        <v>5228</v>
      </c>
      <c r="C4" s="31">
        <v>1</v>
      </c>
      <c r="D4" s="368" t="s">
        <v>5227</v>
      </c>
      <c r="E4" s="23" t="s">
        <v>1435</v>
      </c>
      <c r="F4" s="41" t="s">
        <v>361</v>
      </c>
      <c r="G4" s="41" t="s">
        <v>327</v>
      </c>
      <c r="H4" s="23" t="s">
        <v>1436</v>
      </c>
      <c r="I4" s="23" t="s">
        <v>1437</v>
      </c>
      <c r="J4" s="170"/>
      <c r="K4" s="25"/>
      <c r="L4" s="25"/>
      <c r="M4" s="26"/>
      <c r="N4" s="55"/>
      <c r="O4" s="28"/>
      <c r="P4" s="28"/>
      <c r="Q4" s="50" t="s">
        <v>282</v>
      </c>
      <c r="R4" s="25"/>
      <c r="S4" s="50"/>
      <c r="T4" s="30"/>
      <c r="U4" s="30"/>
      <c r="V4" s="30"/>
      <c r="W4" s="30"/>
      <c r="X4" s="30"/>
      <c r="Y4" s="30"/>
      <c r="Z4" s="30"/>
      <c r="AA4" s="30"/>
    </row>
    <row r="5" spans="1:27" ht="90">
      <c r="A5" s="344"/>
      <c r="B5" s="344"/>
      <c r="C5" s="31">
        <v>2</v>
      </c>
      <c r="D5" s="344"/>
      <c r="E5" s="23" t="s">
        <v>5229</v>
      </c>
      <c r="F5" s="41" t="s">
        <v>361</v>
      </c>
      <c r="G5" s="41" t="s">
        <v>327</v>
      </c>
      <c r="H5" s="23" t="s">
        <v>5230</v>
      </c>
      <c r="I5" s="23" t="s">
        <v>5231</v>
      </c>
      <c r="J5" s="170"/>
      <c r="K5" s="25"/>
      <c r="L5" s="25"/>
      <c r="M5" s="26"/>
      <c r="N5" s="55"/>
      <c r="O5" s="25"/>
      <c r="P5" s="25"/>
      <c r="Q5" s="50" t="s">
        <v>282</v>
      </c>
      <c r="R5" s="25"/>
      <c r="S5" s="50"/>
      <c r="T5" s="30"/>
      <c r="U5" s="30"/>
      <c r="V5" s="30"/>
      <c r="W5" s="30"/>
      <c r="X5" s="30"/>
      <c r="Y5" s="30"/>
      <c r="Z5" s="30"/>
      <c r="AA5" s="30"/>
    </row>
    <row r="6" spans="1:27" ht="60">
      <c r="A6" s="369"/>
      <c r="B6" s="369"/>
      <c r="C6" s="190">
        <v>3</v>
      </c>
      <c r="D6" s="369"/>
      <c r="E6" s="102" t="s">
        <v>5232</v>
      </c>
      <c r="F6" s="103" t="s">
        <v>361</v>
      </c>
      <c r="G6" s="103" t="s">
        <v>327</v>
      </c>
      <c r="H6" s="102" t="s">
        <v>5233</v>
      </c>
      <c r="I6" s="38" t="s">
        <v>5234</v>
      </c>
      <c r="J6" s="189"/>
      <c r="K6" s="25"/>
      <c r="L6" s="25"/>
      <c r="M6" s="26"/>
      <c r="N6" s="55"/>
      <c r="O6" s="28" t="s">
        <v>140</v>
      </c>
      <c r="P6" s="25"/>
      <c r="Q6" s="50" t="s">
        <v>282</v>
      </c>
      <c r="R6" s="25"/>
      <c r="S6" s="50"/>
      <c r="T6" s="30"/>
      <c r="U6" s="30"/>
      <c r="V6" s="30"/>
      <c r="W6" s="30"/>
      <c r="X6" s="30"/>
      <c r="Y6" s="30"/>
      <c r="Z6" s="30"/>
      <c r="AA6" s="30"/>
    </row>
    <row r="7" spans="1:27" ht="45">
      <c r="A7" s="104" t="s">
        <v>5235</v>
      </c>
      <c r="B7" s="103" t="s">
        <v>5236</v>
      </c>
      <c r="C7" s="31">
        <v>1</v>
      </c>
      <c r="D7" s="104" t="s">
        <v>5235</v>
      </c>
      <c r="E7" s="38" t="s">
        <v>5237</v>
      </c>
      <c r="F7" s="41" t="s">
        <v>361</v>
      </c>
      <c r="G7" s="41" t="s">
        <v>327</v>
      </c>
      <c r="H7" s="23" t="s">
        <v>5238</v>
      </c>
      <c r="I7" s="23" t="s">
        <v>5239</v>
      </c>
      <c r="J7" s="170"/>
      <c r="K7" s="25"/>
      <c r="L7" s="25"/>
      <c r="M7" s="26"/>
      <c r="N7" s="55"/>
      <c r="O7" s="25"/>
      <c r="P7" s="25"/>
      <c r="Q7" s="50" t="s">
        <v>282</v>
      </c>
      <c r="R7" s="25"/>
      <c r="S7" s="50"/>
      <c r="T7" s="30"/>
      <c r="U7" s="30"/>
      <c r="V7" s="30"/>
      <c r="W7" s="30"/>
      <c r="X7" s="30"/>
      <c r="Y7" s="30"/>
      <c r="Z7" s="30"/>
      <c r="AA7" s="30"/>
    </row>
    <row r="8" spans="1:27" ht="15.75">
      <c r="A8" s="355" t="s">
        <v>5240</v>
      </c>
      <c r="B8" s="350" t="s">
        <v>78</v>
      </c>
      <c r="C8" s="31">
        <v>1</v>
      </c>
      <c r="D8" s="355" t="s">
        <v>5240</v>
      </c>
      <c r="E8" s="23" t="s">
        <v>5241</v>
      </c>
      <c r="F8" s="41" t="s">
        <v>361</v>
      </c>
      <c r="G8" s="41" t="s">
        <v>327</v>
      </c>
      <c r="H8" s="23" t="s">
        <v>5242</v>
      </c>
      <c r="I8" s="23" t="s">
        <v>5243</v>
      </c>
      <c r="J8" s="170"/>
      <c r="K8" s="25"/>
      <c r="L8" s="25"/>
      <c r="M8" s="26"/>
      <c r="N8" s="55"/>
      <c r="O8" s="28" t="s">
        <v>140</v>
      </c>
      <c r="P8" s="25"/>
      <c r="Q8" s="50" t="s">
        <v>282</v>
      </c>
      <c r="R8" s="25"/>
      <c r="S8" s="50"/>
      <c r="T8" s="30"/>
      <c r="U8" s="30"/>
      <c r="V8" s="30"/>
      <c r="W8" s="30"/>
      <c r="X8" s="30"/>
      <c r="Y8" s="30"/>
      <c r="Z8" s="30"/>
      <c r="AA8" s="30"/>
    </row>
    <row r="9" spans="1:27" ht="30">
      <c r="A9" s="344"/>
      <c r="B9" s="344"/>
      <c r="C9" s="31">
        <v>2</v>
      </c>
      <c r="D9" s="344"/>
      <c r="E9" s="23" t="s">
        <v>5244</v>
      </c>
      <c r="F9" s="41" t="s">
        <v>361</v>
      </c>
      <c r="G9" s="41" t="s">
        <v>327</v>
      </c>
      <c r="H9" s="23" t="s">
        <v>5245</v>
      </c>
      <c r="I9" s="23" t="s">
        <v>5246</v>
      </c>
      <c r="J9" s="170"/>
      <c r="K9" s="25"/>
      <c r="L9" s="25"/>
      <c r="M9" s="26"/>
      <c r="N9" s="55"/>
      <c r="O9" s="25"/>
      <c r="P9" s="25"/>
      <c r="Q9" s="50" t="s">
        <v>282</v>
      </c>
      <c r="R9" s="25"/>
      <c r="S9" s="50"/>
      <c r="T9" s="30"/>
      <c r="U9" s="30"/>
      <c r="V9" s="30"/>
      <c r="W9" s="30"/>
      <c r="X9" s="30"/>
      <c r="Y9" s="30"/>
      <c r="Z9" s="30"/>
      <c r="AA9" s="30"/>
    </row>
    <row r="10" spans="1:27" ht="30">
      <c r="A10" s="369"/>
      <c r="B10" s="369"/>
      <c r="C10" s="31">
        <v>3</v>
      </c>
      <c r="D10" s="344"/>
      <c r="E10" s="23" t="s">
        <v>5247</v>
      </c>
      <c r="F10" s="41" t="s">
        <v>361</v>
      </c>
      <c r="G10" s="41" t="s">
        <v>327</v>
      </c>
      <c r="H10" s="23" t="s">
        <v>5248</v>
      </c>
      <c r="I10" s="23" t="s">
        <v>5246</v>
      </c>
      <c r="J10" s="170"/>
      <c r="K10" s="25"/>
      <c r="L10" s="25"/>
      <c r="M10" s="26"/>
      <c r="N10" s="55"/>
      <c r="O10" s="25"/>
      <c r="P10" s="25"/>
      <c r="Q10" s="50" t="s">
        <v>282</v>
      </c>
      <c r="R10" s="25"/>
      <c r="S10" s="50"/>
      <c r="T10" s="30"/>
      <c r="U10" s="30"/>
      <c r="V10" s="30"/>
      <c r="W10" s="30"/>
      <c r="X10" s="30"/>
      <c r="Y10" s="30"/>
      <c r="Z10" s="30"/>
      <c r="AA10" s="30"/>
    </row>
    <row r="11" spans="1:27" ht="37.5">
      <c r="A11" s="227" t="s">
        <v>5249</v>
      </c>
      <c r="B11" s="16"/>
      <c r="C11" s="16"/>
      <c r="D11" s="17"/>
      <c r="E11" s="18"/>
      <c r="F11" s="19"/>
      <c r="G11" s="19"/>
      <c r="H11" s="17"/>
      <c r="I11" s="20"/>
      <c r="J11" s="20"/>
      <c r="K11" s="16"/>
      <c r="L11" s="16"/>
      <c r="M11" s="71"/>
      <c r="N11" s="3"/>
      <c r="O11" s="16"/>
      <c r="P11" s="16"/>
      <c r="Q11" s="16"/>
      <c r="R11" s="16"/>
      <c r="S11" s="16"/>
    </row>
    <row r="12" spans="1:27" ht="60">
      <c r="A12" s="359" t="s">
        <v>5250</v>
      </c>
      <c r="B12" s="360" t="s">
        <v>5251</v>
      </c>
      <c r="C12" s="31">
        <v>1</v>
      </c>
      <c r="D12" s="359" t="s">
        <v>5252</v>
      </c>
      <c r="E12" s="23" t="s">
        <v>5253</v>
      </c>
      <c r="F12" s="31" t="s">
        <v>326</v>
      </c>
      <c r="G12" s="31" t="s">
        <v>327</v>
      </c>
      <c r="H12" s="39" t="s">
        <v>5254</v>
      </c>
      <c r="I12" s="39" t="s">
        <v>5255</v>
      </c>
      <c r="J12" s="289"/>
      <c r="K12" s="25"/>
      <c r="L12" s="25"/>
      <c r="M12" s="362" t="s">
        <v>5256</v>
      </c>
      <c r="N12" s="55"/>
      <c r="O12" s="25"/>
      <c r="P12" s="25"/>
      <c r="Q12" s="50" t="s">
        <v>282</v>
      </c>
      <c r="R12" s="25"/>
      <c r="S12" s="50" t="s">
        <v>140</v>
      </c>
      <c r="T12" s="65"/>
      <c r="U12" s="65"/>
      <c r="V12" s="65"/>
      <c r="W12" s="65"/>
      <c r="X12" s="65"/>
      <c r="Y12" s="65"/>
      <c r="Z12" s="65"/>
      <c r="AA12" s="65"/>
    </row>
    <row r="13" spans="1:27" ht="30">
      <c r="A13" s="344"/>
      <c r="B13" s="344"/>
      <c r="C13" s="31">
        <v>2</v>
      </c>
      <c r="D13" s="344"/>
      <c r="E13" s="23" t="s">
        <v>5257</v>
      </c>
      <c r="F13" s="31" t="s">
        <v>326</v>
      </c>
      <c r="G13" s="31" t="s">
        <v>327</v>
      </c>
      <c r="H13" s="39" t="s">
        <v>5258</v>
      </c>
      <c r="I13" s="39" t="s">
        <v>5259</v>
      </c>
      <c r="J13" s="289"/>
      <c r="K13" s="25"/>
      <c r="L13" s="25"/>
      <c r="M13" s="344"/>
      <c r="N13" s="55"/>
      <c r="O13" s="25"/>
      <c r="P13" s="25"/>
      <c r="Q13" s="50" t="s">
        <v>282</v>
      </c>
      <c r="R13" s="25"/>
      <c r="S13" s="50" t="s">
        <v>140</v>
      </c>
      <c r="T13" s="65"/>
      <c r="U13" s="65"/>
      <c r="V13" s="65"/>
      <c r="W13" s="65"/>
      <c r="X13" s="65"/>
      <c r="Y13" s="65"/>
      <c r="Z13" s="65"/>
      <c r="AA13" s="65"/>
    </row>
    <row r="14" spans="1:27">
      <c r="A14" s="344"/>
      <c r="B14" s="344"/>
      <c r="C14" s="31">
        <v>3</v>
      </c>
      <c r="D14" s="344"/>
      <c r="E14" s="23" t="s">
        <v>5260</v>
      </c>
      <c r="F14" s="31" t="s">
        <v>326</v>
      </c>
      <c r="G14" s="31" t="s">
        <v>327</v>
      </c>
      <c r="H14" s="39" t="s">
        <v>5261</v>
      </c>
      <c r="I14" s="39" t="s">
        <v>5262</v>
      </c>
      <c r="J14" s="289"/>
      <c r="K14" s="25"/>
      <c r="L14" s="25"/>
      <c r="M14" s="344"/>
      <c r="N14" s="55"/>
      <c r="O14" s="25"/>
      <c r="P14" s="25"/>
      <c r="Q14" s="50" t="s">
        <v>282</v>
      </c>
      <c r="R14" s="25"/>
      <c r="S14" s="50" t="s">
        <v>140</v>
      </c>
      <c r="T14" s="65"/>
      <c r="U14" s="65"/>
      <c r="V14" s="65"/>
      <c r="W14" s="65"/>
      <c r="X14" s="65"/>
      <c r="Y14" s="65"/>
      <c r="Z14" s="65"/>
      <c r="AA14" s="65"/>
    </row>
    <row r="15" spans="1:27" ht="30">
      <c r="A15" s="345"/>
      <c r="B15" s="345"/>
      <c r="C15" s="31">
        <v>4</v>
      </c>
      <c r="D15" s="345"/>
      <c r="E15" s="23" t="s">
        <v>5263</v>
      </c>
      <c r="F15" s="31" t="s">
        <v>326</v>
      </c>
      <c r="G15" s="31" t="s">
        <v>327</v>
      </c>
      <c r="H15" s="39" t="s">
        <v>5264</v>
      </c>
      <c r="I15" s="39" t="s">
        <v>5265</v>
      </c>
      <c r="J15" s="289"/>
      <c r="K15" s="25"/>
      <c r="L15" s="25"/>
      <c r="M15" s="344"/>
      <c r="N15" s="55"/>
      <c r="O15" s="25"/>
      <c r="P15" s="25"/>
      <c r="Q15" s="50" t="s">
        <v>282</v>
      </c>
      <c r="R15" s="25"/>
      <c r="S15" s="50" t="s">
        <v>140</v>
      </c>
      <c r="T15" s="65"/>
      <c r="U15" s="65"/>
      <c r="V15" s="65"/>
      <c r="W15" s="65"/>
      <c r="X15" s="65"/>
      <c r="Y15" s="65"/>
      <c r="Z15" s="65"/>
      <c r="AA15" s="65"/>
    </row>
    <row r="16" spans="1:27" ht="30">
      <c r="A16" s="359" t="s">
        <v>5266</v>
      </c>
      <c r="B16" s="360" t="s">
        <v>5267</v>
      </c>
      <c r="C16" s="31">
        <v>1</v>
      </c>
      <c r="D16" s="392" t="s">
        <v>5268</v>
      </c>
      <c r="E16" s="35" t="s">
        <v>5269</v>
      </c>
      <c r="F16" s="46" t="s">
        <v>326</v>
      </c>
      <c r="G16" s="46" t="s">
        <v>327</v>
      </c>
      <c r="H16" s="73" t="s">
        <v>5270</v>
      </c>
      <c r="I16" s="73" t="s">
        <v>5270</v>
      </c>
      <c r="J16" s="79"/>
      <c r="K16" s="25"/>
      <c r="L16" s="25"/>
      <c r="M16" s="344"/>
      <c r="N16" s="55"/>
      <c r="O16" s="25"/>
      <c r="P16" s="25"/>
      <c r="Q16" s="50" t="s">
        <v>282</v>
      </c>
      <c r="R16" s="25"/>
      <c r="S16" s="50" t="s">
        <v>140</v>
      </c>
      <c r="T16" s="65"/>
      <c r="U16" s="65"/>
      <c r="V16" s="65"/>
      <c r="W16" s="65"/>
      <c r="X16" s="65"/>
      <c r="Y16" s="65"/>
      <c r="Z16" s="65"/>
      <c r="AA16" s="65"/>
    </row>
    <row r="17" spans="1:27" ht="30">
      <c r="A17" s="344"/>
      <c r="B17" s="344"/>
      <c r="C17" s="31">
        <v>2</v>
      </c>
      <c r="D17" s="344"/>
      <c r="E17" s="35" t="s">
        <v>5271</v>
      </c>
      <c r="F17" s="46" t="s">
        <v>326</v>
      </c>
      <c r="G17" s="46" t="s">
        <v>327</v>
      </c>
      <c r="H17" s="73" t="s">
        <v>5272</v>
      </c>
      <c r="I17" s="73" t="s">
        <v>5272</v>
      </c>
      <c r="J17" s="79"/>
      <c r="K17" s="25"/>
      <c r="L17" s="25"/>
      <c r="M17" s="344"/>
      <c r="N17" s="55"/>
      <c r="O17" s="25"/>
      <c r="P17" s="25"/>
      <c r="Q17" s="50" t="s">
        <v>282</v>
      </c>
      <c r="R17" s="25"/>
      <c r="S17" s="50" t="s">
        <v>140</v>
      </c>
      <c r="T17" s="65"/>
      <c r="U17" s="65"/>
      <c r="V17" s="65"/>
      <c r="W17" s="65"/>
      <c r="X17" s="65"/>
      <c r="Y17" s="65"/>
      <c r="Z17" s="65"/>
      <c r="AA17" s="65"/>
    </row>
    <row r="18" spans="1:27" ht="75">
      <c r="A18" s="344"/>
      <c r="B18" s="344"/>
      <c r="C18" s="31">
        <v>3</v>
      </c>
      <c r="D18" s="344"/>
      <c r="E18" s="35" t="s">
        <v>5273</v>
      </c>
      <c r="F18" s="46" t="s">
        <v>326</v>
      </c>
      <c r="G18" s="46" t="s">
        <v>327</v>
      </c>
      <c r="H18" s="73" t="s">
        <v>5274</v>
      </c>
      <c r="I18" s="73" t="s">
        <v>5274</v>
      </c>
      <c r="J18" s="79"/>
      <c r="K18" s="25"/>
      <c r="L18" s="25"/>
      <c r="M18" s="344"/>
      <c r="N18" s="55"/>
      <c r="O18" s="25"/>
      <c r="P18" s="25"/>
      <c r="Q18" s="50" t="s">
        <v>282</v>
      </c>
      <c r="R18" s="25"/>
      <c r="S18" s="50" t="s">
        <v>140</v>
      </c>
      <c r="T18" s="65"/>
      <c r="U18" s="65"/>
      <c r="V18" s="65"/>
      <c r="W18" s="65"/>
      <c r="X18" s="65"/>
      <c r="Y18" s="65"/>
      <c r="Z18" s="65"/>
      <c r="AA18" s="65"/>
    </row>
    <row r="19" spans="1:27" ht="30">
      <c r="A19" s="345"/>
      <c r="B19" s="345"/>
      <c r="C19" s="31">
        <v>4</v>
      </c>
      <c r="D19" s="345"/>
      <c r="E19" s="35" t="s">
        <v>5275</v>
      </c>
      <c r="F19" s="46" t="s">
        <v>326</v>
      </c>
      <c r="G19" s="46" t="s">
        <v>327</v>
      </c>
      <c r="H19" s="73" t="s">
        <v>5276</v>
      </c>
      <c r="I19" s="73" t="s">
        <v>5276</v>
      </c>
      <c r="J19" s="79"/>
      <c r="K19" s="25"/>
      <c r="L19" s="25"/>
      <c r="M19" s="345"/>
      <c r="N19" s="55"/>
      <c r="O19" s="25"/>
      <c r="P19" s="25"/>
      <c r="Q19" s="50" t="s">
        <v>282</v>
      </c>
      <c r="R19" s="25"/>
      <c r="S19" s="50" t="s">
        <v>140</v>
      </c>
      <c r="T19" s="65"/>
      <c r="U19" s="65"/>
      <c r="V19" s="65"/>
      <c r="W19" s="65"/>
      <c r="X19" s="65"/>
      <c r="Y19" s="65"/>
      <c r="Z19" s="65"/>
      <c r="AA19" s="65"/>
    </row>
    <row r="20" spans="1:27" ht="60">
      <c r="A20" s="359" t="s">
        <v>5277</v>
      </c>
      <c r="B20" s="360" t="s">
        <v>5278</v>
      </c>
      <c r="C20" s="31">
        <v>1</v>
      </c>
      <c r="D20" s="392" t="s">
        <v>5279</v>
      </c>
      <c r="E20" s="35" t="s">
        <v>5280</v>
      </c>
      <c r="F20" s="46" t="s">
        <v>326</v>
      </c>
      <c r="G20" s="46" t="s">
        <v>524</v>
      </c>
      <c r="H20" s="73" t="s">
        <v>5281</v>
      </c>
      <c r="I20" s="73" t="s">
        <v>5282</v>
      </c>
      <c r="J20" s="79"/>
      <c r="K20" s="25"/>
      <c r="L20" s="25"/>
      <c r="M20" s="26"/>
      <c r="N20" s="55"/>
      <c r="O20" s="25"/>
      <c r="P20" s="25"/>
      <c r="Q20" s="50" t="s">
        <v>282</v>
      </c>
      <c r="R20" s="25"/>
      <c r="S20" s="50"/>
      <c r="T20" s="65"/>
      <c r="U20" s="65"/>
      <c r="V20" s="65"/>
      <c r="W20" s="65"/>
      <c r="X20" s="65"/>
      <c r="Y20" s="65"/>
      <c r="Z20" s="65"/>
      <c r="AA20" s="65"/>
    </row>
    <row r="21" spans="1:27" ht="15.75" customHeight="1">
      <c r="A21" s="344"/>
      <c r="B21" s="344"/>
      <c r="C21" s="31">
        <v>2</v>
      </c>
      <c r="D21" s="344"/>
      <c r="E21" s="35" t="s">
        <v>5283</v>
      </c>
      <c r="F21" s="46" t="s">
        <v>326</v>
      </c>
      <c r="G21" s="46" t="s">
        <v>524</v>
      </c>
      <c r="H21" s="73" t="s">
        <v>5284</v>
      </c>
      <c r="I21" s="73" t="s">
        <v>5284</v>
      </c>
      <c r="J21" s="79"/>
      <c r="K21" s="25"/>
      <c r="L21" s="25"/>
      <c r="M21" s="26"/>
      <c r="N21" s="55"/>
      <c r="O21" s="25"/>
      <c r="P21" s="25"/>
      <c r="Q21" s="50" t="s">
        <v>282</v>
      </c>
      <c r="R21" s="25"/>
      <c r="S21" s="50"/>
      <c r="T21" s="65"/>
      <c r="U21" s="65"/>
      <c r="V21" s="65"/>
      <c r="W21" s="65"/>
      <c r="X21" s="65"/>
      <c r="Y21" s="65"/>
      <c r="Z21" s="65"/>
      <c r="AA21" s="65"/>
    </row>
    <row r="22" spans="1:27" ht="15.75" customHeight="1">
      <c r="A22" s="345"/>
      <c r="B22" s="345"/>
      <c r="C22" s="31">
        <v>3</v>
      </c>
      <c r="D22" s="345"/>
      <c r="E22" s="35" t="s">
        <v>5285</v>
      </c>
      <c r="F22" s="46" t="s">
        <v>326</v>
      </c>
      <c r="G22" s="46" t="s">
        <v>524</v>
      </c>
      <c r="H22" s="73" t="s">
        <v>5286</v>
      </c>
      <c r="I22" s="73" t="s">
        <v>5287</v>
      </c>
      <c r="J22" s="79"/>
      <c r="K22" s="25"/>
      <c r="L22" s="25"/>
      <c r="M22" s="26"/>
      <c r="N22" s="55"/>
      <c r="O22" s="25"/>
      <c r="P22" s="25"/>
      <c r="Q22" s="50" t="s">
        <v>282</v>
      </c>
      <c r="R22" s="25"/>
      <c r="S22" s="50"/>
      <c r="T22" s="65"/>
      <c r="U22" s="65"/>
      <c r="V22" s="65"/>
      <c r="W22" s="65"/>
      <c r="X22" s="65"/>
      <c r="Y22" s="65"/>
      <c r="Z22" s="65"/>
      <c r="AA22" s="65"/>
    </row>
    <row r="23" spans="1:27" ht="15.75" customHeight="1">
      <c r="A23" s="356" t="s">
        <v>5288</v>
      </c>
      <c r="B23" s="360" t="s">
        <v>52</v>
      </c>
      <c r="C23" s="31">
        <v>1</v>
      </c>
      <c r="D23" s="365" t="s">
        <v>5289</v>
      </c>
      <c r="E23" s="35" t="s">
        <v>5290</v>
      </c>
      <c r="F23" s="46" t="s">
        <v>326</v>
      </c>
      <c r="G23" s="46" t="s">
        <v>524</v>
      </c>
      <c r="H23" s="73" t="s">
        <v>5291</v>
      </c>
      <c r="I23" s="73" t="s">
        <v>5291</v>
      </c>
      <c r="J23" s="79"/>
      <c r="K23" s="25"/>
      <c r="L23" s="25"/>
      <c r="M23" s="26"/>
      <c r="N23" s="55"/>
      <c r="O23" s="28" t="s">
        <v>140</v>
      </c>
      <c r="P23" s="25"/>
      <c r="Q23" s="50" t="s">
        <v>282</v>
      </c>
      <c r="R23" s="25"/>
      <c r="S23" s="50"/>
      <c r="T23" s="65"/>
      <c r="U23" s="65"/>
      <c r="V23" s="65"/>
      <c r="W23" s="65"/>
      <c r="X23" s="65"/>
      <c r="Y23" s="65"/>
      <c r="Z23" s="65"/>
      <c r="AA23" s="65"/>
    </row>
    <row r="24" spans="1:27" ht="15.75" customHeight="1">
      <c r="A24" s="344"/>
      <c r="B24" s="344"/>
      <c r="C24" s="31">
        <v>2</v>
      </c>
      <c r="D24" s="344"/>
      <c r="E24" s="35" t="s">
        <v>5292</v>
      </c>
      <c r="F24" s="46" t="s">
        <v>326</v>
      </c>
      <c r="G24" s="46" t="s">
        <v>524</v>
      </c>
      <c r="H24" s="73" t="s">
        <v>5293</v>
      </c>
      <c r="I24" s="73" t="s">
        <v>5294</v>
      </c>
      <c r="J24" s="79"/>
      <c r="K24" s="25"/>
      <c r="L24" s="25"/>
      <c r="M24" s="26"/>
      <c r="N24" s="55"/>
      <c r="O24" s="28" t="s">
        <v>140</v>
      </c>
      <c r="P24" s="25"/>
      <c r="Q24" s="50" t="s">
        <v>282</v>
      </c>
      <c r="R24" s="25"/>
      <c r="S24" s="50"/>
      <c r="T24" s="65"/>
      <c r="U24" s="65"/>
      <c r="V24" s="65"/>
      <c r="W24" s="65"/>
      <c r="X24" s="65"/>
      <c r="Y24" s="65"/>
      <c r="Z24" s="65"/>
      <c r="AA24" s="65"/>
    </row>
    <row r="25" spans="1:27" ht="15.75" customHeight="1">
      <c r="A25" s="344"/>
      <c r="B25" s="344"/>
      <c r="C25" s="31">
        <v>3</v>
      </c>
      <c r="D25" s="344"/>
      <c r="E25" s="35" t="s">
        <v>5295</v>
      </c>
      <c r="F25" s="46" t="s">
        <v>326</v>
      </c>
      <c r="G25" s="46" t="s">
        <v>327</v>
      </c>
      <c r="H25" s="73" t="s">
        <v>5296</v>
      </c>
      <c r="I25" s="73" t="s">
        <v>5297</v>
      </c>
      <c r="J25" s="79"/>
      <c r="K25" s="25"/>
      <c r="L25" s="25"/>
      <c r="M25" s="26"/>
      <c r="N25" s="55"/>
      <c r="O25" s="25"/>
      <c r="P25" s="25"/>
      <c r="Q25" s="50" t="s">
        <v>282</v>
      </c>
      <c r="R25" s="25"/>
      <c r="S25" s="50"/>
      <c r="T25" s="65"/>
      <c r="U25" s="65"/>
      <c r="V25" s="65"/>
      <c r="W25" s="65"/>
      <c r="X25" s="65"/>
      <c r="Y25" s="65"/>
      <c r="Z25" s="65"/>
      <c r="AA25" s="65"/>
    </row>
    <row r="26" spans="1:27" ht="15.75" customHeight="1">
      <c r="A26" s="344"/>
      <c r="B26" s="344"/>
      <c r="C26" s="31">
        <v>4</v>
      </c>
      <c r="D26" s="344"/>
      <c r="E26" s="35" t="s">
        <v>5298</v>
      </c>
      <c r="F26" s="46" t="s">
        <v>326</v>
      </c>
      <c r="G26" s="46" t="s">
        <v>327</v>
      </c>
      <c r="H26" s="35" t="s">
        <v>5299</v>
      </c>
      <c r="I26" s="35" t="s">
        <v>5300</v>
      </c>
      <c r="J26" s="172"/>
      <c r="K26" s="25"/>
      <c r="L26" s="25"/>
      <c r="M26" s="26"/>
      <c r="N26" s="55"/>
      <c r="O26" s="25"/>
      <c r="P26" s="25"/>
      <c r="Q26" s="50" t="s">
        <v>282</v>
      </c>
      <c r="R26" s="25"/>
      <c r="S26" s="50"/>
      <c r="T26" s="65"/>
      <c r="U26" s="65"/>
      <c r="V26" s="65"/>
      <c r="W26" s="65"/>
      <c r="X26" s="65"/>
      <c r="Y26" s="65"/>
      <c r="Z26" s="65"/>
      <c r="AA26" s="65"/>
    </row>
    <row r="27" spans="1:27" ht="15.75" customHeight="1">
      <c r="A27" s="344"/>
      <c r="B27" s="344"/>
      <c r="C27" s="31">
        <v>5</v>
      </c>
      <c r="D27" s="344"/>
      <c r="E27" s="63" t="s">
        <v>5301</v>
      </c>
      <c r="F27" s="61" t="s">
        <v>361</v>
      </c>
      <c r="G27" s="61" t="s">
        <v>327</v>
      </c>
      <c r="H27" s="63" t="s">
        <v>5302</v>
      </c>
      <c r="I27" s="63" t="s">
        <v>5303</v>
      </c>
      <c r="J27" s="171"/>
      <c r="K27" s="25"/>
      <c r="L27" s="25"/>
      <c r="M27" s="26"/>
      <c r="N27" s="55"/>
      <c r="O27" s="25"/>
      <c r="P27" s="25"/>
      <c r="Q27" s="50" t="s">
        <v>282</v>
      </c>
      <c r="R27" s="25" t="s">
        <v>297</v>
      </c>
      <c r="S27" s="50"/>
      <c r="T27" s="65"/>
      <c r="U27" s="65"/>
      <c r="V27" s="65"/>
      <c r="W27" s="65"/>
      <c r="X27" s="65"/>
      <c r="Y27" s="65"/>
      <c r="Z27" s="65"/>
      <c r="AA27" s="65"/>
    </row>
    <row r="28" spans="1:27" ht="41.25" customHeight="1">
      <c r="A28" s="369"/>
      <c r="B28" s="369"/>
      <c r="C28" s="31">
        <v>6</v>
      </c>
      <c r="D28" s="344"/>
      <c r="E28" s="62" t="s">
        <v>5304</v>
      </c>
      <c r="F28" s="61" t="s">
        <v>361</v>
      </c>
      <c r="G28" s="61" t="s">
        <v>327</v>
      </c>
      <c r="H28" s="63" t="s">
        <v>5305</v>
      </c>
      <c r="I28" s="63" t="s">
        <v>5306</v>
      </c>
      <c r="J28" s="171"/>
      <c r="K28" s="25"/>
      <c r="L28" s="25"/>
      <c r="M28" s="26"/>
      <c r="N28" s="55"/>
      <c r="O28" s="25"/>
      <c r="P28" s="25"/>
      <c r="Q28" s="50" t="s">
        <v>282</v>
      </c>
      <c r="R28" s="25" t="s">
        <v>297</v>
      </c>
      <c r="S28" s="50"/>
      <c r="T28" s="65"/>
      <c r="U28" s="65"/>
      <c r="V28" s="65"/>
      <c r="W28" s="65"/>
      <c r="X28" s="65"/>
      <c r="Y28" s="65"/>
      <c r="Z28" s="65"/>
      <c r="AA28" s="65"/>
    </row>
    <row r="29" spans="1:27" ht="15.75" customHeight="1">
      <c r="A29" s="379" t="s">
        <v>5307</v>
      </c>
      <c r="B29" s="350" t="s">
        <v>5308</v>
      </c>
      <c r="C29" s="31">
        <v>1</v>
      </c>
      <c r="D29" s="372" t="s">
        <v>5307</v>
      </c>
      <c r="E29" s="365" t="s">
        <v>5309</v>
      </c>
      <c r="F29" s="46" t="s">
        <v>361</v>
      </c>
      <c r="G29" s="46" t="s">
        <v>327</v>
      </c>
      <c r="H29" s="35" t="s">
        <v>5310</v>
      </c>
      <c r="I29" s="35" t="s">
        <v>5311</v>
      </c>
      <c r="J29" s="172"/>
      <c r="K29" s="25"/>
      <c r="L29" s="25"/>
      <c r="M29" s="26"/>
      <c r="N29" s="55"/>
      <c r="O29" s="25"/>
      <c r="P29" s="25"/>
      <c r="Q29" s="50" t="s">
        <v>282</v>
      </c>
      <c r="R29" s="25"/>
      <c r="S29" s="50"/>
      <c r="T29" s="65"/>
      <c r="U29" s="65"/>
      <c r="V29" s="65"/>
      <c r="W29" s="65"/>
      <c r="X29" s="65"/>
      <c r="Y29" s="65"/>
      <c r="Z29" s="65"/>
      <c r="AA29" s="65"/>
    </row>
    <row r="30" spans="1:27" ht="15.75" customHeight="1">
      <c r="A30" s="344"/>
      <c r="B30" s="344"/>
      <c r="C30" s="31">
        <v>2</v>
      </c>
      <c r="D30" s="344"/>
      <c r="E30" s="344"/>
      <c r="F30" s="72" t="s">
        <v>361</v>
      </c>
      <c r="G30" s="72" t="s">
        <v>524</v>
      </c>
      <c r="H30" s="56" t="s">
        <v>5312</v>
      </c>
      <c r="I30" s="35" t="s">
        <v>5313</v>
      </c>
      <c r="J30" s="172"/>
      <c r="K30" s="25"/>
      <c r="L30" s="25"/>
      <c r="M30" s="26"/>
      <c r="N30" s="55"/>
      <c r="O30" s="25"/>
      <c r="P30" s="25"/>
      <c r="Q30" s="50" t="s">
        <v>282</v>
      </c>
      <c r="R30" s="25"/>
      <c r="S30" s="50"/>
      <c r="T30" s="65"/>
      <c r="U30" s="65"/>
      <c r="V30" s="65"/>
      <c r="W30" s="65"/>
      <c r="X30" s="65"/>
      <c r="Y30" s="65"/>
      <c r="Z30" s="65"/>
      <c r="AA30" s="65"/>
    </row>
    <row r="31" spans="1:27" ht="15.75" customHeight="1">
      <c r="A31" s="344"/>
      <c r="B31" s="345"/>
      <c r="C31" s="31">
        <v>3</v>
      </c>
      <c r="D31" s="344"/>
      <c r="E31" s="35" t="s">
        <v>5314</v>
      </c>
      <c r="F31" s="46" t="s">
        <v>361</v>
      </c>
      <c r="G31" s="46" t="s">
        <v>327</v>
      </c>
      <c r="H31" s="35" t="s">
        <v>5315</v>
      </c>
      <c r="I31" s="35" t="s">
        <v>5316</v>
      </c>
      <c r="J31" s="172"/>
      <c r="K31" s="25"/>
      <c r="L31" s="25"/>
      <c r="M31" s="26"/>
      <c r="N31" s="55"/>
      <c r="O31" s="25"/>
      <c r="P31" s="25"/>
      <c r="Q31" s="50" t="s">
        <v>282</v>
      </c>
      <c r="R31" s="25"/>
      <c r="S31" s="50"/>
      <c r="T31" s="65"/>
      <c r="U31" s="65"/>
      <c r="V31" s="65"/>
      <c r="W31" s="65"/>
      <c r="X31" s="65"/>
      <c r="Y31" s="65"/>
      <c r="Z31" s="65"/>
      <c r="AA31" s="65"/>
    </row>
    <row r="32" spans="1:27" ht="15.75" customHeight="1">
      <c r="A32" s="368" t="s">
        <v>5317</v>
      </c>
      <c r="B32" s="350" t="s">
        <v>275</v>
      </c>
      <c r="C32" s="31">
        <v>1</v>
      </c>
      <c r="D32" s="364" t="s">
        <v>5317</v>
      </c>
      <c r="E32" s="35" t="s">
        <v>5318</v>
      </c>
      <c r="F32" s="46" t="s">
        <v>361</v>
      </c>
      <c r="G32" s="46" t="s">
        <v>327</v>
      </c>
      <c r="H32" s="35" t="s">
        <v>5319</v>
      </c>
      <c r="I32" s="35" t="s">
        <v>5320</v>
      </c>
      <c r="J32" s="172"/>
      <c r="K32" s="25"/>
      <c r="L32" s="25"/>
      <c r="M32" s="362" t="s">
        <v>5256</v>
      </c>
      <c r="N32" s="55"/>
      <c r="O32" s="25"/>
      <c r="P32" s="25"/>
      <c r="Q32" s="50" t="s">
        <v>282</v>
      </c>
      <c r="R32" s="25"/>
      <c r="S32" s="50" t="s">
        <v>140</v>
      </c>
      <c r="T32" s="65"/>
      <c r="U32" s="65"/>
      <c r="V32" s="65"/>
      <c r="W32" s="65"/>
      <c r="X32" s="65"/>
      <c r="Y32" s="65"/>
      <c r="Z32" s="65"/>
      <c r="AA32" s="65"/>
    </row>
    <row r="33" spans="1:27" ht="15.75" customHeight="1">
      <c r="A33" s="344"/>
      <c r="B33" s="344"/>
      <c r="C33" s="31">
        <v>2</v>
      </c>
      <c r="D33" s="344"/>
      <c r="E33" s="35" t="s">
        <v>5321</v>
      </c>
      <c r="F33" s="46" t="s">
        <v>361</v>
      </c>
      <c r="G33" s="46" t="s">
        <v>327</v>
      </c>
      <c r="H33" s="35" t="s">
        <v>5322</v>
      </c>
      <c r="I33" s="35" t="s">
        <v>5323</v>
      </c>
      <c r="J33" s="172"/>
      <c r="K33" s="25"/>
      <c r="L33" s="25"/>
      <c r="M33" s="344"/>
      <c r="N33" s="55"/>
      <c r="O33" s="25"/>
      <c r="P33" s="25"/>
      <c r="Q33" s="50" t="s">
        <v>282</v>
      </c>
      <c r="R33" s="25"/>
      <c r="S33" s="50" t="s">
        <v>140</v>
      </c>
      <c r="T33" s="65"/>
      <c r="U33" s="65"/>
      <c r="V33" s="65"/>
      <c r="W33" s="65"/>
      <c r="X33" s="65"/>
      <c r="Y33" s="65"/>
      <c r="Z33" s="65"/>
      <c r="AA33" s="65"/>
    </row>
    <row r="34" spans="1:27" ht="15.75" customHeight="1">
      <c r="A34" s="344"/>
      <c r="B34" s="344"/>
      <c r="C34" s="31">
        <v>3</v>
      </c>
      <c r="D34" s="344"/>
      <c r="E34" s="35" t="s">
        <v>5324</v>
      </c>
      <c r="F34" s="46" t="s">
        <v>361</v>
      </c>
      <c r="G34" s="46" t="s">
        <v>327</v>
      </c>
      <c r="H34" s="35" t="s">
        <v>5325</v>
      </c>
      <c r="I34" s="35" t="s">
        <v>5326</v>
      </c>
      <c r="J34" s="172"/>
      <c r="K34" s="25"/>
      <c r="L34" s="25"/>
      <c r="M34" s="344"/>
      <c r="N34" s="55"/>
      <c r="O34" s="25"/>
      <c r="P34" s="25"/>
      <c r="Q34" s="50" t="s">
        <v>282</v>
      </c>
      <c r="R34" s="25"/>
      <c r="S34" s="50" t="s">
        <v>140</v>
      </c>
      <c r="T34" s="65"/>
      <c r="U34" s="65"/>
      <c r="V34" s="65"/>
      <c r="W34" s="65"/>
      <c r="X34" s="65"/>
      <c r="Y34" s="65"/>
      <c r="Z34" s="65"/>
      <c r="AA34" s="65"/>
    </row>
    <row r="35" spans="1:27" ht="15.75" customHeight="1">
      <c r="A35" s="345"/>
      <c r="B35" s="345"/>
      <c r="C35" s="31">
        <v>4</v>
      </c>
      <c r="D35" s="345"/>
      <c r="E35" s="35" t="s">
        <v>5327</v>
      </c>
      <c r="F35" s="46" t="s">
        <v>361</v>
      </c>
      <c r="G35" s="46" t="s">
        <v>327</v>
      </c>
      <c r="H35" s="35" t="s">
        <v>5328</v>
      </c>
      <c r="I35" s="35" t="s">
        <v>5329</v>
      </c>
      <c r="J35" s="172"/>
      <c r="K35" s="25"/>
      <c r="L35" s="25"/>
      <c r="M35" s="345"/>
      <c r="N35" s="55"/>
      <c r="O35" s="25"/>
      <c r="P35" s="25"/>
      <c r="Q35" s="50" t="s">
        <v>282</v>
      </c>
      <c r="R35" s="25"/>
      <c r="S35" s="50" t="s">
        <v>140</v>
      </c>
      <c r="T35" s="65"/>
      <c r="U35" s="65"/>
      <c r="V35" s="65"/>
      <c r="W35" s="65"/>
      <c r="X35" s="65"/>
      <c r="Y35" s="65"/>
      <c r="Z35" s="65"/>
      <c r="AA35" s="65"/>
    </row>
    <row r="36" spans="1:27" ht="15.75" customHeight="1">
      <c r="A36" s="368" t="s">
        <v>5330</v>
      </c>
      <c r="B36" s="350" t="s">
        <v>5331</v>
      </c>
      <c r="C36" s="31">
        <v>1</v>
      </c>
      <c r="D36" s="368" t="s">
        <v>5332</v>
      </c>
      <c r="E36" s="23" t="s">
        <v>5333</v>
      </c>
      <c r="F36" s="31" t="s">
        <v>361</v>
      </c>
      <c r="G36" s="31" t="s">
        <v>327</v>
      </c>
      <c r="H36" s="23" t="s">
        <v>5334</v>
      </c>
      <c r="I36" s="23" t="s">
        <v>5335</v>
      </c>
      <c r="J36" s="170"/>
      <c r="K36" s="25"/>
      <c r="L36" s="25"/>
      <c r="M36" s="362" t="s">
        <v>5336</v>
      </c>
      <c r="N36" s="55"/>
      <c r="O36" s="25"/>
      <c r="P36" s="25"/>
      <c r="Q36" s="50" t="s">
        <v>282</v>
      </c>
      <c r="R36" s="25"/>
      <c r="S36" s="50" t="s">
        <v>140</v>
      </c>
      <c r="T36" s="65"/>
      <c r="U36" s="65"/>
      <c r="V36" s="65"/>
      <c r="W36" s="65"/>
      <c r="X36" s="65"/>
      <c r="Y36" s="65"/>
      <c r="Z36" s="65"/>
      <c r="AA36" s="65"/>
    </row>
    <row r="37" spans="1:27" ht="15.75" customHeight="1">
      <c r="A37" s="344"/>
      <c r="B37" s="344"/>
      <c r="C37" s="31">
        <v>2</v>
      </c>
      <c r="D37" s="344"/>
      <c r="E37" s="39" t="s">
        <v>5337</v>
      </c>
      <c r="F37" s="31" t="s">
        <v>361</v>
      </c>
      <c r="G37" s="31" t="s">
        <v>327</v>
      </c>
      <c r="H37" s="23" t="s">
        <v>5338</v>
      </c>
      <c r="I37" s="23" t="s">
        <v>5339</v>
      </c>
      <c r="J37" s="170"/>
      <c r="K37" s="25"/>
      <c r="L37" s="25"/>
      <c r="M37" s="344"/>
      <c r="N37" s="55"/>
      <c r="O37" s="25"/>
      <c r="P37" s="25"/>
      <c r="Q37" s="50" t="s">
        <v>282</v>
      </c>
      <c r="R37" s="25"/>
      <c r="S37" s="50" t="s">
        <v>140</v>
      </c>
      <c r="T37" s="65"/>
      <c r="U37" s="65"/>
      <c r="V37" s="65"/>
      <c r="W37" s="65"/>
      <c r="X37" s="65"/>
      <c r="Y37" s="65"/>
      <c r="Z37" s="65"/>
      <c r="AA37" s="65"/>
    </row>
    <row r="38" spans="1:27" ht="15.75" customHeight="1">
      <c r="A38" s="369"/>
      <c r="B38" s="369"/>
      <c r="C38" s="31">
        <v>3</v>
      </c>
      <c r="D38" s="344"/>
      <c r="E38" s="39" t="s">
        <v>5340</v>
      </c>
      <c r="F38" s="31" t="s">
        <v>361</v>
      </c>
      <c r="G38" s="31" t="s">
        <v>524</v>
      </c>
      <c r="H38" s="23" t="s">
        <v>5341</v>
      </c>
      <c r="I38" s="23" t="s">
        <v>5339</v>
      </c>
      <c r="J38" s="170"/>
      <c r="K38" s="25"/>
      <c r="L38" s="25"/>
      <c r="M38" s="345"/>
      <c r="N38" s="55"/>
      <c r="O38" s="25"/>
      <c r="P38" s="25"/>
      <c r="Q38" s="50" t="s">
        <v>282</v>
      </c>
      <c r="R38" s="25"/>
      <c r="S38" s="50" t="s">
        <v>140</v>
      </c>
      <c r="T38" s="65"/>
      <c r="U38" s="65"/>
      <c r="V38" s="65"/>
      <c r="W38" s="65"/>
      <c r="X38" s="65"/>
      <c r="Y38" s="65"/>
      <c r="Z38" s="65"/>
      <c r="AA38" s="65"/>
    </row>
    <row r="39" spans="1:27" ht="15.75" customHeight="1">
      <c r="A39" s="402" t="s">
        <v>5342</v>
      </c>
      <c r="B39" s="350" t="s">
        <v>274</v>
      </c>
      <c r="C39" s="31">
        <v>1</v>
      </c>
      <c r="D39" s="355" t="s">
        <v>5342</v>
      </c>
      <c r="E39" s="359" t="s">
        <v>5343</v>
      </c>
      <c r="F39" s="360" t="s">
        <v>361</v>
      </c>
      <c r="G39" s="190" t="s">
        <v>327</v>
      </c>
      <c r="H39" s="23" t="s">
        <v>5344</v>
      </c>
      <c r="I39" s="23" t="s">
        <v>5345</v>
      </c>
      <c r="J39" s="170"/>
      <c r="K39" s="25"/>
      <c r="L39" s="25"/>
      <c r="M39" s="362" t="s">
        <v>5346</v>
      </c>
      <c r="N39" s="55"/>
      <c r="O39" s="25"/>
      <c r="P39" s="25"/>
      <c r="Q39" s="50" t="s">
        <v>282</v>
      </c>
      <c r="R39" s="25"/>
      <c r="S39" s="50" t="s">
        <v>140</v>
      </c>
      <c r="T39" s="65"/>
      <c r="U39" s="65"/>
      <c r="V39" s="65"/>
      <c r="W39" s="65"/>
      <c r="X39" s="65"/>
      <c r="Y39" s="65"/>
      <c r="Z39" s="65"/>
      <c r="AA39" s="65"/>
    </row>
    <row r="40" spans="1:27" ht="15.75" customHeight="1">
      <c r="A40" s="344"/>
      <c r="B40" s="344"/>
      <c r="C40" s="31">
        <v>2</v>
      </c>
      <c r="D40" s="344"/>
      <c r="E40" s="344"/>
      <c r="F40" s="344"/>
      <c r="G40" s="31" t="s">
        <v>524</v>
      </c>
      <c r="H40" s="23" t="s">
        <v>5347</v>
      </c>
      <c r="I40" s="23" t="s">
        <v>5348</v>
      </c>
      <c r="J40" s="170"/>
      <c r="K40" s="25"/>
      <c r="L40" s="25"/>
      <c r="M40" s="344"/>
      <c r="N40" s="55"/>
      <c r="O40" s="25"/>
      <c r="P40" s="25"/>
      <c r="Q40" s="50" t="s">
        <v>282</v>
      </c>
      <c r="R40" s="25"/>
      <c r="S40" s="50" t="s">
        <v>140</v>
      </c>
      <c r="T40" s="65"/>
      <c r="U40" s="65"/>
      <c r="V40" s="65"/>
      <c r="W40" s="65"/>
      <c r="X40" s="65"/>
      <c r="Y40" s="65"/>
      <c r="Z40" s="65"/>
      <c r="AA40" s="65"/>
    </row>
    <row r="41" spans="1:27" ht="15.75" customHeight="1">
      <c r="A41" s="344"/>
      <c r="B41" s="344"/>
      <c r="C41" s="31">
        <v>3</v>
      </c>
      <c r="D41" s="344"/>
      <c r="E41" s="344"/>
      <c r="F41" s="344"/>
      <c r="G41" s="190" t="s">
        <v>327</v>
      </c>
      <c r="H41" s="23" t="s">
        <v>5349</v>
      </c>
      <c r="I41" s="23" t="s">
        <v>5350</v>
      </c>
      <c r="J41" s="170"/>
      <c r="K41" s="25"/>
      <c r="L41" s="25"/>
      <c r="M41" s="344"/>
      <c r="N41" s="55"/>
      <c r="O41" s="25"/>
      <c r="P41" s="25"/>
      <c r="Q41" s="50" t="s">
        <v>282</v>
      </c>
      <c r="R41" s="25"/>
      <c r="S41" s="50" t="s">
        <v>140</v>
      </c>
      <c r="T41" s="65"/>
      <c r="U41" s="65"/>
      <c r="V41" s="65"/>
      <c r="W41" s="65"/>
      <c r="X41" s="65"/>
      <c r="Y41" s="65"/>
      <c r="Z41" s="65"/>
      <c r="AA41" s="65"/>
    </row>
    <row r="42" spans="1:27" ht="15.75" customHeight="1">
      <c r="A42" s="344"/>
      <c r="B42" s="344"/>
      <c r="C42" s="31">
        <v>4</v>
      </c>
      <c r="D42" s="344"/>
      <c r="E42" s="345"/>
      <c r="F42" s="345"/>
      <c r="G42" s="31" t="s">
        <v>524</v>
      </c>
      <c r="H42" s="23" t="s">
        <v>5351</v>
      </c>
      <c r="I42" s="23" t="s">
        <v>5352</v>
      </c>
      <c r="J42" s="170"/>
      <c r="K42" s="25"/>
      <c r="L42" s="25"/>
      <c r="M42" s="344"/>
      <c r="N42" s="55"/>
      <c r="O42" s="25"/>
      <c r="P42" s="25"/>
      <c r="Q42" s="50" t="s">
        <v>282</v>
      </c>
      <c r="R42" s="25"/>
      <c r="S42" s="50" t="s">
        <v>140</v>
      </c>
      <c r="T42" s="65"/>
      <c r="U42" s="65"/>
      <c r="V42" s="65"/>
      <c r="W42" s="65"/>
      <c r="X42" s="65"/>
      <c r="Y42" s="65"/>
      <c r="Z42" s="65"/>
      <c r="AA42" s="65"/>
    </row>
    <row r="43" spans="1:27" ht="15.75" customHeight="1">
      <c r="A43" s="344"/>
      <c r="B43" s="344"/>
      <c r="C43" s="31">
        <v>5</v>
      </c>
      <c r="D43" s="344"/>
      <c r="E43" s="359" t="s">
        <v>5353</v>
      </c>
      <c r="F43" s="360" t="s">
        <v>361</v>
      </c>
      <c r="G43" s="190" t="s">
        <v>327</v>
      </c>
      <c r="H43" s="23" t="s">
        <v>5344</v>
      </c>
      <c r="I43" s="23" t="s">
        <v>5354</v>
      </c>
      <c r="J43" s="170"/>
      <c r="K43" s="25"/>
      <c r="L43" s="25"/>
      <c r="M43" s="344"/>
      <c r="N43" s="55"/>
      <c r="O43" s="25"/>
      <c r="P43" s="25"/>
      <c r="Q43" s="50" t="s">
        <v>282</v>
      </c>
      <c r="R43" s="25"/>
      <c r="S43" s="50" t="s">
        <v>140</v>
      </c>
      <c r="T43" s="65"/>
      <c r="U43" s="65"/>
      <c r="V43" s="65"/>
      <c r="W43" s="65"/>
      <c r="X43" s="65"/>
      <c r="Y43" s="65"/>
      <c r="Z43" s="65"/>
      <c r="AA43" s="65"/>
    </row>
    <row r="44" spans="1:27" ht="15.75" customHeight="1">
      <c r="A44" s="344"/>
      <c r="B44" s="344"/>
      <c r="C44" s="31">
        <v>6</v>
      </c>
      <c r="D44" s="344"/>
      <c r="E44" s="344"/>
      <c r="F44" s="344"/>
      <c r="G44" s="31" t="s">
        <v>524</v>
      </c>
      <c r="H44" s="23" t="s">
        <v>5355</v>
      </c>
      <c r="I44" s="23" t="s">
        <v>5356</v>
      </c>
      <c r="J44" s="170"/>
      <c r="K44" s="25"/>
      <c r="L44" s="25"/>
      <c r="M44" s="344"/>
      <c r="N44" s="55"/>
      <c r="O44" s="25"/>
      <c r="P44" s="25"/>
      <c r="Q44" s="50" t="s">
        <v>282</v>
      </c>
      <c r="R44" s="25"/>
      <c r="S44" s="50" t="s">
        <v>140</v>
      </c>
      <c r="T44" s="65"/>
      <c r="U44" s="65"/>
      <c r="V44" s="65"/>
      <c r="W44" s="65"/>
      <c r="X44" s="65"/>
      <c r="Y44" s="65"/>
      <c r="Z44" s="65"/>
      <c r="AA44" s="65"/>
    </row>
    <row r="45" spans="1:27" ht="15.75" customHeight="1">
      <c r="A45" s="344"/>
      <c r="B45" s="344"/>
      <c r="C45" s="31">
        <v>7</v>
      </c>
      <c r="D45" s="344"/>
      <c r="E45" s="344"/>
      <c r="F45" s="344"/>
      <c r="G45" s="190" t="s">
        <v>327</v>
      </c>
      <c r="H45" s="23" t="s">
        <v>5357</v>
      </c>
      <c r="I45" s="23" t="s">
        <v>5358</v>
      </c>
      <c r="J45" s="170"/>
      <c r="K45" s="25"/>
      <c r="L45" s="25"/>
      <c r="M45" s="344"/>
      <c r="N45" s="55"/>
      <c r="O45" s="25"/>
      <c r="P45" s="25"/>
      <c r="Q45" s="50" t="s">
        <v>282</v>
      </c>
      <c r="R45" s="25"/>
      <c r="S45" s="50" t="s">
        <v>140</v>
      </c>
      <c r="T45" s="65"/>
      <c r="U45" s="65"/>
      <c r="V45" s="65"/>
      <c r="W45" s="65"/>
      <c r="X45" s="65"/>
      <c r="Y45" s="65"/>
      <c r="Z45" s="65"/>
      <c r="AA45" s="65"/>
    </row>
    <row r="46" spans="1:27" ht="15.75" customHeight="1">
      <c r="A46" s="344"/>
      <c r="B46" s="344"/>
      <c r="C46" s="31">
        <v>8</v>
      </c>
      <c r="D46" s="344"/>
      <c r="E46" s="345"/>
      <c r="F46" s="345"/>
      <c r="G46" s="31" t="s">
        <v>524</v>
      </c>
      <c r="H46" s="23" t="s">
        <v>5359</v>
      </c>
      <c r="I46" s="23" t="s">
        <v>5352</v>
      </c>
      <c r="J46" s="170"/>
      <c r="K46" s="25"/>
      <c r="L46" s="25"/>
      <c r="M46" s="344"/>
      <c r="N46" s="55"/>
      <c r="O46" s="25"/>
      <c r="P46" s="25"/>
      <c r="Q46" s="50" t="s">
        <v>282</v>
      </c>
      <c r="R46" s="25"/>
      <c r="S46" s="50" t="s">
        <v>140</v>
      </c>
      <c r="T46" s="65"/>
      <c r="U46" s="65"/>
      <c r="V46" s="65"/>
      <c r="W46" s="65"/>
      <c r="X46" s="65"/>
      <c r="Y46" s="65"/>
      <c r="Z46" s="65"/>
      <c r="AA46" s="65"/>
    </row>
    <row r="47" spans="1:27" ht="15.75" customHeight="1">
      <c r="A47" s="344"/>
      <c r="B47" s="344"/>
      <c r="C47" s="31">
        <v>9</v>
      </c>
      <c r="D47" s="344"/>
      <c r="E47" s="23" t="s">
        <v>5360</v>
      </c>
      <c r="F47" s="31" t="s">
        <v>361</v>
      </c>
      <c r="G47" s="31" t="s">
        <v>327</v>
      </c>
      <c r="H47" s="23" t="s">
        <v>5361</v>
      </c>
      <c r="I47" s="23" t="s">
        <v>5362</v>
      </c>
      <c r="J47" s="170"/>
      <c r="K47" s="25"/>
      <c r="L47" s="25"/>
      <c r="M47" s="344"/>
      <c r="N47" s="55"/>
      <c r="O47" s="25"/>
      <c r="P47" s="25"/>
      <c r="Q47" s="50" t="s">
        <v>282</v>
      </c>
      <c r="R47" s="25"/>
      <c r="S47" s="50" t="s">
        <v>140</v>
      </c>
      <c r="T47" s="65"/>
      <c r="U47" s="65"/>
      <c r="V47" s="65"/>
      <c r="W47" s="65"/>
      <c r="X47" s="65"/>
      <c r="Y47" s="65"/>
      <c r="Z47" s="65"/>
      <c r="AA47" s="65"/>
    </row>
    <row r="48" spans="1:27" ht="15.75" customHeight="1">
      <c r="A48" s="344"/>
      <c r="B48" s="369"/>
      <c r="C48" s="31">
        <v>10</v>
      </c>
      <c r="D48" s="344"/>
      <c r="E48" s="23" t="s">
        <v>5363</v>
      </c>
      <c r="F48" s="31" t="s">
        <v>361</v>
      </c>
      <c r="G48" s="31" t="s">
        <v>327</v>
      </c>
      <c r="H48" s="23" t="s">
        <v>5364</v>
      </c>
      <c r="I48" s="23" t="s">
        <v>5362</v>
      </c>
      <c r="J48" s="170"/>
      <c r="K48" s="25"/>
      <c r="L48" s="25"/>
      <c r="M48" s="344"/>
      <c r="N48" s="55"/>
      <c r="O48" s="25"/>
      <c r="P48" s="25"/>
      <c r="Q48" s="50" t="s">
        <v>282</v>
      </c>
      <c r="R48" s="25"/>
      <c r="S48" s="50" t="s">
        <v>140</v>
      </c>
      <c r="T48" s="65"/>
      <c r="U48" s="65"/>
      <c r="V48" s="65"/>
      <c r="W48" s="65"/>
      <c r="X48" s="65"/>
      <c r="Y48" s="65"/>
      <c r="Z48" s="65"/>
      <c r="AA48" s="65"/>
    </row>
    <row r="49" spans="1:27" ht="15.75" customHeight="1">
      <c r="A49" s="344"/>
      <c r="B49" s="169"/>
      <c r="C49" s="31">
        <v>11</v>
      </c>
      <c r="D49" s="345"/>
      <c r="E49" s="35" t="s">
        <v>5365</v>
      </c>
      <c r="F49" s="46" t="s">
        <v>361</v>
      </c>
      <c r="G49" s="46" t="s">
        <v>327</v>
      </c>
      <c r="H49" s="35" t="s">
        <v>5366</v>
      </c>
      <c r="I49" s="35" t="s">
        <v>5367</v>
      </c>
      <c r="J49" s="172"/>
      <c r="K49" s="25"/>
      <c r="L49" s="25"/>
      <c r="M49" s="345"/>
      <c r="N49" s="55"/>
      <c r="O49" s="25"/>
      <c r="P49" s="25"/>
      <c r="Q49" s="50" t="s">
        <v>282</v>
      </c>
      <c r="R49" s="25"/>
      <c r="S49" s="50" t="s">
        <v>140</v>
      </c>
      <c r="T49" s="65"/>
      <c r="U49" s="65"/>
      <c r="V49" s="65"/>
      <c r="W49" s="65"/>
      <c r="X49" s="65"/>
      <c r="Y49" s="65"/>
      <c r="Z49" s="65"/>
      <c r="AA49" s="65"/>
    </row>
    <row r="50" spans="1:27" ht="15.75" customHeight="1">
      <c r="A50" s="368" t="s">
        <v>5368</v>
      </c>
      <c r="B50" s="350" t="s">
        <v>5369</v>
      </c>
      <c r="C50" s="31">
        <v>1</v>
      </c>
      <c r="D50" s="368" t="s">
        <v>5368</v>
      </c>
      <c r="E50" s="23" t="s">
        <v>5370</v>
      </c>
      <c r="F50" s="31" t="s">
        <v>361</v>
      </c>
      <c r="G50" s="31" t="s">
        <v>327</v>
      </c>
      <c r="H50" s="23" t="s">
        <v>5371</v>
      </c>
      <c r="I50" s="23" t="s">
        <v>5372</v>
      </c>
      <c r="J50" s="170"/>
      <c r="K50" s="25"/>
      <c r="L50" s="25"/>
      <c r="M50" s="26"/>
      <c r="N50" s="55"/>
      <c r="O50" s="25"/>
      <c r="P50" s="25"/>
      <c r="Q50" s="50" t="s">
        <v>282</v>
      </c>
      <c r="R50" s="25"/>
      <c r="S50" s="50"/>
      <c r="T50" s="65"/>
      <c r="U50" s="65"/>
      <c r="V50" s="65"/>
      <c r="W50" s="65"/>
      <c r="X50" s="65"/>
      <c r="Y50" s="65"/>
      <c r="Z50" s="65"/>
      <c r="AA50" s="65"/>
    </row>
    <row r="51" spans="1:27" ht="15.75" customHeight="1">
      <c r="A51" s="344"/>
      <c r="B51" s="344"/>
      <c r="C51" s="31">
        <v>2</v>
      </c>
      <c r="D51" s="344"/>
      <c r="E51" s="23" t="s">
        <v>5373</v>
      </c>
      <c r="F51" s="31" t="s">
        <v>361</v>
      </c>
      <c r="G51" s="31" t="s">
        <v>327</v>
      </c>
      <c r="H51" s="23" t="s">
        <v>5374</v>
      </c>
      <c r="I51" s="23" t="s">
        <v>5375</v>
      </c>
      <c r="J51" s="170"/>
      <c r="K51" s="25"/>
      <c r="L51" s="25"/>
      <c r="M51" s="26"/>
      <c r="N51" s="55"/>
      <c r="O51" s="25"/>
      <c r="P51" s="25"/>
      <c r="Q51" s="50" t="s">
        <v>282</v>
      </c>
      <c r="R51" s="25"/>
      <c r="S51" s="50"/>
      <c r="T51" s="65"/>
      <c r="U51" s="65"/>
      <c r="V51" s="65"/>
      <c r="W51" s="65"/>
      <c r="X51" s="65"/>
      <c r="Y51" s="65"/>
      <c r="Z51" s="65"/>
      <c r="AA51" s="65"/>
    </row>
    <row r="52" spans="1:27" ht="15.75" customHeight="1">
      <c r="A52" s="344"/>
      <c r="B52" s="344"/>
      <c r="C52" s="31">
        <v>3</v>
      </c>
      <c r="D52" s="344"/>
      <c r="E52" s="23" t="s">
        <v>5376</v>
      </c>
      <c r="F52" s="31" t="s">
        <v>361</v>
      </c>
      <c r="G52" s="31" t="s">
        <v>327</v>
      </c>
      <c r="H52" s="23" t="s">
        <v>5377</v>
      </c>
      <c r="I52" s="23" t="s">
        <v>5372</v>
      </c>
      <c r="J52" s="170"/>
      <c r="K52" s="25"/>
      <c r="L52" s="25"/>
      <c r="M52" s="26"/>
      <c r="N52" s="55"/>
      <c r="O52" s="25"/>
      <c r="P52" s="25"/>
      <c r="Q52" s="50" t="s">
        <v>282</v>
      </c>
      <c r="R52" s="25"/>
      <c r="S52" s="50"/>
      <c r="T52" s="65"/>
      <c r="U52" s="65"/>
      <c r="V52" s="65"/>
      <c r="W52" s="65"/>
      <c r="X52" s="65"/>
      <c r="Y52" s="65"/>
      <c r="Z52" s="65"/>
      <c r="AA52" s="65"/>
    </row>
    <row r="53" spans="1:27" ht="15.75" customHeight="1">
      <c r="A53" s="344"/>
      <c r="B53" s="344"/>
      <c r="C53" s="31">
        <v>4</v>
      </c>
      <c r="D53" s="344"/>
      <c r="E53" s="39" t="s">
        <v>5378</v>
      </c>
      <c r="F53" s="31" t="s">
        <v>361</v>
      </c>
      <c r="G53" s="31" t="s">
        <v>327</v>
      </c>
      <c r="H53" s="23" t="s">
        <v>5379</v>
      </c>
      <c r="I53" s="23" t="s">
        <v>5380</v>
      </c>
      <c r="J53" s="170"/>
      <c r="K53" s="25"/>
      <c r="L53" s="25"/>
      <c r="M53" s="26"/>
      <c r="N53" s="55"/>
      <c r="O53" s="25"/>
      <c r="P53" s="25"/>
      <c r="Q53" s="50" t="s">
        <v>282</v>
      </c>
      <c r="R53" s="25"/>
      <c r="S53" s="50"/>
      <c r="T53" s="65"/>
      <c r="U53" s="65"/>
      <c r="V53" s="65"/>
      <c r="W53" s="65"/>
      <c r="X53" s="65"/>
      <c r="Y53" s="65"/>
      <c r="Z53" s="65"/>
      <c r="AA53" s="65"/>
    </row>
    <row r="54" spans="1:27" ht="15.75" customHeight="1">
      <c r="A54" s="344"/>
      <c r="B54" s="344"/>
      <c r="C54" s="31">
        <v>5</v>
      </c>
      <c r="D54" s="344"/>
      <c r="E54" s="23" t="s">
        <v>5381</v>
      </c>
      <c r="F54" s="31" t="s">
        <v>361</v>
      </c>
      <c r="G54" s="31" t="s">
        <v>327</v>
      </c>
      <c r="H54" s="23" t="s">
        <v>5382</v>
      </c>
      <c r="I54" s="39" t="s">
        <v>5383</v>
      </c>
      <c r="J54" s="289"/>
      <c r="K54" s="25"/>
      <c r="L54" s="25"/>
      <c r="M54" s="26"/>
      <c r="N54" s="55"/>
      <c r="O54" s="25"/>
      <c r="P54" s="25"/>
      <c r="Q54" s="50" t="s">
        <v>282</v>
      </c>
      <c r="R54" s="25"/>
      <c r="S54" s="50"/>
      <c r="T54" s="65"/>
      <c r="U54" s="65"/>
      <c r="V54" s="65"/>
      <c r="W54" s="65"/>
      <c r="X54" s="65"/>
      <c r="Y54" s="65"/>
      <c r="Z54" s="65"/>
      <c r="AA54" s="65"/>
    </row>
    <row r="55" spans="1:27" ht="15.75" customHeight="1">
      <c r="A55" s="344"/>
      <c r="B55" s="344"/>
      <c r="C55" s="31">
        <v>6</v>
      </c>
      <c r="D55" s="344"/>
      <c r="E55" s="23" t="s">
        <v>5384</v>
      </c>
      <c r="F55" s="31" t="s">
        <v>361</v>
      </c>
      <c r="G55" s="31" t="s">
        <v>327</v>
      </c>
      <c r="H55" s="23" t="s">
        <v>5385</v>
      </c>
      <c r="I55" s="23" t="s">
        <v>5372</v>
      </c>
      <c r="J55" s="170"/>
      <c r="K55" s="25"/>
      <c r="L55" s="25"/>
      <c r="M55" s="26"/>
      <c r="N55" s="55"/>
      <c r="O55" s="25"/>
      <c r="P55" s="25"/>
      <c r="Q55" s="50" t="s">
        <v>282</v>
      </c>
      <c r="R55" s="25"/>
      <c r="S55" s="50"/>
      <c r="T55" s="65"/>
      <c r="U55" s="65"/>
      <c r="V55" s="65"/>
      <c r="W55" s="65"/>
      <c r="X55" s="65"/>
      <c r="Y55" s="65"/>
      <c r="Z55" s="65"/>
      <c r="AA55" s="65"/>
    </row>
    <row r="56" spans="1:27" ht="15.75" customHeight="1">
      <c r="A56" s="344"/>
      <c r="B56" s="344"/>
      <c r="C56" s="31">
        <v>7</v>
      </c>
      <c r="D56" s="344"/>
      <c r="E56" s="23" t="s">
        <v>5386</v>
      </c>
      <c r="F56" s="31" t="s">
        <v>361</v>
      </c>
      <c r="G56" s="31" t="s">
        <v>327</v>
      </c>
      <c r="H56" s="23" t="s">
        <v>5387</v>
      </c>
      <c r="I56" s="23" t="s">
        <v>5388</v>
      </c>
      <c r="J56" s="170"/>
      <c r="K56" s="25"/>
      <c r="L56" s="25"/>
      <c r="M56" s="26"/>
      <c r="N56" s="55"/>
      <c r="O56" s="25"/>
      <c r="P56" s="25"/>
      <c r="Q56" s="50" t="s">
        <v>282</v>
      </c>
      <c r="R56" s="25"/>
      <c r="S56" s="50"/>
      <c r="T56" s="65"/>
      <c r="U56" s="65"/>
      <c r="V56" s="65"/>
      <c r="W56" s="65"/>
      <c r="X56" s="65"/>
      <c r="Y56" s="65"/>
      <c r="Z56" s="65"/>
      <c r="AA56" s="65"/>
    </row>
    <row r="57" spans="1:27" ht="15.75" customHeight="1">
      <c r="A57" s="344"/>
      <c r="B57" s="344"/>
      <c r="C57" s="31">
        <v>8</v>
      </c>
      <c r="D57" s="344"/>
      <c r="E57" s="23" t="s">
        <v>5389</v>
      </c>
      <c r="F57" s="31" t="s">
        <v>361</v>
      </c>
      <c r="G57" s="31" t="s">
        <v>327</v>
      </c>
      <c r="H57" s="23" t="s">
        <v>5390</v>
      </c>
      <c r="I57" s="23" t="s">
        <v>5391</v>
      </c>
      <c r="J57" s="170"/>
      <c r="K57" s="25"/>
      <c r="L57" s="25"/>
      <c r="M57" s="26"/>
      <c r="N57" s="55"/>
      <c r="O57" s="25"/>
      <c r="P57" s="25"/>
      <c r="Q57" s="50" t="s">
        <v>282</v>
      </c>
      <c r="R57" s="25"/>
      <c r="S57" s="50"/>
      <c r="T57" s="65"/>
      <c r="U57" s="65"/>
      <c r="V57" s="65"/>
      <c r="W57" s="65"/>
      <c r="X57" s="65"/>
      <c r="Y57" s="65"/>
      <c r="Z57" s="65"/>
      <c r="AA57" s="65"/>
    </row>
    <row r="58" spans="1:27" ht="15.75" customHeight="1">
      <c r="A58" s="345"/>
      <c r="B58" s="345"/>
      <c r="C58" s="31">
        <v>9</v>
      </c>
      <c r="D58" s="345"/>
      <c r="E58" s="23" t="s">
        <v>5392</v>
      </c>
      <c r="F58" s="31" t="s">
        <v>361</v>
      </c>
      <c r="G58" s="31" t="s">
        <v>327</v>
      </c>
      <c r="H58" s="23" t="s">
        <v>5393</v>
      </c>
      <c r="I58" s="23" t="s">
        <v>5335</v>
      </c>
      <c r="J58" s="170"/>
      <c r="K58" s="25"/>
      <c r="L58" s="25"/>
      <c r="M58" s="26"/>
      <c r="N58" s="55"/>
      <c r="O58" s="25"/>
      <c r="P58" s="25"/>
      <c r="Q58" s="50" t="s">
        <v>282</v>
      </c>
      <c r="R58" s="25"/>
      <c r="S58" s="50"/>
      <c r="T58" s="65"/>
      <c r="U58" s="65"/>
      <c r="V58" s="65"/>
      <c r="W58" s="65"/>
      <c r="X58" s="65"/>
      <c r="Y58" s="65"/>
      <c r="Z58" s="65"/>
      <c r="AA58" s="65"/>
    </row>
    <row r="59" spans="1:27" ht="149.25" customHeight="1">
      <c r="A59" s="364" t="s">
        <v>5394</v>
      </c>
      <c r="B59" s="363" t="s">
        <v>284</v>
      </c>
      <c r="C59" s="46">
        <v>1</v>
      </c>
      <c r="D59" s="364" t="s">
        <v>5395</v>
      </c>
      <c r="E59" s="365" t="s">
        <v>5396</v>
      </c>
      <c r="F59" s="46" t="s">
        <v>361</v>
      </c>
      <c r="G59" s="46" t="s">
        <v>327</v>
      </c>
      <c r="H59" s="35" t="s">
        <v>5397</v>
      </c>
      <c r="I59" s="35" t="s">
        <v>5398</v>
      </c>
      <c r="J59" s="172"/>
      <c r="K59" s="25"/>
      <c r="L59" s="25"/>
      <c r="M59" s="26"/>
      <c r="N59" s="55"/>
      <c r="O59" s="25"/>
      <c r="P59" s="25"/>
      <c r="Q59" s="50" t="s">
        <v>282</v>
      </c>
      <c r="R59" s="25"/>
      <c r="S59" s="50"/>
      <c r="T59" s="65"/>
      <c r="U59" s="65"/>
      <c r="V59" s="65"/>
      <c r="W59" s="65"/>
      <c r="X59" s="65"/>
      <c r="Y59" s="65"/>
      <c r="Z59" s="65"/>
      <c r="AA59" s="65"/>
    </row>
    <row r="60" spans="1:27" ht="96.75" customHeight="1">
      <c r="A60" s="345"/>
      <c r="B60" s="345"/>
      <c r="C60" s="46">
        <v>2</v>
      </c>
      <c r="D60" s="345"/>
      <c r="E60" s="345"/>
      <c r="F60" s="46" t="s">
        <v>361</v>
      </c>
      <c r="G60" s="46" t="s">
        <v>524</v>
      </c>
      <c r="H60" s="35" t="s">
        <v>5399</v>
      </c>
      <c r="I60" s="35" t="s">
        <v>5400</v>
      </c>
      <c r="J60" s="172"/>
      <c r="K60" s="25"/>
      <c r="L60" s="25"/>
      <c r="M60" s="26"/>
      <c r="N60" s="55"/>
      <c r="O60" s="25"/>
      <c r="P60" s="25"/>
      <c r="Q60" s="50" t="s">
        <v>282</v>
      </c>
      <c r="R60" s="25"/>
      <c r="S60" s="50"/>
      <c r="T60" s="65"/>
      <c r="U60" s="65"/>
      <c r="V60" s="65"/>
      <c r="W60" s="65"/>
      <c r="X60" s="65"/>
      <c r="Y60" s="65"/>
      <c r="Z60" s="65"/>
      <c r="AA60" s="65"/>
    </row>
    <row r="61" spans="1:27" ht="15.75" customHeight="1">
      <c r="A61" s="15" t="s">
        <v>5401</v>
      </c>
      <c r="B61" s="16"/>
      <c r="C61" s="16"/>
      <c r="D61" s="17"/>
      <c r="E61" s="18"/>
      <c r="F61" s="19"/>
      <c r="G61" s="19"/>
      <c r="H61" s="17"/>
      <c r="I61" s="20"/>
      <c r="J61" s="20"/>
      <c r="K61" s="16"/>
      <c r="L61" s="16"/>
      <c r="M61" s="71"/>
      <c r="N61" s="3"/>
      <c r="O61" s="16"/>
      <c r="P61" s="16"/>
      <c r="Q61" s="16"/>
      <c r="R61" s="16"/>
      <c r="S61" s="16"/>
    </row>
    <row r="62" spans="1:27" ht="15.75" customHeight="1">
      <c r="A62" s="368" t="s">
        <v>5402</v>
      </c>
      <c r="B62" s="350" t="s">
        <v>280</v>
      </c>
      <c r="C62" s="41">
        <v>1</v>
      </c>
      <c r="D62" s="368" t="s">
        <v>5402</v>
      </c>
      <c r="E62" s="58" t="s">
        <v>5403</v>
      </c>
      <c r="F62" s="41" t="s">
        <v>361</v>
      </c>
      <c r="G62" s="41" t="s">
        <v>327</v>
      </c>
      <c r="H62" s="58" t="s">
        <v>5404</v>
      </c>
      <c r="I62" s="58" t="s">
        <v>5405</v>
      </c>
      <c r="J62" s="253"/>
      <c r="K62" s="25"/>
      <c r="L62" s="25"/>
      <c r="M62" s="48"/>
      <c r="N62" s="4"/>
      <c r="O62" s="28"/>
      <c r="P62" s="28"/>
      <c r="Q62" s="50" t="s">
        <v>282</v>
      </c>
      <c r="R62" s="50"/>
      <c r="S62" s="50"/>
      <c r="T62" s="51"/>
      <c r="U62" s="51"/>
      <c r="V62" s="51"/>
      <c r="W62" s="51"/>
      <c r="X62" s="51"/>
      <c r="Y62" s="51"/>
      <c r="Z62" s="51"/>
      <c r="AA62" s="51"/>
    </row>
    <row r="63" spans="1:27" ht="15.75" customHeight="1">
      <c r="A63" s="344"/>
      <c r="B63" s="344"/>
      <c r="C63" s="41">
        <v>2</v>
      </c>
      <c r="D63" s="344"/>
      <c r="E63" s="58" t="s">
        <v>5406</v>
      </c>
      <c r="F63" s="41" t="s">
        <v>361</v>
      </c>
      <c r="G63" s="41" t="s">
        <v>327</v>
      </c>
      <c r="H63" s="58" t="s">
        <v>5404</v>
      </c>
      <c r="I63" s="58" t="s">
        <v>5405</v>
      </c>
      <c r="J63" s="253"/>
      <c r="K63" s="25"/>
      <c r="L63" s="25"/>
      <c r="M63" s="48"/>
      <c r="N63" s="4"/>
      <c r="O63" s="28"/>
      <c r="P63" s="28"/>
      <c r="Q63" s="50" t="s">
        <v>282</v>
      </c>
      <c r="R63" s="50"/>
      <c r="S63" s="50"/>
      <c r="T63" s="51"/>
      <c r="U63" s="51"/>
      <c r="V63" s="51"/>
      <c r="W63" s="51"/>
      <c r="X63" s="51"/>
      <c r="Y63" s="51"/>
      <c r="Z63" s="51"/>
      <c r="AA63" s="51"/>
    </row>
    <row r="64" spans="1:27" ht="15.75" customHeight="1">
      <c r="A64" s="344"/>
      <c r="B64" s="344"/>
      <c r="C64" s="41">
        <v>3</v>
      </c>
      <c r="D64" s="344"/>
      <c r="E64" s="58" t="s">
        <v>5407</v>
      </c>
      <c r="F64" s="41" t="s">
        <v>361</v>
      </c>
      <c r="G64" s="41" t="s">
        <v>327</v>
      </c>
      <c r="H64" s="58" t="s">
        <v>5404</v>
      </c>
      <c r="I64" s="58" t="s">
        <v>5405</v>
      </c>
      <c r="J64" s="253"/>
      <c r="K64" s="25"/>
      <c r="L64" s="25"/>
      <c r="M64" s="48"/>
      <c r="N64" s="4"/>
      <c r="O64" s="28"/>
      <c r="P64" s="28"/>
      <c r="Q64" s="50" t="s">
        <v>282</v>
      </c>
      <c r="R64" s="50"/>
      <c r="S64" s="50"/>
      <c r="T64" s="51"/>
      <c r="U64" s="51"/>
      <c r="V64" s="51"/>
      <c r="W64" s="51"/>
      <c r="X64" s="51"/>
      <c r="Y64" s="51"/>
      <c r="Z64" s="51"/>
      <c r="AA64" s="51"/>
    </row>
    <row r="65" spans="1:27" ht="15.75" customHeight="1">
      <c r="A65" s="344"/>
      <c r="B65" s="345"/>
      <c r="C65" s="41">
        <v>4</v>
      </c>
      <c r="D65" s="344"/>
      <c r="E65" s="58" t="s">
        <v>5408</v>
      </c>
      <c r="F65" s="41" t="s">
        <v>361</v>
      </c>
      <c r="G65" s="41" t="s">
        <v>327</v>
      </c>
      <c r="H65" s="58" t="s">
        <v>5404</v>
      </c>
      <c r="I65" s="58" t="s">
        <v>5405</v>
      </c>
      <c r="J65" s="253"/>
      <c r="K65" s="25"/>
      <c r="L65" s="25"/>
      <c r="M65" s="48"/>
      <c r="N65" s="4"/>
      <c r="O65" s="28"/>
      <c r="P65" s="28"/>
      <c r="Q65" s="50" t="s">
        <v>282</v>
      </c>
      <c r="R65" s="50"/>
      <c r="S65" s="50"/>
      <c r="T65" s="51"/>
      <c r="U65" s="51"/>
      <c r="V65" s="51"/>
      <c r="W65" s="51"/>
      <c r="X65" s="51"/>
      <c r="Y65" s="51"/>
      <c r="Z65" s="51"/>
      <c r="AA65" s="51"/>
    </row>
    <row r="66" spans="1:27" ht="16.5" customHeight="1">
      <c r="A66" s="368" t="s">
        <v>5409</v>
      </c>
      <c r="B66" s="350" t="s">
        <v>5410</v>
      </c>
      <c r="C66" s="31">
        <v>1</v>
      </c>
      <c r="D66" s="368" t="s">
        <v>5409</v>
      </c>
      <c r="E66" s="23" t="s">
        <v>5411</v>
      </c>
      <c r="F66" s="350" t="s">
        <v>361</v>
      </c>
      <c r="G66" s="350" t="s">
        <v>327</v>
      </c>
      <c r="H66" s="23" t="s">
        <v>5412</v>
      </c>
      <c r="I66" s="23" t="s">
        <v>5413</v>
      </c>
      <c r="J66" s="170"/>
      <c r="K66" s="25" t="s">
        <v>294</v>
      </c>
      <c r="L66" s="25"/>
      <c r="M66" s="26"/>
      <c r="N66" s="55"/>
      <c r="O66" s="25"/>
      <c r="P66" s="50" t="s">
        <v>140</v>
      </c>
      <c r="Q66" s="50" t="s">
        <v>140</v>
      </c>
      <c r="R66" s="25"/>
      <c r="S66" s="50"/>
      <c r="T66" s="30"/>
      <c r="U66" s="30"/>
      <c r="V66" s="30"/>
      <c r="W66" s="30"/>
      <c r="X66" s="30"/>
      <c r="Y66" s="30"/>
      <c r="Z66" s="30"/>
      <c r="AA66" s="30"/>
    </row>
    <row r="67" spans="1:27" ht="15.75" customHeight="1">
      <c r="A67" s="344"/>
      <c r="B67" s="344"/>
      <c r="C67" s="31">
        <v>2</v>
      </c>
      <c r="D67" s="344"/>
      <c r="E67" s="23" t="s">
        <v>5414</v>
      </c>
      <c r="F67" s="344"/>
      <c r="G67" s="344"/>
      <c r="H67" s="23" t="s">
        <v>5415</v>
      </c>
      <c r="I67" s="23" t="s">
        <v>5416</v>
      </c>
      <c r="J67" s="170"/>
      <c r="K67" s="25" t="s">
        <v>294</v>
      </c>
      <c r="L67" s="25"/>
      <c r="M67" s="26"/>
      <c r="N67" s="55"/>
      <c r="O67" s="25"/>
      <c r="P67" s="50" t="s">
        <v>140</v>
      </c>
      <c r="Q67" s="50" t="s">
        <v>140</v>
      </c>
      <c r="R67" s="25"/>
      <c r="S67" s="50"/>
      <c r="T67" s="30"/>
      <c r="U67" s="30"/>
      <c r="V67" s="30"/>
      <c r="W67" s="30"/>
      <c r="X67" s="30"/>
      <c r="Y67" s="30"/>
      <c r="Z67" s="30"/>
      <c r="AA67" s="30"/>
    </row>
    <row r="68" spans="1:27" ht="15.75" customHeight="1">
      <c r="A68" s="344"/>
      <c r="B68" s="344"/>
      <c r="C68" s="31">
        <v>3</v>
      </c>
      <c r="D68" s="344"/>
      <c r="E68" s="23" t="s">
        <v>5417</v>
      </c>
      <c r="F68" s="344"/>
      <c r="G68" s="344"/>
      <c r="H68" s="23" t="s">
        <v>5418</v>
      </c>
      <c r="I68" s="23" t="s">
        <v>5419</v>
      </c>
      <c r="J68" s="170"/>
      <c r="K68" s="25" t="s">
        <v>294</v>
      </c>
      <c r="L68" s="25"/>
      <c r="M68" s="26"/>
      <c r="N68" s="55"/>
      <c r="O68" s="25"/>
      <c r="P68" s="50" t="s">
        <v>140</v>
      </c>
      <c r="Q68" s="50" t="s">
        <v>140</v>
      </c>
      <c r="R68" s="25"/>
      <c r="S68" s="50"/>
      <c r="T68" s="30"/>
      <c r="U68" s="30"/>
      <c r="V68" s="30"/>
      <c r="W68" s="30"/>
      <c r="X68" s="30"/>
      <c r="Y68" s="30"/>
      <c r="Z68" s="30"/>
      <c r="AA68" s="30"/>
    </row>
    <row r="69" spans="1:27" ht="15.75" customHeight="1">
      <c r="A69" s="344"/>
      <c r="B69" s="344"/>
      <c r="C69" s="31">
        <v>4</v>
      </c>
      <c r="D69" s="344"/>
      <c r="E69" s="23" t="s">
        <v>5420</v>
      </c>
      <c r="F69" s="344"/>
      <c r="G69" s="344"/>
      <c r="H69" s="23" t="s">
        <v>5421</v>
      </c>
      <c r="I69" s="23" t="s">
        <v>5413</v>
      </c>
      <c r="J69" s="170"/>
      <c r="K69" s="25" t="s">
        <v>294</v>
      </c>
      <c r="L69" s="25"/>
      <c r="M69" s="26"/>
      <c r="N69" s="55"/>
      <c r="O69" s="25"/>
      <c r="P69" s="50" t="s">
        <v>140</v>
      </c>
      <c r="Q69" s="50" t="s">
        <v>140</v>
      </c>
      <c r="R69" s="25"/>
      <c r="S69" s="50"/>
      <c r="T69" s="30"/>
      <c r="U69" s="30"/>
      <c r="V69" s="30"/>
      <c r="W69" s="30"/>
      <c r="X69" s="30"/>
      <c r="Y69" s="30"/>
      <c r="Z69" s="30"/>
      <c r="AA69" s="30"/>
    </row>
    <row r="70" spans="1:27" ht="15.75" customHeight="1">
      <c r="A70" s="344"/>
      <c r="B70" s="344"/>
      <c r="C70" s="31">
        <v>5</v>
      </c>
      <c r="D70" s="344"/>
      <c r="E70" s="23" t="s">
        <v>5422</v>
      </c>
      <c r="F70" s="344"/>
      <c r="G70" s="344"/>
      <c r="H70" s="23" t="s">
        <v>5423</v>
      </c>
      <c r="I70" s="39" t="s">
        <v>5424</v>
      </c>
      <c r="J70" s="289"/>
      <c r="K70" s="25" t="s">
        <v>294</v>
      </c>
      <c r="L70" s="25"/>
      <c r="M70" s="26"/>
      <c r="N70" s="55"/>
      <c r="O70" s="25"/>
      <c r="P70" s="50" t="s">
        <v>140</v>
      </c>
      <c r="Q70" s="50" t="s">
        <v>140</v>
      </c>
      <c r="R70" s="25"/>
      <c r="S70" s="50"/>
      <c r="T70" s="30"/>
      <c r="U70" s="30"/>
      <c r="V70" s="30"/>
      <c r="W70" s="30"/>
      <c r="X70" s="30"/>
      <c r="Y70" s="30"/>
      <c r="Z70" s="30"/>
      <c r="AA70" s="30"/>
    </row>
    <row r="71" spans="1:27" ht="15.75" customHeight="1">
      <c r="A71" s="345"/>
      <c r="B71" s="345"/>
      <c r="C71" s="31">
        <v>6</v>
      </c>
      <c r="D71" s="345"/>
      <c r="E71" s="23" t="s">
        <v>1702</v>
      </c>
      <c r="F71" s="345"/>
      <c r="G71" s="345"/>
      <c r="H71" s="23" t="s">
        <v>5425</v>
      </c>
      <c r="I71" s="39" t="s">
        <v>5424</v>
      </c>
      <c r="J71" s="289"/>
      <c r="K71" s="25" t="s">
        <v>294</v>
      </c>
      <c r="L71" s="25"/>
      <c r="M71" s="26"/>
      <c r="N71" s="55"/>
      <c r="O71" s="25"/>
      <c r="P71" s="50" t="s">
        <v>140</v>
      </c>
      <c r="Q71" s="50" t="s">
        <v>140</v>
      </c>
      <c r="R71" s="25"/>
      <c r="S71" s="50"/>
      <c r="T71" s="30"/>
      <c r="U71" s="30"/>
      <c r="V71" s="30"/>
      <c r="W71" s="30"/>
      <c r="X71" s="30"/>
      <c r="Y71" s="30"/>
      <c r="Z71" s="30"/>
      <c r="AA71" s="30"/>
    </row>
    <row r="72" spans="1:27" ht="15.75" customHeight="1">
      <c r="A72" s="368" t="s">
        <v>5426</v>
      </c>
      <c r="B72" s="350" t="s">
        <v>39</v>
      </c>
      <c r="C72" s="31">
        <v>1</v>
      </c>
      <c r="D72" s="368" t="s">
        <v>5426</v>
      </c>
      <c r="E72" s="63" t="s">
        <v>5427</v>
      </c>
      <c r="F72" s="367" t="s">
        <v>361</v>
      </c>
      <c r="G72" s="367" t="s">
        <v>327</v>
      </c>
      <c r="H72" s="63" t="s">
        <v>5428</v>
      </c>
      <c r="I72" s="63" t="s">
        <v>5429</v>
      </c>
      <c r="J72" s="171"/>
      <c r="K72" s="25" t="s">
        <v>294</v>
      </c>
      <c r="L72" s="25"/>
      <c r="M72" s="26"/>
      <c r="N72" s="55"/>
      <c r="O72" s="28" t="s">
        <v>140</v>
      </c>
      <c r="P72" s="50" t="s">
        <v>140</v>
      </c>
      <c r="Q72" s="50" t="s">
        <v>140</v>
      </c>
      <c r="R72" s="25"/>
      <c r="S72" s="50"/>
      <c r="T72" s="30"/>
      <c r="U72" s="30"/>
      <c r="V72" s="30"/>
      <c r="W72" s="30"/>
      <c r="X72" s="30"/>
      <c r="Y72" s="30"/>
      <c r="Z72" s="30"/>
      <c r="AA72" s="30"/>
    </row>
    <row r="73" spans="1:27" ht="15.75" customHeight="1">
      <c r="A73" s="344"/>
      <c r="B73" s="344"/>
      <c r="C73" s="31">
        <v>2</v>
      </c>
      <c r="D73" s="344"/>
      <c r="E73" s="63" t="s">
        <v>5430</v>
      </c>
      <c r="F73" s="344"/>
      <c r="G73" s="344"/>
      <c r="H73" s="63" t="s">
        <v>5431</v>
      </c>
      <c r="I73" s="63" t="s">
        <v>5432</v>
      </c>
      <c r="J73" s="171"/>
      <c r="K73" s="25" t="s">
        <v>294</v>
      </c>
      <c r="L73" s="25"/>
      <c r="M73" s="26"/>
      <c r="N73" s="55"/>
      <c r="O73" s="28" t="s">
        <v>140</v>
      </c>
      <c r="P73" s="50" t="s">
        <v>140</v>
      </c>
      <c r="Q73" s="50" t="s">
        <v>140</v>
      </c>
      <c r="R73" s="25"/>
      <c r="S73" s="50"/>
      <c r="T73" s="30"/>
      <c r="U73" s="30"/>
      <c r="V73" s="30"/>
      <c r="W73" s="30"/>
      <c r="X73" s="30"/>
      <c r="Y73" s="30"/>
      <c r="Z73" s="30"/>
      <c r="AA73" s="30"/>
    </row>
    <row r="74" spans="1:27" ht="15.75" customHeight="1">
      <c r="A74" s="344"/>
      <c r="B74" s="344"/>
      <c r="C74" s="31">
        <v>3</v>
      </c>
      <c r="D74" s="344"/>
      <c r="E74" s="63" t="s">
        <v>5433</v>
      </c>
      <c r="F74" s="344"/>
      <c r="G74" s="344"/>
      <c r="H74" s="63" t="s">
        <v>5434</v>
      </c>
      <c r="I74" s="63" t="s">
        <v>5435</v>
      </c>
      <c r="J74" s="171"/>
      <c r="K74" s="25" t="s">
        <v>294</v>
      </c>
      <c r="L74" s="25"/>
      <c r="M74" s="26"/>
      <c r="N74" s="55"/>
      <c r="O74" s="28" t="s">
        <v>140</v>
      </c>
      <c r="P74" s="50" t="s">
        <v>140</v>
      </c>
      <c r="Q74" s="50" t="s">
        <v>140</v>
      </c>
      <c r="R74" s="25" t="s">
        <v>7</v>
      </c>
      <c r="S74" s="50"/>
      <c r="T74" s="30"/>
      <c r="U74" s="30"/>
      <c r="V74" s="30"/>
      <c r="W74" s="30"/>
      <c r="X74" s="30"/>
      <c r="Y74" s="30"/>
      <c r="Z74" s="30"/>
      <c r="AA74" s="30"/>
    </row>
    <row r="75" spans="1:27" ht="15.75" customHeight="1">
      <c r="A75" s="344"/>
      <c r="B75" s="344"/>
      <c r="C75" s="31">
        <v>4</v>
      </c>
      <c r="D75" s="344"/>
      <c r="E75" s="63" t="s">
        <v>5436</v>
      </c>
      <c r="F75" s="344"/>
      <c r="G75" s="344"/>
      <c r="H75" s="63" t="s">
        <v>5437</v>
      </c>
      <c r="I75" s="63" t="s">
        <v>5438</v>
      </c>
      <c r="J75" s="171"/>
      <c r="K75" s="25" t="s">
        <v>294</v>
      </c>
      <c r="L75" s="25"/>
      <c r="M75" s="26"/>
      <c r="N75" s="55"/>
      <c r="O75" s="28" t="s">
        <v>140</v>
      </c>
      <c r="P75" s="50" t="s">
        <v>140</v>
      </c>
      <c r="Q75" s="50" t="s">
        <v>140</v>
      </c>
      <c r="R75" s="25" t="s">
        <v>7</v>
      </c>
      <c r="S75" s="50"/>
      <c r="T75" s="30"/>
      <c r="U75" s="30"/>
      <c r="V75" s="30"/>
      <c r="W75" s="30"/>
      <c r="X75" s="30"/>
      <c r="Y75" s="30"/>
      <c r="Z75" s="30"/>
      <c r="AA75" s="30"/>
    </row>
    <row r="76" spans="1:27" ht="15.75" customHeight="1">
      <c r="A76" s="344"/>
      <c r="B76" s="344"/>
      <c r="C76" s="61">
        <v>5</v>
      </c>
      <c r="D76" s="344"/>
      <c r="E76" s="63" t="s">
        <v>5439</v>
      </c>
      <c r="F76" s="344"/>
      <c r="G76" s="344"/>
      <c r="H76" s="63" t="s">
        <v>5440</v>
      </c>
      <c r="I76" s="63" t="s">
        <v>5441</v>
      </c>
      <c r="J76" s="171"/>
      <c r="K76" s="25" t="s">
        <v>294</v>
      </c>
      <c r="L76" s="25"/>
      <c r="M76" s="26"/>
      <c r="N76" s="186"/>
      <c r="O76" s="28" t="s">
        <v>140</v>
      </c>
      <c r="P76" s="50" t="s">
        <v>140</v>
      </c>
      <c r="Q76" s="50" t="s">
        <v>140</v>
      </c>
      <c r="R76" s="25"/>
      <c r="S76" s="50"/>
      <c r="T76" s="228"/>
      <c r="U76" s="228"/>
      <c r="V76" s="228"/>
      <c r="W76" s="228"/>
      <c r="X76" s="228"/>
      <c r="Y76" s="228"/>
      <c r="Z76" s="228"/>
      <c r="AA76" s="228"/>
    </row>
    <row r="77" spans="1:27" ht="15.75" customHeight="1">
      <c r="A77" s="344"/>
      <c r="B77" s="344"/>
      <c r="C77" s="31">
        <v>6</v>
      </c>
      <c r="D77" s="344"/>
      <c r="E77" s="63" t="s">
        <v>5442</v>
      </c>
      <c r="F77" s="344"/>
      <c r="G77" s="344"/>
      <c r="H77" s="63" t="s">
        <v>5443</v>
      </c>
      <c r="I77" s="63" t="s">
        <v>5444</v>
      </c>
      <c r="J77" s="171"/>
      <c r="K77" s="25" t="s">
        <v>294</v>
      </c>
      <c r="L77" s="25"/>
      <c r="M77" s="26"/>
      <c r="N77" s="55"/>
      <c r="O77" s="28" t="s">
        <v>140</v>
      </c>
      <c r="P77" s="50" t="s">
        <v>140</v>
      </c>
      <c r="Q77" s="50" t="s">
        <v>140</v>
      </c>
      <c r="R77" s="25"/>
      <c r="S77" s="50"/>
      <c r="T77" s="30"/>
      <c r="U77" s="30"/>
      <c r="V77" s="30"/>
      <c r="W77" s="30"/>
      <c r="X77" s="30"/>
      <c r="Y77" s="30"/>
      <c r="Z77" s="30"/>
      <c r="AA77" s="30"/>
    </row>
    <row r="78" spans="1:27" ht="15.75" customHeight="1">
      <c r="A78" s="344"/>
      <c r="B78" s="344"/>
      <c r="C78" s="31">
        <v>7</v>
      </c>
      <c r="D78" s="344"/>
      <c r="E78" s="63" t="s">
        <v>5445</v>
      </c>
      <c r="F78" s="344"/>
      <c r="G78" s="344"/>
      <c r="H78" s="63" t="s">
        <v>5443</v>
      </c>
      <c r="I78" s="63" t="s">
        <v>5446</v>
      </c>
      <c r="J78" s="171"/>
      <c r="K78" s="25" t="s">
        <v>294</v>
      </c>
      <c r="L78" s="25"/>
      <c r="M78" s="26"/>
      <c r="N78" s="55"/>
      <c r="O78" s="28" t="s">
        <v>140</v>
      </c>
      <c r="P78" s="50" t="s">
        <v>140</v>
      </c>
      <c r="Q78" s="50" t="s">
        <v>140</v>
      </c>
      <c r="R78" s="25"/>
      <c r="S78" s="50"/>
      <c r="T78" s="30"/>
      <c r="U78" s="30"/>
      <c r="V78" s="30"/>
      <c r="W78" s="30"/>
      <c r="X78" s="30"/>
      <c r="Y78" s="30"/>
      <c r="Z78" s="30"/>
      <c r="AA78" s="30"/>
    </row>
    <row r="79" spans="1:27" ht="15.75" customHeight="1">
      <c r="A79" s="344"/>
      <c r="B79" s="344"/>
      <c r="C79" s="31">
        <v>9</v>
      </c>
      <c r="D79" s="344"/>
      <c r="E79" s="63" t="s">
        <v>5447</v>
      </c>
      <c r="F79" s="344"/>
      <c r="G79" s="344"/>
      <c r="H79" s="63" t="s">
        <v>5448</v>
      </c>
      <c r="I79" s="63" t="s">
        <v>5449</v>
      </c>
      <c r="J79" s="171"/>
      <c r="K79" s="25" t="s">
        <v>294</v>
      </c>
      <c r="L79" s="25"/>
      <c r="M79" s="26"/>
      <c r="N79" s="55"/>
      <c r="O79" s="28" t="s">
        <v>140</v>
      </c>
      <c r="P79" s="50" t="s">
        <v>140</v>
      </c>
      <c r="Q79" s="50" t="s">
        <v>140</v>
      </c>
      <c r="R79" s="25"/>
      <c r="S79" s="50"/>
      <c r="T79" s="30"/>
      <c r="U79" s="30"/>
      <c r="V79" s="30"/>
      <c r="W79" s="30"/>
      <c r="X79" s="30"/>
      <c r="Y79" s="30"/>
      <c r="Z79" s="30"/>
      <c r="AA79" s="30"/>
    </row>
    <row r="80" spans="1:27" ht="15.75" customHeight="1">
      <c r="A80" s="344"/>
      <c r="B80" s="344"/>
      <c r="C80" s="31">
        <v>10</v>
      </c>
      <c r="D80" s="344"/>
      <c r="E80" s="63" t="s">
        <v>5450</v>
      </c>
      <c r="F80" s="344"/>
      <c r="G80" s="344"/>
      <c r="H80" s="63" t="s">
        <v>5451</v>
      </c>
      <c r="I80" s="63" t="s">
        <v>5452</v>
      </c>
      <c r="J80" s="171"/>
      <c r="K80" s="25" t="s">
        <v>294</v>
      </c>
      <c r="L80" s="25"/>
      <c r="M80" s="26"/>
      <c r="N80" s="55"/>
      <c r="O80" s="28" t="s">
        <v>140</v>
      </c>
      <c r="P80" s="50" t="s">
        <v>140</v>
      </c>
      <c r="Q80" s="50" t="s">
        <v>140</v>
      </c>
      <c r="R80" s="25"/>
      <c r="S80" s="50"/>
      <c r="T80" s="30"/>
      <c r="U80" s="30"/>
      <c r="V80" s="30"/>
      <c r="W80" s="30"/>
      <c r="X80" s="30"/>
      <c r="Y80" s="30"/>
      <c r="Z80" s="30"/>
      <c r="AA80" s="30"/>
    </row>
    <row r="81" spans="1:27" ht="15.75" customHeight="1">
      <c r="A81" s="344"/>
      <c r="B81" s="344"/>
      <c r="C81" s="31">
        <v>11</v>
      </c>
      <c r="D81" s="344"/>
      <c r="E81" s="63" t="s">
        <v>5453</v>
      </c>
      <c r="F81" s="344"/>
      <c r="G81" s="344"/>
      <c r="H81" s="63" t="s">
        <v>5454</v>
      </c>
      <c r="I81" s="63" t="s">
        <v>5455</v>
      </c>
      <c r="J81" s="171"/>
      <c r="K81" s="25" t="s">
        <v>294</v>
      </c>
      <c r="L81" s="25"/>
      <c r="M81" s="26"/>
      <c r="N81" s="55"/>
      <c r="O81" s="28" t="s">
        <v>140</v>
      </c>
      <c r="P81" s="50" t="s">
        <v>140</v>
      </c>
      <c r="Q81" s="50" t="s">
        <v>140</v>
      </c>
      <c r="R81" s="25"/>
      <c r="S81" s="50"/>
      <c r="T81" s="30"/>
      <c r="U81" s="30"/>
      <c r="V81" s="30"/>
      <c r="W81" s="30"/>
      <c r="X81" s="30"/>
      <c r="Y81" s="30"/>
      <c r="Z81" s="30"/>
      <c r="AA81" s="30"/>
    </row>
    <row r="82" spans="1:27" ht="15.75" customHeight="1">
      <c r="A82" s="344"/>
      <c r="B82" s="344"/>
      <c r="C82" s="31">
        <v>12</v>
      </c>
      <c r="D82" s="344"/>
      <c r="E82" s="63" t="s">
        <v>5456</v>
      </c>
      <c r="F82" s="344"/>
      <c r="G82" s="344"/>
      <c r="H82" s="63" t="s">
        <v>5457</v>
      </c>
      <c r="I82" s="63" t="s">
        <v>5458</v>
      </c>
      <c r="J82" s="171"/>
      <c r="K82" s="25" t="s">
        <v>294</v>
      </c>
      <c r="L82" s="25"/>
      <c r="M82" s="26"/>
      <c r="N82" s="55"/>
      <c r="O82" s="28" t="s">
        <v>140</v>
      </c>
      <c r="P82" s="50" t="s">
        <v>140</v>
      </c>
      <c r="Q82" s="50" t="s">
        <v>140</v>
      </c>
      <c r="R82" s="25"/>
      <c r="S82" s="50"/>
      <c r="T82" s="30"/>
      <c r="U82" s="30"/>
      <c r="V82" s="30"/>
      <c r="W82" s="30"/>
      <c r="X82" s="30"/>
      <c r="Y82" s="30"/>
      <c r="Z82" s="30"/>
      <c r="AA82" s="30"/>
    </row>
    <row r="83" spans="1:27" ht="15.75" customHeight="1">
      <c r="A83" s="345"/>
      <c r="B83" s="345"/>
      <c r="C83" s="31">
        <v>13</v>
      </c>
      <c r="D83" s="345"/>
      <c r="E83" s="63" t="s">
        <v>5459</v>
      </c>
      <c r="F83" s="345"/>
      <c r="G83" s="345"/>
      <c r="H83" s="63" t="s">
        <v>5460</v>
      </c>
      <c r="I83" s="63" t="s">
        <v>5461</v>
      </c>
      <c r="J83" s="171"/>
      <c r="K83" s="25" t="s">
        <v>294</v>
      </c>
      <c r="L83" s="25"/>
      <c r="M83" s="26"/>
      <c r="N83" s="55"/>
      <c r="O83" s="28" t="s">
        <v>140</v>
      </c>
      <c r="P83" s="50" t="s">
        <v>140</v>
      </c>
      <c r="Q83" s="50" t="s">
        <v>140</v>
      </c>
      <c r="R83" s="25"/>
      <c r="S83" s="50"/>
      <c r="T83" s="30"/>
      <c r="U83" s="30"/>
      <c r="V83" s="30"/>
      <c r="W83" s="30"/>
      <c r="X83" s="30"/>
      <c r="Y83" s="30"/>
      <c r="Z83" s="30"/>
      <c r="AA83" s="30"/>
    </row>
    <row r="84" spans="1:27" ht="15.75" customHeight="1">
      <c r="A84" s="368" t="s">
        <v>5462</v>
      </c>
      <c r="B84" s="350" t="s">
        <v>5463</v>
      </c>
      <c r="C84" s="31">
        <v>1</v>
      </c>
      <c r="D84" s="368" t="s">
        <v>5464</v>
      </c>
      <c r="E84" s="378" t="s">
        <v>5465</v>
      </c>
      <c r="F84" s="401" t="s">
        <v>361</v>
      </c>
      <c r="G84" s="401" t="s">
        <v>327</v>
      </c>
      <c r="H84" s="378" t="s">
        <v>5466</v>
      </c>
      <c r="I84" s="63" t="s">
        <v>5467</v>
      </c>
      <c r="J84" s="171"/>
      <c r="K84" s="25"/>
      <c r="L84" s="25"/>
      <c r="M84" s="26"/>
      <c r="N84" s="55"/>
      <c r="O84" s="28" t="s">
        <v>140</v>
      </c>
      <c r="P84" s="25"/>
      <c r="Q84" s="50" t="s">
        <v>282</v>
      </c>
      <c r="R84" s="25"/>
      <c r="S84" s="50"/>
      <c r="T84" s="65"/>
      <c r="U84" s="65"/>
      <c r="V84" s="65"/>
      <c r="W84" s="65"/>
      <c r="X84" s="65"/>
      <c r="Y84" s="65"/>
      <c r="Z84" s="65"/>
      <c r="AA84" s="65"/>
    </row>
    <row r="85" spans="1:27" ht="15.75" customHeight="1">
      <c r="A85" s="344"/>
      <c r="B85" s="344"/>
      <c r="C85" s="31">
        <v>2</v>
      </c>
      <c r="D85" s="344"/>
      <c r="E85" s="344"/>
      <c r="F85" s="344"/>
      <c r="G85" s="344"/>
      <c r="H85" s="344"/>
      <c r="I85" s="63" t="s">
        <v>5468</v>
      </c>
      <c r="J85" s="171"/>
      <c r="K85" s="25" t="s">
        <v>294</v>
      </c>
      <c r="L85" s="25"/>
      <c r="M85" s="26"/>
      <c r="N85" s="55"/>
      <c r="O85" s="28" t="s">
        <v>140</v>
      </c>
      <c r="P85" s="25"/>
      <c r="Q85" s="50" t="s">
        <v>140</v>
      </c>
      <c r="R85" s="25"/>
      <c r="S85" s="50"/>
      <c r="T85" s="65"/>
      <c r="U85" s="65"/>
      <c r="V85" s="65"/>
      <c r="W85" s="65"/>
      <c r="X85" s="65"/>
      <c r="Y85" s="65"/>
      <c r="Z85" s="65"/>
      <c r="AA85" s="65"/>
    </row>
    <row r="86" spans="1:27" ht="15.75" customHeight="1">
      <c r="A86" s="344"/>
      <c r="B86" s="344"/>
      <c r="C86" s="31">
        <v>3</v>
      </c>
      <c r="D86" s="344"/>
      <c r="E86" s="345"/>
      <c r="F86" s="345"/>
      <c r="G86" s="345"/>
      <c r="H86" s="345"/>
      <c r="I86" s="63" t="s">
        <v>5469</v>
      </c>
      <c r="J86" s="171"/>
      <c r="K86" s="25"/>
      <c r="L86" s="25"/>
      <c r="M86" s="26"/>
      <c r="N86" s="55"/>
      <c r="O86" s="28"/>
      <c r="P86" s="25"/>
      <c r="Q86" s="50" t="s">
        <v>282</v>
      </c>
      <c r="R86" s="25"/>
      <c r="S86" s="50"/>
      <c r="T86" s="65"/>
      <c r="U86" s="65"/>
      <c r="V86" s="65"/>
      <c r="W86" s="65"/>
      <c r="X86" s="65"/>
      <c r="Y86" s="65"/>
      <c r="Z86" s="65"/>
      <c r="AA86" s="65"/>
    </row>
    <row r="87" spans="1:27" ht="15.75" customHeight="1">
      <c r="A87" s="344"/>
      <c r="B87" s="344"/>
      <c r="C87" s="31">
        <v>4</v>
      </c>
      <c r="D87" s="344"/>
      <c r="E87" s="356" t="s">
        <v>5470</v>
      </c>
      <c r="F87" s="360" t="s">
        <v>361</v>
      </c>
      <c r="G87" s="360" t="s">
        <v>327</v>
      </c>
      <c r="H87" s="356" t="s">
        <v>5471</v>
      </c>
      <c r="I87" s="23" t="s">
        <v>5467</v>
      </c>
      <c r="J87" s="170"/>
      <c r="K87" s="25"/>
      <c r="L87" s="25"/>
      <c r="M87" s="26"/>
      <c r="N87" s="55"/>
      <c r="O87" s="28" t="s">
        <v>140</v>
      </c>
      <c r="P87" s="25"/>
      <c r="Q87" s="50" t="s">
        <v>282</v>
      </c>
      <c r="R87" s="25"/>
      <c r="S87" s="50"/>
      <c r="T87" s="65"/>
      <c r="U87" s="65"/>
      <c r="V87" s="65"/>
      <c r="W87" s="65"/>
      <c r="X87" s="65"/>
      <c r="Y87" s="65"/>
      <c r="Z87" s="65"/>
      <c r="AA87" s="65"/>
    </row>
    <row r="88" spans="1:27" ht="15.75" customHeight="1">
      <c r="A88" s="344"/>
      <c r="B88" s="344"/>
      <c r="C88" s="31">
        <v>5</v>
      </c>
      <c r="D88" s="344"/>
      <c r="E88" s="344"/>
      <c r="F88" s="344"/>
      <c r="G88" s="344"/>
      <c r="H88" s="344"/>
      <c r="I88" s="23" t="s">
        <v>5468</v>
      </c>
      <c r="J88" s="170"/>
      <c r="K88" s="25" t="s">
        <v>294</v>
      </c>
      <c r="L88" s="25"/>
      <c r="M88" s="26"/>
      <c r="N88" s="55"/>
      <c r="O88" s="28" t="s">
        <v>140</v>
      </c>
      <c r="P88" s="25"/>
      <c r="Q88" s="50" t="s">
        <v>140</v>
      </c>
      <c r="R88" s="25"/>
      <c r="S88" s="50"/>
      <c r="T88" s="65"/>
      <c r="U88" s="65"/>
      <c r="V88" s="65"/>
      <c r="W88" s="65"/>
      <c r="X88" s="65"/>
      <c r="Y88" s="65"/>
      <c r="Z88" s="65"/>
      <c r="AA88" s="65"/>
    </row>
    <row r="89" spans="1:27" ht="15.75" customHeight="1">
      <c r="A89" s="344"/>
      <c r="B89" s="344"/>
      <c r="C89" s="31">
        <v>6</v>
      </c>
      <c r="D89" s="344"/>
      <c r="E89" s="345"/>
      <c r="F89" s="345"/>
      <c r="G89" s="345"/>
      <c r="H89" s="345"/>
      <c r="I89" s="23" t="s">
        <v>5469</v>
      </c>
      <c r="J89" s="170"/>
      <c r="K89" s="25"/>
      <c r="L89" s="25"/>
      <c r="M89" s="26"/>
      <c r="N89" s="55"/>
      <c r="O89" s="25"/>
      <c r="P89" s="25"/>
      <c r="Q89" s="50" t="s">
        <v>282</v>
      </c>
      <c r="R89" s="25"/>
      <c r="S89" s="50"/>
      <c r="T89" s="65"/>
      <c r="U89" s="65"/>
      <c r="V89" s="65"/>
      <c r="W89" s="65"/>
      <c r="X89" s="65"/>
      <c r="Y89" s="65"/>
      <c r="Z89" s="65"/>
      <c r="AA89" s="65"/>
    </row>
    <row r="90" spans="1:27" ht="15.75" customHeight="1">
      <c r="A90" s="345"/>
      <c r="B90" s="345"/>
      <c r="C90" s="31">
        <v>7</v>
      </c>
      <c r="D90" s="345"/>
      <c r="E90" s="23" t="s">
        <v>5472</v>
      </c>
      <c r="F90" s="31" t="s">
        <v>361</v>
      </c>
      <c r="G90" s="31" t="s">
        <v>327</v>
      </c>
      <c r="H90" s="23" t="s">
        <v>5473</v>
      </c>
      <c r="I90" s="23" t="s">
        <v>5474</v>
      </c>
      <c r="J90" s="170"/>
      <c r="K90" s="25"/>
      <c r="L90" s="25"/>
      <c r="M90" s="26"/>
      <c r="N90" s="55"/>
      <c r="O90" s="28" t="s">
        <v>140</v>
      </c>
      <c r="P90" s="25"/>
      <c r="Q90" s="50" t="s">
        <v>282</v>
      </c>
      <c r="R90" s="25"/>
      <c r="S90" s="50"/>
      <c r="T90" s="65"/>
      <c r="U90" s="65"/>
      <c r="V90" s="65"/>
      <c r="W90" s="65"/>
      <c r="X90" s="65"/>
      <c r="Y90" s="65"/>
      <c r="Z90" s="65"/>
      <c r="AA90" s="65"/>
    </row>
    <row r="91" spans="1:27" ht="15.75" customHeight="1">
      <c r="A91" s="368" t="s">
        <v>5462</v>
      </c>
      <c r="B91" s="350" t="s">
        <v>278</v>
      </c>
      <c r="C91" s="31">
        <v>1</v>
      </c>
      <c r="D91" s="368" t="s">
        <v>5475</v>
      </c>
      <c r="E91" s="356" t="s">
        <v>5476</v>
      </c>
      <c r="F91" s="360" t="s">
        <v>361</v>
      </c>
      <c r="G91" s="360" t="s">
        <v>327</v>
      </c>
      <c r="H91" s="356" t="s">
        <v>5477</v>
      </c>
      <c r="I91" s="23" t="s">
        <v>5478</v>
      </c>
      <c r="J91" s="170"/>
      <c r="K91" s="25"/>
      <c r="L91" s="25"/>
      <c r="M91" s="26"/>
      <c r="N91" s="55"/>
      <c r="O91" s="25"/>
      <c r="P91" s="25"/>
      <c r="Q91" s="50" t="s">
        <v>282</v>
      </c>
      <c r="R91" s="25"/>
      <c r="S91" s="50"/>
      <c r="T91" s="65"/>
      <c r="U91" s="65"/>
      <c r="V91" s="65"/>
      <c r="W91" s="65"/>
      <c r="X91" s="65"/>
      <c r="Y91" s="65"/>
      <c r="Z91" s="65"/>
      <c r="AA91" s="65"/>
    </row>
    <row r="92" spans="1:27" ht="15.75" customHeight="1">
      <c r="A92" s="344"/>
      <c r="B92" s="344"/>
      <c r="C92" s="31">
        <v>2</v>
      </c>
      <c r="D92" s="344"/>
      <c r="E92" s="345"/>
      <c r="F92" s="345"/>
      <c r="G92" s="345"/>
      <c r="H92" s="345"/>
      <c r="I92" s="23" t="s">
        <v>5468</v>
      </c>
      <c r="J92" s="170"/>
      <c r="K92" s="25" t="s">
        <v>294</v>
      </c>
      <c r="L92" s="25"/>
      <c r="M92" s="26"/>
      <c r="N92" s="55"/>
      <c r="O92" s="25"/>
      <c r="P92" s="25"/>
      <c r="Q92" s="50" t="s">
        <v>140</v>
      </c>
      <c r="R92" s="25"/>
      <c r="S92" s="50"/>
      <c r="T92" s="65"/>
      <c r="U92" s="65"/>
      <c r="V92" s="65"/>
      <c r="W92" s="65"/>
      <c r="X92" s="65"/>
      <c r="Y92" s="65"/>
      <c r="Z92" s="65"/>
      <c r="AA92" s="65"/>
    </row>
    <row r="93" spans="1:27" ht="15.75" customHeight="1">
      <c r="A93" s="344"/>
      <c r="B93" s="344"/>
      <c r="C93" s="31">
        <v>3</v>
      </c>
      <c r="D93" s="344"/>
      <c r="E93" s="356" t="s">
        <v>5479</v>
      </c>
      <c r="F93" s="360" t="s">
        <v>361</v>
      </c>
      <c r="G93" s="360" t="s">
        <v>327</v>
      </c>
      <c r="H93" s="356" t="s">
        <v>5480</v>
      </c>
      <c r="I93" s="23" t="s">
        <v>5478</v>
      </c>
      <c r="J93" s="170"/>
      <c r="K93" s="25"/>
      <c r="L93" s="25"/>
      <c r="M93" s="26"/>
      <c r="N93" s="55"/>
      <c r="O93" s="25"/>
      <c r="P93" s="25"/>
      <c r="Q93" s="50" t="s">
        <v>282</v>
      </c>
      <c r="R93" s="25"/>
      <c r="S93" s="50"/>
      <c r="T93" s="65"/>
      <c r="U93" s="65"/>
      <c r="V93" s="65"/>
      <c r="W93" s="65"/>
      <c r="X93" s="65"/>
      <c r="Y93" s="65"/>
      <c r="Z93" s="65"/>
      <c r="AA93" s="65"/>
    </row>
    <row r="94" spans="1:27" ht="15.75" customHeight="1">
      <c r="A94" s="344"/>
      <c r="B94" s="344"/>
      <c r="C94" s="31">
        <v>4</v>
      </c>
      <c r="D94" s="344"/>
      <c r="E94" s="345"/>
      <c r="F94" s="345"/>
      <c r="G94" s="345"/>
      <c r="H94" s="345"/>
      <c r="I94" s="23" t="s">
        <v>5468</v>
      </c>
      <c r="J94" s="170"/>
      <c r="K94" s="25" t="s">
        <v>294</v>
      </c>
      <c r="L94" s="25"/>
      <c r="M94" s="26"/>
      <c r="N94" s="55"/>
      <c r="O94" s="25"/>
      <c r="P94" s="25"/>
      <c r="Q94" s="50" t="s">
        <v>140</v>
      </c>
      <c r="R94" s="25"/>
      <c r="S94" s="50"/>
      <c r="T94" s="65"/>
      <c r="U94" s="65"/>
      <c r="V94" s="65"/>
      <c r="W94" s="65"/>
      <c r="X94" s="65"/>
      <c r="Y94" s="65"/>
      <c r="Z94" s="65"/>
      <c r="AA94" s="65"/>
    </row>
    <row r="95" spans="1:27" ht="15.75" customHeight="1">
      <c r="A95" s="344"/>
      <c r="B95" s="344"/>
      <c r="C95" s="31">
        <v>5</v>
      </c>
      <c r="D95" s="344"/>
      <c r="E95" s="23" t="s">
        <v>5481</v>
      </c>
      <c r="F95" s="31" t="s">
        <v>361</v>
      </c>
      <c r="G95" s="31" t="s">
        <v>327</v>
      </c>
      <c r="H95" s="23" t="s">
        <v>5482</v>
      </c>
      <c r="I95" s="23" t="s">
        <v>5474</v>
      </c>
      <c r="J95" s="170"/>
      <c r="K95" s="25"/>
      <c r="L95" s="25"/>
      <c r="M95" s="26"/>
      <c r="N95" s="55"/>
      <c r="O95" s="25"/>
      <c r="P95" s="25"/>
      <c r="Q95" s="50" t="s">
        <v>282</v>
      </c>
      <c r="R95" s="25"/>
      <c r="S95" s="50"/>
      <c r="T95" s="65"/>
      <c r="U95" s="65"/>
      <c r="V95" s="65"/>
      <c r="W95" s="65"/>
      <c r="X95" s="65"/>
      <c r="Y95" s="65"/>
      <c r="Z95" s="65"/>
      <c r="AA95" s="65"/>
    </row>
    <row r="96" spans="1:27" ht="15.75" customHeight="1">
      <c r="A96" s="344"/>
      <c r="B96" s="344"/>
      <c r="C96" s="31">
        <v>6</v>
      </c>
      <c r="D96" s="344"/>
      <c r="E96" s="356" t="s">
        <v>5483</v>
      </c>
      <c r="F96" s="360" t="s">
        <v>361</v>
      </c>
      <c r="G96" s="360" t="s">
        <v>327</v>
      </c>
      <c r="H96" s="356" t="s">
        <v>5484</v>
      </c>
      <c r="I96" s="23" t="s">
        <v>5478</v>
      </c>
      <c r="J96" s="170"/>
      <c r="K96" s="25"/>
      <c r="L96" s="25"/>
      <c r="M96" s="26"/>
      <c r="N96" s="55"/>
      <c r="O96" s="25"/>
      <c r="P96" s="25"/>
      <c r="Q96" s="50" t="s">
        <v>282</v>
      </c>
      <c r="R96" s="25"/>
      <c r="S96" s="50"/>
      <c r="T96" s="65"/>
      <c r="U96" s="65"/>
      <c r="V96" s="65"/>
      <c r="W96" s="65"/>
      <c r="X96" s="65"/>
      <c r="Y96" s="65"/>
      <c r="Z96" s="65"/>
      <c r="AA96" s="65"/>
    </row>
    <row r="97" spans="1:27" ht="15.75" customHeight="1">
      <c r="A97" s="344"/>
      <c r="B97" s="344"/>
      <c r="C97" s="31">
        <v>7</v>
      </c>
      <c r="D97" s="344"/>
      <c r="E97" s="345"/>
      <c r="F97" s="345"/>
      <c r="G97" s="345"/>
      <c r="H97" s="345"/>
      <c r="I97" s="23" t="s">
        <v>5468</v>
      </c>
      <c r="J97" s="170"/>
      <c r="K97" s="25" t="s">
        <v>294</v>
      </c>
      <c r="L97" s="25"/>
      <c r="M97" s="26"/>
      <c r="N97" s="55"/>
      <c r="O97" s="25"/>
      <c r="P97" s="25"/>
      <c r="Q97" s="50" t="s">
        <v>140</v>
      </c>
      <c r="R97" s="25"/>
      <c r="S97" s="50"/>
      <c r="T97" s="65"/>
      <c r="U97" s="65"/>
      <c r="V97" s="65"/>
      <c r="W97" s="65"/>
      <c r="X97" s="65"/>
      <c r="Y97" s="65"/>
      <c r="Z97" s="65"/>
      <c r="AA97" s="65"/>
    </row>
    <row r="98" spans="1:27" ht="15.75" customHeight="1">
      <c r="A98" s="344"/>
      <c r="B98" s="344"/>
      <c r="C98" s="31">
        <v>8</v>
      </c>
      <c r="D98" s="344"/>
      <c r="E98" s="356" t="s">
        <v>5485</v>
      </c>
      <c r="F98" s="360" t="s">
        <v>361</v>
      </c>
      <c r="G98" s="360" t="s">
        <v>327</v>
      </c>
      <c r="H98" s="356" t="s">
        <v>5486</v>
      </c>
      <c r="I98" s="23" t="s">
        <v>5478</v>
      </c>
      <c r="J98" s="170"/>
      <c r="K98" s="25"/>
      <c r="L98" s="25"/>
      <c r="M98" s="26"/>
      <c r="N98" s="55"/>
      <c r="O98" s="25"/>
      <c r="P98" s="25"/>
      <c r="Q98" s="50" t="s">
        <v>282</v>
      </c>
      <c r="R98" s="25"/>
      <c r="S98" s="50"/>
      <c r="T98" s="65"/>
      <c r="U98" s="65"/>
      <c r="V98" s="65"/>
      <c r="W98" s="65"/>
      <c r="X98" s="65"/>
      <c r="Y98" s="65"/>
      <c r="Z98" s="65"/>
      <c r="AA98" s="65"/>
    </row>
    <row r="99" spans="1:27" ht="15.75" customHeight="1">
      <c r="A99" s="344"/>
      <c r="B99" s="344"/>
      <c r="C99" s="31">
        <v>9</v>
      </c>
      <c r="D99" s="344"/>
      <c r="E99" s="345"/>
      <c r="F99" s="345"/>
      <c r="G99" s="345"/>
      <c r="H99" s="345"/>
      <c r="I99" s="23" t="s">
        <v>5468</v>
      </c>
      <c r="J99" s="170"/>
      <c r="K99" s="25" t="s">
        <v>294</v>
      </c>
      <c r="L99" s="25"/>
      <c r="M99" s="26"/>
      <c r="N99" s="55"/>
      <c r="O99" s="25"/>
      <c r="P99" s="25"/>
      <c r="Q99" s="50" t="s">
        <v>140</v>
      </c>
      <c r="R99" s="25"/>
      <c r="S99" s="50"/>
      <c r="T99" s="65"/>
      <c r="U99" s="65"/>
      <c r="V99" s="65"/>
      <c r="W99" s="65"/>
      <c r="X99" s="65"/>
      <c r="Y99" s="65"/>
      <c r="Z99" s="65"/>
      <c r="AA99" s="65"/>
    </row>
    <row r="100" spans="1:27" ht="15.75" customHeight="1">
      <c r="A100" s="344"/>
      <c r="B100" s="344"/>
      <c r="C100" s="31">
        <v>10</v>
      </c>
      <c r="D100" s="344"/>
      <c r="E100" s="356" t="s">
        <v>5487</v>
      </c>
      <c r="F100" s="360" t="s">
        <v>361</v>
      </c>
      <c r="G100" s="360" t="s">
        <v>327</v>
      </c>
      <c r="H100" s="356" t="s">
        <v>5488</v>
      </c>
      <c r="I100" s="23" t="s">
        <v>5474</v>
      </c>
      <c r="J100" s="170"/>
      <c r="K100" s="25"/>
      <c r="L100" s="25"/>
      <c r="M100" s="26"/>
      <c r="N100" s="55"/>
      <c r="O100" s="25"/>
      <c r="P100" s="25"/>
      <c r="Q100" s="50" t="s">
        <v>282</v>
      </c>
      <c r="R100" s="25"/>
      <c r="S100" s="50"/>
      <c r="T100" s="65"/>
      <c r="U100" s="65"/>
      <c r="V100" s="65"/>
      <c r="W100" s="65"/>
      <c r="X100" s="65"/>
      <c r="Y100" s="65"/>
      <c r="Z100" s="65"/>
      <c r="AA100" s="65"/>
    </row>
    <row r="101" spans="1:27" ht="15.75" customHeight="1">
      <c r="A101" s="345"/>
      <c r="B101" s="345"/>
      <c r="C101" s="31">
        <v>11</v>
      </c>
      <c r="D101" s="345"/>
      <c r="E101" s="345"/>
      <c r="F101" s="345"/>
      <c r="G101" s="345"/>
      <c r="H101" s="345"/>
      <c r="I101" s="23" t="s">
        <v>5489</v>
      </c>
      <c r="J101" s="170"/>
      <c r="K101" s="25" t="s">
        <v>294</v>
      </c>
      <c r="L101" s="25"/>
      <c r="M101" s="26"/>
      <c r="N101" s="55"/>
      <c r="O101" s="25"/>
      <c r="P101" s="25"/>
      <c r="Q101" s="50" t="s">
        <v>140</v>
      </c>
      <c r="R101" s="25"/>
      <c r="S101" s="50"/>
      <c r="T101" s="65"/>
      <c r="U101" s="65"/>
      <c r="V101" s="65"/>
      <c r="W101" s="65"/>
      <c r="X101" s="65"/>
      <c r="Y101" s="65"/>
      <c r="Z101" s="65"/>
      <c r="AA101" s="65"/>
    </row>
    <row r="102" spans="1:27" ht="15.75" customHeight="1">
      <c r="A102" s="372" t="s">
        <v>5490</v>
      </c>
      <c r="B102" s="350" t="s">
        <v>5491</v>
      </c>
      <c r="C102" s="31">
        <v>1</v>
      </c>
      <c r="D102" s="368" t="s">
        <v>5492</v>
      </c>
      <c r="E102" s="23" t="s">
        <v>5493</v>
      </c>
      <c r="F102" s="31" t="s">
        <v>361</v>
      </c>
      <c r="G102" s="31" t="s">
        <v>327</v>
      </c>
      <c r="H102" s="23" t="s">
        <v>5494</v>
      </c>
      <c r="I102" s="23" t="s">
        <v>5495</v>
      </c>
      <c r="J102" s="170"/>
      <c r="K102" s="25"/>
      <c r="L102" s="25"/>
      <c r="M102" s="26"/>
      <c r="N102" s="55"/>
      <c r="O102" s="28" t="s">
        <v>140</v>
      </c>
      <c r="P102" s="25"/>
      <c r="Q102" s="50" t="s">
        <v>282</v>
      </c>
      <c r="R102" s="25"/>
      <c r="S102" s="50"/>
      <c r="T102" s="65"/>
      <c r="U102" s="65"/>
      <c r="V102" s="65"/>
      <c r="W102" s="65"/>
      <c r="X102" s="65"/>
      <c r="Y102" s="65"/>
      <c r="Z102" s="65"/>
      <c r="AA102" s="65"/>
    </row>
    <row r="103" spans="1:27" ht="15.75" customHeight="1">
      <c r="A103" s="344"/>
      <c r="B103" s="344"/>
      <c r="C103" s="31">
        <v>2</v>
      </c>
      <c r="D103" s="344"/>
      <c r="E103" s="23" t="s">
        <v>5496</v>
      </c>
      <c r="F103" s="31" t="s">
        <v>361</v>
      </c>
      <c r="G103" s="31" t="s">
        <v>327</v>
      </c>
      <c r="H103" s="23" t="s">
        <v>5497</v>
      </c>
      <c r="I103" s="23" t="s">
        <v>5495</v>
      </c>
      <c r="J103" s="170"/>
      <c r="K103" s="25"/>
      <c r="L103" s="25"/>
      <c r="M103" s="26"/>
      <c r="N103" s="55"/>
      <c r="O103" s="28" t="s">
        <v>140</v>
      </c>
      <c r="P103" s="25"/>
      <c r="Q103" s="50" t="s">
        <v>282</v>
      </c>
      <c r="R103" s="25"/>
      <c r="S103" s="50"/>
      <c r="T103" s="65"/>
      <c r="U103" s="65"/>
      <c r="V103" s="65"/>
      <c r="W103" s="65"/>
      <c r="X103" s="65"/>
      <c r="Y103" s="65"/>
      <c r="Z103" s="65"/>
      <c r="AA103" s="65"/>
    </row>
    <row r="104" spans="1:27" ht="15.75" customHeight="1">
      <c r="A104" s="344"/>
      <c r="B104" s="344"/>
      <c r="C104" s="31">
        <v>3</v>
      </c>
      <c r="D104" s="344"/>
      <c r="E104" s="23" t="s">
        <v>5498</v>
      </c>
      <c r="F104" s="31" t="s">
        <v>361</v>
      </c>
      <c r="G104" s="31" t="s">
        <v>327</v>
      </c>
      <c r="H104" s="23" t="s">
        <v>5499</v>
      </c>
      <c r="I104" s="23" t="s">
        <v>5495</v>
      </c>
      <c r="J104" s="170"/>
      <c r="K104" s="25"/>
      <c r="L104" s="25"/>
      <c r="M104" s="26"/>
      <c r="N104" s="55"/>
      <c r="O104" s="25"/>
      <c r="P104" s="25"/>
      <c r="Q104" s="50" t="s">
        <v>282</v>
      </c>
      <c r="R104" s="25"/>
      <c r="S104" s="50"/>
      <c r="T104" s="65"/>
      <c r="U104" s="65"/>
      <c r="V104" s="65"/>
      <c r="W104" s="65"/>
      <c r="X104" s="65"/>
      <c r="Y104" s="65"/>
      <c r="Z104" s="65"/>
      <c r="AA104" s="65"/>
    </row>
    <row r="105" spans="1:27" ht="15.75" customHeight="1">
      <c r="A105" s="344"/>
      <c r="B105" s="344"/>
      <c r="C105" s="31">
        <v>4</v>
      </c>
      <c r="D105" s="344"/>
      <c r="E105" s="23" t="s">
        <v>5500</v>
      </c>
      <c r="F105" s="31" t="s">
        <v>361</v>
      </c>
      <c r="G105" s="31" t="s">
        <v>327</v>
      </c>
      <c r="H105" s="23" t="s">
        <v>5501</v>
      </c>
      <c r="I105" s="23" t="s">
        <v>5495</v>
      </c>
      <c r="J105" s="170"/>
      <c r="K105" s="25"/>
      <c r="L105" s="25"/>
      <c r="M105" s="26"/>
      <c r="N105" s="55"/>
      <c r="O105" s="25"/>
      <c r="P105" s="25"/>
      <c r="Q105" s="50" t="s">
        <v>282</v>
      </c>
      <c r="R105" s="25"/>
      <c r="S105" s="50"/>
      <c r="T105" s="65"/>
      <c r="U105" s="65"/>
      <c r="V105" s="65"/>
      <c r="W105" s="65"/>
      <c r="X105" s="65"/>
      <c r="Y105" s="65"/>
      <c r="Z105" s="65"/>
      <c r="AA105" s="65"/>
    </row>
    <row r="106" spans="1:27" ht="15.75" customHeight="1">
      <c r="A106" s="344"/>
      <c r="B106" s="344"/>
      <c r="C106" s="31">
        <v>5</v>
      </c>
      <c r="D106" s="344"/>
      <c r="E106" s="355" t="s">
        <v>5502</v>
      </c>
      <c r="F106" s="31" t="s">
        <v>361</v>
      </c>
      <c r="G106" s="31" t="s">
        <v>327</v>
      </c>
      <c r="H106" s="23" t="s">
        <v>5503</v>
      </c>
      <c r="I106" s="23" t="s">
        <v>5474</v>
      </c>
      <c r="J106" s="170"/>
      <c r="K106" s="25"/>
      <c r="L106" s="25"/>
      <c r="M106" s="26"/>
      <c r="N106" s="55"/>
      <c r="O106" s="25"/>
      <c r="P106" s="25"/>
      <c r="Q106" s="50" t="s">
        <v>282</v>
      </c>
      <c r="R106" s="25"/>
      <c r="S106" s="50"/>
      <c r="T106" s="65"/>
      <c r="U106" s="65"/>
      <c r="V106" s="65"/>
      <c r="W106" s="65"/>
      <c r="X106" s="65"/>
      <c r="Y106" s="65"/>
      <c r="Z106" s="65"/>
      <c r="AA106" s="65"/>
    </row>
    <row r="107" spans="1:27" ht="15.75" customHeight="1">
      <c r="A107" s="344"/>
      <c r="B107" s="344"/>
      <c r="C107" s="31">
        <v>6</v>
      </c>
      <c r="D107" s="344"/>
      <c r="E107" s="345"/>
      <c r="F107" s="31" t="s">
        <v>361</v>
      </c>
      <c r="G107" s="31" t="s">
        <v>327</v>
      </c>
      <c r="H107" s="23" t="s">
        <v>5504</v>
      </c>
      <c r="I107" s="23" t="s">
        <v>5474</v>
      </c>
      <c r="J107" s="170"/>
      <c r="K107" s="25"/>
      <c r="L107" s="25"/>
      <c r="M107" s="26"/>
      <c r="N107" s="55"/>
      <c r="O107" s="25"/>
      <c r="P107" s="25"/>
      <c r="Q107" s="50" t="s">
        <v>282</v>
      </c>
      <c r="R107" s="25"/>
      <c r="S107" s="50"/>
      <c r="T107" s="65"/>
      <c r="U107" s="65"/>
      <c r="V107" s="65"/>
      <c r="W107" s="65"/>
      <c r="X107" s="65"/>
      <c r="Y107" s="65"/>
      <c r="Z107" s="65"/>
      <c r="AA107" s="65"/>
    </row>
    <row r="108" spans="1:27" ht="15.75" customHeight="1">
      <c r="A108" s="344"/>
      <c r="B108" s="344"/>
      <c r="C108" s="31">
        <v>7</v>
      </c>
      <c r="D108" s="344"/>
      <c r="E108" s="355" t="s">
        <v>5505</v>
      </c>
      <c r="F108" s="31" t="s">
        <v>361</v>
      </c>
      <c r="G108" s="31" t="s">
        <v>327</v>
      </c>
      <c r="H108" s="23" t="s">
        <v>5506</v>
      </c>
      <c r="I108" s="23" t="s">
        <v>5474</v>
      </c>
      <c r="J108" s="170"/>
      <c r="K108" s="25"/>
      <c r="L108" s="25"/>
      <c r="M108" s="26"/>
      <c r="N108" s="55"/>
      <c r="O108" s="25"/>
      <c r="P108" s="25"/>
      <c r="Q108" s="50" t="s">
        <v>282</v>
      </c>
      <c r="R108" s="25"/>
      <c r="S108" s="50"/>
      <c r="T108" s="65"/>
      <c r="U108" s="65"/>
      <c r="V108" s="65"/>
      <c r="W108" s="65"/>
      <c r="X108" s="65"/>
      <c r="Y108" s="65"/>
      <c r="Z108" s="65"/>
      <c r="AA108" s="65"/>
    </row>
    <row r="109" spans="1:27" ht="15.75" customHeight="1">
      <c r="A109" s="345"/>
      <c r="B109" s="345"/>
      <c r="C109" s="31">
        <v>8</v>
      </c>
      <c r="D109" s="345"/>
      <c r="E109" s="345"/>
      <c r="F109" s="31" t="s">
        <v>361</v>
      </c>
      <c r="G109" s="31" t="s">
        <v>327</v>
      </c>
      <c r="H109" s="23" t="s">
        <v>5507</v>
      </c>
      <c r="I109" s="23" t="s">
        <v>5474</v>
      </c>
      <c r="J109" s="170"/>
      <c r="K109" s="25"/>
      <c r="L109" s="25"/>
      <c r="M109" s="26"/>
      <c r="N109" s="55"/>
      <c r="O109" s="25"/>
      <c r="P109" s="25"/>
      <c r="Q109" s="50" t="s">
        <v>282</v>
      </c>
      <c r="R109" s="25"/>
      <c r="S109" s="50"/>
      <c r="T109" s="65"/>
      <c r="U109" s="65"/>
      <c r="V109" s="65"/>
      <c r="W109" s="65"/>
      <c r="X109" s="65"/>
      <c r="Y109" s="65"/>
      <c r="Z109" s="65"/>
      <c r="AA109" s="65"/>
    </row>
    <row r="110" spans="1:27" ht="15.75" customHeight="1">
      <c r="A110" s="376" t="s">
        <v>5508</v>
      </c>
      <c r="B110" s="367" t="s">
        <v>175</v>
      </c>
      <c r="C110" s="61">
        <v>1</v>
      </c>
      <c r="D110" s="376" t="s">
        <v>5509</v>
      </c>
      <c r="E110" s="63" t="s">
        <v>5510</v>
      </c>
      <c r="F110" s="61" t="s">
        <v>361</v>
      </c>
      <c r="G110" s="61" t="s">
        <v>524</v>
      </c>
      <c r="H110" s="229" t="s">
        <v>5511</v>
      </c>
      <c r="I110" s="63" t="s">
        <v>5512</v>
      </c>
      <c r="J110" s="171"/>
      <c r="K110" s="25"/>
      <c r="L110" s="25"/>
      <c r="M110" s="26"/>
      <c r="N110" s="55"/>
      <c r="O110" s="28" t="s">
        <v>140</v>
      </c>
      <c r="P110" s="25"/>
      <c r="Q110" s="50" t="s">
        <v>282</v>
      </c>
      <c r="R110" s="25"/>
      <c r="S110" s="50"/>
    </row>
    <row r="111" spans="1:27" ht="15.75" customHeight="1">
      <c r="A111" s="344"/>
      <c r="B111" s="344"/>
      <c r="C111" s="61">
        <v>2</v>
      </c>
      <c r="D111" s="344"/>
      <c r="E111" s="63" t="s">
        <v>5513</v>
      </c>
      <c r="F111" s="61" t="s">
        <v>361</v>
      </c>
      <c r="G111" s="61" t="s">
        <v>524</v>
      </c>
      <c r="H111" s="229" t="s">
        <v>5514</v>
      </c>
      <c r="I111" s="229" t="s">
        <v>5515</v>
      </c>
      <c r="J111" s="229"/>
      <c r="K111" s="25"/>
      <c r="L111" s="25"/>
      <c r="M111" s="26"/>
      <c r="N111" s="55"/>
      <c r="O111" s="28"/>
      <c r="P111" s="25"/>
      <c r="Q111" s="50" t="s">
        <v>282</v>
      </c>
      <c r="R111" s="25"/>
      <c r="S111" s="50"/>
    </row>
    <row r="112" spans="1:27" ht="15.75" customHeight="1">
      <c r="A112" s="344"/>
      <c r="B112" s="344"/>
      <c r="C112" s="61">
        <v>3</v>
      </c>
      <c r="D112" s="344"/>
      <c r="E112" s="63" t="s">
        <v>5516</v>
      </c>
      <c r="F112" s="61" t="s">
        <v>361</v>
      </c>
      <c r="G112" s="61" t="s">
        <v>524</v>
      </c>
      <c r="H112" s="229" t="s">
        <v>5517</v>
      </c>
      <c r="I112" s="229" t="s">
        <v>5515</v>
      </c>
      <c r="J112" s="229"/>
      <c r="K112" s="25"/>
      <c r="L112" s="25"/>
      <c r="M112" s="26"/>
      <c r="N112" s="55"/>
      <c r="O112" s="28"/>
      <c r="P112" s="25"/>
      <c r="Q112" s="50" t="s">
        <v>282</v>
      </c>
      <c r="R112" s="25"/>
      <c r="S112" s="50"/>
    </row>
    <row r="113" spans="1:19" ht="205.5" customHeight="1">
      <c r="A113" s="345"/>
      <c r="B113" s="345"/>
      <c r="C113" s="61">
        <v>3</v>
      </c>
      <c r="D113" s="345"/>
      <c r="E113" s="63" t="s">
        <v>5518</v>
      </c>
      <c r="F113" s="61" t="s">
        <v>361</v>
      </c>
      <c r="G113" s="61" t="s">
        <v>524</v>
      </c>
      <c r="H113" s="229" t="s">
        <v>5519</v>
      </c>
      <c r="I113" s="229" t="s">
        <v>5520</v>
      </c>
      <c r="J113" s="229"/>
      <c r="K113" s="25"/>
      <c r="L113" s="25"/>
      <c r="M113" s="26"/>
      <c r="N113" s="55"/>
      <c r="O113" s="25"/>
      <c r="P113" s="25"/>
      <c r="Q113" s="50" t="s">
        <v>282</v>
      </c>
      <c r="R113" s="25"/>
      <c r="S113" s="50"/>
    </row>
    <row r="114" spans="1:19" ht="15.75" customHeight="1">
      <c r="A114" s="364" t="s">
        <v>5521</v>
      </c>
      <c r="B114" s="363" t="s">
        <v>5522</v>
      </c>
      <c r="C114" s="61">
        <v>1</v>
      </c>
      <c r="D114" s="364" t="s">
        <v>5521</v>
      </c>
      <c r="E114" s="364" t="s">
        <v>5523</v>
      </c>
      <c r="F114" s="401" t="s">
        <v>361</v>
      </c>
      <c r="G114" s="401" t="s">
        <v>327</v>
      </c>
      <c r="H114" s="90" t="s">
        <v>5524</v>
      </c>
      <c r="I114" s="2" t="s">
        <v>5525</v>
      </c>
      <c r="J114" s="2"/>
      <c r="K114" s="25"/>
      <c r="L114" s="25"/>
      <c r="M114" s="26"/>
      <c r="N114" s="3"/>
      <c r="O114" s="25"/>
      <c r="P114" s="25"/>
      <c r="Q114" s="50" t="s">
        <v>282</v>
      </c>
      <c r="R114" s="25"/>
      <c r="S114" s="50"/>
    </row>
    <row r="115" spans="1:19" ht="15.75" customHeight="1">
      <c r="A115" s="344"/>
      <c r="B115" s="344"/>
      <c r="C115" s="61">
        <v>2</v>
      </c>
      <c r="D115" s="344"/>
      <c r="E115" s="344"/>
      <c r="F115" s="344"/>
      <c r="G115" s="344"/>
      <c r="H115" s="90" t="s">
        <v>5526</v>
      </c>
      <c r="I115" s="2" t="s">
        <v>5527</v>
      </c>
      <c r="J115" s="2"/>
      <c r="K115" s="25"/>
      <c r="L115" s="25"/>
      <c r="M115" s="26"/>
      <c r="N115" s="3"/>
      <c r="O115" s="25"/>
      <c r="P115" s="25"/>
      <c r="Q115" s="50" t="s">
        <v>282</v>
      </c>
      <c r="R115" s="25"/>
      <c r="S115" s="50"/>
    </row>
    <row r="116" spans="1:19" ht="15.75" customHeight="1">
      <c r="A116" s="344"/>
      <c r="B116" s="344"/>
      <c r="C116" s="61">
        <v>3</v>
      </c>
      <c r="D116" s="344"/>
      <c r="E116" s="344"/>
      <c r="F116" s="344"/>
      <c r="G116" s="344"/>
      <c r="H116" s="90" t="s">
        <v>5528</v>
      </c>
      <c r="I116" s="2" t="s">
        <v>5529</v>
      </c>
      <c r="J116" s="2"/>
      <c r="K116" s="25"/>
      <c r="L116" s="25"/>
      <c r="M116" s="26"/>
      <c r="N116" s="3"/>
      <c r="O116" s="25"/>
      <c r="P116" s="25"/>
      <c r="Q116" s="50" t="s">
        <v>282</v>
      </c>
      <c r="R116" s="25"/>
      <c r="S116" s="50"/>
    </row>
    <row r="117" spans="1:19" ht="15.75" customHeight="1">
      <c r="A117" s="345"/>
      <c r="B117" s="345"/>
      <c r="C117" s="61">
        <v>4</v>
      </c>
      <c r="D117" s="345"/>
      <c r="E117" s="345"/>
      <c r="F117" s="345"/>
      <c r="G117" s="345"/>
      <c r="H117" s="2" t="s">
        <v>5530</v>
      </c>
      <c r="I117" s="2" t="s">
        <v>5531</v>
      </c>
      <c r="J117" s="2"/>
      <c r="K117" s="25"/>
      <c r="L117" s="25"/>
      <c r="M117" s="26"/>
      <c r="N117" s="3"/>
      <c r="O117" s="25"/>
      <c r="P117" s="25"/>
      <c r="Q117" s="50" t="s">
        <v>282</v>
      </c>
      <c r="R117" s="25"/>
      <c r="S117" s="50"/>
    </row>
    <row r="118" spans="1:19" ht="15.75" customHeight="1">
      <c r="A118" s="364" t="s">
        <v>5532</v>
      </c>
      <c r="B118" s="363" t="s">
        <v>5533</v>
      </c>
      <c r="C118" s="61">
        <v>1</v>
      </c>
      <c r="D118" s="364" t="s">
        <v>5532</v>
      </c>
      <c r="E118" s="364" t="s">
        <v>5534</v>
      </c>
      <c r="F118" s="401" t="s">
        <v>361</v>
      </c>
      <c r="G118" s="363" t="s">
        <v>327</v>
      </c>
      <c r="H118" s="80" t="s">
        <v>5535</v>
      </c>
      <c r="I118" s="2" t="s">
        <v>5536</v>
      </c>
      <c r="J118" s="2"/>
      <c r="K118" s="25"/>
      <c r="L118" s="25"/>
      <c r="M118" s="26"/>
      <c r="N118" s="3"/>
      <c r="O118" s="25"/>
      <c r="P118" s="25"/>
      <c r="Q118" s="50" t="s">
        <v>282</v>
      </c>
      <c r="R118" s="25"/>
      <c r="S118" s="50"/>
    </row>
    <row r="119" spans="1:19" ht="15.75" customHeight="1">
      <c r="A119" s="344"/>
      <c r="B119" s="344"/>
      <c r="C119" s="61">
        <v>2</v>
      </c>
      <c r="D119" s="344"/>
      <c r="E119" s="345"/>
      <c r="F119" s="344"/>
      <c r="G119" s="344"/>
      <c r="H119" s="90" t="s">
        <v>5537</v>
      </c>
      <c r="I119" s="80" t="s">
        <v>5538</v>
      </c>
      <c r="J119" s="84"/>
      <c r="K119" s="25"/>
      <c r="L119" s="25"/>
      <c r="M119" s="26"/>
      <c r="N119" s="3"/>
      <c r="O119" s="25"/>
      <c r="P119" s="25"/>
      <c r="Q119" s="50" t="s">
        <v>282</v>
      </c>
      <c r="R119" s="25"/>
      <c r="S119" s="50"/>
    </row>
    <row r="120" spans="1:19" ht="15.75" customHeight="1">
      <c r="A120" s="344"/>
      <c r="B120" s="344"/>
      <c r="C120" s="61">
        <v>3</v>
      </c>
      <c r="D120" s="344"/>
      <c r="E120" s="364" t="s">
        <v>5539</v>
      </c>
      <c r="F120" s="344"/>
      <c r="G120" s="344"/>
      <c r="H120" s="2" t="s">
        <v>5540</v>
      </c>
      <c r="I120" s="80" t="s">
        <v>5536</v>
      </c>
      <c r="J120" s="84"/>
      <c r="K120" s="25"/>
      <c r="L120" s="25"/>
      <c r="M120" s="26"/>
      <c r="N120" s="3"/>
      <c r="O120" s="25"/>
      <c r="P120" s="25"/>
      <c r="Q120" s="50" t="s">
        <v>282</v>
      </c>
      <c r="R120" s="25"/>
      <c r="S120" s="50"/>
    </row>
    <row r="121" spans="1:19" ht="15.75" customHeight="1">
      <c r="A121" s="345"/>
      <c r="B121" s="345"/>
      <c r="C121" s="61">
        <v>4</v>
      </c>
      <c r="D121" s="345"/>
      <c r="E121" s="345"/>
      <c r="F121" s="345"/>
      <c r="G121" s="345"/>
      <c r="H121" s="80" t="s">
        <v>5541</v>
      </c>
      <c r="I121" s="80" t="s">
        <v>5538</v>
      </c>
      <c r="J121" s="84"/>
      <c r="K121" s="25"/>
      <c r="L121" s="25"/>
      <c r="M121" s="26"/>
      <c r="N121" s="3"/>
      <c r="O121" s="25"/>
      <c r="P121" s="25"/>
      <c r="Q121" s="50" t="s">
        <v>282</v>
      </c>
      <c r="R121" s="25"/>
      <c r="S121" s="50"/>
    </row>
    <row r="122" spans="1:19" ht="15.75" customHeight="1">
      <c r="A122" s="68"/>
      <c r="B122" s="68"/>
      <c r="D122" s="68"/>
      <c r="E122" s="69"/>
      <c r="K122" s="68"/>
      <c r="M122" s="69"/>
      <c r="O122" s="68"/>
      <c r="P122" s="68"/>
      <c r="Q122" s="68"/>
      <c r="R122" s="68"/>
      <c r="S122" s="68"/>
    </row>
    <row r="123" spans="1:19" ht="15.75" customHeight="1">
      <c r="A123" s="68"/>
      <c r="B123" s="68"/>
      <c r="D123" s="68"/>
      <c r="E123" s="69"/>
      <c r="K123" s="68"/>
      <c r="M123" s="69"/>
      <c r="O123" s="68"/>
      <c r="P123" s="68"/>
      <c r="Q123" s="68"/>
      <c r="R123" s="68"/>
      <c r="S123" s="68"/>
    </row>
    <row r="124" spans="1:19" ht="15.75" customHeight="1">
      <c r="A124" s="68"/>
      <c r="B124" s="68"/>
      <c r="D124" s="68"/>
      <c r="E124" s="69"/>
      <c r="K124" s="68"/>
      <c r="M124" s="69"/>
      <c r="O124" s="68"/>
      <c r="P124" s="68"/>
      <c r="Q124" s="68"/>
      <c r="R124" s="68"/>
      <c r="S124" s="68"/>
    </row>
    <row r="125" spans="1:19" ht="15.75" customHeight="1">
      <c r="A125" s="68"/>
      <c r="B125" s="68"/>
      <c r="D125" s="68"/>
      <c r="E125" s="69"/>
      <c r="K125" s="68"/>
      <c r="M125" s="69"/>
      <c r="O125" s="68"/>
      <c r="P125" s="68"/>
      <c r="Q125" s="68"/>
      <c r="R125" s="68"/>
      <c r="S125" s="68"/>
    </row>
    <row r="126" spans="1:19" ht="15.75" customHeight="1">
      <c r="A126" s="68"/>
      <c r="B126" s="68"/>
      <c r="D126" s="68"/>
      <c r="E126" s="69"/>
      <c r="K126" s="68"/>
      <c r="M126" s="69"/>
      <c r="O126" s="68"/>
      <c r="P126" s="68"/>
      <c r="Q126" s="68"/>
      <c r="R126" s="68"/>
      <c r="S126" s="68"/>
    </row>
    <row r="127" spans="1:19" ht="15.75" customHeight="1">
      <c r="A127" s="68"/>
      <c r="B127" s="68"/>
      <c r="D127" s="68"/>
      <c r="E127" s="69"/>
      <c r="K127" s="68"/>
      <c r="M127" s="69"/>
      <c r="O127" s="68"/>
      <c r="P127" s="68"/>
      <c r="Q127" s="68"/>
      <c r="R127" s="68"/>
      <c r="S127" s="68"/>
    </row>
    <row r="128" spans="1:19" ht="15.75" customHeight="1">
      <c r="A128" s="68"/>
      <c r="B128" s="68"/>
      <c r="D128" s="68"/>
      <c r="E128" s="69"/>
      <c r="K128" s="68"/>
      <c r="M128" s="69"/>
      <c r="O128" s="68"/>
      <c r="P128" s="68"/>
      <c r="Q128" s="68"/>
      <c r="R128" s="68"/>
      <c r="S128" s="68"/>
    </row>
    <row r="129" spans="1:19" ht="15.75" customHeight="1">
      <c r="A129" s="68"/>
      <c r="B129" s="68"/>
      <c r="D129" s="68"/>
      <c r="E129" s="69"/>
      <c r="K129" s="68"/>
      <c r="M129" s="69"/>
      <c r="O129" s="68"/>
      <c r="P129" s="68"/>
      <c r="Q129" s="68"/>
      <c r="R129" s="68"/>
      <c r="S129" s="68"/>
    </row>
    <row r="130" spans="1:19" ht="15.75" customHeight="1">
      <c r="A130" s="68"/>
      <c r="B130" s="68"/>
      <c r="D130" s="68"/>
      <c r="E130" s="69"/>
      <c r="K130" s="68"/>
      <c r="M130" s="69"/>
      <c r="O130" s="68"/>
      <c r="P130" s="68"/>
      <c r="Q130" s="68"/>
      <c r="R130" s="68"/>
      <c r="S130" s="68"/>
    </row>
    <row r="131" spans="1:19" ht="15.75" customHeight="1">
      <c r="A131" s="68"/>
      <c r="B131" s="68"/>
      <c r="D131" s="68"/>
      <c r="E131" s="69"/>
      <c r="K131" s="68"/>
      <c r="M131" s="69"/>
      <c r="O131" s="68"/>
      <c r="P131" s="68"/>
      <c r="Q131" s="68"/>
      <c r="R131" s="68"/>
      <c r="S131" s="68"/>
    </row>
    <row r="132" spans="1:19" ht="15.75" customHeight="1">
      <c r="A132" s="68"/>
      <c r="B132" s="68"/>
      <c r="D132" s="68"/>
      <c r="E132" s="69"/>
      <c r="K132" s="68"/>
      <c r="M132" s="69"/>
      <c r="O132" s="68"/>
      <c r="P132" s="68"/>
      <c r="Q132" s="68"/>
      <c r="R132" s="68"/>
      <c r="S132" s="68"/>
    </row>
    <row r="133" spans="1:19" ht="15.75" customHeight="1">
      <c r="A133" s="68"/>
      <c r="B133" s="68"/>
      <c r="D133" s="68"/>
      <c r="E133" s="69"/>
      <c r="K133" s="68"/>
      <c r="M133" s="69"/>
      <c r="O133" s="68"/>
      <c r="P133" s="68"/>
      <c r="Q133" s="68"/>
      <c r="R133" s="68"/>
      <c r="S133" s="68"/>
    </row>
    <row r="134" spans="1:19" ht="15.75" customHeight="1">
      <c r="A134" s="68"/>
      <c r="B134" s="68"/>
      <c r="D134" s="68"/>
      <c r="E134" s="69"/>
      <c r="K134" s="68"/>
      <c r="M134" s="69"/>
      <c r="O134" s="68"/>
      <c r="P134" s="68"/>
      <c r="Q134" s="68"/>
      <c r="R134" s="68"/>
      <c r="S134" s="68"/>
    </row>
    <row r="135" spans="1:19" ht="15.75" customHeight="1">
      <c r="A135" s="68"/>
      <c r="B135" s="68"/>
      <c r="D135" s="68"/>
      <c r="E135" s="69"/>
      <c r="K135" s="68"/>
      <c r="M135" s="69"/>
      <c r="O135" s="68"/>
      <c r="P135" s="68"/>
      <c r="Q135" s="68"/>
      <c r="R135" s="68"/>
      <c r="S135" s="68"/>
    </row>
    <row r="136" spans="1:19" ht="15.75" customHeight="1">
      <c r="A136" s="68"/>
      <c r="B136" s="68"/>
      <c r="D136" s="68"/>
      <c r="E136" s="69"/>
      <c r="K136" s="68"/>
      <c r="M136" s="69"/>
      <c r="O136" s="68"/>
      <c r="P136" s="68"/>
      <c r="Q136" s="68"/>
      <c r="R136" s="68"/>
      <c r="S136" s="68"/>
    </row>
    <row r="137" spans="1:19" ht="15.75" customHeight="1">
      <c r="A137" s="68"/>
      <c r="B137" s="68"/>
      <c r="D137" s="68"/>
      <c r="E137" s="69"/>
      <c r="K137" s="68"/>
      <c r="M137" s="69"/>
      <c r="O137" s="68"/>
      <c r="P137" s="68"/>
      <c r="Q137" s="68"/>
      <c r="R137" s="68"/>
      <c r="S137" s="68"/>
    </row>
    <row r="138" spans="1:19" ht="15.75" customHeight="1">
      <c r="A138" s="68"/>
      <c r="B138" s="68"/>
      <c r="D138" s="68"/>
      <c r="E138" s="69"/>
      <c r="K138" s="68"/>
      <c r="M138" s="69"/>
      <c r="O138" s="68"/>
      <c r="P138" s="68"/>
      <c r="Q138" s="68"/>
      <c r="R138" s="68"/>
      <c r="S138" s="68"/>
    </row>
    <row r="139" spans="1:19" ht="15.75" customHeight="1">
      <c r="A139" s="68"/>
      <c r="B139" s="68"/>
      <c r="D139" s="68"/>
      <c r="E139" s="69"/>
      <c r="K139" s="68"/>
      <c r="M139" s="69"/>
      <c r="O139" s="68"/>
      <c r="P139" s="68"/>
      <c r="Q139" s="68"/>
      <c r="R139" s="68"/>
      <c r="S139" s="68"/>
    </row>
    <row r="140" spans="1:19" ht="15.75" customHeight="1">
      <c r="A140" s="68"/>
      <c r="B140" s="68"/>
      <c r="D140" s="68"/>
      <c r="E140" s="69"/>
      <c r="K140" s="68"/>
      <c r="M140" s="69"/>
      <c r="O140" s="68"/>
      <c r="P140" s="68"/>
      <c r="Q140" s="68"/>
      <c r="R140" s="68"/>
      <c r="S140" s="68"/>
    </row>
    <row r="141" spans="1:19" ht="15.75" customHeight="1">
      <c r="A141" s="68"/>
      <c r="B141" s="68"/>
      <c r="D141" s="68"/>
      <c r="E141" s="69"/>
      <c r="K141" s="68"/>
      <c r="M141" s="69"/>
      <c r="O141" s="68"/>
      <c r="P141" s="68"/>
      <c r="Q141" s="68"/>
      <c r="R141" s="68"/>
      <c r="S141" s="68"/>
    </row>
    <row r="142" spans="1:19" ht="15.75" customHeight="1">
      <c r="A142" s="68"/>
      <c r="B142" s="68"/>
      <c r="D142" s="68"/>
      <c r="E142" s="69"/>
      <c r="K142" s="68"/>
      <c r="M142" s="69"/>
      <c r="O142" s="68"/>
      <c r="P142" s="68"/>
      <c r="Q142" s="68"/>
      <c r="R142" s="68"/>
      <c r="S142" s="68"/>
    </row>
    <row r="143" spans="1:19" ht="15.75" customHeight="1">
      <c r="A143" s="68"/>
      <c r="B143" s="68"/>
      <c r="D143" s="68"/>
      <c r="E143" s="69"/>
      <c r="K143" s="68"/>
      <c r="M143" s="69"/>
      <c r="O143" s="68"/>
      <c r="P143" s="68"/>
      <c r="Q143" s="68"/>
      <c r="R143" s="68"/>
      <c r="S143" s="68"/>
    </row>
    <row r="144" spans="1:19" ht="15.75" customHeight="1">
      <c r="A144" s="68"/>
      <c r="B144" s="68"/>
      <c r="D144" s="68"/>
      <c r="E144" s="69"/>
      <c r="K144" s="68"/>
      <c r="M144" s="69"/>
      <c r="O144" s="68"/>
      <c r="P144" s="68"/>
      <c r="Q144" s="68"/>
      <c r="R144" s="68"/>
      <c r="S144" s="68"/>
    </row>
    <row r="145" spans="1:19" ht="15.75" customHeight="1">
      <c r="A145" s="68"/>
      <c r="B145" s="68"/>
      <c r="D145" s="68"/>
      <c r="E145" s="69"/>
      <c r="K145" s="68"/>
      <c r="M145" s="69"/>
      <c r="O145" s="68"/>
      <c r="P145" s="68"/>
      <c r="Q145" s="68"/>
      <c r="R145" s="68"/>
      <c r="S145" s="68"/>
    </row>
    <row r="146" spans="1:19" ht="15.75" customHeight="1">
      <c r="A146" s="68"/>
      <c r="B146" s="68"/>
      <c r="D146" s="68"/>
      <c r="E146" s="69"/>
      <c r="K146" s="68"/>
      <c r="M146" s="69"/>
      <c r="O146" s="68"/>
      <c r="P146" s="68"/>
      <c r="Q146" s="68"/>
      <c r="R146" s="68"/>
      <c r="S146" s="68"/>
    </row>
    <row r="147" spans="1:19" ht="15.75" customHeight="1">
      <c r="A147" s="68"/>
      <c r="B147" s="68"/>
      <c r="D147" s="68"/>
      <c r="E147" s="69"/>
      <c r="K147" s="68"/>
      <c r="M147" s="69"/>
      <c r="O147" s="68"/>
      <c r="P147" s="68"/>
      <c r="Q147" s="68"/>
      <c r="R147" s="68"/>
      <c r="S147" s="68"/>
    </row>
    <row r="148" spans="1:19" ht="15.75" customHeight="1">
      <c r="A148" s="68"/>
      <c r="B148" s="68"/>
      <c r="D148" s="68"/>
      <c r="E148" s="69"/>
      <c r="K148" s="68"/>
      <c r="M148" s="69"/>
      <c r="O148" s="68"/>
      <c r="P148" s="68"/>
      <c r="Q148" s="68"/>
      <c r="R148" s="68"/>
      <c r="S148" s="68"/>
    </row>
    <row r="149" spans="1:19" ht="15.75" customHeight="1">
      <c r="A149" s="68"/>
      <c r="B149" s="68"/>
      <c r="D149" s="68"/>
      <c r="E149" s="69"/>
      <c r="K149" s="68"/>
      <c r="M149" s="69"/>
      <c r="O149" s="68"/>
      <c r="P149" s="68"/>
      <c r="Q149" s="68"/>
      <c r="R149" s="68"/>
      <c r="S149" s="68"/>
    </row>
    <row r="150" spans="1:19" ht="15.75" customHeight="1">
      <c r="A150" s="68"/>
      <c r="B150" s="68"/>
      <c r="D150" s="68"/>
      <c r="E150" s="69"/>
      <c r="K150" s="68"/>
      <c r="M150" s="69"/>
      <c r="O150" s="68"/>
      <c r="P150" s="68"/>
      <c r="Q150" s="68"/>
      <c r="R150" s="68"/>
      <c r="S150" s="68"/>
    </row>
    <row r="151" spans="1:19" ht="15.75" customHeight="1">
      <c r="A151" s="68"/>
      <c r="B151" s="68"/>
      <c r="D151" s="68"/>
      <c r="E151" s="69"/>
      <c r="K151" s="68"/>
      <c r="M151" s="69"/>
      <c r="O151" s="68"/>
      <c r="P151" s="68"/>
      <c r="Q151" s="68"/>
      <c r="R151" s="68"/>
      <c r="S151" s="68"/>
    </row>
    <row r="152" spans="1:19" ht="15.75" customHeight="1">
      <c r="A152" s="68"/>
      <c r="B152" s="68"/>
      <c r="D152" s="68"/>
      <c r="E152" s="69"/>
      <c r="K152" s="68"/>
      <c r="M152" s="69"/>
      <c r="O152" s="68"/>
      <c r="P152" s="68"/>
      <c r="Q152" s="68"/>
      <c r="R152" s="68"/>
      <c r="S152" s="68"/>
    </row>
    <row r="153" spans="1:19" ht="15.75" customHeight="1">
      <c r="A153" s="68"/>
      <c r="B153" s="68"/>
      <c r="D153" s="68"/>
      <c r="E153" s="69"/>
      <c r="K153" s="68"/>
      <c r="M153" s="69"/>
      <c r="O153" s="68"/>
      <c r="P153" s="68"/>
      <c r="Q153" s="68"/>
      <c r="R153" s="68"/>
      <c r="S153" s="68"/>
    </row>
    <row r="154" spans="1:19" ht="15.75" customHeight="1">
      <c r="A154" s="68"/>
      <c r="B154" s="68"/>
      <c r="D154" s="68"/>
      <c r="E154" s="69"/>
      <c r="K154" s="68"/>
      <c r="M154" s="69"/>
      <c r="O154" s="68"/>
      <c r="P154" s="68"/>
      <c r="Q154" s="68"/>
      <c r="R154" s="68"/>
      <c r="S154" s="68"/>
    </row>
    <row r="155" spans="1:19" ht="15.75" customHeight="1">
      <c r="A155" s="68"/>
      <c r="B155" s="68"/>
      <c r="D155" s="68"/>
      <c r="E155" s="69"/>
      <c r="K155" s="68"/>
      <c r="M155" s="69"/>
      <c r="O155" s="68"/>
      <c r="P155" s="68"/>
      <c r="Q155" s="68"/>
      <c r="R155" s="68"/>
      <c r="S155" s="68"/>
    </row>
    <row r="156" spans="1:19" ht="15.75" customHeight="1">
      <c r="A156" s="68"/>
      <c r="B156" s="68"/>
      <c r="D156" s="68"/>
      <c r="E156" s="69"/>
      <c r="K156" s="68"/>
      <c r="M156" s="69"/>
      <c r="O156" s="68"/>
      <c r="P156" s="68"/>
      <c r="Q156" s="68"/>
      <c r="R156" s="68"/>
      <c r="S156" s="68"/>
    </row>
    <row r="157" spans="1:19" ht="15.75" customHeight="1">
      <c r="A157" s="68"/>
      <c r="B157" s="68"/>
      <c r="D157" s="68"/>
      <c r="E157" s="69"/>
      <c r="K157" s="68"/>
      <c r="M157" s="69"/>
      <c r="O157" s="68"/>
      <c r="P157" s="68"/>
      <c r="Q157" s="68"/>
      <c r="R157" s="68"/>
      <c r="S157" s="68"/>
    </row>
    <row r="158" spans="1:19" ht="15.75" customHeight="1">
      <c r="A158" s="68"/>
      <c r="B158" s="68"/>
      <c r="D158" s="68"/>
      <c r="E158" s="69"/>
      <c r="K158" s="68"/>
      <c r="M158" s="69"/>
      <c r="O158" s="68"/>
      <c r="P158" s="68"/>
      <c r="Q158" s="68"/>
      <c r="R158" s="68"/>
      <c r="S158" s="68"/>
    </row>
    <row r="159" spans="1:19" ht="15.75" customHeight="1">
      <c r="A159" s="68"/>
      <c r="B159" s="68"/>
      <c r="D159" s="68"/>
      <c r="E159" s="69"/>
      <c r="K159" s="68"/>
      <c r="M159" s="69"/>
      <c r="O159" s="68"/>
      <c r="P159" s="68"/>
      <c r="Q159" s="68"/>
      <c r="R159" s="68"/>
      <c r="S159" s="68"/>
    </row>
    <row r="160" spans="1:19" ht="15.75" customHeight="1">
      <c r="A160" s="68"/>
      <c r="B160" s="68"/>
      <c r="D160" s="68"/>
      <c r="E160" s="69"/>
      <c r="K160" s="68"/>
      <c r="M160" s="69"/>
      <c r="O160" s="68"/>
      <c r="P160" s="68"/>
      <c r="Q160" s="68"/>
      <c r="R160" s="68"/>
      <c r="S160" s="68"/>
    </row>
    <row r="161" spans="1:19" ht="15.75" customHeight="1">
      <c r="A161" s="68"/>
      <c r="B161" s="68"/>
      <c r="D161" s="68"/>
      <c r="E161" s="69"/>
      <c r="K161" s="68"/>
      <c r="M161" s="69"/>
      <c r="O161" s="68"/>
      <c r="P161" s="68"/>
      <c r="Q161" s="68"/>
      <c r="R161" s="68"/>
      <c r="S161" s="68"/>
    </row>
    <row r="162" spans="1:19" ht="15.75" customHeight="1">
      <c r="A162" s="68"/>
      <c r="B162" s="68"/>
      <c r="D162" s="68"/>
      <c r="E162" s="69"/>
      <c r="K162" s="68"/>
      <c r="M162" s="69"/>
      <c r="O162" s="68"/>
      <c r="P162" s="68"/>
      <c r="Q162" s="68"/>
      <c r="R162" s="68"/>
      <c r="S162" s="68"/>
    </row>
    <row r="163" spans="1:19" ht="15.75" customHeight="1">
      <c r="A163" s="68"/>
      <c r="B163" s="68"/>
      <c r="D163" s="68"/>
      <c r="E163" s="69"/>
      <c r="K163" s="68"/>
      <c r="M163" s="69"/>
      <c r="O163" s="68"/>
      <c r="P163" s="68"/>
      <c r="Q163" s="68"/>
      <c r="R163" s="68"/>
      <c r="S163" s="68"/>
    </row>
    <row r="164" spans="1:19" ht="15.75" customHeight="1">
      <c r="A164" s="68"/>
      <c r="B164" s="68"/>
      <c r="D164" s="68"/>
      <c r="E164" s="69"/>
      <c r="K164" s="68"/>
      <c r="M164" s="69"/>
      <c r="O164" s="68"/>
      <c r="P164" s="68"/>
      <c r="Q164" s="68"/>
      <c r="R164" s="68"/>
      <c r="S164" s="68"/>
    </row>
    <row r="165" spans="1:19" ht="15.75" customHeight="1">
      <c r="A165" s="68"/>
      <c r="B165" s="68"/>
      <c r="D165" s="68"/>
      <c r="E165" s="69"/>
      <c r="K165" s="68"/>
      <c r="M165" s="69"/>
      <c r="O165" s="68"/>
      <c r="P165" s="68"/>
      <c r="Q165" s="68"/>
      <c r="R165" s="68"/>
      <c r="S165" s="68"/>
    </row>
    <row r="166" spans="1:19" ht="15.75" customHeight="1">
      <c r="A166" s="68"/>
      <c r="B166" s="68"/>
      <c r="D166" s="68"/>
      <c r="E166" s="69"/>
      <c r="K166" s="68"/>
      <c r="M166" s="69"/>
      <c r="O166" s="68"/>
      <c r="P166" s="68"/>
      <c r="Q166" s="68"/>
      <c r="R166" s="68"/>
      <c r="S166" s="68"/>
    </row>
    <row r="167" spans="1:19" ht="15.75" customHeight="1">
      <c r="A167" s="68"/>
      <c r="B167" s="68"/>
      <c r="D167" s="68"/>
      <c r="E167" s="69"/>
      <c r="K167" s="68"/>
      <c r="M167" s="69"/>
      <c r="O167" s="68"/>
      <c r="P167" s="68"/>
      <c r="Q167" s="68"/>
      <c r="R167" s="68"/>
      <c r="S167" s="68"/>
    </row>
    <row r="168" spans="1:19" ht="15.75" customHeight="1">
      <c r="A168" s="68"/>
      <c r="B168" s="68"/>
      <c r="D168" s="68"/>
      <c r="E168" s="69"/>
      <c r="K168" s="68"/>
      <c r="M168" s="69"/>
      <c r="O168" s="68"/>
      <c r="P168" s="68"/>
      <c r="Q168" s="68"/>
      <c r="R168" s="68"/>
      <c r="S168" s="68"/>
    </row>
    <row r="169" spans="1:19" ht="15.75" customHeight="1">
      <c r="A169" s="68"/>
      <c r="B169" s="68"/>
      <c r="D169" s="68"/>
      <c r="E169" s="69"/>
      <c r="K169" s="68"/>
      <c r="M169" s="69"/>
      <c r="O169" s="68"/>
      <c r="P169" s="68"/>
      <c r="Q169" s="68"/>
      <c r="R169" s="68"/>
      <c r="S169" s="68"/>
    </row>
    <row r="170" spans="1:19" ht="15.75" customHeight="1">
      <c r="A170" s="68"/>
      <c r="B170" s="68"/>
      <c r="D170" s="68"/>
      <c r="E170" s="69"/>
      <c r="K170" s="68"/>
      <c r="M170" s="69"/>
      <c r="O170" s="68"/>
      <c r="P170" s="68"/>
      <c r="Q170" s="68"/>
      <c r="R170" s="68"/>
      <c r="S170" s="68"/>
    </row>
    <row r="171" spans="1:19" ht="15.75" customHeight="1">
      <c r="A171" s="68"/>
      <c r="B171" s="68"/>
      <c r="D171" s="68"/>
      <c r="E171" s="69"/>
      <c r="K171" s="68"/>
      <c r="M171" s="69"/>
      <c r="O171" s="68"/>
      <c r="P171" s="68"/>
      <c r="Q171" s="68"/>
      <c r="R171" s="68"/>
      <c r="S171" s="68"/>
    </row>
    <row r="172" spans="1:19" ht="15.75" customHeight="1">
      <c r="A172" s="68"/>
      <c r="B172" s="68"/>
      <c r="D172" s="68"/>
      <c r="E172" s="69"/>
      <c r="K172" s="68"/>
      <c r="M172" s="69"/>
      <c r="O172" s="68"/>
      <c r="P172" s="68"/>
      <c r="Q172" s="68"/>
      <c r="R172" s="68"/>
      <c r="S172" s="68"/>
    </row>
    <row r="173" spans="1:19" ht="15.75" customHeight="1">
      <c r="A173" s="68"/>
      <c r="B173" s="68"/>
      <c r="D173" s="68"/>
      <c r="E173" s="69"/>
      <c r="K173" s="68"/>
      <c r="M173" s="69"/>
      <c r="O173" s="68"/>
      <c r="P173" s="68"/>
      <c r="Q173" s="68"/>
      <c r="R173" s="68"/>
      <c r="S173" s="68"/>
    </row>
    <row r="174" spans="1:19" ht="15.75" customHeight="1">
      <c r="A174" s="68"/>
      <c r="B174" s="68"/>
      <c r="D174" s="68"/>
      <c r="E174" s="69"/>
      <c r="K174" s="68"/>
      <c r="M174" s="69"/>
      <c r="O174" s="68"/>
      <c r="P174" s="68"/>
      <c r="Q174" s="68"/>
      <c r="R174" s="68"/>
      <c r="S174" s="68"/>
    </row>
    <row r="175" spans="1:19" ht="15.75" customHeight="1">
      <c r="A175" s="68"/>
      <c r="B175" s="68"/>
      <c r="D175" s="68"/>
      <c r="E175" s="69"/>
      <c r="K175" s="68"/>
      <c r="M175" s="69"/>
      <c r="O175" s="68"/>
      <c r="P175" s="68"/>
      <c r="Q175" s="68"/>
      <c r="R175" s="68"/>
      <c r="S175" s="68"/>
    </row>
    <row r="176" spans="1:19" ht="15.75" customHeight="1">
      <c r="A176" s="68"/>
      <c r="B176" s="68"/>
      <c r="D176" s="68"/>
      <c r="E176" s="69"/>
      <c r="K176" s="68"/>
      <c r="M176" s="69"/>
      <c r="O176" s="68"/>
      <c r="P176" s="68"/>
      <c r="Q176" s="68"/>
      <c r="R176" s="68"/>
      <c r="S176" s="68"/>
    </row>
    <row r="177" spans="1:19" ht="15.75" customHeight="1">
      <c r="A177" s="68"/>
      <c r="B177" s="68"/>
      <c r="D177" s="68"/>
      <c r="E177" s="69"/>
      <c r="K177" s="68"/>
      <c r="M177" s="69"/>
      <c r="O177" s="68"/>
      <c r="P177" s="68"/>
      <c r="Q177" s="68"/>
      <c r="R177" s="68"/>
      <c r="S177" s="68"/>
    </row>
    <row r="178" spans="1:19" ht="15.75" customHeight="1">
      <c r="A178" s="68"/>
      <c r="B178" s="68"/>
      <c r="D178" s="68"/>
      <c r="E178" s="69"/>
      <c r="K178" s="68"/>
      <c r="M178" s="69"/>
      <c r="O178" s="68"/>
      <c r="P178" s="68"/>
      <c r="Q178" s="68"/>
      <c r="R178" s="68"/>
      <c r="S178" s="68"/>
    </row>
    <row r="179" spans="1:19" ht="15.75" customHeight="1">
      <c r="A179" s="68"/>
      <c r="B179" s="68"/>
      <c r="D179" s="68"/>
      <c r="E179" s="69"/>
      <c r="K179" s="68"/>
      <c r="M179" s="69"/>
      <c r="O179" s="68"/>
      <c r="P179" s="68"/>
      <c r="Q179" s="68"/>
      <c r="R179" s="68"/>
      <c r="S179" s="68"/>
    </row>
    <row r="180" spans="1:19" ht="15.75" customHeight="1">
      <c r="A180" s="68"/>
      <c r="B180" s="68"/>
      <c r="D180" s="68"/>
      <c r="E180" s="69"/>
      <c r="K180" s="68"/>
      <c r="M180" s="69"/>
      <c r="O180" s="68"/>
      <c r="P180" s="68"/>
      <c r="Q180" s="68"/>
      <c r="R180" s="68"/>
      <c r="S180" s="68"/>
    </row>
    <row r="181" spans="1:19" ht="15.75" customHeight="1">
      <c r="A181" s="68"/>
      <c r="B181" s="68"/>
      <c r="D181" s="68"/>
      <c r="E181" s="69"/>
      <c r="K181" s="68"/>
      <c r="M181" s="69"/>
      <c r="O181" s="68"/>
      <c r="P181" s="68"/>
      <c r="Q181" s="68"/>
      <c r="R181" s="68"/>
      <c r="S181" s="68"/>
    </row>
    <row r="182" spans="1:19" ht="15.75" customHeight="1">
      <c r="A182" s="68"/>
      <c r="B182" s="68"/>
      <c r="D182" s="68"/>
      <c r="E182" s="69"/>
      <c r="K182" s="68"/>
      <c r="M182" s="69"/>
      <c r="O182" s="68"/>
      <c r="P182" s="68"/>
      <c r="Q182" s="68"/>
      <c r="R182" s="68"/>
      <c r="S182" s="68"/>
    </row>
    <row r="183" spans="1:19" ht="15.75" customHeight="1">
      <c r="A183" s="68"/>
      <c r="B183" s="68"/>
      <c r="D183" s="68"/>
      <c r="E183" s="69"/>
      <c r="K183" s="68"/>
      <c r="M183" s="69"/>
      <c r="O183" s="68"/>
      <c r="P183" s="68"/>
      <c r="Q183" s="68"/>
      <c r="R183" s="68"/>
      <c r="S183" s="68"/>
    </row>
    <row r="184" spans="1:19" ht="15.75" customHeight="1">
      <c r="A184" s="68"/>
      <c r="B184" s="68"/>
      <c r="D184" s="68"/>
      <c r="E184" s="69"/>
      <c r="K184" s="68"/>
      <c r="M184" s="69"/>
      <c r="O184" s="68"/>
      <c r="P184" s="68"/>
      <c r="Q184" s="68"/>
      <c r="R184" s="68"/>
      <c r="S184" s="68"/>
    </row>
    <row r="185" spans="1:19" ht="15.75" customHeight="1">
      <c r="A185" s="68"/>
      <c r="B185" s="68"/>
      <c r="D185" s="68"/>
      <c r="E185" s="69"/>
      <c r="K185" s="68"/>
      <c r="M185" s="69"/>
      <c r="O185" s="68"/>
      <c r="P185" s="68"/>
      <c r="Q185" s="68"/>
      <c r="R185" s="68"/>
      <c r="S185" s="68"/>
    </row>
    <row r="186" spans="1:19" ht="15.75" customHeight="1">
      <c r="A186" s="68"/>
      <c r="B186" s="68"/>
      <c r="D186" s="68"/>
      <c r="E186" s="69"/>
      <c r="K186" s="68"/>
      <c r="M186" s="69"/>
      <c r="O186" s="68"/>
      <c r="P186" s="68"/>
      <c r="Q186" s="68"/>
      <c r="R186" s="68"/>
      <c r="S186" s="68"/>
    </row>
    <row r="187" spans="1:19" ht="15.75" customHeight="1">
      <c r="A187" s="68"/>
      <c r="B187" s="68"/>
      <c r="D187" s="68"/>
      <c r="E187" s="69"/>
      <c r="K187" s="68"/>
      <c r="M187" s="69"/>
      <c r="O187" s="68"/>
      <c r="P187" s="68"/>
      <c r="Q187" s="68"/>
      <c r="R187" s="68"/>
      <c r="S187" s="68"/>
    </row>
    <row r="188" spans="1:19" ht="15.75" customHeight="1">
      <c r="A188" s="68"/>
      <c r="B188" s="68"/>
      <c r="D188" s="68"/>
      <c r="E188" s="69"/>
      <c r="K188" s="68"/>
      <c r="M188" s="69"/>
      <c r="O188" s="68"/>
      <c r="P188" s="68"/>
      <c r="Q188" s="68"/>
      <c r="R188" s="68"/>
      <c r="S188" s="68"/>
    </row>
    <row r="189" spans="1:19" ht="15.75" customHeight="1">
      <c r="A189" s="68"/>
      <c r="B189" s="68"/>
      <c r="D189" s="68"/>
      <c r="E189" s="69"/>
      <c r="K189" s="68"/>
      <c r="M189" s="69"/>
      <c r="O189" s="68"/>
      <c r="P189" s="68"/>
      <c r="Q189" s="68"/>
      <c r="R189" s="68"/>
      <c r="S189" s="68"/>
    </row>
    <row r="190" spans="1:19" ht="15.75" customHeight="1">
      <c r="A190" s="68"/>
      <c r="B190" s="68"/>
      <c r="D190" s="68"/>
      <c r="E190" s="69"/>
      <c r="K190" s="68"/>
      <c r="M190" s="69"/>
      <c r="O190" s="68"/>
      <c r="P190" s="68"/>
      <c r="Q190" s="68"/>
      <c r="R190" s="68"/>
      <c r="S190" s="68"/>
    </row>
    <row r="191" spans="1:19" ht="15.75" customHeight="1">
      <c r="A191" s="68"/>
      <c r="B191" s="68"/>
      <c r="D191" s="68"/>
      <c r="E191" s="69"/>
      <c r="K191" s="68"/>
      <c r="M191" s="69"/>
      <c r="O191" s="68"/>
      <c r="P191" s="68"/>
      <c r="Q191" s="68"/>
      <c r="R191" s="68"/>
      <c r="S191" s="68"/>
    </row>
    <row r="192" spans="1:19" ht="15.75" customHeight="1">
      <c r="A192" s="68"/>
      <c r="B192" s="68"/>
      <c r="D192" s="68"/>
      <c r="E192" s="69"/>
      <c r="K192" s="68"/>
      <c r="M192" s="69"/>
      <c r="O192" s="68"/>
      <c r="P192" s="68"/>
      <c r="Q192" s="68"/>
      <c r="R192" s="68"/>
      <c r="S192" s="68"/>
    </row>
    <row r="193" spans="1:19" ht="15.75" customHeight="1">
      <c r="A193" s="68"/>
      <c r="B193" s="68"/>
      <c r="D193" s="68"/>
      <c r="E193" s="69"/>
      <c r="K193" s="68"/>
      <c r="M193" s="69"/>
      <c r="O193" s="68"/>
      <c r="P193" s="68"/>
      <c r="Q193" s="68"/>
      <c r="R193" s="68"/>
      <c r="S193" s="68"/>
    </row>
    <row r="194" spans="1:19" ht="15.75" customHeight="1">
      <c r="A194" s="68"/>
      <c r="B194" s="68"/>
      <c r="D194" s="68"/>
      <c r="E194" s="69"/>
      <c r="K194" s="68"/>
      <c r="M194" s="69"/>
      <c r="O194" s="68"/>
      <c r="P194" s="68"/>
      <c r="Q194" s="68"/>
      <c r="R194" s="68"/>
      <c r="S194" s="68"/>
    </row>
    <row r="195" spans="1:19" ht="15.75" customHeight="1">
      <c r="A195" s="68"/>
      <c r="B195" s="68"/>
      <c r="D195" s="68"/>
      <c r="E195" s="69"/>
      <c r="K195" s="68"/>
      <c r="M195" s="69"/>
      <c r="O195" s="68"/>
      <c r="P195" s="68"/>
      <c r="Q195" s="68"/>
      <c r="R195" s="68"/>
      <c r="S195" s="68"/>
    </row>
    <row r="196" spans="1:19" ht="15.75" customHeight="1">
      <c r="A196" s="68"/>
      <c r="B196" s="68"/>
      <c r="D196" s="68"/>
      <c r="E196" s="69"/>
      <c r="K196" s="68"/>
      <c r="M196" s="69"/>
      <c r="O196" s="68"/>
      <c r="P196" s="68"/>
      <c r="Q196" s="68"/>
      <c r="R196" s="68"/>
      <c r="S196" s="68"/>
    </row>
    <row r="197" spans="1:19" ht="15.75" customHeight="1">
      <c r="A197" s="68"/>
      <c r="B197" s="68"/>
      <c r="D197" s="68"/>
      <c r="E197" s="69"/>
      <c r="K197" s="68"/>
      <c r="M197" s="69"/>
      <c r="O197" s="68"/>
      <c r="P197" s="68"/>
      <c r="Q197" s="68"/>
      <c r="R197" s="68"/>
      <c r="S197" s="68"/>
    </row>
    <row r="198" spans="1:19" ht="15.75" customHeight="1">
      <c r="A198" s="68"/>
      <c r="B198" s="68"/>
      <c r="D198" s="68"/>
      <c r="E198" s="69"/>
      <c r="K198" s="68"/>
      <c r="M198" s="69"/>
      <c r="O198" s="68"/>
      <c r="P198" s="68"/>
      <c r="Q198" s="68"/>
      <c r="R198" s="68"/>
      <c r="S198" s="68"/>
    </row>
    <row r="199" spans="1:19" ht="15.75" customHeight="1">
      <c r="A199" s="68"/>
      <c r="B199" s="68"/>
      <c r="D199" s="68"/>
      <c r="E199" s="69"/>
      <c r="K199" s="68"/>
      <c r="M199" s="69"/>
      <c r="O199" s="68"/>
      <c r="P199" s="68"/>
      <c r="Q199" s="68"/>
      <c r="R199" s="68"/>
      <c r="S199" s="68"/>
    </row>
    <row r="200" spans="1:19" ht="15.75" customHeight="1">
      <c r="A200" s="68"/>
      <c r="B200" s="68"/>
      <c r="D200" s="68"/>
      <c r="E200" s="69"/>
      <c r="K200" s="68"/>
      <c r="M200" s="69"/>
      <c r="O200" s="68"/>
      <c r="P200" s="68"/>
      <c r="Q200" s="68"/>
      <c r="R200" s="68"/>
      <c r="S200" s="68"/>
    </row>
    <row r="201" spans="1:19" ht="15.75" customHeight="1">
      <c r="A201" s="68"/>
      <c r="B201" s="68"/>
      <c r="D201" s="68"/>
      <c r="E201" s="69"/>
      <c r="K201" s="68"/>
      <c r="M201" s="69"/>
      <c r="O201" s="68"/>
      <c r="P201" s="68"/>
      <c r="Q201" s="68"/>
      <c r="R201" s="68"/>
      <c r="S201" s="68"/>
    </row>
    <row r="202" spans="1:19" ht="15.75" customHeight="1">
      <c r="A202" s="68"/>
      <c r="B202" s="68"/>
      <c r="D202" s="68"/>
      <c r="E202" s="69"/>
      <c r="K202" s="68"/>
      <c r="M202" s="69"/>
      <c r="O202" s="68"/>
      <c r="P202" s="68"/>
      <c r="Q202" s="68"/>
      <c r="R202" s="68"/>
      <c r="S202" s="68"/>
    </row>
    <row r="203" spans="1:19" ht="15.75" customHeight="1">
      <c r="A203" s="68"/>
      <c r="B203" s="68"/>
      <c r="D203" s="68"/>
      <c r="E203" s="69"/>
      <c r="K203" s="68"/>
      <c r="M203" s="69"/>
      <c r="O203" s="68"/>
      <c r="P203" s="68"/>
      <c r="Q203" s="68"/>
      <c r="R203" s="68"/>
      <c r="S203" s="68"/>
    </row>
    <row r="204" spans="1:19" ht="15.75" customHeight="1">
      <c r="A204" s="68"/>
      <c r="B204" s="68"/>
      <c r="D204" s="68"/>
      <c r="E204" s="69"/>
      <c r="K204" s="68"/>
      <c r="M204" s="69"/>
      <c r="O204" s="68"/>
      <c r="P204" s="68"/>
      <c r="Q204" s="68"/>
      <c r="R204" s="68"/>
      <c r="S204" s="68"/>
    </row>
    <row r="205" spans="1:19" ht="15.75" customHeight="1">
      <c r="A205" s="68"/>
      <c r="B205" s="68"/>
      <c r="D205" s="68"/>
      <c r="E205" s="69"/>
      <c r="K205" s="68"/>
      <c r="M205" s="69"/>
      <c r="O205" s="68"/>
      <c r="P205" s="68"/>
      <c r="Q205" s="68"/>
      <c r="R205" s="68"/>
      <c r="S205" s="68"/>
    </row>
    <row r="206" spans="1:19" ht="15.75" customHeight="1">
      <c r="A206" s="68"/>
      <c r="B206" s="68"/>
      <c r="D206" s="68"/>
      <c r="E206" s="69"/>
      <c r="K206" s="68"/>
      <c r="M206" s="69"/>
      <c r="O206" s="68"/>
      <c r="P206" s="68"/>
      <c r="Q206" s="68"/>
      <c r="R206" s="68"/>
      <c r="S206" s="68"/>
    </row>
    <row r="207" spans="1:19" ht="15.75" customHeight="1">
      <c r="A207" s="68"/>
      <c r="B207" s="68"/>
      <c r="D207" s="68"/>
      <c r="E207" s="69"/>
      <c r="K207" s="68"/>
      <c r="M207" s="69"/>
      <c r="O207" s="68"/>
      <c r="P207" s="68"/>
      <c r="Q207" s="68"/>
      <c r="R207" s="68"/>
      <c r="S207" s="68"/>
    </row>
    <row r="208" spans="1:19" ht="15.75" customHeight="1">
      <c r="A208" s="68"/>
      <c r="B208" s="68"/>
      <c r="D208" s="68"/>
      <c r="E208" s="69"/>
      <c r="K208" s="68"/>
      <c r="M208" s="69"/>
      <c r="O208" s="68"/>
      <c r="P208" s="68"/>
      <c r="Q208" s="68"/>
      <c r="R208" s="68"/>
      <c r="S208" s="68"/>
    </row>
    <row r="209" spans="1:19" ht="15.75" customHeight="1">
      <c r="A209" s="68"/>
      <c r="B209" s="68"/>
      <c r="D209" s="68"/>
      <c r="E209" s="69"/>
      <c r="K209" s="68"/>
      <c r="M209" s="69"/>
      <c r="O209" s="68"/>
      <c r="P209" s="68"/>
      <c r="Q209" s="68"/>
      <c r="R209" s="68"/>
      <c r="S209" s="68"/>
    </row>
    <row r="210" spans="1:19" ht="15.75" customHeight="1">
      <c r="A210" s="68"/>
      <c r="B210" s="68"/>
      <c r="D210" s="68"/>
      <c r="E210" s="69"/>
      <c r="K210" s="68"/>
      <c r="M210" s="69"/>
      <c r="O210" s="68"/>
      <c r="P210" s="68"/>
      <c r="Q210" s="68"/>
      <c r="R210" s="68"/>
      <c r="S210" s="68"/>
    </row>
    <row r="211" spans="1:19" ht="15.75" customHeight="1">
      <c r="A211" s="68"/>
      <c r="B211" s="68"/>
      <c r="D211" s="68"/>
      <c r="E211" s="69"/>
      <c r="K211" s="68"/>
      <c r="M211" s="69"/>
      <c r="O211" s="68"/>
      <c r="P211" s="68"/>
      <c r="Q211" s="68"/>
      <c r="R211" s="68"/>
      <c r="S211" s="68"/>
    </row>
    <row r="212" spans="1:19" ht="15.75" customHeight="1">
      <c r="A212" s="68"/>
      <c r="B212" s="68"/>
      <c r="D212" s="68"/>
      <c r="E212" s="69"/>
      <c r="K212" s="68"/>
      <c r="M212" s="69"/>
      <c r="O212" s="68"/>
      <c r="P212" s="68"/>
      <c r="Q212" s="68"/>
      <c r="R212" s="68"/>
      <c r="S212" s="68"/>
    </row>
    <row r="213" spans="1:19" ht="15.75" customHeight="1">
      <c r="A213" s="68"/>
      <c r="B213" s="68"/>
      <c r="D213" s="68"/>
      <c r="E213" s="69"/>
      <c r="K213" s="68"/>
      <c r="M213" s="69"/>
      <c r="O213" s="68"/>
      <c r="P213" s="68"/>
      <c r="Q213" s="68"/>
      <c r="R213" s="68"/>
      <c r="S213" s="68"/>
    </row>
    <row r="214" spans="1:19" ht="15.75" customHeight="1">
      <c r="A214" s="68"/>
      <c r="B214" s="68"/>
      <c r="D214" s="68"/>
      <c r="E214" s="69"/>
      <c r="K214" s="68"/>
      <c r="M214" s="69"/>
      <c r="O214" s="68"/>
      <c r="P214" s="68"/>
      <c r="Q214" s="68"/>
      <c r="R214" s="68"/>
      <c r="S214" s="68"/>
    </row>
    <row r="215" spans="1:19" ht="15.75" customHeight="1">
      <c r="A215" s="68"/>
      <c r="B215" s="68"/>
      <c r="D215" s="68"/>
      <c r="E215" s="69"/>
      <c r="K215" s="68"/>
      <c r="M215" s="69"/>
      <c r="O215" s="68"/>
      <c r="P215" s="68"/>
      <c r="Q215" s="68"/>
      <c r="R215" s="68"/>
      <c r="S215" s="68"/>
    </row>
    <row r="216" spans="1:19" ht="15.75" customHeight="1">
      <c r="A216" s="68"/>
      <c r="B216" s="68"/>
      <c r="D216" s="68"/>
      <c r="E216" s="69"/>
      <c r="K216" s="68"/>
      <c r="M216" s="69"/>
      <c r="O216" s="68"/>
      <c r="P216" s="68"/>
      <c r="Q216" s="68"/>
      <c r="R216" s="68"/>
      <c r="S216" s="68"/>
    </row>
    <row r="217" spans="1:19" ht="15.75" customHeight="1">
      <c r="A217" s="68"/>
      <c r="B217" s="68"/>
      <c r="D217" s="68"/>
      <c r="E217" s="69"/>
      <c r="K217" s="68"/>
      <c r="M217" s="69"/>
      <c r="O217" s="68"/>
      <c r="P217" s="68"/>
      <c r="Q217" s="68"/>
      <c r="R217" s="68"/>
      <c r="S217" s="68"/>
    </row>
    <row r="218" spans="1:19" ht="15.75" customHeight="1">
      <c r="A218" s="68"/>
      <c r="B218" s="68"/>
      <c r="D218" s="68"/>
      <c r="E218" s="69"/>
      <c r="K218" s="68"/>
      <c r="M218" s="69"/>
      <c r="O218" s="68"/>
      <c r="P218" s="68"/>
      <c r="Q218" s="68"/>
      <c r="R218" s="68"/>
      <c r="S218" s="68"/>
    </row>
    <row r="219" spans="1:19" ht="15.75" customHeight="1">
      <c r="A219" s="68"/>
      <c r="B219" s="68"/>
      <c r="D219" s="68"/>
      <c r="E219" s="69"/>
      <c r="K219" s="68"/>
      <c r="M219" s="69"/>
      <c r="O219" s="68"/>
      <c r="P219" s="68"/>
      <c r="Q219" s="68"/>
      <c r="R219" s="68"/>
      <c r="S219" s="68"/>
    </row>
    <row r="220" spans="1:19" ht="15.75" customHeight="1">
      <c r="A220" s="68"/>
      <c r="B220" s="68"/>
      <c r="D220" s="68"/>
      <c r="E220" s="69"/>
      <c r="K220" s="68"/>
      <c r="M220" s="69"/>
      <c r="O220" s="68"/>
      <c r="P220" s="68"/>
      <c r="Q220" s="68"/>
      <c r="R220" s="68"/>
      <c r="S220" s="68"/>
    </row>
    <row r="221" spans="1:19" ht="15.75" customHeight="1">
      <c r="A221" s="68"/>
      <c r="B221" s="68"/>
      <c r="D221" s="68"/>
      <c r="E221" s="69"/>
      <c r="K221" s="68"/>
      <c r="M221" s="69"/>
      <c r="O221" s="68"/>
      <c r="P221" s="68"/>
      <c r="Q221" s="68"/>
      <c r="R221" s="68"/>
      <c r="S221" s="68"/>
    </row>
    <row r="222" spans="1:19" ht="15.75" customHeight="1">
      <c r="A222" s="68"/>
      <c r="B222" s="68"/>
      <c r="D222" s="68"/>
      <c r="E222" s="69"/>
      <c r="K222" s="68"/>
      <c r="M222" s="69"/>
      <c r="O222" s="68"/>
      <c r="P222" s="68"/>
      <c r="Q222" s="68"/>
      <c r="R222" s="68"/>
      <c r="S222" s="68"/>
    </row>
    <row r="223" spans="1:19" ht="15.75" customHeight="1">
      <c r="A223" s="68"/>
      <c r="B223" s="68"/>
      <c r="D223" s="68"/>
      <c r="E223" s="69"/>
      <c r="K223" s="68"/>
      <c r="M223" s="69"/>
      <c r="O223" s="68"/>
      <c r="P223" s="68"/>
      <c r="Q223" s="68"/>
      <c r="R223" s="68"/>
      <c r="S223" s="68"/>
    </row>
    <row r="224" spans="1:19" ht="15.75" customHeight="1">
      <c r="A224" s="68"/>
      <c r="B224" s="68"/>
      <c r="D224" s="68"/>
      <c r="E224" s="69"/>
      <c r="K224" s="68"/>
      <c r="M224" s="69"/>
      <c r="O224" s="68"/>
      <c r="P224" s="68"/>
      <c r="Q224" s="68"/>
      <c r="R224" s="68"/>
      <c r="S224" s="68"/>
    </row>
    <row r="225" spans="1:19" ht="15.75" customHeight="1">
      <c r="A225" s="68"/>
      <c r="B225" s="68"/>
      <c r="D225" s="68"/>
      <c r="E225" s="69"/>
      <c r="K225" s="68"/>
      <c r="M225" s="69"/>
      <c r="O225" s="68"/>
      <c r="P225" s="68"/>
      <c r="Q225" s="68"/>
      <c r="R225" s="68"/>
      <c r="S225" s="68"/>
    </row>
    <row r="226" spans="1:19" ht="15.75" customHeight="1">
      <c r="A226" s="68"/>
      <c r="B226" s="68"/>
      <c r="D226" s="68"/>
      <c r="E226" s="69"/>
      <c r="K226" s="68"/>
      <c r="M226" s="69"/>
      <c r="O226" s="68"/>
      <c r="P226" s="68"/>
      <c r="Q226" s="68"/>
      <c r="R226" s="68"/>
      <c r="S226" s="68"/>
    </row>
    <row r="227" spans="1:19" ht="15.75" customHeight="1">
      <c r="A227" s="68"/>
      <c r="B227" s="68"/>
      <c r="D227" s="68"/>
      <c r="E227" s="69"/>
      <c r="K227" s="68"/>
      <c r="M227" s="69"/>
      <c r="O227" s="68"/>
      <c r="P227" s="68"/>
      <c r="Q227" s="68"/>
      <c r="R227" s="68"/>
      <c r="S227" s="68"/>
    </row>
    <row r="228" spans="1:19" ht="15.75" customHeight="1">
      <c r="A228" s="68"/>
      <c r="B228" s="68"/>
      <c r="D228" s="68"/>
      <c r="E228" s="69"/>
      <c r="K228" s="68"/>
      <c r="M228" s="69"/>
      <c r="O228" s="68"/>
      <c r="P228" s="68"/>
      <c r="Q228" s="68"/>
      <c r="R228" s="68"/>
      <c r="S228" s="68"/>
    </row>
    <row r="229" spans="1:19" ht="15.75" customHeight="1">
      <c r="A229" s="68"/>
      <c r="B229" s="68"/>
      <c r="D229" s="68"/>
      <c r="E229" s="69"/>
      <c r="K229" s="68"/>
      <c r="M229" s="69"/>
      <c r="O229" s="68"/>
      <c r="P229" s="68"/>
      <c r="Q229" s="68"/>
      <c r="R229" s="68"/>
      <c r="S229" s="68"/>
    </row>
    <row r="230" spans="1:19" ht="15.75" customHeight="1">
      <c r="A230" s="68"/>
      <c r="B230" s="68"/>
      <c r="D230" s="68"/>
      <c r="E230" s="69"/>
      <c r="K230" s="68"/>
      <c r="M230" s="69"/>
      <c r="O230" s="68"/>
      <c r="P230" s="68"/>
      <c r="Q230" s="68"/>
      <c r="R230" s="68"/>
      <c r="S230" s="68"/>
    </row>
    <row r="231" spans="1:19" ht="15.75" customHeight="1">
      <c r="A231" s="68"/>
      <c r="B231" s="68"/>
      <c r="D231" s="68"/>
      <c r="E231" s="69"/>
      <c r="K231" s="68"/>
      <c r="M231" s="69"/>
      <c r="O231" s="68"/>
      <c r="P231" s="68"/>
      <c r="Q231" s="68"/>
      <c r="R231" s="68"/>
      <c r="S231" s="68"/>
    </row>
    <row r="232" spans="1:19" ht="15.75" customHeight="1">
      <c r="A232" s="68"/>
      <c r="B232" s="68"/>
      <c r="D232" s="68"/>
      <c r="E232" s="69"/>
      <c r="K232" s="68"/>
      <c r="M232" s="69"/>
      <c r="O232" s="68"/>
      <c r="P232" s="68"/>
      <c r="Q232" s="68"/>
      <c r="R232" s="68"/>
      <c r="S232" s="68"/>
    </row>
    <row r="233" spans="1:19" ht="15.75" customHeight="1">
      <c r="A233" s="68"/>
      <c r="B233" s="68"/>
      <c r="D233" s="68"/>
      <c r="E233" s="69"/>
      <c r="K233" s="68"/>
      <c r="M233" s="69"/>
      <c r="O233" s="68"/>
      <c r="P233" s="68"/>
      <c r="Q233" s="68"/>
      <c r="R233" s="68"/>
      <c r="S233" s="68"/>
    </row>
    <row r="234" spans="1:19" ht="15.75" customHeight="1">
      <c r="A234" s="68"/>
      <c r="B234" s="68"/>
      <c r="D234" s="68"/>
      <c r="E234" s="69"/>
      <c r="K234" s="68"/>
      <c r="M234" s="69"/>
      <c r="O234" s="68"/>
      <c r="P234" s="68"/>
      <c r="Q234" s="68"/>
      <c r="R234" s="68"/>
      <c r="S234" s="68"/>
    </row>
    <row r="235" spans="1:19" ht="15.75" customHeight="1">
      <c r="A235" s="68"/>
      <c r="B235" s="68"/>
      <c r="D235" s="68"/>
      <c r="E235" s="69"/>
      <c r="K235" s="68"/>
      <c r="M235" s="69"/>
      <c r="O235" s="68"/>
      <c r="P235" s="68"/>
      <c r="Q235" s="68"/>
      <c r="R235" s="68"/>
      <c r="S235" s="68"/>
    </row>
    <row r="236" spans="1:19" ht="15.75" customHeight="1">
      <c r="A236" s="68"/>
      <c r="B236" s="68"/>
      <c r="D236" s="68"/>
      <c r="E236" s="69"/>
      <c r="K236" s="68"/>
      <c r="M236" s="69"/>
      <c r="O236" s="68"/>
      <c r="P236" s="68"/>
      <c r="Q236" s="68"/>
      <c r="R236" s="68"/>
      <c r="S236" s="68"/>
    </row>
    <row r="237" spans="1:19" ht="15.75" customHeight="1">
      <c r="A237" s="68"/>
      <c r="B237" s="68"/>
      <c r="D237" s="68"/>
      <c r="E237" s="69"/>
      <c r="K237" s="68"/>
      <c r="M237" s="69"/>
      <c r="O237" s="68"/>
      <c r="P237" s="68"/>
      <c r="Q237" s="68"/>
      <c r="R237" s="68"/>
      <c r="S237" s="68"/>
    </row>
    <row r="238" spans="1:19" ht="15.75" customHeight="1">
      <c r="A238" s="68"/>
      <c r="B238" s="68"/>
      <c r="D238" s="68"/>
      <c r="E238" s="69"/>
      <c r="K238" s="68"/>
      <c r="M238" s="69"/>
      <c r="O238" s="68"/>
      <c r="P238" s="68"/>
      <c r="Q238" s="68"/>
      <c r="R238" s="68"/>
      <c r="S238" s="68"/>
    </row>
    <row r="239" spans="1:19" ht="15.75" customHeight="1">
      <c r="A239" s="68"/>
      <c r="B239" s="68"/>
      <c r="D239" s="68"/>
      <c r="E239" s="69"/>
      <c r="K239" s="68"/>
      <c r="M239" s="69"/>
      <c r="O239" s="68"/>
      <c r="P239" s="68"/>
      <c r="Q239" s="68"/>
      <c r="R239" s="68"/>
      <c r="S239" s="68"/>
    </row>
    <row r="240" spans="1:19" ht="15.75" customHeight="1">
      <c r="A240" s="68"/>
      <c r="B240" s="68"/>
      <c r="D240" s="68"/>
      <c r="E240" s="69"/>
      <c r="K240" s="68"/>
      <c r="M240" s="69"/>
      <c r="O240" s="68"/>
      <c r="P240" s="68"/>
      <c r="Q240" s="68"/>
      <c r="R240" s="68"/>
      <c r="S240" s="68"/>
    </row>
    <row r="241" spans="1:19" ht="15.75" customHeight="1">
      <c r="A241" s="68"/>
      <c r="B241" s="68"/>
      <c r="D241" s="68"/>
      <c r="E241" s="69"/>
      <c r="K241" s="68"/>
      <c r="M241" s="69"/>
      <c r="O241" s="68"/>
      <c r="P241" s="68"/>
      <c r="Q241" s="68"/>
      <c r="R241" s="68"/>
      <c r="S241" s="68"/>
    </row>
    <row r="242" spans="1:19" ht="15.75" customHeight="1">
      <c r="A242" s="68"/>
      <c r="B242" s="68"/>
      <c r="D242" s="68"/>
      <c r="E242" s="69"/>
      <c r="K242" s="68"/>
      <c r="M242" s="69"/>
      <c r="O242" s="68"/>
      <c r="P242" s="68"/>
      <c r="Q242" s="68"/>
      <c r="R242" s="68"/>
      <c r="S242" s="68"/>
    </row>
    <row r="243" spans="1:19" ht="15.75" customHeight="1">
      <c r="A243" s="68"/>
      <c r="B243" s="68"/>
      <c r="D243" s="68"/>
      <c r="E243" s="69"/>
      <c r="K243" s="68"/>
      <c r="M243" s="69"/>
      <c r="O243" s="68"/>
      <c r="P243" s="68"/>
      <c r="Q243" s="68"/>
      <c r="R243" s="68"/>
      <c r="S243" s="68"/>
    </row>
    <row r="244" spans="1:19" ht="15.75" customHeight="1">
      <c r="A244" s="68"/>
      <c r="B244" s="68"/>
      <c r="D244" s="68"/>
      <c r="E244" s="69"/>
      <c r="K244" s="68"/>
      <c r="M244" s="69"/>
      <c r="O244" s="68"/>
      <c r="P244" s="68"/>
      <c r="Q244" s="68"/>
      <c r="R244" s="68"/>
      <c r="S244" s="68"/>
    </row>
    <row r="245" spans="1:19" ht="15.75" customHeight="1">
      <c r="A245" s="68"/>
      <c r="B245" s="68"/>
      <c r="D245" s="68"/>
      <c r="E245" s="69"/>
      <c r="K245" s="68"/>
      <c r="M245" s="69"/>
      <c r="O245" s="68"/>
      <c r="P245" s="68"/>
      <c r="Q245" s="68"/>
      <c r="R245" s="68"/>
      <c r="S245" s="68"/>
    </row>
    <row r="246" spans="1:19" ht="15.75" customHeight="1">
      <c r="A246" s="68"/>
      <c r="B246" s="68"/>
      <c r="D246" s="68"/>
      <c r="E246" s="69"/>
      <c r="K246" s="68"/>
      <c r="M246" s="69"/>
      <c r="O246" s="68"/>
      <c r="P246" s="68"/>
      <c r="Q246" s="68"/>
      <c r="R246" s="68"/>
      <c r="S246" s="68"/>
    </row>
    <row r="247" spans="1:19" ht="15.75" customHeight="1">
      <c r="A247" s="68"/>
      <c r="B247" s="68"/>
      <c r="D247" s="68"/>
      <c r="E247" s="69"/>
      <c r="K247" s="68"/>
      <c r="M247" s="69"/>
      <c r="O247" s="68"/>
      <c r="P247" s="68"/>
      <c r="Q247" s="68"/>
      <c r="R247" s="68"/>
      <c r="S247" s="68"/>
    </row>
    <row r="248" spans="1:19" ht="15.75" customHeight="1">
      <c r="A248" s="68"/>
      <c r="B248" s="68"/>
      <c r="D248" s="68"/>
      <c r="E248" s="69"/>
      <c r="K248" s="68"/>
      <c r="M248" s="69"/>
      <c r="O248" s="68"/>
      <c r="P248" s="68"/>
      <c r="Q248" s="68"/>
      <c r="R248" s="68"/>
      <c r="S248" s="68"/>
    </row>
    <row r="249" spans="1:19" ht="15.75" customHeight="1">
      <c r="A249" s="68"/>
      <c r="B249" s="68"/>
      <c r="D249" s="68"/>
      <c r="E249" s="69"/>
      <c r="K249" s="68"/>
      <c r="M249" s="69"/>
      <c r="O249" s="68"/>
      <c r="P249" s="68"/>
      <c r="Q249" s="68"/>
      <c r="R249" s="68"/>
      <c r="S249" s="68"/>
    </row>
    <row r="250" spans="1:19" ht="15.75" customHeight="1">
      <c r="A250" s="68"/>
      <c r="B250" s="68"/>
      <c r="D250" s="68"/>
      <c r="E250" s="69"/>
      <c r="K250" s="68"/>
      <c r="M250" s="69"/>
      <c r="O250" s="68"/>
      <c r="P250" s="68"/>
      <c r="Q250" s="68"/>
      <c r="R250" s="68"/>
      <c r="S250" s="68"/>
    </row>
    <row r="251" spans="1:19" ht="15.75" customHeight="1">
      <c r="A251" s="68"/>
      <c r="B251" s="68"/>
      <c r="D251" s="68"/>
      <c r="E251" s="69"/>
      <c r="K251" s="68"/>
      <c r="M251" s="69"/>
      <c r="O251" s="68"/>
      <c r="P251" s="68"/>
      <c r="Q251" s="68"/>
      <c r="R251" s="68"/>
      <c r="S251" s="68"/>
    </row>
    <row r="252" spans="1:19" ht="15.75" customHeight="1">
      <c r="A252" s="68"/>
      <c r="B252" s="68"/>
      <c r="D252" s="68"/>
      <c r="E252" s="69"/>
      <c r="K252" s="68"/>
      <c r="M252" s="69"/>
      <c r="O252" s="68"/>
      <c r="P252" s="68"/>
      <c r="Q252" s="68"/>
      <c r="R252" s="68"/>
      <c r="S252" s="68"/>
    </row>
    <row r="253" spans="1:19" ht="15.75" customHeight="1">
      <c r="A253" s="68"/>
      <c r="B253" s="68"/>
      <c r="D253" s="68"/>
      <c r="E253" s="69"/>
      <c r="K253" s="68"/>
      <c r="M253" s="69"/>
      <c r="O253" s="68"/>
      <c r="P253" s="68"/>
      <c r="Q253" s="68"/>
      <c r="R253" s="68"/>
      <c r="S253" s="68"/>
    </row>
    <row r="254" spans="1:19" ht="15.75" customHeight="1">
      <c r="A254" s="68"/>
      <c r="B254" s="68"/>
      <c r="D254" s="68"/>
      <c r="E254" s="69"/>
      <c r="K254" s="68"/>
      <c r="M254" s="69"/>
      <c r="O254" s="68"/>
      <c r="P254" s="68"/>
      <c r="Q254" s="68"/>
      <c r="R254" s="68"/>
      <c r="S254" s="68"/>
    </row>
    <row r="255" spans="1:19" ht="15.75" customHeight="1">
      <c r="A255" s="68"/>
      <c r="B255" s="68"/>
      <c r="D255" s="68"/>
      <c r="E255" s="69"/>
      <c r="K255" s="68"/>
      <c r="M255" s="69"/>
      <c r="O255" s="68"/>
      <c r="P255" s="68"/>
      <c r="Q255" s="68"/>
      <c r="R255" s="68"/>
      <c r="S255" s="68"/>
    </row>
    <row r="256" spans="1:19" ht="15.75" customHeight="1">
      <c r="A256" s="68"/>
      <c r="B256" s="68"/>
      <c r="D256" s="68"/>
      <c r="E256" s="69"/>
      <c r="K256" s="68"/>
      <c r="M256" s="69"/>
      <c r="O256" s="68"/>
      <c r="P256" s="68"/>
      <c r="Q256" s="68"/>
      <c r="R256" s="68"/>
      <c r="S256" s="68"/>
    </row>
    <row r="257" spans="1:19" ht="15.75" customHeight="1">
      <c r="A257" s="68"/>
      <c r="B257" s="68"/>
      <c r="D257" s="68"/>
      <c r="E257" s="69"/>
      <c r="K257" s="68"/>
      <c r="M257" s="69"/>
      <c r="O257" s="68"/>
      <c r="P257" s="68"/>
      <c r="Q257" s="68"/>
      <c r="R257" s="68"/>
      <c r="S257" s="68"/>
    </row>
    <row r="258" spans="1:19" ht="15.75" customHeight="1">
      <c r="A258" s="68"/>
      <c r="B258" s="68"/>
      <c r="D258" s="68"/>
      <c r="E258" s="69"/>
      <c r="K258" s="68"/>
      <c r="M258" s="69"/>
      <c r="O258" s="68"/>
      <c r="P258" s="68"/>
      <c r="Q258" s="68"/>
      <c r="R258" s="68"/>
      <c r="S258" s="68"/>
    </row>
    <row r="259" spans="1:19" ht="15.75" customHeight="1">
      <c r="A259" s="68"/>
      <c r="B259" s="68"/>
      <c r="D259" s="68"/>
      <c r="E259" s="69"/>
      <c r="K259" s="68"/>
      <c r="M259" s="69"/>
      <c r="O259" s="68"/>
      <c r="P259" s="68"/>
      <c r="Q259" s="68"/>
      <c r="R259" s="68"/>
      <c r="S259" s="68"/>
    </row>
    <row r="260" spans="1:19" ht="15.75" customHeight="1">
      <c r="A260" s="68"/>
      <c r="B260" s="68"/>
      <c r="D260" s="68"/>
      <c r="E260" s="69"/>
      <c r="K260" s="68"/>
      <c r="M260" s="69"/>
      <c r="O260" s="68"/>
      <c r="P260" s="68"/>
      <c r="Q260" s="68"/>
      <c r="R260" s="68"/>
      <c r="S260" s="68"/>
    </row>
    <row r="261" spans="1:19" ht="15.75" customHeight="1">
      <c r="A261" s="68"/>
      <c r="B261" s="68"/>
      <c r="D261" s="68"/>
      <c r="E261" s="69"/>
      <c r="K261" s="68"/>
      <c r="M261" s="69"/>
      <c r="O261" s="68"/>
      <c r="P261" s="68"/>
      <c r="Q261" s="68"/>
      <c r="R261" s="68"/>
      <c r="S261" s="68"/>
    </row>
    <row r="262" spans="1:19" ht="15.75" customHeight="1">
      <c r="A262" s="68"/>
      <c r="B262" s="68"/>
      <c r="D262" s="68"/>
      <c r="E262" s="69"/>
      <c r="K262" s="68"/>
      <c r="M262" s="69"/>
      <c r="O262" s="68"/>
      <c r="P262" s="68"/>
      <c r="Q262" s="68"/>
      <c r="R262" s="68"/>
      <c r="S262" s="68"/>
    </row>
    <row r="263" spans="1:19" ht="15.75" customHeight="1">
      <c r="A263" s="68"/>
      <c r="B263" s="68"/>
      <c r="D263" s="68"/>
      <c r="E263" s="69"/>
      <c r="K263" s="68"/>
      <c r="M263" s="69"/>
      <c r="O263" s="68"/>
      <c r="P263" s="68"/>
      <c r="Q263" s="68"/>
      <c r="R263" s="68"/>
      <c r="S263" s="68"/>
    </row>
    <row r="264" spans="1:19" ht="15.75" customHeight="1">
      <c r="A264" s="68"/>
      <c r="B264" s="68"/>
      <c r="D264" s="68"/>
      <c r="E264" s="69"/>
      <c r="K264" s="68"/>
      <c r="M264" s="69"/>
      <c r="O264" s="68"/>
      <c r="P264" s="68"/>
      <c r="Q264" s="68"/>
      <c r="R264" s="68"/>
      <c r="S264" s="68"/>
    </row>
    <row r="265" spans="1:19" ht="15.75" customHeight="1">
      <c r="A265" s="68"/>
      <c r="B265" s="68"/>
      <c r="D265" s="68"/>
      <c r="E265" s="69"/>
      <c r="K265" s="68"/>
      <c r="M265" s="69"/>
      <c r="O265" s="68"/>
      <c r="P265" s="68"/>
      <c r="Q265" s="68"/>
      <c r="R265" s="68"/>
      <c r="S265" s="68"/>
    </row>
    <row r="266" spans="1:19" ht="15.75" customHeight="1">
      <c r="A266" s="68"/>
      <c r="B266" s="68"/>
      <c r="D266" s="68"/>
      <c r="E266" s="69"/>
      <c r="K266" s="68"/>
      <c r="M266" s="69"/>
      <c r="O266" s="68"/>
      <c r="P266" s="68"/>
      <c r="Q266" s="68"/>
      <c r="R266" s="68"/>
      <c r="S266" s="68"/>
    </row>
    <row r="267" spans="1:19" ht="15.75" customHeight="1">
      <c r="A267" s="68"/>
      <c r="B267" s="68"/>
      <c r="D267" s="68"/>
      <c r="E267" s="69"/>
      <c r="K267" s="68"/>
      <c r="M267" s="69"/>
      <c r="O267" s="68"/>
      <c r="P267" s="68"/>
      <c r="Q267" s="68"/>
      <c r="R267" s="68"/>
      <c r="S267" s="68"/>
    </row>
    <row r="268" spans="1:19" ht="15.75" customHeight="1">
      <c r="A268" s="68"/>
      <c r="B268" s="68"/>
      <c r="D268" s="68"/>
      <c r="E268" s="69"/>
      <c r="K268" s="68"/>
      <c r="M268" s="69"/>
      <c r="O268" s="68"/>
      <c r="P268" s="68"/>
      <c r="Q268" s="68"/>
      <c r="R268" s="68"/>
      <c r="S268" s="68"/>
    </row>
    <row r="269" spans="1:19" ht="15.75" customHeight="1">
      <c r="A269" s="68"/>
      <c r="B269" s="68"/>
      <c r="D269" s="68"/>
      <c r="E269" s="69"/>
      <c r="K269" s="68"/>
      <c r="M269" s="69"/>
      <c r="O269" s="68"/>
      <c r="P269" s="68"/>
      <c r="Q269" s="68"/>
      <c r="R269" s="68"/>
      <c r="S269" s="68"/>
    </row>
    <row r="270" spans="1:19" ht="15.75" customHeight="1">
      <c r="A270" s="68"/>
      <c r="B270" s="68"/>
      <c r="D270" s="68"/>
      <c r="E270" s="69"/>
      <c r="K270" s="68"/>
      <c r="M270" s="69"/>
      <c r="O270" s="68"/>
      <c r="P270" s="68"/>
      <c r="Q270" s="68"/>
      <c r="R270" s="68"/>
      <c r="S270" s="68"/>
    </row>
    <row r="271" spans="1:19" ht="15.75" customHeight="1">
      <c r="A271" s="68"/>
      <c r="B271" s="68"/>
      <c r="D271" s="68"/>
      <c r="E271" s="69"/>
      <c r="K271" s="68"/>
      <c r="M271" s="69"/>
      <c r="O271" s="68"/>
      <c r="P271" s="68"/>
      <c r="Q271" s="68"/>
      <c r="R271" s="68"/>
      <c r="S271" s="68"/>
    </row>
    <row r="272" spans="1:19" ht="15.75" customHeight="1">
      <c r="A272" s="68"/>
      <c r="B272" s="68"/>
      <c r="D272" s="68"/>
      <c r="E272" s="69"/>
      <c r="K272" s="68"/>
      <c r="M272" s="69"/>
      <c r="O272" s="68"/>
      <c r="P272" s="68"/>
      <c r="Q272" s="68"/>
      <c r="R272" s="68"/>
      <c r="S272" s="68"/>
    </row>
    <row r="273" spans="1:19" ht="15.75" customHeight="1">
      <c r="A273" s="68"/>
      <c r="B273" s="68"/>
      <c r="D273" s="68"/>
      <c r="E273" s="69"/>
      <c r="K273" s="68"/>
      <c r="M273" s="69"/>
      <c r="O273" s="68"/>
      <c r="P273" s="68"/>
      <c r="Q273" s="68"/>
      <c r="R273" s="68"/>
      <c r="S273" s="68"/>
    </row>
    <row r="274" spans="1:19" ht="15.75" customHeight="1">
      <c r="A274" s="68"/>
      <c r="B274" s="68"/>
      <c r="D274" s="68"/>
      <c r="E274" s="69"/>
      <c r="K274" s="68"/>
      <c r="M274" s="69"/>
      <c r="O274" s="68"/>
      <c r="P274" s="68"/>
      <c r="Q274" s="68"/>
      <c r="R274" s="68"/>
      <c r="S274" s="68"/>
    </row>
    <row r="275" spans="1:19" ht="15.75" customHeight="1">
      <c r="A275" s="68"/>
      <c r="B275" s="68"/>
      <c r="D275" s="68"/>
      <c r="E275" s="69"/>
      <c r="K275" s="68"/>
      <c r="M275" s="69"/>
      <c r="O275" s="68"/>
      <c r="P275" s="68"/>
      <c r="Q275" s="68"/>
      <c r="R275" s="68"/>
      <c r="S275" s="68"/>
    </row>
    <row r="276" spans="1:19" ht="15.75" customHeight="1">
      <c r="A276" s="68"/>
      <c r="B276" s="68"/>
      <c r="D276" s="68"/>
      <c r="E276" s="69"/>
      <c r="K276" s="68"/>
      <c r="M276" s="69"/>
      <c r="O276" s="68"/>
      <c r="P276" s="68"/>
      <c r="Q276" s="68"/>
      <c r="R276" s="68"/>
      <c r="S276" s="68"/>
    </row>
    <row r="277" spans="1:19" ht="15.75" customHeight="1">
      <c r="A277" s="68"/>
      <c r="B277" s="68"/>
      <c r="D277" s="68"/>
      <c r="E277" s="69"/>
      <c r="K277" s="68"/>
      <c r="M277" s="69"/>
      <c r="O277" s="68"/>
      <c r="P277" s="68"/>
      <c r="Q277" s="68"/>
      <c r="R277" s="68"/>
      <c r="S277" s="68"/>
    </row>
    <row r="278" spans="1:19" ht="15.75" customHeight="1">
      <c r="A278" s="68"/>
      <c r="B278" s="68"/>
      <c r="D278" s="68"/>
      <c r="E278" s="69"/>
      <c r="K278" s="68"/>
      <c r="M278" s="69"/>
      <c r="O278" s="68"/>
      <c r="P278" s="68"/>
      <c r="Q278" s="68"/>
      <c r="R278" s="68"/>
      <c r="S278" s="68"/>
    </row>
    <row r="279" spans="1:19" ht="15.75" customHeight="1">
      <c r="A279" s="68"/>
      <c r="B279" s="68"/>
      <c r="D279" s="68"/>
      <c r="E279" s="69"/>
      <c r="K279" s="68"/>
      <c r="M279" s="69"/>
      <c r="O279" s="68"/>
      <c r="P279" s="68"/>
      <c r="Q279" s="68"/>
      <c r="R279" s="68"/>
      <c r="S279" s="68"/>
    </row>
    <row r="280" spans="1:19" ht="15.75" customHeight="1">
      <c r="A280" s="68"/>
      <c r="B280" s="68"/>
      <c r="D280" s="68"/>
      <c r="E280" s="69"/>
      <c r="K280" s="68"/>
      <c r="M280" s="69"/>
      <c r="O280" s="68"/>
      <c r="P280" s="68"/>
      <c r="Q280" s="68"/>
      <c r="R280" s="68"/>
      <c r="S280" s="68"/>
    </row>
    <row r="281" spans="1:19" ht="15.75" customHeight="1">
      <c r="A281" s="68"/>
      <c r="B281" s="68"/>
      <c r="D281" s="68"/>
      <c r="E281" s="69"/>
      <c r="K281" s="68"/>
      <c r="M281" s="69"/>
      <c r="O281" s="68"/>
      <c r="P281" s="68"/>
      <c r="Q281" s="68"/>
      <c r="R281" s="68"/>
      <c r="S281" s="68"/>
    </row>
    <row r="282" spans="1:19" ht="15.75" customHeight="1">
      <c r="A282" s="68"/>
      <c r="B282" s="68"/>
      <c r="D282" s="68"/>
      <c r="E282" s="69"/>
      <c r="K282" s="68"/>
      <c r="M282" s="69"/>
      <c r="O282" s="68"/>
      <c r="P282" s="68"/>
      <c r="Q282" s="68"/>
      <c r="R282" s="68"/>
      <c r="S282" s="68"/>
    </row>
    <row r="283" spans="1:19" ht="15.75" customHeight="1">
      <c r="A283" s="68"/>
      <c r="B283" s="68"/>
      <c r="D283" s="68"/>
      <c r="E283" s="69"/>
      <c r="K283" s="68"/>
      <c r="M283" s="69"/>
      <c r="O283" s="68"/>
      <c r="P283" s="68"/>
      <c r="Q283" s="68"/>
      <c r="R283" s="68"/>
      <c r="S283" s="68"/>
    </row>
    <row r="284" spans="1:19" ht="15.75" customHeight="1">
      <c r="A284" s="68"/>
      <c r="B284" s="68"/>
      <c r="D284" s="68"/>
      <c r="E284" s="69"/>
      <c r="K284" s="68"/>
      <c r="M284" s="69"/>
      <c r="O284" s="68"/>
      <c r="P284" s="68"/>
      <c r="Q284" s="68"/>
      <c r="R284" s="68"/>
      <c r="S284" s="68"/>
    </row>
    <row r="285" spans="1:19" ht="15.75" customHeight="1">
      <c r="A285" s="68"/>
      <c r="B285" s="68"/>
      <c r="D285" s="68"/>
      <c r="E285" s="69"/>
      <c r="K285" s="68"/>
      <c r="M285" s="69"/>
      <c r="O285" s="68"/>
      <c r="P285" s="68"/>
      <c r="Q285" s="68"/>
      <c r="R285" s="68"/>
      <c r="S285" s="68"/>
    </row>
    <row r="286" spans="1:19" ht="15.75" customHeight="1">
      <c r="A286" s="68"/>
      <c r="B286" s="68"/>
      <c r="D286" s="68"/>
      <c r="E286" s="69"/>
      <c r="K286" s="68"/>
      <c r="M286" s="69"/>
      <c r="O286" s="68"/>
      <c r="P286" s="68"/>
      <c r="Q286" s="68"/>
      <c r="R286" s="68"/>
      <c r="S286" s="68"/>
    </row>
    <row r="287" spans="1:19" ht="15.75" customHeight="1">
      <c r="A287" s="68"/>
      <c r="B287" s="68"/>
      <c r="D287" s="68"/>
      <c r="E287" s="69"/>
      <c r="K287" s="68"/>
      <c r="M287" s="69"/>
      <c r="O287" s="68"/>
      <c r="P287" s="68"/>
      <c r="Q287" s="68"/>
      <c r="R287" s="68"/>
      <c r="S287" s="68"/>
    </row>
    <row r="288" spans="1:19" ht="15.75" customHeight="1">
      <c r="A288" s="68"/>
      <c r="B288" s="68"/>
      <c r="D288" s="68"/>
      <c r="E288" s="69"/>
      <c r="K288" s="68"/>
      <c r="M288" s="69"/>
      <c r="O288" s="68"/>
      <c r="P288" s="68"/>
      <c r="Q288" s="68"/>
      <c r="R288" s="68"/>
      <c r="S288" s="68"/>
    </row>
    <row r="289" spans="1:19" ht="15.75" customHeight="1">
      <c r="A289" s="68"/>
      <c r="B289" s="68"/>
      <c r="D289" s="68"/>
      <c r="E289" s="69"/>
      <c r="K289" s="68"/>
      <c r="M289" s="69"/>
      <c r="O289" s="68"/>
      <c r="P289" s="68"/>
      <c r="Q289" s="68"/>
      <c r="R289" s="68"/>
      <c r="S289" s="68"/>
    </row>
    <row r="290" spans="1:19" ht="15.75" customHeight="1">
      <c r="A290" s="68"/>
      <c r="B290" s="68"/>
      <c r="D290" s="68"/>
      <c r="E290" s="69"/>
      <c r="K290" s="68"/>
      <c r="M290" s="69"/>
      <c r="O290" s="68"/>
      <c r="P290" s="68"/>
      <c r="Q290" s="68"/>
      <c r="R290" s="68"/>
      <c r="S290" s="68"/>
    </row>
    <row r="291" spans="1:19" ht="15.75" customHeight="1">
      <c r="A291" s="68"/>
      <c r="B291" s="68"/>
      <c r="D291" s="68"/>
      <c r="E291" s="69"/>
      <c r="K291" s="68"/>
      <c r="M291" s="69"/>
      <c r="O291" s="68"/>
      <c r="P291" s="68"/>
      <c r="Q291" s="68"/>
      <c r="R291" s="68"/>
      <c r="S291" s="68"/>
    </row>
    <row r="292" spans="1:19" ht="15.75" customHeight="1">
      <c r="A292" s="68"/>
      <c r="B292" s="68"/>
      <c r="D292" s="68"/>
      <c r="E292" s="69"/>
      <c r="K292" s="68"/>
      <c r="M292" s="69"/>
      <c r="O292" s="68"/>
      <c r="P292" s="68"/>
      <c r="Q292" s="68"/>
      <c r="R292" s="68"/>
      <c r="S292" s="68"/>
    </row>
    <row r="293" spans="1:19" ht="15.75" customHeight="1">
      <c r="A293" s="68"/>
      <c r="B293" s="68"/>
      <c r="D293" s="68"/>
      <c r="E293" s="69"/>
      <c r="K293" s="68"/>
      <c r="M293" s="69"/>
      <c r="O293" s="68"/>
      <c r="P293" s="68"/>
      <c r="Q293" s="68"/>
      <c r="R293" s="68"/>
      <c r="S293" s="68"/>
    </row>
    <row r="294" spans="1:19" ht="15.75" customHeight="1">
      <c r="A294" s="68"/>
      <c r="B294" s="68"/>
      <c r="D294" s="68"/>
      <c r="E294" s="69"/>
      <c r="K294" s="68"/>
      <c r="M294" s="69"/>
      <c r="O294" s="68"/>
      <c r="P294" s="68"/>
      <c r="Q294" s="68"/>
      <c r="R294" s="68"/>
      <c r="S294" s="68"/>
    </row>
    <row r="295" spans="1:19" ht="15.75" customHeight="1">
      <c r="A295" s="68"/>
      <c r="B295" s="68"/>
      <c r="D295" s="68"/>
      <c r="E295" s="69"/>
      <c r="K295" s="68"/>
      <c r="M295" s="69"/>
      <c r="O295" s="68"/>
      <c r="P295" s="68"/>
      <c r="Q295" s="68"/>
      <c r="R295" s="68"/>
      <c r="S295" s="68"/>
    </row>
    <row r="296" spans="1:19" ht="15.75" customHeight="1">
      <c r="A296" s="68"/>
      <c r="B296" s="68"/>
      <c r="D296" s="68"/>
      <c r="E296" s="69"/>
      <c r="K296" s="68"/>
      <c r="M296" s="69"/>
      <c r="O296" s="68"/>
      <c r="P296" s="68"/>
      <c r="Q296" s="68"/>
      <c r="R296" s="68"/>
      <c r="S296" s="68"/>
    </row>
    <row r="297" spans="1:19" ht="15.75" customHeight="1">
      <c r="A297" s="68"/>
      <c r="B297" s="68"/>
      <c r="D297" s="68"/>
      <c r="E297" s="69"/>
      <c r="K297" s="68"/>
      <c r="M297" s="69"/>
      <c r="O297" s="68"/>
      <c r="P297" s="68"/>
      <c r="Q297" s="68"/>
      <c r="R297" s="68"/>
      <c r="S297" s="68"/>
    </row>
    <row r="298" spans="1:19" ht="15.75" customHeight="1">
      <c r="A298" s="68"/>
      <c r="B298" s="68"/>
      <c r="D298" s="68"/>
      <c r="E298" s="69"/>
      <c r="K298" s="68"/>
      <c r="M298" s="69"/>
      <c r="O298" s="68"/>
      <c r="P298" s="68"/>
      <c r="Q298" s="68"/>
      <c r="R298" s="68"/>
      <c r="S298" s="68"/>
    </row>
    <row r="299" spans="1:19" ht="15.75" customHeight="1">
      <c r="A299" s="68"/>
      <c r="B299" s="68"/>
      <c r="D299" s="68"/>
      <c r="E299" s="69"/>
      <c r="K299" s="68"/>
      <c r="M299" s="69"/>
      <c r="O299" s="68"/>
      <c r="P299" s="68"/>
      <c r="Q299" s="68"/>
      <c r="R299" s="68"/>
      <c r="S299" s="68"/>
    </row>
    <row r="300" spans="1:19" ht="15.75" customHeight="1">
      <c r="A300" s="68"/>
      <c r="B300" s="68"/>
      <c r="D300" s="68"/>
      <c r="E300" s="69"/>
      <c r="K300" s="68"/>
      <c r="M300" s="69"/>
      <c r="O300" s="68"/>
      <c r="P300" s="68"/>
      <c r="Q300" s="68"/>
      <c r="R300" s="68"/>
      <c r="S300" s="68"/>
    </row>
    <row r="301" spans="1:19" ht="15.75" customHeight="1">
      <c r="A301" s="68"/>
      <c r="B301" s="68"/>
      <c r="D301" s="68"/>
      <c r="E301" s="69"/>
      <c r="K301" s="68"/>
      <c r="M301" s="69"/>
      <c r="O301" s="68"/>
      <c r="P301" s="68"/>
      <c r="Q301" s="68"/>
      <c r="R301" s="68"/>
      <c r="S301" s="68"/>
    </row>
    <row r="302" spans="1:19" ht="15.75" customHeight="1">
      <c r="A302" s="68"/>
      <c r="B302" s="68"/>
      <c r="D302" s="68"/>
      <c r="E302" s="69"/>
      <c r="K302" s="68"/>
      <c r="M302" s="69"/>
      <c r="O302" s="68"/>
      <c r="P302" s="68"/>
      <c r="Q302" s="68"/>
      <c r="R302" s="68"/>
      <c r="S302" s="68"/>
    </row>
    <row r="303" spans="1:19" ht="15.75" customHeight="1">
      <c r="A303" s="68"/>
      <c r="B303" s="68"/>
      <c r="D303" s="68"/>
      <c r="E303" s="69"/>
      <c r="K303" s="68"/>
      <c r="M303" s="69"/>
      <c r="O303" s="68"/>
      <c r="P303" s="68"/>
      <c r="Q303" s="68"/>
      <c r="R303" s="68"/>
      <c r="S303" s="68"/>
    </row>
    <row r="304" spans="1:19" ht="15.75" customHeight="1">
      <c r="A304" s="68"/>
      <c r="B304" s="68"/>
      <c r="D304" s="68"/>
      <c r="E304" s="69"/>
      <c r="K304" s="68"/>
      <c r="M304" s="69"/>
      <c r="O304" s="68"/>
      <c r="P304" s="68"/>
      <c r="Q304" s="68"/>
      <c r="R304" s="68"/>
      <c r="S304" s="68"/>
    </row>
    <row r="305" spans="1:19" ht="15.75" customHeight="1">
      <c r="A305" s="68"/>
      <c r="B305" s="68"/>
      <c r="D305" s="68"/>
      <c r="E305" s="69"/>
      <c r="K305" s="68"/>
      <c r="M305" s="69"/>
      <c r="O305" s="68"/>
      <c r="P305" s="68"/>
      <c r="Q305" s="68"/>
      <c r="R305" s="68"/>
      <c r="S305" s="68"/>
    </row>
    <row r="306" spans="1:19" ht="15.75" customHeight="1">
      <c r="A306" s="68"/>
      <c r="B306" s="68"/>
      <c r="D306" s="68"/>
      <c r="E306" s="69"/>
      <c r="K306" s="68"/>
      <c r="M306" s="69"/>
      <c r="O306" s="68"/>
      <c r="P306" s="68"/>
      <c r="Q306" s="68"/>
      <c r="R306" s="68"/>
      <c r="S306" s="68"/>
    </row>
    <row r="307" spans="1:19" ht="15.75" customHeight="1">
      <c r="A307" s="68"/>
      <c r="B307" s="68"/>
      <c r="D307" s="68"/>
      <c r="E307" s="69"/>
      <c r="K307" s="68"/>
      <c r="M307" s="69"/>
      <c r="O307" s="68"/>
      <c r="P307" s="68"/>
      <c r="Q307" s="68"/>
      <c r="R307" s="68"/>
      <c r="S307" s="68"/>
    </row>
    <row r="308" spans="1:19" ht="15.75" customHeight="1">
      <c r="A308" s="68"/>
      <c r="B308" s="68"/>
      <c r="D308" s="68"/>
      <c r="E308" s="69"/>
      <c r="K308" s="68"/>
      <c r="M308" s="69"/>
      <c r="O308" s="68"/>
      <c r="P308" s="68"/>
      <c r="Q308" s="68"/>
      <c r="R308" s="68"/>
      <c r="S308" s="68"/>
    </row>
    <row r="309" spans="1:19" ht="15.75" customHeight="1">
      <c r="A309" s="68"/>
      <c r="B309" s="68"/>
      <c r="D309" s="68"/>
      <c r="E309" s="69"/>
      <c r="K309" s="68"/>
      <c r="M309" s="69"/>
      <c r="O309" s="68"/>
      <c r="P309" s="68"/>
      <c r="Q309" s="68"/>
      <c r="R309" s="68"/>
      <c r="S309" s="68"/>
    </row>
    <row r="310" spans="1:19" ht="15.75" customHeight="1">
      <c r="A310" s="68"/>
      <c r="B310" s="68"/>
      <c r="D310" s="68"/>
      <c r="E310" s="69"/>
      <c r="K310" s="68"/>
      <c r="M310" s="69"/>
      <c r="O310" s="68"/>
      <c r="P310" s="68"/>
      <c r="Q310" s="68"/>
      <c r="R310" s="68"/>
      <c r="S310" s="68"/>
    </row>
    <row r="311" spans="1:19" ht="15.75" customHeight="1">
      <c r="A311" s="68"/>
      <c r="B311" s="68"/>
      <c r="D311" s="68"/>
      <c r="E311" s="69"/>
      <c r="K311" s="68"/>
      <c r="M311" s="69"/>
      <c r="O311" s="68"/>
      <c r="P311" s="68"/>
      <c r="Q311" s="68"/>
      <c r="R311" s="68"/>
      <c r="S311" s="68"/>
    </row>
    <row r="312" spans="1:19" ht="15.75" customHeight="1">
      <c r="A312" s="68"/>
      <c r="B312" s="68"/>
      <c r="D312" s="68"/>
      <c r="E312" s="69"/>
      <c r="K312" s="68"/>
      <c r="M312" s="69"/>
      <c r="O312" s="68"/>
      <c r="P312" s="68"/>
      <c r="Q312" s="68"/>
      <c r="R312" s="68"/>
      <c r="S312" s="68"/>
    </row>
    <row r="313" spans="1:19" ht="15.75" customHeight="1">
      <c r="A313" s="68"/>
      <c r="B313" s="68"/>
      <c r="D313" s="68"/>
      <c r="E313" s="69"/>
      <c r="K313" s="68"/>
      <c r="M313" s="69"/>
      <c r="O313" s="68"/>
      <c r="P313" s="68"/>
      <c r="Q313" s="68"/>
      <c r="R313" s="68"/>
      <c r="S313" s="68"/>
    </row>
    <row r="314" spans="1:19" ht="15.75" customHeight="1">
      <c r="A314" s="68"/>
      <c r="B314" s="68"/>
      <c r="D314" s="68"/>
      <c r="E314" s="69"/>
      <c r="K314" s="68"/>
      <c r="M314" s="69"/>
      <c r="O314" s="68"/>
      <c r="P314" s="68"/>
      <c r="Q314" s="68"/>
      <c r="R314" s="68"/>
      <c r="S314" s="68"/>
    </row>
    <row r="315" spans="1:19" ht="15.75" customHeight="1">
      <c r="A315" s="68"/>
      <c r="B315" s="68"/>
      <c r="D315" s="68"/>
      <c r="E315" s="69"/>
      <c r="K315" s="68"/>
      <c r="M315" s="69"/>
      <c r="O315" s="68"/>
      <c r="P315" s="68"/>
      <c r="Q315" s="68"/>
      <c r="R315" s="68"/>
      <c r="S315" s="68"/>
    </row>
    <row r="316" spans="1:19" ht="15.75" customHeight="1">
      <c r="A316" s="68"/>
      <c r="B316" s="68"/>
      <c r="D316" s="68"/>
      <c r="E316" s="69"/>
      <c r="K316" s="68"/>
      <c r="M316" s="69"/>
      <c r="O316" s="68"/>
      <c r="P316" s="68"/>
      <c r="Q316" s="68"/>
      <c r="R316" s="68"/>
      <c r="S316" s="68"/>
    </row>
    <row r="317" spans="1:19" ht="15.75" customHeight="1">
      <c r="A317" s="68"/>
      <c r="B317" s="68"/>
      <c r="D317" s="68"/>
      <c r="E317" s="69"/>
      <c r="K317" s="68"/>
      <c r="M317" s="69"/>
      <c r="O317" s="68"/>
      <c r="P317" s="68"/>
      <c r="Q317" s="68"/>
      <c r="R317" s="68"/>
      <c r="S317" s="68"/>
    </row>
    <row r="318" spans="1:19" ht="15.75" customHeight="1">
      <c r="A318" s="68"/>
      <c r="B318" s="68"/>
      <c r="D318" s="68"/>
      <c r="E318" s="69"/>
      <c r="K318" s="68"/>
      <c r="M318" s="69"/>
      <c r="O318" s="68"/>
      <c r="P318" s="68"/>
      <c r="Q318" s="68"/>
      <c r="R318" s="68"/>
      <c r="S318" s="68"/>
    </row>
    <row r="319" spans="1:19" ht="15.75" customHeight="1">
      <c r="A319" s="68"/>
      <c r="B319" s="68"/>
      <c r="D319" s="68"/>
      <c r="E319" s="69"/>
      <c r="K319" s="68"/>
      <c r="M319" s="69"/>
      <c r="O319" s="68"/>
      <c r="P319" s="68"/>
      <c r="Q319" s="68"/>
      <c r="R319" s="68"/>
      <c r="S319" s="68"/>
    </row>
    <row r="320" spans="1:19" ht="15.75" customHeight="1">
      <c r="A320" s="68"/>
      <c r="B320" s="68"/>
      <c r="D320" s="68"/>
      <c r="E320" s="69"/>
      <c r="K320" s="68"/>
      <c r="M320" s="69"/>
      <c r="O320" s="68"/>
      <c r="P320" s="68"/>
      <c r="Q320" s="68"/>
      <c r="R320" s="68"/>
      <c r="S320" s="68"/>
    </row>
    <row r="321" spans="1:19" ht="15.75" customHeight="1">
      <c r="A321" s="68"/>
      <c r="B321" s="68"/>
      <c r="D321" s="68"/>
      <c r="E321" s="69"/>
      <c r="K321" s="68"/>
      <c r="M321" s="69"/>
      <c r="O321" s="68"/>
      <c r="P321" s="68"/>
      <c r="Q321" s="68"/>
      <c r="R321" s="68"/>
      <c r="S321" s="68"/>
    </row>
    <row r="322" spans="1:19" ht="15.75" customHeight="1">
      <c r="A322" s="68"/>
      <c r="B322" s="68"/>
      <c r="D322" s="68"/>
      <c r="E322" s="69"/>
      <c r="K322" s="68"/>
      <c r="M322" s="69"/>
      <c r="O322" s="68"/>
      <c r="P322" s="68"/>
      <c r="Q322" s="68"/>
      <c r="R322" s="68"/>
      <c r="S322" s="68"/>
    </row>
    <row r="323" spans="1:19" ht="15.75" customHeight="1">
      <c r="A323" s="68"/>
      <c r="B323" s="68"/>
      <c r="D323" s="68"/>
      <c r="E323" s="69"/>
      <c r="K323" s="68"/>
      <c r="M323" s="69"/>
      <c r="O323" s="68"/>
      <c r="P323" s="68"/>
      <c r="Q323" s="68"/>
      <c r="R323" s="68"/>
      <c r="S323" s="68"/>
    </row>
    <row r="324" spans="1:19" ht="15.75" customHeight="1">
      <c r="A324" s="68"/>
      <c r="B324" s="68"/>
      <c r="D324" s="68"/>
      <c r="E324" s="69"/>
      <c r="K324" s="68"/>
      <c r="M324" s="69"/>
      <c r="O324" s="68"/>
      <c r="P324" s="68"/>
      <c r="Q324" s="68"/>
      <c r="R324" s="68"/>
      <c r="S324" s="68"/>
    </row>
    <row r="325" spans="1:19" ht="15.75" customHeight="1">
      <c r="A325" s="68"/>
      <c r="B325" s="68"/>
      <c r="D325" s="68"/>
      <c r="E325" s="69"/>
      <c r="K325" s="68"/>
      <c r="M325" s="69"/>
      <c r="O325" s="68"/>
      <c r="P325" s="68"/>
      <c r="Q325" s="68"/>
      <c r="R325" s="68"/>
      <c r="S325" s="68"/>
    </row>
    <row r="326" spans="1:19" ht="15.75" customHeight="1">
      <c r="A326" s="68"/>
      <c r="B326" s="68"/>
      <c r="D326" s="68"/>
      <c r="E326" s="69"/>
      <c r="K326" s="68"/>
      <c r="M326" s="69"/>
      <c r="O326" s="68"/>
      <c r="P326" s="68"/>
      <c r="Q326" s="68"/>
      <c r="R326" s="68"/>
      <c r="S326" s="68"/>
    </row>
    <row r="327" spans="1:19" ht="15.75" customHeight="1">
      <c r="A327" s="68"/>
      <c r="B327" s="68"/>
      <c r="D327" s="68"/>
      <c r="E327" s="69"/>
      <c r="K327" s="68"/>
      <c r="M327" s="69"/>
      <c r="O327" s="68"/>
      <c r="P327" s="68"/>
      <c r="Q327" s="68"/>
      <c r="R327" s="68"/>
      <c r="S327" s="68"/>
    </row>
    <row r="328" spans="1:19" ht="15.75" customHeight="1">
      <c r="A328" s="68"/>
      <c r="B328" s="68"/>
      <c r="D328" s="68"/>
      <c r="E328" s="69"/>
      <c r="K328" s="68"/>
      <c r="M328" s="69"/>
      <c r="O328" s="68"/>
      <c r="P328" s="68"/>
      <c r="Q328" s="68"/>
      <c r="R328" s="68"/>
      <c r="S328" s="68"/>
    </row>
    <row r="329" spans="1:19" ht="15.75" customHeight="1">
      <c r="A329" s="68"/>
      <c r="B329" s="68"/>
      <c r="D329" s="68"/>
      <c r="E329" s="69"/>
      <c r="K329" s="68"/>
      <c r="M329" s="69"/>
      <c r="O329" s="68"/>
      <c r="P329" s="68"/>
      <c r="Q329" s="68"/>
      <c r="R329" s="68"/>
      <c r="S329" s="68"/>
    </row>
    <row r="330" spans="1:19" ht="15.75" customHeight="1">
      <c r="A330" s="68"/>
      <c r="B330" s="68"/>
      <c r="D330" s="68"/>
      <c r="E330" s="69"/>
      <c r="K330" s="68"/>
      <c r="M330" s="69"/>
      <c r="O330" s="68"/>
      <c r="P330" s="68"/>
      <c r="Q330" s="68"/>
      <c r="R330" s="68"/>
      <c r="S330" s="68"/>
    </row>
    <row r="331" spans="1:19" ht="15.75" customHeight="1">
      <c r="A331" s="68"/>
      <c r="B331" s="68"/>
      <c r="D331" s="68"/>
      <c r="E331" s="69"/>
      <c r="K331" s="68"/>
      <c r="M331" s="69"/>
      <c r="O331" s="68"/>
      <c r="P331" s="68"/>
      <c r="Q331" s="68"/>
      <c r="R331" s="68"/>
      <c r="S331" s="68"/>
    </row>
    <row r="332" spans="1:19" ht="15.75" customHeight="1">
      <c r="A332" s="68"/>
      <c r="B332" s="68"/>
      <c r="D332" s="68"/>
      <c r="E332" s="69"/>
      <c r="K332" s="68"/>
      <c r="M332" s="69"/>
      <c r="O332" s="68"/>
      <c r="P332" s="68"/>
      <c r="Q332" s="68"/>
      <c r="R332" s="68"/>
      <c r="S332" s="68"/>
    </row>
    <row r="333" spans="1:19" ht="15.75" customHeight="1">
      <c r="A333" s="68"/>
      <c r="B333" s="68"/>
      <c r="D333" s="68"/>
      <c r="E333" s="69"/>
      <c r="K333" s="68"/>
      <c r="M333" s="69"/>
      <c r="O333" s="68"/>
      <c r="P333" s="68"/>
      <c r="Q333" s="68"/>
      <c r="R333" s="68"/>
      <c r="S333" s="68"/>
    </row>
    <row r="334" spans="1:19" ht="15.75" customHeight="1">
      <c r="A334" s="68"/>
      <c r="B334" s="68"/>
      <c r="D334" s="68"/>
      <c r="E334" s="69"/>
      <c r="K334" s="68"/>
      <c r="M334" s="69"/>
      <c r="O334" s="68"/>
      <c r="P334" s="68"/>
      <c r="Q334" s="68"/>
      <c r="R334" s="68"/>
      <c r="S334" s="68"/>
    </row>
    <row r="335" spans="1:19" ht="15.75" customHeight="1">
      <c r="A335" s="68"/>
      <c r="B335" s="68"/>
      <c r="D335" s="68"/>
      <c r="E335" s="69"/>
      <c r="K335" s="68"/>
      <c r="M335" s="69"/>
      <c r="O335" s="68"/>
      <c r="P335" s="68"/>
      <c r="Q335" s="68"/>
      <c r="R335" s="68"/>
      <c r="S335" s="68"/>
    </row>
    <row r="336" spans="1:19" ht="15.75" customHeight="1">
      <c r="A336" s="68"/>
      <c r="B336" s="68"/>
      <c r="D336" s="68"/>
      <c r="E336" s="69"/>
      <c r="K336" s="68"/>
      <c r="M336" s="69"/>
      <c r="O336" s="68"/>
      <c r="P336" s="68"/>
      <c r="Q336" s="68"/>
      <c r="R336" s="68"/>
      <c r="S336" s="68"/>
    </row>
    <row r="337" spans="1:19" ht="15.75" customHeight="1">
      <c r="A337" s="68"/>
      <c r="B337" s="68"/>
      <c r="D337" s="68"/>
      <c r="E337" s="69"/>
      <c r="K337" s="68"/>
      <c r="M337" s="69"/>
      <c r="O337" s="68"/>
      <c r="P337" s="68"/>
      <c r="Q337" s="68"/>
      <c r="R337" s="68"/>
      <c r="S337" s="68"/>
    </row>
    <row r="338" spans="1:19" ht="15.75" customHeight="1">
      <c r="A338" s="68"/>
      <c r="B338" s="68"/>
      <c r="D338" s="68"/>
      <c r="E338" s="69"/>
      <c r="K338" s="68"/>
      <c r="M338" s="69"/>
      <c r="O338" s="68"/>
      <c r="P338" s="68"/>
      <c r="Q338" s="68"/>
      <c r="R338" s="68"/>
      <c r="S338" s="68"/>
    </row>
    <row r="339" spans="1:19" ht="15.75" customHeight="1">
      <c r="A339" s="68"/>
      <c r="B339" s="68"/>
      <c r="D339" s="68"/>
      <c r="E339" s="69"/>
      <c r="K339" s="68"/>
      <c r="M339" s="69"/>
      <c r="O339" s="68"/>
      <c r="P339" s="68"/>
      <c r="Q339" s="68"/>
      <c r="R339" s="68"/>
      <c r="S339" s="68"/>
    </row>
    <row r="340" spans="1:19" ht="15.75" customHeight="1">
      <c r="A340" s="68"/>
      <c r="B340" s="68"/>
      <c r="D340" s="68"/>
      <c r="E340" s="69"/>
      <c r="K340" s="68"/>
      <c r="M340" s="69"/>
      <c r="O340" s="68"/>
      <c r="P340" s="68"/>
      <c r="Q340" s="68"/>
      <c r="R340" s="68"/>
      <c r="S340" s="68"/>
    </row>
    <row r="341" spans="1:19" ht="15.75" customHeight="1">
      <c r="A341" s="68"/>
      <c r="B341" s="68"/>
      <c r="D341" s="68"/>
      <c r="E341" s="69"/>
      <c r="K341" s="68"/>
      <c r="M341" s="69"/>
      <c r="O341" s="68"/>
      <c r="P341" s="68"/>
      <c r="Q341" s="68"/>
      <c r="R341" s="68"/>
      <c r="S341" s="68"/>
    </row>
    <row r="342" spans="1:19" ht="15.75" customHeight="1">
      <c r="A342" s="68"/>
      <c r="B342" s="68"/>
      <c r="D342" s="68"/>
      <c r="E342" s="69"/>
      <c r="K342" s="68"/>
      <c r="M342" s="69"/>
      <c r="O342" s="68"/>
      <c r="P342" s="68"/>
      <c r="Q342" s="68"/>
      <c r="R342" s="68"/>
      <c r="S342" s="68"/>
    </row>
    <row r="343" spans="1:19" ht="15.75" customHeight="1">
      <c r="A343" s="68"/>
      <c r="B343" s="68"/>
      <c r="D343" s="68"/>
      <c r="E343" s="69"/>
      <c r="K343" s="68"/>
      <c r="M343" s="69"/>
      <c r="O343" s="68"/>
      <c r="P343" s="68"/>
      <c r="Q343" s="68"/>
      <c r="R343" s="68"/>
      <c r="S343" s="68"/>
    </row>
    <row r="344" spans="1:19" ht="15.75" customHeight="1">
      <c r="A344" s="68"/>
      <c r="B344" s="68"/>
      <c r="D344" s="68"/>
      <c r="E344" s="69"/>
      <c r="K344" s="68"/>
      <c r="M344" s="69"/>
      <c r="O344" s="68"/>
      <c r="P344" s="68"/>
      <c r="Q344" s="68"/>
      <c r="R344" s="68"/>
      <c r="S344" s="68"/>
    </row>
    <row r="345" spans="1:19" ht="15.75" customHeight="1">
      <c r="A345" s="68"/>
      <c r="B345" s="68"/>
      <c r="D345" s="68"/>
      <c r="E345" s="69"/>
      <c r="K345" s="68"/>
      <c r="M345" s="69"/>
      <c r="O345" s="68"/>
      <c r="P345" s="68"/>
      <c r="Q345" s="68"/>
      <c r="R345" s="68"/>
      <c r="S345" s="68"/>
    </row>
    <row r="346" spans="1:19" ht="15.75" customHeight="1">
      <c r="A346" s="68"/>
      <c r="B346" s="68"/>
      <c r="D346" s="68"/>
      <c r="E346" s="69"/>
      <c r="K346" s="68"/>
      <c r="M346" s="69"/>
      <c r="O346" s="68"/>
      <c r="P346" s="68"/>
      <c r="Q346" s="68"/>
      <c r="R346" s="68"/>
      <c r="S346" s="68"/>
    </row>
    <row r="347" spans="1:19" ht="15.75" customHeight="1">
      <c r="A347" s="68"/>
      <c r="B347" s="68"/>
      <c r="D347" s="68"/>
      <c r="E347" s="69"/>
      <c r="K347" s="68"/>
      <c r="M347" s="69"/>
      <c r="O347" s="68"/>
      <c r="P347" s="68"/>
      <c r="Q347" s="68"/>
      <c r="R347" s="68"/>
      <c r="S347" s="68"/>
    </row>
    <row r="348" spans="1:19" ht="15.75" customHeight="1">
      <c r="A348" s="68"/>
      <c r="B348" s="68"/>
      <c r="D348" s="68"/>
      <c r="E348" s="69"/>
      <c r="K348" s="68"/>
      <c r="M348" s="69"/>
      <c r="O348" s="68"/>
      <c r="P348" s="68"/>
      <c r="Q348" s="68"/>
      <c r="R348" s="68"/>
      <c r="S348" s="68"/>
    </row>
    <row r="349" spans="1:19" ht="15.75" customHeight="1">
      <c r="A349" s="68"/>
      <c r="B349" s="68"/>
      <c r="D349" s="68"/>
      <c r="E349" s="69"/>
      <c r="K349" s="68"/>
      <c r="M349" s="69"/>
      <c r="O349" s="68"/>
      <c r="P349" s="68"/>
      <c r="Q349" s="68"/>
      <c r="R349" s="68"/>
      <c r="S349" s="68"/>
    </row>
    <row r="350" spans="1:19" ht="15.75" customHeight="1">
      <c r="A350" s="68"/>
      <c r="B350" s="68"/>
      <c r="D350" s="68"/>
      <c r="E350" s="69"/>
      <c r="K350" s="68"/>
      <c r="M350" s="69"/>
      <c r="O350" s="68"/>
      <c r="P350" s="68"/>
      <c r="Q350" s="68"/>
      <c r="R350" s="68"/>
      <c r="S350" s="68"/>
    </row>
    <row r="351" spans="1:19" ht="15.75" customHeight="1">
      <c r="A351" s="68"/>
      <c r="B351" s="68"/>
      <c r="D351" s="68"/>
      <c r="E351" s="69"/>
      <c r="K351" s="68"/>
      <c r="M351" s="69"/>
      <c r="O351" s="68"/>
      <c r="P351" s="68"/>
      <c r="Q351" s="68"/>
      <c r="R351" s="68"/>
      <c r="S351" s="68"/>
    </row>
    <row r="352" spans="1:19" ht="15.75" customHeight="1">
      <c r="A352" s="68"/>
      <c r="B352" s="68"/>
      <c r="D352" s="68"/>
      <c r="E352" s="69"/>
      <c r="K352" s="68"/>
      <c r="M352" s="69"/>
      <c r="O352" s="68"/>
      <c r="P352" s="68"/>
      <c r="Q352" s="68"/>
      <c r="R352" s="68"/>
      <c r="S352" s="68"/>
    </row>
    <row r="353" spans="1:19" ht="15.75" customHeight="1">
      <c r="A353" s="68"/>
      <c r="B353" s="68"/>
      <c r="D353" s="68"/>
      <c r="E353" s="69"/>
      <c r="K353" s="68"/>
      <c r="M353" s="69"/>
      <c r="O353" s="68"/>
      <c r="P353" s="68"/>
      <c r="Q353" s="68"/>
      <c r="R353" s="68"/>
      <c r="S353" s="68"/>
    </row>
    <row r="354" spans="1:19" ht="15.75" customHeight="1">
      <c r="A354" s="68"/>
      <c r="B354" s="68"/>
      <c r="D354" s="68"/>
      <c r="E354" s="69"/>
      <c r="K354" s="68"/>
      <c r="M354" s="69"/>
      <c r="O354" s="68"/>
      <c r="P354" s="68"/>
      <c r="Q354" s="68"/>
      <c r="R354" s="68"/>
      <c r="S354" s="68"/>
    </row>
    <row r="355" spans="1:19" ht="15.75" customHeight="1">
      <c r="A355" s="68"/>
      <c r="B355" s="68"/>
      <c r="D355" s="68"/>
      <c r="E355" s="69"/>
      <c r="K355" s="68"/>
      <c r="M355" s="69"/>
      <c r="O355" s="68"/>
      <c r="P355" s="68"/>
      <c r="Q355" s="68"/>
      <c r="R355" s="68"/>
      <c r="S355" s="68"/>
    </row>
    <row r="356" spans="1:19" ht="15.75" customHeight="1">
      <c r="A356" s="68"/>
      <c r="B356" s="68"/>
      <c r="D356" s="68"/>
      <c r="E356" s="69"/>
      <c r="K356" s="68"/>
      <c r="M356" s="69"/>
      <c r="O356" s="68"/>
      <c r="P356" s="68"/>
      <c r="Q356" s="68"/>
      <c r="R356" s="68"/>
      <c r="S356" s="68"/>
    </row>
    <row r="357" spans="1:19" ht="15.75" customHeight="1">
      <c r="A357" s="68"/>
      <c r="B357" s="68"/>
      <c r="D357" s="68"/>
      <c r="E357" s="69"/>
      <c r="K357" s="68"/>
      <c r="M357" s="69"/>
      <c r="O357" s="68"/>
      <c r="P357" s="68"/>
      <c r="Q357" s="68"/>
      <c r="R357" s="68"/>
      <c r="S357" s="68"/>
    </row>
    <row r="358" spans="1:19" ht="15.75" customHeight="1">
      <c r="A358" s="68"/>
      <c r="B358" s="68"/>
      <c r="D358" s="68"/>
      <c r="E358" s="69"/>
      <c r="K358" s="68"/>
      <c r="M358" s="69"/>
      <c r="O358" s="68"/>
      <c r="P358" s="68"/>
      <c r="Q358" s="68"/>
      <c r="R358" s="68"/>
      <c r="S358" s="68"/>
    </row>
    <row r="359" spans="1:19" ht="15.75" customHeight="1">
      <c r="A359" s="68"/>
      <c r="B359" s="68"/>
      <c r="D359" s="68"/>
      <c r="E359" s="69"/>
      <c r="K359" s="68"/>
      <c r="M359" s="69"/>
      <c r="O359" s="68"/>
      <c r="P359" s="68"/>
      <c r="Q359" s="68"/>
      <c r="R359" s="68"/>
      <c r="S359" s="68"/>
    </row>
    <row r="360" spans="1:19" ht="15.75" customHeight="1">
      <c r="A360" s="68"/>
      <c r="B360" s="68"/>
      <c r="D360" s="68"/>
      <c r="E360" s="69"/>
      <c r="K360" s="68"/>
      <c r="M360" s="69"/>
      <c r="O360" s="68"/>
      <c r="P360" s="68"/>
      <c r="Q360" s="68"/>
      <c r="R360" s="68"/>
      <c r="S360" s="68"/>
    </row>
    <row r="361" spans="1:19" ht="15.75" customHeight="1">
      <c r="A361" s="68"/>
      <c r="B361" s="68"/>
      <c r="D361" s="68"/>
      <c r="E361" s="69"/>
      <c r="K361" s="68"/>
      <c r="M361" s="69"/>
      <c r="O361" s="68"/>
      <c r="P361" s="68"/>
      <c r="Q361" s="68"/>
      <c r="R361" s="68"/>
      <c r="S361" s="68"/>
    </row>
    <row r="362" spans="1:19" ht="15.75" customHeight="1">
      <c r="A362" s="68"/>
      <c r="B362" s="68"/>
      <c r="D362" s="68"/>
      <c r="E362" s="69"/>
      <c r="K362" s="68"/>
      <c r="M362" s="69"/>
      <c r="O362" s="68"/>
      <c r="P362" s="68"/>
      <c r="Q362" s="68"/>
      <c r="R362" s="68"/>
      <c r="S362" s="68"/>
    </row>
    <row r="363" spans="1:19" ht="15.75" customHeight="1">
      <c r="A363" s="68"/>
      <c r="B363" s="68"/>
      <c r="D363" s="68"/>
      <c r="E363" s="69"/>
      <c r="K363" s="68"/>
      <c r="M363" s="69"/>
      <c r="O363" s="68"/>
      <c r="P363" s="68"/>
      <c r="Q363" s="68"/>
      <c r="R363" s="68"/>
      <c r="S363" s="68"/>
    </row>
    <row r="364" spans="1:19" ht="15.75" customHeight="1">
      <c r="A364" s="68"/>
      <c r="B364" s="68"/>
      <c r="D364" s="68"/>
      <c r="E364" s="69"/>
      <c r="K364" s="68"/>
      <c r="M364" s="69"/>
      <c r="O364" s="68"/>
      <c r="P364" s="68"/>
      <c r="Q364" s="68"/>
      <c r="R364" s="68"/>
      <c r="S364" s="68"/>
    </row>
    <row r="365" spans="1:19" ht="15.75" customHeight="1">
      <c r="A365" s="68"/>
      <c r="B365" s="68"/>
      <c r="D365" s="68"/>
      <c r="E365" s="69"/>
      <c r="K365" s="68"/>
      <c r="M365" s="69"/>
      <c r="O365" s="68"/>
      <c r="P365" s="68"/>
      <c r="Q365" s="68"/>
      <c r="R365" s="68"/>
      <c r="S365" s="68"/>
    </row>
    <row r="366" spans="1:19" ht="15.75" customHeight="1">
      <c r="A366" s="68"/>
      <c r="B366" s="68"/>
      <c r="D366" s="68"/>
      <c r="E366" s="69"/>
      <c r="K366" s="68"/>
      <c r="M366" s="69"/>
      <c r="O366" s="68"/>
      <c r="P366" s="68"/>
      <c r="Q366" s="68"/>
      <c r="R366" s="68"/>
      <c r="S366" s="68"/>
    </row>
    <row r="367" spans="1:19" ht="15.75" customHeight="1">
      <c r="A367" s="68"/>
      <c r="B367" s="68"/>
      <c r="D367" s="68"/>
      <c r="E367" s="69"/>
      <c r="K367" s="68"/>
      <c r="M367" s="69"/>
      <c r="O367" s="68"/>
      <c r="P367" s="68"/>
      <c r="Q367" s="68"/>
      <c r="R367" s="68"/>
      <c r="S367" s="68"/>
    </row>
    <row r="368" spans="1:19" ht="15.75" customHeight="1">
      <c r="A368" s="68"/>
      <c r="B368" s="68"/>
      <c r="D368" s="68"/>
      <c r="E368" s="69"/>
      <c r="K368" s="68"/>
      <c r="M368" s="69"/>
      <c r="O368" s="68"/>
      <c r="P368" s="68"/>
      <c r="Q368" s="68"/>
      <c r="R368" s="68"/>
      <c r="S368" s="68"/>
    </row>
    <row r="369" spans="1:19" ht="15.75" customHeight="1">
      <c r="A369" s="68"/>
      <c r="B369" s="68"/>
      <c r="D369" s="68"/>
      <c r="E369" s="69"/>
      <c r="K369" s="68"/>
      <c r="M369" s="69"/>
      <c r="O369" s="68"/>
      <c r="P369" s="68"/>
      <c r="Q369" s="68"/>
      <c r="R369" s="68"/>
      <c r="S369" s="68"/>
    </row>
    <row r="370" spans="1:19" ht="15.75" customHeight="1">
      <c r="A370" s="68"/>
      <c r="B370" s="68"/>
      <c r="D370" s="68"/>
      <c r="E370" s="69"/>
      <c r="K370" s="68"/>
      <c r="M370" s="69"/>
      <c r="O370" s="68"/>
      <c r="P370" s="68"/>
      <c r="Q370" s="68"/>
      <c r="R370" s="68"/>
      <c r="S370" s="68"/>
    </row>
    <row r="371" spans="1:19" ht="15.75" customHeight="1">
      <c r="A371" s="68"/>
      <c r="B371" s="68"/>
      <c r="D371" s="68"/>
      <c r="E371" s="69"/>
      <c r="K371" s="68"/>
      <c r="M371" s="69"/>
      <c r="O371" s="68"/>
      <c r="P371" s="68"/>
      <c r="Q371" s="68"/>
      <c r="R371" s="68"/>
      <c r="S371" s="68"/>
    </row>
    <row r="372" spans="1:19" ht="15.75" customHeight="1">
      <c r="A372" s="68"/>
      <c r="B372" s="68"/>
      <c r="D372" s="68"/>
      <c r="E372" s="69"/>
      <c r="K372" s="68"/>
      <c r="M372" s="69"/>
      <c r="O372" s="68"/>
      <c r="P372" s="68"/>
      <c r="Q372" s="68"/>
      <c r="R372" s="68"/>
      <c r="S372" s="68"/>
    </row>
    <row r="373" spans="1:19" ht="15.75" customHeight="1">
      <c r="A373" s="68"/>
      <c r="B373" s="68"/>
      <c r="D373" s="68"/>
      <c r="E373" s="69"/>
      <c r="K373" s="68"/>
      <c r="M373" s="69"/>
      <c r="O373" s="68"/>
      <c r="P373" s="68"/>
      <c r="Q373" s="68"/>
      <c r="R373" s="68"/>
      <c r="S373" s="68"/>
    </row>
    <row r="374" spans="1:19" ht="15.75" customHeight="1">
      <c r="A374" s="68"/>
      <c r="B374" s="68"/>
      <c r="D374" s="68"/>
      <c r="E374" s="69"/>
      <c r="K374" s="68"/>
      <c r="M374" s="69"/>
      <c r="O374" s="68"/>
      <c r="P374" s="68"/>
      <c r="Q374" s="68"/>
      <c r="R374" s="68"/>
      <c r="S374" s="68"/>
    </row>
    <row r="375" spans="1:19" ht="15.75" customHeight="1">
      <c r="A375" s="68"/>
      <c r="B375" s="68"/>
      <c r="D375" s="68"/>
      <c r="E375" s="69"/>
      <c r="K375" s="68"/>
      <c r="M375" s="69"/>
      <c r="O375" s="68"/>
      <c r="P375" s="68"/>
      <c r="Q375" s="68"/>
      <c r="R375" s="68"/>
      <c r="S375" s="68"/>
    </row>
    <row r="376" spans="1:19" ht="15.75" customHeight="1">
      <c r="A376" s="68"/>
      <c r="B376" s="68"/>
      <c r="D376" s="68"/>
      <c r="E376" s="69"/>
      <c r="K376" s="68"/>
      <c r="M376" s="69"/>
      <c r="O376" s="68"/>
      <c r="P376" s="68"/>
      <c r="Q376" s="68"/>
      <c r="R376" s="68"/>
      <c r="S376" s="68"/>
    </row>
    <row r="377" spans="1:19" ht="15.75" customHeight="1">
      <c r="A377" s="68"/>
      <c r="B377" s="68"/>
      <c r="D377" s="68"/>
      <c r="E377" s="69"/>
      <c r="K377" s="68"/>
      <c r="M377" s="69"/>
      <c r="O377" s="68"/>
      <c r="P377" s="68"/>
      <c r="Q377" s="68"/>
      <c r="R377" s="68"/>
      <c r="S377" s="68"/>
    </row>
    <row r="378" spans="1:19" ht="15.75" customHeight="1">
      <c r="A378" s="68"/>
      <c r="B378" s="68"/>
      <c r="D378" s="68"/>
      <c r="E378" s="69"/>
      <c r="K378" s="68"/>
      <c r="M378" s="69"/>
      <c r="O378" s="68"/>
      <c r="P378" s="68"/>
      <c r="Q378" s="68"/>
      <c r="R378" s="68"/>
      <c r="S378" s="68"/>
    </row>
    <row r="379" spans="1:19" ht="15.75" customHeight="1">
      <c r="A379" s="68"/>
      <c r="B379" s="68"/>
      <c r="D379" s="68"/>
      <c r="E379" s="69"/>
      <c r="K379" s="68"/>
      <c r="M379" s="69"/>
      <c r="O379" s="68"/>
      <c r="P379" s="68"/>
      <c r="Q379" s="68"/>
      <c r="R379" s="68"/>
      <c r="S379" s="68"/>
    </row>
    <row r="380" spans="1:19" ht="15.75" customHeight="1">
      <c r="A380" s="68"/>
      <c r="B380" s="68"/>
      <c r="D380" s="68"/>
      <c r="E380" s="69"/>
      <c r="K380" s="68"/>
      <c r="M380" s="69"/>
      <c r="O380" s="68"/>
      <c r="P380" s="68"/>
      <c r="Q380" s="68"/>
      <c r="R380" s="68"/>
      <c r="S380" s="68"/>
    </row>
    <row r="381" spans="1:19" ht="15.75" customHeight="1">
      <c r="A381" s="68"/>
      <c r="B381" s="68"/>
      <c r="D381" s="68"/>
      <c r="E381" s="69"/>
      <c r="K381" s="68"/>
      <c r="M381" s="69"/>
      <c r="O381" s="68"/>
      <c r="P381" s="68"/>
      <c r="Q381" s="68"/>
      <c r="R381" s="68"/>
      <c r="S381" s="68"/>
    </row>
    <row r="382" spans="1:19" ht="15.75" customHeight="1">
      <c r="A382" s="68"/>
      <c r="B382" s="68"/>
      <c r="D382" s="68"/>
      <c r="E382" s="69"/>
      <c r="K382" s="68"/>
      <c r="M382" s="69"/>
      <c r="O382" s="68"/>
      <c r="P382" s="68"/>
      <c r="Q382" s="68"/>
      <c r="R382" s="68"/>
      <c r="S382" s="68"/>
    </row>
    <row r="383" spans="1:19" ht="15.75" customHeight="1">
      <c r="A383" s="68"/>
      <c r="B383" s="68"/>
      <c r="D383" s="68"/>
      <c r="E383" s="69"/>
      <c r="K383" s="68"/>
      <c r="M383" s="69"/>
      <c r="O383" s="68"/>
      <c r="P383" s="68"/>
      <c r="Q383" s="68"/>
      <c r="R383" s="68"/>
      <c r="S383" s="68"/>
    </row>
    <row r="384" spans="1:19" ht="15.75" customHeight="1">
      <c r="A384" s="68"/>
      <c r="B384" s="68"/>
      <c r="D384" s="68"/>
      <c r="E384" s="69"/>
      <c r="K384" s="68"/>
      <c r="M384" s="69"/>
      <c r="O384" s="68"/>
      <c r="P384" s="68"/>
      <c r="Q384" s="68"/>
      <c r="R384" s="68"/>
      <c r="S384" s="68"/>
    </row>
    <row r="385" spans="1:19" ht="15.75" customHeight="1">
      <c r="A385" s="68"/>
      <c r="B385" s="68"/>
      <c r="D385" s="68"/>
      <c r="E385" s="69"/>
      <c r="K385" s="68"/>
      <c r="M385" s="69"/>
      <c r="O385" s="68"/>
      <c r="P385" s="68"/>
      <c r="Q385" s="68"/>
      <c r="R385" s="68"/>
      <c r="S385" s="68"/>
    </row>
    <row r="386" spans="1:19" ht="15.75" customHeight="1">
      <c r="A386" s="68"/>
      <c r="B386" s="68"/>
      <c r="D386" s="68"/>
      <c r="E386" s="69"/>
      <c r="K386" s="68"/>
      <c r="M386" s="69"/>
      <c r="O386" s="68"/>
      <c r="P386" s="68"/>
      <c r="Q386" s="68"/>
      <c r="R386" s="68"/>
      <c r="S386" s="68"/>
    </row>
    <row r="387" spans="1:19" ht="15.75" customHeight="1">
      <c r="A387" s="68"/>
      <c r="B387" s="68"/>
      <c r="D387" s="68"/>
      <c r="E387" s="69"/>
      <c r="K387" s="68"/>
      <c r="M387" s="69"/>
      <c r="O387" s="68"/>
      <c r="P387" s="68"/>
      <c r="Q387" s="68"/>
      <c r="R387" s="68"/>
      <c r="S387" s="68"/>
    </row>
    <row r="388" spans="1:19" ht="15.75" customHeight="1">
      <c r="A388" s="68"/>
      <c r="B388" s="68"/>
      <c r="D388" s="68"/>
      <c r="E388" s="69"/>
      <c r="K388" s="68"/>
      <c r="M388" s="69"/>
      <c r="O388" s="68"/>
      <c r="P388" s="68"/>
      <c r="Q388" s="68"/>
      <c r="R388" s="68"/>
      <c r="S388" s="68"/>
    </row>
    <row r="389" spans="1:19" ht="15.75" customHeight="1">
      <c r="A389" s="68"/>
      <c r="B389" s="68"/>
      <c r="D389" s="68"/>
      <c r="E389" s="69"/>
      <c r="K389" s="68"/>
      <c r="M389" s="69"/>
      <c r="O389" s="68"/>
      <c r="P389" s="68"/>
      <c r="Q389" s="68"/>
      <c r="R389" s="68"/>
      <c r="S389" s="68"/>
    </row>
    <row r="390" spans="1:19" ht="15.75" customHeight="1">
      <c r="A390" s="68"/>
      <c r="B390" s="68"/>
      <c r="D390" s="68"/>
      <c r="E390" s="69"/>
      <c r="K390" s="68"/>
      <c r="M390" s="69"/>
      <c r="O390" s="68"/>
      <c r="P390" s="68"/>
      <c r="Q390" s="68"/>
      <c r="R390" s="68"/>
      <c r="S390" s="68"/>
    </row>
    <row r="391" spans="1:19" ht="15.75" customHeight="1">
      <c r="A391" s="68"/>
      <c r="B391" s="68"/>
      <c r="D391" s="68"/>
      <c r="E391" s="69"/>
      <c r="K391" s="68"/>
      <c r="M391" s="69"/>
      <c r="O391" s="68"/>
      <c r="P391" s="68"/>
      <c r="Q391" s="68"/>
      <c r="R391" s="68"/>
      <c r="S391" s="68"/>
    </row>
    <row r="392" spans="1:19" ht="15.75" customHeight="1">
      <c r="A392" s="68"/>
      <c r="B392" s="68"/>
      <c r="D392" s="68"/>
      <c r="E392" s="69"/>
      <c r="K392" s="68"/>
      <c r="M392" s="69"/>
      <c r="O392" s="68"/>
      <c r="P392" s="68"/>
      <c r="Q392" s="68"/>
      <c r="R392" s="68"/>
      <c r="S392" s="68"/>
    </row>
    <row r="393" spans="1:19" ht="15.75" customHeight="1">
      <c r="A393" s="68"/>
      <c r="B393" s="68"/>
      <c r="D393" s="68"/>
      <c r="E393" s="69"/>
      <c r="K393" s="68"/>
      <c r="M393" s="69"/>
      <c r="O393" s="68"/>
      <c r="P393" s="68"/>
      <c r="Q393" s="68"/>
      <c r="R393" s="68"/>
      <c r="S393" s="68"/>
    </row>
    <row r="394" spans="1:19" ht="15.75" customHeight="1">
      <c r="A394" s="68"/>
      <c r="B394" s="68"/>
      <c r="D394" s="68"/>
      <c r="E394" s="69"/>
      <c r="K394" s="68"/>
      <c r="M394" s="69"/>
      <c r="O394" s="68"/>
      <c r="P394" s="68"/>
      <c r="Q394" s="68"/>
      <c r="R394" s="68"/>
      <c r="S394" s="68"/>
    </row>
    <row r="395" spans="1:19" ht="15.75" customHeight="1">
      <c r="A395" s="68"/>
      <c r="B395" s="68"/>
      <c r="D395" s="68"/>
      <c r="E395" s="69"/>
      <c r="K395" s="68"/>
      <c r="M395" s="69"/>
      <c r="O395" s="68"/>
      <c r="P395" s="68"/>
      <c r="Q395" s="68"/>
      <c r="R395" s="68"/>
      <c r="S395" s="68"/>
    </row>
    <row r="396" spans="1:19" ht="15.75" customHeight="1">
      <c r="A396" s="68"/>
      <c r="B396" s="68"/>
      <c r="D396" s="68"/>
      <c r="E396" s="69"/>
      <c r="K396" s="68"/>
      <c r="M396" s="69"/>
      <c r="O396" s="68"/>
      <c r="P396" s="68"/>
      <c r="Q396" s="68"/>
      <c r="R396" s="68"/>
      <c r="S396" s="68"/>
    </row>
    <row r="397" spans="1:19" ht="15.75" customHeight="1">
      <c r="A397" s="68"/>
      <c r="B397" s="68"/>
      <c r="D397" s="68"/>
      <c r="E397" s="69"/>
      <c r="K397" s="68"/>
      <c r="M397" s="69"/>
      <c r="O397" s="68"/>
      <c r="P397" s="68"/>
      <c r="Q397" s="68"/>
      <c r="R397" s="68"/>
      <c r="S397" s="68"/>
    </row>
    <row r="398" spans="1:19" ht="15.75" customHeight="1">
      <c r="A398" s="68"/>
      <c r="B398" s="68"/>
      <c r="D398" s="68"/>
      <c r="E398" s="69"/>
      <c r="K398" s="68"/>
      <c r="M398" s="69"/>
      <c r="O398" s="68"/>
      <c r="P398" s="68"/>
      <c r="Q398" s="68"/>
      <c r="R398" s="68"/>
      <c r="S398" s="68"/>
    </row>
    <row r="399" spans="1:19" ht="15.75" customHeight="1">
      <c r="A399" s="68"/>
      <c r="B399" s="68"/>
      <c r="D399" s="68"/>
      <c r="E399" s="69"/>
      <c r="K399" s="68"/>
      <c r="M399" s="69"/>
      <c r="O399" s="68"/>
      <c r="P399" s="68"/>
      <c r="Q399" s="68"/>
      <c r="R399" s="68"/>
      <c r="S399" s="68"/>
    </row>
    <row r="400" spans="1:19" ht="15.75" customHeight="1">
      <c r="A400" s="68"/>
      <c r="B400" s="68"/>
      <c r="D400" s="68"/>
      <c r="E400" s="69"/>
      <c r="K400" s="68"/>
      <c r="M400" s="69"/>
      <c r="O400" s="68"/>
      <c r="P400" s="68"/>
      <c r="Q400" s="68"/>
      <c r="R400" s="68"/>
      <c r="S400" s="68"/>
    </row>
    <row r="401" spans="1:19" ht="15.75" customHeight="1">
      <c r="A401" s="68"/>
      <c r="B401" s="68"/>
      <c r="D401" s="68"/>
      <c r="E401" s="69"/>
      <c r="K401" s="68"/>
      <c r="M401" s="69"/>
      <c r="O401" s="68"/>
      <c r="P401" s="68"/>
      <c r="Q401" s="68"/>
      <c r="R401" s="68"/>
      <c r="S401" s="68"/>
    </row>
    <row r="402" spans="1:19" ht="15.75" customHeight="1">
      <c r="A402" s="68"/>
      <c r="B402" s="68"/>
      <c r="D402" s="68"/>
      <c r="E402" s="69"/>
      <c r="K402" s="68"/>
      <c r="M402" s="69"/>
      <c r="O402" s="68"/>
      <c r="P402" s="68"/>
      <c r="Q402" s="68"/>
      <c r="R402" s="68"/>
      <c r="S402" s="68"/>
    </row>
    <row r="403" spans="1:19" ht="15.75" customHeight="1">
      <c r="A403" s="68"/>
      <c r="B403" s="68"/>
      <c r="D403" s="68"/>
      <c r="E403" s="69"/>
      <c r="K403" s="68"/>
      <c r="M403" s="69"/>
      <c r="O403" s="68"/>
      <c r="P403" s="68"/>
      <c r="Q403" s="68"/>
      <c r="R403" s="68"/>
      <c r="S403" s="68"/>
    </row>
    <row r="404" spans="1:19" ht="15.75" customHeight="1">
      <c r="A404" s="68"/>
      <c r="B404" s="68"/>
      <c r="D404" s="68"/>
      <c r="E404" s="69"/>
      <c r="K404" s="68"/>
      <c r="M404" s="69"/>
      <c r="O404" s="68"/>
      <c r="P404" s="68"/>
      <c r="Q404" s="68"/>
      <c r="R404" s="68"/>
      <c r="S404" s="68"/>
    </row>
    <row r="405" spans="1:19" ht="15.75" customHeight="1">
      <c r="A405" s="68"/>
      <c r="B405" s="68"/>
      <c r="D405" s="68"/>
      <c r="E405" s="69"/>
      <c r="K405" s="68"/>
      <c r="M405" s="69"/>
      <c r="O405" s="68"/>
      <c r="P405" s="68"/>
      <c r="Q405" s="68"/>
      <c r="R405" s="68"/>
      <c r="S405" s="68"/>
    </row>
    <row r="406" spans="1:19" ht="15.75" customHeight="1">
      <c r="A406" s="68"/>
      <c r="B406" s="68"/>
      <c r="D406" s="68"/>
      <c r="E406" s="69"/>
      <c r="K406" s="68"/>
      <c r="M406" s="69"/>
      <c r="O406" s="68"/>
      <c r="P406" s="68"/>
      <c r="Q406" s="68"/>
      <c r="R406" s="68"/>
      <c r="S406" s="68"/>
    </row>
    <row r="407" spans="1:19" ht="15.75" customHeight="1">
      <c r="A407" s="68"/>
      <c r="B407" s="68"/>
      <c r="D407" s="68"/>
      <c r="E407" s="69"/>
      <c r="K407" s="68"/>
      <c r="M407" s="69"/>
      <c r="O407" s="68"/>
      <c r="P407" s="68"/>
      <c r="Q407" s="68"/>
      <c r="R407" s="68"/>
      <c r="S407" s="68"/>
    </row>
    <row r="408" spans="1:19" ht="15.75" customHeight="1">
      <c r="A408" s="68"/>
      <c r="B408" s="68"/>
      <c r="D408" s="68"/>
      <c r="E408" s="69"/>
      <c r="K408" s="68"/>
      <c r="M408" s="69"/>
      <c r="O408" s="68"/>
      <c r="P408" s="68"/>
      <c r="Q408" s="68"/>
      <c r="R408" s="68"/>
      <c r="S408" s="68"/>
    </row>
    <row r="409" spans="1:19" ht="15.75" customHeight="1">
      <c r="A409" s="68"/>
      <c r="B409" s="68"/>
      <c r="D409" s="68"/>
      <c r="E409" s="69"/>
      <c r="K409" s="68"/>
      <c r="M409" s="69"/>
      <c r="O409" s="68"/>
      <c r="P409" s="68"/>
      <c r="Q409" s="68"/>
      <c r="R409" s="68"/>
      <c r="S409" s="68"/>
    </row>
    <row r="410" spans="1:19" ht="15.75" customHeight="1">
      <c r="A410" s="68"/>
      <c r="B410" s="68"/>
      <c r="D410" s="68"/>
      <c r="E410" s="69"/>
      <c r="K410" s="68"/>
      <c r="M410" s="69"/>
      <c r="O410" s="68"/>
      <c r="P410" s="68"/>
      <c r="Q410" s="68"/>
      <c r="R410" s="68"/>
      <c r="S410" s="68"/>
    </row>
    <row r="411" spans="1:19" ht="15.75" customHeight="1">
      <c r="A411" s="68"/>
      <c r="B411" s="68"/>
      <c r="D411" s="68"/>
      <c r="E411" s="69"/>
      <c r="K411" s="68"/>
      <c r="M411" s="69"/>
      <c r="O411" s="68"/>
      <c r="P411" s="68"/>
      <c r="Q411" s="68"/>
      <c r="R411" s="68"/>
      <c r="S411" s="68"/>
    </row>
    <row r="412" spans="1:19" ht="15.75" customHeight="1">
      <c r="A412" s="68"/>
      <c r="B412" s="68"/>
      <c r="D412" s="68"/>
      <c r="E412" s="69"/>
      <c r="K412" s="68"/>
      <c r="M412" s="69"/>
      <c r="O412" s="68"/>
      <c r="P412" s="68"/>
      <c r="Q412" s="68"/>
      <c r="R412" s="68"/>
      <c r="S412" s="68"/>
    </row>
    <row r="413" spans="1:19" ht="15.75" customHeight="1">
      <c r="A413" s="68"/>
      <c r="B413" s="68"/>
      <c r="D413" s="68"/>
      <c r="E413" s="69"/>
      <c r="K413" s="68"/>
      <c r="M413" s="69"/>
      <c r="O413" s="68"/>
      <c r="P413" s="68"/>
      <c r="Q413" s="68"/>
      <c r="R413" s="68"/>
      <c r="S413" s="68"/>
    </row>
    <row r="414" spans="1:19" ht="15.75" customHeight="1">
      <c r="A414" s="68"/>
      <c r="B414" s="68"/>
      <c r="D414" s="68"/>
      <c r="E414" s="69"/>
      <c r="K414" s="68"/>
      <c r="M414" s="69"/>
      <c r="O414" s="68"/>
      <c r="P414" s="68"/>
      <c r="Q414" s="68"/>
      <c r="R414" s="68"/>
      <c r="S414" s="68"/>
    </row>
    <row r="415" spans="1:19" ht="15.75" customHeight="1">
      <c r="A415" s="68"/>
      <c r="B415" s="68"/>
      <c r="D415" s="68"/>
      <c r="E415" s="69"/>
      <c r="K415" s="68"/>
      <c r="M415" s="69"/>
      <c r="O415" s="68"/>
      <c r="P415" s="68"/>
      <c r="Q415" s="68"/>
      <c r="R415" s="68"/>
      <c r="S415" s="68"/>
    </row>
    <row r="416" spans="1:19" ht="15.75" customHeight="1">
      <c r="A416" s="68"/>
      <c r="B416" s="68"/>
      <c r="D416" s="68"/>
      <c r="E416" s="69"/>
      <c r="K416" s="68"/>
      <c r="M416" s="69"/>
      <c r="O416" s="68"/>
      <c r="P416" s="68"/>
      <c r="Q416" s="68"/>
      <c r="R416" s="68"/>
      <c r="S416" s="68"/>
    </row>
    <row r="417" spans="1:19" ht="15.75" customHeight="1">
      <c r="A417" s="68"/>
      <c r="B417" s="68"/>
      <c r="D417" s="68"/>
      <c r="E417" s="69"/>
      <c r="K417" s="68"/>
      <c r="M417" s="69"/>
      <c r="O417" s="68"/>
      <c r="P417" s="68"/>
      <c r="Q417" s="68"/>
      <c r="R417" s="68"/>
      <c r="S417" s="68"/>
    </row>
    <row r="418" spans="1:19" ht="15.75" customHeight="1">
      <c r="A418" s="68"/>
      <c r="B418" s="68"/>
      <c r="D418" s="68"/>
      <c r="E418" s="69"/>
      <c r="K418" s="68"/>
      <c r="M418" s="69"/>
      <c r="O418" s="68"/>
      <c r="P418" s="68"/>
      <c r="Q418" s="68"/>
      <c r="R418" s="68"/>
      <c r="S418" s="68"/>
    </row>
    <row r="419" spans="1:19" ht="15.75" customHeight="1">
      <c r="A419" s="68"/>
      <c r="B419" s="68"/>
      <c r="D419" s="68"/>
      <c r="E419" s="69"/>
      <c r="K419" s="68"/>
      <c r="M419" s="69"/>
      <c r="O419" s="68"/>
      <c r="P419" s="68"/>
      <c r="Q419" s="68"/>
      <c r="R419" s="68"/>
      <c r="S419" s="68"/>
    </row>
    <row r="420" spans="1:19" ht="15.75" customHeight="1">
      <c r="A420" s="68"/>
      <c r="B420" s="68"/>
      <c r="D420" s="68"/>
      <c r="E420" s="69"/>
      <c r="K420" s="68"/>
      <c r="M420" s="69"/>
      <c r="O420" s="68"/>
      <c r="P420" s="68"/>
      <c r="Q420" s="68"/>
      <c r="R420" s="68"/>
      <c r="S420" s="68"/>
    </row>
    <row r="421" spans="1:19" ht="15.75" customHeight="1">
      <c r="A421" s="68"/>
      <c r="B421" s="68"/>
      <c r="D421" s="68"/>
      <c r="E421" s="69"/>
      <c r="K421" s="68"/>
      <c r="M421" s="69"/>
      <c r="O421" s="68"/>
      <c r="P421" s="68"/>
      <c r="Q421" s="68"/>
      <c r="R421" s="68"/>
      <c r="S421" s="68"/>
    </row>
    <row r="422" spans="1:19" ht="15.75" customHeight="1">
      <c r="A422" s="68"/>
      <c r="B422" s="68"/>
      <c r="D422" s="68"/>
      <c r="E422" s="69"/>
      <c r="K422" s="68"/>
      <c r="M422" s="69"/>
      <c r="O422" s="68"/>
      <c r="P422" s="68"/>
      <c r="Q422" s="68"/>
      <c r="R422" s="68"/>
      <c r="S422" s="68"/>
    </row>
    <row r="423" spans="1:19" ht="15.75" customHeight="1">
      <c r="A423" s="68"/>
      <c r="B423" s="68"/>
      <c r="D423" s="68"/>
      <c r="E423" s="69"/>
      <c r="K423" s="68"/>
      <c r="M423" s="69"/>
      <c r="O423" s="68"/>
      <c r="P423" s="68"/>
      <c r="Q423" s="68"/>
      <c r="R423" s="68"/>
      <c r="S423" s="68"/>
    </row>
    <row r="424" spans="1:19" ht="15.75" customHeight="1">
      <c r="A424" s="68"/>
      <c r="B424" s="68"/>
      <c r="D424" s="68"/>
      <c r="E424" s="69"/>
      <c r="K424" s="68"/>
      <c r="M424" s="69"/>
      <c r="O424" s="68"/>
      <c r="P424" s="68"/>
      <c r="Q424" s="68"/>
      <c r="R424" s="68"/>
      <c r="S424" s="68"/>
    </row>
    <row r="425" spans="1:19" ht="15.75" customHeight="1">
      <c r="A425" s="68"/>
      <c r="B425" s="68"/>
      <c r="D425" s="68"/>
      <c r="E425" s="69"/>
      <c r="K425" s="68"/>
      <c r="M425" s="69"/>
      <c r="O425" s="68"/>
      <c r="P425" s="68"/>
      <c r="Q425" s="68"/>
      <c r="R425" s="68"/>
      <c r="S425" s="68"/>
    </row>
    <row r="426" spans="1:19" ht="15.75" customHeight="1">
      <c r="A426" s="68"/>
      <c r="B426" s="68"/>
      <c r="D426" s="68"/>
      <c r="E426" s="69"/>
      <c r="K426" s="68"/>
      <c r="M426" s="69"/>
      <c r="O426" s="68"/>
      <c r="P426" s="68"/>
      <c r="Q426" s="68"/>
      <c r="R426" s="68"/>
      <c r="S426" s="68"/>
    </row>
    <row r="427" spans="1:19" ht="15.75" customHeight="1">
      <c r="A427" s="68"/>
      <c r="B427" s="68"/>
      <c r="D427" s="68"/>
      <c r="E427" s="69"/>
      <c r="K427" s="68"/>
      <c r="M427" s="69"/>
      <c r="O427" s="68"/>
      <c r="P427" s="68"/>
      <c r="Q427" s="68"/>
      <c r="R427" s="68"/>
      <c r="S427" s="68"/>
    </row>
    <row r="428" spans="1:19" ht="15.75" customHeight="1">
      <c r="A428" s="68"/>
      <c r="B428" s="68"/>
      <c r="D428" s="68"/>
      <c r="E428" s="69"/>
      <c r="K428" s="68"/>
      <c r="M428" s="69"/>
      <c r="O428" s="68"/>
      <c r="P428" s="68"/>
      <c r="Q428" s="68"/>
      <c r="R428" s="68"/>
      <c r="S428" s="68"/>
    </row>
    <row r="429" spans="1:19" ht="15.75" customHeight="1">
      <c r="A429" s="68"/>
      <c r="B429" s="68"/>
      <c r="D429" s="68"/>
      <c r="E429" s="69"/>
      <c r="K429" s="68"/>
      <c r="M429" s="69"/>
      <c r="O429" s="68"/>
      <c r="P429" s="68"/>
      <c r="Q429" s="68"/>
      <c r="R429" s="68"/>
      <c r="S429" s="68"/>
    </row>
    <row r="430" spans="1:19" ht="15.75" customHeight="1">
      <c r="A430" s="68"/>
      <c r="B430" s="68"/>
      <c r="D430" s="68"/>
      <c r="E430" s="69"/>
      <c r="K430" s="68"/>
      <c r="M430" s="69"/>
      <c r="O430" s="68"/>
      <c r="P430" s="68"/>
      <c r="Q430" s="68"/>
      <c r="R430" s="68"/>
      <c r="S430" s="68"/>
    </row>
    <row r="431" spans="1:19" ht="15.75" customHeight="1">
      <c r="A431" s="68"/>
      <c r="B431" s="68"/>
      <c r="D431" s="68"/>
      <c r="E431" s="69"/>
      <c r="K431" s="68"/>
      <c r="M431" s="69"/>
      <c r="O431" s="68"/>
      <c r="P431" s="68"/>
      <c r="Q431" s="68"/>
      <c r="R431" s="68"/>
      <c r="S431" s="68"/>
    </row>
    <row r="432" spans="1:19" ht="15.75" customHeight="1">
      <c r="A432" s="68"/>
      <c r="B432" s="68"/>
      <c r="D432" s="68"/>
      <c r="E432" s="69"/>
      <c r="K432" s="68"/>
      <c r="M432" s="69"/>
      <c r="O432" s="68"/>
      <c r="P432" s="68"/>
      <c r="Q432" s="68"/>
      <c r="R432" s="68"/>
      <c r="S432" s="68"/>
    </row>
    <row r="433" spans="1:19" ht="15.75" customHeight="1">
      <c r="A433" s="68"/>
      <c r="B433" s="68"/>
      <c r="D433" s="68"/>
      <c r="E433" s="69"/>
      <c r="K433" s="68"/>
      <c r="M433" s="69"/>
      <c r="O433" s="68"/>
      <c r="P433" s="68"/>
      <c r="Q433" s="68"/>
      <c r="R433" s="68"/>
      <c r="S433" s="68"/>
    </row>
    <row r="434" spans="1:19" ht="15.75" customHeight="1">
      <c r="A434" s="68"/>
      <c r="B434" s="68"/>
      <c r="D434" s="68"/>
      <c r="E434" s="69"/>
      <c r="K434" s="68"/>
      <c r="M434" s="69"/>
      <c r="O434" s="68"/>
      <c r="P434" s="68"/>
      <c r="Q434" s="68"/>
      <c r="R434" s="68"/>
      <c r="S434" s="68"/>
    </row>
    <row r="435" spans="1:19" ht="15.75" customHeight="1">
      <c r="A435" s="68"/>
      <c r="B435" s="68"/>
      <c r="D435" s="68"/>
      <c r="E435" s="69"/>
      <c r="K435" s="68"/>
      <c r="M435" s="69"/>
      <c r="O435" s="68"/>
      <c r="P435" s="68"/>
      <c r="Q435" s="68"/>
      <c r="R435" s="68"/>
      <c r="S435" s="68"/>
    </row>
    <row r="436" spans="1:19" ht="15.75" customHeight="1">
      <c r="A436" s="68"/>
      <c r="B436" s="68"/>
      <c r="D436" s="68"/>
      <c r="E436" s="69"/>
      <c r="K436" s="68"/>
      <c r="M436" s="69"/>
      <c r="O436" s="68"/>
      <c r="P436" s="68"/>
      <c r="Q436" s="68"/>
      <c r="R436" s="68"/>
      <c r="S436" s="68"/>
    </row>
    <row r="437" spans="1:19" ht="15.75" customHeight="1">
      <c r="A437" s="68"/>
      <c r="B437" s="68"/>
      <c r="D437" s="68"/>
      <c r="E437" s="69"/>
      <c r="K437" s="68"/>
      <c r="M437" s="69"/>
      <c r="O437" s="68"/>
      <c r="P437" s="68"/>
      <c r="Q437" s="68"/>
      <c r="R437" s="68"/>
      <c r="S437" s="68"/>
    </row>
    <row r="438" spans="1:19" ht="15.75" customHeight="1">
      <c r="A438" s="68"/>
      <c r="B438" s="68"/>
      <c r="D438" s="68"/>
      <c r="E438" s="69"/>
      <c r="K438" s="68"/>
      <c r="M438" s="69"/>
      <c r="O438" s="68"/>
      <c r="P438" s="68"/>
      <c r="Q438" s="68"/>
      <c r="R438" s="68"/>
      <c r="S438" s="68"/>
    </row>
    <row r="439" spans="1:19" ht="15.75" customHeight="1">
      <c r="A439" s="68"/>
      <c r="B439" s="68"/>
      <c r="D439" s="68"/>
      <c r="E439" s="69"/>
      <c r="K439" s="68"/>
      <c r="M439" s="69"/>
      <c r="O439" s="68"/>
      <c r="P439" s="68"/>
      <c r="Q439" s="68"/>
      <c r="R439" s="68"/>
      <c r="S439" s="68"/>
    </row>
    <row r="440" spans="1:19" ht="15.75" customHeight="1">
      <c r="A440" s="68"/>
      <c r="B440" s="68"/>
      <c r="D440" s="68"/>
      <c r="E440" s="69"/>
      <c r="K440" s="68"/>
      <c r="M440" s="69"/>
      <c r="O440" s="68"/>
      <c r="P440" s="68"/>
      <c r="Q440" s="68"/>
      <c r="R440" s="68"/>
      <c r="S440" s="68"/>
    </row>
    <row r="441" spans="1:19" ht="15.75" customHeight="1">
      <c r="A441" s="68"/>
      <c r="B441" s="68"/>
      <c r="D441" s="68"/>
      <c r="E441" s="69"/>
      <c r="K441" s="68"/>
      <c r="M441" s="69"/>
      <c r="O441" s="68"/>
      <c r="P441" s="68"/>
      <c r="Q441" s="68"/>
      <c r="R441" s="68"/>
      <c r="S441" s="68"/>
    </row>
    <row r="442" spans="1:19" ht="15.75" customHeight="1">
      <c r="A442" s="68"/>
      <c r="B442" s="68"/>
      <c r="D442" s="68"/>
      <c r="E442" s="69"/>
      <c r="K442" s="68"/>
      <c r="M442" s="69"/>
      <c r="O442" s="68"/>
      <c r="P442" s="68"/>
      <c r="Q442" s="68"/>
      <c r="R442" s="68"/>
      <c r="S442" s="68"/>
    </row>
    <row r="443" spans="1:19" ht="15.75" customHeight="1">
      <c r="A443" s="68"/>
      <c r="B443" s="68"/>
      <c r="D443" s="68"/>
      <c r="E443" s="69"/>
      <c r="K443" s="68"/>
      <c r="M443" s="69"/>
      <c r="O443" s="68"/>
      <c r="P443" s="68"/>
      <c r="Q443" s="68"/>
      <c r="R443" s="68"/>
      <c r="S443" s="68"/>
    </row>
    <row r="444" spans="1:19" ht="15.75" customHeight="1">
      <c r="A444" s="68"/>
      <c r="B444" s="68"/>
      <c r="D444" s="68"/>
      <c r="E444" s="69"/>
      <c r="K444" s="68"/>
      <c r="M444" s="69"/>
      <c r="O444" s="68"/>
      <c r="P444" s="68"/>
      <c r="Q444" s="68"/>
      <c r="R444" s="68"/>
      <c r="S444" s="68"/>
    </row>
    <row r="445" spans="1:19" ht="15.75" customHeight="1">
      <c r="A445" s="68"/>
      <c r="B445" s="68"/>
      <c r="D445" s="68"/>
      <c r="E445" s="69"/>
      <c r="K445" s="68"/>
      <c r="M445" s="69"/>
      <c r="O445" s="68"/>
      <c r="P445" s="68"/>
      <c r="Q445" s="68"/>
      <c r="R445" s="68"/>
      <c r="S445" s="68"/>
    </row>
    <row r="446" spans="1:19" ht="15.75" customHeight="1">
      <c r="A446" s="68"/>
      <c r="B446" s="68"/>
      <c r="D446" s="68"/>
      <c r="E446" s="69"/>
      <c r="K446" s="68"/>
      <c r="M446" s="69"/>
      <c r="O446" s="68"/>
      <c r="P446" s="68"/>
      <c r="Q446" s="68"/>
      <c r="R446" s="68"/>
      <c r="S446" s="68"/>
    </row>
    <row r="447" spans="1:19" ht="15.75" customHeight="1">
      <c r="A447" s="68"/>
      <c r="B447" s="68"/>
      <c r="D447" s="68"/>
      <c r="E447" s="69"/>
      <c r="K447" s="68"/>
      <c r="M447" s="69"/>
      <c r="O447" s="68"/>
      <c r="P447" s="68"/>
      <c r="Q447" s="68"/>
      <c r="R447" s="68"/>
      <c r="S447" s="68"/>
    </row>
    <row r="448" spans="1:19" ht="15.75" customHeight="1">
      <c r="A448" s="68"/>
      <c r="B448" s="68"/>
      <c r="D448" s="68"/>
      <c r="E448" s="69"/>
      <c r="K448" s="68"/>
      <c r="M448" s="69"/>
      <c r="O448" s="68"/>
      <c r="P448" s="68"/>
      <c r="Q448" s="68"/>
      <c r="R448" s="68"/>
      <c r="S448" s="68"/>
    </row>
    <row r="449" spans="1:19" ht="15.75" customHeight="1">
      <c r="A449" s="68"/>
      <c r="B449" s="68"/>
      <c r="D449" s="68"/>
      <c r="E449" s="69"/>
      <c r="K449" s="68"/>
      <c r="M449" s="69"/>
      <c r="O449" s="68"/>
      <c r="P449" s="68"/>
      <c r="Q449" s="68"/>
      <c r="R449" s="68"/>
      <c r="S449" s="68"/>
    </row>
    <row r="450" spans="1:19" ht="15.75" customHeight="1">
      <c r="A450" s="68"/>
      <c r="B450" s="68"/>
      <c r="D450" s="68"/>
      <c r="E450" s="69"/>
      <c r="K450" s="68"/>
      <c r="M450" s="69"/>
      <c r="O450" s="68"/>
      <c r="P450" s="68"/>
      <c r="Q450" s="68"/>
      <c r="R450" s="68"/>
      <c r="S450" s="68"/>
    </row>
    <row r="451" spans="1:19" ht="15.75" customHeight="1">
      <c r="A451" s="68"/>
      <c r="B451" s="68"/>
      <c r="D451" s="68"/>
      <c r="E451" s="69"/>
      <c r="K451" s="68"/>
      <c r="M451" s="69"/>
      <c r="O451" s="68"/>
      <c r="P451" s="68"/>
      <c r="Q451" s="68"/>
      <c r="R451" s="68"/>
      <c r="S451" s="68"/>
    </row>
    <row r="452" spans="1:19" ht="15.75" customHeight="1">
      <c r="A452" s="68"/>
      <c r="B452" s="68"/>
      <c r="D452" s="68"/>
      <c r="E452" s="69"/>
      <c r="K452" s="68"/>
      <c r="M452" s="69"/>
      <c r="O452" s="68"/>
      <c r="P452" s="68"/>
      <c r="Q452" s="68"/>
      <c r="R452" s="68"/>
      <c r="S452" s="68"/>
    </row>
    <row r="453" spans="1:19" ht="15.75" customHeight="1">
      <c r="A453" s="68"/>
      <c r="B453" s="68"/>
      <c r="D453" s="68"/>
      <c r="E453" s="69"/>
      <c r="K453" s="68"/>
      <c r="M453" s="69"/>
      <c r="O453" s="68"/>
      <c r="P453" s="68"/>
      <c r="Q453" s="68"/>
      <c r="R453" s="68"/>
      <c r="S453" s="68"/>
    </row>
    <row r="454" spans="1:19" ht="15.75" customHeight="1">
      <c r="A454" s="68"/>
      <c r="B454" s="68"/>
      <c r="D454" s="68"/>
      <c r="E454" s="69"/>
      <c r="K454" s="68"/>
      <c r="M454" s="69"/>
      <c r="O454" s="68"/>
      <c r="P454" s="68"/>
      <c r="Q454" s="68"/>
      <c r="R454" s="68"/>
      <c r="S454" s="68"/>
    </row>
    <row r="455" spans="1:19" ht="15.75" customHeight="1">
      <c r="A455" s="68"/>
      <c r="B455" s="68"/>
      <c r="D455" s="68"/>
      <c r="E455" s="69"/>
      <c r="K455" s="68"/>
      <c r="M455" s="69"/>
      <c r="O455" s="68"/>
      <c r="P455" s="68"/>
      <c r="Q455" s="68"/>
      <c r="R455" s="68"/>
      <c r="S455" s="68"/>
    </row>
    <row r="456" spans="1:19" ht="15.75" customHeight="1">
      <c r="A456" s="68"/>
      <c r="B456" s="68"/>
      <c r="D456" s="68"/>
      <c r="E456" s="69"/>
      <c r="K456" s="68"/>
      <c r="M456" s="69"/>
      <c r="O456" s="68"/>
      <c r="P456" s="68"/>
      <c r="Q456" s="68"/>
      <c r="R456" s="68"/>
      <c r="S456" s="68"/>
    </row>
    <row r="457" spans="1:19" ht="15.75" customHeight="1">
      <c r="A457" s="68"/>
      <c r="B457" s="68"/>
      <c r="D457" s="68"/>
      <c r="E457" s="69"/>
      <c r="K457" s="68"/>
      <c r="M457" s="69"/>
      <c r="O457" s="68"/>
      <c r="P457" s="68"/>
      <c r="Q457" s="68"/>
      <c r="R457" s="68"/>
      <c r="S457" s="68"/>
    </row>
    <row r="458" spans="1:19" ht="15.75" customHeight="1">
      <c r="A458" s="68"/>
      <c r="B458" s="68"/>
      <c r="D458" s="68"/>
      <c r="E458" s="69"/>
      <c r="K458" s="68"/>
      <c r="M458" s="69"/>
      <c r="O458" s="68"/>
      <c r="P458" s="68"/>
      <c r="Q458" s="68"/>
      <c r="R458" s="68"/>
      <c r="S458" s="68"/>
    </row>
    <row r="459" spans="1:19" ht="15.75" customHeight="1">
      <c r="A459" s="68"/>
      <c r="B459" s="68"/>
      <c r="D459" s="68"/>
      <c r="E459" s="69"/>
      <c r="K459" s="68"/>
      <c r="M459" s="69"/>
      <c r="O459" s="68"/>
      <c r="P459" s="68"/>
      <c r="Q459" s="68"/>
      <c r="R459" s="68"/>
      <c r="S459" s="68"/>
    </row>
    <row r="460" spans="1:19" ht="15.75" customHeight="1">
      <c r="A460" s="68"/>
      <c r="B460" s="68"/>
      <c r="D460" s="68"/>
      <c r="E460" s="69"/>
      <c r="K460" s="68"/>
      <c r="M460" s="69"/>
      <c r="O460" s="68"/>
      <c r="P460" s="68"/>
      <c r="Q460" s="68"/>
      <c r="R460" s="68"/>
      <c r="S460" s="68"/>
    </row>
    <row r="461" spans="1:19" ht="15.75" customHeight="1">
      <c r="A461" s="68"/>
      <c r="B461" s="68"/>
      <c r="D461" s="68"/>
      <c r="E461" s="69"/>
      <c r="K461" s="68"/>
      <c r="M461" s="69"/>
      <c r="O461" s="68"/>
      <c r="P461" s="68"/>
      <c r="Q461" s="68"/>
      <c r="R461" s="68"/>
      <c r="S461" s="68"/>
    </row>
    <row r="462" spans="1:19" ht="15.75" customHeight="1">
      <c r="A462" s="68"/>
      <c r="B462" s="68"/>
      <c r="D462" s="68"/>
      <c r="E462" s="69"/>
      <c r="K462" s="68"/>
      <c r="M462" s="69"/>
      <c r="O462" s="68"/>
      <c r="P462" s="68"/>
      <c r="Q462" s="68"/>
      <c r="R462" s="68"/>
      <c r="S462" s="68"/>
    </row>
    <row r="463" spans="1:19" ht="15.75" customHeight="1">
      <c r="A463" s="68"/>
      <c r="B463" s="68"/>
      <c r="D463" s="68"/>
      <c r="E463" s="69"/>
      <c r="K463" s="68"/>
      <c r="M463" s="69"/>
      <c r="O463" s="68"/>
      <c r="P463" s="68"/>
      <c r="Q463" s="68"/>
      <c r="R463" s="68"/>
      <c r="S463" s="68"/>
    </row>
    <row r="464" spans="1:19" ht="15.75" customHeight="1">
      <c r="A464" s="68"/>
      <c r="B464" s="68"/>
      <c r="D464" s="68"/>
      <c r="E464" s="69"/>
      <c r="K464" s="68"/>
      <c r="M464" s="69"/>
      <c r="O464" s="68"/>
      <c r="P464" s="68"/>
      <c r="Q464" s="68"/>
      <c r="R464" s="68"/>
      <c r="S464" s="68"/>
    </row>
    <row r="465" spans="1:19" ht="15.75" customHeight="1">
      <c r="A465" s="68"/>
      <c r="B465" s="68"/>
      <c r="D465" s="68"/>
      <c r="E465" s="69"/>
      <c r="K465" s="68"/>
      <c r="M465" s="69"/>
      <c r="O465" s="68"/>
      <c r="P465" s="68"/>
      <c r="Q465" s="68"/>
      <c r="R465" s="68"/>
      <c r="S465" s="68"/>
    </row>
    <row r="466" spans="1:19" ht="15.75" customHeight="1">
      <c r="A466" s="68"/>
      <c r="B466" s="68"/>
      <c r="D466" s="68"/>
      <c r="E466" s="69"/>
      <c r="K466" s="68"/>
      <c r="M466" s="69"/>
      <c r="O466" s="68"/>
      <c r="P466" s="68"/>
      <c r="Q466" s="68"/>
      <c r="R466" s="68"/>
      <c r="S466" s="68"/>
    </row>
    <row r="467" spans="1:19" ht="15.75" customHeight="1">
      <c r="A467" s="68"/>
      <c r="B467" s="68"/>
      <c r="D467" s="68"/>
      <c r="E467" s="69"/>
      <c r="K467" s="68"/>
      <c r="M467" s="69"/>
      <c r="O467" s="68"/>
      <c r="P467" s="68"/>
      <c r="Q467" s="68"/>
      <c r="R467" s="68"/>
      <c r="S467" s="68"/>
    </row>
    <row r="468" spans="1:19" ht="15.75" customHeight="1">
      <c r="A468" s="68"/>
      <c r="B468" s="68"/>
      <c r="D468" s="68"/>
      <c r="E468" s="69"/>
      <c r="K468" s="68"/>
      <c r="M468" s="69"/>
      <c r="O468" s="68"/>
      <c r="P468" s="68"/>
      <c r="Q468" s="68"/>
      <c r="R468" s="68"/>
      <c r="S468" s="68"/>
    </row>
    <row r="469" spans="1:19" ht="15.75" customHeight="1">
      <c r="A469" s="68"/>
      <c r="B469" s="68"/>
      <c r="D469" s="68"/>
      <c r="E469" s="69"/>
      <c r="K469" s="68"/>
      <c r="M469" s="69"/>
      <c r="O469" s="68"/>
      <c r="P469" s="68"/>
      <c r="Q469" s="68"/>
      <c r="R469" s="68"/>
      <c r="S469" s="68"/>
    </row>
    <row r="470" spans="1:19" ht="15.75" customHeight="1">
      <c r="A470" s="68"/>
      <c r="B470" s="68"/>
      <c r="D470" s="68"/>
      <c r="E470" s="69"/>
      <c r="K470" s="68"/>
      <c r="M470" s="69"/>
      <c r="O470" s="68"/>
      <c r="P470" s="68"/>
      <c r="Q470" s="68"/>
      <c r="R470" s="68"/>
      <c r="S470" s="68"/>
    </row>
    <row r="471" spans="1:19" ht="15.75" customHeight="1">
      <c r="A471" s="68"/>
      <c r="B471" s="68"/>
      <c r="D471" s="68"/>
      <c r="E471" s="69"/>
      <c r="K471" s="68"/>
      <c r="M471" s="69"/>
      <c r="O471" s="68"/>
      <c r="P471" s="68"/>
      <c r="Q471" s="68"/>
      <c r="R471" s="68"/>
      <c r="S471" s="68"/>
    </row>
    <row r="472" spans="1:19" ht="15.75" customHeight="1">
      <c r="A472" s="68"/>
      <c r="B472" s="68"/>
      <c r="D472" s="68"/>
      <c r="E472" s="69"/>
      <c r="K472" s="68"/>
      <c r="M472" s="69"/>
      <c r="O472" s="68"/>
      <c r="P472" s="68"/>
      <c r="Q472" s="68"/>
      <c r="R472" s="68"/>
      <c r="S472" s="68"/>
    </row>
    <row r="473" spans="1:19" ht="15.75" customHeight="1">
      <c r="A473" s="68"/>
      <c r="B473" s="68"/>
      <c r="D473" s="68"/>
      <c r="E473" s="69"/>
      <c r="K473" s="68"/>
      <c r="M473" s="69"/>
      <c r="O473" s="68"/>
      <c r="P473" s="68"/>
      <c r="Q473" s="68"/>
      <c r="R473" s="68"/>
      <c r="S473" s="68"/>
    </row>
    <row r="474" spans="1:19" ht="15.75" customHeight="1">
      <c r="A474" s="68"/>
      <c r="B474" s="68"/>
      <c r="D474" s="68"/>
      <c r="E474" s="69"/>
      <c r="K474" s="68"/>
      <c r="M474" s="69"/>
      <c r="O474" s="68"/>
      <c r="P474" s="68"/>
      <c r="Q474" s="68"/>
      <c r="R474" s="68"/>
      <c r="S474" s="68"/>
    </row>
    <row r="475" spans="1:19" ht="15.75" customHeight="1">
      <c r="A475" s="68"/>
      <c r="B475" s="68"/>
      <c r="D475" s="68"/>
      <c r="E475" s="69"/>
      <c r="K475" s="68"/>
      <c r="M475" s="69"/>
      <c r="O475" s="68"/>
      <c r="P475" s="68"/>
      <c r="Q475" s="68"/>
      <c r="R475" s="68"/>
      <c r="S475" s="68"/>
    </row>
    <row r="476" spans="1:19" ht="15.75" customHeight="1">
      <c r="A476" s="68"/>
      <c r="B476" s="68"/>
      <c r="D476" s="68"/>
      <c r="E476" s="69"/>
      <c r="K476" s="68"/>
      <c r="M476" s="69"/>
      <c r="O476" s="68"/>
      <c r="P476" s="68"/>
      <c r="Q476" s="68"/>
      <c r="R476" s="68"/>
      <c r="S476" s="68"/>
    </row>
    <row r="477" spans="1:19" ht="15.75" customHeight="1">
      <c r="A477" s="68"/>
      <c r="B477" s="68"/>
      <c r="D477" s="68"/>
      <c r="E477" s="69"/>
      <c r="K477" s="68"/>
      <c r="M477" s="69"/>
      <c r="O477" s="68"/>
      <c r="P477" s="68"/>
      <c r="Q477" s="68"/>
      <c r="R477" s="68"/>
      <c r="S477" s="68"/>
    </row>
    <row r="478" spans="1:19" ht="15.75" customHeight="1">
      <c r="A478" s="68"/>
      <c r="B478" s="68"/>
      <c r="D478" s="68"/>
      <c r="E478" s="69"/>
      <c r="K478" s="68"/>
      <c r="M478" s="69"/>
      <c r="O478" s="68"/>
      <c r="P478" s="68"/>
      <c r="Q478" s="68"/>
      <c r="R478" s="68"/>
      <c r="S478" s="68"/>
    </row>
    <row r="479" spans="1:19" ht="15.75" customHeight="1">
      <c r="A479" s="68"/>
      <c r="B479" s="68"/>
      <c r="D479" s="68"/>
      <c r="E479" s="69"/>
      <c r="K479" s="68"/>
      <c r="M479" s="69"/>
      <c r="O479" s="68"/>
      <c r="P479" s="68"/>
      <c r="Q479" s="68"/>
      <c r="R479" s="68"/>
      <c r="S479" s="68"/>
    </row>
    <row r="480" spans="1:19" ht="15.75" customHeight="1">
      <c r="A480" s="68"/>
      <c r="B480" s="68"/>
      <c r="D480" s="68"/>
      <c r="E480" s="69"/>
      <c r="K480" s="68"/>
      <c r="M480" s="69"/>
      <c r="O480" s="68"/>
      <c r="P480" s="68"/>
      <c r="Q480" s="68"/>
      <c r="R480" s="68"/>
      <c r="S480" s="68"/>
    </row>
    <row r="481" spans="1:19" ht="15.75" customHeight="1">
      <c r="A481" s="68"/>
      <c r="B481" s="68"/>
      <c r="D481" s="68"/>
      <c r="E481" s="69"/>
      <c r="K481" s="68"/>
      <c r="M481" s="69"/>
      <c r="O481" s="68"/>
      <c r="P481" s="68"/>
      <c r="Q481" s="68"/>
      <c r="R481" s="68"/>
      <c r="S481" s="68"/>
    </row>
    <row r="482" spans="1:19" ht="15.75" customHeight="1">
      <c r="A482" s="68"/>
      <c r="B482" s="68"/>
      <c r="D482" s="68"/>
      <c r="E482" s="69"/>
      <c r="K482" s="68"/>
      <c r="M482" s="69"/>
      <c r="O482" s="68"/>
      <c r="P482" s="68"/>
      <c r="Q482" s="68"/>
      <c r="R482" s="68"/>
      <c r="S482" s="68"/>
    </row>
    <row r="483" spans="1:19" ht="15.75" customHeight="1">
      <c r="A483" s="68"/>
      <c r="B483" s="68"/>
      <c r="D483" s="68"/>
      <c r="E483" s="69"/>
      <c r="K483" s="68"/>
      <c r="M483" s="69"/>
      <c r="O483" s="68"/>
      <c r="P483" s="68"/>
      <c r="Q483" s="68"/>
      <c r="R483" s="68"/>
      <c r="S483" s="68"/>
    </row>
    <row r="484" spans="1:19" ht="15.75" customHeight="1">
      <c r="A484" s="68"/>
      <c r="B484" s="68"/>
      <c r="D484" s="68"/>
      <c r="E484" s="69"/>
      <c r="K484" s="68"/>
      <c r="M484" s="69"/>
      <c r="O484" s="68"/>
      <c r="P484" s="68"/>
      <c r="Q484" s="68"/>
      <c r="R484" s="68"/>
      <c r="S484" s="68"/>
    </row>
    <row r="485" spans="1:19" ht="15.75" customHeight="1">
      <c r="A485" s="68"/>
      <c r="B485" s="68"/>
      <c r="D485" s="68"/>
      <c r="E485" s="69"/>
      <c r="K485" s="68"/>
      <c r="M485" s="69"/>
      <c r="O485" s="68"/>
      <c r="P485" s="68"/>
      <c r="Q485" s="68"/>
      <c r="R485" s="68"/>
      <c r="S485" s="68"/>
    </row>
    <row r="486" spans="1:19" ht="15.75" customHeight="1">
      <c r="A486" s="68"/>
      <c r="B486" s="68"/>
      <c r="D486" s="68"/>
      <c r="E486" s="69"/>
      <c r="K486" s="68"/>
      <c r="M486" s="69"/>
      <c r="O486" s="68"/>
      <c r="P486" s="68"/>
      <c r="Q486" s="68"/>
      <c r="R486" s="68"/>
      <c r="S486" s="68"/>
    </row>
    <row r="487" spans="1:19" ht="15.75" customHeight="1">
      <c r="A487" s="68"/>
      <c r="B487" s="68"/>
      <c r="D487" s="68"/>
      <c r="E487" s="69"/>
      <c r="K487" s="68"/>
      <c r="M487" s="69"/>
      <c r="O487" s="68"/>
      <c r="P487" s="68"/>
      <c r="Q487" s="68"/>
      <c r="R487" s="68"/>
      <c r="S487" s="68"/>
    </row>
    <row r="488" spans="1:19" ht="15.75" customHeight="1">
      <c r="A488" s="68"/>
      <c r="B488" s="68"/>
      <c r="D488" s="68"/>
      <c r="E488" s="69"/>
      <c r="K488" s="68"/>
      <c r="M488" s="69"/>
      <c r="O488" s="68"/>
      <c r="P488" s="68"/>
      <c r="Q488" s="68"/>
      <c r="R488" s="68"/>
      <c r="S488" s="68"/>
    </row>
    <row r="489" spans="1:19" ht="15.75" customHeight="1">
      <c r="A489" s="68"/>
      <c r="B489" s="68"/>
      <c r="D489" s="68"/>
      <c r="E489" s="69"/>
      <c r="K489" s="68"/>
      <c r="M489" s="69"/>
      <c r="O489" s="68"/>
      <c r="P489" s="68"/>
      <c r="Q489" s="68"/>
      <c r="R489" s="68"/>
      <c r="S489" s="68"/>
    </row>
    <row r="490" spans="1:19" ht="15.75" customHeight="1">
      <c r="A490" s="68"/>
      <c r="B490" s="68"/>
      <c r="D490" s="68"/>
      <c r="E490" s="69"/>
      <c r="K490" s="68"/>
      <c r="M490" s="69"/>
      <c r="O490" s="68"/>
      <c r="P490" s="68"/>
      <c r="Q490" s="68"/>
      <c r="R490" s="68"/>
      <c r="S490" s="68"/>
    </row>
    <row r="491" spans="1:19" ht="15.75" customHeight="1">
      <c r="A491" s="68"/>
      <c r="B491" s="68"/>
      <c r="D491" s="68"/>
      <c r="E491" s="69"/>
      <c r="K491" s="68"/>
      <c r="M491" s="69"/>
      <c r="O491" s="68"/>
      <c r="P491" s="68"/>
      <c r="Q491" s="68"/>
      <c r="R491" s="68"/>
      <c r="S491" s="68"/>
    </row>
    <row r="492" spans="1:19" ht="15.75" customHeight="1">
      <c r="A492" s="68"/>
      <c r="B492" s="68"/>
      <c r="D492" s="68"/>
      <c r="E492" s="69"/>
      <c r="K492" s="68"/>
      <c r="M492" s="69"/>
      <c r="O492" s="68"/>
      <c r="P492" s="68"/>
      <c r="Q492" s="68"/>
      <c r="R492" s="68"/>
      <c r="S492" s="68"/>
    </row>
    <row r="493" spans="1:19" ht="15.75" customHeight="1">
      <c r="A493" s="68"/>
      <c r="B493" s="68"/>
      <c r="D493" s="68"/>
      <c r="E493" s="69"/>
      <c r="K493" s="68"/>
      <c r="M493" s="69"/>
      <c r="O493" s="68"/>
      <c r="P493" s="68"/>
      <c r="Q493" s="68"/>
      <c r="R493" s="68"/>
      <c r="S493" s="68"/>
    </row>
    <row r="494" spans="1:19" ht="15.75" customHeight="1">
      <c r="A494" s="68"/>
      <c r="B494" s="68"/>
      <c r="D494" s="68"/>
      <c r="E494" s="69"/>
      <c r="K494" s="68"/>
      <c r="M494" s="69"/>
      <c r="O494" s="68"/>
      <c r="P494" s="68"/>
      <c r="Q494" s="68"/>
      <c r="R494" s="68"/>
      <c r="S494" s="68"/>
    </row>
    <row r="495" spans="1:19" ht="15.75" customHeight="1">
      <c r="A495" s="68"/>
      <c r="B495" s="68"/>
      <c r="D495" s="68"/>
      <c r="E495" s="69"/>
      <c r="K495" s="68"/>
      <c r="M495" s="69"/>
      <c r="O495" s="68"/>
      <c r="P495" s="68"/>
      <c r="Q495" s="68"/>
      <c r="R495" s="68"/>
      <c r="S495" s="68"/>
    </row>
    <row r="496" spans="1:19" ht="15.75" customHeight="1">
      <c r="A496" s="68"/>
      <c r="B496" s="68"/>
      <c r="D496" s="68"/>
      <c r="E496" s="69"/>
      <c r="K496" s="68"/>
      <c r="M496" s="69"/>
      <c r="O496" s="68"/>
      <c r="P496" s="68"/>
      <c r="Q496" s="68"/>
      <c r="R496" s="68"/>
      <c r="S496" s="68"/>
    </row>
    <row r="497" spans="1:19" ht="15.75" customHeight="1">
      <c r="A497" s="68"/>
      <c r="B497" s="68"/>
      <c r="D497" s="68"/>
      <c r="E497" s="69"/>
      <c r="K497" s="68"/>
      <c r="M497" s="69"/>
      <c r="O497" s="68"/>
      <c r="P497" s="68"/>
      <c r="Q497" s="68"/>
      <c r="R497" s="68"/>
      <c r="S497" s="68"/>
    </row>
    <row r="498" spans="1:19" ht="15.75" customHeight="1">
      <c r="A498" s="68"/>
      <c r="B498" s="68"/>
      <c r="D498" s="68"/>
      <c r="E498" s="69"/>
      <c r="K498" s="68"/>
      <c r="M498" s="69"/>
      <c r="O498" s="68"/>
      <c r="P498" s="68"/>
      <c r="Q498" s="68"/>
      <c r="R498" s="68"/>
      <c r="S498" s="68"/>
    </row>
    <row r="499" spans="1:19" ht="15.75" customHeight="1">
      <c r="A499" s="68"/>
      <c r="B499" s="68"/>
      <c r="D499" s="68"/>
      <c r="E499" s="69"/>
      <c r="K499" s="68"/>
      <c r="M499" s="69"/>
      <c r="O499" s="68"/>
      <c r="P499" s="68"/>
      <c r="Q499" s="68"/>
      <c r="R499" s="68"/>
      <c r="S499" s="68"/>
    </row>
    <row r="500" spans="1:19" ht="15.75" customHeight="1">
      <c r="A500" s="68"/>
      <c r="B500" s="68"/>
      <c r="D500" s="68"/>
      <c r="E500" s="69"/>
      <c r="K500" s="68"/>
      <c r="M500" s="69"/>
      <c r="O500" s="68"/>
      <c r="P500" s="68"/>
      <c r="Q500" s="68"/>
      <c r="R500" s="68"/>
      <c r="S500" s="68"/>
    </row>
    <row r="501" spans="1:19" ht="15.75" customHeight="1">
      <c r="A501" s="68"/>
      <c r="B501" s="68"/>
      <c r="D501" s="68"/>
      <c r="E501" s="69"/>
      <c r="K501" s="68"/>
      <c r="M501" s="69"/>
      <c r="O501" s="68"/>
      <c r="P501" s="68"/>
      <c r="Q501" s="68"/>
      <c r="R501" s="68"/>
      <c r="S501" s="68"/>
    </row>
    <row r="502" spans="1:19" ht="15.75" customHeight="1">
      <c r="A502" s="68"/>
      <c r="B502" s="68"/>
      <c r="D502" s="68"/>
      <c r="E502" s="69"/>
      <c r="K502" s="68"/>
      <c r="M502" s="69"/>
      <c r="O502" s="68"/>
      <c r="P502" s="68"/>
      <c r="Q502" s="68"/>
      <c r="R502" s="68"/>
      <c r="S502" s="68"/>
    </row>
    <row r="503" spans="1:19" ht="15.75" customHeight="1">
      <c r="A503" s="68"/>
      <c r="B503" s="68"/>
      <c r="D503" s="68"/>
      <c r="E503" s="69"/>
      <c r="K503" s="68"/>
      <c r="M503" s="69"/>
      <c r="O503" s="68"/>
      <c r="P503" s="68"/>
      <c r="Q503" s="68"/>
      <c r="R503" s="68"/>
      <c r="S503" s="68"/>
    </row>
    <row r="504" spans="1:19" ht="15.75" customHeight="1">
      <c r="A504" s="68"/>
      <c r="B504" s="68"/>
      <c r="D504" s="68"/>
      <c r="E504" s="69"/>
      <c r="K504" s="68"/>
      <c r="M504" s="69"/>
      <c r="O504" s="68"/>
      <c r="P504" s="68"/>
      <c r="Q504" s="68"/>
      <c r="R504" s="68"/>
      <c r="S504" s="68"/>
    </row>
    <row r="505" spans="1:19" ht="15.75" customHeight="1">
      <c r="A505" s="68"/>
      <c r="B505" s="68"/>
      <c r="D505" s="68"/>
      <c r="E505" s="69"/>
      <c r="K505" s="68"/>
      <c r="M505" s="69"/>
      <c r="O505" s="68"/>
      <c r="P505" s="68"/>
      <c r="Q505" s="68"/>
      <c r="R505" s="68"/>
      <c r="S505" s="68"/>
    </row>
    <row r="506" spans="1:19" ht="15.75" customHeight="1">
      <c r="A506" s="68"/>
      <c r="B506" s="68"/>
      <c r="D506" s="68"/>
      <c r="E506" s="69"/>
      <c r="K506" s="68"/>
      <c r="M506" s="69"/>
      <c r="O506" s="68"/>
      <c r="P506" s="68"/>
      <c r="Q506" s="68"/>
      <c r="R506" s="68"/>
      <c r="S506" s="68"/>
    </row>
    <row r="507" spans="1:19" ht="15.75" customHeight="1">
      <c r="A507" s="68"/>
      <c r="B507" s="68"/>
      <c r="D507" s="68"/>
      <c r="E507" s="69"/>
      <c r="K507" s="68"/>
      <c r="M507" s="69"/>
      <c r="O507" s="68"/>
      <c r="P507" s="68"/>
      <c r="Q507" s="68"/>
      <c r="R507" s="68"/>
      <c r="S507" s="68"/>
    </row>
    <row r="508" spans="1:19" ht="15.75" customHeight="1">
      <c r="A508" s="68"/>
      <c r="B508" s="68"/>
      <c r="D508" s="68"/>
      <c r="E508" s="69"/>
      <c r="K508" s="68"/>
      <c r="M508" s="69"/>
      <c r="O508" s="68"/>
      <c r="P508" s="68"/>
      <c r="Q508" s="68"/>
      <c r="R508" s="68"/>
      <c r="S508" s="68"/>
    </row>
    <row r="509" spans="1:19" ht="15.75" customHeight="1">
      <c r="A509" s="68"/>
      <c r="B509" s="68"/>
      <c r="D509" s="68"/>
      <c r="E509" s="69"/>
      <c r="K509" s="68"/>
      <c r="M509" s="69"/>
      <c r="O509" s="68"/>
      <c r="P509" s="68"/>
      <c r="Q509" s="68"/>
      <c r="R509" s="68"/>
      <c r="S509" s="68"/>
    </row>
    <row r="510" spans="1:19" ht="15.75" customHeight="1">
      <c r="A510" s="68"/>
      <c r="B510" s="68"/>
      <c r="D510" s="68"/>
      <c r="E510" s="69"/>
      <c r="K510" s="68"/>
      <c r="M510" s="69"/>
      <c r="O510" s="68"/>
      <c r="P510" s="68"/>
      <c r="Q510" s="68"/>
      <c r="R510" s="68"/>
      <c r="S510" s="68"/>
    </row>
    <row r="511" spans="1:19" ht="15.75" customHeight="1">
      <c r="A511" s="68"/>
      <c r="B511" s="68"/>
      <c r="D511" s="68"/>
      <c r="E511" s="69"/>
      <c r="K511" s="68"/>
      <c r="M511" s="69"/>
      <c r="O511" s="68"/>
      <c r="P511" s="68"/>
      <c r="Q511" s="68"/>
      <c r="R511" s="68"/>
      <c r="S511" s="68"/>
    </row>
    <row r="512" spans="1:19" ht="15.75" customHeight="1">
      <c r="A512" s="68"/>
      <c r="B512" s="68"/>
      <c r="D512" s="68"/>
      <c r="E512" s="69"/>
      <c r="K512" s="68"/>
      <c r="M512" s="69"/>
      <c r="O512" s="68"/>
      <c r="P512" s="68"/>
      <c r="Q512" s="68"/>
      <c r="R512" s="68"/>
      <c r="S512" s="68"/>
    </row>
    <row r="513" spans="1:19" ht="15.75" customHeight="1">
      <c r="A513" s="68"/>
      <c r="B513" s="68"/>
      <c r="D513" s="68"/>
      <c r="E513" s="69"/>
      <c r="K513" s="68"/>
      <c r="M513" s="69"/>
      <c r="O513" s="68"/>
      <c r="P513" s="68"/>
      <c r="Q513" s="68"/>
      <c r="R513" s="68"/>
      <c r="S513" s="68"/>
    </row>
    <row r="514" spans="1:19" ht="15.75" customHeight="1">
      <c r="A514" s="68"/>
      <c r="B514" s="68"/>
      <c r="D514" s="68"/>
      <c r="E514" s="69"/>
      <c r="K514" s="68"/>
      <c r="M514" s="69"/>
      <c r="O514" s="68"/>
      <c r="P514" s="68"/>
      <c r="Q514" s="68"/>
      <c r="R514" s="68"/>
      <c r="S514" s="68"/>
    </row>
    <row r="515" spans="1:19" ht="15.75" customHeight="1">
      <c r="A515" s="68"/>
      <c r="B515" s="68"/>
      <c r="D515" s="68"/>
      <c r="E515" s="69"/>
      <c r="K515" s="68"/>
      <c r="M515" s="69"/>
      <c r="O515" s="68"/>
      <c r="P515" s="68"/>
      <c r="Q515" s="68"/>
      <c r="R515" s="68"/>
      <c r="S515" s="68"/>
    </row>
    <row r="516" spans="1:19" ht="15.75" customHeight="1">
      <c r="A516" s="68"/>
      <c r="B516" s="68"/>
      <c r="D516" s="68"/>
      <c r="E516" s="69"/>
      <c r="K516" s="68"/>
      <c r="M516" s="69"/>
      <c r="O516" s="68"/>
      <c r="P516" s="68"/>
      <c r="Q516" s="68"/>
      <c r="R516" s="68"/>
      <c r="S516" s="68"/>
    </row>
    <row r="517" spans="1:19" ht="15.75" customHeight="1">
      <c r="A517" s="68"/>
      <c r="B517" s="68"/>
      <c r="D517" s="68"/>
      <c r="E517" s="69"/>
      <c r="K517" s="68"/>
      <c r="M517" s="69"/>
      <c r="O517" s="68"/>
      <c r="P517" s="68"/>
      <c r="Q517" s="68"/>
      <c r="R517" s="68"/>
      <c r="S517" s="68"/>
    </row>
    <row r="518" spans="1:19" ht="15.75" customHeight="1">
      <c r="A518" s="68"/>
      <c r="B518" s="68"/>
      <c r="D518" s="68"/>
      <c r="E518" s="69"/>
      <c r="K518" s="68"/>
      <c r="M518" s="69"/>
      <c r="O518" s="68"/>
      <c r="P518" s="68"/>
      <c r="Q518" s="68"/>
      <c r="R518" s="68"/>
      <c r="S518" s="68"/>
    </row>
    <row r="519" spans="1:19" ht="15.75" customHeight="1">
      <c r="A519" s="68"/>
      <c r="B519" s="68"/>
      <c r="D519" s="68"/>
      <c r="E519" s="69"/>
      <c r="K519" s="68"/>
      <c r="M519" s="69"/>
      <c r="O519" s="68"/>
      <c r="P519" s="68"/>
      <c r="Q519" s="68"/>
      <c r="R519" s="68"/>
      <c r="S519" s="68"/>
    </row>
    <row r="520" spans="1:19" ht="15.75" customHeight="1">
      <c r="A520" s="68"/>
      <c r="B520" s="68"/>
      <c r="D520" s="68"/>
      <c r="E520" s="69"/>
      <c r="K520" s="68"/>
      <c r="M520" s="69"/>
      <c r="O520" s="68"/>
      <c r="P520" s="68"/>
      <c r="Q520" s="68"/>
      <c r="R520" s="68"/>
      <c r="S520" s="68"/>
    </row>
    <row r="521" spans="1:19" ht="15.75" customHeight="1">
      <c r="A521" s="68"/>
      <c r="B521" s="68"/>
      <c r="D521" s="68"/>
      <c r="E521" s="69"/>
      <c r="K521" s="68"/>
      <c r="M521" s="69"/>
      <c r="O521" s="68"/>
      <c r="P521" s="68"/>
      <c r="Q521" s="68"/>
      <c r="R521" s="68"/>
      <c r="S521" s="68"/>
    </row>
    <row r="522" spans="1:19" ht="15.75" customHeight="1">
      <c r="A522" s="68"/>
      <c r="B522" s="68"/>
      <c r="D522" s="68"/>
      <c r="E522" s="69"/>
      <c r="K522" s="68"/>
      <c r="M522" s="69"/>
      <c r="O522" s="68"/>
      <c r="P522" s="68"/>
      <c r="Q522" s="68"/>
      <c r="R522" s="68"/>
      <c r="S522" s="68"/>
    </row>
    <row r="523" spans="1:19" ht="15.75" customHeight="1">
      <c r="A523" s="68"/>
      <c r="B523" s="68"/>
      <c r="D523" s="68"/>
      <c r="E523" s="69"/>
      <c r="K523" s="68"/>
      <c r="M523" s="69"/>
      <c r="O523" s="68"/>
      <c r="P523" s="68"/>
      <c r="Q523" s="68"/>
      <c r="R523" s="68"/>
      <c r="S523" s="68"/>
    </row>
    <row r="524" spans="1:19" ht="15.75" customHeight="1">
      <c r="A524" s="68"/>
      <c r="B524" s="68"/>
      <c r="D524" s="68"/>
      <c r="E524" s="69"/>
      <c r="K524" s="68"/>
      <c r="M524" s="69"/>
      <c r="O524" s="68"/>
      <c r="P524" s="68"/>
      <c r="Q524" s="68"/>
      <c r="R524" s="68"/>
      <c r="S524" s="68"/>
    </row>
    <row r="525" spans="1:19" ht="15.75" customHeight="1">
      <c r="A525" s="68"/>
      <c r="B525" s="68"/>
      <c r="D525" s="68"/>
      <c r="E525" s="69"/>
      <c r="K525" s="68"/>
      <c r="M525" s="69"/>
      <c r="O525" s="68"/>
      <c r="P525" s="68"/>
      <c r="Q525" s="68"/>
      <c r="R525" s="68"/>
      <c r="S525" s="68"/>
    </row>
    <row r="526" spans="1:19" ht="15.75" customHeight="1">
      <c r="A526" s="68"/>
      <c r="B526" s="68"/>
      <c r="D526" s="68"/>
      <c r="E526" s="69"/>
      <c r="K526" s="68"/>
      <c r="M526" s="69"/>
      <c r="O526" s="68"/>
      <c r="P526" s="68"/>
      <c r="Q526" s="68"/>
      <c r="R526" s="68"/>
      <c r="S526" s="68"/>
    </row>
    <row r="527" spans="1:19" ht="15.75" customHeight="1">
      <c r="A527" s="68"/>
      <c r="B527" s="68"/>
      <c r="D527" s="68"/>
      <c r="E527" s="69"/>
      <c r="K527" s="68"/>
      <c r="M527" s="69"/>
      <c r="O527" s="68"/>
      <c r="P527" s="68"/>
      <c r="Q527" s="68"/>
      <c r="R527" s="68"/>
      <c r="S527" s="68"/>
    </row>
    <row r="528" spans="1:19" ht="15.75" customHeight="1">
      <c r="A528" s="68"/>
      <c r="B528" s="68"/>
      <c r="D528" s="68"/>
      <c r="E528" s="69"/>
      <c r="K528" s="68"/>
      <c r="M528" s="69"/>
      <c r="O528" s="68"/>
      <c r="P528" s="68"/>
      <c r="Q528" s="68"/>
      <c r="R528" s="68"/>
      <c r="S528" s="68"/>
    </row>
    <row r="529" spans="1:19" ht="15.75" customHeight="1">
      <c r="A529" s="68"/>
      <c r="B529" s="68"/>
      <c r="D529" s="68"/>
      <c r="E529" s="69"/>
      <c r="K529" s="68"/>
      <c r="M529" s="69"/>
      <c r="O529" s="68"/>
      <c r="P529" s="68"/>
      <c r="Q529" s="68"/>
      <c r="R529" s="68"/>
      <c r="S529" s="68"/>
    </row>
    <row r="530" spans="1:19" ht="15.75" customHeight="1">
      <c r="A530" s="68"/>
      <c r="B530" s="68"/>
      <c r="D530" s="68"/>
      <c r="E530" s="69"/>
      <c r="K530" s="68"/>
      <c r="M530" s="69"/>
      <c r="O530" s="68"/>
      <c r="P530" s="68"/>
      <c r="Q530" s="68"/>
      <c r="R530" s="68"/>
      <c r="S530" s="68"/>
    </row>
    <row r="531" spans="1:19" ht="15.75" customHeight="1">
      <c r="A531" s="68"/>
      <c r="B531" s="68"/>
      <c r="D531" s="68"/>
      <c r="E531" s="69"/>
      <c r="K531" s="68"/>
      <c r="M531" s="69"/>
      <c r="O531" s="68"/>
      <c r="P531" s="68"/>
      <c r="Q531" s="68"/>
      <c r="R531" s="68"/>
      <c r="S531" s="68"/>
    </row>
    <row r="532" spans="1:19" ht="15.75" customHeight="1">
      <c r="A532" s="68"/>
      <c r="B532" s="68"/>
      <c r="D532" s="68"/>
      <c r="E532" s="69"/>
      <c r="K532" s="68"/>
      <c r="M532" s="69"/>
      <c r="O532" s="68"/>
      <c r="P532" s="68"/>
      <c r="Q532" s="68"/>
      <c r="R532" s="68"/>
      <c r="S532" s="68"/>
    </row>
    <row r="533" spans="1:19" ht="15.75" customHeight="1">
      <c r="A533" s="68"/>
      <c r="B533" s="68"/>
      <c r="D533" s="68"/>
      <c r="E533" s="69"/>
      <c r="K533" s="68"/>
      <c r="M533" s="69"/>
      <c r="O533" s="68"/>
      <c r="P533" s="68"/>
      <c r="Q533" s="68"/>
      <c r="R533" s="68"/>
      <c r="S533" s="68"/>
    </row>
    <row r="534" spans="1:19" ht="15.75" customHeight="1">
      <c r="A534" s="68"/>
      <c r="B534" s="68"/>
      <c r="D534" s="68"/>
      <c r="E534" s="69"/>
      <c r="K534" s="68"/>
      <c r="M534" s="69"/>
      <c r="O534" s="68"/>
      <c r="P534" s="68"/>
      <c r="Q534" s="68"/>
      <c r="R534" s="68"/>
      <c r="S534" s="68"/>
    </row>
    <row r="535" spans="1:19" ht="15.75" customHeight="1">
      <c r="A535" s="68"/>
      <c r="B535" s="68"/>
      <c r="D535" s="68"/>
      <c r="E535" s="69"/>
      <c r="K535" s="68"/>
      <c r="M535" s="69"/>
      <c r="O535" s="68"/>
      <c r="P535" s="68"/>
      <c r="Q535" s="68"/>
      <c r="R535" s="68"/>
      <c r="S535" s="68"/>
    </row>
    <row r="536" spans="1:19" ht="15.75" customHeight="1">
      <c r="A536" s="68"/>
      <c r="B536" s="68"/>
      <c r="D536" s="68"/>
      <c r="E536" s="69"/>
      <c r="K536" s="68"/>
      <c r="M536" s="69"/>
      <c r="O536" s="68"/>
      <c r="P536" s="68"/>
      <c r="Q536" s="68"/>
      <c r="R536" s="68"/>
      <c r="S536" s="68"/>
    </row>
    <row r="537" spans="1:19" ht="15.75" customHeight="1">
      <c r="A537" s="68"/>
      <c r="B537" s="68"/>
      <c r="D537" s="68"/>
      <c r="E537" s="69"/>
      <c r="K537" s="68"/>
      <c r="M537" s="69"/>
      <c r="O537" s="68"/>
      <c r="P537" s="68"/>
      <c r="Q537" s="68"/>
      <c r="R537" s="68"/>
      <c r="S537" s="68"/>
    </row>
    <row r="538" spans="1:19" ht="15.75" customHeight="1">
      <c r="A538" s="68"/>
      <c r="B538" s="68"/>
      <c r="D538" s="68"/>
      <c r="E538" s="69"/>
      <c r="K538" s="68"/>
      <c r="M538" s="69"/>
      <c r="O538" s="68"/>
      <c r="P538" s="68"/>
      <c r="Q538" s="68"/>
      <c r="R538" s="68"/>
      <c r="S538" s="68"/>
    </row>
    <row r="539" spans="1:19" ht="15.75" customHeight="1">
      <c r="A539" s="68"/>
      <c r="B539" s="68"/>
      <c r="D539" s="68"/>
      <c r="E539" s="69"/>
      <c r="K539" s="68"/>
      <c r="M539" s="69"/>
      <c r="O539" s="68"/>
      <c r="P539" s="68"/>
      <c r="Q539" s="68"/>
      <c r="R539" s="68"/>
      <c r="S539" s="68"/>
    </row>
    <row r="540" spans="1:19" ht="15.75" customHeight="1">
      <c r="A540" s="68"/>
      <c r="B540" s="68"/>
      <c r="D540" s="68"/>
      <c r="E540" s="69"/>
      <c r="K540" s="68"/>
      <c r="M540" s="69"/>
      <c r="O540" s="68"/>
      <c r="P540" s="68"/>
      <c r="Q540" s="68"/>
      <c r="R540" s="68"/>
      <c r="S540" s="68"/>
    </row>
    <row r="541" spans="1:19" ht="15.75" customHeight="1">
      <c r="A541" s="68"/>
      <c r="B541" s="68"/>
      <c r="D541" s="68"/>
      <c r="E541" s="69"/>
      <c r="K541" s="68"/>
      <c r="M541" s="69"/>
      <c r="O541" s="68"/>
      <c r="P541" s="68"/>
      <c r="Q541" s="68"/>
      <c r="R541" s="68"/>
      <c r="S541" s="68"/>
    </row>
    <row r="542" spans="1:19" ht="15.75" customHeight="1">
      <c r="A542" s="68"/>
      <c r="B542" s="68"/>
      <c r="D542" s="68"/>
      <c r="E542" s="69"/>
      <c r="K542" s="68"/>
      <c r="M542" s="69"/>
      <c r="O542" s="68"/>
      <c r="P542" s="68"/>
      <c r="Q542" s="68"/>
      <c r="R542" s="68"/>
      <c r="S542" s="68"/>
    </row>
    <row r="543" spans="1:19" ht="15.75" customHeight="1">
      <c r="A543" s="68"/>
      <c r="B543" s="68"/>
      <c r="D543" s="68"/>
      <c r="E543" s="69"/>
      <c r="K543" s="68"/>
      <c r="M543" s="69"/>
      <c r="O543" s="68"/>
      <c r="P543" s="68"/>
      <c r="Q543" s="68"/>
      <c r="R543" s="68"/>
      <c r="S543" s="68"/>
    </row>
    <row r="544" spans="1:19" ht="15.75" customHeight="1">
      <c r="A544" s="68"/>
      <c r="B544" s="68"/>
      <c r="D544" s="68"/>
      <c r="E544" s="69"/>
      <c r="K544" s="68"/>
      <c r="M544" s="69"/>
      <c r="O544" s="68"/>
      <c r="P544" s="68"/>
      <c r="Q544" s="68"/>
      <c r="R544" s="68"/>
      <c r="S544" s="68"/>
    </row>
    <row r="545" spans="1:19" ht="15.75" customHeight="1">
      <c r="A545" s="68"/>
      <c r="B545" s="68"/>
      <c r="D545" s="68"/>
      <c r="E545" s="69"/>
      <c r="K545" s="68"/>
      <c r="M545" s="69"/>
      <c r="O545" s="68"/>
      <c r="P545" s="68"/>
      <c r="Q545" s="68"/>
      <c r="R545" s="68"/>
      <c r="S545" s="68"/>
    </row>
    <row r="546" spans="1:19" ht="15.75" customHeight="1">
      <c r="A546" s="68"/>
      <c r="B546" s="68"/>
      <c r="D546" s="68"/>
      <c r="E546" s="69"/>
      <c r="K546" s="68"/>
      <c r="M546" s="69"/>
      <c r="O546" s="68"/>
      <c r="P546" s="68"/>
      <c r="Q546" s="68"/>
      <c r="R546" s="68"/>
      <c r="S546" s="68"/>
    </row>
    <row r="547" spans="1:19" ht="15.75" customHeight="1">
      <c r="A547" s="68"/>
      <c r="B547" s="68"/>
      <c r="D547" s="68"/>
      <c r="E547" s="69"/>
      <c r="K547" s="68"/>
      <c r="M547" s="69"/>
      <c r="O547" s="68"/>
      <c r="P547" s="68"/>
      <c r="Q547" s="68"/>
      <c r="R547" s="68"/>
      <c r="S547" s="68"/>
    </row>
    <row r="548" spans="1:19" ht="15.75" customHeight="1">
      <c r="A548" s="68"/>
      <c r="B548" s="68"/>
      <c r="D548" s="68"/>
      <c r="E548" s="69"/>
      <c r="K548" s="68"/>
      <c r="M548" s="69"/>
      <c r="O548" s="68"/>
      <c r="P548" s="68"/>
      <c r="Q548" s="68"/>
      <c r="R548" s="68"/>
      <c r="S548" s="68"/>
    </row>
    <row r="549" spans="1:19" ht="15.75" customHeight="1">
      <c r="A549" s="68"/>
      <c r="B549" s="68"/>
      <c r="D549" s="68"/>
      <c r="E549" s="69"/>
      <c r="K549" s="68"/>
      <c r="M549" s="69"/>
      <c r="O549" s="68"/>
      <c r="P549" s="68"/>
      <c r="Q549" s="68"/>
      <c r="R549" s="68"/>
      <c r="S549" s="68"/>
    </row>
    <row r="550" spans="1:19" ht="15.75" customHeight="1">
      <c r="A550" s="68"/>
      <c r="B550" s="68"/>
      <c r="D550" s="68"/>
      <c r="E550" s="69"/>
      <c r="K550" s="68"/>
      <c r="M550" s="69"/>
      <c r="O550" s="68"/>
      <c r="P550" s="68"/>
      <c r="Q550" s="68"/>
      <c r="R550" s="68"/>
      <c r="S550" s="68"/>
    </row>
    <row r="551" spans="1:19" ht="15.75" customHeight="1">
      <c r="A551" s="68"/>
      <c r="B551" s="68"/>
      <c r="D551" s="68"/>
      <c r="E551" s="69"/>
      <c r="K551" s="68"/>
      <c r="M551" s="69"/>
      <c r="O551" s="68"/>
      <c r="P551" s="68"/>
      <c r="Q551" s="68"/>
      <c r="R551" s="68"/>
      <c r="S551" s="68"/>
    </row>
    <row r="552" spans="1:19" ht="15.75" customHeight="1">
      <c r="A552" s="68"/>
      <c r="B552" s="68"/>
      <c r="D552" s="68"/>
      <c r="E552" s="69"/>
      <c r="K552" s="68"/>
      <c r="M552" s="69"/>
      <c r="O552" s="68"/>
      <c r="P552" s="68"/>
      <c r="Q552" s="68"/>
      <c r="R552" s="68"/>
      <c r="S552" s="68"/>
    </row>
    <row r="553" spans="1:19" ht="15.75" customHeight="1">
      <c r="A553" s="68"/>
      <c r="B553" s="68"/>
      <c r="D553" s="68"/>
      <c r="E553" s="69"/>
      <c r="K553" s="68"/>
      <c r="M553" s="69"/>
      <c r="O553" s="68"/>
      <c r="P553" s="68"/>
      <c r="Q553" s="68"/>
      <c r="R553" s="68"/>
      <c r="S553" s="68"/>
    </row>
    <row r="554" spans="1:19" ht="15.75" customHeight="1">
      <c r="A554" s="68"/>
      <c r="B554" s="68"/>
      <c r="D554" s="68"/>
      <c r="E554" s="69"/>
      <c r="K554" s="68"/>
      <c r="M554" s="69"/>
      <c r="O554" s="68"/>
      <c r="P554" s="68"/>
      <c r="Q554" s="68"/>
      <c r="R554" s="68"/>
      <c r="S554" s="68"/>
    </row>
    <row r="555" spans="1:19" ht="15.75" customHeight="1">
      <c r="A555" s="68"/>
      <c r="B555" s="68"/>
      <c r="D555" s="68"/>
      <c r="E555" s="69"/>
      <c r="K555" s="68"/>
      <c r="M555" s="69"/>
      <c r="O555" s="68"/>
      <c r="P555" s="68"/>
      <c r="Q555" s="68"/>
      <c r="R555" s="68"/>
      <c r="S555" s="68"/>
    </row>
    <row r="556" spans="1:19" ht="15.75" customHeight="1">
      <c r="A556" s="68"/>
      <c r="B556" s="68"/>
      <c r="D556" s="68"/>
      <c r="E556" s="69"/>
      <c r="K556" s="68"/>
      <c r="M556" s="69"/>
      <c r="O556" s="68"/>
      <c r="P556" s="68"/>
      <c r="Q556" s="68"/>
      <c r="R556" s="68"/>
      <c r="S556" s="68"/>
    </row>
    <row r="557" spans="1:19" ht="15.75" customHeight="1">
      <c r="A557" s="68"/>
      <c r="B557" s="68"/>
      <c r="D557" s="68"/>
      <c r="E557" s="69"/>
      <c r="K557" s="68"/>
      <c r="M557" s="69"/>
      <c r="O557" s="68"/>
      <c r="P557" s="68"/>
      <c r="Q557" s="68"/>
      <c r="R557" s="68"/>
      <c r="S557" s="68"/>
    </row>
    <row r="558" spans="1:19" ht="15.75" customHeight="1">
      <c r="A558" s="68"/>
      <c r="B558" s="68"/>
      <c r="D558" s="68"/>
      <c r="E558" s="69"/>
      <c r="K558" s="68"/>
      <c r="M558" s="69"/>
      <c r="O558" s="68"/>
      <c r="P558" s="68"/>
      <c r="Q558" s="68"/>
      <c r="R558" s="68"/>
      <c r="S558" s="68"/>
    </row>
    <row r="559" spans="1:19" ht="15.75" customHeight="1">
      <c r="A559" s="68"/>
      <c r="B559" s="68"/>
      <c r="D559" s="68"/>
      <c r="E559" s="69"/>
      <c r="K559" s="68"/>
      <c r="M559" s="69"/>
      <c r="O559" s="68"/>
      <c r="P559" s="68"/>
      <c r="Q559" s="68"/>
      <c r="R559" s="68"/>
      <c r="S559" s="68"/>
    </row>
    <row r="560" spans="1:19" ht="15.75" customHeight="1">
      <c r="A560" s="68"/>
      <c r="B560" s="68"/>
      <c r="D560" s="68"/>
      <c r="E560" s="69"/>
      <c r="K560" s="68"/>
      <c r="M560" s="69"/>
      <c r="O560" s="68"/>
      <c r="P560" s="68"/>
      <c r="Q560" s="68"/>
      <c r="R560" s="68"/>
      <c r="S560" s="68"/>
    </row>
    <row r="561" spans="1:19" ht="15.75" customHeight="1">
      <c r="A561" s="68"/>
      <c r="B561" s="68"/>
      <c r="D561" s="68"/>
      <c r="E561" s="69"/>
      <c r="K561" s="68"/>
      <c r="M561" s="69"/>
      <c r="O561" s="68"/>
      <c r="P561" s="68"/>
      <c r="Q561" s="68"/>
      <c r="R561" s="68"/>
      <c r="S561" s="68"/>
    </row>
    <row r="562" spans="1:19" ht="15.75" customHeight="1">
      <c r="A562" s="68"/>
      <c r="B562" s="68"/>
      <c r="D562" s="68"/>
      <c r="E562" s="69"/>
      <c r="K562" s="68"/>
      <c r="M562" s="69"/>
      <c r="O562" s="68"/>
      <c r="P562" s="68"/>
      <c r="Q562" s="68"/>
      <c r="R562" s="68"/>
      <c r="S562" s="68"/>
    </row>
    <row r="563" spans="1:19" ht="15.75" customHeight="1">
      <c r="A563" s="68"/>
      <c r="B563" s="68"/>
      <c r="D563" s="68"/>
      <c r="E563" s="69"/>
      <c r="K563" s="68"/>
      <c r="M563" s="69"/>
      <c r="O563" s="68"/>
      <c r="P563" s="68"/>
      <c r="Q563" s="68"/>
      <c r="R563" s="68"/>
      <c r="S563" s="68"/>
    </row>
    <row r="564" spans="1:19" ht="15.75" customHeight="1">
      <c r="A564" s="68"/>
      <c r="B564" s="68"/>
      <c r="D564" s="68"/>
      <c r="E564" s="69"/>
      <c r="K564" s="68"/>
      <c r="M564" s="69"/>
      <c r="O564" s="68"/>
      <c r="P564" s="68"/>
      <c r="Q564" s="68"/>
      <c r="R564" s="68"/>
      <c r="S564" s="68"/>
    </row>
    <row r="565" spans="1:19" ht="15.75" customHeight="1">
      <c r="A565" s="68"/>
      <c r="B565" s="68"/>
      <c r="D565" s="68"/>
      <c r="E565" s="69"/>
      <c r="K565" s="68"/>
      <c r="M565" s="69"/>
      <c r="O565" s="68"/>
      <c r="P565" s="68"/>
      <c r="Q565" s="68"/>
      <c r="R565" s="68"/>
      <c r="S565" s="68"/>
    </row>
    <row r="566" spans="1:19" ht="15.75" customHeight="1">
      <c r="A566" s="68"/>
      <c r="B566" s="68"/>
      <c r="D566" s="68"/>
      <c r="E566" s="69"/>
      <c r="K566" s="68"/>
      <c r="M566" s="69"/>
      <c r="O566" s="68"/>
      <c r="P566" s="68"/>
      <c r="Q566" s="68"/>
      <c r="R566" s="68"/>
      <c r="S566" s="68"/>
    </row>
    <row r="567" spans="1:19" ht="15.75" customHeight="1">
      <c r="A567" s="68"/>
      <c r="B567" s="68"/>
      <c r="D567" s="68"/>
      <c r="E567" s="69"/>
      <c r="K567" s="68"/>
      <c r="M567" s="69"/>
      <c r="O567" s="68"/>
      <c r="P567" s="68"/>
      <c r="Q567" s="68"/>
      <c r="R567" s="68"/>
      <c r="S567" s="68"/>
    </row>
    <row r="568" spans="1:19" ht="15.75" customHeight="1">
      <c r="A568" s="68"/>
      <c r="B568" s="68"/>
      <c r="D568" s="68"/>
      <c r="E568" s="69"/>
      <c r="K568" s="68"/>
      <c r="M568" s="69"/>
      <c r="O568" s="68"/>
      <c r="P568" s="68"/>
      <c r="Q568" s="68"/>
      <c r="R568" s="68"/>
      <c r="S568" s="68"/>
    </row>
    <row r="569" spans="1:19" ht="15.75" customHeight="1">
      <c r="A569" s="68"/>
      <c r="B569" s="68"/>
      <c r="D569" s="68"/>
      <c r="E569" s="69"/>
      <c r="K569" s="68"/>
      <c r="M569" s="69"/>
      <c r="O569" s="68"/>
      <c r="P569" s="68"/>
      <c r="Q569" s="68"/>
      <c r="R569" s="68"/>
      <c r="S569" s="68"/>
    </row>
    <row r="570" spans="1:19" ht="15.75" customHeight="1">
      <c r="A570" s="68"/>
      <c r="B570" s="68"/>
      <c r="D570" s="68"/>
      <c r="E570" s="69"/>
      <c r="K570" s="68"/>
      <c r="M570" s="69"/>
      <c r="O570" s="68"/>
      <c r="P570" s="68"/>
      <c r="Q570" s="68"/>
      <c r="R570" s="68"/>
      <c r="S570" s="68"/>
    </row>
    <row r="571" spans="1:19" ht="15.75" customHeight="1">
      <c r="A571" s="68"/>
      <c r="B571" s="68"/>
      <c r="D571" s="68"/>
      <c r="E571" s="69"/>
      <c r="K571" s="68"/>
      <c r="M571" s="69"/>
      <c r="O571" s="68"/>
      <c r="P571" s="68"/>
      <c r="Q571" s="68"/>
      <c r="R571" s="68"/>
      <c r="S571" s="68"/>
    </row>
    <row r="572" spans="1:19" ht="15.75" customHeight="1">
      <c r="A572" s="68"/>
      <c r="B572" s="68"/>
      <c r="D572" s="68"/>
      <c r="E572" s="69"/>
      <c r="K572" s="68"/>
      <c r="M572" s="69"/>
      <c r="O572" s="68"/>
      <c r="P572" s="68"/>
      <c r="Q572" s="68"/>
      <c r="R572" s="68"/>
      <c r="S572" s="68"/>
    </row>
    <row r="573" spans="1:19" ht="15.75" customHeight="1">
      <c r="A573" s="68"/>
      <c r="B573" s="68"/>
      <c r="D573" s="68"/>
      <c r="E573" s="69"/>
      <c r="K573" s="68"/>
      <c r="M573" s="69"/>
      <c r="O573" s="68"/>
      <c r="P573" s="68"/>
      <c r="Q573" s="68"/>
      <c r="R573" s="68"/>
      <c r="S573" s="68"/>
    </row>
    <row r="574" spans="1:19" ht="15.75" customHeight="1">
      <c r="A574" s="68"/>
      <c r="B574" s="68"/>
      <c r="D574" s="68"/>
      <c r="E574" s="69"/>
      <c r="K574" s="68"/>
      <c r="M574" s="69"/>
      <c r="O574" s="68"/>
      <c r="P574" s="68"/>
      <c r="Q574" s="68"/>
      <c r="R574" s="68"/>
      <c r="S574" s="68"/>
    </row>
    <row r="575" spans="1:19" ht="15.75" customHeight="1">
      <c r="A575" s="68"/>
      <c r="B575" s="68"/>
      <c r="D575" s="68"/>
      <c r="E575" s="69"/>
      <c r="K575" s="68"/>
      <c r="M575" s="69"/>
      <c r="O575" s="68"/>
      <c r="P575" s="68"/>
      <c r="Q575" s="68"/>
      <c r="R575" s="68"/>
      <c r="S575" s="68"/>
    </row>
    <row r="576" spans="1:19" ht="15.75" customHeight="1">
      <c r="A576" s="68"/>
      <c r="B576" s="68"/>
      <c r="D576" s="68"/>
      <c r="E576" s="69"/>
      <c r="K576" s="68"/>
      <c r="M576" s="69"/>
      <c r="O576" s="68"/>
      <c r="P576" s="68"/>
      <c r="Q576" s="68"/>
      <c r="R576" s="68"/>
      <c r="S576" s="68"/>
    </row>
    <row r="577" spans="1:19" ht="15.75" customHeight="1">
      <c r="A577" s="68"/>
      <c r="B577" s="68"/>
      <c r="D577" s="68"/>
      <c r="E577" s="69"/>
      <c r="K577" s="68"/>
      <c r="M577" s="69"/>
      <c r="O577" s="68"/>
      <c r="P577" s="68"/>
      <c r="Q577" s="68"/>
      <c r="R577" s="68"/>
      <c r="S577" s="68"/>
    </row>
    <row r="578" spans="1:19" ht="15.75" customHeight="1">
      <c r="A578" s="68"/>
      <c r="B578" s="68"/>
      <c r="D578" s="68"/>
      <c r="E578" s="69"/>
      <c r="K578" s="68"/>
      <c r="M578" s="69"/>
      <c r="O578" s="68"/>
      <c r="P578" s="68"/>
      <c r="Q578" s="68"/>
      <c r="R578" s="68"/>
      <c r="S578" s="68"/>
    </row>
    <row r="579" spans="1:19" ht="15.75" customHeight="1">
      <c r="A579" s="68"/>
      <c r="B579" s="68"/>
      <c r="D579" s="68"/>
      <c r="E579" s="69"/>
      <c r="K579" s="68"/>
      <c r="M579" s="69"/>
      <c r="O579" s="68"/>
      <c r="P579" s="68"/>
      <c r="Q579" s="68"/>
      <c r="R579" s="68"/>
      <c r="S579" s="68"/>
    </row>
    <row r="580" spans="1:19" ht="15.75" customHeight="1">
      <c r="A580" s="68"/>
      <c r="B580" s="68"/>
      <c r="D580" s="68"/>
      <c r="E580" s="69"/>
      <c r="K580" s="68"/>
      <c r="M580" s="69"/>
      <c r="O580" s="68"/>
      <c r="P580" s="68"/>
      <c r="Q580" s="68"/>
      <c r="R580" s="68"/>
      <c r="S580" s="68"/>
    </row>
    <row r="581" spans="1:19" ht="15.75" customHeight="1">
      <c r="A581" s="68"/>
      <c r="B581" s="68"/>
      <c r="D581" s="68"/>
      <c r="E581" s="69"/>
      <c r="K581" s="68"/>
      <c r="M581" s="69"/>
      <c r="O581" s="68"/>
      <c r="P581" s="68"/>
      <c r="Q581" s="68"/>
      <c r="R581" s="68"/>
      <c r="S581" s="68"/>
    </row>
    <row r="582" spans="1:19" ht="15.75" customHeight="1">
      <c r="A582" s="68"/>
      <c r="B582" s="68"/>
      <c r="D582" s="68"/>
      <c r="E582" s="69"/>
      <c r="K582" s="68"/>
      <c r="M582" s="69"/>
      <c r="O582" s="68"/>
      <c r="P582" s="68"/>
      <c r="Q582" s="68"/>
      <c r="R582" s="68"/>
      <c r="S582" s="68"/>
    </row>
    <row r="583" spans="1:19" ht="15.75" customHeight="1">
      <c r="A583" s="68"/>
      <c r="B583" s="68"/>
      <c r="D583" s="68"/>
      <c r="E583" s="69"/>
      <c r="K583" s="68"/>
      <c r="M583" s="69"/>
      <c r="O583" s="68"/>
      <c r="P583" s="68"/>
      <c r="Q583" s="68"/>
      <c r="R583" s="68"/>
      <c r="S583" s="68"/>
    </row>
    <row r="584" spans="1:19" ht="15.75" customHeight="1">
      <c r="A584" s="68"/>
      <c r="B584" s="68"/>
      <c r="D584" s="68"/>
      <c r="E584" s="69"/>
      <c r="K584" s="68"/>
      <c r="M584" s="69"/>
      <c r="O584" s="68"/>
      <c r="P584" s="68"/>
      <c r="Q584" s="68"/>
      <c r="R584" s="68"/>
      <c r="S584" s="68"/>
    </row>
    <row r="585" spans="1:19" ht="15.75" customHeight="1">
      <c r="A585" s="68"/>
      <c r="B585" s="68"/>
      <c r="D585" s="68"/>
      <c r="E585" s="69"/>
      <c r="K585" s="68"/>
      <c r="M585" s="69"/>
      <c r="O585" s="68"/>
      <c r="P585" s="68"/>
      <c r="Q585" s="68"/>
      <c r="R585" s="68"/>
      <c r="S585" s="68"/>
    </row>
    <row r="586" spans="1:19" ht="15.75" customHeight="1">
      <c r="A586" s="68"/>
      <c r="B586" s="68"/>
      <c r="D586" s="68"/>
      <c r="E586" s="69"/>
      <c r="K586" s="68"/>
      <c r="M586" s="69"/>
      <c r="O586" s="68"/>
      <c r="P586" s="68"/>
      <c r="Q586" s="68"/>
      <c r="R586" s="68"/>
      <c r="S586" s="68"/>
    </row>
    <row r="587" spans="1:19" ht="15.75" customHeight="1">
      <c r="A587" s="68"/>
      <c r="B587" s="68"/>
      <c r="D587" s="68"/>
      <c r="E587" s="69"/>
      <c r="K587" s="68"/>
      <c r="M587" s="69"/>
      <c r="O587" s="68"/>
      <c r="P587" s="68"/>
      <c r="Q587" s="68"/>
      <c r="R587" s="68"/>
      <c r="S587" s="68"/>
    </row>
    <row r="588" spans="1:19" ht="15.75" customHeight="1">
      <c r="A588" s="68"/>
      <c r="B588" s="68"/>
      <c r="D588" s="68"/>
      <c r="E588" s="69"/>
      <c r="K588" s="68"/>
      <c r="M588" s="69"/>
      <c r="O588" s="68"/>
      <c r="P588" s="68"/>
      <c r="Q588" s="68"/>
      <c r="R588" s="68"/>
      <c r="S588" s="68"/>
    </row>
    <row r="589" spans="1:19" ht="15.75" customHeight="1">
      <c r="A589" s="68"/>
      <c r="B589" s="68"/>
      <c r="D589" s="68"/>
      <c r="E589" s="69"/>
      <c r="K589" s="68"/>
      <c r="M589" s="69"/>
      <c r="O589" s="68"/>
      <c r="P589" s="68"/>
      <c r="Q589" s="68"/>
      <c r="R589" s="68"/>
      <c r="S589" s="68"/>
    </row>
    <row r="590" spans="1:19" ht="15.75" customHeight="1">
      <c r="A590" s="68"/>
      <c r="B590" s="68"/>
      <c r="D590" s="68"/>
      <c r="E590" s="69"/>
      <c r="K590" s="68"/>
      <c r="M590" s="69"/>
      <c r="O590" s="68"/>
      <c r="P590" s="68"/>
      <c r="Q590" s="68"/>
      <c r="R590" s="68"/>
      <c r="S590" s="68"/>
    </row>
    <row r="591" spans="1:19" ht="15.75" customHeight="1">
      <c r="A591" s="68"/>
      <c r="B591" s="68"/>
      <c r="D591" s="68"/>
      <c r="E591" s="69"/>
      <c r="K591" s="68"/>
      <c r="M591" s="69"/>
      <c r="O591" s="68"/>
      <c r="P591" s="68"/>
      <c r="Q591" s="68"/>
      <c r="R591" s="68"/>
      <c r="S591" s="68"/>
    </row>
    <row r="592" spans="1:19" ht="15.75" customHeight="1">
      <c r="A592" s="68"/>
      <c r="B592" s="68"/>
      <c r="D592" s="68"/>
      <c r="E592" s="69"/>
      <c r="K592" s="68"/>
      <c r="M592" s="69"/>
      <c r="O592" s="68"/>
      <c r="P592" s="68"/>
      <c r="Q592" s="68"/>
      <c r="R592" s="68"/>
      <c r="S592" s="68"/>
    </row>
    <row r="593" spans="1:19" ht="15.75" customHeight="1">
      <c r="A593" s="68"/>
      <c r="B593" s="68"/>
      <c r="D593" s="68"/>
      <c r="E593" s="69"/>
      <c r="K593" s="68"/>
      <c r="M593" s="69"/>
      <c r="O593" s="68"/>
      <c r="P593" s="68"/>
      <c r="Q593" s="68"/>
      <c r="R593" s="68"/>
      <c r="S593" s="68"/>
    </row>
    <row r="594" spans="1:19" ht="15.75" customHeight="1">
      <c r="A594" s="68"/>
      <c r="B594" s="68"/>
      <c r="D594" s="68"/>
      <c r="E594" s="69"/>
      <c r="K594" s="68"/>
      <c r="M594" s="69"/>
      <c r="O594" s="68"/>
      <c r="P594" s="68"/>
      <c r="Q594" s="68"/>
      <c r="R594" s="68"/>
      <c r="S594" s="68"/>
    </row>
    <row r="595" spans="1:19" ht="15.75" customHeight="1">
      <c r="A595" s="68"/>
      <c r="B595" s="68"/>
      <c r="D595" s="68"/>
      <c r="E595" s="69"/>
      <c r="K595" s="68"/>
      <c r="M595" s="69"/>
      <c r="O595" s="68"/>
      <c r="P595" s="68"/>
      <c r="Q595" s="68"/>
      <c r="R595" s="68"/>
      <c r="S595" s="68"/>
    </row>
    <row r="596" spans="1:19" ht="15.75" customHeight="1">
      <c r="A596" s="68"/>
      <c r="B596" s="68"/>
      <c r="D596" s="68"/>
      <c r="E596" s="69"/>
      <c r="K596" s="68"/>
      <c r="M596" s="69"/>
      <c r="O596" s="68"/>
      <c r="P596" s="68"/>
      <c r="Q596" s="68"/>
      <c r="R596" s="68"/>
      <c r="S596" s="68"/>
    </row>
    <row r="597" spans="1:19" ht="15.75" customHeight="1">
      <c r="A597" s="68"/>
      <c r="B597" s="68"/>
      <c r="D597" s="68"/>
      <c r="E597" s="69"/>
      <c r="K597" s="68"/>
      <c r="M597" s="69"/>
      <c r="O597" s="68"/>
      <c r="P597" s="68"/>
      <c r="Q597" s="68"/>
      <c r="R597" s="68"/>
      <c r="S597" s="68"/>
    </row>
    <row r="598" spans="1:19" ht="15.75" customHeight="1">
      <c r="A598" s="68"/>
      <c r="B598" s="68"/>
      <c r="D598" s="68"/>
      <c r="E598" s="69"/>
      <c r="K598" s="68"/>
      <c r="M598" s="69"/>
      <c r="O598" s="68"/>
      <c r="P598" s="68"/>
      <c r="Q598" s="68"/>
      <c r="R598" s="68"/>
      <c r="S598" s="68"/>
    </row>
    <row r="599" spans="1:19" ht="15.75" customHeight="1">
      <c r="A599" s="68"/>
      <c r="B599" s="68"/>
      <c r="D599" s="68"/>
      <c r="E599" s="69"/>
      <c r="K599" s="68"/>
      <c r="M599" s="69"/>
      <c r="O599" s="68"/>
      <c r="P599" s="68"/>
      <c r="Q599" s="68"/>
      <c r="R599" s="68"/>
      <c r="S599" s="68"/>
    </row>
    <row r="600" spans="1:19" ht="15.75" customHeight="1">
      <c r="A600" s="68"/>
      <c r="B600" s="68"/>
      <c r="D600" s="68"/>
      <c r="E600" s="69"/>
      <c r="K600" s="68"/>
      <c r="M600" s="69"/>
      <c r="O600" s="68"/>
      <c r="P600" s="68"/>
      <c r="Q600" s="68"/>
      <c r="R600" s="68"/>
      <c r="S600" s="68"/>
    </row>
    <row r="601" spans="1:19" ht="15.75" customHeight="1">
      <c r="A601" s="68"/>
      <c r="B601" s="68"/>
      <c r="D601" s="68"/>
      <c r="E601" s="69"/>
      <c r="K601" s="68"/>
      <c r="M601" s="69"/>
      <c r="O601" s="68"/>
      <c r="P601" s="68"/>
      <c r="Q601" s="68"/>
      <c r="R601" s="68"/>
      <c r="S601" s="68"/>
    </row>
    <row r="602" spans="1:19" ht="15.75" customHeight="1">
      <c r="A602" s="68"/>
      <c r="B602" s="68"/>
      <c r="D602" s="68"/>
      <c r="E602" s="69"/>
      <c r="K602" s="68"/>
      <c r="M602" s="69"/>
      <c r="O602" s="68"/>
      <c r="P602" s="68"/>
      <c r="Q602" s="68"/>
      <c r="R602" s="68"/>
      <c r="S602" s="68"/>
    </row>
    <row r="603" spans="1:19" ht="15.75" customHeight="1">
      <c r="A603" s="68"/>
      <c r="B603" s="68"/>
      <c r="D603" s="68"/>
      <c r="E603" s="69"/>
      <c r="K603" s="68"/>
      <c r="M603" s="69"/>
      <c r="O603" s="68"/>
      <c r="P603" s="68"/>
      <c r="Q603" s="68"/>
      <c r="R603" s="68"/>
      <c r="S603" s="68"/>
    </row>
    <row r="604" spans="1:19" ht="15.75" customHeight="1">
      <c r="A604" s="68"/>
      <c r="B604" s="68"/>
      <c r="D604" s="68"/>
      <c r="E604" s="69"/>
      <c r="K604" s="68"/>
      <c r="M604" s="69"/>
      <c r="O604" s="68"/>
      <c r="P604" s="68"/>
      <c r="Q604" s="68"/>
      <c r="R604" s="68"/>
      <c r="S604" s="68"/>
    </row>
    <row r="605" spans="1:19" ht="15.75" customHeight="1">
      <c r="A605" s="68"/>
      <c r="B605" s="68"/>
      <c r="D605" s="68"/>
      <c r="E605" s="69"/>
      <c r="K605" s="68"/>
      <c r="M605" s="69"/>
      <c r="O605" s="68"/>
      <c r="P605" s="68"/>
      <c r="Q605" s="68"/>
      <c r="R605" s="68"/>
      <c r="S605" s="68"/>
    </row>
    <row r="606" spans="1:19" ht="15.75" customHeight="1">
      <c r="A606" s="68"/>
      <c r="B606" s="68"/>
      <c r="D606" s="68"/>
      <c r="E606" s="69"/>
      <c r="K606" s="68"/>
      <c r="M606" s="69"/>
      <c r="O606" s="68"/>
      <c r="P606" s="68"/>
      <c r="Q606" s="68"/>
      <c r="R606" s="68"/>
      <c r="S606" s="68"/>
    </row>
    <row r="607" spans="1:19" ht="15.75" customHeight="1">
      <c r="A607" s="68"/>
      <c r="B607" s="68"/>
      <c r="D607" s="68"/>
      <c r="E607" s="69"/>
      <c r="K607" s="68"/>
      <c r="M607" s="69"/>
      <c r="O607" s="68"/>
      <c r="P607" s="68"/>
      <c r="Q607" s="68"/>
      <c r="R607" s="68"/>
      <c r="S607" s="68"/>
    </row>
    <row r="608" spans="1:19" ht="15.75" customHeight="1">
      <c r="A608" s="68"/>
      <c r="B608" s="68"/>
      <c r="D608" s="68"/>
      <c r="E608" s="69"/>
      <c r="K608" s="68"/>
      <c r="M608" s="69"/>
      <c r="O608" s="68"/>
      <c r="P608" s="68"/>
      <c r="Q608" s="68"/>
      <c r="R608" s="68"/>
      <c r="S608" s="68"/>
    </row>
    <row r="609" spans="1:19" ht="15.75" customHeight="1">
      <c r="A609" s="68"/>
      <c r="B609" s="68"/>
      <c r="D609" s="68"/>
      <c r="E609" s="69"/>
      <c r="K609" s="68"/>
      <c r="M609" s="69"/>
      <c r="O609" s="68"/>
      <c r="P609" s="68"/>
      <c r="Q609" s="68"/>
      <c r="R609" s="68"/>
      <c r="S609" s="68"/>
    </row>
    <row r="610" spans="1:19" ht="15.75" customHeight="1">
      <c r="A610" s="68"/>
      <c r="B610" s="68"/>
      <c r="D610" s="68"/>
      <c r="E610" s="69"/>
      <c r="K610" s="68"/>
      <c r="M610" s="69"/>
      <c r="O610" s="68"/>
      <c r="P610" s="68"/>
      <c r="Q610" s="68"/>
      <c r="R610" s="68"/>
      <c r="S610" s="68"/>
    </row>
    <row r="611" spans="1:19" ht="15.75" customHeight="1">
      <c r="A611" s="68"/>
      <c r="B611" s="68"/>
      <c r="D611" s="68"/>
      <c r="E611" s="69"/>
      <c r="K611" s="68"/>
      <c r="M611" s="69"/>
      <c r="O611" s="68"/>
      <c r="P611" s="68"/>
      <c r="Q611" s="68"/>
      <c r="R611" s="68"/>
      <c r="S611" s="68"/>
    </row>
    <row r="612" spans="1:19" ht="15.75" customHeight="1">
      <c r="A612" s="68"/>
      <c r="B612" s="68"/>
      <c r="D612" s="68"/>
      <c r="E612" s="69"/>
      <c r="K612" s="68"/>
      <c r="M612" s="69"/>
      <c r="O612" s="68"/>
      <c r="P612" s="68"/>
      <c r="Q612" s="68"/>
      <c r="R612" s="68"/>
      <c r="S612" s="68"/>
    </row>
    <row r="613" spans="1:19" ht="15.75" customHeight="1">
      <c r="A613" s="68"/>
      <c r="B613" s="68"/>
      <c r="D613" s="68"/>
      <c r="E613" s="69"/>
      <c r="K613" s="68"/>
      <c r="M613" s="69"/>
      <c r="O613" s="68"/>
      <c r="P613" s="68"/>
      <c r="Q613" s="68"/>
      <c r="R613" s="68"/>
      <c r="S613" s="68"/>
    </row>
    <row r="614" spans="1:19" ht="15.75" customHeight="1">
      <c r="A614" s="68"/>
      <c r="B614" s="68"/>
      <c r="D614" s="68"/>
      <c r="E614" s="69"/>
      <c r="K614" s="68"/>
      <c r="M614" s="69"/>
      <c r="O614" s="68"/>
      <c r="P614" s="68"/>
      <c r="Q614" s="68"/>
      <c r="R614" s="68"/>
      <c r="S614" s="68"/>
    </row>
    <row r="615" spans="1:19" ht="15.75" customHeight="1">
      <c r="A615" s="68"/>
      <c r="B615" s="68"/>
      <c r="D615" s="68"/>
      <c r="E615" s="69"/>
      <c r="K615" s="68"/>
      <c r="M615" s="69"/>
      <c r="O615" s="68"/>
      <c r="P615" s="68"/>
      <c r="Q615" s="68"/>
      <c r="R615" s="68"/>
      <c r="S615" s="68"/>
    </row>
    <row r="616" spans="1:19" ht="15.75" customHeight="1">
      <c r="A616" s="68"/>
      <c r="B616" s="68"/>
      <c r="D616" s="68"/>
      <c r="E616" s="69"/>
      <c r="K616" s="68"/>
      <c r="M616" s="69"/>
      <c r="O616" s="68"/>
      <c r="P616" s="68"/>
      <c r="Q616" s="68"/>
      <c r="R616" s="68"/>
      <c r="S616" s="68"/>
    </row>
    <row r="617" spans="1:19" ht="15.75" customHeight="1">
      <c r="A617" s="68"/>
      <c r="B617" s="68"/>
      <c r="D617" s="68"/>
      <c r="E617" s="69"/>
      <c r="K617" s="68"/>
      <c r="M617" s="69"/>
      <c r="O617" s="68"/>
      <c r="P617" s="68"/>
      <c r="Q617" s="68"/>
      <c r="R617" s="68"/>
      <c r="S617" s="68"/>
    </row>
    <row r="618" spans="1:19" ht="15.75" customHeight="1">
      <c r="A618" s="68"/>
      <c r="B618" s="68"/>
      <c r="D618" s="68"/>
      <c r="E618" s="69"/>
      <c r="K618" s="68"/>
      <c r="M618" s="69"/>
      <c r="O618" s="68"/>
      <c r="P618" s="68"/>
      <c r="Q618" s="68"/>
      <c r="R618" s="68"/>
      <c r="S618" s="68"/>
    </row>
    <row r="619" spans="1:19" ht="15.75" customHeight="1">
      <c r="A619" s="68"/>
      <c r="B619" s="68"/>
      <c r="D619" s="68"/>
      <c r="E619" s="69"/>
      <c r="K619" s="68"/>
      <c r="M619" s="69"/>
      <c r="O619" s="68"/>
      <c r="P619" s="68"/>
      <c r="Q619" s="68"/>
      <c r="R619" s="68"/>
      <c r="S619" s="68"/>
    </row>
    <row r="620" spans="1:19" ht="15.75" customHeight="1">
      <c r="A620" s="68"/>
      <c r="B620" s="68"/>
      <c r="D620" s="68"/>
      <c r="E620" s="69"/>
      <c r="K620" s="68"/>
      <c r="M620" s="69"/>
      <c r="O620" s="68"/>
      <c r="P620" s="68"/>
      <c r="Q620" s="68"/>
      <c r="R620" s="68"/>
      <c r="S620" s="68"/>
    </row>
    <row r="621" spans="1:19" ht="15.75" customHeight="1">
      <c r="A621" s="68"/>
      <c r="B621" s="68"/>
      <c r="D621" s="68"/>
      <c r="E621" s="69"/>
      <c r="K621" s="68"/>
      <c r="M621" s="69"/>
      <c r="O621" s="68"/>
      <c r="P621" s="68"/>
      <c r="Q621" s="68"/>
      <c r="R621" s="68"/>
      <c r="S621" s="68"/>
    </row>
    <row r="622" spans="1:19" ht="15.75" customHeight="1">
      <c r="A622" s="68"/>
      <c r="B622" s="68"/>
      <c r="D622" s="68"/>
      <c r="E622" s="69"/>
      <c r="K622" s="68"/>
      <c r="M622" s="69"/>
      <c r="O622" s="68"/>
      <c r="P622" s="68"/>
      <c r="Q622" s="68"/>
      <c r="R622" s="68"/>
      <c r="S622" s="68"/>
    </row>
    <row r="623" spans="1:19" ht="15.75" customHeight="1">
      <c r="A623" s="68"/>
      <c r="B623" s="68"/>
      <c r="D623" s="68"/>
      <c r="E623" s="69"/>
      <c r="K623" s="68"/>
      <c r="M623" s="69"/>
      <c r="O623" s="68"/>
      <c r="P623" s="68"/>
      <c r="Q623" s="68"/>
      <c r="R623" s="68"/>
      <c r="S623" s="68"/>
    </row>
    <row r="624" spans="1:19" ht="15.75" customHeight="1">
      <c r="A624" s="68"/>
      <c r="B624" s="68"/>
      <c r="D624" s="68"/>
      <c r="E624" s="69"/>
      <c r="K624" s="68"/>
      <c r="M624" s="69"/>
      <c r="O624" s="68"/>
      <c r="P624" s="68"/>
      <c r="Q624" s="68"/>
      <c r="R624" s="68"/>
      <c r="S624" s="68"/>
    </row>
    <row r="625" spans="1:19" ht="15.75" customHeight="1">
      <c r="A625" s="68"/>
      <c r="B625" s="68"/>
      <c r="D625" s="68"/>
      <c r="E625" s="69"/>
      <c r="K625" s="68"/>
      <c r="M625" s="69"/>
      <c r="O625" s="68"/>
      <c r="P625" s="68"/>
      <c r="Q625" s="68"/>
      <c r="R625" s="68"/>
      <c r="S625" s="68"/>
    </row>
    <row r="626" spans="1:19" ht="15.75" customHeight="1">
      <c r="A626" s="68"/>
      <c r="B626" s="68"/>
      <c r="D626" s="68"/>
      <c r="E626" s="69"/>
      <c r="K626" s="68"/>
      <c r="M626" s="69"/>
      <c r="O626" s="68"/>
      <c r="P626" s="68"/>
      <c r="Q626" s="68"/>
      <c r="R626" s="68"/>
      <c r="S626" s="68"/>
    </row>
    <row r="627" spans="1:19" ht="15.75" customHeight="1">
      <c r="A627" s="68"/>
      <c r="B627" s="68"/>
      <c r="D627" s="68"/>
      <c r="E627" s="69"/>
      <c r="K627" s="68"/>
      <c r="M627" s="69"/>
      <c r="O627" s="68"/>
      <c r="P627" s="68"/>
      <c r="Q627" s="68"/>
      <c r="R627" s="68"/>
      <c r="S627" s="68"/>
    </row>
    <row r="628" spans="1:19" ht="15.75" customHeight="1">
      <c r="A628" s="68"/>
      <c r="B628" s="68"/>
      <c r="D628" s="68"/>
      <c r="E628" s="69"/>
      <c r="K628" s="68"/>
      <c r="M628" s="69"/>
      <c r="O628" s="68"/>
      <c r="P628" s="68"/>
      <c r="Q628" s="68"/>
      <c r="R628" s="68"/>
      <c r="S628" s="68"/>
    </row>
    <row r="629" spans="1:19" ht="15.75" customHeight="1">
      <c r="A629" s="68"/>
      <c r="B629" s="68"/>
      <c r="D629" s="68"/>
      <c r="E629" s="69"/>
      <c r="K629" s="68"/>
      <c r="M629" s="69"/>
      <c r="O629" s="68"/>
      <c r="P629" s="68"/>
      <c r="Q629" s="68"/>
      <c r="R629" s="68"/>
      <c r="S629" s="68"/>
    </row>
    <row r="630" spans="1:19" ht="15.75" customHeight="1">
      <c r="A630" s="68"/>
      <c r="B630" s="68"/>
      <c r="D630" s="68"/>
      <c r="E630" s="69"/>
      <c r="K630" s="68"/>
      <c r="M630" s="69"/>
      <c r="O630" s="68"/>
      <c r="P630" s="68"/>
      <c r="Q630" s="68"/>
      <c r="R630" s="68"/>
      <c r="S630" s="68"/>
    </row>
    <row r="631" spans="1:19" ht="15.75" customHeight="1">
      <c r="A631" s="68"/>
      <c r="B631" s="68"/>
      <c r="D631" s="68"/>
      <c r="E631" s="69"/>
      <c r="K631" s="68"/>
      <c r="M631" s="69"/>
      <c r="O631" s="68"/>
      <c r="P631" s="68"/>
      <c r="Q631" s="68"/>
      <c r="R631" s="68"/>
      <c r="S631" s="68"/>
    </row>
    <row r="632" spans="1:19" ht="15.75" customHeight="1">
      <c r="A632" s="68"/>
      <c r="B632" s="68"/>
      <c r="D632" s="68"/>
      <c r="E632" s="69"/>
      <c r="K632" s="68"/>
      <c r="M632" s="69"/>
      <c r="O632" s="68"/>
      <c r="P632" s="68"/>
      <c r="Q632" s="68"/>
      <c r="R632" s="68"/>
      <c r="S632" s="68"/>
    </row>
    <row r="633" spans="1:19" ht="15.75" customHeight="1">
      <c r="A633" s="68"/>
      <c r="B633" s="68"/>
      <c r="D633" s="68"/>
      <c r="E633" s="69"/>
      <c r="K633" s="68"/>
      <c r="M633" s="69"/>
      <c r="O633" s="68"/>
      <c r="P633" s="68"/>
      <c r="Q633" s="68"/>
      <c r="R633" s="68"/>
      <c r="S633" s="68"/>
    </row>
    <row r="634" spans="1:19" ht="15.75" customHeight="1">
      <c r="A634" s="68"/>
      <c r="B634" s="68"/>
      <c r="D634" s="68"/>
      <c r="E634" s="69"/>
      <c r="K634" s="68"/>
      <c r="M634" s="69"/>
      <c r="O634" s="68"/>
      <c r="P634" s="68"/>
      <c r="Q634" s="68"/>
      <c r="R634" s="68"/>
      <c r="S634" s="68"/>
    </row>
    <row r="635" spans="1:19" ht="15.75" customHeight="1">
      <c r="A635" s="68"/>
      <c r="B635" s="68"/>
      <c r="D635" s="68"/>
      <c r="E635" s="69"/>
      <c r="K635" s="68"/>
      <c r="M635" s="69"/>
      <c r="O635" s="68"/>
      <c r="P635" s="68"/>
      <c r="Q635" s="68"/>
      <c r="R635" s="68"/>
      <c r="S635" s="68"/>
    </row>
    <row r="636" spans="1:19" ht="15.75" customHeight="1">
      <c r="A636" s="68"/>
      <c r="B636" s="68"/>
      <c r="D636" s="68"/>
      <c r="E636" s="69"/>
      <c r="K636" s="68"/>
      <c r="M636" s="69"/>
      <c r="O636" s="68"/>
      <c r="P636" s="68"/>
      <c r="Q636" s="68"/>
      <c r="R636" s="68"/>
      <c r="S636" s="68"/>
    </row>
    <row r="637" spans="1:19" ht="15.75" customHeight="1">
      <c r="A637" s="68"/>
      <c r="B637" s="68"/>
      <c r="D637" s="68"/>
      <c r="E637" s="69"/>
      <c r="K637" s="68"/>
      <c r="M637" s="69"/>
      <c r="O637" s="68"/>
      <c r="P637" s="68"/>
      <c r="Q637" s="68"/>
      <c r="R637" s="68"/>
      <c r="S637" s="68"/>
    </row>
    <row r="638" spans="1:19" ht="15.75" customHeight="1">
      <c r="A638" s="68"/>
      <c r="B638" s="68"/>
      <c r="D638" s="68"/>
      <c r="E638" s="69"/>
      <c r="K638" s="68"/>
      <c r="M638" s="69"/>
      <c r="O638" s="68"/>
      <c r="P638" s="68"/>
      <c r="Q638" s="68"/>
      <c r="R638" s="68"/>
      <c r="S638" s="68"/>
    </row>
    <row r="639" spans="1:19" ht="15.75" customHeight="1">
      <c r="A639" s="68"/>
      <c r="B639" s="68"/>
      <c r="D639" s="68"/>
      <c r="E639" s="69"/>
      <c r="K639" s="68"/>
      <c r="M639" s="69"/>
      <c r="O639" s="68"/>
      <c r="P639" s="68"/>
      <c r="Q639" s="68"/>
      <c r="R639" s="68"/>
      <c r="S639" s="68"/>
    </row>
    <row r="640" spans="1:19" ht="15.75" customHeight="1">
      <c r="A640" s="68"/>
      <c r="B640" s="68"/>
      <c r="D640" s="68"/>
      <c r="E640" s="69"/>
      <c r="K640" s="68"/>
      <c r="M640" s="69"/>
      <c r="O640" s="68"/>
      <c r="P640" s="68"/>
      <c r="Q640" s="68"/>
      <c r="R640" s="68"/>
      <c r="S640" s="68"/>
    </row>
    <row r="641" spans="1:19" ht="15.75" customHeight="1">
      <c r="A641" s="68"/>
      <c r="B641" s="68"/>
      <c r="D641" s="68"/>
      <c r="E641" s="69"/>
      <c r="K641" s="68"/>
      <c r="M641" s="69"/>
      <c r="O641" s="68"/>
      <c r="P641" s="68"/>
      <c r="Q641" s="68"/>
      <c r="R641" s="68"/>
      <c r="S641" s="68"/>
    </row>
    <row r="642" spans="1:19" ht="15.75" customHeight="1">
      <c r="A642" s="68"/>
      <c r="B642" s="68"/>
      <c r="D642" s="68"/>
      <c r="E642" s="69"/>
      <c r="K642" s="68"/>
      <c r="M642" s="69"/>
      <c r="O642" s="68"/>
      <c r="P642" s="68"/>
      <c r="Q642" s="68"/>
      <c r="R642" s="68"/>
      <c r="S642" s="68"/>
    </row>
    <row r="643" spans="1:19" ht="15.75" customHeight="1">
      <c r="A643" s="68"/>
      <c r="B643" s="68"/>
      <c r="D643" s="68"/>
      <c r="E643" s="69"/>
      <c r="K643" s="68"/>
      <c r="M643" s="69"/>
      <c r="O643" s="68"/>
      <c r="P643" s="68"/>
      <c r="Q643" s="68"/>
      <c r="R643" s="68"/>
      <c r="S643" s="68"/>
    </row>
    <row r="644" spans="1:19" ht="15.75" customHeight="1">
      <c r="A644" s="68"/>
      <c r="B644" s="68"/>
      <c r="D644" s="68"/>
      <c r="E644" s="69"/>
      <c r="K644" s="68"/>
      <c r="M644" s="69"/>
      <c r="O644" s="68"/>
      <c r="P644" s="68"/>
      <c r="Q644" s="68"/>
      <c r="R644" s="68"/>
      <c r="S644" s="68"/>
    </row>
    <row r="645" spans="1:19" ht="15.75" customHeight="1">
      <c r="A645" s="68"/>
      <c r="B645" s="68"/>
      <c r="D645" s="68"/>
      <c r="E645" s="69"/>
      <c r="K645" s="68"/>
      <c r="M645" s="69"/>
      <c r="O645" s="68"/>
      <c r="P645" s="68"/>
      <c r="Q645" s="68"/>
      <c r="R645" s="68"/>
      <c r="S645" s="68"/>
    </row>
    <row r="646" spans="1:19" ht="15.75" customHeight="1">
      <c r="A646" s="68"/>
      <c r="B646" s="68"/>
      <c r="D646" s="68"/>
      <c r="E646" s="69"/>
      <c r="K646" s="68"/>
      <c r="M646" s="69"/>
      <c r="O646" s="68"/>
      <c r="P646" s="68"/>
      <c r="Q646" s="68"/>
      <c r="R646" s="68"/>
      <c r="S646" s="68"/>
    </row>
    <row r="647" spans="1:19" ht="15.75" customHeight="1">
      <c r="A647" s="68"/>
      <c r="B647" s="68"/>
      <c r="D647" s="68"/>
      <c r="E647" s="69"/>
      <c r="K647" s="68"/>
      <c r="M647" s="69"/>
      <c r="O647" s="68"/>
      <c r="P647" s="68"/>
      <c r="Q647" s="68"/>
      <c r="R647" s="68"/>
      <c r="S647" s="68"/>
    </row>
    <row r="648" spans="1:19" ht="15.75" customHeight="1">
      <c r="A648" s="68"/>
      <c r="B648" s="68"/>
      <c r="D648" s="68"/>
      <c r="E648" s="69"/>
      <c r="K648" s="68"/>
      <c r="M648" s="69"/>
      <c r="O648" s="68"/>
      <c r="P648" s="68"/>
      <c r="Q648" s="68"/>
      <c r="R648" s="68"/>
      <c r="S648" s="68"/>
    </row>
    <row r="649" spans="1:19" ht="15.75" customHeight="1">
      <c r="A649" s="68"/>
      <c r="B649" s="68"/>
      <c r="D649" s="68"/>
      <c r="E649" s="69"/>
      <c r="K649" s="68"/>
      <c r="M649" s="69"/>
      <c r="O649" s="68"/>
      <c r="P649" s="68"/>
      <c r="Q649" s="68"/>
      <c r="R649" s="68"/>
      <c r="S649" s="68"/>
    </row>
    <row r="650" spans="1:19" ht="15.75" customHeight="1">
      <c r="A650" s="68"/>
      <c r="B650" s="68"/>
      <c r="D650" s="68"/>
      <c r="E650" s="69"/>
      <c r="K650" s="68"/>
      <c r="M650" s="69"/>
      <c r="O650" s="68"/>
      <c r="P650" s="68"/>
      <c r="Q650" s="68"/>
      <c r="R650" s="68"/>
      <c r="S650" s="68"/>
    </row>
    <row r="651" spans="1:19" ht="15.75" customHeight="1">
      <c r="A651" s="68"/>
      <c r="B651" s="68"/>
      <c r="D651" s="68"/>
      <c r="E651" s="69"/>
      <c r="K651" s="68"/>
      <c r="M651" s="69"/>
      <c r="O651" s="68"/>
      <c r="P651" s="68"/>
      <c r="Q651" s="68"/>
      <c r="R651" s="68"/>
      <c r="S651" s="68"/>
    </row>
    <row r="652" spans="1:19" ht="15.75" customHeight="1">
      <c r="A652" s="68"/>
      <c r="B652" s="68"/>
      <c r="D652" s="68"/>
      <c r="E652" s="69"/>
      <c r="K652" s="68"/>
      <c r="M652" s="69"/>
      <c r="O652" s="68"/>
      <c r="P652" s="68"/>
      <c r="Q652" s="68"/>
      <c r="R652" s="68"/>
      <c r="S652" s="68"/>
    </row>
    <row r="653" spans="1:19" ht="15.75" customHeight="1">
      <c r="A653" s="68"/>
      <c r="B653" s="68"/>
      <c r="D653" s="68"/>
      <c r="E653" s="69"/>
      <c r="K653" s="68"/>
      <c r="M653" s="69"/>
      <c r="O653" s="68"/>
      <c r="P653" s="68"/>
      <c r="Q653" s="68"/>
      <c r="R653" s="68"/>
      <c r="S653" s="68"/>
    </row>
    <row r="654" spans="1:19" ht="15.75" customHeight="1">
      <c r="A654" s="68"/>
      <c r="B654" s="68"/>
      <c r="D654" s="68"/>
      <c r="E654" s="69"/>
      <c r="K654" s="68"/>
      <c r="M654" s="69"/>
      <c r="O654" s="68"/>
      <c r="P654" s="68"/>
      <c r="Q654" s="68"/>
      <c r="R654" s="68"/>
      <c r="S654" s="68"/>
    </row>
    <row r="655" spans="1:19" ht="15.75" customHeight="1">
      <c r="A655" s="68"/>
      <c r="B655" s="68"/>
      <c r="D655" s="68"/>
      <c r="E655" s="69"/>
      <c r="K655" s="68"/>
      <c r="M655" s="69"/>
      <c r="O655" s="68"/>
      <c r="P655" s="68"/>
      <c r="Q655" s="68"/>
      <c r="R655" s="68"/>
      <c r="S655" s="68"/>
    </row>
    <row r="656" spans="1:19" ht="15.75" customHeight="1">
      <c r="A656" s="68"/>
      <c r="B656" s="68"/>
      <c r="D656" s="68"/>
      <c r="E656" s="69"/>
      <c r="K656" s="68"/>
      <c r="M656" s="69"/>
      <c r="O656" s="68"/>
      <c r="P656" s="68"/>
      <c r="Q656" s="68"/>
      <c r="R656" s="68"/>
      <c r="S656" s="68"/>
    </row>
    <row r="657" spans="1:19" ht="15.75" customHeight="1">
      <c r="A657" s="68"/>
      <c r="B657" s="68"/>
      <c r="D657" s="68"/>
      <c r="E657" s="69"/>
      <c r="K657" s="68"/>
      <c r="M657" s="69"/>
      <c r="O657" s="68"/>
      <c r="P657" s="68"/>
      <c r="Q657" s="68"/>
      <c r="R657" s="68"/>
      <c r="S657" s="68"/>
    </row>
    <row r="658" spans="1:19" ht="15.75" customHeight="1">
      <c r="A658" s="68"/>
      <c r="B658" s="68"/>
      <c r="D658" s="68"/>
      <c r="E658" s="69"/>
      <c r="K658" s="68"/>
      <c r="M658" s="69"/>
      <c r="O658" s="68"/>
      <c r="P658" s="68"/>
      <c r="Q658" s="68"/>
      <c r="R658" s="68"/>
      <c r="S658" s="68"/>
    </row>
    <row r="659" spans="1:19" ht="15.75" customHeight="1">
      <c r="A659" s="68"/>
      <c r="B659" s="68"/>
      <c r="D659" s="68"/>
      <c r="E659" s="69"/>
      <c r="K659" s="68"/>
      <c r="M659" s="69"/>
      <c r="O659" s="68"/>
      <c r="P659" s="68"/>
      <c r="Q659" s="68"/>
      <c r="R659" s="68"/>
      <c r="S659" s="68"/>
    </row>
    <row r="660" spans="1:19" ht="15.75" customHeight="1">
      <c r="A660" s="68"/>
      <c r="B660" s="68"/>
      <c r="D660" s="68"/>
      <c r="E660" s="69"/>
      <c r="K660" s="68"/>
      <c r="M660" s="69"/>
      <c r="O660" s="68"/>
      <c r="P660" s="68"/>
      <c r="Q660" s="68"/>
      <c r="R660" s="68"/>
      <c r="S660" s="68"/>
    </row>
    <row r="661" spans="1:19" ht="15.75" customHeight="1">
      <c r="A661" s="68"/>
      <c r="B661" s="68"/>
      <c r="D661" s="68"/>
      <c r="E661" s="69"/>
      <c r="K661" s="68"/>
      <c r="M661" s="69"/>
      <c r="O661" s="68"/>
      <c r="P661" s="68"/>
      <c r="Q661" s="68"/>
      <c r="R661" s="68"/>
      <c r="S661" s="68"/>
    </row>
    <row r="662" spans="1:19" ht="15.75" customHeight="1">
      <c r="A662" s="68"/>
      <c r="B662" s="68"/>
      <c r="D662" s="68"/>
      <c r="E662" s="69"/>
      <c r="K662" s="68"/>
      <c r="M662" s="69"/>
      <c r="O662" s="68"/>
      <c r="P662" s="68"/>
      <c r="Q662" s="68"/>
      <c r="R662" s="68"/>
      <c r="S662" s="68"/>
    </row>
    <row r="663" spans="1:19" ht="15.75" customHeight="1">
      <c r="A663" s="68"/>
      <c r="B663" s="68"/>
      <c r="D663" s="68"/>
      <c r="E663" s="69"/>
      <c r="K663" s="68"/>
      <c r="M663" s="69"/>
      <c r="O663" s="68"/>
      <c r="P663" s="68"/>
      <c r="Q663" s="68"/>
      <c r="R663" s="68"/>
      <c r="S663" s="68"/>
    </row>
    <row r="664" spans="1:19" ht="15.75" customHeight="1">
      <c r="A664" s="68"/>
      <c r="B664" s="68"/>
      <c r="D664" s="68"/>
      <c r="E664" s="69"/>
      <c r="K664" s="68"/>
      <c r="M664" s="69"/>
      <c r="O664" s="68"/>
      <c r="P664" s="68"/>
      <c r="Q664" s="68"/>
      <c r="R664" s="68"/>
      <c r="S664" s="68"/>
    </row>
    <row r="665" spans="1:19" ht="15.75" customHeight="1">
      <c r="A665" s="68"/>
      <c r="B665" s="68"/>
      <c r="D665" s="68"/>
      <c r="E665" s="69"/>
      <c r="K665" s="68"/>
      <c r="M665" s="69"/>
      <c r="O665" s="68"/>
      <c r="P665" s="68"/>
      <c r="Q665" s="68"/>
      <c r="R665" s="68"/>
      <c r="S665" s="68"/>
    </row>
    <row r="666" spans="1:19" ht="15.75" customHeight="1">
      <c r="A666" s="68"/>
      <c r="B666" s="68"/>
      <c r="D666" s="68"/>
      <c r="E666" s="69"/>
      <c r="K666" s="68"/>
      <c r="M666" s="69"/>
      <c r="O666" s="68"/>
      <c r="P666" s="68"/>
      <c r="Q666" s="68"/>
      <c r="R666" s="68"/>
      <c r="S666" s="68"/>
    </row>
    <row r="667" spans="1:19" ht="15.75" customHeight="1">
      <c r="A667" s="68"/>
      <c r="B667" s="68"/>
      <c r="D667" s="68"/>
      <c r="E667" s="69"/>
      <c r="K667" s="68"/>
      <c r="M667" s="69"/>
      <c r="O667" s="68"/>
      <c r="P667" s="68"/>
      <c r="Q667" s="68"/>
      <c r="R667" s="68"/>
      <c r="S667" s="68"/>
    </row>
    <row r="668" spans="1:19" ht="15.75" customHeight="1">
      <c r="A668" s="68"/>
      <c r="B668" s="68"/>
      <c r="D668" s="68"/>
      <c r="E668" s="69"/>
      <c r="K668" s="68"/>
      <c r="M668" s="69"/>
      <c r="O668" s="68"/>
      <c r="P668" s="68"/>
      <c r="Q668" s="68"/>
      <c r="R668" s="68"/>
      <c r="S668" s="68"/>
    </row>
    <row r="669" spans="1:19" ht="15.75" customHeight="1">
      <c r="A669" s="68"/>
      <c r="B669" s="68"/>
      <c r="D669" s="68"/>
      <c r="E669" s="69"/>
      <c r="K669" s="68"/>
      <c r="M669" s="69"/>
      <c r="O669" s="68"/>
      <c r="P669" s="68"/>
      <c r="Q669" s="68"/>
      <c r="R669" s="68"/>
      <c r="S669" s="68"/>
    </row>
    <row r="670" spans="1:19" ht="15.75" customHeight="1">
      <c r="A670" s="68"/>
      <c r="B670" s="68"/>
      <c r="D670" s="68"/>
      <c r="E670" s="69"/>
      <c r="K670" s="68"/>
      <c r="M670" s="69"/>
      <c r="O670" s="68"/>
      <c r="P670" s="68"/>
      <c r="Q670" s="68"/>
      <c r="R670" s="68"/>
      <c r="S670" s="68"/>
    </row>
    <row r="671" spans="1:19" ht="15.75" customHeight="1">
      <c r="A671" s="68"/>
      <c r="B671" s="68"/>
      <c r="D671" s="68"/>
      <c r="E671" s="69"/>
      <c r="K671" s="68"/>
      <c r="M671" s="69"/>
      <c r="O671" s="68"/>
      <c r="P671" s="68"/>
      <c r="Q671" s="68"/>
      <c r="R671" s="68"/>
      <c r="S671" s="68"/>
    </row>
    <row r="672" spans="1:19" ht="15.75" customHeight="1">
      <c r="A672" s="68"/>
      <c r="B672" s="68"/>
      <c r="D672" s="68"/>
      <c r="E672" s="69"/>
      <c r="K672" s="68"/>
      <c r="M672" s="69"/>
      <c r="O672" s="68"/>
      <c r="P672" s="68"/>
      <c r="Q672" s="68"/>
      <c r="R672" s="68"/>
      <c r="S672" s="68"/>
    </row>
    <row r="673" spans="1:19" ht="15.75" customHeight="1">
      <c r="A673" s="68"/>
      <c r="B673" s="68"/>
      <c r="D673" s="68"/>
      <c r="E673" s="69"/>
      <c r="K673" s="68"/>
      <c r="M673" s="69"/>
      <c r="O673" s="68"/>
      <c r="P673" s="68"/>
      <c r="Q673" s="68"/>
      <c r="R673" s="68"/>
      <c r="S673" s="68"/>
    </row>
    <row r="674" spans="1:19" ht="15.75" customHeight="1">
      <c r="A674" s="68"/>
      <c r="B674" s="68"/>
      <c r="D674" s="68"/>
      <c r="E674" s="69"/>
      <c r="K674" s="68"/>
      <c r="M674" s="69"/>
      <c r="O674" s="68"/>
      <c r="P674" s="68"/>
      <c r="Q674" s="68"/>
      <c r="R674" s="68"/>
      <c r="S674" s="68"/>
    </row>
    <row r="675" spans="1:19" ht="15.75" customHeight="1">
      <c r="A675" s="68"/>
      <c r="B675" s="68"/>
      <c r="D675" s="68"/>
      <c r="E675" s="69"/>
      <c r="K675" s="68"/>
      <c r="M675" s="69"/>
      <c r="O675" s="68"/>
      <c r="P675" s="68"/>
      <c r="Q675" s="68"/>
      <c r="R675" s="68"/>
      <c r="S675" s="68"/>
    </row>
    <row r="676" spans="1:19" ht="15.75" customHeight="1">
      <c r="A676" s="68"/>
      <c r="B676" s="68"/>
      <c r="D676" s="68"/>
      <c r="E676" s="69"/>
      <c r="K676" s="68"/>
      <c r="M676" s="69"/>
      <c r="O676" s="68"/>
      <c r="P676" s="68"/>
      <c r="Q676" s="68"/>
      <c r="R676" s="68"/>
      <c r="S676" s="68"/>
    </row>
    <row r="677" spans="1:19" ht="15.75" customHeight="1">
      <c r="A677" s="68"/>
      <c r="B677" s="68"/>
      <c r="D677" s="68"/>
      <c r="E677" s="69"/>
      <c r="K677" s="68"/>
      <c r="M677" s="69"/>
      <c r="O677" s="68"/>
      <c r="P677" s="68"/>
      <c r="Q677" s="68"/>
      <c r="R677" s="68"/>
      <c r="S677" s="68"/>
    </row>
    <row r="678" spans="1:19" ht="15.75" customHeight="1">
      <c r="A678" s="68"/>
      <c r="B678" s="68"/>
      <c r="D678" s="68"/>
      <c r="E678" s="69"/>
      <c r="K678" s="68"/>
      <c r="M678" s="69"/>
      <c r="O678" s="68"/>
      <c r="P678" s="68"/>
      <c r="Q678" s="68"/>
      <c r="R678" s="68"/>
      <c r="S678" s="68"/>
    </row>
    <row r="679" spans="1:19" ht="15.75" customHeight="1">
      <c r="A679" s="68"/>
      <c r="B679" s="68"/>
      <c r="D679" s="68"/>
      <c r="E679" s="69"/>
      <c r="K679" s="68"/>
      <c r="M679" s="69"/>
      <c r="O679" s="68"/>
      <c r="P679" s="68"/>
      <c r="Q679" s="68"/>
      <c r="R679" s="68"/>
      <c r="S679" s="68"/>
    </row>
    <row r="680" spans="1:19" ht="15.75" customHeight="1">
      <c r="A680" s="68"/>
      <c r="B680" s="68"/>
      <c r="D680" s="68"/>
      <c r="E680" s="69"/>
      <c r="K680" s="68"/>
      <c r="M680" s="69"/>
      <c r="O680" s="68"/>
      <c r="P680" s="68"/>
      <c r="Q680" s="68"/>
      <c r="R680" s="68"/>
      <c r="S680" s="68"/>
    </row>
    <row r="681" spans="1:19" ht="15.75" customHeight="1">
      <c r="A681" s="68"/>
      <c r="B681" s="68"/>
      <c r="D681" s="68"/>
      <c r="E681" s="69"/>
      <c r="K681" s="68"/>
      <c r="M681" s="69"/>
      <c r="O681" s="68"/>
      <c r="P681" s="68"/>
      <c r="Q681" s="68"/>
      <c r="R681" s="68"/>
      <c r="S681" s="68"/>
    </row>
    <row r="682" spans="1:19" ht="15.75" customHeight="1">
      <c r="A682" s="68"/>
      <c r="B682" s="68"/>
      <c r="D682" s="68"/>
      <c r="E682" s="69"/>
      <c r="K682" s="68"/>
      <c r="M682" s="69"/>
      <c r="O682" s="68"/>
      <c r="P682" s="68"/>
      <c r="Q682" s="68"/>
      <c r="R682" s="68"/>
      <c r="S682" s="68"/>
    </row>
    <row r="683" spans="1:19" ht="15.75" customHeight="1">
      <c r="A683" s="68"/>
      <c r="B683" s="68"/>
      <c r="D683" s="68"/>
      <c r="E683" s="69"/>
      <c r="K683" s="68"/>
      <c r="M683" s="69"/>
      <c r="O683" s="68"/>
      <c r="P683" s="68"/>
      <c r="Q683" s="68"/>
      <c r="R683" s="68"/>
      <c r="S683" s="68"/>
    </row>
    <row r="684" spans="1:19" ht="15.75" customHeight="1">
      <c r="A684" s="68"/>
      <c r="B684" s="68"/>
      <c r="D684" s="68"/>
      <c r="E684" s="69"/>
      <c r="K684" s="68"/>
      <c r="M684" s="69"/>
      <c r="O684" s="68"/>
      <c r="P684" s="68"/>
      <c r="Q684" s="68"/>
      <c r="R684" s="68"/>
      <c r="S684" s="68"/>
    </row>
    <row r="685" spans="1:19" ht="15.75" customHeight="1">
      <c r="A685" s="68"/>
      <c r="B685" s="68"/>
      <c r="D685" s="68"/>
      <c r="E685" s="69"/>
      <c r="K685" s="68"/>
      <c r="M685" s="69"/>
      <c r="O685" s="68"/>
      <c r="P685" s="68"/>
      <c r="Q685" s="68"/>
      <c r="R685" s="68"/>
      <c r="S685" s="68"/>
    </row>
    <row r="686" spans="1:19" ht="15.75" customHeight="1">
      <c r="A686" s="68"/>
      <c r="B686" s="68"/>
      <c r="D686" s="68"/>
      <c r="E686" s="69"/>
      <c r="K686" s="68"/>
      <c r="M686" s="69"/>
      <c r="O686" s="68"/>
      <c r="P686" s="68"/>
      <c r="Q686" s="68"/>
      <c r="R686" s="68"/>
      <c r="S686" s="68"/>
    </row>
    <row r="687" spans="1:19" ht="15.75" customHeight="1">
      <c r="A687" s="68"/>
      <c r="B687" s="68"/>
      <c r="D687" s="68"/>
      <c r="E687" s="69"/>
      <c r="K687" s="68"/>
      <c r="M687" s="69"/>
      <c r="O687" s="68"/>
      <c r="P687" s="68"/>
      <c r="Q687" s="68"/>
      <c r="R687" s="68"/>
      <c r="S687" s="68"/>
    </row>
    <row r="688" spans="1:19" ht="15.75" customHeight="1">
      <c r="A688" s="68"/>
      <c r="B688" s="68"/>
      <c r="D688" s="68"/>
      <c r="E688" s="69"/>
      <c r="K688" s="68"/>
      <c r="M688" s="69"/>
      <c r="O688" s="68"/>
      <c r="P688" s="68"/>
      <c r="Q688" s="68"/>
      <c r="R688" s="68"/>
      <c r="S688" s="68"/>
    </row>
    <row r="689" spans="1:19" ht="15.75" customHeight="1">
      <c r="A689" s="68"/>
      <c r="B689" s="68"/>
      <c r="D689" s="68"/>
      <c r="E689" s="69"/>
      <c r="K689" s="68"/>
      <c r="M689" s="69"/>
      <c r="O689" s="68"/>
      <c r="P689" s="68"/>
      <c r="Q689" s="68"/>
      <c r="R689" s="68"/>
      <c r="S689" s="68"/>
    </row>
    <row r="690" spans="1:19" ht="15.75" customHeight="1">
      <c r="A690" s="68"/>
      <c r="B690" s="68"/>
      <c r="D690" s="68"/>
      <c r="E690" s="69"/>
      <c r="K690" s="68"/>
      <c r="M690" s="69"/>
      <c r="O690" s="68"/>
      <c r="P690" s="68"/>
      <c r="Q690" s="68"/>
      <c r="R690" s="68"/>
      <c r="S690" s="68"/>
    </row>
    <row r="691" spans="1:19" ht="15.75" customHeight="1">
      <c r="A691" s="68"/>
      <c r="B691" s="68"/>
      <c r="D691" s="68"/>
      <c r="E691" s="69"/>
      <c r="K691" s="68"/>
      <c r="M691" s="69"/>
      <c r="O691" s="68"/>
      <c r="P691" s="68"/>
      <c r="Q691" s="68"/>
      <c r="R691" s="68"/>
      <c r="S691" s="68"/>
    </row>
    <row r="692" spans="1:19" ht="15.75" customHeight="1">
      <c r="A692" s="68"/>
      <c r="B692" s="68"/>
      <c r="D692" s="68"/>
      <c r="E692" s="69"/>
      <c r="K692" s="68"/>
      <c r="M692" s="69"/>
      <c r="O692" s="68"/>
      <c r="P692" s="68"/>
      <c r="Q692" s="68"/>
      <c r="R692" s="68"/>
      <c r="S692" s="68"/>
    </row>
    <row r="693" spans="1:19" ht="15.75" customHeight="1">
      <c r="A693" s="68"/>
      <c r="B693" s="68"/>
      <c r="D693" s="68"/>
      <c r="E693" s="69"/>
      <c r="K693" s="68"/>
      <c r="M693" s="69"/>
      <c r="O693" s="68"/>
      <c r="P693" s="68"/>
      <c r="Q693" s="68"/>
      <c r="R693" s="68"/>
      <c r="S693" s="68"/>
    </row>
    <row r="694" spans="1:19" ht="15.75" customHeight="1">
      <c r="A694" s="68"/>
      <c r="B694" s="68"/>
      <c r="D694" s="68"/>
      <c r="E694" s="69"/>
      <c r="K694" s="68"/>
      <c r="M694" s="69"/>
      <c r="O694" s="68"/>
      <c r="P694" s="68"/>
      <c r="Q694" s="68"/>
      <c r="R694" s="68"/>
      <c r="S694" s="68"/>
    </row>
    <row r="695" spans="1:19" ht="15.75" customHeight="1">
      <c r="A695" s="68"/>
      <c r="B695" s="68"/>
      <c r="D695" s="68"/>
      <c r="E695" s="69"/>
      <c r="K695" s="68"/>
      <c r="M695" s="69"/>
      <c r="O695" s="68"/>
      <c r="P695" s="68"/>
      <c r="Q695" s="68"/>
      <c r="R695" s="68"/>
      <c r="S695" s="68"/>
    </row>
    <row r="696" spans="1:19" ht="15.75" customHeight="1">
      <c r="A696" s="68"/>
      <c r="B696" s="68"/>
      <c r="D696" s="68"/>
      <c r="E696" s="69"/>
      <c r="K696" s="68"/>
      <c r="M696" s="69"/>
      <c r="O696" s="68"/>
      <c r="P696" s="68"/>
      <c r="Q696" s="68"/>
      <c r="R696" s="68"/>
      <c r="S696" s="68"/>
    </row>
    <row r="697" spans="1:19" ht="15.75" customHeight="1">
      <c r="A697" s="68"/>
      <c r="B697" s="68"/>
      <c r="D697" s="68"/>
      <c r="E697" s="69"/>
      <c r="K697" s="68"/>
      <c r="M697" s="69"/>
      <c r="O697" s="68"/>
      <c r="P697" s="68"/>
      <c r="Q697" s="68"/>
      <c r="R697" s="68"/>
      <c r="S697" s="68"/>
    </row>
    <row r="698" spans="1:19" ht="15.75" customHeight="1">
      <c r="A698" s="68"/>
      <c r="B698" s="68"/>
      <c r="D698" s="68"/>
      <c r="E698" s="69"/>
      <c r="K698" s="68"/>
      <c r="M698" s="69"/>
      <c r="O698" s="68"/>
      <c r="P698" s="68"/>
      <c r="Q698" s="68"/>
      <c r="R698" s="68"/>
      <c r="S698" s="68"/>
    </row>
    <row r="699" spans="1:19" ht="15.75" customHeight="1">
      <c r="A699" s="68"/>
      <c r="B699" s="68"/>
      <c r="D699" s="68"/>
      <c r="E699" s="69"/>
      <c r="K699" s="68"/>
      <c r="M699" s="69"/>
      <c r="O699" s="68"/>
      <c r="P699" s="68"/>
      <c r="Q699" s="68"/>
      <c r="R699" s="68"/>
      <c r="S699" s="68"/>
    </row>
    <row r="700" spans="1:19" ht="15.75" customHeight="1">
      <c r="A700" s="68"/>
      <c r="B700" s="68"/>
      <c r="D700" s="68"/>
      <c r="E700" s="69"/>
      <c r="K700" s="68"/>
      <c r="M700" s="69"/>
      <c r="O700" s="68"/>
      <c r="P700" s="68"/>
      <c r="Q700" s="68"/>
      <c r="R700" s="68"/>
      <c r="S700" s="68"/>
    </row>
    <row r="701" spans="1:19" ht="15.75" customHeight="1">
      <c r="A701" s="68"/>
      <c r="B701" s="68"/>
      <c r="D701" s="68"/>
      <c r="E701" s="69"/>
      <c r="K701" s="68"/>
      <c r="M701" s="69"/>
      <c r="O701" s="68"/>
      <c r="P701" s="68"/>
      <c r="Q701" s="68"/>
      <c r="R701" s="68"/>
      <c r="S701" s="68"/>
    </row>
    <row r="702" spans="1:19" ht="15.75" customHeight="1">
      <c r="A702" s="68"/>
      <c r="B702" s="68"/>
      <c r="D702" s="68"/>
      <c r="E702" s="69"/>
      <c r="K702" s="68"/>
      <c r="M702" s="69"/>
      <c r="O702" s="68"/>
      <c r="P702" s="68"/>
      <c r="Q702" s="68"/>
      <c r="R702" s="68"/>
      <c r="S702" s="68"/>
    </row>
    <row r="703" spans="1:19" ht="15.75" customHeight="1">
      <c r="A703" s="68"/>
      <c r="B703" s="68"/>
      <c r="D703" s="68"/>
      <c r="E703" s="69"/>
      <c r="K703" s="68"/>
      <c r="M703" s="69"/>
      <c r="O703" s="68"/>
      <c r="P703" s="68"/>
      <c r="Q703" s="68"/>
      <c r="R703" s="68"/>
      <c r="S703" s="68"/>
    </row>
    <row r="704" spans="1:19" ht="15.75" customHeight="1">
      <c r="A704" s="68"/>
      <c r="B704" s="68"/>
      <c r="D704" s="68"/>
      <c r="E704" s="69"/>
      <c r="K704" s="68"/>
      <c r="M704" s="69"/>
      <c r="O704" s="68"/>
      <c r="P704" s="68"/>
      <c r="Q704" s="68"/>
      <c r="R704" s="68"/>
      <c r="S704" s="68"/>
    </row>
    <row r="705" spans="1:19" ht="15.75" customHeight="1">
      <c r="A705" s="68"/>
      <c r="B705" s="68"/>
      <c r="D705" s="68"/>
      <c r="E705" s="69"/>
      <c r="K705" s="68"/>
      <c r="M705" s="69"/>
      <c r="O705" s="68"/>
      <c r="P705" s="68"/>
      <c r="Q705" s="68"/>
      <c r="R705" s="68"/>
      <c r="S705" s="68"/>
    </row>
    <row r="706" spans="1:19" ht="15.75" customHeight="1">
      <c r="A706" s="68"/>
      <c r="B706" s="68"/>
      <c r="D706" s="68"/>
      <c r="E706" s="69"/>
      <c r="K706" s="68"/>
      <c r="M706" s="69"/>
      <c r="O706" s="68"/>
      <c r="P706" s="68"/>
      <c r="Q706" s="68"/>
      <c r="R706" s="68"/>
      <c r="S706" s="68"/>
    </row>
    <row r="707" spans="1:19" ht="15.75" customHeight="1">
      <c r="A707" s="68"/>
      <c r="B707" s="68"/>
      <c r="D707" s="68"/>
      <c r="E707" s="69"/>
      <c r="K707" s="68"/>
      <c r="M707" s="69"/>
      <c r="O707" s="68"/>
      <c r="P707" s="68"/>
      <c r="Q707" s="68"/>
      <c r="R707" s="68"/>
      <c r="S707" s="68"/>
    </row>
    <row r="708" spans="1:19" ht="15.75" customHeight="1">
      <c r="A708" s="68"/>
      <c r="B708" s="68"/>
      <c r="D708" s="68"/>
      <c r="E708" s="69"/>
      <c r="K708" s="68"/>
      <c r="M708" s="69"/>
      <c r="O708" s="68"/>
      <c r="P708" s="68"/>
      <c r="Q708" s="68"/>
      <c r="R708" s="68"/>
      <c r="S708" s="68"/>
    </row>
    <row r="709" spans="1:19" ht="15.75" customHeight="1">
      <c r="A709" s="68"/>
      <c r="B709" s="68"/>
      <c r="D709" s="68"/>
      <c r="E709" s="69"/>
      <c r="K709" s="68"/>
      <c r="M709" s="69"/>
      <c r="O709" s="68"/>
      <c r="P709" s="68"/>
      <c r="Q709" s="68"/>
      <c r="R709" s="68"/>
      <c r="S709" s="68"/>
    </row>
    <row r="710" spans="1:19" ht="15.75" customHeight="1">
      <c r="A710" s="68"/>
      <c r="B710" s="68"/>
      <c r="D710" s="68"/>
      <c r="E710" s="69"/>
      <c r="K710" s="68"/>
      <c r="M710" s="69"/>
      <c r="O710" s="68"/>
      <c r="P710" s="68"/>
      <c r="Q710" s="68"/>
      <c r="R710" s="68"/>
      <c r="S710" s="68"/>
    </row>
    <row r="711" spans="1:19" ht="15.75" customHeight="1">
      <c r="A711" s="68"/>
      <c r="B711" s="68"/>
      <c r="D711" s="68"/>
      <c r="E711" s="69"/>
      <c r="K711" s="68"/>
      <c r="M711" s="69"/>
      <c r="O711" s="68"/>
      <c r="P711" s="68"/>
      <c r="Q711" s="68"/>
      <c r="R711" s="68"/>
      <c r="S711" s="68"/>
    </row>
    <row r="712" spans="1:19" ht="15.75" customHeight="1">
      <c r="A712" s="68"/>
      <c r="B712" s="68"/>
      <c r="D712" s="68"/>
      <c r="E712" s="69"/>
      <c r="K712" s="68"/>
      <c r="M712" s="69"/>
      <c r="O712" s="68"/>
      <c r="P712" s="68"/>
      <c r="Q712" s="68"/>
      <c r="R712" s="68"/>
      <c r="S712" s="68"/>
    </row>
    <row r="713" spans="1:19" ht="15.75" customHeight="1">
      <c r="A713" s="68"/>
      <c r="B713" s="68"/>
      <c r="D713" s="68"/>
      <c r="E713" s="69"/>
      <c r="K713" s="68"/>
      <c r="M713" s="69"/>
      <c r="O713" s="68"/>
      <c r="P713" s="68"/>
      <c r="Q713" s="68"/>
      <c r="R713" s="68"/>
      <c r="S713" s="68"/>
    </row>
    <row r="714" spans="1:19" ht="15.75" customHeight="1">
      <c r="A714" s="68"/>
      <c r="B714" s="68"/>
      <c r="D714" s="68"/>
      <c r="E714" s="69"/>
      <c r="K714" s="68"/>
      <c r="M714" s="69"/>
      <c r="O714" s="68"/>
      <c r="P714" s="68"/>
      <c r="Q714" s="68"/>
      <c r="R714" s="68"/>
      <c r="S714" s="68"/>
    </row>
    <row r="715" spans="1:19" ht="15.75" customHeight="1">
      <c r="A715" s="68"/>
      <c r="B715" s="68"/>
      <c r="D715" s="68"/>
      <c r="E715" s="69"/>
      <c r="K715" s="68"/>
      <c r="M715" s="69"/>
      <c r="O715" s="68"/>
      <c r="P715" s="68"/>
      <c r="Q715" s="68"/>
      <c r="R715" s="68"/>
      <c r="S715" s="68"/>
    </row>
    <row r="716" spans="1:19" ht="15.75" customHeight="1">
      <c r="A716" s="68"/>
      <c r="B716" s="68"/>
      <c r="D716" s="68"/>
      <c r="E716" s="69"/>
      <c r="K716" s="68"/>
      <c r="M716" s="69"/>
      <c r="O716" s="68"/>
      <c r="P716" s="68"/>
      <c r="Q716" s="68"/>
      <c r="R716" s="68"/>
      <c r="S716" s="68"/>
    </row>
    <row r="717" spans="1:19" ht="15.75" customHeight="1">
      <c r="A717" s="68"/>
      <c r="B717" s="68"/>
      <c r="D717" s="68"/>
      <c r="E717" s="69"/>
      <c r="K717" s="68"/>
      <c r="M717" s="69"/>
      <c r="O717" s="68"/>
      <c r="P717" s="68"/>
      <c r="Q717" s="68"/>
      <c r="R717" s="68"/>
      <c r="S717" s="68"/>
    </row>
    <row r="718" spans="1:19" ht="15.75" customHeight="1">
      <c r="A718" s="68"/>
      <c r="B718" s="68"/>
      <c r="D718" s="68"/>
      <c r="E718" s="69"/>
      <c r="K718" s="68"/>
      <c r="M718" s="69"/>
      <c r="O718" s="68"/>
      <c r="P718" s="68"/>
      <c r="Q718" s="68"/>
      <c r="R718" s="68"/>
      <c r="S718" s="68"/>
    </row>
    <row r="719" spans="1:19" ht="15.75" customHeight="1">
      <c r="A719" s="68"/>
      <c r="B719" s="68"/>
      <c r="D719" s="68"/>
      <c r="E719" s="69"/>
      <c r="K719" s="68"/>
      <c r="M719" s="69"/>
      <c r="O719" s="68"/>
      <c r="P719" s="68"/>
      <c r="Q719" s="68"/>
      <c r="R719" s="68"/>
      <c r="S719" s="68"/>
    </row>
    <row r="720" spans="1:19" ht="15.75" customHeight="1">
      <c r="A720" s="68"/>
      <c r="B720" s="68"/>
      <c r="D720" s="68"/>
      <c r="E720" s="69"/>
      <c r="K720" s="68"/>
      <c r="M720" s="69"/>
      <c r="O720" s="68"/>
      <c r="P720" s="68"/>
      <c r="Q720" s="68"/>
      <c r="R720" s="68"/>
      <c r="S720" s="68"/>
    </row>
    <row r="721" spans="1:19" ht="15.75" customHeight="1">
      <c r="A721" s="68"/>
      <c r="B721" s="68"/>
      <c r="D721" s="68"/>
      <c r="E721" s="69"/>
      <c r="K721" s="68"/>
      <c r="M721" s="69"/>
      <c r="O721" s="68"/>
      <c r="P721" s="68"/>
      <c r="Q721" s="68"/>
      <c r="R721" s="68"/>
      <c r="S721" s="68"/>
    </row>
    <row r="722" spans="1:19" ht="15.75" customHeight="1">
      <c r="A722" s="68"/>
      <c r="B722" s="68"/>
      <c r="D722" s="68"/>
      <c r="E722" s="69"/>
      <c r="K722" s="68"/>
      <c r="M722" s="69"/>
      <c r="O722" s="68"/>
      <c r="P722" s="68"/>
      <c r="Q722" s="68"/>
      <c r="R722" s="68"/>
      <c r="S722" s="68"/>
    </row>
    <row r="723" spans="1:19" ht="15.75" customHeight="1">
      <c r="A723" s="68"/>
      <c r="B723" s="68"/>
      <c r="D723" s="68"/>
      <c r="E723" s="69"/>
      <c r="K723" s="68"/>
      <c r="M723" s="69"/>
      <c r="O723" s="68"/>
      <c r="P723" s="68"/>
      <c r="Q723" s="68"/>
      <c r="R723" s="68"/>
      <c r="S723" s="68"/>
    </row>
    <row r="724" spans="1:19" ht="15.75" customHeight="1">
      <c r="A724" s="68"/>
      <c r="B724" s="68"/>
      <c r="D724" s="68"/>
      <c r="E724" s="69"/>
      <c r="K724" s="68"/>
      <c r="M724" s="69"/>
      <c r="O724" s="68"/>
      <c r="P724" s="68"/>
      <c r="Q724" s="68"/>
      <c r="R724" s="68"/>
      <c r="S724" s="68"/>
    </row>
    <row r="725" spans="1:19" ht="15.75" customHeight="1">
      <c r="A725" s="68"/>
      <c r="B725" s="68"/>
      <c r="D725" s="68"/>
      <c r="E725" s="69"/>
      <c r="K725" s="68"/>
      <c r="M725" s="69"/>
      <c r="O725" s="68"/>
      <c r="P725" s="68"/>
      <c r="Q725" s="68"/>
      <c r="R725" s="68"/>
      <c r="S725" s="68"/>
    </row>
    <row r="726" spans="1:19" ht="15.75" customHeight="1">
      <c r="A726" s="68"/>
      <c r="B726" s="68"/>
      <c r="D726" s="68"/>
      <c r="E726" s="69"/>
      <c r="K726" s="68"/>
      <c r="M726" s="69"/>
      <c r="O726" s="68"/>
      <c r="P726" s="68"/>
      <c r="Q726" s="68"/>
      <c r="R726" s="68"/>
      <c r="S726" s="68"/>
    </row>
    <row r="727" spans="1:19" ht="15.75" customHeight="1">
      <c r="A727" s="68"/>
      <c r="B727" s="68"/>
      <c r="D727" s="68"/>
      <c r="E727" s="69"/>
      <c r="K727" s="68"/>
      <c r="M727" s="69"/>
      <c r="O727" s="68"/>
      <c r="P727" s="68"/>
      <c r="Q727" s="68"/>
      <c r="R727" s="68"/>
      <c r="S727" s="68"/>
    </row>
    <row r="728" spans="1:19" ht="15.75" customHeight="1">
      <c r="A728" s="68"/>
      <c r="B728" s="68"/>
      <c r="D728" s="68"/>
      <c r="E728" s="69"/>
      <c r="K728" s="68"/>
      <c r="M728" s="69"/>
      <c r="O728" s="68"/>
      <c r="P728" s="68"/>
      <c r="Q728" s="68"/>
      <c r="R728" s="68"/>
      <c r="S728" s="68"/>
    </row>
    <row r="729" spans="1:19" ht="15.75" customHeight="1">
      <c r="A729" s="68"/>
      <c r="B729" s="68"/>
      <c r="D729" s="68"/>
      <c r="E729" s="69"/>
      <c r="K729" s="68"/>
      <c r="M729" s="69"/>
      <c r="O729" s="68"/>
      <c r="P729" s="68"/>
      <c r="Q729" s="68"/>
      <c r="R729" s="68"/>
      <c r="S729" s="68"/>
    </row>
    <row r="730" spans="1:19" ht="15.75" customHeight="1">
      <c r="A730" s="68"/>
      <c r="B730" s="68"/>
      <c r="D730" s="68"/>
      <c r="E730" s="69"/>
      <c r="K730" s="68"/>
      <c r="M730" s="69"/>
      <c r="O730" s="68"/>
      <c r="P730" s="68"/>
      <c r="Q730" s="68"/>
      <c r="R730" s="68"/>
      <c r="S730" s="68"/>
    </row>
    <row r="731" spans="1:19" ht="15.75" customHeight="1">
      <c r="A731" s="68"/>
      <c r="B731" s="68"/>
      <c r="D731" s="68"/>
      <c r="E731" s="69"/>
      <c r="K731" s="68"/>
      <c r="M731" s="69"/>
      <c r="O731" s="68"/>
      <c r="P731" s="68"/>
      <c r="Q731" s="68"/>
      <c r="R731" s="68"/>
      <c r="S731" s="68"/>
    </row>
    <row r="732" spans="1:19" ht="15.75" customHeight="1">
      <c r="A732" s="68"/>
      <c r="B732" s="68"/>
      <c r="D732" s="68"/>
      <c r="E732" s="69"/>
      <c r="K732" s="68"/>
      <c r="M732" s="69"/>
      <c r="O732" s="68"/>
      <c r="P732" s="68"/>
      <c r="Q732" s="68"/>
      <c r="R732" s="68"/>
      <c r="S732" s="68"/>
    </row>
    <row r="733" spans="1:19" ht="15.75" customHeight="1">
      <c r="A733" s="68"/>
      <c r="B733" s="68"/>
      <c r="D733" s="68"/>
      <c r="E733" s="69"/>
      <c r="K733" s="68"/>
      <c r="M733" s="69"/>
      <c r="O733" s="68"/>
      <c r="P733" s="68"/>
      <c r="Q733" s="68"/>
      <c r="R733" s="68"/>
      <c r="S733" s="68"/>
    </row>
    <row r="734" spans="1:19" ht="15.75" customHeight="1">
      <c r="A734" s="68"/>
      <c r="B734" s="68"/>
      <c r="D734" s="68"/>
      <c r="E734" s="69"/>
      <c r="K734" s="68"/>
      <c r="M734" s="69"/>
      <c r="O734" s="68"/>
      <c r="P734" s="68"/>
      <c r="Q734" s="68"/>
      <c r="R734" s="68"/>
      <c r="S734" s="68"/>
    </row>
    <row r="735" spans="1:19" ht="15.75" customHeight="1">
      <c r="A735" s="68"/>
      <c r="B735" s="68"/>
      <c r="D735" s="68"/>
      <c r="E735" s="69"/>
      <c r="K735" s="68"/>
      <c r="M735" s="69"/>
      <c r="O735" s="68"/>
      <c r="P735" s="68"/>
      <c r="Q735" s="68"/>
      <c r="R735" s="68"/>
      <c r="S735" s="68"/>
    </row>
    <row r="736" spans="1:19" ht="15.75" customHeight="1">
      <c r="A736" s="68"/>
      <c r="B736" s="68"/>
      <c r="D736" s="68"/>
      <c r="E736" s="69"/>
      <c r="K736" s="68"/>
      <c r="M736" s="69"/>
      <c r="O736" s="68"/>
      <c r="P736" s="68"/>
      <c r="Q736" s="68"/>
      <c r="R736" s="68"/>
      <c r="S736" s="68"/>
    </row>
    <row r="737" spans="1:19" ht="15.75" customHeight="1">
      <c r="A737" s="68"/>
      <c r="B737" s="68"/>
      <c r="D737" s="68"/>
      <c r="E737" s="69"/>
      <c r="K737" s="68"/>
      <c r="M737" s="69"/>
      <c r="O737" s="68"/>
      <c r="P737" s="68"/>
      <c r="Q737" s="68"/>
      <c r="R737" s="68"/>
      <c r="S737" s="68"/>
    </row>
    <row r="738" spans="1:19" ht="15.75" customHeight="1">
      <c r="A738" s="68"/>
      <c r="B738" s="68"/>
      <c r="D738" s="68"/>
      <c r="E738" s="69"/>
      <c r="K738" s="68"/>
      <c r="M738" s="69"/>
      <c r="O738" s="68"/>
      <c r="P738" s="68"/>
      <c r="Q738" s="68"/>
      <c r="R738" s="68"/>
      <c r="S738" s="68"/>
    </row>
    <row r="739" spans="1:19" ht="15.75" customHeight="1">
      <c r="A739" s="68"/>
      <c r="B739" s="68"/>
      <c r="D739" s="68"/>
      <c r="E739" s="69"/>
      <c r="K739" s="68"/>
      <c r="M739" s="69"/>
      <c r="O739" s="68"/>
      <c r="P739" s="68"/>
      <c r="Q739" s="68"/>
      <c r="R739" s="68"/>
      <c r="S739" s="68"/>
    </row>
    <row r="740" spans="1:19" ht="15.75" customHeight="1">
      <c r="A740" s="68"/>
      <c r="B740" s="68"/>
      <c r="D740" s="68"/>
      <c r="E740" s="69"/>
      <c r="K740" s="68"/>
      <c r="M740" s="69"/>
      <c r="O740" s="68"/>
      <c r="P740" s="68"/>
      <c r="Q740" s="68"/>
      <c r="R740" s="68"/>
      <c r="S740" s="68"/>
    </row>
    <row r="741" spans="1:19" ht="15.75" customHeight="1">
      <c r="A741" s="68"/>
      <c r="B741" s="68"/>
      <c r="D741" s="68"/>
      <c r="E741" s="69"/>
      <c r="K741" s="68"/>
      <c r="M741" s="69"/>
      <c r="O741" s="68"/>
      <c r="P741" s="68"/>
      <c r="Q741" s="68"/>
      <c r="R741" s="68"/>
      <c r="S741" s="68"/>
    </row>
    <row r="742" spans="1:19" ht="15.75" customHeight="1">
      <c r="A742" s="68"/>
      <c r="B742" s="68"/>
      <c r="D742" s="68"/>
      <c r="E742" s="69"/>
      <c r="K742" s="68"/>
      <c r="M742" s="69"/>
      <c r="O742" s="68"/>
      <c r="P742" s="68"/>
      <c r="Q742" s="68"/>
      <c r="R742" s="68"/>
      <c r="S742" s="68"/>
    </row>
    <row r="743" spans="1:19" ht="15.75" customHeight="1">
      <c r="A743" s="68"/>
      <c r="B743" s="68"/>
      <c r="D743" s="68"/>
      <c r="E743" s="69"/>
      <c r="K743" s="68"/>
      <c r="M743" s="69"/>
      <c r="O743" s="68"/>
      <c r="P743" s="68"/>
      <c r="Q743" s="68"/>
      <c r="R743" s="68"/>
      <c r="S743" s="68"/>
    </row>
    <row r="744" spans="1:19" ht="15.75" customHeight="1">
      <c r="A744" s="68"/>
      <c r="B744" s="68"/>
      <c r="D744" s="68"/>
      <c r="E744" s="69"/>
      <c r="K744" s="68"/>
      <c r="M744" s="69"/>
      <c r="O744" s="68"/>
      <c r="P744" s="68"/>
      <c r="Q744" s="68"/>
      <c r="R744" s="68"/>
      <c r="S744" s="68"/>
    </row>
    <row r="745" spans="1:19" ht="15.75" customHeight="1">
      <c r="A745" s="68"/>
      <c r="B745" s="68"/>
      <c r="D745" s="68"/>
      <c r="E745" s="69"/>
      <c r="K745" s="68"/>
      <c r="M745" s="69"/>
      <c r="O745" s="68"/>
      <c r="P745" s="68"/>
      <c r="Q745" s="68"/>
      <c r="R745" s="68"/>
      <c r="S745" s="68"/>
    </row>
    <row r="746" spans="1:19" ht="15.75" customHeight="1">
      <c r="A746" s="68"/>
      <c r="B746" s="68"/>
      <c r="D746" s="68"/>
      <c r="E746" s="69"/>
      <c r="K746" s="68"/>
      <c r="M746" s="69"/>
      <c r="O746" s="68"/>
      <c r="P746" s="68"/>
      <c r="Q746" s="68"/>
      <c r="R746" s="68"/>
      <c r="S746" s="68"/>
    </row>
    <row r="747" spans="1:19" ht="15.75" customHeight="1">
      <c r="A747" s="68"/>
      <c r="B747" s="68"/>
      <c r="D747" s="68"/>
      <c r="E747" s="69"/>
      <c r="K747" s="68"/>
      <c r="M747" s="69"/>
      <c r="O747" s="68"/>
      <c r="P747" s="68"/>
      <c r="Q747" s="68"/>
      <c r="R747" s="68"/>
      <c r="S747" s="68"/>
    </row>
    <row r="748" spans="1:19" ht="15.75" customHeight="1">
      <c r="A748" s="68"/>
      <c r="B748" s="68"/>
      <c r="D748" s="68"/>
      <c r="E748" s="69"/>
      <c r="K748" s="68"/>
      <c r="M748" s="69"/>
      <c r="O748" s="68"/>
      <c r="P748" s="68"/>
      <c r="Q748" s="68"/>
      <c r="R748" s="68"/>
      <c r="S748" s="68"/>
    </row>
    <row r="749" spans="1:19" ht="15.75" customHeight="1">
      <c r="A749" s="68"/>
      <c r="B749" s="68"/>
      <c r="D749" s="68"/>
      <c r="E749" s="69"/>
      <c r="K749" s="68"/>
      <c r="M749" s="69"/>
      <c r="O749" s="68"/>
      <c r="P749" s="68"/>
      <c r="Q749" s="68"/>
      <c r="R749" s="68"/>
      <c r="S749" s="68"/>
    </row>
    <row r="750" spans="1:19" ht="15.75" customHeight="1">
      <c r="A750" s="68"/>
      <c r="B750" s="68"/>
      <c r="D750" s="68"/>
      <c r="E750" s="69"/>
      <c r="K750" s="68"/>
      <c r="M750" s="69"/>
      <c r="O750" s="68"/>
      <c r="P750" s="68"/>
      <c r="Q750" s="68"/>
      <c r="R750" s="68"/>
      <c r="S750" s="68"/>
    </row>
    <row r="751" spans="1:19" ht="15.75" customHeight="1">
      <c r="A751" s="68"/>
      <c r="B751" s="68"/>
      <c r="D751" s="68"/>
      <c r="E751" s="69"/>
      <c r="K751" s="68"/>
      <c r="M751" s="69"/>
      <c r="O751" s="68"/>
      <c r="P751" s="68"/>
      <c r="Q751" s="68"/>
      <c r="R751" s="68"/>
      <c r="S751" s="68"/>
    </row>
    <row r="752" spans="1:19" ht="15.75" customHeight="1">
      <c r="A752" s="68"/>
      <c r="B752" s="68"/>
      <c r="D752" s="68"/>
      <c r="E752" s="69"/>
      <c r="K752" s="68"/>
      <c r="M752" s="69"/>
      <c r="O752" s="68"/>
      <c r="P752" s="68"/>
      <c r="Q752" s="68"/>
      <c r="R752" s="68"/>
      <c r="S752" s="68"/>
    </row>
    <row r="753" spans="1:19" ht="15.75" customHeight="1">
      <c r="A753" s="68"/>
      <c r="B753" s="68"/>
      <c r="D753" s="68"/>
      <c r="E753" s="69"/>
      <c r="K753" s="68"/>
      <c r="M753" s="69"/>
      <c r="O753" s="68"/>
      <c r="P753" s="68"/>
      <c r="Q753" s="68"/>
      <c r="R753" s="68"/>
      <c r="S753" s="68"/>
    </row>
    <row r="754" spans="1:19" ht="15.75" customHeight="1">
      <c r="A754" s="68"/>
      <c r="B754" s="68"/>
      <c r="D754" s="68"/>
      <c r="E754" s="69"/>
      <c r="K754" s="68"/>
      <c r="M754" s="69"/>
      <c r="O754" s="68"/>
      <c r="P754" s="68"/>
      <c r="Q754" s="68"/>
      <c r="R754" s="68"/>
      <c r="S754" s="68"/>
    </row>
    <row r="755" spans="1:19" ht="15.75" customHeight="1">
      <c r="A755" s="68"/>
      <c r="B755" s="68"/>
      <c r="D755" s="68"/>
      <c r="E755" s="69"/>
      <c r="K755" s="68"/>
      <c r="M755" s="69"/>
      <c r="O755" s="68"/>
      <c r="P755" s="68"/>
      <c r="Q755" s="68"/>
      <c r="R755" s="68"/>
      <c r="S755" s="68"/>
    </row>
    <row r="756" spans="1:19" ht="15.75" customHeight="1">
      <c r="A756" s="68"/>
      <c r="B756" s="68"/>
      <c r="D756" s="68"/>
      <c r="E756" s="69"/>
      <c r="K756" s="68"/>
      <c r="M756" s="69"/>
      <c r="O756" s="68"/>
      <c r="P756" s="68"/>
      <c r="Q756" s="68"/>
      <c r="R756" s="68"/>
      <c r="S756" s="68"/>
    </row>
    <row r="757" spans="1:19" ht="15.75" customHeight="1">
      <c r="A757" s="68"/>
      <c r="B757" s="68"/>
      <c r="D757" s="68"/>
      <c r="E757" s="69"/>
      <c r="K757" s="68"/>
      <c r="M757" s="69"/>
      <c r="O757" s="68"/>
      <c r="P757" s="68"/>
      <c r="Q757" s="68"/>
      <c r="R757" s="68"/>
      <c r="S757" s="68"/>
    </row>
    <row r="758" spans="1:19" ht="15.75" customHeight="1">
      <c r="A758" s="68"/>
      <c r="B758" s="68"/>
      <c r="D758" s="68"/>
      <c r="E758" s="69"/>
      <c r="K758" s="68"/>
      <c r="M758" s="69"/>
      <c r="O758" s="68"/>
      <c r="P758" s="68"/>
      <c r="Q758" s="68"/>
      <c r="R758" s="68"/>
      <c r="S758" s="68"/>
    </row>
    <row r="759" spans="1:19" ht="15.75" customHeight="1">
      <c r="A759" s="68"/>
      <c r="B759" s="68"/>
      <c r="D759" s="68"/>
      <c r="E759" s="69"/>
      <c r="K759" s="68"/>
      <c r="M759" s="69"/>
      <c r="O759" s="68"/>
      <c r="P759" s="68"/>
      <c r="Q759" s="68"/>
      <c r="R759" s="68"/>
      <c r="S759" s="68"/>
    </row>
    <row r="760" spans="1:19" ht="15.75" customHeight="1">
      <c r="A760" s="68"/>
      <c r="B760" s="68"/>
      <c r="D760" s="68"/>
      <c r="E760" s="69"/>
      <c r="K760" s="68"/>
      <c r="M760" s="69"/>
      <c r="O760" s="68"/>
      <c r="P760" s="68"/>
      <c r="Q760" s="68"/>
      <c r="R760" s="68"/>
      <c r="S760" s="68"/>
    </row>
    <row r="761" spans="1:19" ht="15.75" customHeight="1">
      <c r="A761" s="68"/>
      <c r="B761" s="68"/>
      <c r="D761" s="68"/>
      <c r="E761" s="69"/>
      <c r="K761" s="68"/>
      <c r="M761" s="69"/>
      <c r="O761" s="68"/>
      <c r="P761" s="68"/>
      <c r="Q761" s="68"/>
      <c r="R761" s="68"/>
      <c r="S761" s="68"/>
    </row>
    <row r="762" spans="1:19" ht="15.75" customHeight="1">
      <c r="A762" s="68"/>
      <c r="B762" s="68"/>
      <c r="D762" s="68"/>
      <c r="E762" s="69"/>
      <c r="K762" s="68"/>
      <c r="M762" s="69"/>
      <c r="O762" s="68"/>
      <c r="P762" s="68"/>
      <c r="Q762" s="68"/>
      <c r="R762" s="68"/>
      <c r="S762" s="68"/>
    </row>
    <row r="763" spans="1:19" ht="15.75" customHeight="1">
      <c r="A763" s="68"/>
      <c r="B763" s="68"/>
      <c r="D763" s="68"/>
      <c r="E763" s="69"/>
      <c r="K763" s="68"/>
      <c r="M763" s="69"/>
      <c r="O763" s="68"/>
      <c r="P763" s="68"/>
      <c r="Q763" s="68"/>
      <c r="R763" s="68"/>
      <c r="S763" s="68"/>
    </row>
    <row r="764" spans="1:19" ht="15.75" customHeight="1">
      <c r="A764" s="68"/>
      <c r="B764" s="68"/>
      <c r="D764" s="68"/>
      <c r="E764" s="69"/>
      <c r="K764" s="68"/>
      <c r="M764" s="69"/>
      <c r="O764" s="68"/>
      <c r="P764" s="68"/>
      <c r="Q764" s="68"/>
      <c r="R764" s="68"/>
      <c r="S764" s="68"/>
    </row>
    <row r="765" spans="1:19" ht="15.75" customHeight="1">
      <c r="A765" s="68"/>
      <c r="B765" s="68"/>
      <c r="D765" s="68"/>
      <c r="E765" s="69"/>
      <c r="K765" s="68"/>
      <c r="M765" s="69"/>
      <c r="O765" s="68"/>
      <c r="P765" s="68"/>
      <c r="Q765" s="68"/>
      <c r="R765" s="68"/>
      <c r="S765" s="68"/>
    </row>
    <row r="766" spans="1:19" ht="15.75" customHeight="1">
      <c r="A766" s="68"/>
      <c r="B766" s="68"/>
      <c r="D766" s="68"/>
      <c r="E766" s="69"/>
      <c r="K766" s="68"/>
      <c r="M766" s="69"/>
      <c r="O766" s="68"/>
      <c r="P766" s="68"/>
      <c r="Q766" s="68"/>
      <c r="R766" s="68"/>
      <c r="S766" s="68"/>
    </row>
    <row r="767" spans="1:19" ht="15.75" customHeight="1">
      <c r="A767" s="68"/>
      <c r="B767" s="68"/>
      <c r="D767" s="68"/>
      <c r="E767" s="69"/>
      <c r="K767" s="68"/>
      <c r="M767" s="69"/>
      <c r="O767" s="68"/>
      <c r="P767" s="68"/>
      <c r="Q767" s="68"/>
      <c r="R767" s="68"/>
      <c r="S767" s="68"/>
    </row>
    <row r="768" spans="1:19" ht="15.75" customHeight="1">
      <c r="A768" s="68"/>
      <c r="B768" s="68"/>
      <c r="D768" s="68"/>
      <c r="E768" s="69"/>
      <c r="K768" s="68"/>
      <c r="M768" s="69"/>
      <c r="O768" s="68"/>
      <c r="P768" s="68"/>
      <c r="Q768" s="68"/>
      <c r="R768" s="68"/>
      <c r="S768" s="68"/>
    </row>
    <row r="769" spans="1:19" ht="15.75" customHeight="1">
      <c r="A769" s="68"/>
      <c r="B769" s="68"/>
      <c r="D769" s="68"/>
      <c r="E769" s="69"/>
      <c r="K769" s="68"/>
      <c r="M769" s="69"/>
      <c r="O769" s="68"/>
      <c r="P769" s="68"/>
      <c r="Q769" s="68"/>
      <c r="R769" s="68"/>
      <c r="S769" s="68"/>
    </row>
    <row r="770" spans="1:19" ht="15.75" customHeight="1">
      <c r="A770" s="68"/>
      <c r="B770" s="68"/>
      <c r="D770" s="68"/>
      <c r="E770" s="69"/>
      <c r="K770" s="68"/>
      <c r="M770" s="69"/>
      <c r="O770" s="68"/>
      <c r="P770" s="68"/>
      <c r="Q770" s="68"/>
      <c r="R770" s="68"/>
      <c r="S770" s="68"/>
    </row>
    <row r="771" spans="1:19" ht="15.75" customHeight="1">
      <c r="A771" s="68"/>
      <c r="B771" s="68"/>
      <c r="D771" s="68"/>
      <c r="E771" s="69"/>
      <c r="K771" s="68"/>
      <c r="M771" s="69"/>
      <c r="O771" s="68"/>
      <c r="P771" s="68"/>
      <c r="Q771" s="68"/>
      <c r="R771" s="68"/>
      <c r="S771" s="68"/>
    </row>
    <row r="772" spans="1:19" ht="15.75" customHeight="1">
      <c r="A772" s="68"/>
      <c r="B772" s="68"/>
      <c r="D772" s="68"/>
      <c r="E772" s="69"/>
      <c r="K772" s="68"/>
      <c r="M772" s="69"/>
      <c r="O772" s="68"/>
      <c r="P772" s="68"/>
      <c r="Q772" s="68"/>
      <c r="R772" s="68"/>
      <c r="S772" s="68"/>
    </row>
    <row r="773" spans="1:19" ht="15.75" customHeight="1">
      <c r="A773" s="68"/>
      <c r="B773" s="68"/>
      <c r="D773" s="68"/>
      <c r="E773" s="69"/>
      <c r="K773" s="68"/>
      <c r="M773" s="69"/>
      <c r="O773" s="68"/>
      <c r="P773" s="68"/>
      <c r="Q773" s="68"/>
      <c r="R773" s="68"/>
      <c r="S773" s="68"/>
    </row>
    <row r="774" spans="1:19" ht="15.75" customHeight="1">
      <c r="A774" s="68"/>
      <c r="B774" s="68"/>
      <c r="D774" s="68"/>
      <c r="E774" s="69"/>
      <c r="K774" s="68"/>
      <c r="M774" s="69"/>
      <c r="O774" s="68"/>
      <c r="P774" s="68"/>
      <c r="Q774" s="68"/>
      <c r="R774" s="68"/>
      <c r="S774" s="68"/>
    </row>
    <row r="775" spans="1:19" ht="15.75" customHeight="1">
      <c r="A775" s="68"/>
      <c r="B775" s="68"/>
      <c r="D775" s="68"/>
      <c r="E775" s="69"/>
      <c r="K775" s="68"/>
      <c r="M775" s="69"/>
      <c r="O775" s="68"/>
      <c r="P775" s="68"/>
      <c r="Q775" s="68"/>
      <c r="R775" s="68"/>
      <c r="S775" s="68"/>
    </row>
    <row r="776" spans="1:19" ht="15.75" customHeight="1">
      <c r="A776" s="68"/>
      <c r="B776" s="68"/>
      <c r="D776" s="68"/>
      <c r="E776" s="69"/>
      <c r="K776" s="68"/>
      <c r="M776" s="69"/>
      <c r="O776" s="68"/>
      <c r="P776" s="68"/>
      <c r="Q776" s="68"/>
      <c r="R776" s="68"/>
      <c r="S776" s="68"/>
    </row>
    <row r="777" spans="1:19" ht="15.75" customHeight="1">
      <c r="A777" s="68"/>
      <c r="B777" s="68"/>
      <c r="D777" s="68"/>
      <c r="E777" s="69"/>
      <c r="K777" s="68"/>
      <c r="M777" s="69"/>
      <c r="O777" s="68"/>
      <c r="P777" s="68"/>
      <c r="Q777" s="68"/>
      <c r="R777" s="68"/>
      <c r="S777" s="68"/>
    </row>
    <row r="778" spans="1:19" ht="15.75" customHeight="1">
      <c r="A778" s="68"/>
      <c r="B778" s="68"/>
      <c r="D778" s="68"/>
      <c r="E778" s="69"/>
      <c r="K778" s="68"/>
      <c r="M778" s="69"/>
      <c r="O778" s="68"/>
      <c r="P778" s="68"/>
      <c r="Q778" s="68"/>
      <c r="R778" s="68"/>
      <c r="S778" s="68"/>
    </row>
    <row r="779" spans="1:19" ht="15.75" customHeight="1">
      <c r="A779" s="68"/>
      <c r="B779" s="68"/>
      <c r="D779" s="68"/>
      <c r="E779" s="69"/>
      <c r="K779" s="68"/>
      <c r="M779" s="69"/>
      <c r="O779" s="68"/>
      <c r="P779" s="68"/>
      <c r="Q779" s="68"/>
      <c r="R779" s="68"/>
      <c r="S779" s="68"/>
    </row>
    <row r="780" spans="1:19" ht="15.75" customHeight="1">
      <c r="A780" s="68"/>
      <c r="B780" s="68"/>
      <c r="D780" s="68"/>
      <c r="E780" s="69"/>
      <c r="K780" s="68"/>
      <c r="M780" s="69"/>
      <c r="O780" s="68"/>
      <c r="P780" s="68"/>
      <c r="Q780" s="68"/>
      <c r="R780" s="68"/>
      <c r="S780" s="68"/>
    </row>
    <row r="781" spans="1:19" ht="15.75" customHeight="1">
      <c r="A781" s="68"/>
      <c r="B781" s="68"/>
      <c r="D781" s="68"/>
      <c r="E781" s="69"/>
      <c r="K781" s="68"/>
      <c r="M781" s="69"/>
      <c r="O781" s="68"/>
      <c r="P781" s="68"/>
      <c r="Q781" s="68"/>
      <c r="R781" s="68"/>
      <c r="S781" s="68"/>
    </row>
    <row r="782" spans="1:19" ht="15.75" customHeight="1">
      <c r="A782" s="68"/>
      <c r="B782" s="68"/>
      <c r="D782" s="68"/>
      <c r="E782" s="69"/>
      <c r="K782" s="68"/>
      <c r="M782" s="69"/>
      <c r="O782" s="68"/>
      <c r="P782" s="68"/>
      <c r="Q782" s="68"/>
      <c r="R782" s="68"/>
      <c r="S782" s="68"/>
    </row>
    <row r="783" spans="1:19" ht="15.75" customHeight="1">
      <c r="A783" s="68"/>
      <c r="B783" s="68"/>
      <c r="D783" s="68"/>
      <c r="E783" s="69"/>
      <c r="K783" s="68"/>
      <c r="M783" s="69"/>
      <c r="O783" s="68"/>
      <c r="P783" s="68"/>
      <c r="Q783" s="68"/>
      <c r="R783" s="68"/>
      <c r="S783" s="68"/>
    </row>
    <row r="784" spans="1:19" ht="15.75" customHeight="1">
      <c r="A784" s="68"/>
      <c r="B784" s="68"/>
      <c r="D784" s="68"/>
      <c r="E784" s="69"/>
      <c r="K784" s="68"/>
      <c r="M784" s="69"/>
      <c r="O784" s="68"/>
      <c r="P784" s="68"/>
      <c r="Q784" s="68"/>
      <c r="R784" s="68"/>
      <c r="S784" s="68"/>
    </row>
    <row r="785" spans="1:19" ht="15.75" customHeight="1">
      <c r="A785" s="68"/>
      <c r="B785" s="68"/>
      <c r="D785" s="68"/>
      <c r="E785" s="69"/>
      <c r="K785" s="68"/>
      <c r="M785" s="69"/>
      <c r="O785" s="68"/>
      <c r="P785" s="68"/>
      <c r="Q785" s="68"/>
      <c r="R785" s="68"/>
      <c r="S785" s="68"/>
    </row>
    <row r="786" spans="1:19" ht="15.75" customHeight="1">
      <c r="A786" s="68"/>
      <c r="B786" s="68"/>
      <c r="D786" s="68"/>
      <c r="E786" s="69"/>
      <c r="K786" s="68"/>
      <c r="M786" s="69"/>
      <c r="O786" s="68"/>
      <c r="P786" s="68"/>
      <c r="Q786" s="68"/>
      <c r="R786" s="68"/>
      <c r="S786" s="68"/>
    </row>
    <row r="787" spans="1:19" ht="15.75" customHeight="1">
      <c r="A787" s="68"/>
      <c r="B787" s="68"/>
      <c r="D787" s="68"/>
      <c r="E787" s="69"/>
      <c r="K787" s="68"/>
      <c r="M787" s="69"/>
      <c r="O787" s="68"/>
      <c r="P787" s="68"/>
      <c r="Q787" s="68"/>
      <c r="R787" s="68"/>
      <c r="S787" s="68"/>
    </row>
    <row r="788" spans="1:19" ht="15.75" customHeight="1">
      <c r="A788" s="68"/>
      <c r="B788" s="68"/>
      <c r="D788" s="68"/>
      <c r="E788" s="69"/>
      <c r="K788" s="68"/>
      <c r="M788" s="69"/>
      <c r="O788" s="68"/>
      <c r="P788" s="68"/>
      <c r="Q788" s="68"/>
      <c r="R788" s="68"/>
      <c r="S788" s="68"/>
    </row>
    <row r="789" spans="1:19" ht="15.75" customHeight="1">
      <c r="A789" s="68"/>
      <c r="B789" s="68"/>
      <c r="D789" s="68"/>
      <c r="E789" s="69"/>
      <c r="K789" s="68"/>
      <c r="M789" s="69"/>
      <c r="O789" s="68"/>
      <c r="P789" s="68"/>
      <c r="Q789" s="68"/>
      <c r="R789" s="68"/>
      <c r="S789" s="68"/>
    </row>
    <row r="790" spans="1:19" ht="15.75" customHeight="1">
      <c r="A790" s="68"/>
      <c r="B790" s="68"/>
      <c r="D790" s="68"/>
      <c r="E790" s="69"/>
      <c r="K790" s="68"/>
      <c r="M790" s="69"/>
      <c r="O790" s="68"/>
      <c r="P790" s="68"/>
      <c r="Q790" s="68"/>
      <c r="R790" s="68"/>
      <c r="S790" s="68"/>
    </row>
    <row r="791" spans="1:19" ht="15.75" customHeight="1">
      <c r="A791" s="68"/>
      <c r="B791" s="68"/>
      <c r="D791" s="68"/>
      <c r="E791" s="69"/>
      <c r="K791" s="68"/>
      <c r="M791" s="69"/>
      <c r="O791" s="68"/>
      <c r="P791" s="68"/>
      <c r="Q791" s="68"/>
      <c r="R791" s="68"/>
      <c r="S791" s="68"/>
    </row>
    <row r="792" spans="1:19" ht="15.75" customHeight="1">
      <c r="A792" s="68"/>
      <c r="B792" s="68"/>
      <c r="D792" s="68"/>
      <c r="E792" s="69"/>
      <c r="K792" s="68"/>
      <c r="M792" s="69"/>
      <c r="O792" s="68"/>
      <c r="P792" s="68"/>
      <c r="Q792" s="68"/>
      <c r="R792" s="68"/>
      <c r="S792" s="68"/>
    </row>
    <row r="793" spans="1:19" ht="15.75" customHeight="1">
      <c r="A793" s="68"/>
      <c r="B793" s="68"/>
      <c r="D793" s="68"/>
      <c r="E793" s="69"/>
      <c r="K793" s="68"/>
      <c r="M793" s="69"/>
      <c r="O793" s="68"/>
      <c r="P793" s="68"/>
      <c r="Q793" s="68"/>
      <c r="R793" s="68"/>
      <c r="S793" s="68"/>
    </row>
    <row r="794" spans="1:19" ht="15.75" customHeight="1">
      <c r="A794" s="68"/>
      <c r="B794" s="68"/>
      <c r="D794" s="68"/>
      <c r="E794" s="69"/>
      <c r="K794" s="68"/>
      <c r="M794" s="69"/>
      <c r="O794" s="68"/>
      <c r="P794" s="68"/>
      <c r="Q794" s="68"/>
      <c r="R794" s="68"/>
      <c r="S794" s="68"/>
    </row>
    <row r="795" spans="1:19" ht="15.75" customHeight="1">
      <c r="A795" s="68"/>
      <c r="B795" s="68"/>
      <c r="D795" s="68"/>
      <c r="E795" s="69"/>
      <c r="K795" s="68"/>
      <c r="M795" s="69"/>
      <c r="O795" s="68"/>
      <c r="P795" s="68"/>
      <c r="Q795" s="68"/>
      <c r="R795" s="68"/>
      <c r="S795" s="68"/>
    </row>
    <row r="796" spans="1:19" ht="15.75" customHeight="1">
      <c r="A796" s="68"/>
      <c r="B796" s="68"/>
      <c r="D796" s="68"/>
      <c r="E796" s="69"/>
      <c r="K796" s="68"/>
      <c r="M796" s="69"/>
      <c r="O796" s="68"/>
      <c r="P796" s="68"/>
      <c r="Q796" s="68"/>
      <c r="R796" s="68"/>
      <c r="S796" s="68"/>
    </row>
    <row r="797" spans="1:19" ht="15.75" customHeight="1">
      <c r="A797" s="68"/>
      <c r="B797" s="68"/>
      <c r="D797" s="68"/>
      <c r="E797" s="69"/>
      <c r="K797" s="68"/>
      <c r="M797" s="69"/>
      <c r="O797" s="68"/>
      <c r="P797" s="68"/>
      <c r="Q797" s="68"/>
      <c r="R797" s="68"/>
      <c r="S797" s="68"/>
    </row>
    <row r="798" spans="1:19" ht="15.75" customHeight="1">
      <c r="A798" s="68"/>
      <c r="B798" s="68"/>
      <c r="D798" s="68"/>
      <c r="E798" s="69"/>
      <c r="K798" s="68"/>
      <c r="M798" s="69"/>
      <c r="O798" s="68"/>
      <c r="P798" s="68"/>
      <c r="Q798" s="68"/>
      <c r="R798" s="68"/>
      <c r="S798" s="68"/>
    </row>
    <row r="799" spans="1:19" ht="15.75" customHeight="1">
      <c r="A799" s="68"/>
      <c r="B799" s="68"/>
      <c r="D799" s="68"/>
      <c r="E799" s="69"/>
      <c r="K799" s="68"/>
      <c r="M799" s="69"/>
      <c r="O799" s="68"/>
      <c r="P799" s="68"/>
      <c r="Q799" s="68"/>
      <c r="R799" s="68"/>
      <c r="S799" s="68"/>
    </row>
    <row r="800" spans="1:19" ht="15.75" customHeight="1">
      <c r="A800" s="68"/>
      <c r="B800" s="68"/>
      <c r="D800" s="68"/>
      <c r="E800" s="69"/>
      <c r="K800" s="68"/>
      <c r="M800" s="69"/>
      <c r="O800" s="68"/>
      <c r="P800" s="68"/>
      <c r="Q800" s="68"/>
      <c r="R800" s="68"/>
      <c r="S800" s="68"/>
    </row>
    <row r="801" spans="1:19" ht="15.75" customHeight="1">
      <c r="A801" s="68"/>
      <c r="B801" s="68"/>
      <c r="D801" s="68"/>
      <c r="E801" s="69"/>
      <c r="K801" s="68"/>
      <c r="M801" s="69"/>
      <c r="O801" s="68"/>
      <c r="P801" s="68"/>
      <c r="Q801" s="68"/>
      <c r="R801" s="68"/>
      <c r="S801" s="68"/>
    </row>
    <row r="802" spans="1:19" ht="15.75" customHeight="1">
      <c r="A802" s="68"/>
      <c r="B802" s="68"/>
      <c r="D802" s="68"/>
      <c r="E802" s="69"/>
      <c r="K802" s="68"/>
      <c r="M802" s="69"/>
      <c r="O802" s="68"/>
      <c r="P802" s="68"/>
      <c r="Q802" s="68"/>
      <c r="R802" s="68"/>
      <c r="S802" s="68"/>
    </row>
    <row r="803" spans="1:19" ht="15.75" customHeight="1">
      <c r="A803" s="68"/>
      <c r="B803" s="68"/>
      <c r="D803" s="68"/>
      <c r="E803" s="69"/>
      <c r="K803" s="68"/>
      <c r="M803" s="69"/>
      <c r="O803" s="68"/>
      <c r="P803" s="68"/>
      <c r="Q803" s="68"/>
      <c r="R803" s="68"/>
      <c r="S803" s="68"/>
    </row>
    <row r="804" spans="1:19" ht="15.75" customHeight="1">
      <c r="A804" s="68"/>
      <c r="B804" s="68"/>
      <c r="D804" s="68"/>
      <c r="E804" s="69"/>
      <c r="K804" s="68"/>
      <c r="M804" s="69"/>
      <c r="O804" s="68"/>
      <c r="P804" s="68"/>
      <c r="Q804" s="68"/>
      <c r="R804" s="68"/>
      <c r="S804" s="68"/>
    </row>
    <row r="805" spans="1:19" ht="15.75" customHeight="1">
      <c r="A805" s="68"/>
      <c r="B805" s="68"/>
      <c r="D805" s="68"/>
      <c r="E805" s="69"/>
      <c r="K805" s="68"/>
      <c r="M805" s="69"/>
      <c r="O805" s="68"/>
      <c r="P805" s="68"/>
      <c r="Q805" s="68"/>
      <c r="R805" s="68"/>
      <c r="S805" s="68"/>
    </row>
    <row r="806" spans="1:19" ht="15.75" customHeight="1">
      <c r="A806" s="68"/>
      <c r="B806" s="68"/>
      <c r="D806" s="68"/>
      <c r="E806" s="69"/>
      <c r="K806" s="68"/>
      <c r="M806" s="69"/>
      <c r="O806" s="68"/>
      <c r="P806" s="68"/>
      <c r="Q806" s="68"/>
      <c r="R806" s="68"/>
      <c r="S806" s="68"/>
    </row>
    <row r="807" spans="1:19" ht="15.75" customHeight="1">
      <c r="A807" s="68"/>
      <c r="B807" s="68"/>
      <c r="D807" s="68"/>
      <c r="E807" s="69"/>
      <c r="K807" s="68"/>
      <c r="M807" s="69"/>
      <c r="O807" s="68"/>
      <c r="P807" s="68"/>
      <c r="Q807" s="68"/>
      <c r="R807" s="68"/>
      <c r="S807" s="68"/>
    </row>
    <row r="808" spans="1:19" ht="15.75" customHeight="1">
      <c r="A808" s="68"/>
      <c r="B808" s="68"/>
      <c r="D808" s="68"/>
      <c r="E808" s="69"/>
      <c r="K808" s="68"/>
      <c r="M808" s="69"/>
      <c r="O808" s="68"/>
      <c r="P808" s="68"/>
      <c r="Q808" s="68"/>
      <c r="R808" s="68"/>
      <c r="S808" s="68"/>
    </row>
    <row r="809" spans="1:19" ht="15.75" customHeight="1">
      <c r="A809" s="68"/>
      <c r="B809" s="68"/>
      <c r="D809" s="68"/>
      <c r="E809" s="69"/>
      <c r="K809" s="68"/>
      <c r="M809" s="69"/>
      <c r="O809" s="68"/>
      <c r="P809" s="68"/>
      <c r="Q809" s="68"/>
      <c r="R809" s="68"/>
      <c r="S809" s="68"/>
    </row>
    <row r="810" spans="1:19" ht="15.75" customHeight="1">
      <c r="A810" s="68"/>
      <c r="B810" s="68"/>
      <c r="D810" s="68"/>
      <c r="E810" s="69"/>
      <c r="K810" s="68"/>
      <c r="M810" s="69"/>
      <c r="O810" s="68"/>
      <c r="P810" s="68"/>
      <c r="Q810" s="68"/>
      <c r="R810" s="68"/>
      <c r="S810" s="68"/>
    </row>
    <row r="811" spans="1:19" ht="15.75" customHeight="1">
      <c r="A811" s="68"/>
      <c r="B811" s="68"/>
      <c r="D811" s="68"/>
      <c r="E811" s="69"/>
      <c r="K811" s="68"/>
      <c r="M811" s="69"/>
      <c r="O811" s="68"/>
      <c r="P811" s="68"/>
      <c r="Q811" s="68"/>
      <c r="R811" s="68"/>
      <c r="S811" s="68"/>
    </row>
    <row r="812" spans="1:19" ht="15.75" customHeight="1">
      <c r="A812" s="68"/>
      <c r="B812" s="68"/>
      <c r="D812" s="68"/>
      <c r="E812" s="69"/>
      <c r="K812" s="68"/>
      <c r="M812" s="69"/>
      <c r="O812" s="68"/>
      <c r="P812" s="68"/>
      <c r="Q812" s="68"/>
      <c r="R812" s="68"/>
      <c r="S812" s="68"/>
    </row>
    <row r="813" spans="1:19" ht="15.75" customHeight="1">
      <c r="A813" s="68"/>
      <c r="B813" s="68"/>
      <c r="D813" s="68"/>
      <c r="E813" s="69"/>
      <c r="K813" s="68"/>
      <c r="M813" s="69"/>
      <c r="O813" s="68"/>
      <c r="P813" s="68"/>
      <c r="Q813" s="68"/>
      <c r="R813" s="68"/>
      <c r="S813" s="68"/>
    </row>
    <row r="814" spans="1:19" ht="15.75" customHeight="1">
      <c r="A814" s="68"/>
      <c r="B814" s="68"/>
      <c r="D814" s="68"/>
      <c r="E814" s="69"/>
      <c r="K814" s="68"/>
      <c r="M814" s="69"/>
      <c r="O814" s="68"/>
      <c r="P814" s="68"/>
      <c r="Q814" s="68"/>
      <c r="R814" s="68"/>
      <c r="S814" s="68"/>
    </row>
    <row r="815" spans="1:19" ht="15.75" customHeight="1">
      <c r="A815" s="68"/>
      <c r="B815" s="68"/>
      <c r="D815" s="68"/>
      <c r="E815" s="69"/>
      <c r="K815" s="68"/>
      <c r="M815" s="69"/>
      <c r="O815" s="68"/>
      <c r="P815" s="68"/>
      <c r="Q815" s="68"/>
      <c r="R815" s="68"/>
      <c r="S815" s="68"/>
    </row>
    <row r="816" spans="1:19" ht="15.75" customHeight="1">
      <c r="A816" s="68"/>
      <c r="B816" s="68"/>
      <c r="D816" s="68"/>
      <c r="E816" s="69"/>
      <c r="K816" s="68"/>
      <c r="M816" s="69"/>
      <c r="O816" s="68"/>
      <c r="P816" s="68"/>
      <c r="Q816" s="68"/>
      <c r="R816" s="68"/>
      <c r="S816" s="68"/>
    </row>
    <row r="817" spans="1:19" ht="15.75" customHeight="1">
      <c r="A817" s="68"/>
      <c r="B817" s="68"/>
      <c r="D817" s="68"/>
      <c r="E817" s="69"/>
      <c r="K817" s="68"/>
      <c r="M817" s="69"/>
      <c r="O817" s="68"/>
      <c r="P817" s="68"/>
      <c r="Q817" s="68"/>
      <c r="R817" s="68"/>
      <c r="S817" s="68"/>
    </row>
    <row r="818" spans="1:19" ht="15.75" customHeight="1">
      <c r="A818" s="68"/>
      <c r="B818" s="68"/>
      <c r="D818" s="68"/>
      <c r="E818" s="69"/>
      <c r="K818" s="68"/>
      <c r="M818" s="69"/>
      <c r="O818" s="68"/>
      <c r="P818" s="68"/>
      <c r="Q818" s="68"/>
      <c r="R818" s="68"/>
      <c r="S818" s="68"/>
    </row>
    <row r="819" spans="1:19" ht="15.75" customHeight="1">
      <c r="A819" s="68"/>
      <c r="B819" s="68"/>
      <c r="D819" s="68"/>
      <c r="E819" s="69"/>
      <c r="K819" s="68"/>
      <c r="M819" s="69"/>
      <c r="O819" s="68"/>
      <c r="P819" s="68"/>
      <c r="Q819" s="68"/>
      <c r="R819" s="68"/>
      <c r="S819" s="68"/>
    </row>
    <row r="820" spans="1:19" ht="15.75" customHeight="1">
      <c r="A820" s="68"/>
      <c r="B820" s="68"/>
      <c r="D820" s="68"/>
      <c r="E820" s="69"/>
      <c r="K820" s="68"/>
      <c r="M820" s="69"/>
      <c r="O820" s="68"/>
      <c r="P820" s="68"/>
      <c r="Q820" s="68"/>
      <c r="R820" s="68"/>
      <c r="S820" s="68"/>
    </row>
    <row r="821" spans="1:19" ht="15.75" customHeight="1">
      <c r="A821" s="68"/>
      <c r="B821" s="68"/>
      <c r="D821" s="68"/>
      <c r="E821" s="69"/>
      <c r="K821" s="68"/>
      <c r="M821" s="69"/>
      <c r="O821" s="68"/>
      <c r="P821" s="68"/>
      <c r="Q821" s="68"/>
      <c r="R821" s="68"/>
      <c r="S821" s="68"/>
    </row>
    <row r="822" spans="1:19" ht="15.75" customHeight="1">
      <c r="A822" s="68"/>
      <c r="B822" s="68"/>
      <c r="D822" s="68"/>
      <c r="E822" s="69"/>
      <c r="K822" s="68"/>
      <c r="M822" s="69"/>
      <c r="O822" s="68"/>
      <c r="P822" s="68"/>
      <c r="Q822" s="68"/>
      <c r="R822" s="68"/>
      <c r="S822" s="68"/>
    </row>
    <row r="823" spans="1:19" ht="15.75" customHeight="1">
      <c r="A823" s="68"/>
      <c r="B823" s="68"/>
      <c r="D823" s="68"/>
      <c r="E823" s="69"/>
      <c r="K823" s="68"/>
      <c r="M823" s="69"/>
      <c r="O823" s="68"/>
      <c r="P823" s="68"/>
      <c r="Q823" s="68"/>
      <c r="R823" s="68"/>
      <c r="S823" s="68"/>
    </row>
    <row r="824" spans="1:19" ht="15.75" customHeight="1">
      <c r="A824" s="68"/>
      <c r="B824" s="68"/>
      <c r="D824" s="68"/>
      <c r="E824" s="69"/>
      <c r="K824" s="68"/>
      <c r="M824" s="69"/>
      <c r="O824" s="68"/>
      <c r="P824" s="68"/>
      <c r="Q824" s="68"/>
      <c r="R824" s="68"/>
      <c r="S824" s="68"/>
    </row>
    <row r="825" spans="1:19" ht="15.75" customHeight="1">
      <c r="A825" s="68"/>
      <c r="B825" s="68"/>
      <c r="D825" s="68"/>
      <c r="E825" s="69"/>
      <c r="K825" s="68"/>
      <c r="M825" s="69"/>
      <c r="O825" s="68"/>
      <c r="P825" s="68"/>
      <c r="Q825" s="68"/>
      <c r="R825" s="68"/>
      <c r="S825" s="68"/>
    </row>
    <row r="826" spans="1:19" ht="15.75" customHeight="1">
      <c r="A826" s="68"/>
      <c r="B826" s="68"/>
      <c r="D826" s="68"/>
      <c r="E826" s="69"/>
      <c r="K826" s="68"/>
      <c r="M826" s="69"/>
      <c r="O826" s="68"/>
      <c r="P826" s="68"/>
      <c r="Q826" s="68"/>
      <c r="R826" s="68"/>
      <c r="S826" s="68"/>
    </row>
    <row r="827" spans="1:19" ht="15.75" customHeight="1">
      <c r="A827" s="68"/>
      <c r="B827" s="68"/>
      <c r="D827" s="68"/>
      <c r="E827" s="69"/>
      <c r="K827" s="68"/>
      <c r="M827" s="69"/>
      <c r="O827" s="68"/>
      <c r="P827" s="68"/>
      <c r="Q827" s="68"/>
      <c r="R827" s="68"/>
      <c r="S827" s="68"/>
    </row>
    <row r="828" spans="1:19" ht="15.75" customHeight="1">
      <c r="A828" s="68"/>
      <c r="B828" s="68"/>
      <c r="D828" s="68"/>
      <c r="E828" s="69"/>
      <c r="K828" s="68"/>
      <c r="M828" s="69"/>
      <c r="O828" s="68"/>
      <c r="P828" s="68"/>
      <c r="Q828" s="68"/>
      <c r="R828" s="68"/>
      <c r="S828" s="68"/>
    </row>
    <row r="829" spans="1:19" ht="15.75" customHeight="1">
      <c r="A829" s="68"/>
      <c r="B829" s="68"/>
      <c r="D829" s="68"/>
      <c r="E829" s="69"/>
      <c r="K829" s="68"/>
      <c r="M829" s="69"/>
      <c r="O829" s="68"/>
      <c r="P829" s="68"/>
      <c r="Q829" s="68"/>
      <c r="R829" s="68"/>
      <c r="S829" s="68"/>
    </row>
    <row r="830" spans="1:19" ht="15.75" customHeight="1">
      <c r="A830" s="68"/>
      <c r="B830" s="68"/>
      <c r="D830" s="68"/>
      <c r="E830" s="69"/>
      <c r="K830" s="68"/>
      <c r="M830" s="69"/>
      <c r="O830" s="68"/>
      <c r="P830" s="68"/>
      <c r="Q830" s="68"/>
      <c r="R830" s="68"/>
      <c r="S830" s="68"/>
    </row>
    <row r="831" spans="1:19" ht="15.75" customHeight="1">
      <c r="A831" s="68"/>
      <c r="B831" s="68"/>
      <c r="D831" s="68"/>
      <c r="E831" s="69"/>
      <c r="K831" s="68"/>
      <c r="M831" s="69"/>
      <c r="O831" s="68"/>
      <c r="P831" s="68"/>
      <c r="Q831" s="68"/>
      <c r="R831" s="68"/>
      <c r="S831" s="68"/>
    </row>
    <row r="832" spans="1:19" ht="15.75" customHeight="1">
      <c r="A832" s="68"/>
      <c r="B832" s="68"/>
      <c r="D832" s="68"/>
      <c r="E832" s="69"/>
      <c r="K832" s="68"/>
      <c r="M832" s="69"/>
      <c r="O832" s="68"/>
      <c r="P832" s="68"/>
      <c r="Q832" s="68"/>
      <c r="R832" s="68"/>
      <c r="S832" s="68"/>
    </row>
    <row r="833" spans="1:19" ht="15.75" customHeight="1">
      <c r="A833" s="68"/>
      <c r="B833" s="68"/>
      <c r="D833" s="68"/>
      <c r="E833" s="69"/>
      <c r="K833" s="68"/>
      <c r="M833" s="69"/>
      <c r="O833" s="68"/>
      <c r="P833" s="68"/>
      <c r="Q833" s="68"/>
      <c r="R833" s="68"/>
      <c r="S833" s="68"/>
    </row>
    <row r="834" spans="1:19" ht="15.75" customHeight="1">
      <c r="A834" s="68"/>
      <c r="B834" s="68"/>
      <c r="D834" s="68"/>
      <c r="E834" s="69"/>
      <c r="K834" s="68"/>
      <c r="M834" s="69"/>
      <c r="O834" s="68"/>
      <c r="P834" s="68"/>
      <c r="Q834" s="68"/>
      <c r="R834" s="68"/>
      <c r="S834" s="68"/>
    </row>
    <row r="835" spans="1:19" ht="15.75" customHeight="1">
      <c r="A835" s="68"/>
      <c r="B835" s="68"/>
      <c r="D835" s="68"/>
      <c r="E835" s="69"/>
      <c r="K835" s="68"/>
      <c r="M835" s="69"/>
      <c r="O835" s="68"/>
      <c r="P835" s="68"/>
      <c r="Q835" s="68"/>
      <c r="R835" s="68"/>
      <c r="S835" s="68"/>
    </row>
    <row r="836" spans="1:19" ht="15.75" customHeight="1">
      <c r="A836" s="68"/>
      <c r="B836" s="68"/>
      <c r="D836" s="68"/>
      <c r="E836" s="69"/>
      <c r="K836" s="68"/>
      <c r="M836" s="69"/>
      <c r="O836" s="68"/>
      <c r="P836" s="68"/>
      <c r="Q836" s="68"/>
      <c r="R836" s="68"/>
      <c r="S836" s="68"/>
    </row>
    <row r="837" spans="1:19" ht="15.75" customHeight="1">
      <c r="A837" s="68"/>
      <c r="B837" s="68"/>
      <c r="D837" s="68"/>
      <c r="E837" s="69"/>
      <c r="K837" s="68"/>
      <c r="M837" s="69"/>
      <c r="O837" s="68"/>
      <c r="P837" s="68"/>
      <c r="Q837" s="68"/>
      <c r="R837" s="68"/>
      <c r="S837" s="68"/>
    </row>
    <row r="838" spans="1:19" ht="15.75" customHeight="1">
      <c r="A838" s="68"/>
      <c r="B838" s="68"/>
      <c r="D838" s="68"/>
      <c r="E838" s="69"/>
      <c r="K838" s="68"/>
      <c r="M838" s="69"/>
      <c r="O838" s="68"/>
      <c r="P838" s="68"/>
      <c r="Q838" s="68"/>
      <c r="R838" s="68"/>
      <c r="S838" s="68"/>
    </row>
    <row r="839" spans="1:19" ht="15.75" customHeight="1">
      <c r="A839" s="68"/>
      <c r="B839" s="68"/>
      <c r="D839" s="68"/>
      <c r="E839" s="69"/>
      <c r="K839" s="68"/>
      <c r="M839" s="69"/>
      <c r="O839" s="68"/>
      <c r="P839" s="68"/>
      <c r="Q839" s="68"/>
      <c r="R839" s="68"/>
      <c r="S839" s="68"/>
    </row>
    <row r="840" spans="1:19" ht="15.75" customHeight="1">
      <c r="A840" s="68"/>
      <c r="B840" s="68"/>
      <c r="D840" s="68"/>
      <c r="E840" s="69"/>
      <c r="K840" s="68"/>
      <c r="M840" s="69"/>
      <c r="O840" s="68"/>
      <c r="P840" s="68"/>
      <c r="Q840" s="68"/>
      <c r="R840" s="68"/>
      <c r="S840" s="68"/>
    </row>
    <row r="841" spans="1:19" ht="15.75" customHeight="1">
      <c r="A841" s="68"/>
      <c r="B841" s="68"/>
      <c r="D841" s="68"/>
      <c r="E841" s="69"/>
      <c r="K841" s="68"/>
      <c r="M841" s="69"/>
      <c r="O841" s="68"/>
      <c r="P841" s="68"/>
      <c r="Q841" s="68"/>
      <c r="R841" s="68"/>
      <c r="S841" s="68"/>
    </row>
    <row r="842" spans="1:19" ht="15.75" customHeight="1">
      <c r="A842" s="68"/>
      <c r="B842" s="68"/>
      <c r="D842" s="68"/>
      <c r="E842" s="69"/>
      <c r="K842" s="68"/>
      <c r="M842" s="69"/>
      <c r="O842" s="68"/>
      <c r="P842" s="68"/>
      <c r="Q842" s="68"/>
      <c r="R842" s="68"/>
      <c r="S842" s="68"/>
    </row>
    <row r="843" spans="1:19" ht="15.75" customHeight="1">
      <c r="A843" s="68"/>
      <c r="B843" s="68"/>
      <c r="D843" s="68"/>
      <c r="E843" s="69"/>
      <c r="K843" s="68"/>
      <c r="M843" s="69"/>
      <c r="O843" s="68"/>
      <c r="P843" s="68"/>
      <c r="Q843" s="68"/>
      <c r="R843" s="68"/>
      <c r="S843" s="68"/>
    </row>
    <row r="844" spans="1:19" ht="15.75" customHeight="1">
      <c r="A844" s="68"/>
      <c r="B844" s="68"/>
      <c r="D844" s="68"/>
      <c r="E844" s="69"/>
      <c r="K844" s="68"/>
      <c r="M844" s="69"/>
      <c r="O844" s="68"/>
      <c r="P844" s="68"/>
      <c r="Q844" s="68"/>
      <c r="R844" s="68"/>
      <c r="S844" s="68"/>
    </row>
    <row r="845" spans="1:19" ht="15.75" customHeight="1">
      <c r="A845" s="68"/>
      <c r="B845" s="68"/>
      <c r="D845" s="68"/>
      <c r="E845" s="69"/>
      <c r="K845" s="68"/>
      <c r="M845" s="69"/>
      <c r="O845" s="68"/>
      <c r="P845" s="68"/>
      <c r="Q845" s="68"/>
      <c r="R845" s="68"/>
      <c r="S845" s="68"/>
    </row>
    <row r="846" spans="1:19" ht="15.75" customHeight="1">
      <c r="A846" s="68"/>
      <c r="B846" s="68"/>
      <c r="D846" s="68"/>
      <c r="E846" s="69"/>
      <c r="K846" s="68"/>
      <c r="M846" s="69"/>
      <c r="O846" s="68"/>
      <c r="P846" s="68"/>
      <c r="Q846" s="68"/>
      <c r="R846" s="68"/>
      <c r="S846" s="68"/>
    </row>
    <row r="847" spans="1:19" ht="15.75" customHeight="1">
      <c r="A847" s="68"/>
      <c r="B847" s="68"/>
      <c r="D847" s="68"/>
      <c r="E847" s="69"/>
      <c r="K847" s="68"/>
      <c r="M847" s="69"/>
      <c r="O847" s="68"/>
      <c r="P847" s="68"/>
      <c r="Q847" s="68"/>
      <c r="R847" s="68"/>
      <c r="S847" s="68"/>
    </row>
    <row r="848" spans="1:19" ht="15.75" customHeight="1">
      <c r="A848" s="68"/>
      <c r="B848" s="68"/>
      <c r="D848" s="68"/>
      <c r="E848" s="69"/>
      <c r="K848" s="68"/>
      <c r="M848" s="69"/>
      <c r="O848" s="68"/>
      <c r="P848" s="68"/>
      <c r="Q848" s="68"/>
      <c r="R848" s="68"/>
      <c r="S848" s="68"/>
    </row>
    <row r="849" spans="1:19" ht="15.75" customHeight="1">
      <c r="A849" s="68"/>
      <c r="B849" s="68"/>
      <c r="D849" s="68"/>
      <c r="E849" s="69"/>
      <c r="K849" s="68"/>
      <c r="M849" s="69"/>
      <c r="O849" s="68"/>
      <c r="P849" s="68"/>
      <c r="Q849" s="68"/>
      <c r="R849" s="68"/>
      <c r="S849" s="68"/>
    </row>
    <row r="850" spans="1:19" ht="15.75" customHeight="1">
      <c r="A850" s="68"/>
      <c r="B850" s="68"/>
      <c r="D850" s="68"/>
      <c r="E850" s="69"/>
      <c r="K850" s="68"/>
      <c r="M850" s="69"/>
      <c r="O850" s="68"/>
      <c r="P850" s="68"/>
      <c r="Q850" s="68"/>
      <c r="R850" s="68"/>
      <c r="S850" s="68"/>
    </row>
    <row r="851" spans="1:19" ht="15.75" customHeight="1">
      <c r="A851" s="68"/>
      <c r="B851" s="68"/>
      <c r="D851" s="68"/>
      <c r="E851" s="69"/>
      <c r="K851" s="68"/>
      <c r="M851" s="69"/>
      <c r="O851" s="68"/>
      <c r="P851" s="68"/>
      <c r="Q851" s="68"/>
      <c r="R851" s="68"/>
      <c r="S851" s="68"/>
    </row>
    <row r="852" spans="1:19" ht="15.75" customHeight="1">
      <c r="A852" s="68"/>
      <c r="B852" s="68"/>
      <c r="D852" s="68"/>
      <c r="E852" s="69"/>
      <c r="K852" s="68"/>
      <c r="M852" s="69"/>
      <c r="O852" s="68"/>
      <c r="P852" s="68"/>
      <c r="Q852" s="68"/>
      <c r="R852" s="68"/>
      <c r="S852" s="68"/>
    </row>
    <row r="853" spans="1:19" ht="15.75" customHeight="1">
      <c r="A853" s="68"/>
      <c r="B853" s="68"/>
      <c r="D853" s="68"/>
      <c r="E853" s="69"/>
      <c r="K853" s="68"/>
      <c r="M853" s="69"/>
      <c r="O853" s="68"/>
      <c r="P853" s="68"/>
      <c r="Q853" s="68"/>
      <c r="R853" s="68"/>
      <c r="S853" s="68"/>
    </row>
    <row r="854" spans="1:19" ht="15.75" customHeight="1">
      <c r="A854" s="68"/>
      <c r="B854" s="68"/>
      <c r="D854" s="68"/>
      <c r="E854" s="69"/>
      <c r="K854" s="68"/>
      <c r="M854" s="69"/>
      <c r="O854" s="68"/>
      <c r="P854" s="68"/>
      <c r="Q854" s="68"/>
      <c r="R854" s="68"/>
      <c r="S854" s="68"/>
    </row>
    <row r="855" spans="1:19" ht="15.75" customHeight="1">
      <c r="A855" s="68"/>
      <c r="B855" s="68"/>
      <c r="D855" s="68"/>
      <c r="E855" s="69"/>
      <c r="K855" s="68"/>
      <c r="M855" s="69"/>
      <c r="O855" s="68"/>
      <c r="P855" s="68"/>
      <c r="Q855" s="68"/>
      <c r="R855" s="68"/>
      <c r="S855" s="68"/>
    </row>
    <row r="856" spans="1:19" ht="15.75" customHeight="1">
      <c r="A856" s="68"/>
      <c r="B856" s="68"/>
      <c r="D856" s="68"/>
      <c r="E856" s="69"/>
      <c r="K856" s="68"/>
      <c r="M856" s="69"/>
      <c r="O856" s="68"/>
      <c r="P856" s="68"/>
      <c r="Q856" s="68"/>
      <c r="R856" s="68"/>
      <c r="S856" s="68"/>
    </row>
    <row r="857" spans="1:19" ht="15.75" customHeight="1">
      <c r="A857" s="68"/>
      <c r="B857" s="68"/>
      <c r="D857" s="68"/>
      <c r="E857" s="69"/>
      <c r="K857" s="68"/>
      <c r="M857" s="69"/>
      <c r="O857" s="68"/>
      <c r="P857" s="68"/>
      <c r="Q857" s="68"/>
      <c r="R857" s="68"/>
      <c r="S857" s="68"/>
    </row>
    <row r="858" spans="1:19" ht="15.75" customHeight="1">
      <c r="A858" s="68"/>
      <c r="B858" s="68"/>
      <c r="D858" s="68"/>
      <c r="E858" s="69"/>
      <c r="K858" s="68"/>
      <c r="M858" s="69"/>
      <c r="O858" s="68"/>
      <c r="P858" s="68"/>
      <c r="Q858" s="68"/>
      <c r="R858" s="68"/>
      <c r="S858" s="68"/>
    </row>
    <row r="859" spans="1:19" ht="15.75" customHeight="1">
      <c r="A859" s="68"/>
      <c r="B859" s="68"/>
      <c r="D859" s="68"/>
      <c r="E859" s="69"/>
      <c r="K859" s="68"/>
      <c r="M859" s="69"/>
      <c r="O859" s="68"/>
      <c r="P859" s="68"/>
      <c r="Q859" s="68"/>
      <c r="R859" s="68"/>
      <c r="S859" s="68"/>
    </row>
    <row r="860" spans="1:19" ht="15.75" customHeight="1">
      <c r="A860" s="68"/>
      <c r="B860" s="68"/>
      <c r="D860" s="68"/>
      <c r="E860" s="69"/>
      <c r="K860" s="68"/>
      <c r="M860" s="69"/>
      <c r="O860" s="68"/>
      <c r="P860" s="68"/>
      <c r="Q860" s="68"/>
      <c r="R860" s="68"/>
      <c r="S860" s="68"/>
    </row>
    <row r="861" spans="1:19" ht="15.75" customHeight="1">
      <c r="A861" s="68"/>
      <c r="B861" s="68"/>
      <c r="D861" s="68"/>
      <c r="E861" s="69"/>
      <c r="K861" s="68"/>
      <c r="M861" s="69"/>
      <c r="O861" s="68"/>
      <c r="P861" s="68"/>
      <c r="Q861" s="68"/>
      <c r="R861" s="68"/>
      <c r="S861" s="68"/>
    </row>
    <row r="862" spans="1:19" ht="15.75" customHeight="1">
      <c r="A862" s="68"/>
      <c r="B862" s="68"/>
      <c r="D862" s="68"/>
      <c r="E862" s="69"/>
      <c r="K862" s="68"/>
      <c r="M862" s="69"/>
      <c r="O862" s="68"/>
      <c r="P862" s="68"/>
      <c r="Q862" s="68"/>
      <c r="R862" s="68"/>
      <c r="S862" s="68"/>
    </row>
    <row r="863" spans="1:19" ht="15.75" customHeight="1">
      <c r="A863" s="68"/>
      <c r="B863" s="68"/>
      <c r="D863" s="68"/>
      <c r="E863" s="69"/>
      <c r="K863" s="68"/>
      <c r="M863" s="69"/>
      <c r="O863" s="68"/>
      <c r="P863" s="68"/>
      <c r="Q863" s="68"/>
      <c r="R863" s="68"/>
      <c r="S863" s="68"/>
    </row>
    <row r="864" spans="1:19" ht="15.75" customHeight="1">
      <c r="A864" s="68"/>
      <c r="B864" s="68"/>
      <c r="D864" s="68"/>
      <c r="E864" s="69"/>
      <c r="K864" s="68"/>
      <c r="M864" s="69"/>
      <c r="O864" s="68"/>
      <c r="P864" s="68"/>
      <c r="Q864" s="68"/>
      <c r="R864" s="68"/>
      <c r="S864" s="68"/>
    </row>
    <row r="865" spans="1:19" ht="15.75" customHeight="1">
      <c r="A865" s="68"/>
      <c r="B865" s="68"/>
      <c r="D865" s="68"/>
      <c r="E865" s="69"/>
      <c r="K865" s="68"/>
      <c r="M865" s="69"/>
      <c r="O865" s="68"/>
      <c r="P865" s="68"/>
      <c r="Q865" s="68"/>
      <c r="R865" s="68"/>
      <c r="S865" s="68"/>
    </row>
    <row r="866" spans="1:19" ht="15.75" customHeight="1">
      <c r="A866" s="68"/>
      <c r="B866" s="68"/>
      <c r="D866" s="68"/>
      <c r="E866" s="69"/>
      <c r="K866" s="68"/>
      <c r="M866" s="69"/>
      <c r="O866" s="68"/>
      <c r="P866" s="68"/>
      <c r="Q866" s="68"/>
      <c r="R866" s="68"/>
      <c r="S866" s="68"/>
    </row>
    <row r="867" spans="1:19" ht="15.75" customHeight="1">
      <c r="A867" s="68"/>
      <c r="B867" s="68"/>
      <c r="D867" s="68"/>
      <c r="E867" s="69"/>
      <c r="K867" s="68"/>
      <c r="M867" s="69"/>
      <c r="O867" s="68"/>
      <c r="P867" s="68"/>
      <c r="Q867" s="68"/>
      <c r="R867" s="68"/>
      <c r="S867" s="68"/>
    </row>
    <row r="868" spans="1:19" ht="15.75" customHeight="1">
      <c r="A868" s="68"/>
      <c r="B868" s="68"/>
      <c r="D868" s="68"/>
      <c r="E868" s="69"/>
      <c r="K868" s="68"/>
      <c r="M868" s="69"/>
      <c r="O868" s="68"/>
      <c r="P868" s="68"/>
      <c r="Q868" s="68"/>
      <c r="R868" s="68"/>
      <c r="S868" s="68"/>
    </row>
    <row r="869" spans="1:19" ht="15.75" customHeight="1">
      <c r="A869" s="68"/>
      <c r="B869" s="68"/>
      <c r="D869" s="68"/>
      <c r="E869" s="69"/>
      <c r="K869" s="68"/>
      <c r="M869" s="69"/>
      <c r="O869" s="68"/>
      <c r="P869" s="68"/>
      <c r="Q869" s="68"/>
      <c r="R869" s="68"/>
      <c r="S869" s="68"/>
    </row>
    <row r="870" spans="1:19" ht="15.75" customHeight="1">
      <c r="A870" s="68"/>
      <c r="B870" s="68"/>
      <c r="D870" s="68"/>
      <c r="E870" s="69"/>
      <c r="K870" s="68"/>
      <c r="M870" s="69"/>
      <c r="O870" s="68"/>
      <c r="P870" s="68"/>
      <c r="Q870" s="68"/>
      <c r="R870" s="68"/>
      <c r="S870" s="68"/>
    </row>
    <row r="871" spans="1:19" ht="15.75" customHeight="1">
      <c r="A871" s="68"/>
      <c r="B871" s="68"/>
      <c r="D871" s="68"/>
      <c r="E871" s="69"/>
      <c r="K871" s="68"/>
      <c r="M871" s="69"/>
      <c r="O871" s="68"/>
      <c r="P871" s="68"/>
      <c r="Q871" s="68"/>
      <c r="R871" s="68"/>
      <c r="S871" s="68"/>
    </row>
    <row r="872" spans="1:19" ht="15.75" customHeight="1">
      <c r="A872" s="68"/>
      <c r="B872" s="68"/>
      <c r="D872" s="68"/>
      <c r="E872" s="69"/>
      <c r="K872" s="68"/>
      <c r="M872" s="69"/>
      <c r="O872" s="68"/>
      <c r="P872" s="68"/>
      <c r="Q872" s="68"/>
      <c r="R872" s="68"/>
      <c r="S872" s="68"/>
    </row>
    <row r="873" spans="1:19" ht="15.75" customHeight="1">
      <c r="A873" s="68"/>
      <c r="B873" s="68"/>
      <c r="D873" s="68"/>
      <c r="E873" s="69"/>
      <c r="K873" s="68"/>
      <c r="M873" s="69"/>
      <c r="O873" s="68"/>
      <c r="P873" s="68"/>
      <c r="Q873" s="68"/>
      <c r="R873" s="68"/>
      <c r="S873" s="68"/>
    </row>
    <row r="874" spans="1:19" ht="15.75" customHeight="1">
      <c r="A874" s="68"/>
      <c r="B874" s="68"/>
      <c r="D874" s="68"/>
      <c r="E874" s="69"/>
      <c r="K874" s="68"/>
      <c r="M874" s="69"/>
      <c r="O874" s="68"/>
      <c r="P874" s="68"/>
      <c r="Q874" s="68"/>
      <c r="R874" s="68"/>
      <c r="S874" s="68"/>
    </row>
    <row r="875" spans="1:19" ht="15.75" customHeight="1">
      <c r="A875" s="68"/>
      <c r="B875" s="68"/>
      <c r="D875" s="68"/>
      <c r="E875" s="69"/>
      <c r="K875" s="68"/>
      <c r="M875" s="69"/>
      <c r="O875" s="68"/>
      <c r="P875" s="68"/>
      <c r="Q875" s="68"/>
      <c r="R875" s="68"/>
      <c r="S875" s="68"/>
    </row>
    <row r="876" spans="1:19" ht="15.75" customHeight="1">
      <c r="A876" s="68"/>
      <c r="B876" s="68"/>
      <c r="D876" s="68"/>
      <c r="E876" s="69"/>
      <c r="K876" s="68"/>
      <c r="M876" s="69"/>
      <c r="O876" s="68"/>
      <c r="P876" s="68"/>
      <c r="Q876" s="68"/>
      <c r="R876" s="68"/>
      <c r="S876" s="68"/>
    </row>
    <row r="877" spans="1:19" ht="15.75" customHeight="1">
      <c r="A877" s="68"/>
      <c r="B877" s="68"/>
      <c r="D877" s="68"/>
      <c r="E877" s="69"/>
      <c r="K877" s="68"/>
      <c r="M877" s="69"/>
      <c r="O877" s="68"/>
      <c r="P877" s="68"/>
      <c r="Q877" s="68"/>
      <c r="R877" s="68"/>
      <c r="S877" s="68"/>
    </row>
    <row r="878" spans="1:19" ht="15.75" customHeight="1">
      <c r="A878" s="68"/>
      <c r="B878" s="68"/>
      <c r="D878" s="68"/>
      <c r="E878" s="69"/>
      <c r="K878" s="68"/>
      <c r="M878" s="69"/>
      <c r="O878" s="68"/>
      <c r="P878" s="68"/>
      <c r="Q878" s="68"/>
      <c r="R878" s="68"/>
      <c r="S878" s="68"/>
    </row>
    <row r="879" spans="1:19" ht="15.75" customHeight="1">
      <c r="A879" s="68"/>
      <c r="B879" s="68"/>
      <c r="D879" s="68"/>
      <c r="E879" s="69"/>
      <c r="K879" s="68"/>
      <c r="M879" s="69"/>
      <c r="O879" s="68"/>
      <c r="P879" s="68"/>
      <c r="Q879" s="68"/>
      <c r="R879" s="68"/>
      <c r="S879" s="68"/>
    </row>
    <row r="880" spans="1:19" ht="15.75" customHeight="1">
      <c r="A880" s="68"/>
      <c r="B880" s="68"/>
      <c r="D880" s="68"/>
      <c r="E880" s="69"/>
      <c r="K880" s="68"/>
      <c r="M880" s="69"/>
      <c r="O880" s="68"/>
      <c r="P880" s="68"/>
      <c r="Q880" s="68"/>
      <c r="R880" s="68"/>
      <c r="S880" s="68"/>
    </row>
    <row r="881" spans="1:19" ht="15.75" customHeight="1">
      <c r="A881" s="68"/>
      <c r="B881" s="68"/>
      <c r="D881" s="68"/>
      <c r="E881" s="69"/>
      <c r="K881" s="68"/>
      <c r="M881" s="69"/>
      <c r="O881" s="68"/>
      <c r="P881" s="68"/>
      <c r="Q881" s="68"/>
      <c r="R881" s="68"/>
      <c r="S881" s="68"/>
    </row>
    <row r="882" spans="1:19" ht="15.75" customHeight="1">
      <c r="A882" s="68"/>
      <c r="B882" s="68"/>
      <c r="D882" s="68"/>
      <c r="E882" s="69"/>
      <c r="K882" s="68"/>
      <c r="M882" s="69"/>
      <c r="O882" s="68"/>
      <c r="P882" s="68"/>
      <c r="Q882" s="68"/>
      <c r="R882" s="68"/>
      <c r="S882" s="68"/>
    </row>
    <row r="883" spans="1:19" ht="15.75" customHeight="1">
      <c r="A883" s="68"/>
      <c r="B883" s="68"/>
      <c r="D883" s="68"/>
      <c r="E883" s="69"/>
      <c r="K883" s="68"/>
      <c r="M883" s="69"/>
      <c r="O883" s="68"/>
      <c r="P883" s="68"/>
      <c r="Q883" s="68"/>
      <c r="R883" s="68"/>
      <c r="S883" s="68"/>
    </row>
    <row r="884" spans="1:19" ht="15.75" customHeight="1">
      <c r="A884" s="68"/>
      <c r="B884" s="68"/>
      <c r="D884" s="68"/>
      <c r="E884" s="69"/>
      <c r="K884" s="68"/>
      <c r="M884" s="69"/>
      <c r="O884" s="68"/>
      <c r="P884" s="68"/>
      <c r="Q884" s="68"/>
      <c r="R884" s="68"/>
      <c r="S884" s="68"/>
    </row>
    <row r="885" spans="1:19" ht="15.75" customHeight="1">
      <c r="A885" s="68"/>
      <c r="B885" s="68"/>
      <c r="D885" s="68"/>
      <c r="E885" s="69"/>
      <c r="K885" s="68"/>
      <c r="M885" s="69"/>
      <c r="O885" s="68"/>
      <c r="P885" s="68"/>
      <c r="Q885" s="68"/>
      <c r="R885" s="68"/>
      <c r="S885" s="68"/>
    </row>
    <row r="886" spans="1:19" ht="15.75" customHeight="1">
      <c r="A886" s="68"/>
      <c r="B886" s="68"/>
      <c r="D886" s="68"/>
      <c r="E886" s="69"/>
      <c r="K886" s="68"/>
      <c r="M886" s="69"/>
      <c r="O886" s="68"/>
      <c r="P886" s="68"/>
      <c r="Q886" s="68"/>
      <c r="R886" s="68"/>
      <c r="S886" s="68"/>
    </row>
    <row r="887" spans="1:19" ht="15.75" customHeight="1">
      <c r="A887" s="68"/>
      <c r="B887" s="68"/>
      <c r="D887" s="68"/>
      <c r="E887" s="69"/>
      <c r="K887" s="68"/>
      <c r="M887" s="69"/>
      <c r="O887" s="68"/>
      <c r="P887" s="68"/>
      <c r="Q887" s="68"/>
      <c r="R887" s="68"/>
      <c r="S887" s="68"/>
    </row>
    <row r="888" spans="1:19" ht="15.75" customHeight="1">
      <c r="A888" s="68"/>
      <c r="B888" s="68"/>
      <c r="D888" s="68"/>
      <c r="E888" s="69"/>
      <c r="K888" s="68"/>
      <c r="M888" s="69"/>
      <c r="O888" s="68"/>
      <c r="P888" s="68"/>
      <c r="Q888" s="68"/>
      <c r="R888" s="68"/>
      <c r="S888" s="68"/>
    </row>
    <row r="889" spans="1:19" ht="15.75" customHeight="1">
      <c r="A889" s="68"/>
      <c r="B889" s="68"/>
      <c r="D889" s="68"/>
      <c r="E889" s="69"/>
      <c r="K889" s="68"/>
      <c r="M889" s="69"/>
      <c r="O889" s="68"/>
      <c r="P889" s="68"/>
      <c r="Q889" s="68"/>
      <c r="R889" s="68"/>
      <c r="S889" s="68"/>
    </row>
    <row r="890" spans="1:19" ht="15.75" customHeight="1">
      <c r="A890" s="68"/>
      <c r="B890" s="68"/>
      <c r="D890" s="68"/>
      <c r="E890" s="69"/>
      <c r="K890" s="68"/>
      <c r="M890" s="69"/>
      <c r="O890" s="68"/>
      <c r="P890" s="68"/>
      <c r="Q890" s="68"/>
      <c r="R890" s="68"/>
      <c r="S890" s="68"/>
    </row>
    <row r="891" spans="1:19" ht="15.75" customHeight="1">
      <c r="A891" s="68"/>
      <c r="B891" s="68"/>
      <c r="D891" s="68"/>
      <c r="E891" s="69"/>
      <c r="K891" s="68"/>
      <c r="M891" s="69"/>
      <c r="O891" s="68"/>
      <c r="P891" s="68"/>
      <c r="Q891" s="68"/>
      <c r="R891" s="68"/>
      <c r="S891" s="68"/>
    </row>
    <row r="892" spans="1:19" ht="15.75" customHeight="1">
      <c r="A892" s="68"/>
      <c r="B892" s="68"/>
      <c r="D892" s="68"/>
      <c r="E892" s="69"/>
      <c r="K892" s="68"/>
      <c r="M892" s="69"/>
      <c r="O892" s="68"/>
      <c r="P892" s="68"/>
      <c r="Q892" s="68"/>
      <c r="R892" s="68"/>
      <c r="S892" s="68"/>
    </row>
    <row r="893" spans="1:19" ht="15.75" customHeight="1">
      <c r="A893" s="68"/>
      <c r="B893" s="68"/>
      <c r="D893" s="68"/>
      <c r="E893" s="69"/>
      <c r="K893" s="68"/>
      <c r="M893" s="69"/>
      <c r="O893" s="68"/>
      <c r="P893" s="68"/>
      <c r="Q893" s="68"/>
      <c r="R893" s="68"/>
      <c r="S893" s="68"/>
    </row>
    <row r="894" spans="1:19" ht="15.75" customHeight="1">
      <c r="A894" s="68"/>
      <c r="B894" s="68"/>
      <c r="D894" s="68"/>
      <c r="E894" s="69"/>
      <c r="K894" s="68"/>
      <c r="M894" s="69"/>
      <c r="O894" s="68"/>
      <c r="P894" s="68"/>
      <c r="Q894" s="68"/>
      <c r="R894" s="68"/>
      <c r="S894" s="68"/>
    </row>
    <row r="895" spans="1:19" ht="15.75" customHeight="1">
      <c r="A895" s="68"/>
      <c r="B895" s="68"/>
      <c r="D895" s="68"/>
      <c r="E895" s="69"/>
      <c r="K895" s="68"/>
      <c r="M895" s="69"/>
      <c r="O895" s="68"/>
      <c r="P895" s="68"/>
      <c r="Q895" s="68"/>
      <c r="R895" s="68"/>
      <c r="S895" s="68"/>
    </row>
    <row r="896" spans="1:19" ht="15.75" customHeight="1">
      <c r="A896" s="68"/>
      <c r="B896" s="68"/>
      <c r="D896" s="68"/>
      <c r="E896" s="69"/>
      <c r="K896" s="68"/>
      <c r="M896" s="69"/>
      <c r="O896" s="68"/>
      <c r="P896" s="68"/>
      <c r="Q896" s="68"/>
      <c r="R896" s="68"/>
      <c r="S896" s="68"/>
    </row>
    <row r="897" spans="1:19" ht="15.75" customHeight="1">
      <c r="A897" s="68"/>
      <c r="B897" s="68"/>
      <c r="D897" s="68"/>
      <c r="E897" s="69"/>
      <c r="K897" s="68"/>
      <c r="M897" s="69"/>
      <c r="O897" s="68"/>
      <c r="P897" s="68"/>
      <c r="Q897" s="68"/>
      <c r="R897" s="68"/>
      <c r="S897" s="68"/>
    </row>
    <row r="898" spans="1:19" ht="15.75" customHeight="1">
      <c r="A898" s="68"/>
      <c r="B898" s="68"/>
      <c r="D898" s="68"/>
      <c r="E898" s="69"/>
      <c r="K898" s="68"/>
      <c r="M898" s="69"/>
      <c r="O898" s="68"/>
      <c r="P898" s="68"/>
      <c r="Q898" s="68"/>
      <c r="R898" s="68"/>
      <c r="S898" s="68"/>
    </row>
    <row r="899" spans="1:19" ht="15.75" customHeight="1">
      <c r="A899" s="68"/>
      <c r="B899" s="68"/>
      <c r="D899" s="68"/>
      <c r="E899" s="69"/>
      <c r="K899" s="68"/>
      <c r="M899" s="69"/>
      <c r="O899" s="68"/>
      <c r="P899" s="68"/>
      <c r="Q899" s="68"/>
      <c r="R899" s="68"/>
      <c r="S899" s="68"/>
    </row>
    <row r="900" spans="1:19" ht="15.75" customHeight="1">
      <c r="A900" s="68"/>
      <c r="B900" s="68"/>
      <c r="D900" s="68"/>
      <c r="E900" s="69"/>
      <c r="K900" s="68"/>
      <c r="M900" s="69"/>
      <c r="O900" s="68"/>
      <c r="P900" s="68"/>
      <c r="Q900" s="68"/>
      <c r="R900" s="68"/>
      <c r="S900" s="68"/>
    </row>
    <row r="901" spans="1:19" ht="15.75" customHeight="1">
      <c r="A901" s="68"/>
      <c r="B901" s="68"/>
      <c r="D901" s="68"/>
      <c r="E901" s="69"/>
      <c r="K901" s="68"/>
      <c r="M901" s="69"/>
      <c r="O901" s="68"/>
      <c r="P901" s="68"/>
      <c r="Q901" s="68"/>
      <c r="R901" s="68"/>
      <c r="S901" s="68"/>
    </row>
    <row r="902" spans="1:19" ht="15.75" customHeight="1">
      <c r="A902" s="68"/>
      <c r="B902" s="68"/>
      <c r="D902" s="68"/>
      <c r="E902" s="69"/>
      <c r="K902" s="68"/>
      <c r="M902" s="69"/>
      <c r="O902" s="68"/>
      <c r="P902" s="68"/>
      <c r="Q902" s="68"/>
      <c r="R902" s="68"/>
      <c r="S902" s="68"/>
    </row>
    <row r="903" spans="1:19" ht="15.75" customHeight="1">
      <c r="A903" s="68"/>
      <c r="B903" s="68"/>
      <c r="D903" s="68"/>
      <c r="E903" s="69"/>
      <c r="K903" s="68"/>
      <c r="M903" s="69"/>
      <c r="O903" s="68"/>
      <c r="P903" s="68"/>
      <c r="Q903" s="68"/>
      <c r="R903" s="68"/>
      <c r="S903" s="68"/>
    </row>
    <row r="904" spans="1:19" ht="15.75" customHeight="1">
      <c r="A904" s="68"/>
      <c r="B904" s="68"/>
      <c r="D904" s="68"/>
      <c r="E904" s="69"/>
      <c r="K904" s="68"/>
      <c r="M904" s="69"/>
      <c r="O904" s="68"/>
      <c r="P904" s="68"/>
      <c r="Q904" s="68"/>
      <c r="R904" s="68"/>
      <c r="S904" s="68"/>
    </row>
    <row r="905" spans="1:19" ht="15.75" customHeight="1">
      <c r="A905" s="68"/>
      <c r="B905" s="68"/>
      <c r="D905" s="68"/>
      <c r="E905" s="69"/>
      <c r="K905" s="68"/>
      <c r="M905" s="69"/>
      <c r="O905" s="68"/>
      <c r="P905" s="68"/>
      <c r="Q905" s="68"/>
      <c r="R905" s="68"/>
      <c r="S905" s="68"/>
    </row>
    <row r="906" spans="1:19" ht="15.75" customHeight="1">
      <c r="A906" s="68"/>
      <c r="B906" s="68"/>
      <c r="D906" s="68"/>
      <c r="E906" s="69"/>
      <c r="K906" s="68"/>
      <c r="M906" s="69"/>
      <c r="O906" s="68"/>
      <c r="P906" s="68"/>
      <c r="Q906" s="68"/>
      <c r="R906" s="68"/>
      <c r="S906" s="68"/>
    </row>
    <row r="907" spans="1:19" ht="15.75" customHeight="1">
      <c r="A907" s="68"/>
      <c r="B907" s="68"/>
      <c r="D907" s="68"/>
      <c r="E907" s="69"/>
      <c r="K907" s="68"/>
      <c r="M907" s="69"/>
      <c r="O907" s="68"/>
      <c r="P907" s="68"/>
      <c r="Q907" s="68"/>
      <c r="R907" s="68"/>
      <c r="S907" s="68"/>
    </row>
    <row r="908" spans="1:19" ht="15.75" customHeight="1">
      <c r="A908" s="68"/>
      <c r="B908" s="68"/>
      <c r="D908" s="68"/>
      <c r="E908" s="69"/>
      <c r="K908" s="68"/>
      <c r="M908" s="69"/>
      <c r="O908" s="68"/>
      <c r="P908" s="68"/>
      <c r="Q908" s="68"/>
      <c r="R908" s="68"/>
      <c r="S908" s="68"/>
    </row>
    <row r="909" spans="1:19" ht="15.75" customHeight="1">
      <c r="A909" s="68"/>
      <c r="B909" s="68"/>
      <c r="D909" s="68"/>
      <c r="E909" s="69"/>
      <c r="K909" s="68"/>
      <c r="M909" s="69"/>
      <c r="O909" s="68"/>
      <c r="P909" s="68"/>
      <c r="Q909" s="68"/>
      <c r="R909" s="68"/>
      <c r="S909" s="68"/>
    </row>
    <row r="910" spans="1:19" ht="15.75" customHeight="1">
      <c r="A910" s="68"/>
      <c r="B910" s="68"/>
      <c r="D910" s="68"/>
      <c r="E910" s="69"/>
      <c r="K910" s="68"/>
      <c r="M910" s="69"/>
      <c r="O910" s="68"/>
      <c r="P910" s="68"/>
      <c r="Q910" s="68"/>
      <c r="R910" s="68"/>
      <c r="S910" s="68"/>
    </row>
    <row r="911" spans="1:19" ht="15.75" customHeight="1">
      <c r="A911" s="68"/>
      <c r="B911" s="68"/>
      <c r="D911" s="68"/>
      <c r="E911" s="69"/>
      <c r="K911" s="68"/>
      <c r="M911" s="69"/>
      <c r="O911" s="68"/>
      <c r="P911" s="68"/>
      <c r="Q911" s="68"/>
      <c r="R911" s="68"/>
      <c r="S911" s="68"/>
    </row>
    <row r="912" spans="1:19" ht="15.75" customHeight="1">
      <c r="A912" s="68"/>
      <c r="B912" s="68"/>
      <c r="D912" s="68"/>
      <c r="E912" s="69"/>
      <c r="K912" s="68"/>
      <c r="M912" s="69"/>
      <c r="O912" s="68"/>
      <c r="P912" s="68"/>
      <c r="Q912" s="68"/>
      <c r="R912" s="68"/>
      <c r="S912" s="68"/>
    </row>
    <row r="913" spans="1:19" ht="15.75" customHeight="1">
      <c r="A913" s="68"/>
      <c r="B913" s="68"/>
      <c r="D913" s="68"/>
      <c r="E913" s="69"/>
      <c r="K913" s="68"/>
      <c r="M913" s="69"/>
      <c r="O913" s="68"/>
      <c r="P913" s="68"/>
      <c r="Q913" s="68"/>
      <c r="R913" s="68"/>
      <c r="S913" s="68"/>
    </row>
    <row r="914" spans="1:19" ht="15.75" customHeight="1">
      <c r="A914" s="68"/>
      <c r="B914" s="68"/>
      <c r="D914" s="68"/>
      <c r="E914" s="69"/>
      <c r="K914" s="68"/>
      <c r="M914" s="69"/>
      <c r="O914" s="68"/>
      <c r="P914" s="68"/>
      <c r="Q914" s="68"/>
      <c r="R914" s="68"/>
      <c r="S914" s="68"/>
    </row>
    <row r="915" spans="1:19" ht="15.75" customHeight="1">
      <c r="A915" s="68"/>
      <c r="B915" s="68"/>
      <c r="D915" s="68"/>
      <c r="E915" s="69"/>
      <c r="K915" s="68"/>
      <c r="M915" s="69"/>
      <c r="O915" s="68"/>
      <c r="P915" s="68"/>
      <c r="Q915" s="68"/>
      <c r="R915" s="68"/>
      <c r="S915" s="68"/>
    </row>
    <row r="916" spans="1:19" ht="15.75" customHeight="1">
      <c r="A916" s="68"/>
      <c r="B916" s="68"/>
      <c r="D916" s="68"/>
      <c r="E916" s="69"/>
      <c r="K916" s="68"/>
      <c r="M916" s="69"/>
      <c r="O916" s="68"/>
      <c r="P916" s="68"/>
      <c r="Q916" s="68"/>
      <c r="R916" s="68"/>
      <c r="S916" s="68"/>
    </row>
    <row r="917" spans="1:19" ht="15.75" customHeight="1">
      <c r="A917" s="68"/>
      <c r="B917" s="68"/>
      <c r="D917" s="68"/>
      <c r="E917" s="69"/>
      <c r="K917" s="68"/>
      <c r="M917" s="69"/>
      <c r="O917" s="68"/>
      <c r="P917" s="68"/>
      <c r="Q917" s="68"/>
      <c r="R917" s="68"/>
      <c r="S917" s="68"/>
    </row>
    <row r="918" spans="1:19" ht="15.75" customHeight="1">
      <c r="A918" s="68"/>
      <c r="B918" s="68"/>
      <c r="D918" s="68"/>
      <c r="E918" s="69"/>
      <c r="K918" s="68"/>
      <c r="M918" s="69"/>
      <c r="O918" s="68"/>
      <c r="P918" s="68"/>
      <c r="Q918" s="68"/>
      <c r="R918" s="68"/>
      <c r="S918" s="68"/>
    </row>
    <row r="919" spans="1:19" ht="15.75" customHeight="1">
      <c r="A919" s="68"/>
      <c r="B919" s="68"/>
      <c r="D919" s="68"/>
      <c r="E919" s="69"/>
      <c r="K919" s="68"/>
      <c r="M919" s="69"/>
      <c r="O919" s="68"/>
      <c r="P919" s="68"/>
      <c r="Q919" s="68"/>
      <c r="R919" s="68"/>
      <c r="S919" s="68"/>
    </row>
    <row r="920" spans="1:19" ht="15.75" customHeight="1">
      <c r="A920" s="68"/>
      <c r="B920" s="68"/>
      <c r="D920" s="68"/>
      <c r="E920" s="69"/>
      <c r="K920" s="68"/>
      <c r="M920" s="69"/>
      <c r="O920" s="68"/>
      <c r="P920" s="68"/>
      <c r="Q920" s="68"/>
      <c r="R920" s="68"/>
      <c r="S920" s="68"/>
    </row>
    <row r="921" spans="1:19" ht="15.75" customHeight="1">
      <c r="A921" s="68"/>
      <c r="B921" s="68"/>
      <c r="D921" s="68"/>
      <c r="E921" s="69"/>
      <c r="K921" s="68"/>
      <c r="M921" s="69"/>
      <c r="O921" s="68"/>
      <c r="P921" s="68"/>
      <c r="Q921" s="68"/>
      <c r="R921" s="68"/>
      <c r="S921" s="68"/>
    </row>
    <row r="922" spans="1:19" ht="15.75" customHeight="1">
      <c r="A922" s="68"/>
      <c r="B922" s="68"/>
      <c r="D922" s="68"/>
      <c r="E922" s="69"/>
      <c r="K922" s="68"/>
      <c r="M922" s="69"/>
      <c r="O922" s="68"/>
      <c r="P922" s="68"/>
      <c r="Q922" s="68"/>
      <c r="R922" s="68"/>
      <c r="S922" s="68"/>
    </row>
    <row r="923" spans="1:19" ht="15.75" customHeight="1">
      <c r="A923" s="68"/>
      <c r="B923" s="68"/>
      <c r="D923" s="68"/>
      <c r="E923" s="69"/>
      <c r="K923" s="68"/>
      <c r="M923" s="69"/>
      <c r="O923" s="68"/>
      <c r="P923" s="68"/>
      <c r="Q923" s="68"/>
      <c r="R923" s="68"/>
      <c r="S923" s="68"/>
    </row>
    <row r="924" spans="1:19" ht="15.75" customHeight="1">
      <c r="A924" s="68"/>
      <c r="B924" s="68"/>
      <c r="D924" s="68"/>
      <c r="E924" s="69"/>
      <c r="K924" s="68"/>
      <c r="M924" s="69"/>
      <c r="O924" s="68"/>
      <c r="P924" s="68"/>
      <c r="Q924" s="68"/>
      <c r="R924" s="68"/>
      <c r="S924" s="68"/>
    </row>
    <row r="925" spans="1:19" ht="15.75" customHeight="1">
      <c r="A925" s="68"/>
      <c r="B925" s="68"/>
      <c r="D925" s="68"/>
      <c r="E925" s="69"/>
      <c r="K925" s="68"/>
      <c r="M925" s="69"/>
      <c r="O925" s="68"/>
      <c r="P925" s="68"/>
      <c r="Q925" s="68"/>
      <c r="R925" s="68"/>
      <c r="S925" s="68"/>
    </row>
    <row r="926" spans="1:19" ht="15.75" customHeight="1">
      <c r="A926" s="68"/>
      <c r="B926" s="68"/>
      <c r="D926" s="68"/>
      <c r="E926" s="69"/>
      <c r="K926" s="68"/>
      <c r="M926" s="69"/>
      <c r="O926" s="68"/>
      <c r="P926" s="68"/>
      <c r="Q926" s="68"/>
      <c r="R926" s="68"/>
      <c r="S926" s="68"/>
    </row>
    <row r="927" spans="1:19" ht="15.75" customHeight="1">
      <c r="A927" s="68"/>
      <c r="B927" s="68"/>
      <c r="D927" s="68"/>
      <c r="E927" s="69"/>
      <c r="K927" s="68"/>
      <c r="M927" s="69"/>
      <c r="O927" s="68"/>
      <c r="P927" s="68"/>
      <c r="Q927" s="68"/>
      <c r="R927" s="68"/>
      <c r="S927" s="68"/>
    </row>
    <row r="928" spans="1:19" ht="15.75" customHeight="1">
      <c r="A928" s="68"/>
      <c r="B928" s="68"/>
      <c r="D928" s="68"/>
      <c r="E928" s="69"/>
      <c r="K928" s="68"/>
      <c r="M928" s="69"/>
      <c r="O928" s="68"/>
      <c r="P928" s="68"/>
      <c r="Q928" s="68"/>
      <c r="R928" s="68"/>
      <c r="S928" s="68"/>
    </row>
    <row r="929" spans="1:19" ht="15.75" customHeight="1">
      <c r="A929" s="68"/>
      <c r="B929" s="68"/>
      <c r="D929" s="68"/>
      <c r="E929" s="69"/>
      <c r="K929" s="68"/>
      <c r="M929" s="69"/>
      <c r="O929" s="68"/>
      <c r="P929" s="68"/>
      <c r="Q929" s="68"/>
      <c r="R929" s="68"/>
      <c r="S929" s="68"/>
    </row>
    <row r="930" spans="1:19" ht="15.75" customHeight="1">
      <c r="A930" s="68"/>
      <c r="B930" s="68"/>
      <c r="D930" s="68"/>
      <c r="E930" s="69"/>
      <c r="K930" s="68"/>
      <c r="M930" s="69"/>
      <c r="O930" s="68"/>
      <c r="P930" s="68"/>
      <c r="Q930" s="68"/>
      <c r="R930" s="68"/>
      <c r="S930" s="68"/>
    </row>
    <row r="931" spans="1:19" ht="15.75" customHeight="1">
      <c r="A931" s="68"/>
      <c r="B931" s="68"/>
      <c r="D931" s="68"/>
      <c r="E931" s="69"/>
      <c r="K931" s="68"/>
      <c r="M931" s="69"/>
      <c r="O931" s="68"/>
      <c r="P931" s="68"/>
      <c r="Q931" s="68"/>
      <c r="R931" s="68"/>
      <c r="S931" s="68"/>
    </row>
    <row r="932" spans="1:19" ht="15.75" customHeight="1">
      <c r="A932" s="68"/>
      <c r="B932" s="68"/>
      <c r="D932" s="68"/>
      <c r="E932" s="69"/>
      <c r="K932" s="68"/>
      <c r="M932" s="69"/>
      <c r="O932" s="68"/>
      <c r="P932" s="68"/>
      <c r="Q932" s="68"/>
      <c r="R932" s="68"/>
      <c r="S932" s="68"/>
    </row>
    <row r="933" spans="1:19" ht="15.75" customHeight="1">
      <c r="A933" s="68"/>
      <c r="B933" s="68"/>
      <c r="D933" s="68"/>
      <c r="E933" s="69"/>
      <c r="K933" s="68"/>
      <c r="M933" s="69"/>
      <c r="O933" s="68"/>
      <c r="P933" s="68"/>
      <c r="Q933" s="68"/>
      <c r="R933" s="68"/>
      <c r="S933" s="68"/>
    </row>
    <row r="934" spans="1:19" ht="15.75" customHeight="1">
      <c r="A934" s="68"/>
      <c r="B934" s="68"/>
      <c r="D934" s="68"/>
      <c r="E934" s="69"/>
      <c r="K934" s="68"/>
      <c r="M934" s="69"/>
      <c r="O934" s="68"/>
      <c r="P934" s="68"/>
      <c r="Q934" s="68"/>
      <c r="R934" s="68"/>
      <c r="S934" s="68"/>
    </row>
    <row r="935" spans="1:19" ht="15.75" customHeight="1">
      <c r="A935" s="68"/>
      <c r="B935" s="68"/>
      <c r="D935" s="68"/>
      <c r="E935" s="69"/>
      <c r="K935" s="68"/>
      <c r="M935" s="69"/>
      <c r="O935" s="68"/>
      <c r="P935" s="68"/>
      <c r="Q935" s="68"/>
      <c r="R935" s="68"/>
      <c r="S935" s="68"/>
    </row>
    <row r="936" spans="1:19" ht="15.75" customHeight="1">
      <c r="A936" s="68"/>
      <c r="B936" s="68"/>
      <c r="D936" s="68"/>
      <c r="E936" s="69"/>
      <c r="K936" s="68"/>
      <c r="M936" s="69"/>
      <c r="O936" s="68"/>
      <c r="P936" s="68"/>
      <c r="Q936" s="68"/>
      <c r="R936" s="68"/>
      <c r="S936" s="68"/>
    </row>
    <row r="937" spans="1:19" ht="15.75" customHeight="1">
      <c r="A937" s="68"/>
      <c r="B937" s="68"/>
      <c r="D937" s="68"/>
      <c r="E937" s="69"/>
      <c r="K937" s="68"/>
      <c r="M937" s="69"/>
      <c r="O937" s="68"/>
      <c r="P937" s="68"/>
      <c r="Q937" s="68"/>
      <c r="R937" s="68"/>
      <c r="S937" s="68"/>
    </row>
    <row r="938" spans="1:19" ht="15.75" customHeight="1">
      <c r="A938" s="68"/>
      <c r="B938" s="68"/>
      <c r="D938" s="68"/>
      <c r="E938" s="69"/>
      <c r="K938" s="68"/>
      <c r="M938" s="69"/>
      <c r="O938" s="68"/>
      <c r="P938" s="68"/>
      <c r="Q938" s="68"/>
      <c r="R938" s="68"/>
      <c r="S938" s="68"/>
    </row>
    <row r="939" spans="1:19" ht="15.75" customHeight="1">
      <c r="A939" s="68"/>
      <c r="B939" s="68"/>
      <c r="D939" s="68"/>
      <c r="E939" s="69"/>
      <c r="K939" s="68"/>
      <c r="M939" s="69"/>
      <c r="O939" s="68"/>
      <c r="P939" s="68"/>
      <c r="Q939" s="68"/>
      <c r="R939" s="68"/>
      <c r="S939" s="68"/>
    </row>
    <row r="940" spans="1:19" ht="15.75" customHeight="1">
      <c r="A940" s="68"/>
      <c r="B940" s="68"/>
      <c r="D940" s="68"/>
      <c r="E940" s="69"/>
      <c r="K940" s="68"/>
      <c r="M940" s="69"/>
      <c r="O940" s="68"/>
      <c r="P940" s="68"/>
      <c r="Q940" s="68"/>
      <c r="R940" s="68"/>
      <c r="S940" s="68"/>
    </row>
    <row r="941" spans="1:19" ht="15.75" customHeight="1">
      <c r="A941" s="68"/>
      <c r="B941" s="68"/>
      <c r="D941" s="68"/>
      <c r="E941" s="69"/>
      <c r="K941" s="68"/>
      <c r="M941" s="69"/>
      <c r="O941" s="68"/>
      <c r="P941" s="68"/>
      <c r="Q941" s="68"/>
      <c r="R941" s="68"/>
      <c r="S941" s="68"/>
    </row>
    <row r="942" spans="1:19" ht="15.75" customHeight="1">
      <c r="A942" s="68"/>
      <c r="B942" s="68"/>
      <c r="D942" s="68"/>
      <c r="E942" s="69"/>
      <c r="K942" s="68"/>
      <c r="M942" s="69"/>
      <c r="O942" s="68"/>
      <c r="P942" s="68"/>
      <c r="Q942" s="68"/>
      <c r="R942" s="68"/>
      <c r="S942" s="68"/>
    </row>
    <row r="943" spans="1:19" ht="15.75" customHeight="1">
      <c r="A943" s="68"/>
      <c r="B943" s="68"/>
      <c r="D943" s="68"/>
      <c r="E943" s="69"/>
      <c r="K943" s="68"/>
      <c r="M943" s="69"/>
      <c r="O943" s="68"/>
      <c r="P943" s="68"/>
      <c r="Q943" s="68"/>
      <c r="R943" s="68"/>
      <c r="S943" s="68"/>
    </row>
    <row r="944" spans="1:19" ht="15.75" customHeight="1">
      <c r="A944" s="68"/>
      <c r="B944" s="68"/>
      <c r="D944" s="68"/>
      <c r="E944" s="69"/>
      <c r="K944" s="68"/>
      <c r="M944" s="69"/>
      <c r="O944" s="68"/>
      <c r="P944" s="68"/>
      <c r="Q944" s="68"/>
      <c r="R944" s="68"/>
      <c r="S944" s="68"/>
    </row>
    <row r="945" spans="1:19" ht="15.75" customHeight="1">
      <c r="A945" s="68"/>
      <c r="B945" s="68"/>
      <c r="D945" s="68"/>
      <c r="E945" s="69"/>
      <c r="K945" s="68"/>
      <c r="M945" s="69"/>
      <c r="O945" s="68"/>
      <c r="P945" s="68"/>
      <c r="Q945" s="68"/>
      <c r="R945" s="68"/>
      <c r="S945" s="68"/>
    </row>
    <row r="946" spans="1:19" ht="15.75" customHeight="1">
      <c r="A946" s="68"/>
      <c r="B946" s="68"/>
      <c r="D946" s="68"/>
      <c r="E946" s="69"/>
      <c r="K946" s="68"/>
      <c r="M946" s="69"/>
      <c r="O946" s="68"/>
      <c r="P946" s="68"/>
      <c r="Q946" s="68"/>
      <c r="R946" s="68"/>
      <c r="S946" s="68"/>
    </row>
    <row r="947" spans="1:19" ht="15.75" customHeight="1">
      <c r="A947" s="68"/>
      <c r="B947" s="68"/>
      <c r="D947" s="68"/>
      <c r="E947" s="69"/>
      <c r="K947" s="68"/>
      <c r="M947" s="69"/>
      <c r="O947" s="68"/>
      <c r="P947" s="68"/>
      <c r="Q947" s="68"/>
      <c r="R947" s="68"/>
      <c r="S947" s="68"/>
    </row>
    <row r="948" spans="1:19" ht="15.75" customHeight="1">
      <c r="A948" s="68"/>
      <c r="B948" s="68"/>
      <c r="D948" s="68"/>
      <c r="E948" s="69"/>
      <c r="K948" s="68"/>
      <c r="M948" s="69"/>
      <c r="O948" s="68"/>
      <c r="P948" s="68"/>
      <c r="Q948" s="68"/>
      <c r="R948" s="68"/>
      <c r="S948" s="68"/>
    </row>
    <row r="949" spans="1:19" ht="15.75" customHeight="1">
      <c r="A949" s="68"/>
      <c r="B949" s="68"/>
      <c r="D949" s="68"/>
      <c r="E949" s="69"/>
      <c r="K949" s="68"/>
      <c r="M949" s="69"/>
      <c r="O949" s="68"/>
      <c r="P949" s="68"/>
      <c r="Q949" s="68"/>
      <c r="R949" s="68"/>
      <c r="S949" s="68"/>
    </row>
    <row r="950" spans="1:19" ht="15.75" customHeight="1">
      <c r="A950" s="68"/>
      <c r="B950" s="68"/>
      <c r="D950" s="68"/>
      <c r="E950" s="69"/>
      <c r="K950" s="68"/>
      <c r="M950" s="69"/>
      <c r="O950" s="68"/>
      <c r="P950" s="68"/>
      <c r="Q950" s="68"/>
      <c r="R950" s="68"/>
      <c r="S950" s="68"/>
    </row>
    <row r="951" spans="1:19" ht="15.75" customHeight="1">
      <c r="A951" s="68"/>
      <c r="B951" s="68"/>
      <c r="D951" s="68"/>
      <c r="E951" s="69"/>
      <c r="K951" s="68"/>
      <c r="M951" s="69"/>
      <c r="O951" s="68"/>
      <c r="P951" s="68"/>
      <c r="Q951" s="68"/>
      <c r="R951" s="68"/>
      <c r="S951" s="68"/>
    </row>
    <row r="952" spans="1:19" ht="15.75" customHeight="1">
      <c r="A952" s="68"/>
      <c r="B952" s="68"/>
      <c r="D952" s="68"/>
      <c r="E952" s="69"/>
      <c r="K952" s="68"/>
      <c r="M952" s="69"/>
      <c r="O952" s="68"/>
      <c r="P952" s="68"/>
      <c r="Q952" s="68"/>
      <c r="R952" s="68"/>
      <c r="S952" s="68"/>
    </row>
    <row r="953" spans="1:19" ht="15.75" customHeight="1">
      <c r="A953" s="68"/>
      <c r="B953" s="68"/>
      <c r="D953" s="68"/>
      <c r="E953" s="69"/>
      <c r="K953" s="68"/>
      <c r="M953" s="69"/>
      <c r="O953" s="68"/>
      <c r="P953" s="68"/>
      <c r="Q953" s="68"/>
      <c r="R953" s="68"/>
      <c r="S953" s="68"/>
    </row>
    <row r="954" spans="1:19" ht="15.75" customHeight="1">
      <c r="A954" s="68"/>
      <c r="B954" s="68"/>
      <c r="D954" s="68"/>
      <c r="E954" s="69"/>
      <c r="K954" s="68"/>
      <c r="M954" s="69"/>
      <c r="O954" s="68"/>
      <c r="P954" s="68"/>
      <c r="Q954" s="68"/>
      <c r="R954" s="68"/>
      <c r="S954" s="68"/>
    </row>
    <row r="955" spans="1:19" ht="15.75" customHeight="1">
      <c r="A955" s="68"/>
      <c r="B955" s="68"/>
      <c r="D955" s="68"/>
      <c r="E955" s="69"/>
      <c r="K955" s="68"/>
      <c r="M955" s="69"/>
      <c r="O955" s="68"/>
      <c r="P955" s="68"/>
      <c r="Q955" s="68"/>
      <c r="R955" s="68"/>
      <c r="S955" s="68"/>
    </row>
    <row r="956" spans="1:19" ht="15.75" customHeight="1">
      <c r="A956" s="68"/>
      <c r="B956" s="68"/>
      <c r="D956" s="68"/>
      <c r="E956" s="69"/>
      <c r="K956" s="68"/>
      <c r="M956" s="69"/>
      <c r="O956" s="68"/>
      <c r="P956" s="68"/>
      <c r="Q956" s="68"/>
      <c r="R956" s="68"/>
      <c r="S956" s="68"/>
    </row>
    <row r="957" spans="1:19" ht="15.75" customHeight="1">
      <c r="A957" s="68"/>
      <c r="B957" s="68"/>
      <c r="D957" s="68"/>
      <c r="E957" s="69"/>
      <c r="K957" s="68"/>
      <c r="M957" s="69"/>
      <c r="O957" s="68"/>
      <c r="P957" s="68"/>
      <c r="Q957" s="68"/>
      <c r="R957" s="68"/>
      <c r="S957" s="68"/>
    </row>
    <row r="958" spans="1:19" ht="15.75" customHeight="1">
      <c r="A958" s="68"/>
      <c r="B958" s="68"/>
      <c r="D958" s="68"/>
      <c r="E958" s="69"/>
      <c r="K958" s="68"/>
      <c r="M958" s="69"/>
      <c r="O958" s="68"/>
      <c r="P958" s="68"/>
      <c r="Q958" s="68"/>
      <c r="R958" s="68"/>
      <c r="S958" s="68"/>
    </row>
    <row r="959" spans="1:19" ht="15.75" customHeight="1">
      <c r="A959" s="68"/>
      <c r="B959" s="68"/>
      <c r="D959" s="68"/>
      <c r="E959" s="69"/>
      <c r="K959" s="68"/>
      <c r="M959" s="69"/>
      <c r="O959" s="68"/>
      <c r="P959" s="68"/>
      <c r="Q959" s="68"/>
      <c r="R959" s="68"/>
      <c r="S959" s="68"/>
    </row>
    <row r="960" spans="1:19" ht="15.75" customHeight="1">
      <c r="A960" s="68"/>
      <c r="B960" s="68"/>
      <c r="D960" s="68"/>
      <c r="E960" s="69"/>
      <c r="K960" s="68"/>
      <c r="M960" s="69"/>
      <c r="O960" s="68"/>
      <c r="P960" s="68"/>
      <c r="Q960" s="68"/>
      <c r="R960" s="68"/>
      <c r="S960" s="68"/>
    </row>
    <row r="961" spans="1:19" ht="15.75" customHeight="1">
      <c r="A961" s="68"/>
      <c r="B961" s="68"/>
      <c r="D961" s="68"/>
      <c r="E961" s="69"/>
      <c r="K961" s="68"/>
      <c r="M961" s="69"/>
      <c r="O961" s="68"/>
      <c r="P961" s="68"/>
      <c r="Q961" s="68"/>
      <c r="R961" s="68"/>
      <c r="S961" s="68"/>
    </row>
    <row r="962" spans="1:19" ht="15.75" customHeight="1">
      <c r="A962" s="68"/>
      <c r="B962" s="68"/>
      <c r="D962" s="68"/>
      <c r="E962" s="69"/>
      <c r="K962" s="68"/>
      <c r="M962" s="69"/>
      <c r="O962" s="68"/>
      <c r="P962" s="68"/>
      <c r="Q962" s="68"/>
      <c r="R962" s="68"/>
      <c r="S962" s="68"/>
    </row>
    <row r="963" spans="1:19" ht="15.75" customHeight="1">
      <c r="A963" s="68"/>
      <c r="B963" s="68"/>
      <c r="D963" s="68"/>
      <c r="E963" s="69"/>
      <c r="K963" s="68"/>
      <c r="M963" s="69"/>
      <c r="O963" s="68"/>
      <c r="P963" s="68"/>
      <c r="Q963" s="68"/>
      <c r="R963" s="68"/>
      <c r="S963" s="68"/>
    </row>
    <row r="964" spans="1:19" ht="15.75" customHeight="1">
      <c r="A964" s="68"/>
      <c r="B964" s="68"/>
      <c r="D964" s="68"/>
      <c r="E964" s="69"/>
      <c r="K964" s="68"/>
      <c r="M964" s="69"/>
      <c r="O964" s="68"/>
      <c r="P964" s="68"/>
      <c r="Q964" s="68"/>
      <c r="R964" s="68"/>
      <c r="S964" s="68"/>
    </row>
    <row r="965" spans="1:19" ht="15.75" customHeight="1">
      <c r="A965" s="68"/>
      <c r="B965" s="68"/>
      <c r="D965" s="68"/>
      <c r="E965" s="69"/>
      <c r="K965" s="68"/>
      <c r="M965" s="69"/>
      <c r="O965" s="68"/>
      <c r="P965" s="68"/>
      <c r="Q965" s="68"/>
      <c r="R965" s="68"/>
      <c r="S965" s="68"/>
    </row>
    <row r="966" spans="1:19" ht="15.75" customHeight="1">
      <c r="A966" s="68"/>
      <c r="B966" s="68"/>
      <c r="D966" s="68"/>
      <c r="E966" s="69"/>
      <c r="K966" s="68"/>
      <c r="M966" s="69"/>
      <c r="O966" s="68"/>
      <c r="P966" s="68"/>
      <c r="Q966" s="68"/>
      <c r="R966" s="68"/>
      <c r="S966" s="68"/>
    </row>
    <row r="967" spans="1:19" ht="15.75" customHeight="1">
      <c r="A967" s="68"/>
      <c r="B967" s="68"/>
      <c r="D967" s="68"/>
      <c r="E967" s="69"/>
      <c r="K967" s="68"/>
      <c r="M967" s="69"/>
      <c r="O967" s="68"/>
      <c r="P967" s="68"/>
      <c r="Q967" s="68"/>
      <c r="R967" s="68"/>
      <c r="S967" s="68"/>
    </row>
    <row r="968" spans="1:19" ht="15.75" customHeight="1">
      <c r="A968" s="68"/>
      <c r="B968" s="68"/>
      <c r="D968" s="68"/>
      <c r="E968" s="69"/>
      <c r="K968" s="68"/>
      <c r="M968" s="69"/>
      <c r="O968" s="68"/>
      <c r="P968" s="68"/>
      <c r="Q968" s="68"/>
      <c r="R968" s="68"/>
      <c r="S968" s="68"/>
    </row>
    <row r="969" spans="1:19" ht="15.75" customHeight="1">
      <c r="A969" s="68"/>
      <c r="B969" s="68"/>
      <c r="D969" s="68"/>
      <c r="E969" s="69"/>
      <c r="K969" s="68"/>
      <c r="M969" s="69"/>
      <c r="O969" s="68"/>
      <c r="P969" s="68"/>
      <c r="Q969" s="68"/>
      <c r="R969" s="68"/>
      <c r="S969" s="68"/>
    </row>
    <row r="970" spans="1:19" ht="15.75" customHeight="1">
      <c r="A970" s="68"/>
      <c r="B970" s="68"/>
      <c r="D970" s="68"/>
      <c r="E970" s="69"/>
      <c r="K970" s="68"/>
      <c r="M970" s="69"/>
      <c r="O970" s="68"/>
      <c r="P970" s="68"/>
      <c r="Q970" s="68"/>
      <c r="R970" s="68"/>
      <c r="S970" s="68"/>
    </row>
    <row r="971" spans="1:19" ht="15.75" customHeight="1">
      <c r="A971" s="68"/>
      <c r="B971" s="68"/>
      <c r="D971" s="68"/>
      <c r="E971" s="69"/>
      <c r="K971" s="68"/>
      <c r="M971" s="69"/>
      <c r="O971" s="68"/>
      <c r="P971" s="68"/>
      <c r="Q971" s="68"/>
      <c r="R971" s="68"/>
      <c r="S971" s="68"/>
    </row>
    <row r="972" spans="1:19" ht="15.75" customHeight="1">
      <c r="A972" s="68"/>
      <c r="B972" s="68"/>
      <c r="D972" s="68"/>
      <c r="E972" s="69"/>
      <c r="K972" s="68"/>
      <c r="M972" s="69"/>
      <c r="O972" s="68"/>
      <c r="P972" s="68"/>
      <c r="Q972" s="68"/>
      <c r="R972" s="68"/>
      <c r="S972" s="68"/>
    </row>
    <row r="973" spans="1:19" ht="15.75" customHeight="1">
      <c r="A973" s="68"/>
      <c r="B973" s="68"/>
      <c r="D973" s="68"/>
      <c r="E973" s="69"/>
      <c r="K973" s="68"/>
      <c r="M973" s="69"/>
      <c r="O973" s="68"/>
      <c r="P973" s="68"/>
      <c r="Q973" s="68"/>
      <c r="R973" s="68"/>
      <c r="S973" s="68"/>
    </row>
    <row r="974" spans="1:19" ht="15.75" customHeight="1">
      <c r="A974" s="68"/>
      <c r="B974" s="68"/>
      <c r="D974" s="68"/>
      <c r="E974" s="69"/>
      <c r="K974" s="68"/>
      <c r="M974" s="69"/>
      <c r="O974" s="68"/>
      <c r="P974" s="68"/>
      <c r="Q974" s="68"/>
      <c r="R974" s="68"/>
      <c r="S974" s="68"/>
    </row>
    <row r="975" spans="1:19" ht="15.75" customHeight="1">
      <c r="A975" s="68"/>
      <c r="B975" s="68"/>
      <c r="D975" s="68"/>
      <c r="E975" s="69"/>
      <c r="K975" s="68"/>
      <c r="M975" s="69"/>
      <c r="O975" s="68"/>
      <c r="P975" s="68"/>
      <c r="Q975" s="68"/>
      <c r="R975" s="68"/>
      <c r="S975" s="68"/>
    </row>
    <row r="976" spans="1:19" ht="15.75" customHeight="1">
      <c r="A976" s="68"/>
      <c r="B976" s="68"/>
      <c r="D976" s="68"/>
      <c r="E976" s="69"/>
      <c r="K976" s="68"/>
      <c r="M976" s="69"/>
      <c r="O976" s="68"/>
      <c r="P976" s="68"/>
      <c r="Q976" s="68"/>
      <c r="R976" s="68"/>
      <c r="S976" s="68"/>
    </row>
    <row r="977" spans="1:19" ht="15.75" customHeight="1">
      <c r="A977" s="68"/>
      <c r="B977" s="68"/>
      <c r="D977" s="68"/>
      <c r="E977" s="69"/>
      <c r="K977" s="68"/>
      <c r="M977" s="69"/>
      <c r="O977" s="68"/>
      <c r="P977" s="68"/>
      <c r="Q977" s="68"/>
      <c r="R977" s="68"/>
      <c r="S977" s="68"/>
    </row>
    <row r="978" spans="1:19" ht="15.75" customHeight="1">
      <c r="A978" s="68"/>
      <c r="B978" s="68"/>
      <c r="D978" s="68"/>
      <c r="E978" s="69"/>
      <c r="K978" s="68"/>
      <c r="M978" s="69"/>
      <c r="O978" s="68"/>
      <c r="P978" s="68"/>
      <c r="Q978" s="68"/>
      <c r="R978" s="68"/>
      <c r="S978" s="68"/>
    </row>
    <row r="979" spans="1:19" ht="15.75" customHeight="1">
      <c r="A979" s="68"/>
      <c r="B979" s="68"/>
      <c r="D979" s="68"/>
      <c r="E979" s="69"/>
      <c r="K979" s="68"/>
      <c r="M979" s="69"/>
      <c r="O979" s="68"/>
      <c r="P979" s="68"/>
      <c r="Q979" s="68"/>
      <c r="R979" s="68"/>
      <c r="S979" s="68"/>
    </row>
    <row r="980" spans="1:19" ht="15.75" customHeight="1">
      <c r="A980" s="68"/>
      <c r="B980" s="68"/>
      <c r="D980" s="68"/>
      <c r="E980" s="69"/>
      <c r="K980" s="68"/>
      <c r="M980" s="69"/>
      <c r="O980" s="68"/>
      <c r="P980" s="68"/>
      <c r="Q980" s="68"/>
      <c r="R980" s="68"/>
      <c r="S980" s="68"/>
    </row>
    <row r="981" spans="1:19" ht="15.75" customHeight="1">
      <c r="A981" s="68"/>
      <c r="B981" s="68"/>
      <c r="D981" s="68"/>
      <c r="E981" s="69"/>
      <c r="K981" s="68"/>
      <c r="M981" s="69"/>
      <c r="O981" s="68"/>
      <c r="P981" s="68"/>
      <c r="Q981" s="68"/>
      <c r="R981" s="68"/>
      <c r="S981" s="68"/>
    </row>
    <row r="982" spans="1:19" ht="15.75" customHeight="1">
      <c r="A982" s="68"/>
      <c r="B982" s="68"/>
      <c r="D982" s="68"/>
      <c r="E982" s="69"/>
      <c r="K982" s="68"/>
      <c r="M982" s="69"/>
      <c r="O982" s="68"/>
      <c r="P982" s="68"/>
      <c r="Q982" s="68"/>
      <c r="R982" s="68"/>
      <c r="S982" s="68"/>
    </row>
    <row r="983" spans="1:19" ht="15.75" customHeight="1">
      <c r="A983" s="68"/>
      <c r="B983" s="68"/>
      <c r="D983" s="68"/>
      <c r="E983" s="69"/>
      <c r="K983" s="68"/>
      <c r="M983" s="69"/>
      <c r="O983" s="68"/>
      <c r="P983" s="68"/>
      <c r="Q983" s="68"/>
      <c r="R983" s="68"/>
      <c r="S983" s="68"/>
    </row>
    <row r="984" spans="1:19" ht="15.75" customHeight="1">
      <c r="A984" s="68"/>
      <c r="B984" s="68"/>
      <c r="D984" s="68"/>
      <c r="E984" s="69"/>
      <c r="K984" s="68"/>
      <c r="M984" s="69"/>
      <c r="O984" s="68"/>
      <c r="P984" s="68"/>
      <c r="Q984" s="68"/>
      <c r="R984" s="68"/>
      <c r="S984" s="68"/>
    </row>
    <row r="985" spans="1:19" ht="15.75" customHeight="1">
      <c r="A985" s="68"/>
      <c r="B985" s="68"/>
      <c r="D985" s="68"/>
      <c r="E985" s="69"/>
      <c r="K985" s="68"/>
      <c r="M985" s="69"/>
      <c r="O985" s="68"/>
      <c r="P985" s="68"/>
      <c r="Q985" s="68"/>
      <c r="R985" s="68"/>
      <c r="S985" s="68"/>
    </row>
    <row r="986" spans="1:19" ht="15.75" customHeight="1">
      <c r="A986" s="68"/>
      <c r="B986" s="68"/>
      <c r="D986" s="68"/>
      <c r="E986" s="69"/>
      <c r="K986" s="68"/>
      <c r="M986" s="69"/>
      <c r="O986" s="68"/>
      <c r="P986" s="68"/>
      <c r="Q986" s="68"/>
      <c r="R986" s="68"/>
      <c r="S986" s="68"/>
    </row>
    <row r="987" spans="1:19" ht="15.75" customHeight="1">
      <c r="A987" s="68"/>
      <c r="B987" s="68"/>
      <c r="D987" s="68"/>
      <c r="E987" s="69"/>
      <c r="K987" s="68"/>
      <c r="M987" s="69"/>
      <c r="O987" s="68"/>
      <c r="P987" s="68"/>
      <c r="Q987" s="68"/>
      <c r="R987" s="68"/>
      <c r="S987" s="68"/>
    </row>
    <row r="988" spans="1:19" ht="15.75" customHeight="1">
      <c r="A988" s="68"/>
      <c r="B988" s="68"/>
      <c r="D988" s="68"/>
      <c r="E988" s="69"/>
      <c r="K988" s="68"/>
      <c r="M988" s="69"/>
      <c r="O988" s="68"/>
      <c r="P988" s="68"/>
      <c r="Q988" s="68"/>
      <c r="R988" s="68"/>
      <c r="S988" s="68"/>
    </row>
    <row r="989" spans="1:19" ht="15.75" customHeight="1">
      <c r="A989" s="68"/>
      <c r="B989" s="68"/>
      <c r="D989" s="68"/>
      <c r="E989" s="69"/>
      <c r="K989" s="68"/>
      <c r="M989" s="69"/>
      <c r="O989" s="68"/>
      <c r="P989" s="68"/>
      <c r="Q989" s="68"/>
      <c r="R989" s="68"/>
      <c r="S989" s="68"/>
    </row>
    <row r="990" spans="1:19" ht="15.75" customHeight="1">
      <c r="A990" s="68"/>
      <c r="B990" s="68"/>
      <c r="D990" s="68"/>
      <c r="E990" s="69"/>
      <c r="K990" s="68"/>
      <c r="M990" s="69"/>
      <c r="O990" s="68"/>
      <c r="P990" s="68"/>
      <c r="Q990" s="68"/>
      <c r="R990" s="68"/>
      <c r="S990" s="68"/>
    </row>
    <row r="991" spans="1:19" ht="15.75" customHeight="1">
      <c r="A991" s="68"/>
      <c r="B991" s="68"/>
      <c r="D991" s="68"/>
      <c r="E991" s="69"/>
      <c r="K991" s="68"/>
      <c r="M991" s="69"/>
      <c r="O991" s="68"/>
      <c r="P991" s="68"/>
      <c r="Q991" s="68"/>
      <c r="R991" s="68"/>
      <c r="S991" s="68"/>
    </row>
    <row r="992" spans="1:19" ht="15.75" customHeight="1">
      <c r="A992" s="68"/>
      <c r="B992" s="68"/>
      <c r="D992" s="68"/>
      <c r="E992" s="69"/>
      <c r="K992" s="68"/>
      <c r="M992" s="69"/>
      <c r="O992" s="68"/>
      <c r="P992" s="68"/>
      <c r="Q992" s="68"/>
      <c r="R992" s="68"/>
      <c r="S992" s="68"/>
    </row>
    <row r="993" spans="1:19" ht="15.75" customHeight="1">
      <c r="A993" s="68"/>
      <c r="B993" s="68"/>
      <c r="D993" s="68"/>
      <c r="E993" s="69"/>
      <c r="K993" s="68"/>
      <c r="M993" s="69"/>
      <c r="O993" s="68"/>
      <c r="P993" s="68"/>
      <c r="Q993" s="68"/>
      <c r="R993" s="68"/>
      <c r="S993" s="68"/>
    </row>
    <row r="994" spans="1:19" ht="15.75" customHeight="1">
      <c r="A994" s="68"/>
      <c r="B994" s="68"/>
      <c r="D994" s="68"/>
      <c r="E994" s="69"/>
      <c r="K994" s="68"/>
      <c r="M994" s="69"/>
      <c r="O994" s="68"/>
      <c r="P994" s="68"/>
      <c r="Q994" s="68"/>
      <c r="R994" s="68"/>
      <c r="S994" s="68"/>
    </row>
    <row r="995" spans="1:19" ht="15.75" customHeight="1">
      <c r="A995" s="68"/>
      <c r="B995" s="68"/>
      <c r="D995" s="68"/>
      <c r="E995" s="69"/>
      <c r="K995" s="68"/>
      <c r="M995" s="69"/>
      <c r="O995" s="68"/>
      <c r="P995" s="68"/>
      <c r="Q995" s="68"/>
      <c r="R995" s="68"/>
      <c r="S995" s="68"/>
    </row>
    <row r="996" spans="1:19" ht="15.75" customHeight="1">
      <c r="A996" s="68"/>
      <c r="B996" s="68"/>
      <c r="D996" s="68"/>
      <c r="E996" s="69"/>
      <c r="K996" s="68"/>
      <c r="M996" s="69"/>
      <c r="O996" s="68"/>
      <c r="P996" s="68"/>
      <c r="Q996" s="68"/>
      <c r="R996" s="68"/>
      <c r="S996" s="68"/>
    </row>
    <row r="997" spans="1:19" ht="15.75" customHeight="1">
      <c r="A997" s="68"/>
      <c r="B997" s="68"/>
      <c r="D997" s="68"/>
      <c r="E997" s="69"/>
      <c r="K997" s="68"/>
      <c r="M997" s="69"/>
      <c r="O997" s="68"/>
      <c r="P997" s="68"/>
      <c r="Q997" s="68"/>
      <c r="R997" s="68"/>
      <c r="S997" s="68"/>
    </row>
    <row r="998" spans="1:19" ht="15.75" customHeight="1">
      <c r="A998" s="68"/>
      <c r="B998" s="68"/>
      <c r="D998" s="68"/>
      <c r="E998" s="69"/>
      <c r="K998" s="68"/>
      <c r="M998" s="69"/>
      <c r="O998" s="68"/>
      <c r="P998" s="68"/>
      <c r="Q998" s="68"/>
      <c r="R998" s="68"/>
      <c r="S998" s="68"/>
    </row>
    <row r="999" spans="1:19" ht="15.75" customHeight="1">
      <c r="A999" s="68"/>
      <c r="B999" s="68"/>
      <c r="D999" s="68"/>
      <c r="E999" s="69"/>
      <c r="K999" s="68"/>
      <c r="M999" s="69"/>
      <c r="O999" s="68"/>
      <c r="P999" s="68"/>
      <c r="Q999" s="68"/>
      <c r="R999" s="68"/>
      <c r="S999" s="68"/>
    </row>
    <row r="1000" spans="1:19" ht="15.75" customHeight="1">
      <c r="A1000" s="68"/>
      <c r="B1000" s="68"/>
      <c r="D1000" s="68"/>
      <c r="E1000" s="69"/>
      <c r="K1000" s="68"/>
      <c r="M1000" s="69"/>
      <c r="O1000" s="68"/>
      <c r="P1000" s="68"/>
      <c r="Q1000" s="68"/>
      <c r="R1000" s="68"/>
      <c r="S1000" s="68"/>
    </row>
  </sheetData>
  <mergeCells count="114">
    <mergeCell ref="B59:B60"/>
    <mergeCell ref="A62:A65"/>
    <mergeCell ref="B62:B65"/>
    <mergeCell ref="D62:D65"/>
    <mergeCell ref="A66:A71"/>
    <mergeCell ref="B66:B71"/>
    <mergeCell ref="G66:G71"/>
    <mergeCell ref="G118:G121"/>
    <mergeCell ref="E120:E121"/>
    <mergeCell ref="E98:E99"/>
    <mergeCell ref="F98:F99"/>
    <mergeCell ref="G98:G99"/>
    <mergeCell ref="E106:E107"/>
    <mergeCell ref="E114:E117"/>
    <mergeCell ref="F114:F117"/>
    <mergeCell ref="G114:G117"/>
    <mergeCell ref="E108:E109"/>
    <mergeCell ref="E93:E94"/>
    <mergeCell ref="F93:F94"/>
    <mergeCell ref="A110:A113"/>
    <mergeCell ref="B110:B113"/>
    <mergeCell ref="D110:D113"/>
    <mergeCell ref="A114:A117"/>
    <mergeCell ref="B114:B117"/>
    <mergeCell ref="H98:H99"/>
    <mergeCell ref="E96:E97"/>
    <mergeCell ref="F96:F97"/>
    <mergeCell ref="G96:G97"/>
    <mergeCell ref="H96:H97"/>
    <mergeCell ref="E100:E101"/>
    <mergeCell ref="F100:F101"/>
    <mergeCell ref="G100:G101"/>
    <mergeCell ref="H100:H101"/>
    <mergeCell ref="A118:A121"/>
    <mergeCell ref="B118:B121"/>
    <mergeCell ref="D118:D121"/>
    <mergeCell ref="E118:E119"/>
    <mergeCell ref="F118:F121"/>
    <mergeCell ref="A91:A101"/>
    <mergeCell ref="B91:B101"/>
    <mergeCell ref="D91:D101"/>
    <mergeCell ref="A102:A109"/>
    <mergeCell ref="B102:B109"/>
    <mergeCell ref="D102:D109"/>
    <mergeCell ref="D114:D117"/>
    <mergeCell ref="G91:G92"/>
    <mergeCell ref="G93:G94"/>
    <mergeCell ref="H93:H94"/>
    <mergeCell ref="E87:E89"/>
    <mergeCell ref="F87:F89"/>
    <mergeCell ref="G87:G89"/>
    <mergeCell ref="H87:H89"/>
    <mergeCell ref="H91:H92"/>
    <mergeCell ref="B16:B19"/>
    <mergeCell ref="B20:B22"/>
    <mergeCell ref="D20:D22"/>
    <mergeCell ref="B23:B28"/>
    <mergeCell ref="D23:D28"/>
    <mergeCell ref="B29:B31"/>
    <mergeCell ref="E43:E46"/>
    <mergeCell ref="F43:F46"/>
    <mergeCell ref="B39:B48"/>
    <mergeCell ref="D39:D49"/>
    <mergeCell ref="E39:E42"/>
    <mergeCell ref="F39:F42"/>
    <mergeCell ref="D59:D60"/>
    <mergeCell ref="E59:E60"/>
    <mergeCell ref="E91:E92"/>
    <mergeCell ref="F91:F92"/>
    <mergeCell ref="M39:M49"/>
    <mergeCell ref="D12:D15"/>
    <mergeCell ref="F72:F83"/>
    <mergeCell ref="G72:G83"/>
    <mergeCell ref="G84:G86"/>
    <mergeCell ref="H84:H86"/>
    <mergeCell ref="D66:D71"/>
    <mergeCell ref="F66:F71"/>
    <mergeCell ref="A72:A83"/>
    <mergeCell ref="B72:B83"/>
    <mergeCell ref="D72:D83"/>
    <mergeCell ref="A84:A90"/>
    <mergeCell ref="B84:B90"/>
    <mergeCell ref="D84:D90"/>
    <mergeCell ref="E84:E86"/>
    <mergeCell ref="F84:F86"/>
    <mergeCell ref="A20:A22"/>
    <mergeCell ref="A23:A28"/>
    <mergeCell ref="A29:A31"/>
    <mergeCell ref="A39:A49"/>
    <mergeCell ref="A50:A58"/>
    <mergeCell ref="B50:B58"/>
    <mergeCell ref="D50:D58"/>
    <mergeCell ref="A59:A60"/>
    <mergeCell ref="D29:D31"/>
    <mergeCell ref="E29:E30"/>
    <mergeCell ref="A32:A35"/>
    <mergeCell ref="B32:B35"/>
    <mergeCell ref="D32:D35"/>
    <mergeCell ref="M32:M35"/>
    <mergeCell ref="A36:A38"/>
    <mergeCell ref="B36:B38"/>
    <mergeCell ref="D36:D38"/>
    <mergeCell ref="M36:M38"/>
    <mergeCell ref="A4:A6"/>
    <mergeCell ref="B4:B6"/>
    <mergeCell ref="D4:D6"/>
    <mergeCell ref="A8:A10"/>
    <mergeCell ref="B8:B10"/>
    <mergeCell ref="D8:D10"/>
    <mergeCell ref="A12:A15"/>
    <mergeCell ref="B12:B15"/>
    <mergeCell ref="M12:M19"/>
    <mergeCell ref="A16:A19"/>
    <mergeCell ref="D16:D19"/>
  </mergeCells>
  <conditionalFormatting sqref="I3:J6 I8:J10">
    <cfRule type="cellIs" dxfId="493" priority="1" stopIfTrue="1" operator="equal">
      <formula>"OK"</formula>
    </cfRule>
  </conditionalFormatting>
  <conditionalFormatting sqref="I3:J6 I8:J10">
    <cfRule type="cellIs" dxfId="492" priority="2" stopIfTrue="1" operator="equal">
      <formula>"Fail"</formula>
    </cfRule>
  </conditionalFormatting>
  <conditionalFormatting sqref="I3:J6 I8:J10">
    <cfRule type="cellIs" dxfId="491" priority="3" stopIfTrue="1" operator="equal">
      <formula>"OK"</formula>
    </cfRule>
  </conditionalFormatting>
  <conditionalFormatting sqref="I3:J6 I8:J10">
    <cfRule type="cellIs" dxfId="490" priority="4" stopIfTrue="1" operator="equal">
      <formula>"Fail"</formula>
    </cfRule>
  </conditionalFormatting>
  <conditionalFormatting sqref="K3:L11 K61:K109 L61 L84:L109">
    <cfRule type="containsText" dxfId="489" priority="5" operator="containsText" text="NG">
      <formula>NOT(ISERROR(SEARCH(("NG"),(K3))))</formula>
    </cfRule>
  </conditionalFormatting>
  <conditionalFormatting sqref="K3:L11 K61:K109 L61 L84:L109">
    <cfRule type="containsText" dxfId="488" priority="6" operator="containsText" text="OK">
      <formula>NOT(ISERROR(SEARCH(("OK"),(K3))))</formula>
    </cfRule>
  </conditionalFormatting>
  <conditionalFormatting sqref="I11:J11 I61:J61">
    <cfRule type="cellIs" dxfId="487" priority="7" stopIfTrue="1" operator="equal">
      <formula>"OK"</formula>
    </cfRule>
  </conditionalFormatting>
  <conditionalFormatting sqref="I11:J11 I61:J61">
    <cfRule type="cellIs" dxfId="486" priority="8" stopIfTrue="1" operator="equal">
      <formula>"Fail"</formula>
    </cfRule>
  </conditionalFormatting>
  <conditionalFormatting sqref="I11:J11 I61:J61">
    <cfRule type="cellIs" dxfId="485" priority="9" stopIfTrue="1" operator="equal">
      <formula>"OK"</formula>
    </cfRule>
  </conditionalFormatting>
  <conditionalFormatting sqref="I11:J11 I61:J61">
    <cfRule type="cellIs" dxfId="484" priority="10" stopIfTrue="1" operator="equal">
      <formula>"Fail"</formula>
    </cfRule>
  </conditionalFormatting>
  <conditionalFormatting sqref="L12:L26 L29:L52 L55:L58">
    <cfRule type="containsText" dxfId="483" priority="11" operator="containsText" text="NG">
      <formula>NOT(ISERROR(SEARCH(("NG"),(L12))))</formula>
    </cfRule>
  </conditionalFormatting>
  <conditionalFormatting sqref="L12:L26 L29:L52 L55:L58">
    <cfRule type="containsText" dxfId="482" priority="12" operator="containsText" text="OK">
      <formula>NOT(ISERROR(SEARCH(("OK"),(L12))))</formula>
    </cfRule>
  </conditionalFormatting>
  <conditionalFormatting sqref="L12:L25">
    <cfRule type="containsText" dxfId="481" priority="13" operator="containsText" text="NG">
      <formula>NOT(ISERROR(SEARCH(("NG"),(L12))))</formula>
    </cfRule>
  </conditionalFormatting>
  <conditionalFormatting sqref="L12:L25">
    <cfRule type="containsText" dxfId="480" priority="14" operator="containsText" text="OK">
      <formula>NOT(ISERROR(SEARCH(("OK"),(L12))))</formula>
    </cfRule>
  </conditionalFormatting>
  <conditionalFormatting sqref="L32:L35">
    <cfRule type="containsText" dxfId="479" priority="15" operator="containsText" text="NG">
      <formula>NOT(ISERROR(SEARCH(("NG"),(L32))))</formula>
    </cfRule>
  </conditionalFormatting>
  <conditionalFormatting sqref="L32:L35">
    <cfRule type="containsText" dxfId="478" priority="16" operator="containsText" text="OK">
      <formula>NOT(ISERROR(SEARCH(("OK"),(L32))))</formula>
    </cfRule>
  </conditionalFormatting>
  <conditionalFormatting sqref="L43:L46">
    <cfRule type="containsText" dxfId="477" priority="17" operator="containsText" text="NG">
      <formula>NOT(ISERROR(SEARCH(("NG"),(L43))))</formula>
    </cfRule>
  </conditionalFormatting>
  <conditionalFormatting sqref="L43:L46">
    <cfRule type="containsText" dxfId="476" priority="18" operator="containsText" text="OK">
      <formula>NOT(ISERROR(SEARCH(("OK"),(L43))))</formula>
    </cfRule>
  </conditionalFormatting>
  <conditionalFormatting sqref="L53">
    <cfRule type="containsText" dxfId="475" priority="19" operator="containsText" text="NG">
      <formula>NOT(ISERROR(SEARCH(("NG"),(L53))))</formula>
    </cfRule>
  </conditionalFormatting>
  <conditionalFormatting sqref="L53">
    <cfRule type="containsText" dxfId="474" priority="20" operator="containsText" text="OK">
      <formula>NOT(ISERROR(SEARCH(("OK"),(L53))))</formula>
    </cfRule>
  </conditionalFormatting>
  <conditionalFormatting sqref="L53">
    <cfRule type="containsText" dxfId="473" priority="21" operator="containsText" text="NG">
      <formula>NOT(ISERROR(SEARCH(("NG"),(L53))))</formula>
    </cfRule>
  </conditionalFormatting>
  <conditionalFormatting sqref="L53">
    <cfRule type="containsText" dxfId="472" priority="22" operator="containsText" text="OK">
      <formula>NOT(ISERROR(SEARCH(("OK"),(L53))))</formula>
    </cfRule>
  </conditionalFormatting>
  <conditionalFormatting sqref="L54">
    <cfRule type="containsText" dxfId="471" priority="23" operator="containsText" text="NG">
      <formula>NOT(ISERROR(SEARCH(("NG"),(L54))))</formula>
    </cfRule>
  </conditionalFormatting>
  <conditionalFormatting sqref="L54">
    <cfRule type="containsText" dxfId="470" priority="24" operator="containsText" text="OK">
      <formula>NOT(ISERROR(SEARCH(("OK"),(L54))))</formula>
    </cfRule>
  </conditionalFormatting>
  <conditionalFormatting sqref="L54">
    <cfRule type="containsText" dxfId="469" priority="25" operator="containsText" text="NG">
      <formula>NOT(ISERROR(SEARCH(("NG"),(L54))))</formula>
    </cfRule>
  </conditionalFormatting>
  <conditionalFormatting sqref="L54">
    <cfRule type="containsText" dxfId="468" priority="26" operator="containsText" text="OK">
      <formula>NOT(ISERROR(SEARCH(("OK"),(L54))))</formula>
    </cfRule>
  </conditionalFormatting>
  <conditionalFormatting sqref="L4">
    <cfRule type="containsText" dxfId="467" priority="27" operator="containsText" text="NG">
      <formula>NOT(ISERROR(SEARCH(("NG"),(L4))))</formula>
    </cfRule>
  </conditionalFormatting>
  <conditionalFormatting sqref="L4">
    <cfRule type="containsText" dxfId="466" priority="28" operator="containsText" text="OK">
      <formula>NOT(ISERROR(SEARCH(("OK"),(L4))))</formula>
    </cfRule>
  </conditionalFormatting>
  <conditionalFormatting sqref="L82:L83">
    <cfRule type="containsText" dxfId="465" priority="29" operator="containsText" text="NG">
      <formula>NOT(ISERROR(SEARCH(("NG"),(L82))))</formula>
    </cfRule>
  </conditionalFormatting>
  <conditionalFormatting sqref="L82:L83">
    <cfRule type="containsText" dxfId="464" priority="30" operator="containsText" text="OK">
      <formula>NOT(ISERROR(SEARCH(("OK"),(L82))))</formula>
    </cfRule>
  </conditionalFormatting>
  <conditionalFormatting sqref="L66:L71">
    <cfRule type="containsText" dxfId="463" priority="31" operator="containsText" text="NG">
      <formula>NOT(ISERROR(SEARCH(("NG"),(L66))))</formula>
    </cfRule>
  </conditionalFormatting>
  <conditionalFormatting sqref="L66:L71">
    <cfRule type="containsText" dxfId="462" priority="32" operator="containsText" text="OK">
      <formula>NOT(ISERROR(SEARCH(("OK"),(L66))))</formula>
    </cfRule>
  </conditionalFormatting>
  <conditionalFormatting sqref="L72:L81">
    <cfRule type="containsText" dxfId="461" priority="33" operator="containsText" text="NG">
      <formula>NOT(ISERROR(SEARCH(("NG"),(L72))))</formula>
    </cfRule>
  </conditionalFormatting>
  <conditionalFormatting sqref="L72:L81">
    <cfRule type="containsText" dxfId="460" priority="34" operator="containsText" text="OK">
      <formula>NOT(ISERROR(SEARCH(("OK"),(L72))))</formula>
    </cfRule>
  </conditionalFormatting>
  <conditionalFormatting sqref="L5">
    <cfRule type="containsText" dxfId="459" priority="35" operator="containsText" text="NG">
      <formula>NOT(ISERROR(SEARCH(("NG"),(L5))))</formula>
    </cfRule>
  </conditionalFormatting>
  <conditionalFormatting sqref="L5">
    <cfRule type="containsText" dxfId="458" priority="36" operator="containsText" text="OK">
      <formula>NOT(ISERROR(SEARCH(("OK"),(L5))))</formula>
    </cfRule>
  </conditionalFormatting>
  <conditionalFormatting sqref="L6">
    <cfRule type="containsText" dxfId="457" priority="37" operator="containsText" text="NG">
      <formula>NOT(ISERROR(SEARCH(("NG"),(L6))))</formula>
    </cfRule>
  </conditionalFormatting>
  <conditionalFormatting sqref="L6">
    <cfRule type="containsText" dxfId="456" priority="38" operator="containsText" text="OK">
      <formula>NOT(ISERROR(SEARCH(("OK"),(L6))))</formula>
    </cfRule>
  </conditionalFormatting>
  <conditionalFormatting sqref="L62:L65">
    <cfRule type="containsText" dxfId="455" priority="39" operator="containsText" text="NG">
      <formula>NOT(ISERROR(SEARCH(("NG"),(L62))))</formula>
    </cfRule>
  </conditionalFormatting>
  <conditionalFormatting sqref="L62:L65">
    <cfRule type="containsText" dxfId="454" priority="40" operator="containsText" text="OK">
      <formula>NOT(ISERROR(SEARCH(("OK"),(L62))))</formula>
    </cfRule>
  </conditionalFormatting>
  <conditionalFormatting sqref="L27:L28">
    <cfRule type="containsText" dxfId="453" priority="41" operator="containsText" text="NG">
      <formula>NOT(ISERROR(SEARCH(("NG"),(L27))))</formula>
    </cfRule>
  </conditionalFormatting>
  <conditionalFormatting sqref="L27:L28">
    <cfRule type="containsText" dxfId="452" priority="42" operator="containsText" text="OK">
      <formula>NOT(ISERROR(SEARCH(("OK"),(L27))))</formula>
    </cfRule>
  </conditionalFormatting>
  <conditionalFormatting sqref="I7:J7">
    <cfRule type="cellIs" dxfId="451" priority="43" stopIfTrue="1" operator="equal">
      <formula>"OK"</formula>
    </cfRule>
  </conditionalFormatting>
  <conditionalFormatting sqref="I7:J7">
    <cfRule type="cellIs" dxfId="450" priority="44" stopIfTrue="1" operator="equal">
      <formula>"Fail"</formula>
    </cfRule>
  </conditionalFormatting>
  <conditionalFormatting sqref="I7:J7">
    <cfRule type="cellIs" dxfId="449" priority="45" stopIfTrue="1" operator="equal">
      <formula>"OK"</formula>
    </cfRule>
  </conditionalFormatting>
  <conditionalFormatting sqref="I7:J7">
    <cfRule type="cellIs" dxfId="448" priority="46" stopIfTrue="1" operator="equal">
      <formula>"Fail"</formula>
    </cfRule>
  </conditionalFormatting>
  <conditionalFormatting sqref="L7">
    <cfRule type="containsText" dxfId="447" priority="47" operator="containsText" text="NG">
      <formula>NOT(ISERROR(SEARCH(("NG"),(L7))))</formula>
    </cfRule>
  </conditionalFormatting>
  <conditionalFormatting sqref="L7">
    <cfRule type="containsText" dxfId="446" priority="48" operator="containsText" text="OK">
      <formula>NOT(ISERROR(SEARCH(("OK"),(L7))))</formula>
    </cfRule>
  </conditionalFormatting>
  <conditionalFormatting sqref="K12:K58">
    <cfRule type="containsText" dxfId="445" priority="49" operator="containsText" text="NG">
      <formula>NOT(ISERROR(SEARCH(("NG"),(K12))))</formula>
    </cfRule>
  </conditionalFormatting>
  <conditionalFormatting sqref="K12:K58">
    <cfRule type="containsText" dxfId="444" priority="50" operator="containsText" text="OK">
      <formula>NOT(ISERROR(SEARCH(("OK"),(K12))))</formula>
    </cfRule>
  </conditionalFormatting>
  <conditionalFormatting sqref="L110:L121">
    <cfRule type="containsText" dxfId="443" priority="51" operator="containsText" text="NG">
      <formula>NOT(ISERROR(SEARCH(("NG"),(L110))))</formula>
    </cfRule>
  </conditionalFormatting>
  <conditionalFormatting sqref="L110:L121">
    <cfRule type="containsText" dxfId="442" priority="52" operator="containsText" text="OK">
      <formula>NOT(ISERROR(SEARCH(("OK"),(L110))))</formula>
    </cfRule>
  </conditionalFormatting>
  <conditionalFormatting sqref="K110:K121">
    <cfRule type="containsText" dxfId="441" priority="53" operator="containsText" text="NG">
      <formula>NOT(ISERROR(SEARCH(("NG"),(K110))))</formula>
    </cfRule>
  </conditionalFormatting>
  <conditionalFormatting sqref="K110:K121">
    <cfRule type="containsText" dxfId="440" priority="54" operator="containsText" text="OK">
      <formula>NOT(ISERROR(SEARCH(("OK"),(K110))))</formula>
    </cfRule>
  </conditionalFormatting>
  <conditionalFormatting sqref="L59:L60">
    <cfRule type="containsText" dxfId="439" priority="55" operator="containsText" text="NG">
      <formula>NOT(ISERROR(SEARCH(("NG"),(L59))))</formula>
    </cfRule>
  </conditionalFormatting>
  <conditionalFormatting sqref="L59:L60">
    <cfRule type="containsText" dxfId="438" priority="56" operator="containsText" text="OK">
      <formula>NOT(ISERROR(SEARCH(("OK"),(L59))))</formula>
    </cfRule>
  </conditionalFormatting>
  <conditionalFormatting sqref="K59:K60">
    <cfRule type="containsText" dxfId="437" priority="57" operator="containsText" text="NG">
      <formula>NOT(ISERROR(SEARCH(("NG"),(K59))))</formula>
    </cfRule>
  </conditionalFormatting>
  <conditionalFormatting sqref="K59:K60">
    <cfRule type="containsText" dxfId="436" priority="58" operator="containsText" text="OK">
      <formula>NOT(ISERROR(SEARCH(("OK"),(K59))))</formula>
    </cfRule>
  </conditionalFormatting>
  <dataValidations count="3">
    <dataValidation type="list" allowBlank="1" showErrorMessage="1" sqref="O4:P4 O6 O8 O23:O24 O72:O88 O90 O102:O103 O110:O112">
      <formula1>"필수,중요,선택"</formula1>
    </dataValidation>
    <dataValidation type="list" allowBlank="1" showErrorMessage="1" sqref="K4:L121">
      <formula1>"Pass,Fail,NA"</formula1>
    </dataValidation>
    <dataValidation type="list" allowBlank="1" showErrorMessage="1" sqref="O5:P5 P6 O7:P7 P8 O9:P10 O12:P22 P23:P24 O25:P60 O62:P65 O66:O71 P84:P88 O89:P89 P90 O91:P101 P102:P103 O104:P109 P110:P112 O113:P121">
      <formula1>"Proto,M/CAR,Pilot,M,SOP"</formula1>
    </dataValidation>
  </dataValidations>
  <pageMargins left="0.7" right="0.7" top="0.75" bottom="0.75"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FF00"/>
  </sheetPr>
  <dimension ref="A1:AA1000"/>
  <sheetViews>
    <sheetView workbookViewId="0">
      <pane xSplit="2" ySplit="2" topLeftCell="G3" activePane="bottomRight" state="frozen"/>
      <selection pane="topRight" activeCell="C1" sqref="C1"/>
      <selection pane="bottomLeft" activeCell="A3" sqref="A3"/>
      <selection pane="bottomRight" activeCell="J3" sqref="J3"/>
    </sheetView>
  </sheetViews>
  <sheetFormatPr defaultColWidth="14.42578125" defaultRowHeight="15" customHeight="1"/>
  <cols>
    <col min="1" max="1" width="35.7109375" customWidth="1"/>
    <col min="2" max="2" width="9.7109375" customWidth="1"/>
    <col min="3" max="3" width="9" customWidth="1"/>
    <col min="4" max="4" width="43.28515625" customWidth="1"/>
    <col min="5" max="5" width="59.42578125" customWidth="1"/>
    <col min="6" max="6" width="7.140625" customWidth="1"/>
    <col min="7" max="7" width="5.42578125" customWidth="1"/>
    <col min="8" max="8" width="49" customWidth="1"/>
    <col min="9" max="9" width="53.42578125" customWidth="1"/>
    <col min="10" max="10" width="53.42578125" style="326" customWidth="1"/>
    <col min="11" max="11" width="9" customWidth="1"/>
    <col min="12" max="12" width="24.42578125" customWidth="1"/>
    <col min="13" max="13" width="12.42578125" customWidth="1"/>
    <col min="14" max="15" width="9" customWidth="1"/>
    <col min="16" max="17" width="8.140625" customWidth="1"/>
    <col min="18" max="18" width="25.7109375" customWidth="1"/>
    <col min="19" max="19" width="7.42578125" customWidth="1"/>
    <col min="20" max="27" width="9" customWidth="1"/>
  </cols>
  <sheetData>
    <row r="1" spans="1:27" ht="39.75" customHeight="1">
      <c r="A1" s="8"/>
      <c r="B1" s="11" t="str">
        <f t="array" ref="B1">"PER_"&amp;TEXT(MAX(IFERROR(--MID($B$2:$B$4991,5,3),0)),"000")</f>
        <v>PER_045</v>
      </c>
      <c r="C1" s="3"/>
      <c r="D1" s="8"/>
      <c r="E1" s="9"/>
      <c r="F1" s="3"/>
      <c r="G1" s="3"/>
      <c r="H1" s="7"/>
      <c r="I1" s="7"/>
      <c r="J1" s="10"/>
      <c r="K1" s="3"/>
      <c r="L1" s="3"/>
      <c r="M1" s="11"/>
      <c r="N1" s="3"/>
      <c r="O1" s="11"/>
      <c r="P1" s="11"/>
      <c r="Q1" s="11"/>
      <c r="R1" s="11"/>
      <c r="S1" s="11"/>
    </row>
    <row r="2" spans="1:27" ht="39" customHeight="1">
      <c r="A2" s="12" t="s">
        <v>309</v>
      </c>
      <c r="B2" s="70" t="s">
        <v>310</v>
      </c>
      <c r="C2" s="70" t="s">
        <v>311</v>
      </c>
      <c r="D2" s="12" t="s">
        <v>312</v>
      </c>
      <c r="E2" s="12" t="s">
        <v>313</v>
      </c>
      <c r="F2" s="70" t="s">
        <v>314</v>
      </c>
      <c r="G2" s="70" t="s">
        <v>315</v>
      </c>
      <c r="H2" s="12" t="s">
        <v>316</v>
      </c>
      <c r="I2" s="12" t="s">
        <v>317</v>
      </c>
      <c r="J2" s="70" t="s">
        <v>7999</v>
      </c>
      <c r="K2" s="70" t="s">
        <v>291</v>
      </c>
      <c r="L2" s="70" t="s">
        <v>318</v>
      </c>
      <c r="M2" s="70" t="s">
        <v>293</v>
      </c>
      <c r="N2" s="13"/>
      <c r="O2" s="70" t="s">
        <v>319</v>
      </c>
      <c r="P2" s="70" t="s">
        <v>320</v>
      </c>
      <c r="Q2" s="70" t="s">
        <v>321</v>
      </c>
      <c r="R2" s="70" t="s">
        <v>1</v>
      </c>
      <c r="S2" s="70" t="s">
        <v>322</v>
      </c>
      <c r="T2" s="14"/>
      <c r="U2" s="14"/>
      <c r="V2" s="14"/>
      <c r="W2" s="14"/>
      <c r="X2" s="14"/>
      <c r="Y2" s="14"/>
      <c r="Z2" s="14"/>
      <c r="AA2" s="14"/>
    </row>
    <row r="3" spans="1:27" ht="37.5">
      <c r="A3" s="15" t="s">
        <v>5542</v>
      </c>
      <c r="B3" s="16"/>
      <c r="C3" s="16"/>
      <c r="D3" s="17"/>
      <c r="E3" s="18"/>
      <c r="F3" s="19"/>
      <c r="G3" s="19"/>
      <c r="H3" s="17"/>
      <c r="I3" s="20"/>
      <c r="J3" s="20"/>
      <c r="K3" s="16"/>
      <c r="L3" s="16"/>
      <c r="M3" s="71"/>
      <c r="N3" s="3"/>
      <c r="O3" s="16"/>
      <c r="P3" s="16"/>
      <c r="Q3" s="16"/>
      <c r="R3" s="16"/>
      <c r="S3" s="16"/>
    </row>
    <row r="4" spans="1:27" ht="75">
      <c r="A4" s="378" t="s">
        <v>5543</v>
      </c>
      <c r="B4" s="401" t="s">
        <v>72</v>
      </c>
      <c r="C4" s="45">
        <v>1</v>
      </c>
      <c r="D4" s="364" t="s">
        <v>5544</v>
      </c>
      <c r="E4" s="44" t="s">
        <v>5545</v>
      </c>
      <c r="F4" s="45" t="s">
        <v>326</v>
      </c>
      <c r="G4" s="45" t="s">
        <v>524</v>
      </c>
      <c r="H4" s="47" t="s">
        <v>5546</v>
      </c>
      <c r="I4" s="230" t="s">
        <v>5547</v>
      </c>
      <c r="J4" s="230"/>
      <c r="K4" s="25" t="s">
        <v>294</v>
      </c>
      <c r="L4" s="99" t="s">
        <v>5548</v>
      </c>
      <c r="M4" s="99"/>
      <c r="N4" s="55"/>
      <c r="O4" s="28" t="s">
        <v>140</v>
      </c>
      <c r="P4" s="50" t="s">
        <v>140</v>
      </c>
      <c r="Q4" s="50" t="s">
        <v>140</v>
      </c>
      <c r="R4" s="25"/>
      <c r="S4" s="50"/>
      <c r="T4" s="65"/>
      <c r="U4" s="65"/>
      <c r="V4" s="65"/>
      <c r="W4" s="65"/>
      <c r="X4" s="65"/>
      <c r="Y4" s="65"/>
      <c r="Z4" s="65"/>
      <c r="AA4" s="65"/>
    </row>
    <row r="5" spans="1:27" ht="105">
      <c r="A5" s="344"/>
      <c r="B5" s="344"/>
      <c r="C5" s="34">
        <v>2</v>
      </c>
      <c r="D5" s="344"/>
      <c r="E5" s="33" t="s">
        <v>5549</v>
      </c>
      <c r="F5" s="34" t="s">
        <v>326</v>
      </c>
      <c r="G5" s="34" t="s">
        <v>524</v>
      </c>
      <c r="H5" s="36" t="s">
        <v>5550</v>
      </c>
      <c r="I5" s="62" t="s">
        <v>5551</v>
      </c>
      <c r="J5" s="167"/>
      <c r="K5" s="25" t="s">
        <v>294</v>
      </c>
      <c r="L5" s="99" t="s">
        <v>5552</v>
      </c>
      <c r="M5" s="99"/>
      <c r="N5" s="55"/>
      <c r="O5" s="28" t="s">
        <v>140</v>
      </c>
      <c r="P5" s="50" t="s">
        <v>140</v>
      </c>
      <c r="Q5" s="50" t="s">
        <v>140</v>
      </c>
      <c r="R5" s="25" t="s">
        <v>300</v>
      </c>
      <c r="S5" s="50"/>
      <c r="T5" s="65"/>
      <c r="U5" s="65"/>
      <c r="V5" s="65"/>
      <c r="W5" s="65"/>
      <c r="X5" s="65"/>
      <c r="Y5" s="65"/>
      <c r="Z5" s="65"/>
      <c r="AA5" s="65"/>
    </row>
    <row r="6" spans="1:27" ht="89.25">
      <c r="A6" s="344"/>
      <c r="B6" s="344"/>
      <c r="C6" s="74">
        <v>3</v>
      </c>
      <c r="D6" s="344"/>
      <c r="E6" s="47" t="s">
        <v>5553</v>
      </c>
      <c r="F6" s="74" t="s">
        <v>326</v>
      </c>
      <c r="G6" s="74" t="s">
        <v>524</v>
      </c>
      <c r="H6" s="47" t="s">
        <v>5554</v>
      </c>
      <c r="I6" s="63" t="s">
        <v>5555</v>
      </c>
      <c r="J6" s="171"/>
      <c r="K6" s="25" t="s">
        <v>294</v>
      </c>
      <c r="L6" s="99" t="s">
        <v>5556</v>
      </c>
      <c r="M6" s="99"/>
      <c r="N6" s="55"/>
      <c r="O6" s="28" t="s">
        <v>140</v>
      </c>
      <c r="P6" s="50" t="s">
        <v>140</v>
      </c>
      <c r="Q6" s="50" t="s">
        <v>140</v>
      </c>
      <c r="R6" s="25" t="s">
        <v>7</v>
      </c>
      <c r="S6" s="50"/>
      <c r="T6" s="65"/>
      <c r="U6" s="65"/>
      <c r="V6" s="65"/>
      <c r="W6" s="65"/>
      <c r="X6" s="65"/>
      <c r="Y6" s="65"/>
      <c r="Z6" s="65"/>
      <c r="AA6" s="65"/>
    </row>
    <row r="7" spans="1:27" ht="105">
      <c r="A7" s="344"/>
      <c r="B7" s="344"/>
      <c r="C7" s="74">
        <v>4</v>
      </c>
      <c r="D7" s="344"/>
      <c r="E7" s="80" t="s">
        <v>5557</v>
      </c>
      <c r="F7" s="74" t="s">
        <v>326</v>
      </c>
      <c r="G7" s="74" t="s">
        <v>524</v>
      </c>
      <c r="H7" s="47" t="s">
        <v>5558</v>
      </c>
      <c r="I7" s="230" t="s">
        <v>5547</v>
      </c>
      <c r="J7" s="230"/>
      <c r="K7" s="25" t="s">
        <v>294</v>
      </c>
      <c r="L7" s="99" t="s">
        <v>5556</v>
      </c>
      <c r="M7" s="26"/>
      <c r="N7" s="76"/>
      <c r="O7" s="28" t="s">
        <v>140</v>
      </c>
      <c r="P7" s="50" t="s">
        <v>140</v>
      </c>
      <c r="Q7" s="50" t="s">
        <v>140</v>
      </c>
      <c r="R7" s="25" t="s">
        <v>7</v>
      </c>
      <c r="S7" s="50"/>
      <c r="T7" s="30"/>
      <c r="U7" s="30"/>
      <c r="V7" s="30"/>
      <c r="W7" s="30"/>
      <c r="X7" s="30"/>
      <c r="Y7" s="30"/>
      <c r="Z7" s="30"/>
      <c r="AA7" s="30"/>
    </row>
    <row r="8" spans="1:27" ht="45">
      <c r="A8" s="344"/>
      <c r="B8" s="344"/>
      <c r="C8" s="74">
        <v>5</v>
      </c>
      <c r="D8" s="344"/>
      <c r="E8" s="47" t="s">
        <v>5559</v>
      </c>
      <c r="F8" s="74" t="s">
        <v>326</v>
      </c>
      <c r="G8" s="74" t="s">
        <v>524</v>
      </c>
      <c r="H8" s="47" t="s">
        <v>5560</v>
      </c>
      <c r="I8" s="109" t="s">
        <v>4970</v>
      </c>
      <c r="J8" s="109"/>
      <c r="K8" s="25" t="s">
        <v>294</v>
      </c>
      <c r="L8" s="99" t="s">
        <v>5561</v>
      </c>
      <c r="M8" s="99"/>
      <c r="N8" s="55"/>
      <c r="O8" s="28" t="s">
        <v>140</v>
      </c>
      <c r="P8" s="50" t="s">
        <v>140</v>
      </c>
      <c r="Q8" s="50" t="s">
        <v>140</v>
      </c>
      <c r="R8" s="25" t="s">
        <v>7</v>
      </c>
      <c r="S8" s="50"/>
      <c r="T8" s="65"/>
      <c r="U8" s="65"/>
      <c r="V8" s="65"/>
      <c r="W8" s="65"/>
      <c r="X8" s="65"/>
      <c r="Y8" s="65"/>
      <c r="Z8" s="65"/>
      <c r="AA8" s="65"/>
    </row>
    <row r="9" spans="1:27" ht="89.25">
      <c r="A9" s="344"/>
      <c r="B9" s="344"/>
      <c r="C9" s="74">
        <v>6</v>
      </c>
      <c r="D9" s="344"/>
      <c r="E9" s="47" t="s">
        <v>5562</v>
      </c>
      <c r="F9" s="74" t="s">
        <v>326</v>
      </c>
      <c r="G9" s="74" t="s">
        <v>524</v>
      </c>
      <c r="H9" s="47" t="s">
        <v>5563</v>
      </c>
      <c r="I9" s="63" t="s">
        <v>5564</v>
      </c>
      <c r="J9" s="171"/>
      <c r="K9" s="25" t="s">
        <v>294</v>
      </c>
      <c r="L9" s="99" t="s">
        <v>5565</v>
      </c>
      <c r="M9" s="99"/>
      <c r="N9" s="55"/>
      <c r="O9" s="28" t="s">
        <v>140</v>
      </c>
      <c r="P9" s="50" t="s">
        <v>140</v>
      </c>
      <c r="Q9" s="50" t="s">
        <v>140</v>
      </c>
      <c r="R9" s="25" t="s">
        <v>298</v>
      </c>
      <c r="S9" s="50"/>
      <c r="T9" s="65"/>
      <c r="U9" s="65"/>
      <c r="V9" s="65"/>
      <c r="W9" s="65"/>
      <c r="X9" s="65"/>
      <c r="Y9" s="65"/>
      <c r="Z9" s="65"/>
      <c r="AA9" s="65"/>
    </row>
    <row r="10" spans="1:27" ht="210">
      <c r="A10" s="344"/>
      <c r="B10" s="344"/>
      <c r="C10" s="45">
        <v>7</v>
      </c>
      <c r="D10" s="344"/>
      <c r="E10" s="44" t="s">
        <v>5566</v>
      </c>
      <c r="F10" s="45" t="s">
        <v>326</v>
      </c>
      <c r="G10" s="45" t="s">
        <v>524</v>
      </c>
      <c r="H10" s="47" t="s">
        <v>5567</v>
      </c>
      <c r="I10" s="67" t="s">
        <v>5568</v>
      </c>
      <c r="J10" s="67"/>
      <c r="K10" s="25" t="s">
        <v>294</v>
      </c>
      <c r="L10" s="99" t="s">
        <v>5569</v>
      </c>
      <c r="M10" s="99"/>
      <c r="N10" s="55"/>
      <c r="O10" s="28" t="s">
        <v>140</v>
      </c>
      <c r="P10" s="50" t="s">
        <v>140</v>
      </c>
      <c r="Q10" s="50" t="s">
        <v>140</v>
      </c>
      <c r="R10" s="25" t="s">
        <v>298</v>
      </c>
      <c r="S10" s="50"/>
      <c r="T10" s="65"/>
      <c r="U10" s="65"/>
      <c r="V10" s="65"/>
      <c r="W10" s="65"/>
      <c r="X10" s="65"/>
      <c r="Y10" s="65"/>
      <c r="Z10" s="65"/>
      <c r="AA10" s="65"/>
    </row>
    <row r="11" spans="1:27" ht="60">
      <c r="A11" s="353"/>
      <c r="B11" s="353"/>
      <c r="C11" s="86">
        <v>8</v>
      </c>
      <c r="D11" s="353"/>
      <c r="E11" s="175" t="s">
        <v>5570</v>
      </c>
      <c r="F11" s="86" t="s">
        <v>326</v>
      </c>
      <c r="G11" s="86" t="s">
        <v>524</v>
      </c>
      <c r="H11" s="175" t="s">
        <v>5571</v>
      </c>
      <c r="I11" s="67" t="s">
        <v>5572</v>
      </c>
      <c r="J11" s="67"/>
      <c r="K11" s="25"/>
      <c r="L11" s="99" t="s">
        <v>5548</v>
      </c>
      <c r="M11" s="99"/>
      <c r="N11" s="55"/>
      <c r="O11" s="28" t="s">
        <v>140</v>
      </c>
      <c r="P11" s="50" t="s">
        <v>282</v>
      </c>
      <c r="Q11" s="50" t="s">
        <v>282</v>
      </c>
      <c r="R11" s="25" t="s">
        <v>305</v>
      </c>
      <c r="S11" s="50"/>
      <c r="T11" s="65"/>
      <c r="U11" s="65"/>
      <c r="V11" s="65"/>
      <c r="W11" s="65"/>
      <c r="X11" s="65"/>
      <c r="Y11" s="65"/>
      <c r="Z11" s="65"/>
      <c r="AA11" s="65"/>
    </row>
    <row r="12" spans="1:27" ht="37.5">
      <c r="A12" s="15" t="s">
        <v>5573</v>
      </c>
      <c r="B12" s="16"/>
      <c r="C12" s="16"/>
      <c r="D12" s="17"/>
      <c r="E12" s="18"/>
      <c r="F12" s="19"/>
      <c r="G12" s="19"/>
      <c r="H12" s="17"/>
      <c r="I12" s="20"/>
      <c r="J12" s="20"/>
      <c r="K12" s="16"/>
      <c r="L12" s="16"/>
      <c r="M12" s="71"/>
      <c r="N12" s="3"/>
      <c r="O12" s="16"/>
      <c r="P12" s="16"/>
      <c r="Q12" s="16"/>
      <c r="R12" s="16"/>
      <c r="S12" s="16"/>
    </row>
    <row r="13" spans="1:27" ht="39" customHeight="1">
      <c r="A13" s="350"/>
      <c r="B13" s="350" t="s">
        <v>122</v>
      </c>
      <c r="C13" s="41">
        <v>1</v>
      </c>
      <c r="D13" s="355" t="s">
        <v>5574</v>
      </c>
      <c r="E13" s="355" t="s">
        <v>5575</v>
      </c>
      <c r="F13" s="360" t="s">
        <v>326</v>
      </c>
      <c r="G13" s="31" t="s">
        <v>524</v>
      </c>
      <c r="H13" s="23" t="s">
        <v>5576</v>
      </c>
      <c r="I13" s="23" t="s">
        <v>5577</v>
      </c>
      <c r="J13" s="170"/>
      <c r="K13" s="25" t="s">
        <v>294</v>
      </c>
      <c r="L13" s="50"/>
      <c r="M13" s="231"/>
      <c r="N13" s="13"/>
      <c r="O13" s="232"/>
      <c r="P13" s="232"/>
      <c r="Q13" s="50" t="s">
        <v>140</v>
      </c>
      <c r="R13" s="232"/>
      <c r="S13" s="50"/>
      <c r="T13" s="14"/>
      <c r="U13" s="14"/>
      <c r="V13" s="14"/>
      <c r="W13" s="14"/>
      <c r="X13" s="14"/>
      <c r="Y13" s="14"/>
      <c r="Z13" s="14"/>
      <c r="AA13" s="14"/>
    </row>
    <row r="14" spans="1:27" ht="39" customHeight="1">
      <c r="A14" s="344"/>
      <c r="B14" s="344"/>
      <c r="C14" s="41">
        <v>2</v>
      </c>
      <c r="D14" s="344"/>
      <c r="E14" s="345"/>
      <c r="F14" s="345"/>
      <c r="G14" s="31" t="s">
        <v>349</v>
      </c>
      <c r="H14" s="23" t="s">
        <v>5578</v>
      </c>
      <c r="I14" s="23" t="s">
        <v>5579</v>
      </c>
      <c r="J14" s="170"/>
      <c r="K14" s="25" t="s">
        <v>294</v>
      </c>
      <c r="L14" s="50"/>
      <c r="M14" s="231"/>
      <c r="N14" s="13"/>
      <c r="O14" s="232"/>
      <c r="P14" s="232"/>
      <c r="Q14" s="50" t="s">
        <v>140</v>
      </c>
      <c r="R14" s="232"/>
      <c r="S14" s="50"/>
      <c r="T14" s="14"/>
      <c r="U14" s="14"/>
      <c r="V14" s="14"/>
      <c r="W14" s="14"/>
      <c r="X14" s="14"/>
      <c r="Y14" s="14"/>
      <c r="Z14" s="14"/>
      <c r="AA14" s="14"/>
    </row>
    <row r="15" spans="1:27" ht="39" customHeight="1">
      <c r="A15" s="344"/>
      <c r="B15" s="344"/>
      <c r="C15" s="41">
        <v>3</v>
      </c>
      <c r="D15" s="344"/>
      <c r="E15" s="355" t="s">
        <v>5580</v>
      </c>
      <c r="F15" s="360" t="s">
        <v>326</v>
      </c>
      <c r="G15" s="31" t="s">
        <v>524</v>
      </c>
      <c r="H15" s="23" t="s">
        <v>5581</v>
      </c>
      <c r="I15" s="23" t="s">
        <v>5577</v>
      </c>
      <c r="J15" s="170"/>
      <c r="K15" s="25" t="s">
        <v>294</v>
      </c>
      <c r="L15" s="50"/>
      <c r="M15" s="231"/>
      <c r="N15" s="13"/>
      <c r="O15" s="232"/>
      <c r="P15" s="232"/>
      <c r="Q15" s="50" t="s">
        <v>140</v>
      </c>
      <c r="R15" s="232"/>
      <c r="S15" s="50"/>
      <c r="T15" s="14"/>
      <c r="U15" s="14"/>
      <c r="V15" s="14"/>
      <c r="W15" s="14"/>
      <c r="X15" s="14"/>
      <c r="Y15" s="14"/>
      <c r="Z15" s="14"/>
      <c r="AA15" s="14"/>
    </row>
    <row r="16" spans="1:27" ht="39" customHeight="1">
      <c r="A16" s="344"/>
      <c r="B16" s="344"/>
      <c r="C16" s="41">
        <v>4</v>
      </c>
      <c r="D16" s="344"/>
      <c r="E16" s="345"/>
      <c r="F16" s="345"/>
      <c r="G16" s="31" t="s">
        <v>327</v>
      </c>
      <c r="H16" s="23" t="s">
        <v>5578</v>
      </c>
      <c r="I16" s="23" t="s">
        <v>5579</v>
      </c>
      <c r="J16" s="170"/>
      <c r="K16" s="25" t="s">
        <v>294</v>
      </c>
      <c r="L16" s="50"/>
      <c r="M16" s="231"/>
      <c r="N16" s="13"/>
      <c r="O16" s="232"/>
      <c r="P16" s="232"/>
      <c r="Q16" s="50" t="s">
        <v>140</v>
      </c>
      <c r="R16" s="232"/>
      <c r="S16" s="50"/>
      <c r="T16" s="14"/>
      <c r="U16" s="14"/>
      <c r="V16" s="14"/>
      <c r="W16" s="14"/>
      <c r="X16" s="14"/>
      <c r="Y16" s="14"/>
      <c r="Z16" s="14"/>
      <c r="AA16" s="14"/>
    </row>
    <row r="17" spans="1:27" ht="45">
      <c r="A17" s="344"/>
      <c r="B17" s="344"/>
      <c r="C17" s="41">
        <v>5</v>
      </c>
      <c r="D17" s="344"/>
      <c r="E17" s="355" t="s">
        <v>5582</v>
      </c>
      <c r="F17" s="360" t="s">
        <v>326</v>
      </c>
      <c r="G17" s="31" t="s">
        <v>327</v>
      </c>
      <c r="H17" s="23" t="s">
        <v>5583</v>
      </c>
      <c r="I17" s="23" t="s">
        <v>5584</v>
      </c>
      <c r="J17" s="170"/>
      <c r="K17" s="25" t="s">
        <v>294</v>
      </c>
      <c r="L17" s="50"/>
      <c r="M17" s="231"/>
      <c r="N17" s="13"/>
      <c r="O17" s="232"/>
      <c r="P17" s="232"/>
      <c r="Q17" s="50" t="s">
        <v>140</v>
      </c>
      <c r="R17" s="232"/>
      <c r="S17" s="50"/>
      <c r="T17" s="14"/>
      <c r="U17" s="14"/>
      <c r="V17" s="14"/>
      <c r="W17" s="14"/>
      <c r="X17" s="14"/>
      <c r="Y17" s="14"/>
      <c r="Z17" s="14"/>
      <c r="AA17" s="14"/>
    </row>
    <row r="18" spans="1:27" ht="39" customHeight="1">
      <c r="A18" s="369"/>
      <c r="B18" s="369"/>
      <c r="C18" s="41">
        <v>6</v>
      </c>
      <c r="D18" s="344"/>
      <c r="E18" s="345"/>
      <c r="F18" s="345"/>
      <c r="G18" s="31" t="s">
        <v>524</v>
      </c>
      <c r="H18" s="23" t="s">
        <v>5585</v>
      </c>
      <c r="I18" s="23" t="s">
        <v>5586</v>
      </c>
      <c r="J18" s="170"/>
      <c r="K18" s="25" t="s">
        <v>294</v>
      </c>
      <c r="L18" s="50"/>
      <c r="M18" s="231"/>
      <c r="N18" s="13"/>
      <c r="O18" s="232"/>
      <c r="P18" s="232"/>
      <c r="Q18" s="50" t="s">
        <v>140</v>
      </c>
      <c r="R18" s="232"/>
      <c r="S18" s="50"/>
      <c r="T18" s="14"/>
      <c r="U18" s="14"/>
      <c r="V18" s="14"/>
      <c r="W18" s="14"/>
      <c r="X18" s="14"/>
      <c r="Y18" s="14"/>
      <c r="Z18" s="14"/>
      <c r="AA18" s="14"/>
    </row>
    <row r="19" spans="1:27" ht="30">
      <c r="A19" s="355" t="s">
        <v>5587</v>
      </c>
      <c r="B19" s="360" t="s">
        <v>123</v>
      </c>
      <c r="C19" s="31">
        <v>1</v>
      </c>
      <c r="D19" s="355" t="s">
        <v>5588</v>
      </c>
      <c r="E19" s="355" t="s">
        <v>5589</v>
      </c>
      <c r="F19" s="350" t="s">
        <v>361</v>
      </c>
      <c r="G19" s="350" t="s">
        <v>524</v>
      </c>
      <c r="H19" s="355" t="s">
        <v>5590</v>
      </c>
      <c r="I19" s="23" t="s">
        <v>5591</v>
      </c>
      <c r="J19" s="170"/>
      <c r="K19" s="25" t="s">
        <v>294</v>
      </c>
      <c r="L19" s="99"/>
      <c r="M19" s="99"/>
      <c r="N19" s="55"/>
      <c r="O19" s="28"/>
      <c r="P19" s="28"/>
      <c r="Q19" s="50" t="s">
        <v>140</v>
      </c>
      <c r="R19" s="25"/>
      <c r="S19" s="50"/>
      <c r="T19" s="65"/>
      <c r="U19" s="65"/>
      <c r="V19" s="65"/>
      <c r="W19" s="65"/>
      <c r="X19" s="65"/>
      <c r="Y19" s="65"/>
      <c r="Z19" s="65"/>
      <c r="AA19" s="65"/>
    </row>
    <row r="20" spans="1:27">
      <c r="A20" s="344"/>
      <c r="B20" s="344"/>
      <c r="C20" s="31">
        <v>2</v>
      </c>
      <c r="D20" s="344"/>
      <c r="E20" s="345"/>
      <c r="F20" s="345"/>
      <c r="G20" s="345"/>
      <c r="H20" s="345"/>
      <c r="I20" s="23" t="s">
        <v>5592</v>
      </c>
      <c r="J20" s="170"/>
      <c r="K20" s="25" t="s">
        <v>294</v>
      </c>
      <c r="L20" s="99"/>
      <c r="M20" s="99"/>
      <c r="N20" s="55"/>
      <c r="O20" s="25"/>
      <c r="P20" s="25"/>
      <c r="Q20" s="50" t="s">
        <v>140</v>
      </c>
      <c r="R20" s="25"/>
      <c r="S20" s="50"/>
      <c r="T20" s="65"/>
      <c r="U20" s="65"/>
      <c r="V20" s="65"/>
      <c r="W20" s="65"/>
      <c r="X20" s="65"/>
      <c r="Y20" s="65"/>
      <c r="Z20" s="65"/>
      <c r="AA20" s="65"/>
    </row>
    <row r="21" spans="1:27" ht="15.75" customHeight="1">
      <c r="A21" s="344"/>
      <c r="B21" s="344"/>
      <c r="C21" s="31">
        <v>3</v>
      </c>
      <c r="D21" s="344"/>
      <c r="E21" s="355" t="s">
        <v>5593</v>
      </c>
      <c r="F21" s="350" t="s">
        <v>326</v>
      </c>
      <c r="G21" s="350" t="s">
        <v>349</v>
      </c>
      <c r="H21" s="355" t="s">
        <v>5594</v>
      </c>
      <c r="I21" s="23" t="s">
        <v>5595</v>
      </c>
      <c r="J21" s="170"/>
      <c r="K21" s="25" t="s">
        <v>294</v>
      </c>
      <c r="L21" s="99"/>
      <c r="M21" s="99"/>
      <c r="N21" s="55"/>
      <c r="O21" s="25"/>
      <c r="P21" s="25"/>
      <c r="Q21" s="50" t="s">
        <v>140</v>
      </c>
      <c r="R21" s="25"/>
      <c r="S21" s="50"/>
      <c r="T21" s="65"/>
      <c r="U21" s="65"/>
      <c r="V21" s="65"/>
      <c r="W21" s="65"/>
      <c r="X21" s="65"/>
      <c r="Y21" s="65"/>
      <c r="Z21" s="65"/>
      <c r="AA21" s="65"/>
    </row>
    <row r="22" spans="1:27" ht="15.75" customHeight="1">
      <c r="A22" s="345"/>
      <c r="B22" s="344"/>
      <c r="C22" s="31">
        <v>4</v>
      </c>
      <c r="D22" s="345"/>
      <c r="E22" s="345"/>
      <c r="F22" s="345"/>
      <c r="G22" s="345"/>
      <c r="H22" s="345"/>
      <c r="I22" s="23" t="s">
        <v>5596</v>
      </c>
      <c r="J22" s="170"/>
      <c r="K22" s="25"/>
      <c r="L22" s="99"/>
      <c r="M22" s="128"/>
      <c r="N22" s="55"/>
      <c r="O22" s="25"/>
      <c r="P22" s="25"/>
      <c r="Q22" s="50" t="s">
        <v>282</v>
      </c>
      <c r="R22" s="25"/>
      <c r="S22" s="50"/>
      <c r="T22" s="65"/>
      <c r="U22" s="65"/>
      <c r="V22" s="65"/>
      <c r="W22" s="65"/>
      <c r="X22" s="65"/>
      <c r="Y22" s="65"/>
      <c r="Z22" s="65"/>
      <c r="AA22" s="65"/>
    </row>
    <row r="23" spans="1:27" ht="15.75" customHeight="1">
      <c r="A23" s="402" t="s">
        <v>5597</v>
      </c>
      <c r="B23" s="344"/>
      <c r="C23" s="31">
        <v>5</v>
      </c>
      <c r="D23" s="402" t="s">
        <v>5598</v>
      </c>
      <c r="E23" s="23" t="s">
        <v>5599</v>
      </c>
      <c r="F23" s="31" t="s">
        <v>326</v>
      </c>
      <c r="G23" s="31" t="s">
        <v>524</v>
      </c>
      <c r="H23" s="23" t="s">
        <v>5600</v>
      </c>
      <c r="I23" s="23" t="s">
        <v>5601</v>
      </c>
      <c r="J23" s="170"/>
      <c r="K23" s="25"/>
      <c r="L23" s="99" t="s">
        <v>5602</v>
      </c>
      <c r="M23" s="128"/>
      <c r="N23" s="55"/>
      <c r="O23" s="25"/>
      <c r="P23" s="25"/>
      <c r="Q23" s="50" t="s">
        <v>282</v>
      </c>
      <c r="R23" s="25"/>
      <c r="S23" s="50"/>
      <c r="T23" s="65"/>
      <c r="U23" s="65"/>
      <c r="V23" s="65"/>
      <c r="W23" s="65"/>
      <c r="X23" s="65"/>
      <c r="Y23" s="65"/>
      <c r="Z23" s="65"/>
      <c r="AA23" s="65"/>
    </row>
    <row r="24" spans="1:27" ht="15.75" customHeight="1">
      <c r="A24" s="345"/>
      <c r="B24" s="345"/>
      <c r="C24" s="31">
        <v>6</v>
      </c>
      <c r="D24" s="345"/>
      <c r="E24" s="23" t="s">
        <v>5603</v>
      </c>
      <c r="F24" s="31" t="s">
        <v>326</v>
      </c>
      <c r="G24" s="31" t="s">
        <v>524</v>
      </c>
      <c r="H24" s="233" t="s">
        <v>5604</v>
      </c>
      <c r="I24" s="23" t="s">
        <v>5605</v>
      </c>
      <c r="J24" s="170"/>
      <c r="K24" s="25"/>
      <c r="L24" s="99" t="s">
        <v>5606</v>
      </c>
      <c r="M24" s="128"/>
      <c r="N24" s="55"/>
      <c r="O24" s="25"/>
      <c r="P24" s="25"/>
      <c r="Q24" s="50" t="s">
        <v>282</v>
      </c>
      <c r="R24" s="25"/>
      <c r="S24" s="50"/>
      <c r="T24" s="65"/>
      <c r="U24" s="65"/>
      <c r="V24" s="65"/>
      <c r="W24" s="65"/>
      <c r="X24" s="65"/>
      <c r="Y24" s="65"/>
      <c r="Z24" s="65"/>
      <c r="AA24" s="65"/>
    </row>
    <row r="25" spans="1:27" ht="15.75" customHeight="1">
      <c r="A25" s="355" t="s">
        <v>5607</v>
      </c>
      <c r="B25" s="360" t="s">
        <v>71</v>
      </c>
      <c r="C25" s="31">
        <v>1</v>
      </c>
      <c r="D25" s="355" t="s">
        <v>5608</v>
      </c>
      <c r="E25" s="23" t="s">
        <v>5609</v>
      </c>
      <c r="F25" s="31" t="s">
        <v>326</v>
      </c>
      <c r="G25" s="31" t="s">
        <v>524</v>
      </c>
      <c r="H25" s="23" t="s">
        <v>5610</v>
      </c>
      <c r="I25" s="23" t="s">
        <v>5611</v>
      </c>
      <c r="J25" s="170"/>
      <c r="K25" s="25" t="s">
        <v>294</v>
      </c>
      <c r="L25" s="99"/>
      <c r="M25" s="99"/>
      <c r="N25" s="55"/>
      <c r="O25" s="25"/>
      <c r="P25" s="25"/>
      <c r="Q25" s="50" t="s">
        <v>140</v>
      </c>
      <c r="R25" s="25"/>
      <c r="S25" s="50"/>
      <c r="T25" s="65"/>
      <c r="U25" s="65"/>
      <c r="V25" s="65"/>
      <c r="W25" s="65"/>
      <c r="X25" s="65"/>
      <c r="Y25" s="65"/>
      <c r="Z25" s="65"/>
      <c r="AA25" s="65"/>
    </row>
    <row r="26" spans="1:27" ht="15.75" customHeight="1">
      <c r="A26" s="345"/>
      <c r="B26" s="344"/>
      <c r="C26" s="31">
        <v>2</v>
      </c>
      <c r="D26" s="344"/>
      <c r="E26" s="23" t="s">
        <v>5612</v>
      </c>
      <c r="F26" s="31" t="s">
        <v>326</v>
      </c>
      <c r="G26" s="31" t="s">
        <v>524</v>
      </c>
      <c r="H26" s="23" t="s">
        <v>5613</v>
      </c>
      <c r="I26" s="23" t="s">
        <v>5614</v>
      </c>
      <c r="J26" s="170"/>
      <c r="K26" s="25" t="s">
        <v>294</v>
      </c>
      <c r="L26" s="99"/>
      <c r="M26" s="99"/>
      <c r="N26" s="55"/>
      <c r="O26" s="25"/>
      <c r="P26" s="25"/>
      <c r="Q26" s="50" t="s">
        <v>140</v>
      </c>
      <c r="R26" s="25"/>
      <c r="S26" s="50"/>
      <c r="T26" s="65"/>
      <c r="U26" s="65"/>
      <c r="V26" s="65"/>
      <c r="W26" s="65"/>
      <c r="X26" s="65"/>
      <c r="Y26" s="65"/>
      <c r="Z26" s="65"/>
      <c r="AA26" s="65"/>
    </row>
    <row r="27" spans="1:27" ht="15.75" customHeight="1">
      <c r="A27" s="355" t="s">
        <v>5615</v>
      </c>
      <c r="B27" s="344"/>
      <c r="C27" s="31">
        <v>3</v>
      </c>
      <c r="D27" s="344"/>
      <c r="E27" s="23" t="s">
        <v>5616</v>
      </c>
      <c r="F27" s="31" t="s">
        <v>326</v>
      </c>
      <c r="G27" s="31" t="s">
        <v>524</v>
      </c>
      <c r="H27" s="23" t="s">
        <v>5617</v>
      </c>
      <c r="I27" s="23" t="s">
        <v>5618</v>
      </c>
      <c r="J27" s="170"/>
      <c r="K27" s="25"/>
      <c r="L27" s="99" t="s">
        <v>5619</v>
      </c>
      <c r="M27" s="99"/>
      <c r="N27" s="55"/>
      <c r="O27" s="25"/>
      <c r="P27" s="25"/>
      <c r="Q27" s="50" t="s">
        <v>282</v>
      </c>
      <c r="R27" s="25"/>
      <c r="S27" s="50"/>
      <c r="T27" s="65"/>
      <c r="U27" s="65"/>
      <c r="V27" s="65"/>
      <c r="W27" s="65"/>
      <c r="X27" s="65"/>
      <c r="Y27" s="65"/>
      <c r="Z27" s="65"/>
      <c r="AA27" s="65"/>
    </row>
    <row r="28" spans="1:27" ht="15.75" customHeight="1">
      <c r="A28" s="345"/>
      <c r="B28" s="345"/>
      <c r="C28" s="31">
        <v>4</v>
      </c>
      <c r="D28" s="345"/>
      <c r="E28" s="23" t="s">
        <v>5620</v>
      </c>
      <c r="F28" s="31" t="s">
        <v>326</v>
      </c>
      <c r="G28" s="31" t="s">
        <v>524</v>
      </c>
      <c r="H28" s="23" t="s">
        <v>5621</v>
      </c>
      <c r="I28" s="23" t="s">
        <v>5622</v>
      </c>
      <c r="J28" s="170"/>
      <c r="K28" s="25"/>
      <c r="L28" s="99" t="s">
        <v>5623</v>
      </c>
      <c r="M28" s="99"/>
      <c r="N28" s="55"/>
      <c r="O28" s="25"/>
      <c r="P28" s="25"/>
      <c r="Q28" s="50" t="s">
        <v>282</v>
      </c>
      <c r="R28" s="25"/>
      <c r="S28" s="50"/>
      <c r="T28" s="65"/>
      <c r="U28" s="65"/>
      <c r="V28" s="65"/>
      <c r="W28" s="65"/>
      <c r="X28" s="65"/>
      <c r="Y28" s="65"/>
      <c r="Z28" s="65"/>
      <c r="AA28" s="65"/>
    </row>
    <row r="29" spans="1:27" ht="15.75" customHeight="1">
      <c r="A29" s="15" t="s">
        <v>5624</v>
      </c>
      <c r="B29" s="16"/>
      <c r="C29" s="16"/>
      <c r="D29" s="17"/>
      <c r="E29" s="18"/>
      <c r="F29" s="19"/>
      <c r="G29" s="19"/>
      <c r="H29" s="17"/>
      <c r="I29" s="20"/>
      <c r="J29" s="20"/>
      <c r="K29" s="16"/>
      <c r="L29" s="16"/>
      <c r="M29" s="71"/>
      <c r="N29" s="3"/>
      <c r="O29" s="16"/>
      <c r="P29" s="16"/>
      <c r="Q29" s="16"/>
      <c r="R29" s="16"/>
      <c r="S29" s="16"/>
    </row>
    <row r="30" spans="1:27" ht="15.75" customHeight="1">
      <c r="A30" s="355" t="s">
        <v>5625</v>
      </c>
      <c r="B30" s="350" t="s">
        <v>283</v>
      </c>
      <c r="C30" s="31">
        <v>1</v>
      </c>
      <c r="D30" s="355" t="s">
        <v>5626</v>
      </c>
      <c r="E30" s="355" t="s">
        <v>5627</v>
      </c>
      <c r="F30" s="31" t="s">
        <v>5628</v>
      </c>
      <c r="G30" s="31" t="s">
        <v>327</v>
      </c>
      <c r="H30" s="23" t="s">
        <v>5629</v>
      </c>
      <c r="I30" s="23" t="s">
        <v>5630</v>
      </c>
      <c r="J30" s="170"/>
      <c r="K30" s="25"/>
      <c r="L30" s="25"/>
      <c r="M30" s="43"/>
      <c r="N30" s="55"/>
      <c r="O30" s="28"/>
      <c r="P30" s="28"/>
      <c r="Q30" s="50" t="s">
        <v>282</v>
      </c>
      <c r="R30" s="25"/>
      <c r="S30" s="50"/>
      <c r="T30" s="65"/>
      <c r="U30" s="65"/>
      <c r="V30" s="65"/>
      <c r="W30" s="65"/>
      <c r="X30" s="65"/>
      <c r="Y30" s="65"/>
      <c r="Z30" s="65"/>
      <c r="AA30" s="65"/>
    </row>
    <row r="31" spans="1:27" ht="15.75" customHeight="1">
      <c r="A31" s="344"/>
      <c r="B31" s="344"/>
      <c r="C31" s="31">
        <v>2</v>
      </c>
      <c r="D31" s="344"/>
      <c r="E31" s="344"/>
      <c r="F31" s="31" t="s">
        <v>5631</v>
      </c>
      <c r="G31" s="31" t="s">
        <v>327</v>
      </c>
      <c r="H31" s="23" t="s">
        <v>5632</v>
      </c>
      <c r="I31" s="23" t="s">
        <v>5633</v>
      </c>
      <c r="J31" s="170"/>
      <c r="K31" s="25"/>
      <c r="L31" s="25" t="s">
        <v>5634</v>
      </c>
      <c r="M31" s="43"/>
      <c r="N31" s="55"/>
      <c r="O31" s="28"/>
      <c r="P31" s="28"/>
      <c r="Q31" s="50" t="s">
        <v>282</v>
      </c>
      <c r="R31" s="25"/>
      <c r="S31" s="50"/>
      <c r="T31" s="65"/>
      <c r="U31" s="65"/>
      <c r="V31" s="65"/>
      <c r="W31" s="65"/>
      <c r="X31" s="65"/>
      <c r="Y31" s="65"/>
      <c r="Z31" s="65"/>
      <c r="AA31" s="65"/>
    </row>
    <row r="32" spans="1:27" ht="15.75" customHeight="1">
      <c r="A32" s="344"/>
      <c r="B32" s="344"/>
      <c r="C32" s="31">
        <v>3</v>
      </c>
      <c r="D32" s="344"/>
      <c r="E32" s="345"/>
      <c r="F32" s="31" t="s">
        <v>5635</v>
      </c>
      <c r="G32" s="31" t="s">
        <v>327</v>
      </c>
      <c r="H32" s="23" t="s">
        <v>5636</v>
      </c>
      <c r="I32" s="23" t="s">
        <v>5637</v>
      </c>
      <c r="J32" s="170"/>
      <c r="K32" s="25"/>
      <c r="L32" s="25" t="s">
        <v>5634</v>
      </c>
      <c r="M32" s="43"/>
      <c r="N32" s="55"/>
      <c r="O32" s="28"/>
      <c r="P32" s="28"/>
      <c r="Q32" s="50" t="s">
        <v>282</v>
      </c>
      <c r="R32" s="25"/>
      <c r="S32" s="50"/>
      <c r="T32" s="65"/>
      <c r="U32" s="65"/>
      <c r="V32" s="65"/>
      <c r="W32" s="65"/>
      <c r="X32" s="65"/>
      <c r="Y32" s="65"/>
      <c r="Z32" s="65"/>
      <c r="AA32" s="65"/>
    </row>
    <row r="33" spans="1:27" ht="15.75" customHeight="1">
      <c r="A33" s="344"/>
      <c r="B33" s="344"/>
      <c r="C33" s="31">
        <v>4</v>
      </c>
      <c r="D33" s="344"/>
      <c r="E33" s="355" t="s">
        <v>5638</v>
      </c>
      <c r="F33" s="31" t="s">
        <v>5639</v>
      </c>
      <c r="G33" s="31" t="s">
        <v>327</v>
      </c>
      <c r="H33" s="23" t="s">
        <v>5629</v>
      </c>
      <c r="I33" s="23" t="s">
        <v>5630</v>
      </c>
      <c r="J33" s="170"/>
      <c r="K33" s="25"/>
      <c r="L33" s="50"/>
      <c r="M33" s="66"/>
      <c r="N33" s="55"/>
      <c r="O33" s="28"/>
      <c r="P33" s="28"/>
      <c r="Q33" s="50" t="s">
        <v>282</v>
      </c>
      <c r="R33" s="25"/>
      <c r="S33" s="50"/>
      <c r="T33" s="65"/>
      <c r="U33" s="65"/>
      <c r="V33" s="65"/>
      <c r="W33" s="65"/>
      <c r="X33" s="65"/>
      <c r="Y33" s="65"/>
      <c r="Z33" s="65"/>
      <c r="AA33" s="65"/>
    </row>
    <row r="34" spans="1:27" ht="15.75" customHeight="1">
      <c r="A34" s="344"/>
      <c r="B34" s="344"/>
      <c r="C34" s="31">
        <v>5</v>
      </c>
      <c r="D34" s="344"/>
      <c r="E34" s="344"/>
      <c r="F34" s="31" t="s">
        <v>5640</v>
      </c>
      <c r="G34" s="31" t="s">
        <v>327</v>
      </c>
      <c r="H34" s="23" t="s">
        <v>5641</v>
      </c>
      <c r="I34" s="23" t="s">
        <v>5642</v>
      </c>
      <c r="J34" s="170"/>
      <c r="K34" s="25"/>
      <c r="L34" s="25" t="s">
        <v>5634</v>
      </c>
      <c r="M34" s="43"/>
      <c r="N34" s="55"/>
      <c r="O34" s="28"/>
      <c r="P34" s="28"/>
      <c r="Q34" s="50" t="s">
        <v>282</v>
      </c>
      <c r="R34" s="25"/>
      <c r="S34" s="50"/>
      <c r="T34" s="65"/>
      <c r="U34" s="65"/>
      <c r="V34" s="65"/>
      <c r="W34" s="65"/>
      <c r="X34" s="65"/>
      <c r="Y34" s="65"/>
      <c r="Z34" s="65"/>
      <c r="AA34" s="65"/>
    </row>
    <row r="35" spans="1:27" ht="15.75" customHeight="1">
      <c r="A35" s="345"/>
      <c r="B35" s="345"/>
      <c r="C35" s="31">
        <v>6</v>
      </c>
      <c r="D35" s="345"/>
      <c r="E35" s="345"/>
      <c r="F35" s="31" t="s">
        <v>5643</v>
      </c>
      <c r="G35" s="31" t="s">
        <v>327</v>
      </c>
      <c r="H35" s="23" t="s">
        <v>5644</v>
      </c>
      <c r="I35" s="23" t="s">
        <v>5645</v>
      </c>
      <c r="J35" s="170"/>
      <c r="K35" s="25"/>
      <c r="L35" s="25" t="s">
        <v>5634</v>
      </c>
      <c r="M35" s="43"/>
      <c r="N35" s="55"/>
      <c r="O35" s="28"/>
      <c r="P35" s="28"/>
      <c r="Q35" s="50" t="s">
        <v>282</v>
      </c>
      <c r="R35" s="25"/>
      <c r="S35" s="50"/>
      <c r="T35" s="65"/>
      <c r="U35" s="65"/>
      <c r="V35" s="65"/>
      <c r="W35" s="65"/>
      <c r="X35" s="65"/>
      <c r="Y35" s="65"/>
      <c r="Z35" s="65"/>
      <c r="AA35" s="65"/>
    </row>
    <row r="36" spans="1:27" ht="15.75" customHeight="1">
      <c r="A36" s="15" t="s">
        <v>5646</v>
      </c>
      <c r="B36" s="16"/>
      <c r="C36" s="16"/>
      <c r="D36" s="17"/>
      <c r="E36" s="18"/>
      <c r="F36" s="19"/>
      <c r="G36" s="19"/>
      <c r="H36" s="17"/>
      <c r="I36" s="20"/>
      <c r="J36" s="20"/>
      <c r="K36" s="16"/>
      <c r="L36" s="16"/>
      <c r="M36" s="71"/>
      <c r="N36" s="3"/>
      <c r="O36" s="16"/>
      <c r="P36" s="16"/>
      <c r="Q36" s="16"/>
      <c r="R36" s="16"/>
      <c r="S36" s="16"/>
    </row>
    <row r="37" spans="1:27" ht="15.75" customHeight="1">
      <c r="A37" s="355" t="s">
        <v>5647</v>
      </c>
      <c r="B37" s="360" t="s">
        <v>5648</v>
      </c>
      <c r="C37" s="31">
        <v>1</v>
      </c>
      <c r="D37" s="355" t="s">
        <v>5649</v>
      </c>
      <c r="E37" s="23" t="s">
        <v>5650</v>
      </c>
      <c r="F37" s="31" t="s">
        <v>5651</v>
      </c>
      <c r="G37" s="31" t="s">
        <v>327</v>
      </c>
      <c r="H37" s="23" t="s">
        <v>5652</v>
      </c>
      <c r="I37" s="23" t="s">
        <v>5653</v>
      </c>
      <c r="J37" s="170"/>
      <c r="K37" s="25" t="s">
        <v>294</v>
      </c>
      <c r="L37" s="99"/>
      <c r="M37" s="99"/>
      <c r="N37" s="55"/>
      <c r="O37" s="25"/>
      <c r="P37" s="50" t="s">
        <v>140</v>
      </c>
      <c r="Q37" s="50" t="s">
        <v>140</v>
      </c>
      <c r="R37" s="25"/>
      <c r="S37" s="50"/>
      <c r="T37" s="65"/>
      <c r="U37" s="65"/>
      <c r="V37" s="65"/>
      <c r="W37" s="65"/>
      <c r="X37" s="65"/>
      <c r="Y37" s="65"/>
      <c r="Z37" s="65"/>
      <c r="AA37" s="65"/>
    </row>
    <row r="38" spans="1:27" ht="15.75" customHeight="1">
      <c r="A38" s="344"/>
      <c r="B38" s="344"/>
      <c r="C38" s="31">
        <v>2</v>
      </c>
      <c r="D38" s="344"/>
      <c r="E38" s="23" t="s">
        <v>5654</v>
      </c>
      <c r="F38" s="31" t="s">
        <v>5655</v>
      </c>
      <c r="G38" s="31" t="s">
        <v>327</v>
      </c>
      <c r="H38" s="23" t="s">
        <v>5656</v>
      </c>
      <c r="I38" s="23" t="s">
        <v>5657</v>
      </c>
      <c r="J38" s="170"/>
      <c r="K38" s="25" t="s">
        <v>294</v>
      </c>
      <c r="L38" s="99" t="s">
        <v>5658</v>
      </c>
      <c r="M38" s="99"/>
      <c r="N38" s="55"/>
      <c r="O38" s="25"/>
      <c r="P38" s="50" t="s">
        <v>140</v>
      </c>
      <c r="Q38" s="50" t="s">
        <v>140</v>
      </c>
      <c r="R38" s="25"/>
      <c r="S38" s="50"/>
      <c r="T38" s="65"/>
      <c r="U38" s="65"/>
      <c r="V38" s="65"/>
      <c r="W38" s="65"/>
      <c r="X38" s="65"/>
      <c r="Y38" s="65"/>
      <c r="Z38" s="65"/>
      <c r="AA38" s="65"/>
    </row>
    <row r="39" spans="1:27" ht="15.75" customHeight="1">
      <c r="A39" s="344"/>
      <c r="B39" s="344"/>
      <c r="C39" s="31">
        <v>3</v>
      </c>
      <c r="D39" s="344"/>
      <c r="E39" s="23" t="s">
        <v>5659</v>
      </c>
      <c r="F39" s="31" t="s">
        <v>5660</v>
      </c>
      <c r="G39" s="31" t="s">
        <v>327</v>
      </c>
      <c r="H39" s="23" t="s">
        <v>5661</v>
      </c>
      <c r="I39" s="23" t="s">
        <v>5662</v>
      </c>
      <c r="J39" s="170"/>
      <c r="K39" s="25" t="s">
        <v>294</v>
      </c>
      <c r="L39" s="99" t="s">
        <v>5663</v>
      </c>
      <c r="M39" s="99"/>
      <c r="N39" s="55"/>
      <c r="O39" s="25"/>
      <c r="P39" s="50" t="s">
        <v>140</v>
      </c>
      <c r="Q39" s="50" t="s">
        <v>140</v>
      </c>
      <c r="R39" s="25"/>
      <c r="S39" s="50"/>
      <c r="T39" s="65"/>
      <c r="U39" s="65"/>
      <c r="V39" s="65"/>
      <c r="W39" s="65"/>
      <c r="X39" s="65"/>
      <c r="Y39" s="65"/>
      <c r="Z39" s="65"/>
      <c r="AA39" s="65"/>
    </row>
    <row r="40" spans="1:27" ht="15.75" customHeight="1">
      <c r="A40" s="344"/>
      <c r="B40" s="344"/>
      <c r="C40" s="31">
        <v>4</v>
      </c>
      <c r="D40" s="344"/>
      <c r="E40" s="23" t="s">
        <v>5664</v>
      </c>
      <c r="F40" s="234" t="s">
        <v>5660</v>
      </c>
      <c r="G40" s="31" t="s">
        <v>327</v>
      </c>
      <c r="H40" s="23" t="s">
        <v>5665</v>
      </c>
      <c r="I40" s="23" t="s">
        <v>5666</v>
      </c>
      <c r="J40" s="170"/>
      <c r="K40" s="25" t="s">
        <v>294</v>
      </c>
      <c r="L40" s="99"/>
      <c r="M40" s="99"/>
      <c r="N40" s="55"/>
      <c r="O40" s="25"/>
      <c r="P40" s="50" t="s">
        <v>140</v>
      </c>
      <c r="Q40" s="50" t="s">
        <v>140</v>
      </c>
      <c r="R40" s="25"/>
      <c r="S40" s="50"/>
      <c r="T40" s="65"/>
      <c r="U40" s="65"/>
      <c r="V40" s="65"/>
      <c r="W40" s="65"/>
      <c r="X40" s="65"/>
      <c r="Y40" s="65"/>
      <c r="Z40" s="65"/>
      <c r="AA40" s="65"/>
    </row>
    <row r="41" spans="1:27" ht="15.75" customHeight="1">
      <c r="A41" s="344"/>
      <c r="B41" s="344"/>
      <c r="C41" s="31">
        <v>5</v>
      </c>
      <c r="D41" s="344"/>
      <c r="E41" s="23" t="s">
        <v>5667</v>
      </c>
      <c r="F41" s="31" t="s">
        <v>5668</v>
      </c>
      <c r="G41" s="31" t="s">
        <v>327</v>
      </c>
      <c r="H41" s="23" t="s">
        <v>5669</v>
      </c>
      <c r="I41" s="23" t="s">
        <v>5670</v>
      </c>
      <c r="J41" s="170"/>
      <c r="K41" s="25" t="s">
        <v>294</v>
      </c>
      <c r="L41" s="99" t="s">
        <v>5663</v>
      </c>
      <c r="M41" s="99"/>
      <c r="N41" s="55"/>
      <c r="O41" s="25"/>
      <c r="P41" s="50" t="s">
        <v>140</v>
      </c>
      <c r="Q41" s="50" t="s">
        <v>140</v>
      </c>
      <c r="R41" s="25"/>
      <c r="S41" s="50"/>
      <c r="T41" s="65"/>
      <c r="U41" s="65"/>
      <c r="V41" s="65"/>
      <c r="W41" s="65"/>
      <c r="X41" s="65"/>
      <c r="Y41" s="65"/>
      <c r="Z41" s="65"/>
      <c r="AA41" s="65"/>
    </row>
    <row r="42" spans="1:27" ht="15.75" customHeight="1">
      <c r="A42" s="345"/>
      <c r="B42" s="345"/>
      <c r="C42" s="31">
        <v>6</v>
      </c>
      <c r="D42" s="345"/>
      <c r="E42" s="23" t="s">
        <v>5671</v>
      </c>
      <c r="F42" s="31" t="s">
        <v>5672</v>
      </c>
      <c r="G42" s="31" t="s">
        <v>327</v>
      </c>
      <c r="H42" s="102" t="s">
        <v>5673</v>
      </c>
      <c r="I42" s="38" t="s">
        <v>5674</v>
      </c>
      <c r="J42" s="189"/>
      <c r="K42" s="25" t="s">
        <v>294</v>
      </c>
      <c r="L42" s="99" t="s">
        <v>5658</v>
      </c>
      <c r="M42" s="235"/>
      <c r="N42" s="55"/>
      <c r="O42" s="152"/>
      <c r="P42" s="50" t="s">
        <v>140</v>
      </c>
      <c r="Q42" s="50" t="s">
        <v>140</v>
      </c>
      <c r="R42" s="152"/>
      <c r="S42" s="149"/>
      <c r="T42" s="65"/>
      <c r="U42" s="65"/>
      <c r="V42" s="65"/>
      <c r="W42" s="65"/>
      <c r="X42" s="65"/>
      <c r="Y42" s="65"/>
      <c r="Z42" s="65"/>
      <c r="AA42" s="65"/>
    </row>
    <row r="43" spans="1:27" ht="33" customHeight="1">
      <c r="A43" s="366" t="s">
        <v>5675</v>
      </c>
      <c r="B43" s="360" t="s">
        <v>5676</v>
      </c>
      <c r="C43" s="31">
        <v>1</v>
      </c>
      <c r="D43" s="355" t="s">
        <v>5677</v>
      </c>
      <c r="E43" s="23" t="s">
        <v>5650</v>
      </c>
      <c r="F43" s="31" t="s">
        <v>5678</v>
      </c>
      <c r="G43" s="31" t="s">
        <v>327</v>
      </c>
      <c r="H43" s="23" t="s">
        <v>5679</v>
      </c>
      <c r="I43" s="23" t="s">
        <v>5653</v>
      </c>
      <c r="J43" s="170"/>
      <c r="K43" s="25"/>
      <c r="L43" s="99"/>
      <c r="M43" s="99"/>
      <c r="N43" s="55"/>
      <c r="O43" s="25"/>
      <c r="P43" s="50" t="s">
        <v>282</v>
      </c>
      <c r="Q43" s="89" t="s">
        <v>393</v>
      </c>
      <c r="R43" s="25"/>
      <c r="S43" s="50"/>
      <c r="T43" s="65"/>
      <c r="U43" s="65"/>
      <c r="V43" s="65"/>
      <c r="W43" s="65"/>
      <c r="X43" s="65"/>
      <c r="Y43" s="65"/>
      <c r="Z43" s="65"/>
      <c r="AA43" s="65"/>
    </row>
    <row r="44" spans="1:27" ht="15.75" customHeight="1">
      <c r="A44" s="344"/>
      <c r="B44" s="344"/>
      <c r="C44" s="31">
        <v>2</v>
      </c>
      <c r="D44" s="344"/>
      <c r="E44" s="23" t="s">
        <v>5654</v>
      </c>
      <c r="F44" s="31" t="s">
        <v>5680</v>
      </c>
      <c r="G44" s="31" t="s">
        <v>327</v>
      </c>
      <c r="H44" s="23" t="s">
        <v>5681</v>
      </c>
      <c r="I44" s="23" t="s">
        <v>5682</v>
      </c>
      <c r="J44" s="170"/>
      <c r="K44" s="25"/>
      <c r="L44" s="99"/>
      <c r="M44" s="99"/>
      <c r="N44" s="55"/>
      <c r="O44" s="25"/>
      <c r="P44" s="50" t="s">
        <v>282</v>
      </c>
      <c r="Q44" s="89" t="s">
        <v>393</v>
      </c>
      <c r="R44" s="25"/>
      <c r="S44" s="50"/>
      <c r="T44" s="65"/>
      <c r="U44" s="65"/>
      <c r="V44" s="65"/>
      <c r="W44" s="65"/>
      <c r="X44" s="65"/>
      <c r="Y44" s="65"/>
      <c r="Z44" s="65"/>
      <c r="AA44" s="65"/>
    </row>
    <row r="45" spans="1:27" ht="15.75" customHeight="1">
      <c r="A45" s="344"/>
      <c r="B45" s="344"/>
      <c r="C45" s="31">
        <v>3</v>
      </c>
      <c r="D45" s="344"/>
      <c r="E45" s="23" t="s">
        <v>5659</v>
      </c>
      <c r="F45" s="31" t="s">
        <v>5683</v>
      </c>
      <c r="G45" s="31" t="s">
        <v>327</v>
      </c>
      <c r="H45" s="23" t="s">
        <v>5684</v>
      </c>
      <c r="I45" s="23" t="s">
        <v>5685</v>
      </c>
      <c r="J45" s="170"/>
      <c r="K45" s="25"/>
      <c r="L45" s="99"/>
      <c r="M45" s="99"/>
      <c r="N45" s="55"/>
      <c r="O45" s="25"/>
      <c r="P45" s="50" t="s">
        <v>282</v>
      </c>
      <c r="Q45" s="89" t="s">
        <v>393</v>
      </c>
      <c r="R45" s="25"/>
      <c r="S45" s="50"/>
      <c r="T45" s="65"/>
      <c r="U45" s="65"/>
      <c r="V45" s="65"/>
      <c r="W45" s="65"/>
      <c r="X45" s="65"/>
      <c r="Y45" s="65"/>
      <c r="Z45" s="65"/>
      <c r="AA45" s="65"/>
    </row>
    <row r="46" spans="1:27" ht="15.75" customHeight="1">
      <c r="A46" s="344"/>
      <c r="B46" s="344"/>
      <c r="C46" s="31">
        <v>4</v>
      </c>
      <c r="D46" s="344"/>
      <c r="E46" s="23" t="s">
        <v>5664</v>
      </c>
      <c r="F46" s="234" t="s">
        <v>5686</v>
      </c>
      <c r="G46" s="31" t="s">
        <v>327</v>
      </c>
      <c r="H46" s="23" t="s">
        <v>5687</v>
      </c>
      <c r="I46" s="23" t="s">
        <v>5666</v>
      </c>
      <c r="J46" s="170"/>
      <c r="K46" s="25"/>
      <c r="L46" s="99"/>
      <c r="M46" s="99"/>
      <c r="N46" s="55"/>
      <c r="O46" s="25"/>
      <c r="P46" s="50" t="s">
        <v>282</v>
      </c>
      <c r="Q46" s="89" t="s">
        <v>393</v>
      </c>
      <c r="R46" s="25"/>
      <c r="S46" s="50"/>
      <c r="T46" s="65"/>
      <c r="U46" s="65"/>
      <c r="V46" s="65"/>
      <c r="W46" s="65"/>
      <c r="X46" s="65"/>
      <c r="Y46" s="65"/>
      <c r="Z46" s="65"/>
      <c r="AA46" s="65"/>
    </row>
    <row r="47" spans="1:27" ht="15.75" customHeight="1">
      <c r="A47" s="344"/>
      <c r="B47" s="344"/>
      <c r="C47" s="31">
        <v>5</v>
      </c>
      <c r="D47" s="344"/>
      <c r="E47" s="23" t="s">
        <v>5667</v>
      </c>
      <c r="F47" s="31" t="s">
        <v>5668</v>
      </c>
      <c r="G47" s="31" t="s">
        <v>327</v>
      </c>
      <c r="H47" s="23" t="s">
        <v>5669</v>
      </c>
      <c r="I47" s="23" t="s">
        <v>5670</v>
      </c>
      <c r="J47" s="170"/>
      <c r="K47" s="25"/>
      <c r="L47" s="99"/>
      <c r="M47" s="99"/>
      <c r="N47" s="55"/>
      <c r="O47" s="25"/>
      <c r="P47" s="50" t="s">
        <v>282</v>
      </c>
      <c r="Q47" s="89" t="s">
        <v>393</v>
      </c>
      <c r="R47" s="25"/>
      <c r="S47" s="50"/>
      <c r="T47" s="65"/>
      <c r="U47" s="65"/>
      <c r="V47" s="65"/>
      <c r="W47" s="65"/>
      <c r="X47" s="65"/>
      <c r="Y47" s="65"/>
      <c r="Z47" s="65"/>
      <c r="AA47" s="65"/>
    </row>
    <row r="48" spans="1:27" ht="15.75" customHeight="1">
      <c r="A48" s="345"/>
      <c r="B48" s="345"/>
      <c r="C48" s="31">
        <v>6</v>
      </c>
      <c r="D48" s="345"/>
      <c r="E48" s="23" t="s">
        <v>5671</v>
      </c>
      <c r="F48" s="31" t="s">
        <v>5672</v>
      </c>
      <c r="G48" s="31" t="s">
        <v>327</v>
      </c>
      <c r="H48" s="23" t="s">
        <v>5673</v>
      </c>
      <c r="I48" s="23" t="s">
        <v>5674</v>
      </c>
      <c r="J48" s="170"/>
      <c r="K48" s="25"/>
      <c r="L48" s="99"/>
      <c r="M48" s="99"/>
      <c r="N48" s="55"/>
      <c r="O48" s="25"/>
      <c r="P48" s="50" t="s">
        <v>282</v>
      </c>
      <c r="Q48" s="89" t="s">
        <v>393</v>
      </c>
      <c r="R48" s="25"/>
      <c r="S48" s="50"/>
      <c r="T48" s="65"/>
      <c r="U48" s="65"/>
      <c r="V48" s="65"/>
      <c r="W48" s="65"/>
      <c r="X48" s="65"/>
      <c r="Y48" s="65"/>
      <c r="Z48" s="65"/>
      <c r="AA48" s="65"/>
    </row>
    <row r="49" spans="1:27" ht="15.75" customHeight="1">
      <c r="A49" s="15" t="s">
        <v>5688</v>
      </c>
      <c r="B49" s="16"/>
      <c r="C49" s="16"/>
      <c r="D49" s="17"/>
      <c r="E49" s="18"/>
      <c r="F49" s="19"/>
      <c r="G49" s="19"/>
      <c r="H49" s="17"/>
      <c r="I49" s="20"/>
      <c r="J49" s="20"/>
      <c r="K49" s="16"/>
      <c r="L49" s="16"/>
      <c r="M49" s="71"/>
      <c r="N49" s="3"/>
      <c r="O49" s="16"/>
      <c r="P49" s="16"/>
      <c r="Q49" s="16"/>
      <c r="R49" s="16"/>
      <c r="S49" s="16"/>
    </row>
    <row r="50" spans="1:27" ht="15.75" customHeight="1">
      <c r="A50" s="355" t="s">
        <v>5689</v>
      </c>
      <c r="B50" s="350" t="s">
        <v>215</v>
      </c>
      <c r="C50" s="31">
        <v>1</v>
      </c>
      <c r="D50" s="407" t="s">
        <v>5690</v>
      </c>
      <c r="E50" s="236" t="s">
        <v>5691</v>
      </c>
      <c r="F50" s="31" t="s">
        <v>361</v>
      </c>
      <c r="G50" s="31" t="s">
        <v>2234</v>
      </c>
      <c r="H50" s="237" t="s">
        <v>5692</v>
      </c>
      <c r="I50" s="237" t="s">
        <v>5693</v>
      </c>
      <c r="J50" s="441"/>
      <c r="K50" s="25" t="s">
        <v>294</v>
      </c>
      <c r="L50" s="26"/>
      <c r="M50" s="43"/>
      <c r="N50" s="55"/>
      <c r="O50" s="25"/>
      <c r="P50" s="50" t="s">
        <v>140</v>
      </c>
      <c r="Q50" s="50" t="s">
        <v>140</v>
      </c>
      <c r="R50" s="25"/>
      <c r="S50" s="50"/>
      <c r="T50" s="65"/>
      <c r="U50" s="65"/>
      <c r="V50" s="65"/>
      <c r="W50" s="65"/>
      <c r="X50" s="65"/>
      <c r="Y50" s="65"/>
      <c r="Z50" s="65"/>
      <c r="AA50" s="65"/>
    </row>
    <row r="51" spans="1:27" ht="15.75" customHeight="1">
      <c r="A51" s="344"/>
      <c r="B51" s="344"/>
      <c r="C51" s="31">
        <v>2</v>
      </c>
      <c r="D51" s="348"/>
      <c r="E51" s="23" t="s">
        <v>5694</v>
      </c>
      <c r="F51" s="31" t="s">
        <v>361</v>
      </c>
      <c r="G51" s="238" t="s">
        <v>327</v>
      </c>
      <c r="H51" s="237" t="s">
        <v>5695</v>
      </c>
      <c r="I51" s="237" t="s">
        <v>5693</v>
      </c>
      <c r="J51" s="441"/>
      <c r="K51" s="25" t="s">
        <v>294</v>
      </c>
      <c r="L51" s="26"/>
      <c r="M51" s="43"/>
      <c r="N51" s="55"/>
      <c r="O51" s="25"/>
      <c r="P51" s="25"/>
      <c r="Q51" s="50" t="s">
        <v>140</v>
      </c>
      <c r="R51" s="25"/>
      <c r="S51" s="50"/>
      <c r="T51" s="65"/>
      <c r="U51" s="65"/>
      <c r="V51" s="65"/>
      <c r="W51" s="65"/>
      <c r="X51" s="65"/>
      <c r="Y51" s="65"/>
      <c r="Z51" s="65"/>
      <c r="AA51" s="65"/>
    </row>
    <row r="52" spans="1:27" ht="15.75" customHeight="1">
      <c r="A52" s="344"/>
      <c r="B52" s="344"/>
      <c r="C52" s="31">
        <v>3</v>
      </c>
      <c r="D52" s="348"/>
      <c r="E52" s="23" t="s">
        <v>5696</v>
      </c>
      <c r="F52" s="31" t="s">
        <v>361</v>
      </c>
      <c r="G52" s="238" t="s">
        <v>2234</v>
      </c>
      <c r="H52" s="237" t="s">
        <v>5697</v>
      </c>
      <c r="I52" s="237" t="s">
        <v>5693</v>
      </c>
      <c r="J52" s="441"/>
      <c r="K52" s="25" t="s">
        <v>294</v>
      </c>
      <c r="L52" s="26"/>
      <c r="M52" s="43"/>
      <c r="N52" s="55"/>
      <c r="O52" s="25"/>
      <c r="P52" s="25"/>
      <c r="Q52" s="50" t="s">
        <v>140</v>
      </c>
      <c r="R52" s="25"/>
      <c r="S52" s="50"/>
      <c r="T52" s="65"/>
      <c r="U52" s="65"/>
      <c r="V52" s="65"/>
      <c r="W52" s="65"/>
      <c r="X52" s="65"/>
      <c r="Y52" s="65"/>
      <c r="Z52" s="65"/>
      <c r="AA52" s="65"/>
    </row>
    <row r="53" spans="1:27" ht="15.75" customHeight="1">
      <c r="A53" s="344"/>
      <c r="B53" s="344"/>
      <c r="C53" s="31">
        <v>4</v>
      </c>
      <c r="D53" s="348"/>
      <c r="E53" s="23" t="s">
        <v>5698</v>
      </c>
      <c r="F53" s="31" t="s">
        <v>361</v>
      </c>
      <c r="G53" s="238" t="s">
        <v>2234</v>
      </c>
      <c r="H53" s="237" t="s">
        <v>5699</v>
      </c>
      <c r="I53" s="237" t="s">
        <v>5693</v>
      </c>
      <c r="J53" s="441"/>
      <c r="K53" s="25"/>
      <c r="L53" s="26"/>
      <c r="M53" s="43"/>
      <c r="N53" s="55"/>
      <c r="O53" s="25"/>
      <c r="P53" s="25"/>
      <c r="Q53" s="50" t="s">
        <v>282</v>
      </c>
      <c r="R53" s="25"/>
      <c r="S53" s="50"/>
      <c r="T53" s="65"/>
      <c r="U53" s="65"/>
      <c r="V53" s="65"/>
      <c r="W53" s="65"/>
      <c r="X53" s="65"/>
      <c r="Y53" s="65"/>
      <c r="Z53" s="65"/>
      <c r="AA53" s="65"/>
    </row>
    <row r="54" spans="1:27" ht="15.75" customHeight="1">
      <c r="A54" s="344"/>
      <c r="B54" s="344"/>
      <c r="C54" s="31">
        <v>5</v>
      </c>
      <c r="D54" s="348"/>
      <c r="E54" s="23" t="s">
        <v>5700</v>
      </c>
      <c r="F54" s="31" t="s">
        <v>361</v>
      </c>
      <c r="G54" s="238" t="s">
        <v>2234</v>
      </c>
      <c r="H54" s="237" t="s">
        <v>5701</v>
      </c>
      <c r="I54" s="237" t="s">
        <v>5693</v>
      </c>
      <c r="J54" s="441"/>
      <c r="K54" s="25"/>
      <c r="L54" s="26"/>
      <c r="M54" s="43"/>
      <c r="N54" s="55"/>
      <c r="O54" s="25"/>
      <c r="P54" s="25"/>
      <c r="Q54" s="50" t="s">
        <v>282</v>
      </c>
      <c r="R54" s="25"/>
      <c r="S54" s="50"/>
      <c r="T54" s="65"/>
      <c r="U54" s="65"/>
      <c r="V54" s="65"/>
      <c r="W54" s="65"/>
      <c r="X54" s="65"/>
      <c r="Y54" s="65"/>
      <c r="Z54" s="65"/>
      <c r="AA54" s="65"/>
    </row>
    <row r="55" spans="1:27" ht="15.75" customHeight="1">
      <c r="A55" s="344"/>
      <c r="B55" s="344"/>
      <c r="C55" s="31">
        <v>6</v>
      </c>
      <c r="D55" s="348"/>
      <c r="E55" s="23" t="s">
        <v>5702</v>
      </c>
      <c r="F55" s="31" t="s">
        <v>361</v>
      </c>
      <c r="G55" s="238" t="s">
        <v>2234</v>
      </c>
      <c r="H55" s="237" t="s">
        <v>5703</v>
      </c>
      <c r="I55" s="237" t="s">
        <v>5693</v>
      </c>
      <c r="J55" s="441"/>
      <c r="K55" s="25"/>
      <c r="L55" s="26"/>
      <c r="M55" s="43"/>
      <c r="N55" s="55"/>
      <c r="O55" s="25"/>
      <c r="P55" s="25"/>
      <c r="Q55" s="50" t="s">
        <v>282</v>
      </c>
      <c r="R55" s="25"/>
      <c r="S55" s="50"/>
      <c r="T55" s="65"/>
      <c r="U55" s="65"/>
      <c r="V55" s="65"/>
      <c r="W55" s="65"/>
      <c r="X55" s="65"/>
      <c r="Y55" s="65"/>
      <c r="Z55" s="65"/>
      <c r="AA55" s="65"/>
    </row>
    <row r="56" spans="1:27" ht="15.75" customHeight="1">
      <c r="A56" s="352"/>
      <c r="B56" s="352"/>
      <c r="C56" s="86">
        <v>7</v>
      </c>
      <c r="D56" s="408"/>
      <c r="E56" s="239" t="s">
        <v>5704</v>
      </c>
      <c r="F56" s="86" t="s">
        <v>361</v>
      </c>
      <c r="G56" s="86" t="s">
        <v>2234</v>
      </c>
      <c r="H56" s="240" t="s">
        <v>5705</v>
      </c>
      <c r="I56" s="241" t="s">
        <v>5693</v>
      </c>
      <c r="J56" s="442"/>
      <c r="K56" s="25"/>
      <c r="L56" s="26"/>
      <c r="M56" s="43"/>
      <c r="N56" s="55"/>
      <c r="O56" s="25"/>
      <c r="P56" s="25"/>
      <c r="Q56" s="50" t="s">
        <v>282</v>
      </c>
      <c r="R56" s="25" t="s">
        <v>305</v>
      </c>
      <c r="S56" s="50"/>
      <c r="T56" s="65"/>
      <c r="U56" s="65"/>
      <c r="V56" s="65"/>
      <c r="W56" s="65"/>
      <c r="X56" s="65"/>
      <c r="Y56" s="65"/>
      <c r="Z56" s="65"/>
      <c r="AA56" s="65"/>
    </row>
    <row r="57" spans="1:27" ht="15.75" customHeight="1">
      <c r="A57" s="352"/>
      <c r="B57" s="352"/>
      <c r="C57" s="86">
        <v>8</v>
      </c>
      <c r="D57" s="408"/>
      <c r="E57" s="175" t="s">
        <v>5706</v>
      </c>
      <c r="F57" s="86" t="s">
        <v>361</v>
      </c>
      <c r="G57" s="174" t="s">
        <v>327</v>
      </c>
      <c r="H57" s="240" t="s">
        <v>5707</v>
      </c>
      <c r="I57" s="241" t="s">
        <v>5693</v>
      </c>
      <c r="J57" s="442"/>
      <c r="K57" s="25"/>
      <c r="L57" s="26"/>
      <c r="M57" s="43"/>
      <c r="N57" s="55"/>
      <c r="O57" s="25"/>
      <c r="P57" s="25"/>
      <c r="Q57" s="50" t="s">
        <v>282</v>
      </c>
      <c r="R57" s="25" t="s">
        <v>305</v>
      </c>
      <c r="S57" s="50"/>
      <c r="T57" s="65"/>
      <c r="U57" s="65"/>
      <c r="V57" s="65"/>
      <c r="W57" s="65"/>
      <c r="X57" s="65"/>
      <c r="Y57" s="65"/>
      <c r="Z57" s="65"/>
      <c r="AA57" s="65"/>
    </row>
    <row r="58" spans="1:27" ht="15.75" customHeight="1">
      <c r="A58" s="352"/>
      <c r="B58" s="352"/>
      <c r="C58" s="86">
        <v>9</v>
      </c>
      <c r="D58" s="408"/>
      <c r="E58" s="175" t="s">
        <v>5708</v>
      </c>
      <c r="F58" s="86" t="s">
        <v>361</v>
      </c>
      <c r="G58" s="174" t="s">
        <v>2234</v>
      </c>
      <c r="H58" s="240" t="s">
        <v>5709</v>
      </c>
      <c r="I58" s="241" t="s">
        <v>5693</v>
      </c>
      <c r="J58" s="442"/>
      <c r="K58" s="25"/>
      <c r="L58" s="26"/>
      <c r="M58" s="43"/>
      <c r="N58" s="55"/>
      <c r="O58" s="25"/>
      <c r="P58" s="25"/>
      <c r="Q58" s="50" t="s">
        <v>282</v>
      </c>
      <c r="R58" s="25" t="s">
        <v>305</v>
      </c>
      <c r="S58" s="50"/>
      <c r="T58" s="65"/>
      <c r="U58" s="65"/>
      <c r="V58" s="65"/>
      <c r="W58" s="65"/>
      <c r="X58" s="65"/>
      <c r="Y58" s="65"/>
      <c r="Z58" s="65"/>
      <c r="AA58" s="65"/>
    </row>
    <row r="59" spans="1:27" ht="15.75" customHeight="1">
      <c r="A59" s="352"/>
      <c r="B59" s="352"/>
      <c r="C59" s="86">
        <v>10</v>
      </c>
      <c r="D59" s="408"/>
      <c r="E59" s="175" t="s">
        <v>5710</v>
      </c>
      <c r="F59" s="86" t="s">
        <v>361</v>
      </c>
      <c r="G59" s="174" t="s">
        <v>2234</v>
      </c>
      <c r="H59" s="240" t="s">
        <v>5711</v>
      </c>
      <c r="I59" s="241" t="s">
        <v>5693</v>
      </c>
      <c r="J59" s="442"/>
      <c r="K59" s="25"/>
      <c r="L59" s="26"/>
      <c r="M59" s="43"/>
      <c r="N59" s="55"/>
      <c r="O59" s="25"/>
      <c r="P59" s="25"/>
      <c r="Q59" s="50" t="s">
        <v>282</v>
      </c>
      <c r="R59" s="25" t="s">
        <v>305</v>
      </c>
      <c r="S59" s="50"/>
      <c r="T59" s="65"/>
      <c r="U59" s="65"/>
      <c r="V59" s="65"/>
      <c r="W59" s="65"/>
      <c r="X59" s="65"/>
      <c r="Y59" s="65"/>
      <c r="Z59" s="65"/>
      <c r="AA59" s="65"/>
    </row>
    <row r="60" spans="1:27" ht="15.75" customHeight="1">
      <c r="A60" s="352"/>
      <c r="B60" s="353"/>
      <c r="C60" s="86">
        <v>11</v>
      </c>
      <c r="D60" s="409"/>
      <c r="E60" s="175" t="s">
        <v>5712</v>
      </c>
      <c r="F60" s="86" t="s">
        <v>361</v>
      </c>
      <c r="G60" s="174" t="s">
        <v>2234</v>
      </c>
      <c r="H60" s="240" t="s">
        <v>5713</v>
      </c>
      <c r="I60" s="241" t="s">
        <v>5693</v>
      </c>
      <c r="J60" s="442"/>
      <c r="K60" s="25"/>
      <c r="L60" s="26"/>
      <c r="M60" s="43"/>
      <c r="N60" s="55"/>
      <c r="O60" s="25"/>
      <c r="P60" s="25"/>
      <c r="Q60" s="50" t="s">
        <v>282</v>
      </c>
      <c r="R60" s="25" t="s">
        <v>305</v>
      </c>
      <c r="S60" s="50"/>
      <c r="T60" s="65"/>
      <c r="U60" s="65"/>
      <c r="V60" s="65"/>
      <c r="W60" s="65"/>
      <c r="X60" s="65"/>
      <c r="Y60" s="65"/>
      <c r="Z60" s="65"/>
      <c r="AA60" s="65"/>
    </row>
    <row r="61" spans="1:27" ht="15.75" customHeight="1">
      <c r="A61" s="402" t="s">
        <v>5714</v>
      </c>
      <c r="B61" s="350" t="s">
        <v>216</v>
      </c>
      <c r="C61" s="61">
        <v>1</v>
      </c>
      <c r="D61" s="381" t="s">
        <v>5715</v>
      </c>
      <c r="E61" s="63" t="s">
        <v>5716</v>
      </c>
      <c r="F61" s="61" t="s">
        <v>361</v>
      </c>
      <c r="G61" s="242" t="s">
        <v>2234</v>
      </c>
      <c r="H61" s="241" t="s">
        <v>5717</v>
      </c>
      <c r="I61" s="241" t="s">
        <v>5693</v>
      </c>
      <c r="J61" s="442"/>
      <c r="K61" s="25" t="s">
        <v>294</v>
      </c>
      <c r="L61" s="26"/>
      <c r="M61" s="43"/>
      <c r="N61" s="55"/>
      <c r="O61" s="25"/>
      <c r="P61" s="25"/>
      <c r="Q61" s="50" t="s">
        <v>140</v>
      </c>
      <c r="R61" s="25"/>
      <c r="S61" s="50"/>
      <c r="T61" s="65"/>
      <c r="U61" s="65"/>
      <c r="V61" s="65"/>
      <c r="W61" s="65"/>
      <c r="X61" s="65"/>
      <c r="Y61" s="65"/>
      <c r="Z61" s="65"/>
      <c r="AA61" s="65"/>
    </row>
    <row r="62" spans="1:27" ht="15.75" customHeight="1">
      <c r="A62" s="344"/>
      <c r="B62" s="344"/>
      <c r="C62" s="61">
        <v>2</v>
      </c>
      <c r="D62" s="344"/>
      <c r="E62" s="63" t="s">
        <v>5718</v>
      </c>
      <c r="F62" s="61" t="s">
        <v>361</v>
      </c>
      <c r="G62" s="242" t="s">
        <v>2234</v>
      </c>
      <c r="H62" s="241" t="s">
        <v>5719</v>
      </c>
      <c r="I62" s="241" t="s">
        <v>5693</v>
      </c>
      <c r="J62" s="442"/>
      <c r="K62" s="25" t="s">
        <v>294</v>
      </c>
      <c r="L62" s="26"/>
      <c r="M62" s="43"/>
      <c r="N62" s="55"/>
      <c r="O62" s="25"/>
      <c r="P62" s="25"/>
      <c r="Q62" s="50" t="s">
        <v>140</v>
      </c>
      <c r="R62" s="25"/>
      <c r="S62" s="50"/>
      <c r="T62" s="65"/>
      <c r="U62" s="65"/>
      <c r="V62" s="65"/>
      <c r="W62" s="65"/>
      <c r="X62" s="65"/>
      <c r="Y62" s="65"/>
      <c r="Z62" s="65"/>
      <c r="AA62" s="65"/>
    </row>
    <row r="63" spans="1:27" ht="15.75" customHeight="1">
      <c r="A63" s="344"/>
      <c r="B63" s="344"/>
      <c r="C63" s="61">
        <v>3</v>
      </c>
      <c r="D63" s="344"/>
      <c r="E63" s="63" t="s">
        <v>5720</v>
      </c>
      <c r="F63" s="61" t="s">
        <v>361</v>
      </c>
      <c r="G63" s="242" t="s">
        <v>2234</v>
      </c>
      <c r="H63" s="241" t="s">
        <v>5721</v>
      </c>
      <c r="I63" s="241" t="s">
        <v>5693</v>
      </c>
      <c r="J63" s="442"/>
      <c r="K63" s="25" t="s">
        <v>294</v>
      </c>
      <c r="L63" s="26"/>
      <c r="M63" s="43"/>
      <c r="N63" s="55"/>
      <c r="O63" s="25"/>
      <c r="P63" s="25"/>
      <c r="Q63" s="50" t="s">
        <v>140</v>
      </c>
      <c r="R63" s="25"/>
      <c r="S63" s="50"/>
      <c r="T63" s="65"/>
      <c r="U63" s="65"/>
      <c r="V63" s="65"/>
      <c r="W63" s="65"/>
      <c r="X63" s="65"/>
      <c r="Y63" s="65"/>
      <c r="Z63" s="65"/>
      <c r="AA63" s="65"/>
    </row>
    <row r="64" spans="1:27" ht="15.75" customHeight="1">
      <c r="A64" s="344"/>
      <c r="B64" s="344"/>
      <c r="C64" s="61">
        <v>4</v>
      </c>
      <c r="D64" s="344"/>
      <c r="E64" s="63" t="s">
        <v>5722</v>
      </c>
      <c r="F64" s="61" t="s">
        <v>361</v>
      </c>
      <c r="G64" s="242" t="s">
        <v>2234</v>
      </c>
      <c r="H64" s="241" t="s">
        <v>5723</v>
      </c>
      <c r="I64" s="241" t="s">
        <v>5693</v>
      </c>
      <c r="J64" s="442"/>
      <c r="K64" s="25" t="s">
        <v>294</v>
      </c>
      <c r="L64" s="26"/>
      <c r="M64" s="43"/>
      <c r="N64" s="55"/>
      <c r="O64" s="25"/>
      <c r="P64" s="25"/>
      <c r="Q64" s="50" t="s">
        <v>140</v>
      </c>
      <c r="R64" s="25"/>
      <c r="S64" s="50"/>
      <c r="T64" s="65"/>
      <c r="U64" s="65"/>
      <c r="V64" s="65"/>
      <c r="W64" s="65"/>
      <c r="X64" s="65"/>
      <c r="Y64" s="65"/>
      <c r="Z64" s="65"/>
      <c r="AA64" s="65"/>
    </row>
    <row r="65" spans="1:27" ht="15.75" customHeight="1">
      <c r="A65" s="344"/>
      <c r="B65" s="344"/>
      <c r="C65" s="61">
        <v>5</v>
      </c>
      <c r="D65" s="344"/>
      <c r="E65" s="63" t="s">
        <v>5724</v>
      </c>
      <c r="F65" s="61" t="s">
        <v>361</v>
      </c>
      <c r="G65" s="242" t="s">
        <v>2234</v>
      </c>
      <c r="H65" s="241" t="s">
        <v>5725</v>
      </c>
      <c r="I65" s="241" t="s">
        <v>5693</v>
      </c>
      <c r="J65" s="442"/>
      <c r="K65" s="25"/>
      <c r="L65" s="26"/>
      <c r="M65" s="43"/>
      <c r="N65" s="55"/>
      <c r="O65" s="25"/>
      <c r="P65" s="25"/>
      <c r="Q65" s="50" t="s">
        <v>282</v>
      </c>
      <c r="R65" s="25"/>
      <c r="S65" s="50"/>
      <c r="T65" s="65"/>
      <c r="U65" s="65"/>
      <c r="V65" s="65"/>
      <c r="W65" s="65"/>
      <c r="X65" s="65"/>
      <c r="Y65" s="65"/>
      <c r="Z65" s="65"/>
      <c r="AA65" s="65"/>
    </row>
    <row r="66" spans="1:27" ht="15.75" customHeight="1">
      <c r="A66" s="344"/>
      <c r="B66" s="344"/>
      <c r="C66" s="61">
        <v>6</v>
      </c>
      <c r="D66" s="344"/>
      <c r="E66" s="63" t="s">
        <v>5726</v>
      </c>
      <c r="F66" s="61" t="s">
        <v>361</v>
      </c>
      <c r="G66" s="242" t="s">
        <v>2234</v>
      </c>
      <c r="H66" s="241" t="s">
        <v>5727</v>
      </c>
      <c r="I66" s="241" t="s">
        <v>5693</v>
      </c>
      <c r="J66" s="442"/>
      <c r="K66" s="25"/>
      <c r="L66" s="26"/>
      <c r="M66" s="43"/>
      <c r="N66" s="55"/>
      <c r="O66" s="25"/>
      <c r="P66" s="25"/>
      <c r="Q66" s="50" t="s">
        <v>282</v>
      </c>
      <c r="R66" s="25"/>
      <c r="S66" s="50"/>
      <c r="T66" s="65"/>
      <c r="U66" s="65"/>
      <c r="V66" s="65"/>
      <c r="W66" s="65"/>
      <c r="X66" s="65"/>
      <c r="Y66" s="65"/>
      <c r="Z66" s="65"/>
      <c r="AA66" s="65"/>
    </row>
    <row r="67" spans="1:27" ht="15.75" customHeight="1">
      <c r="A67" s="344"/>
      <c r="B67" s="344"/>
      <c r="C67" s="61">
        <v>7</v>
      </c>
      <c r="D67" s="344"/>
      <c r="E67" s="63" t="s">
        <v>5728</v>
      </c>
      <c r="F67" s="61" t="s">
        <v>361</v>
      </c>
      <c r="G67" s="242" t="s">
        <v>2234</v>
      </c>
      <c r="H67" s="241" t="s">
        <v>5729</v>
      </c>
      <c r="I67" s="241" t="s">
        <v>5693</v>
      </c>
      <c r="J67" s="442"/>
      <c r="K67" s="25"/>
      <c r="L67" s="26"/>
      <c r="M67" s="389"/>
      <c r="N67" s="55"/>
      <c r="O67" s="25"/>
      <c r="P67" s="25"/>
      <c r="Q67" s="50" t="s">
        <v>282</v>
      </c>
      <c r="R67" s="25"/>
      <c r="S67" s="50"/>
      <c r="T67" s="65"/>
      <c r="U67" s="65"/>
      <c r="V67" s="65"/>
      <c r="W67" s="65"/>
      <c r="X67" s="65"/>
      <c r="Y67" s="65"/>
      <c r="Z67" s="65"/>
      <c r="AA67" s="65"/>
    </row>
    <row r="68" spans="1:27" ht="15.75" customHeight="1">
      <c r="A68" s="344"/>
      <c r="B68" s="344"/>
      <c r="C68" s="61">
        <v>8</v>
      </c>
      <c r="D68" s="344"/>
      <c r="E68" s="63" t="s">
        <v>5730</v>
      </c>
      <c r="F68" s="61" t="s">
        <v>361</v>
      </c>
      <c r="G68" s="242" t="s">
        <v>2234</v>
      </c>
      <c r="H68" s="241" t="s">
        <v>5731</v>
      </c>
      <c r="I68" s="241" t="s">
        <v>5693</v>
      </c>
      <c r="J68" s="442"/>
      <c r="K68" s="25"/>
      <c r="L68" s="26"/>
      <c r="M68" s="345"/>
      <c r="N68" s="55"/>
      <c r="O68" s="25"/>
      <c r="P68" s="25"/>
      <c r="Q68" s="50" t="s">
        <v>282</v>
      </c>
      <c r="R68" s="25"/>
      <c r="S68" s="50"/>
      <c r="T68" s="65"/>
      <c r="U68" s="65"/>
      <c r="V68" s="65"/>
      <c r="W68" s="65"/>
      <c r="X68" s="65"/>
      <c r="Y68" s="65"/>
      <c r="Z68" s="65"/>
      <c r="AA68" s="65"/>
    </row>
    <row r="69" spans="1:27" ht="15.75" customHeight="1">
      <c r="A69" s="344"/>
      <c r="B69" s="344"/>
      <c r="C69" s="61">
        <v>9</v>
      </c>
      <c r="D69" s="344"/>
      <c r="E69" s="63" t="s">
        <v>5732</v>
      </c>
      <c r="F69" s="61" t="s">
        <v>361</v>
      </c>
      <c r="G69" s="242" t="s">
        <v>2234</v>
      </c>
      <c r="H69" s="241" t="s">
        <v>5733</v>
      </c>
      <c r="I69" s="241" t="s">
        <v>5693</v>
      </c>
      <c r="J69" s="442"/>
      <c r="K69" s="25" t="s">
        <v>294</v>
      </c>
      <c r="L69" s="26"/>
      <c r="M69" s="43"/>
      <c r="N69" s="55"/>
      <c r="O69" s="25"/>
      <c r="P69" s="25"/>
      <c r="Q69" s="50" t="s">
        <v>140</v>
      </c>
      <c r="R69" s="25"/>
      <c r="S69" s="50"/>
      <c r="T69" s="65"/>
      <c r="U69" s="65"/>
      <c r="V69" s="65"/>
      <c r="W69" s="65"/>
      <c r="X69" s="65"/>
      <c r="Y69" s="65"/>
      <c r="Z69" s="65"/>
      <c r="AA69" s="65"/>
    </row>
    <row r="70" spans="1:27" ht="15.75" customHeight="1">
      <c r="A70" s="344"/>
      <c r="B70" s="344"/>
      <c r="C70" s="61">
        <v>10</v>
      </c>
      <c r="D70" s="344"/>
      <c r="E70" s="63" t="s">
        <v>5734</v>
      </c>
      <c r="F70" s="61" t="s">
        <v>361</v>
      </c>
      <c r="G70" s="242" t="s">
        <v>2234</v>
      </c>
      <c r="H70" s="241" t="s">
        <v>5734</v>
      </c>
      <c r="I70" s="241" t="s">
        <v>5693</v>
      </c>
      <c r="J70" s="442"/>
      <c r="K70" s="25" t="s">
        <v>294</v>
      </c>
      <c r="L70" s="26"/>
      <c r="M70" s="43"/>
      <c r="N70" s="55"/>
      <c r="O70" s="25"/>
      <c r="P70" s="25"/>
      <c r="Q70" s="50" t="s">
        <v>140</v>
      </c>
      <c r="R70" s="25"/>
      <c r="S70" s="50"/>
      <c r="T70" s="65"/>
      <c r="U70" s="65"/>
      <c r="V70" s="65"/>
      <c r="W70" s="65"/>
      <c r="X70" s="65"/>
      <c r="Y70" s="65"/>
      <c r="Z70" s="65"/>
      <c r="AA70" s="65"/>
    </row>
    <row r="71" spans="1:27" ht="15.75" customHeight="1">
      <c r="A71" s="352"/>
      <c r="B71" s="352"/>
      <c r="C71" s="86">
        <v>11</v>
      </c>
      <c r="D71" s="352"/>
      <c r="E71" s="175" t="s">
        <v>5735</v>
      </c>
      <c r="F71" s="86" t="s">
        <v>361</v>
      </c>
      <c r="G71" s="174" t="s">
        <v>2234</v>
      </c>
      <c r="H71" s="240" t="s">
        <v>5736</v>
      </c>
      <c r="I71" s="241" t="s">
        <v>5693</v>
      </c>
      <c r="J71" s="442"/>
      <c r="K71" s="25"/>
      <c r="L71" s="26"/>
      <c r="M71" s="43"/>
      <c r="N71" s="55"/>
      <c r="O71" s="25"/>
      <c r="P71" s="25"/>
      <c r="Q71" s="50" t="s">
        <v>282</v>
      </c>
      <c r="R71" s="25" t="s">
        <v>305</v>
      </c>
      <c r="S71" s="50"/>
      <c r="T71" s="65"/>
      <c r="U71" s="65"/>
      <c r="V71" s="65"/>
      <c r="W71" s="65"/>
      <c r="X71" s="65"/>
      <c r="Y71" s="65"/>
      <c r="Z71" s="65"/>
      <c r="AA71" s="65"/>
    </row>
    <row r="72" spans="1:27" ht="15.75" customHeight="1">
      <c r="A72" s="352"/>
      <c r="B72" s="352"/>
      <c r="C72" s="86">
        <v>12</v>
      </c>
      <c r="D72" s="352"/>
      <c r="E72" s="175" t="s">
        <v>5737</v>
      </c>
      <c r="F72" s="86" t="s">
        <v>361</v>
      </c>
      <c r="G72" s="174" t="s">
        <v>2234</v>
      </c>
      <c r="H72" s="240" t="s">
        <v>5738</v>
      </c>
      <c r="I72" s="241" t="s">
        <v>5693</v>
      </c>
      <c r="J72" s="442"/>
      <c r="K72" s="25"/>
      <c r="L72" s="26"/>
      <c r="M72" s="43"/>
      <c r="N72" s="55"/>
      <c r="O72" s="25"/>
      <c r="P72" s="25"/>
      <c r="Q72" s="50" t="s">
        <v>282</v>
      </c>
      <c r="R72" s="25" t="s">
        <v>305</v>
      </c>
      <c r="S72" s="50"/>
      <c r="T72" s="65"/>
      <c r="U72" s="65"/>
      <c r="V72" s="65"/>
      <c r="W72" s="65"/>
      <c r="X72" s="65"/>
      <c r="Y72" s="65"/>
      <c r="Z72" s="65"/>
      <c r="AA72" s="65"/>
    </row>
    <row r="73" spans="1:27" ht="15.75" customHeight="1">
      <c r="A73" s="352"/>
      <c r="B73" s="352"/>
      <c r="C73" s="86">
        <v>13</v>
      </c>
      <c r="D73" s="352"/>
      <c r="E73" s="175" t="s">
        <v>5739</v>
      </c>
      <c r="F73" s="86" t="s">
        <v>361</v>
      </c>
      <c r="G73" s="174" t="s">
        <v>2234</v>
      </c>
      <c r="H73" s="240" t="s">
        <v>5740</v>
      </c>
      <c r="I73" s="241" t="s">
        <v>5693</v>
      </c>
      <c r="J73" s="442"/>
      <c r="K73" s="25"/>
      <c r="L73" s="26"/>
      <c r="M73" s="43"/>
      <c r="N73" s="55"/>
      <c r="O73" s="25"/>
      <c r="P73" s="25"/>
      <c r="Q73" s="50" t="s">
        <v>282</v>
      </c>
      <c r="R73" s="25" t="s">
        <v>305</v>
      </c>
      <c r="S73" s="50"/>
      <c r="T73" s="65"/>
      <c r="U73" s="65"/>
      <c r="V73" s="65"/>
      <c r="W73" s="65"/>
      <c r="X73" s="65"/>
      <c r="Y73" s="65"/>
      <c r="Z73" s="65"/>
      <c r="AA73" s="65"/>
    </row>
    <row r="74" spans="1:27" ht="15.75" customHeight="1">
      <c r="A74" s="352"/>
      <c r="B74" s="352"/>
      <c r="C74" s="86">
        <v>14</v>
      </c>
      <c r="D74" s="352"/>
      <c r="E74" s="175" t="s">
        <v>5741</v>
      </c>
      <c r="F74" s="86" t="s">
        <v>361</v>
      </c>
      <c r="G74" s="174" t="s">
        <v>2234</v>
      </c>
      <c r="H74" s="240" t="s">
        <v>5742</v>
      </c>
      <c r="I74" s="241" t="s">
        <v>5693</v>
      </c>
      <c r="J74" s="442"/>
      <c r="K74" s="25"/>
      <c r="L74" s="26"/>
      <c r="M74" s="43"/>
      <c r="N74" s="55"/>
      <c r="O74" s="25"/>
      <c r="P74" s="25"/>
      <c r="Q74" s="50" t="s">
        <v>282</v>
      </c>
      <c r="R74" s="25" t="s">
        <v>305</v>
      </c>
      <c r="S74" s="50"/>
      <c r="T74" s="65"/>
      <c r="U74" s="65"/>
      <c r="V74" s="65"/>
      <c r="W74" s="65"/>
      <c r="X74" s="65"/>
      <c r="Y74" s="65"/>
      <c r="Z74" s="65"/>
      <c r="AA74" s="65"/>
    </row>
    <row r="75" spans="1:27" ht="15.75" customHeight="1">
      <c r="A75" s="353"/>
      <c r="B75" s="353"/>
      <c r="C75" s="86">
        <v>15</v>
      </c>
      <c r="D75" s="353"/>
      <c r="E75" s="175" t="s">
        <v>5734</v>
      </c>
      <c r="F75" s="86" t="s">
        <v>361</v>
      </c>
      <c r="G75" s="174" t="s">
        <v>2234</v>
      </c>
      <c r="H75" s="240" t="s">
        <v>5743</v>
      </c>
      <c r="I75" s="241" t="s">
        <v>5693</v>
      </c>
      <c r="J75" s="442"/>
      <c r="K75" s="25"/>
      <c r="L75" s="26"/>
      <c r="M75" s="43"/>
      <c r="N75" s="55"/>
      <c r="O75" s="25"/>
      <c r="P75" s="25"/>
      <c r="Q75" s="50" t="s">
        <v>282</v>
      </c>
      <c r="R75" s="25" t="s">
        <v>305</v>
      </c>
      <c r="S75" s="50"/>
      <c r="T75" s="65"/>
      <c r="U75" s="65"/>
      <c r="V75" s="65"/>
      <c r="W75" s="65"/>
      <c r="X75" s="65"/>
      <c r="Y75" s="65"/>
      <c r="Z75" s="65"/>
      <c r="AA75" s="65"/>
    </row>
    <row r="76" spans="1:27" ht="15.75" customHeight="1">
      <c r="A76" s="355" t="s">
        <v>5744</v>
      </c>
      <c r="B76" s="350" t="s">
        <v>217</v>
      </c>
      <c r="C76" s="61">
        <v>1</v>
      </c>
      <c r="D76" s="366" t="s">
        <v>5745</v>
      </c>
      <c r="E76" s="63" t="s">
        <v>5746</v>
      </c>
      <c r="F76" s="61" t="s">
        <v>361</v>
      </c>
      <c r="G76" s="242" t="s">
        <v>2234</v>
      </c>
      <c r="H76" s="241" t="s">
        <v>5747</v>
      </c>
      <c r="I76" s="241" t="s">
        <v>5693</v>
      </c>
      <c r="J76" s="442"/>
      <c r="K76" s="25" t="s">
        <v>294</v>
      </c>
      <c r="L76" s="26"/>
      <c r="M76" s="43"/>
      <c r="N76" s="55"/>
      <c r="O76" s="25"/>
      <c r="P76" s="50" t="s">
        <v>140</v>
      </c>
      <c r="Q76" s="50" t="s">
        <v>140</v>
      </c>
      <c r="R76" s="25"/>
      <c r="S76" s="50"/>
      <c r="T76" s="65"/>
      <c r="U76" s="65"/>
      <c r="V76" s="65"/>
      <c r="W76" s="65"/>
      <c r="X76" s="65"/>
      <c r="Y76" s="65"/>
      <c r="Z76" s="65"/>
      <c r="AA76" s="65"/>
    </row>
    <row r="77" spans="1:27" ht="15.75" customHeight="1">
      <c r="A77" s="344"/>
      <c r="B77" s="344"/>
      <c r="C77" s="61">
        <v>2</v>
      </c>
      <c r="D77" s="344"/>
      <c r="E77" s="63" t="s">
        <v>5748</v>
      </c>
      <c r="F77" s="61" t="s">
        <v>361</v>
      </c>
      <c r="G77" s="242" t="s">
        <v>2234</v>
      </c>
      <c r="H77" s="241" t="s">
        <v>5749</v>
      </c>
      <c r="I77" s="241" t="s">
        <v>5693</v>
      </c>
      <c r="J77" s="442"/>
      <c r="K77" s="25" t="s">
        <v>294</v>
      </c>
      <c r="L77" s="26"/>
      <c r="M77" s="43"/>
      <c r="N77" s="55"/>
      <c r="O77" s="25"/>
      <c r="P77" s="25"/>
      <c r="Q77" s="50" t="s">
        <v>140</v>
      </c>
      <c r="R77" s="25"/>
      <c r="S77" s="50"/>
      <c r="T77" s="65"/>
      <c r="U77" s="65"/>
      <c r="V77" s="65"/>
      <c r="W77" s="65"/>
      <c r="X77" s="65"/>
      <c r="Y77" s="65"/>
      <c r="Z77" s="65"/>
      <c r="AA77" s="65"/>
    </row>
    <row r="78" spans="1:27" ht="15.75" customHeight="1">
      <c r="A78" s="344"/>
      <c r="B78" s="344"/>
      <c r="C78" s="61">
        <v>3</v>
      </c>
      <c r="D78" s="344"/>
      <c r="E78" s="63" t="s">
        <v>5750</v>
      </c>
      <c r="F78" s="61" t="s">
        <v>361</v>
      </c>
      <c r="G78" s="242" t="s">
        <v>2234</v>
      </c>
      <c r="H78" s="241" t="s">
        <v>5751</v>
      </c>
      <c r="I78" s="241" t="s">
        <v>5693</v>
      </c>
      <c r="J78" s="442"/>
      <c r="K78" s="25" t="s">
        <v>294</v>
      </c>
      <c r="L78" s="26"/>
      <c r="M78" s="43"/>
      <c r="N78" s="55"/>
      <c r="O78" s="25"/>
      <c r="P78" s="25"/>
      <c r="Q78" s="50" t="s">
        <v>140</v>
      </c>
      <c r="R78" s="25"/>
      <c r="S78" s="50"/>
      <c r="T78" s="65"/>
      <c r="U78" s="65"/>
      <c r="V78" s="65"/>
      <c r="W78" s="65"/>
      <c r="X78" s="65"/>
      <c r="Y78" s="65"/>
      <c r="Z78" s="65"/>
      <c r="AA78" s="65"/>
    </row>
    <row r="79" spans="1:27" ht="15.75" customHeight="1">
      <c r="A79" s="344"/>
      <c r="B79" s="344"/>
      <c r="C79" s="61">
        <v>4</v>
      </c>
      <c r="D79" s="344"/>
      <c r="E79" s="63" t="s">
        <v>5752</v>
      </c>
      <c r="F79" s="61" t="s">
        <v>361</v>
      </c>
      <c r="G79" s="242" t="s">
        <v>2234</v>
      </c>
      <c r="H79" s="241" t="s">
        <v>5753</v>
      </c>
      <c r="I79" s="241" t="s">
        <v>5693</v>
      </c>
      <c r="J79" s="442"/>
      <c r="K79" s="25" t="s">
        <v>294</v>
      </c>
      <c r="L79" s="26"/>
      <c r="M79" s="43"/>
      <c r="N79" s="55"/>
      <c r="O79" s="25"/>
      <c r="P79" s="25"/>
      <c r="Q79" s="50" t="s">
        <v>140</v>
      </c>
      <c r="R79" s="25"/>
      <c r="S79" s="50"/>
      <c r="T79" s="65"/>
      <c r="U79" s="65"/>
      <c r="V79" s="65"/>
      <c r="W79" s="65"/>
      <c r="X79" s="65"/>
      <c r="Y79" s="65"/>
      <c r="Z79" s="65"/>
      <c r="AA79" s="65"/>
    </row>
    <row r="80" spans="1:27" ht="15.75" customHeight="1">
      <c r="A80" s="344"/>
      <c r="B80" s="344"/>
      <c r="C80" s="61">
        <v>5</v>
      </c>
      <c r="D80" s="344"/>
      <c r="E80" s="63" t="s">
        <v>5754</v>
      </c>
      <c r="F80" s="61" t="s">
        <v>361</v>
      </c>
      <c r="G80" s="242" t="s">
        <v>2234</v>
      </c>
      <c r="H80" s="241" t="s">
        <v>5755</v>
      </c>
      <c r="I80" s="241" t="s">
        <v>5693</v>
      </c>
      <c r="J80" s="442"/>
      <c r="K80" s="25" t="s">
        <v>294</v>
      </c>
      <c r="L80" s="26"/>
      <c r="M80" s="43"/>
      <c r="N80" s="55"/>
      <c r="O80" s="25"/>
      <c r="P80" s="25"/>
      <c r="Q80" s="50" t="s">
        <v>140</v>
      </c>
      <c r="R80" s="25"/>
      <c r="S80" s="50"/>
      <c r="T80" s="65"/>
      <c r="U80" s="65"/>
      <c r="V80" s="65"/>
      <c r="W80" s="65"/>
      <c r="X80" s="65"/>
      <c r="Y80" s="65"/>
      <c r="Z80" s="65"/>
      <c r="AA80" s="65"/>
    </row>
    <row r="81" spans="1:27" ht="15.75" customHeight="1">
      <c r="A81" s="344"/>
      <c r="B81" s="344"/>
      <c r="C81" s="61">
        <v>6</v>
      </c>
      <c r="D81" s="344"/>
      <c r="E81" s="63" t="s">
        <v>5756</v>
      </c>
      <c r="F81" s="61" t="s">
        <v>361</v>
      </c>
      <c r="G81" s="242" t="s">
        <v>2234</v>
      </c>
      <c r="H81" s="241" t="s">
        <v>5757</v>
      </c>
      <c r="I81" s="241" t="s">
        <v>5693</v>
      </c>
      <c r="J81" s="442"/>
      <c r="K81" s="25" t="s">
        <v>294</v>
      </c>
      <c r="L81" s="26"/>
      <c r="M81" s="43"/>
      <c r="N81" s="55"/>
      <c r="O81" s="25"/>
      <c r="P81" s="25"/>
      <c r="Q81" s="50" t="s">
        <v>140</v>
      </c>
      <c r="R81" s="25"/>
      <c r="S81" s="50"/>
      <c r="T81" s="65"/>
      <c r="U81" s="65"/>
      <c r="V81" s="65"/>
      <c r="W81" s="65"/>
      <c r="X81" s="65"/>
      <c r="Y81" s="65"/>
      <c r="Z81" s="65"/>
      <c r="AA81" s="65"/>
    </row>
    <row r="82" spans="1:27" ht="15.75" customHeight="1">
      <c r="A82" s="344"/>
      <c r="B82" s="344"/>
      <c r="C82" s="61">
        <v>7</v>
      </c>
      <c r="D82" s="344"/>
      <c r="E82" s="63" t="s">
        <v>5758</v>
      </c>
      <c r="F82" s="61" t="s">
        <v>361</v>
      </c>
      <c r="G82" s="242" t="s">
        <v>2234</v>
      </c>
      <c r="H82" s="241" t="s">
        <v>5759</v>
      </c>
      <c r="I82" s="241" t="s">
        <v>5693</v>
      </c>
      <c r="J82" s="442"/>
      <c r="K82" s="25" t="s">
        <v>294</v>
      </c>
      <c r="L82" s="26"/>
      <c r="M82" s="43"/>
      <c r="N82" s="55"/>
      <c r="O82" s="25"/>
      <c r="P82" s="25"/>
      <c r="Q82" s="50" t="s">
        <v>140</v>
      </c>
      <c r="R82" s="25"/>
      <c r="S82" s="50"/>
      <c r="T82" s="65"/>
      <c r="U82" s="65"/>
      <c r="V82" s="65"/>
      <c r="W82" s="65"/>
      <c r="X82" s="65"/>
      <c r="Y82" s="65"/>
      <c r="Z82" s="65"/>
      <c r="AA82" s="65"/>
    </row>
    <row r="83" spans="1:27" ht="15.75" customHeight="1">
      <c r="A83" s="344"/>
      <c r="B83" s="344"/>
      <c r="C83" s="61">
        <v>8</v>
      </c>
      <c r="D83" s="344"/>
      <c r="E83" s="63" t="s">
        <v>5760</v>
      </c>
      <c r="F83" s="61" t="s">
        <v>361</v>
      </c>
      <c r="G83" s="242" t="s">
        <v>2234</v>
      </c>
      <c r="H83" s="241" t="s">
        <v>5761</v>
      </c>
      <c r="I83" s="241" t="s">
        <v>5693</v>
      </c>
      <c r="J83" s="442"/>
      <c r="K83" s="25" t="s">
        <v>294</v>
      </c>
      <c r="L83" s="26"/>
      <c r="M83" s="43"/>
      <c r="N83" s="55"/>
      <c r="O83" s="25"/>
      <c r="P83" s="25"/>
      <c r="Q83" s="50" t="s">
        <v>140</v>
      </c>
      <c r="R83" s="25"/>
      <c r="S83" s="50"/>
      <c r="T83" s="65"/>
      <c r="U83" s="65"/>
      <c r="V83" s="65"/>
      <c r="W83" s="65"/>
      <c r="X83" s="65"/>
      <c r="Y83" s="65"/>
      <c r="Z83" s="65"/>
      <c r="AA83" s="65"/>
    </row>
    <row r="84" spans="1:27" ht="15.75" customHeight="1">
      <c r="A84" s="344"/>
      <c r="B84" s="344"/>
      <c r="C84" s="61">
        <v>9</v>
      </c>
      <c r="D84" s="344"/>
      <c r="E84" s="63" t="s">
        <v>5762</v>
      </c>
      <c r="F84" s="61" t="s">
        <v>361</v>
      </c>
      <c r="G84" s="242" t="s">
        <v>2234</v>
      </c>
      <c r="H84" s="241" t="s">
        <v>5763</v>
      </c>
      <c r="I84" s="241" t="s">
        <v>5693</v>
      </c>
      <c r="J84" s="442"/>
      <c r="K84" s="25" t="s">
        <v>294</v>
      </c>
      <c r="L84" s="26"/>
      <c r="M84" s="43"/>
      <c r="N84" s="55"/>
      <c r="O84" s="28" t="s">
        <v>140</v>
      </c>
      <c r="P84" s="50" t="s">
        <v>140</v>
      </c>
      <c r="Q84" s="50" t="s">
        <v>140</v>
      </c>
      <c r="R84" s="25"/>
      <c r="S84" s="50"/>
      <c r="T84" s="65"/>
      <c r="U84" s="65"/>
      <c r="V84" s="65"/>
      <c r="W84" s="65"/>
      <c r="X84" s="65"/>
      <c r="Y84" s="65"/>
      <c r="Z84" s="65"/>
      <c r="AA84" s="65"/>
    </row>
    <row r="85" spans="1:27" ht="15.75" customHeight="1">
      <c r="A85" s="352"/>
      <c r="B85" s="352"/>
      <c r="C85" s="86">
        <v>10</v>
      </c>
      <c r="D85" s="352"/>
      <c r="E85" s="175" t="s">
        <v>5764</v>
      </c>
      <c r="F85" s="86" t="s">
        <v>361</v>
      </c>
      <c r="G85" s="174" t="s">
        <v>2234</v>
      </c>
      <c r="H85" s="240" t="s">
        <v>5765</v>
      </c>
      <c r="I85" s="241" t="s">
        <v>5693</v>
      </c>
      <c r="J85" s="442"/>
      <c r="K85" s="25"/>
      <c r="L85" s="26"/>
      <c r="M85" s="43"/>
      <c r="N85" s="55"/>
      <c r="O85" s="28"/>
      <c r="P85" s="25"/>
      <c r="Q85" s="50" t="s">
        <v>282</v>
      </c>
      <c r="R85" s="25" t="s">
        <v>305</v>
      </c>
      <c r="S85" s="50"/>
      <c r="T85" s="65"/>
      <c r="U85" s="65"/>
      <c r="V85" s="65"/>
      <c r="W85" s="65"/>
      <c r="X85" s="65"/>
      <c r="Y85" s="65"/>
      <c r="Z85" s="65"/>
      <c r="AA85" s="65"/>
    </row>
    <row r="86" spans="1:27" ht="15.75" customHeight="1">
      <c r="A86" s="352"/>
      <c r="B86" s="352"/>
      <c r="C86" s="86">
        <v>11</v>
      </c>
      <c r="D86" s="352"/>
      <c r="E86" s="175" t="s">
        <v>5766</v>
      </c>
      <c r="F86" s="86" t="s">
        <v>361</v>
      </c>
      <c r="G86" s="174" t="s">
        <v>2234</v>
      </c>
      <c r="H86" s="240" t="s">
        <v>5767</v>
      </c>
      <c r="I86" s="241" t="s">
        <v>5693</v>
      </c>
      <c r="J86" s="442"/>
      <c r="K86" s="25"/>
      <c r="L86" s="26"/>
      <c r="M86" s="43"/>
      <c r="N86" s="55"/>
      <c r="O86" s="28"/>
      <c r="P86" s="25"/>
      <c r="Q86" s="50" t="s">
        <v>282</v>
      </c>
      <c r="R86" s="25" t="s">
        <v>305</v>
      </c>
      <c r="S86" s="50"/>
      <c r="T86" s="65"/>
      <c r="U86" s="65"/>
      <c r="V86" s="65"/>
      <c r="W86" s="65"/>
      <c r="X86" s="65"/>
      <c r="Y86" s="65"/>
      <c r="Z86" s="65"/>
      <c r="AA86" s="65"/>
    </row>
    <row r="87" spans="1:27" ht="15.75" customHeight="1">
      <c r="A87" s="352"/>
      <c r="B87" s="352"/>
      <c r="C87" s="86">
        <v>12</v>
      </c>
      <c r="D87" s="352"/>
      <c r="E87" s="175" t="s">
        <v>5768</v>
      </c>
      <c r="F87" s="86" t="s">
        <v>361</v>
      </c>
      <c r="G87" s="174" t="s">
        <v>2234</v>
      </c>
      <c r="H87" s="240" t="s">
        <v>5769</v>
      </c>
      <c r="I87" s="241" t="s">
        <v>5770</v>
      </c>
      <c r="J87" s="442"/>
      <c r="K87" s="25"/>
      <c r="L87" s="26"/>
      <c r="M87" s="43"/>
      <c r="N87" s="55"/>
      <c r="O87" s="28"/>
      <c r="P87" s="25"/>
      <c r="Q87" s="50" t="s">
        <v>282</v>
      </c>
      <c r="R87" s="25" t="s">
        <v>305</v>
      </c>
      <c r="S87" s="50"/>
      <c r="T87" s="65"/>
      <c r="U87" s="65"/>
      <c r="V87" s="65"/>
      <c r="W87" s="65"/>
      <c r="X87" s="65"/>
      <c r="Y87" s="65"/>
      <c r="Z87" s="65"/>
      <c r="AA87" s="65"/>
    </row>
    <row r="88" spans="1:27" ht="15.75" customHeight="1">
      <c r="A88" s="352"/>
      <c r="B88" s="352"/>
      <c r="C88" s="86">
        <v>13</v>
      </c>
      <c r="D88" s="352"/>
      <c r="E88" s="175" t="s">
        <v>5771</v>
      </c>
      <c r="F88" s="86" t="s">
        <v>361</v>
      </c>
      <c r="G88" s="174" t="s">
        <v>2234</v>
      </c>
      <c r="H88" s="240" t="s">
        <v>5772</v>
      </c>
      <c r="I88" s="241" t="s">
        <v>5773</v>
      </c>
      <c r="J88" s="442"/>
      <c r="K88" s="25"/>
      <c r="L88" s="26"/>
      <c r="M88" s="43"/>
      <c r="N88" s="55"/>
      <c r="O88" s="28"/>
      <c r="P88" s="25"/>
      <c r="Q88" s="50" t="s">
        <v>282</v>
      </c>
      <c r="R88" s="25" t="s">
        <v>305</v>
      </c>
      <c r="S88" s="50"/>
      <c r="T88" s="65"/>
      <c r="U88" s="65"/>
      <c r="V88" s="65"/>
      <c r="W88" s="65"/>
      <c r="X88" s="65"/>
      <c r="Y88" s="65"/>
      <c r="Z88" s="65"/>
      <c r="AA88" s="65"/>
    </row>
    <row r="89" spans="1:27" ht="15.75" customHeight="1">
      <c r="A89" s="352"/>
      <c r="B89" s="352"/>
      <c r="C89" s="86">
        <v>14</v>
      </c>
      <c r="D89" s="352"/>
      <c r="E89" s="175" t="s">
        <v>5774</v>
      </c>
      <c r="F89" s="86" t="s">
        <v>361</v>
      </c>
      <c r="G89" s="174" t="s">
        <v>2234</v>
      </c>
      <c r="H89" s="240" t="s">
        <v>5775</v>
      </c>
      <c r="I89" s="241" t="s">
        <v>5776</v>
      </c>
      <c r="J89" s="442"/>
      <c r="K89" s="25"/>
      <c r="L89" s="26"/>
      <c r="M89" s="43"/>
      <c r="N89" s="55"/>
      <c r="O89" s="28"/>
      <c r="P89" s="25"/>
      <c r="Q89" s="50" t="s">
        <v>282</v>
      </c>
      <c r="R89" s="25" t="s">
        <v>305</v>
      </c>
      <c r="S89" s="50"/>
      <c r="T89" s="65"/>
      <c r="U89" s="65"/>
      <c r="V89" s="65"/>
      <c r="W89" s="65"/>
      <c r="X89" s="65"/>
      <c r="Y89" s="65"/>
      <c r="Z89" s="65"/>
      <c r="AA89" s="65"/>
    </row>
    <row r="90" spans="1:27" ht="15.75" customHeight="1">
      <c r="A90" s="352"/>
      <c r="B90" s="352"/>
      <c r="C90" s="86">
        <v>15</v>
      </c>
      <c r="D90" s="352"/>
      <c r="E90" s="175" t="s">
        <v>5777</v>
      </c>
      <c r="F90" s="86" t="s">
        <v>361</v>
      </c>
      <c r="G90" s="174" t="s">
        <v>2234</v>
      </c>
      <c r="H90" s="240" t="s">
        <v>5778</v>
      </c>
      <c r="I90" s="241" t="s">
        <v>5779</v>
      </c>
      <c r="J90" s="442"/>
      <c r="K90" s="25"/>
      <c r="L90" s="26"/>
      <c r="M90" s="43"/>
      <c r="N90" s="55"/>
      <c r="O90" s="28"/>
      <c r="P90" s="25"/>
      <c r="Q90" s="50" t="s">
        <v>282</v>
      </c>
      <c r="R90" s="25" t="s">
        <v>305</v>
      </c>
      <c r="S90" s="50"/>
      <c r="T90" s="65"/>
      <c r="U90" s="65"/>
      <c r="V90" s="65"/>
      <c r="W90" s="65"/>
      <c r="X90" s="65"/>
      <c r="Y90" s="65"/>
      <c r="Z90" s="65"/>
      <c r="AA90" s="65"/>
    </row>
    <row r="91" spans="1:27" ht="15.75" customHeight="1">
      <c r="A91" s="352"/>
      <c r="B91" s="352"/>
      <c r="C91" s="86">
        <v>16</v>
      </c>
      <c r="D91" s="352"/>
      <c r="E91" s="175" t="s">
        <v>5780</v>
      </c>
      <c r="F91" s="86" t="s">
        <v>361</v>
      </c>
      <c r="G91" s="174" t="s">
        <v>2234</v>
      </c>
      <c r="H91" s="240" t="s">
        <v>5781</v>
      </c>
      <c r="I91" s="241" t="s">
        <v>5782</v>
      </c>
      <c r="J91" s="442"/>
      <c r="K91" s="25"/>
      <c r="L91" s="26"/>
      <c r="M91" s="43"/>
      <c r="N91" s="55"/>
      <c r="O91" s="28"/>
      <c r="P91" s="25"/>
      <c r="Q91" s="50" t="s">
        <v>282</v>
      </c>
      <c r="R91" s="25" t="s">
        <v>305</v>
      </c>
      <c r="S91" s="50"/>
      <c r="T91" s="65"/>
      <c r="U91" s="65"/>
      <c r="V91" s="65"/>
      <c r="W91" s="65"/>
      <c r="X91" s="65"/>
      <c r="Y91" s="65"/>
      <c r="Z91" s="65"/>
      <c r="AA91" s="65"/>
    </row>
    <row r="92" spans="1:27" ht="15.75" customHeight="1">
      <c r="A92" s="353"/>
      <c r="B92" s="353"/>
      <c r="C92" s="86">
        <v>17</v>
      </c>
      <c r="D92" s="353"/>
      <c r="E92" s="175" t="s">
        <v>5783</v>
      </c>
      <c r="F92" s="86" t="s">
        <v>361</v>
      </c>
      <c r="G92" s="174" t="s">
        <v>2234</v>
      </c>
      <c r="H92" s="240" t="s">
        <v>5784</v>
      </c>
      <c r="I92" s="241" t="s">
        <v>5785</v>
      </c>
      <c r="J92" s="442"/>
      <c r="K92" s="25"/>
      <c r="L92" s="26"/>
      <c r="M92" s="43"/>
      <c r="N92" s="55"/>
      <c r="O92" s="28"/>
      <c r="P92" s="25"/>
      <c r="Q92" s="50" t="s">
        <v>282</v>
      </c>
      <c r="R92" s="25" t="s">
        <v>305</v>
      </c>
      <c r="S92" s="50"/>
      <c r="T92" s="65"/>
      <c r="U92" s="65"/>
      <c r="V92" s="65"/>
      <c r="W92" s="65"/>
      <c r="X92" s="65"/>
      <c r="Y92" s="65"/>
      <c r="Z92" s="65"/>
      <c r="AA92" s="65"/>
    </row>
    <row r="93" spans="1:27" ht="15.75" customHeight="1">
      <c r="A93" s="356" t="s">
        <v>5786</v>
      </c>
      <c r="B93" s="360" t="s">
        <v>98</v>
      </c>
      <c r="C93" s="46">
        <v>1</v>
      </c>
      <c r="D93" s="365" t="s">
        <v>5787</v>
      </c>
      <c r="E93" s="35" t="s">
        <v>5788</v>
      </c>
      <c r="F93" s="46" t="s">
        <v>361</v>
      </c>
      <c r="G93" s="243" t="s">
        <v>2234</v>
      </c>
      <c r="H93" s="244" t="s">
        <v>5789</v>
      </c>
      <c r="I93" s="244" t="s">
        <v>5790</v>
      </c>
      <c r="J93" s="443"/>
      <c r="K93" s="25" t="s">
        <v>294</v>
      </c>
      <c r="L93" s="26"/>
      <c r="M93" s="43"/>
      <c r="N93" s="55"/>
      <c r="O93" s="25"/>
      <c r="P93" s="25"/>
      <c r="Q93" s="50" t="s">
        <v>140</v>
      </c>
      <c r="R93" s="25" t="s">
        <v>7</v>
      </c>
      <c r="S93" s="50"/>
      <c r="T93" s="65"/>
      <c r="U93" s="65"/>
      <c r="V93" s="65"/>
      <c r="W93" s="65"/>
      <c r="X93" s="65"/>
      <c r="Y93" s="65"/>
      <c r="Z93" s="65"/>
      <c r="AA93" s="65"/>
    </row>
    <row r="94" spans="1:27" ht="15.75" customHeight="1">
      <c r="A94" s="344"/>
      <c r="B94" s="344"/>
      <c r="C94" s="46">
        <v>2</v>
      </c>
      <c r="D94" s="344"/>
      <c r="E94" s="35" t="s">
        <v>5791</v>
      </c>
      <c r="F94" s="46" t="s">
        <v>361</v>
      </c>
      <c r="G94" s="243" t="s">
        <v>2234</v>
      </c>
      <c r="H94" s="244" t="s">
        <v>5792</v>
      </c>
      <c r="I94" s="245" t="s">
        <v>5790</v>
      </c>
      <c r="J94" s="444"/>
      <c r="K94" s="25" t="s">
        <v>294</v>
      </c>
      <c r="L94" s="26"/>
      <c r="M94" s="43"/>
      <c r="N94" s="55"/>
      <c r="O94" s="25"/>
      <c r="P94" s="25"/>
      <c r="Q94" s="50" t="s">
        <v>140</v>
      </c>
      <c r="R94" s="25" t="s">
        <v>7</v>
      </c>
      <c r="S94" s="50"/>
      <c r="T94" s="65"/>
      <c r="U94" s="65"/>
      <c r="V94" s="65"/>
      <c r="W94" s="65"/>
      <c r="X94" s="65"/>
      <c r="Y94" s="65"/>
      <c r="Z94" s="65"/>
      <c r="AA94" s="65"/>
    </row>
    <row r="95" spans="1:27" ht="15.75" customHeight="1">
      <c r="A95" s="344"/>
      <c r="B95" s="344"/>
      <c r="C95" s="46">
        <v>3</v>
      </c>
      <c r="D95" s="344"/>
      <c r="E95" s="35" t="s">
        <v>5793</v>
      </c>
      <c r="F95" s="46" t="s">
        <v>361</v>
      </c>
      <c r="G95" s="243" t="s">
        <v>2234</v>
      </c>
      <c r="H95" s="244" t="s">
        <v>5794</v>
      </c>
      <c r="I95" s="245" t="s">
        <v>5790</v>
      </c>
      <c r="J95" s="444"/>
      <c r="K95" s="25" t="s">
        <v>294</v>
      </c>
      <c r="L95" s="26"/>
      <c r="M95" s="43"/>
      <c r="N95" s="55"/>
      <c r="O95" s="25"/>
      <c r="P95" s="25"/>
      <c r="Q95" s="50" t="s">
        <v>140</v>
      </c>
      <c r="R95" s="25" t="s">
        <v>7</v>
      </c>
      <c r="S95" s="50"/>
      <c r="T95" s="65"/>
      <c r="U95" s="65"/>
      <c r="V95" s="65"/>
      <c r="W95" s="65"/>
      <c r="X95" s="65"/>
      <c r="Y95" s="65"/>
      <c r="Z95" s="65"/>
      <c r="AA95" s="65"/>
    </row>
    <row r="96" spans="1:27" ht="15.75" customHeight="1">
      <c r="A96" s="344"/>
      <c r="B96" s="344"/>
      <c r="C96" s="46">
        <v>4</v>
      </c>
      <c r="D96" s="344"/>
      <c r="E96" s="35" t="s">
        <v>5795</v>
      </c>
      <c r="F96" s="46" t="s">
        <v>361</v>
      </c>
      <c r="G96" s="243" t="s">
        <v>2234</v>
      </c>
      <c r="H96" s="244" t="s">
        <v>5796</v>
      </c>
      <c r="I96" s="245" t="s">
        <v>5790</v>
      </c>
      <c r="J96" s="444"/>
      <c r="K96" s="25" t="s">
        <v>294</v>
      </c>
      <c r="L96" s="26"/>
      <c r="M96" s="43"/>
      <c r="N96" s="55"/>
      <c r="O96" s="25"/>
      <c r="P96" s="25"/>
      <c r="Q96" s="50" t="s">
        <v>140</v>
      </c>
      <c r="R96" s="25" t="s">
        <v>7</v>
      </c>
      <c r="S96" s="50"/>
      <c r="T96" s="65"/>
      <c r="U96" s="65"/>
      <c r="V96" s="65"/>
      <c r="W96" s="65"/>
      <c r="X96" s="65"/>
      <c r="Y96" s="65"/>
      <c r="Z96" s="65"/>
      <c r="AA96" s="65"/>
    </row>
    <row r="97" spans="1:27" ht="15.75" customHeight="1">
      <c r="A97" s="344"/>
      <c r="B97" s="344"/>
      <c r="C97" s="46">
        <v>5</v>
      </c>
      <c r="D97" s="344"/>
      <c r="E97" s="35" t="s">
        <v>5797</v>
      </c>
      <c r="F97" s="46" t="s">
        <v>361</v>
      </c>
      <c r="G97" s="243" t="s">
        <v>2234</v>
      </c>
      <c r="H97" s="244" t="s">
        <v>5798</v>
      </c>
      <c r="I97" s="245" t="s">
        <v>5790</v>
      </c>
      <c r="J97" s="444"/>
      <c r="K97" s="25" t="s">
        <v>294</v>
      </c>
      <c r="L97" s="26"/>
      <c r="M97" s="43"/>
      <c r="N97" s="55"/>
      <c r="O97" s="25"/>
      <c r="P97" s="25"/>
      <c r="Q97" s="50" t="s">
        <v>140</v>
      </c>
      <c r="R97" s="25" t="s">
        <v>7</v>
      </c>
      <c r="S97" s="50"/>
      <c r="T97" s="65"/>
      <c r="U97" s="65"/>
      <c r="V97" s="65"/>
      <c r="W97" s="65"/>
      <c r="X97" s="65"/>
      <c r="Y97" s="65"/>
      <c r="Z97" s="65"/>
      <c r="AA97" s="65"/>
    </row>
    <row r="98" spans="1:27" ht="15.75" customHeight="1">
      <c r="A98" s="344"/>
      <c r="B98" s="344"/>
      <c r="C98" s="46">
        <v>6</v>
      </c>
      <c r="D98" s="344"/>
      <c r="E98" s="35" t="s">
        <v>5799</v>
      </c>
      <c r="F98" s="46" t="s">
        <v>361</v>
      </c>
      <c r="G98" s="243" t="s">
        <v>2234</v>
      </c>
      <c r="H98" s="244" t="s">
        <v>5800</v>
      </c>
      <c r="I98" s="245" t="s">
        <v>5790</v>
      </c>
      <c r="J98" s="444"/>
      <c r="K98" s="25" t="s">
        <v>294</v>
      </c>
      <c r="L98" s="26"/>
      <c r="M98" s="43"/>
      <c r="N98" s="55"/>
      <c r="O98" s="28" t="s">
        <v>140</v>
      </c>
      <c r="P98" s="25"/>
      <c r="Q98" s="50" t="s">
        <v>140</v>
      </c>
      <c r="R98" s="25" t="s">
        <v>7</v>
      </c>
      <c r="S98" s="50"/>
      <c r="T98" s="65"/>
      <c r="U98" s="65"/>
      <c r="V98" s="65"/>
      <c r="W98" s="65"/>
      <c r="X98" s="65"/>
      <c r="Y98" s="65"/>
      <c r="Z98" s="65"/>
      <c r="AA98" s="65"/>
    </row>
    <row r="99" spans="1:27" ht="15.75" customHeight="1">
      <c r="A99" s="344"/>
      <c r="B99" s="344"/>
      <c r="C99" s="46">
        <v>7</v>
      </c>
      <c r="D99" s="344"/>
      <c r="E99" s="35" t="s">
        <v>5801</v>
      </c>
      <c r="F99" s="46" t="s">
        <v>361</v>
      </c>
      <c r="G99" s="243" t="s">
        <v>2234</v>
      </c>
      <c r="H99" s="244" t="s">
        <v>5802</v>
      </c>
      <c r="I99" s="244" t="s">
        <v>5790</v>
      </c>
      <c r="J99" s="443"/>
      <c r="K99" s="25"/>
      <c r="L99" s="26"/>
      <c r="M99" s="43"/>
      <c r="N99" s="55"/>
      <c r="O99" s="28" t="s">
        <v>140</v>
      </c>
      <c r="P99" s="25"/>
      <c r="Q99" s="50" t="s">
        <v>282</v>
      </c>
      <c r="R99" s="25"/>
      <c r="S99" s="50"/>
      <c r="T99" s="65"/>
      <c r="U99" s="65"/>
      <c r="V99" s="65"/>
      <c r="W99" s="65"/>
      <c r="X99" s="65"/>
      <c r="Y99" s="65"/>
      <c r="Z99" s="65"/>
      <c r="AA99" s="65"/>
    </row>
    <row r="100" spans="1:27" ht="15.75" customHeight="1">
      <c r="A100" s="344"/>
      <c r="B100" s="344"/>
      <c r="C100" s="46">
        <v>8</v>
      </c>
      <c r="D100" s="344"/>
      <c r="E100" s="35" t="s">
        <v>5803</v>
      </c>
      <c r="F100" s="46" t="s">
        <v>361</v>
      </c>
      <c r="G100" s="243" t="s">
        <v>2234</v>
      </c>
      <c r="H100" s="244" t="s">
        <v>5804</v>
      </c>
      <c r="I100" s="244" t="s">
        <v>5790</v>
      </c>
      <c r="J100" s="443"/>
      <c r="K100" s="25"/>
      <c r="L100" s="26"/>
      <c r="M100" s="43"/>
      <c r="N100" s="55"/>
      <c r="O100" s="28" t="s">
        <v>140</v>
      </c>
      <c r="P100" s="25"/>
      <c r="Q100" s="50" t="s">
        <v>282</v>
      </c>
      <c r="R100" s="25"/>
      <c r="S100" s="50"/>
      <c r="T100" s="65"/>
      <c r="U100" s="65"/>
      <c r="V100" s="65"/>
      <c r="W100" s="65"/>
      <c r="X100" s="65"/>
      <c r="Y100" s="65"/>
      <c r="Z100" s="65"/>
      <c r="AA100" s="65"/>
    </row>
    <row r="101" spans="1:27" ht="15.75" customHeight="1">
      <c r="A101" s="344"/>
      <c r="B101" s="344"/>
      <c r="C101" s="46">
        <v>9</v>
      </c>
      <c r="D101" s="344"/>
      <c r="E101" s="35" t="s">
        <v>5805</v>
      </c>
      <c r="F101" s="46" t="s">
        <v>361</v>
      </c>
      <c r="G101" s="243" t="s">
        <v>2234</v>
      </c>
      <c r="H101" s="244" t="s">
        <v>5806</v>
      </c>
      <c r="I101" s="244" t="s">
        <v>5790</v>
      </c>
      <c r="J101" s="443"/>
      <c r="K101" s="25"/>
      <c r="L101" s="26"/>
      <c r="M101" s="43"/>
      <c r="N101" s="55"/>
      <c r="O101" s="28" t="s">
        <v>140</v>
      </c>
      <c r="P101" s="25"/>
      <c r="Q101" s="50" t="s">
        <v>282</v>
      </c>
      <c r="R101" s="25"/>
      <c r="S101" s="50"/>
      <c r="T101" s="65"/>
      <c r="U101" s="65"/>
      <c r="V101" s="65"/>
      <c r="W101" s="65"/>
      <c r="X101" s="65"/>
      <c r="Y101" s="65"/>
      <c r="Z101" s="65"/>
      <c r="AA101" s="65"/>
    </row>
    <row r="102" spans="1:27" ht="15.75" customHeight="1">
      <c r="A102" s="344"/>
      <c r="B102" s="344"/>
      <c r="C102" s="46">
        <v>10</v>
      </c>
      <c r="D102" s="344"/>
      <c r="E102" s="35" t="s">
        <v>5807</v>
      </c>
      <c r="F102" s="46" t="s">
        <v>361</v>
      </c>
      <c r="G102" s="243" t="s">
        <v>2234</v>
      </c>
      <c r="H102" s="244" t="s">
        <v>5808</v>
      </c>
      <c r="I102" s="244" t="s">
        <v>5809</v>
      </c>
      <c r="J102" s="443"/>
      <c r="K102" s="25"/>
      <c r="L102" s="26"/>
      <c r="M102" s="43"/>
      <c r="N102" s="55"/>
      <c r="O102" s="28" t="s">
        <v>140</v>
      </c>
      <c r="P102" s="25"/>
      <c r="Q102" s="50" t="s">
        <v>282</v>
      </c>
      <c r="R102" s="25"/>
      <c r="S102" s="50"/>
      <c r="T102" s="65"/>
      <c r="U102" s="65"/>
      <c r="V102" s="65"/>
      <c r="W102" s="65"/>
      <c r="X102" s="65"/>
      <c r="Y102" s="65"/>
      <c r="Z102" s="65"/>
      <c r="AA102" s="65"/>
    </row>
    <row r="103" spans="1:27" ht="15.75" customHeight="1">
      <c r="A103" s="345"/>
      <c r="B103" s="345"/>
      <c r="C103" s="46">
        <v>11</v>
      </c>
      <c r="D103" s="345"/>
      <c r="E103" s="35" t="s">
        <v>5810</v>
      </c>
      <c r="F103" s="46" t="s">
        <v>361</v>
      </c>
      <c r="G103" s="243" t="s">
        <v>2234</v>
      </c>
      <c r="H103" s="244" t="s">
        <v>5811</v>
      </c>
      <c r="I103" s="244" t="s">
        <v>5809</v>
      </c>
      <c r="J103" s="443"/>
      <c r="K103" s="25"/>
      <c r="L103" s="26"/>
      <c r="M103" s="43"/>
      <c r="N103" s="55"/>
      <c r="O103" s="28" t="s">
        <v>140</v>
      </c>
      <c r="P103" s="25"/>
      <c r="Q103" s="50" t="s">
        <v>282</v>
      </c>
      <c r="R103" s="25"/>
      <c r="S103" s="50"/>
      <c r="T103" s="65"/>
      <c r="U103" s="65"/>
      <c r="V103" s="65"/>
      <c r="W103" s="65"/>
      <c r="X103" s="65"/>
      <c r="Y103" s="65"/>
      <c r="Z103" s="65"/>
      <c r="AA103" s="65"/>
    </row>
    <row r="104" spans="1:27" ht="15.75" customHeight="1">
      <c r="A104" s="355" t="s">
        <v>5812</v>
      </c>
      <c r="B104" s="350" t="s">
        <v>107</v>
      </c>
      <c r="C104" s="31">
        <v>1</v>
      </c>
      <c r="D104" s="355" t="s">
        <v>5813</v>
      </c>
      <c r="E104" s="23" t="s">
        <v>5814</v>
      </c>
      <c r="F104" s="31" t="s">
        <v>361</v>
      </c>
      <c r="G104" s="31" t="s">
        <v>524</v>
      </c>
      <c r="H104" s="237" t="s">
        <v>5815</v>
      </c>
      <c r="I104" s="237" t="s">
        <v>5816</v>
      </c>
      <c r="J104" s="441"/>
      <c r="K104" s="25" t="s">
        <v>294</v>
      </c>
      <c r="L104" s="26"/>
      <c r="M104" s="43"/>
      <c r="N104" s="55"/>
      <c r="O104" s="25"/>
      <c r="P104" s="50" t="s">
        <v>140</v>
      </c>
      <c r="Q104" s="50" t="s">
        <v>140</v>
      </c>
      <c r="R104" s="25"/>
      <c r="S104" s="50"/>
      <c r="T104" s="65"/>
      <c r="U104" s="65"/>
      <c r="V104" s="65"/>
      <c r="W104" s="65"/>
      <c r="X104" s="65"/>
      <c r="Y104" s="65"/>
      <c r="Z104" s="65"/>
      <c r="AA104" s="65"/>
    </row>
    <row r="105" spans="1:27" ht="15.75" customHeight="1">
      <c r="A105" s="344"/>
      <c r="B105" s="344"/>
      <c r="C105" s="31">
        <v>2</v>
      </c>
      <c r="D105" s="344"/>
      <c r="E105" s="23" t="s">
        <v>5817</v>
      </c>
      <c r="F105" s="31" t="s">
        <v>361</v>
      </c>
      <c r="G105" s="31" t="s">
        <v>5818</v>
      </c>
      <c r="H105" s="23" t="s">
        <v>5819</v>
      </c>
      <c r="I105" s="23" t="s">
        <v>5820</v>
      </c>
      <c r="J105" s="170"/>
      <c r="K105" s="25" t="s">
        <v>294</v>
      </c>
      <c r="L105" s="26"/>
      <c r="M105" s="43"/>
      <c r="N105" s="55"/>
      <c r="O105" s="25"/>
      <c r="P105" s="25"/>
      <c r="Q105" s="50" t="s">
        <v>140</v>
      </c>
      <c r="R105" s="25"/>
      <c r="S105" s="50"/>
      <c r="T105" s="65"/>
      <c r="U105" s="65"/>
      <c r="V105" s="65"/>
      <c r="W105" s="65"/>
      <c r="X105" s="65"/>
      <c r="Y105" s="65"/>
      <c r="Z105" s="65"/>
      <c r="AA105" s="65"/>
    </row>
    <row r="106" spans="1:27" ht="15.75" customHeight="1">
      <c r="A106" s="344"/>
      <c r="B106" s="344"/>
      <c r="C106" s="31">
        <v>3</v>
      </c>
      <c r="D106" s="345"/>
      <c r="E106" s="23" t="s">
        <v>5821</v>
      </c>
      <c r="F106" s="31" t="s">
        <v>5822</v>
      </c>
      <c r="G106" s="31" t="s">
        <v>5818</v>
      </c>
      <c r="H106" s="23" t="s">
        <v>5819</v>
      </c>
      <c r="I106" s="23" t="s">
        <v>5820</v>
      </c>
      <c r="J106" s="170"/>
      <c r="K106" s="25" t="s">
        <v>294</v>
      </c>
      <c r="L106" s="26"/>
      <c r="M106" s="43"/>
      <c r="N106" s="55"/>
      <c r="O106" s="25"/>
      <c r="P106" s="25"/>
      <c r="Q106" s="50" t="s">
        <v>140</v>
      </c>
      <c r="R106" s="25"/>
      <c r="S106" s="50"/>
      <c r="T106" s="65"/>
      <c r="U106" s="65"/>
      <c r="V106" s="65"/>
      <c r="W106" s="65"/>
      <c r="X106" s="65"/>
      <c r="Y106" s="65"/>
      <c r="Z106" s="65"/>
      <c r="AA106" s="65"/>
    </row>
    <row r="107" spans="1:27" ht="15.75" customHeight="1">
      <c r="A107" s="344"/>
      <c r="B107" s="344"/>
      <c r="C107" s="74">
        <v>4</v>
      </c>
      <c r="D107" s="364" t="s">
        <v>5823</v>
      </c>
      <c r="E107" s="47" t="s">
        <v>5824</v>
      </c>
      <c r="F107" s="74" t="s">
        <v>361</v>
      </c>
      <c r="G107" s="74" t="s">
        <v>524</v>
      </c>
      <c r="H107" s="245" t="s">
        <v>5815</v>
      </c>
      <c r="I107" s="241" t="s">
        <v>5825</v>
      </c>
      <c r="J107" s="442"/>
      <c r="K107" s="25" t="s">
        <v>294</v>
      </c>
      <c r="L107" s="26"/>
      <c r="M107" s="43"/>
      <c r="N107" s="55"/>
      <c r="O107" s="25"/>
      <c r="P107" s="25"/>
      <c r="Q107" s="50" t="s">
        <v>140</v>
      </c>
      <c r="R107" s="25" t="s">
        <v>298</v>
      </c>
      <c r="S107" s="50"/>
      <c r="T107" s="65"/>
      <c r="U107" s="65"/>
      <c r="V107" s="65"/>
      <c r="W107" s="65"/>
      <c r="X107" s="65"/>
      <c r="Y107" s="65"/>
      <c r="Z107" s="65"/>
      <c r="AA107" s="65"/>
    </row>
    <row r="108" spans="1:27" ht="15.75" customHeight="1">
      <c r="A108" s="344"/>
      <c r="B108" s="344"/>
      <c r="C108" s="74">
        <v>5</v>
      </c>
      <c r="D108" s="344"/>
      <c r="E108" s="47" t="s">
        <v>5826</v>
      </c>
      <c r="F108" s="74" t="s">
        <v>361</v>
      </c>
      <c r="G108" s="74" t="s">
        <v>5818</v>
      </c>
      <c r="H108" s="47" t="s">
        <v>5827</v>
      </c>
      <c r="I108" s="63" t="s">
        <v>5828</v>
      </c>
      <c r="J108" s="171"/>
      <c r="K108" s="25" t="s">
        <v>294</v>
      </c>
      <c r="L108" s="26"/>
      <c r="M108" s="43"/>
      <c r="N108" s="55"/>
      <c r="O108" s="25"/>
      <c r="P108" s="25"/>
      <c r="Q108" s="50" t="s">
        <v>140</v>
      </c>
      <c r="R108" s="25" t="s">
        <v>298</v>
      </c>
      <c r="S108" s="50"/>
      <c r="T108" s="65"/>
      <c r="U108" s="65"/>
      <c r="V108" s="65"/>
      <c r="W108" s="65"/>
      <c r="X108" s="65"/>
      <c r="Y108" s="65"/>
      <c r="Z108" s="65"/>
      <c r="AA108" s="65"/>
    </row>
    <row r="109" spans="1:27" ht="15.75" customHeight="1">
      <c r="A109" s="344"/>
      <c r="B109" s="369"/>
      <c r="C109" s="74">
        <v>6</v>
      </c>
      <c r="D109" s="345"/>
      <c r="E109" s="47" t="s">
        <v>5829</v>
      </c>
      <c r="F109" s="74" t="s">
        <v>5822</v>
      </c>
      <c r="G109" s="74" t="s">
        <v>5818</v>
      </c>
      <c r="H109" s="47" t="s">
        <v>5819</v>
      </c>
      <c r="I109" s="63" t="s">
        <v>5828</v>
      </c>
      <c r="J109" s="171"/>
      <c r="K109" s="25" t="s">
        <v>294</v>
      </c>
      <c r="L109" s="26"/>
      <c r="M109" s="43"/>
      <c r="N109" s="55"/>
      <c r="O109" s="25"/>
      <c r="P109" s="25"/>
      <c r="Q109" s="50" t="s">
        <v>140</v>
      </c>
      <c r="R109" s="25" t="s">
        <v>298</v>
      </c>
      <c r="S109" s="50"/>
      <c r="T109" s="65"/>
      <c r="U109" s="65"/>
      <c r="V109" s="65"/>
      <c r="W109" s="65"/>
      <c r="X109" s="65"/>
      <c r="Y109" s="65"/>
      <c r="Z109" s="65"/>
      <c r="AA109" s="65"/>
    </row>
    <row r="110" spans="1:27" ht="15.75" customHeight="1">
      <c r="A110" s="355" t="s">
        <v>5830</v>
      </c>
      <c r="B110" s="350" t="s">
        <v>218</v>
      </c>
      <c r="C110" s="61">
        <v>1</v>
      </c>
      <c r="D110" s="366" t="s">
        <v>5831</v>
      </c>
      <c r="E110" s="63" t="s">
        <v>5832</v>
      </c>
      <c r="F110" s="61" t="s">
        <v>361</v>
      </c>
      <c r="G110" s="61" t="s">
        <v>2234</v>
      </c>
      <c r="H110" s="241" t="s">
        <v>5833</v>
      </c>
      <c r="I110" s="241" t="s">
        <v>5693</v>
      </c>
      <c r="J110" s="442"/>
      <c r="K110" s="25"/>
      <c r="L110" s="26"/>
      <c r="M110" s="25"/>
      <c r="N110" s="55"/>
      <c r="O110" s="25"/>
      <c r="P110" s="25"/>
      <c r="Q110" s="50" t="s">
        <v>282</v>
      </c>
      <c r="R110" s="25"/>
      <c r="S110" s="50"/>
      <c r="T110" s="65"/>
      <c r="U110" s="65"/>
      <c r="V110" s="65"/>
      <c r="W110" s="65"/>
      <c r="X110" s="65"/>
      <c r="Y110" s="65"/>
      <c r="Z110" s="65"/>
      <c r="AA110" s="65"/>
    </row>
    <row r="111" spans="1:27" ht="15.75" customHeight="1">
      <c r="A111" s="344"/>
      <c r="B111" s="344"/>
      <c r="C111" s="61">
        <v>2</v>
      </c>
      <c r="D111" s="344"/>
      <c r="E111" s="63" t="s">
        <v>5834</v>
      </c>
      <c r="F111" s="61" t="s">
        <v>361</v>
      </c>
      <c r="G111" s="61" t="s">
        <v>2234</v>
      </c>
      <c r="H111" s="241" t="s">
        <v>5835</v>
      </c>
      <c r="I111" s="241" t="s">
        <v>5693</v>
      </c>
      <c r="J111" s="442"/>
      <c r="K111" s="25"/>
      <c r="L111" s="26"/>
      <c r="M111" s="25"/>
      <c r="N111" s="55"/>
      <c r="O111" s="28" t="s">
        <v>140</v>
      </c>
      <c r="P111" s="25"/>
      <c r="Q111" s="50" t="s">
        <v>282</v>
      </c>
      <c r="R111" s="25"/>
      <c r="S111" s="50"/>
      <c r="T111" s="65"/>
      <c r="U111" s="65"/>
      <c r="V111" s="65"/>
      <c r="W111" s="65"/>
      <c r="X111" s="65"/>
      <c r="Y111" s="65"/>
      <c r="Z111" s="65"/>
      <c r="AA111" s="65"/>
    </row>
    <row r="112" spans="1:27" ht="15.75" customHeight="1">
      <c r="A112" s="344"/>
      <c r="B112" s="344"/>
      <c r="C112" s="61">
        <v>3</v>
      </c>
      <c r="D112" s="344"/>
      <c r="E112" s="63" t="s">
        <v>5836</v>
      </c>
      <c r="F112" s="61" t="s">
        <v>361</v>
      </c>
      <c r="G112" s="61" t="s">
        <v>2234</v>
      </c>
      <c r="H112" s="241" t="s">
        <v>5837</v>
      </c>
      <c r="I112" s="241" t="s">
        <v>5693</v>
      </c>
      <c r="J112" s="442"/>
      <c r="K112" s="25"/>
      <c r="L112" s="26"/>
      <c r="M112" s="25"/>
      <c r="N112" s="55"/>
      <c r="O112" s="25"/>
      <c r="P112" s="25"/>
      <c r="Q112" s="50" t="s">
        <v>282</v>
      </c>
      <c r="R112" s="25"/>
      <c r="S112" s="50"/>
      <c r="T112" s="65"/>
      <c r="U112" s="65"/>
      <c r="V112" s="65"/>
      <c r="W112" s="65"/>
      <c r="X112" s="65"/>
      <c r="Y112" s="65"/>
      <c r="Z112" s="65"/>
      <c r="AA112" s="65"/>
    </row>
    <row r="113" spans="1:27" ht="15.75" customHeight="1">
      <c r="A113" s="344"/>
      <c r="B113" s="344"/>
      <c r="C113" s="61">
        <v>4</v>
      </c>
      <c r="D113" s="344"/>
      <c r="E113" s="167" t="s">
        <v>5838</v>
      </c>
      <c r="F113" s="164" t="s">
        <v>361</v>
      </c>
      <c r="G113" s="164" t="s">
        <v>2234</v>
      </c>
      <c r="H113" s="246" t="s">
        <v>5839</v>
      </c>
      <c r="I113" s="247" t="s">
        <v>5693</v>
      </c>
      <c r="J113" s="445"/>
      <c r="K113" s="25"/>
      <c r="L113" s="26"/>
      <c r="M113" s="25"/>
      <c r="N113" s="55"/>
      <c r="O113" s="28" t="s">
        <v>140</v>
      </c>
      <c r="P113" s="152"/>
      <c r="Q113" s="50" t="s">
        <v>282</v>
      </c>
      <c r="R113" s="152"/>
      <c r="S113" s="149"/>
      <c r="T113" s="65"/>
      <c r="U113" s="65"/>
      <c r="V113" s="65"/>
      <c r="W113" s="65"/>
      <c r="X113" s="65"/>
      <c r="Y113" s="65"/>
      <c r="Z113" s="65"/>
      <c r="AA113" s="65"/>
    </row>
    <row r="114" spans="1:27" ht="15.75" customHeight="1">
      <c r="A114" s="353"/>
      <c r="B114" s="353"/>
      <c r="C114" s="86">
        <v>5</v>
      </c>
      <c r="D114" s="353"/>
      <c r="E114" s="175" t="s">
        <v>5840</v>
      </c>
      <c r="F114" s="86" t="s">
        <v>361</v>
      </c>
      <c r="G114" s="86" t="s">
        <v>2234</v>
      </c>
      <c r="H114" s="240" t="s">
        <v>5841</v>
      </c>
      <c r="I114" s="241" t="s">
        <v>5693</v>
      </c>
      <c r="J114" s="442"/>
      <c r="K114" s="25"/>
      <c r="L114" s="26"/>
      <c r="M114" s="25"/>
      <c r="N114" s="55"/>
      <c r="O114" s="28"/>
      <c r="P114" s="152"/>
      <c r="Q114" s="50" t="s">
        <v>282</v>
      </c>
      <c r="R114" s="25" t="s">
        <v>305</v>
      </c>
      <c r="S114" s="50"/>
      <c r="T114" s="65"/>
      <c r="U114" s="65"/>
      <c r="V114" s="65"/>
      <c r="W114" s="65"/>
      <c r="X114" s="65"/>
      <c r="Y114" s="65"/>
      <c r="Z114" s="65"/>
      <c r="AA114" s="65"/>
    </row>
    <row r="115" spans="1:27" ht="15.75" customHeight="1">
      <c r="A115" s="351" t="s">
        <v>5842</v>
      </c>
      <c r="B115" s="354" t="s">
        <v>214</v>
      </c>
      <c r="C115" s="86">
        <v>1</v>
      </c>
      <c r="D115" s="354" t="s">
        <v>5843</v>
      </c>
      <c r="E115" s="175" t="s">
        <v>5844</v>
      </c>
      <c r="F115" s="86" t="s">
        <v>361</v>
      </c>
      <c r="G115" s="86" t="s">
        <v>2234</v>
      </c>
      <c r="H115" s="240" t="s">
        <v>5845</v>
      </c>
      <c r="I115" s="241" t="s">
        <v>5846</v>
      </c>
      <c r="J115" s="442"/>
      <c r="K115" s="25"/>
      <c r="L115" s="26"/>
      <c r="M115" s="25"/>
      <c r="N115" s="55"/>
      <c r="O115" s="28"/>
      <c r="P115" s="152"/>
      <c r="Q115" s="50" t="s">
        <v>282</v>
      </c>
      <c r="R115" s="25" t="s">
        <v>305</v>
      </c>
      <c r="S115" s="50"/>
      <c r="T115" s="65"/>
      <c r="U115" s="65"/>
      <c r="V115" s="65"/>
      <c r="W115" s="65"/>
      <c r="X115" s="65"/>
      <c r="Y115" s="65"/>
      <c r="Z115" s="65"/>
      <c r="AA115" s="65"/>
    </row>
    <row r="116" spans="1:27" ht="15.75" customHeight="1">
      <c r="A116" s="352"/>
      <c r="B116" s="352"/>
      <c r="C116" s="86">
        <v>2</v>
      </c>
      <c r="D116" s="352"/>
      <c r="E116" s="175" t="s">
        <v>5847</v>
      </c>
      <c r="F116" s="86" t="s">
        <v>361</v>
      </c>
      <c r="G116" s="86" t="s">
        <v>2234</v>
      </c>
      <c r="H116" s="240" t="s">
        <v>5848</v>
      </c>
      <c r="I116" s="241" t="s">
        <v>5849</v>
      </c>
      <c r="J116" s="442"/>
      <c r="K116" s="25"/>
      <c r="L116" s="26"/>
      <c r="M116" s="25"/>
      <c r="N116" s="55"/>
      <c r="O116" s="28"/>
      <c r="P116" s="152"/>
      <c r="Q116" s="50" t="s">
        <v>282</v>
      </c>
      <c r="R116" s="25" t="s">
        <v>305</v>
      </c>
      <c r="S116" s="50"/>
      <c r="T116" s="65"/>
      <c r="U116" s="65"/>
      <c r="V116" s="65"/>
      <c r="W116" s="65"/>
      <c r="X116" s="65"/>
      <c r="Y116" s="65"/>
      <c r="Z116" s="65"/>
      <c r="AA116" s="65"/>
    </row>
    <row r="117" spans="1:27" ht="15.75" customHeight="1">
      <c r="A117" s="352"/>
      <c r="B117" s="352"/>
      <c r="C117" s="86">
        <v>3</v>
      </c>
      <c r="D117" s="352"/>
      <c r="E117" s="175" t="s">
        <v>5850</v>
      </c>
      <c r="F117" s="86" t="s">
        <v>361</v>
      </c>
      <c r="G117" s="86" t="s">
        <v>2234</v>
      </c>
      <c r="H117" s="240" t="s">
        <v>5851</v>
      </c>
      <c r="I117" s="241" t="s">
        <v>5849</v>
      </c>
      <c r="J117" s="442"/>
      <c r="K117" s="25"/>
      <c r="L117" s="26"/>
      <c r="M117" s="25"/>
      <c r="N117" s="55"/>
      <c r="O117" s="28"/>
      <c r="P117" s="152"/>
      <c r="Q117" s="50" t="s">
        <v>282</v>
      </c>
      <c r="R117" s="25" t="s">
        <v>305</v>
      </c>
      <c r="S117" s="50"/>
      <c r="T117" s="65"/>
      <c r="U117" s="65"/>
      <c r="V117" s="65"/>
      <c r="W117" s="65"/>
      <c r="X117" s="65"/>
      <c r="Y117" s="65"/>
      <c r="Z117" s="65"/>
      <c r="AA117" s="65"/>
    </row>
    <row r="118" spans="1:27" ht="15.75" customHeight="1">
      <c r="A118" s="352"/>
      <c r="B118" s="352"/>
      <c r="C118" s="86">
        <v>4</v>
      </c>
      <c r="D118" s="352"/>
      <c r="E118" s="175" t="s">
        <v>5852</v>
      </c>
      <c r="F118" s="86" t="s">
        <v>361</v>
      </c>
      <c r="G118" s="86" t="s">
        <v>2234</v>
      </c>
      <c r="H118" s="240" t="s">
        <v>5853</v>
      </c>
      <c r="I118" s="241" t="s">
        <v>5846</v>
      </c>
      <c r="J118" s="442"/>
      <c r="K118" s="25"/>
      <c r="L118" s="26"/>
      <c r="M118" s="25"/>
      <c r="N118" s="55"/>
      <c r="O118" s="28"/>
      <c r="P118" s="152"/>
      <c r="Q118" s="50" t="s">
        <v>282</v>
      </c>
      <c r="R118" s="25" t="s">
        <v>305</v>
      </c>
      <c r="S118" s="50"/>
      <c r="T118" s="65"/>
      <c r="U118" s="65"/>
      <c r="V118" s="65"/>
      <c r="W118" s="65"/>
      <c r="X118" s="65"/>
      <c r="Y118" s="65"/>
      <c r="Z118" s="65"/>
      <c r="AA118" s="65"/>
    </row>
    <row r="119" spans="1:27" ht="15.75" customHeight="1">
      <c r="A119" s="352"/>
      <c r="B119" s="352"/>
      <c r="C119" s="86">
        <v>5</v>
      </c>
      <c r="D119" s="352"/>
      <c r="E119" s="175" t="s">
        <v>5854</v>
      </c>
      <c r="F119" s="86" t="s">
        <v>361</v>
      </c>
      <c r="G119" s="86" t="s">
        <v>2234</v>
      </c>
      <c r="H119" s="240" t="s">
        <v>5855</v>
      </c>
      <c r="I119" s="241" t="s">
        <v>5849</v>
      </c>
      <c r="J119" s="442"/>
      <c r="K119" s="25"/>
      <c r="L119" s="26"/>
      <c r="M119" s="25"/>
      <c r="N119" s="55"/>
      <c r="O119" s="28"/>
      <c r="P119" s="152"/>
      <c r="Q119" s="50" t="s">
        <v>282</v>
      </c>
      <c r="R119" s="25" t="s">
        <v>305</v>
      </c>
      <c r="S119" s="50"/>
      <c r="T119" s="65"/>
      <c r="U119" s="65"/>
      <c r="V119" s="65"/>
      <c r="W119" s="65"/>
      <c r="X119" s="65"/>
      <c r="Y119" s="65"/>
      <c r="Z119" s="65"/>
      <c r="AA119" s="65"/>
    </row>
    <row r="120" spans="1:27" ht="15.75" customHeight="1">
      <c r="A120" s="353"/>
      <c r="B120" s="353"/>
      <c r="C120" s="86">
        <v>6</v>
      </c>
      <c r="D120" s="353"/>
      <c r="E120" s="175" t="s">
        <v>5856</v>
      </c>
      <c r="F120" s="86" t="s">
        <v>361</v>
      </c>
      <c r="G120" s="86" t="s">
        <v>2234</v>
      </c>
      <c r="H120" s="240" t="s">
        <v>5857</v>
      </c>
      <c r="I120" s="241" t="s">
        <v>5849</v>
      </c>
      <c r="J120" s="442"/>
      <c r="K120" s="25"/>
      <c r="L120" s="26"/>
      <c r="M120" s="25"/>
      <c r="N120" s="55"/>
      <c r="O120" s="28"/>
      <c r="P120" s="152"/>
      <c r="Q120" s="50" t="s">
        <v>282</v>
      </c>
      <c r="R120" s="25" t="s">
        <v>305</v>
      </c>
      <c r="S120" s="50"/>
      <c r="T120" s="65"/>
      <c r="U120" s="65"/>
      <c r="V120" s="65"/>
      <c r="W120" s="65"/>
      <c r="X120" s="65"/>
      <c r="Y120" s="65"/>
      <c r="Z120" s="65"/>
      <c r="AA120" s="65"/>
    </row>
    <row r="121" spans="1:27" ht="15.75" customHeight="1">
      <c r="A121" s="351" t="s">
        <v>5858</v>
      </c>
      <c r="B121" s="354" t="s">
        <v>250</v>
      </c>
      <c r="C121" s="86">
        <v>1</v>
      </c>
      <c r="D121" s="351" t="s">
        <v>5843</v>
      </c>
      <c r="E121" s="175" t="s">
        <v>5859</v>
      </c>
      <c r="F121" s="86" t="s">
        <v>361</v>
      </c>
      <c r="G121" s="86" t="s">
        <v>327</v>
      </c>
      <c r="H121" s="240" t="s">
        <v>5860</v>
      </c>
      <c r="I121" s="244" t="s">
        <v>5861</v>
      </c>
      <c r="J121" s="443"/>
      <c r="K121" s="25"/>
      <c r="L121" s="26"/>
      <c r="M121" s="25" t="s">
        <v>1389</v>
      </c>
      <c r="N121" s="55"/>
      <c r="O121" s="28"/>
      <c r="P121" s="152"/>
      <c r="Q121" s="50" t="s">
        <v>282</v>
      </c>
      <c r="R121" s="25" t="s">
        <v>308</v>
      </c>
      <c r="S121" s="50"/>
      <c r="T121" s="65"/>
      <c r="U121" s="65"/>
      <c r="V121" s="65"/>
      <c r="W121" s="65"/>
      <c r="X121" s="65"/>
      <c r="Y121" s="65"/>
      <c r="Z121" s="65"/>
      <c r="AA121" s="65"/>
    </row>
    <row r="122" spans="1:27" ht="15.75" customHeight="1">
      <c r="A122" s="352"/>
      <c r="B122" s="352"/>
      <c r="C122" s="86">
        <v>2</v>
      </c>
      <c r="D122" s="352"/>
      <c r="E122" s="175" t="s">
        <v>5862</v>
      </c>
      <c r="F122" s="86"/>
      <c r="G122" s="86"/>
      <c r="H122" s="240" t="s">
        <v>5863</v>
      </c>
      <c r="I122" s="244" t="s">
        <v>5861</v>
      </c>
      <c r="J122" s="443"/>
      <c r="K122" s="25"/>
      <c r="L122" s="26"/>
      <c r="M122" s="25" t="s">
        <v>1389</v>
      </c>
      <c r="N122" s="55"/>
      <c r="O122" s="28"/>
      <c r="P122" s="152"/>
      <c r="Q122" s="50" t="s">
        <v>282</v>
      </c>
      <c r="R122" s="25" t="s">
        <v>308</v>
      </c>
      <c r="S122" s="50"/>
      <c r="T122" s="65"/>
      <c r="U122" s="65"/>
      <c r="V122" s="65"/>
      <c r="W122" s="65"/>
      <c r="X122" s="65"/>
      <c r="Y122" s="65"/>
      <c r="Z122" s="65"/>
      <c r="AA122" s="65"/>
    </row>
    <row r="123" spans="1:27" ht="15.75" customHeight="1">
      <c r="A123" s="352"/>
      <c r="B123" s="352"/>
      <c r="C123" s="86">
        <v>3</v>
      </c>
      <c r="D123" s="352"/>
      <c r="E123" s="175" t="s">
        <v>5864</v>
      </c>
      <c r="F123" s="86"/>
      <c r="G123" s="86"/>
      <c r="H123" s="240" t="s">
        <v>5865</v>
      </c>
      <c r="I123" s="244" t="s">
        <v>5861</v>
      </c>
      <c r="J123" s="443"/>
      <c r="K123" s="25"/>
      <c r="L123" s="26"/>
      <c r="M123" s="25" t="s">
        <v>1389</v>
      </c>
      <c r="N123" s="55"/>
      <c r="O123" s="28"/>
      <c r="P123" s="152"/>
      <c r="Q123" s="50" t="s">
        <v>282</v>
      </c>
      <c r="R123" s="25" t="s">
        <v>308</v>
      </c>
      <c r="S123" s="50"/>
      <c r="T123" s="65"/>
      <c r="U123" s="65"/>
      <c r="V123" s="65"/>
      <c r="W123" s="65"/>
      <c r="X123" s="65"/>
      <c r="Y123" s="65"/>
      <c r="Z123" s="65"/>
      <c r="AA123" s="65"/>
    </row>
    <row r="124" spans="1:27" ht="15.75" customHeight="1">
      <c r="A124" s="352"/>
      <c r="B124" s="352"/>
      <c r="C124" s="86">
        <v>4</v>
      </c>
      <c r="D124" s="352"/>
      <c r="E124" s="175" t="s">
        <v>5866</v>
      </c>
      <c r="F124" s="86"/>
      <c r="G124" s="86"/>
      <c r="H124" s="240" t="s">
        <v>5867</v>
      </c>
      <c r="I124" s="244" t="s">
        <v>5861</v>
      </c>
      <c r="J124" s="443"/>
      <c r="K124" s="25"/>
      <c r="L124" s="26"/>
      <c r="M124" s="25" t="s">
        <v>1389</v>
      </c>
      <c r="N124" s="55"/>
      <c r="O124" s="28"/>
      <c r="P124" s="152"/>
      <c r="Q124" s="50" t="s">
        <v>282</v>
      </c>
      <c r="R124" s="25" t="s">
        <v>308</v>
      </c>
      <c r="S124" s="50"/>
      <c r="T124" s="65"/>
      <c r="U124" s="65"/>
      <c r="V124" s="65"/>
      <c r="W124" s="65"/>
      <c r="X124" s="65"/>
      <c r="Y124" s="65"/>
      <c r="Z124" s="65"/>
      <c r="AA124" s="65"/>
    </row>
    <row r="125" spans="1:27" ht="15.75" customHeight="1">
      <c r="A125" s="352"/>
      <c r="B125" s="352"/>
      <c r="C125" s="86">
        <v>5</v>
      </c>
      <c r="D125" s="352"/>
      <c r="E125" s="175" t="s">
        <v>5868</v>
      </c>
      <c r="F125" s="86"/>
      <c r="G125" s="86"/>
      <c r="H125" s="240" t="s">
        <v>5869</v>
      </c>
      <c r="I125" s="244" t="s">
        <v>5861</v>
      </c>
      <c r="J125" s="443"/>
      <c r="K125" s="25"/>
      <c r="L125" s="26"/>
      <c r="M125" s="25" t="s">
        <v>1389</v>
      </c>
      <c r="N125" s="55"/>
      <c r="O125" s="28"/>
      <c r="P125" s="152"/>
      <c r="Q125" s="50" t="s">
        <v>282</v>
      </c>
      <c r="R125" s="25" t="s">
        <v>308</v>
      </c>
      <c r="S125" s="50"/>
      <c r="T125" s="65"/>
      <c r="U125" s="65"/>
      <c r="V125" s="65"/>
      <c r="W125" s="65"/>
      <c r="X125" s="65"/>
      <c r="Y125" s="65"/>
      <c r="Z125" s="65"/>
      <c r="AA125" s="65"/>
    </row>
    <row r="126" spans="1:27" ht="15.75" customHeight="1">
      <c r="A126" s="352"/>
      <c r="B126" s="352"/>
      <c r="C126" s="86">
        <v>6</v>
      </c>
      <c r="D126" s="352"/>
      <c r="E126" s="175" t="s">
        <v>5870</v>
      </c>
      <c r="F126" s="86"/>
      <c r="G126" s="86"/>
      <c r="H126" s="240" t="s">
        <v>5871</v>
      </c>
      <c r="I126" s="244" t="s">
        <v>5861</v>
      </c>
      <c r="J126" s="443"/>
      <c r="K126" s="25"/>
      <c r="L126" s="26"/>
      <c r="M126" s="25" t="s">
        <v>1389</v>
      </c>
      <c r="N126" s="55"/>
      <c r="O126" s="28"/>
      <c r="P126" s="152"/>
      <c r="Q126" s="50" t="s">
        <v>282</v>
      </c>
      <c r="R126" s="25" t="s">
        <v>308</v>
      </c>
      <c r="S126" s="50"/>
      <c r="T126" s="65"/>
      <c r="U126" s="65"/>
      <c r="V126" s="65"/>
      <c r="W126" s="65"/>
      <c r="X126" s="65"/>
      <c r="Y126" s="65"/>
      <c r="Z126" s="65"/>
      <c r="AA126" s="65"/>
    </row>
    <row r="127" spans="1:27" ht="15.75" customHeight="1">
      <c r="A127" s="352"/>
      <c r="B127" s="352"/>
      <c r="C127" s="86">
        <v>7</v>
      </c>
      <c r="D127" s="352"/>
      <c r="E127" s="175" t="s">
        <v>5872</v>
      </c>
      <c r="F127" s="86"/>
      <c r="G127" s="86"/>
      <c r="H127" s="240" t="s">
        <v>5873</v>
      </c>
      <c r="I127" s="244" t="s">
        <v>5861</v>
      </c>
      <c r="J127" s="443"/>
      <c r="K127" s="25"/>
      <c r="L127" s="26"/>
      <c r="M127" s="25" t="s">
        <v>1389</v>
      </c>
      <c r="N127" s="55"/>
      <c r="O127" s="28"/>
      <c r="P127" s="152"/>
      <c r="Q127" s="50" t="s">
        <v>282</v>
      </c>
      <c r="R127" s="25" t="s">
        <v>308</v>
      </c>
      <c r="S127" s="50"/>
      <c r="T127" s="65"/>
      <c r="U127" s="65"/>
      <c r="V127" s="65"/>
      <c r="W127" s="65"/>
      <c r="X127" s="65"/>
      <c r="Y127" s="65"/>
      <c r="Z127" s="65"/>
      <c r="AA127" s="65"/>
    </row>
    <row r="128" spans="1:27" ht="15.75" customHeight="1">
      <c r="A128" s="352"/>
      <c r="B128" s="352"/>
      <c r="C128" s="86">
        <v>8</v>
      </c>
      <c r="D128" s="352"/>
      <c r="E128" s="175" t="s">
        <v>5874</v>
      </c>
      <c r="F128" s="86"/>
      <c r="G128" s="86"/>
      <c r="H128" s="240" t="s">
        <v>5875</v>
      </c>
      <c r="I128" s="244" t="s">
        <v>5861</v>
      </c>
      <c r="J128" s="443"/>
      <c r="K128" s="25"/>
      <c r="L128" s="26"/>
      <c r="M128" s="25" t="s">
        <v>1389</v>
      </c>
      <c r="N128" s="55"/>
      <c r="O128" s="28"/>
      <c r="P128" s="152"/>
      <c r="Q128" s="50" t="s">
        <v>282</v>
      </c>
      <c r="R128" s="25" t="s">
        <v>308</v>
      </c>
      <c r="S128" s="50"/>
      <c r="T128" s="65"/>
      <c r="U128" s="65"/>
      <c r="V128" s="65"/>
      <c r="W128" s="65"/>
      <c r="X128" s="65"/>
      <c r="Y128" s="65"/>
      <c r="Z128" s="65"/>
      <c r="AA128" s="65"/>
    </row>
    <row r="129" spans="1:27" ht="15.75" customHeight="1">
      <c r="A129" s="352"/>
      <c r="B129" s="352"/>
      <c r="C129" s="86">
        <v>9</v>
      </c>
      <c r="D129" s="352"/>
      <c r="E129" s="175" t="s">
        <v>5876</v>
      </c>
      <c r="F129" s="86"/>
      <c r="G129" s="86"/>
      <c r="H129" s="240" t="s">
        <v>5877</v>
      </c>
      <c r="I129" s="244" t="s">
        <v>5861</v>
      </c>
      <c r="J129" s="443"/>
      <c r="K129" s="25"/>
      <c r="L129" s="26"/>
      <c r="M129" s="25" t="s">
        <v>1389</v>
      </c>
      <c r="N129" s="55"/>
      <c r="O129" s="28"/>
      <c r="P129" s="152"/>
      <c r="Q129" s="50" t="s">
        <v>282</v>
      </c>
      <c r="R129" s="25" t="s">
        <v>308</v>
      </c>
      <c r="S129" s="50"/>
      <c r="T129" s="65"/>
      <c r="U129" s="65"/>
      <c r="V129" s="65"/>
      <c r="W129" s="65"/>
      <c r="X129" s="65"/>
      <c r="Y129" s="65"/>
      <c r="Z129" s="65"/>
      <c r="AA129" s="65"/>
    </row>
    <row r="130" spans="1:27" ht="15.75" customHeight="1">
      <c r="A130" s="352"/>
      <c r="B130" s="352"/>
      <c r="C130" s="86">
        <v>10</v>
      </c>
      <c r="D130" s="352"/>
      <c r="E130" s="175" t="s">
        <v>5878</v>
      </c>
      <c r="F130" s="86"/>
      <c r="G130" s="86"/>
      <c r="H130" s="240" t="s">
        <v>5879</v>
      </c>
      <c r="I130" s="244" t="s">
        <v>5861</v>
      </c>
      <c r="J130" s="443"/>
      <c r="K130" s="25"/>
      <c r="L130" s="26"/>
      <c r="M130" s="25" t="s">
        <v>1389</v>
      </c>
      <c r="N130" s="55"/>
      <c r="O130" s="28"/>
      <c r="P130" s="152"/>
      <c r="Q130" s="50" t="s">
        <v>282</v>
      </c>
      <c r="R130" s="25" t="s">
        <v>308</v>
      </c>
      <c r="S130" s="50"/>
      <c r="T130" s="65"/>
      <c r="U130" s="65"/>
      <c r="V130" s="65"/>
      <c r="W130" s="65"/>
      <c r="X130" s="65"/>
      <c r="Y130" s="65"/>
      <c r="Z130" s="65"/>
      <c r="AA130" s="65"/>
    </row>
    <row r="131" spans="1:27" ht="15.75" customHeight="1">
      <c r="A131" s="352"/>
      <c r="B131" s="352"/>
      <c r="C131" s="86">
        <v>11</v>
      </c>
      <c r="D131" s="352"/>
      <c r="E131" s="175" t="s">
        <v>5880</v>
      </c>
      <c r="F131" s="86"/>
      <c r="G131" s="86"/>
      <c r="H131" s="240" t="s">
        <v>5881</v>
      </c>
      <c r="I131" s="244" t="s">
        <v>5861</v>
      </c>
      <c r="J131" s="443"/>
      <c r="K131" s="25"/>
      <c r="L131" s="26"/>
      <c r="M131" s="25" t="s">
        <v>1389</v>
      </c>
      <c r="N131" s="55"/>
      <c r="O131" s="28"/>
      <c r="P131" s="152"/>
      <c r="Q131" s="50" t="s">
        <v>282</v>
      </c>
      <c r="R131" s="25" t="s">
        <v>308</v>
      </c>
      <c r="S131" s="50"/>
      <c r="T131" s="65"/>
      <c r="U131" s="65"/>
      <c r="V131" s="65"/>
      <c r="W131" s="65"/>
      <c r="X131" s="65"/>
      <c r="Y131" s="65"/>
      <c r="Z131" s="65"/>
      <c r="AA131" s="65"/>
    </row>
    <row r="132" spans="1:27" ht="15.75" customHeight="1">
      <c r="A132" s="352"/>
      <c r="B132" s="352"/>
      <c r="C132" s="86">
        <v>12</v>
      </c>
      <c r="D132" s="352"/>
      <c r="E132" s="175" t="s">
        <v>5882</v>
      </c>
      <c r="F132" s="86"/>
      <c r="G132" s="86"/>
      <c r="H132" s="240" t="s">
        <v>5883</v>
      </c>
      <c r="I132" s="244" t="s">
        <v>5861</v>
      </c>
      <c r="J132" s="443"/>
      <c r="K132" s="25"/>
      <c r="L132" s="26"/>
      <c r="M132" s="25" t="s">
        <v>1389</v>
      </c>
      <c r="N132" s="55"/>
      <c r="O132" s="28"/>
      <c r="P132" s="152"/>
      <c r="Q132" s="50" t="s">
        <v>282</v>
      </c>
      <c r="R132" s="25" t="s">
        <v>308</v>
      </c>
      <c r="S132" s="50"/>
      <c r="T132" s="65"/>
      <c r="U132" s="65"/>
      <c r="V132" s="65"/>
      <c r="W132" s="65"/>
      <c r="X132" s="65"/>
      <c r="Y132" s="65"/>
      <c r="Z132" s="65"/>
      <c r="AA132" s="65"/>
    </row>
    <row r="133" spans="1:27" ht="15.75" customHeight="1">
      <c r="A133" s="352"/>
      <c r="B133" s="352"/>
      <c r="C133" s="86">
        <v>13</v>
      </c>
      <c r="D133" s="352"/>
      <c r="E133" s="175" t="s">
        <v>5884</v>
      </c>
      <c r="F133" s="86"/>
      <c r="G133" s="86"/>
      <c r="H133" s="240" t="s">
        <v>5885</v>
      </c>
      <c r="I133" s="244" t="s">
        <v>5861</v>
      </c>
      <c r="J133" s="443"/>
      <c r="K133" s="25"/>
      <c r="L133" s="26"/>
      <c r="M133" s="25" t="s">
        <v>1389</v>
      </c>
      <c r="N133" s="55"/>
      <c r="O133" s="28"/>
      <c r="P133" s="152"/>
      <c r="Q133" s="50" t="s">
        <v>282</v>
      </c>
      <c r="R133" s="25" t="s">
        <v>308</v>
      </c>
      <c r="S133" s="50"/>
      <c r="T133" s="65"/>
      <c r="U133" s="65"/>
      <c r="V133" s="65"/>
      <c r="W133" s="65"/>
      <c r="X133" s="65"/>
      <c r="Y133" s="65"/>
      <c r="Z133" s="65"/>
      <c r="AA133" s="65"/>
    </row>
    <row r="134" spans="1:27" ht="15.75" customHeight="1">
      <c r="A134" s="353"/>
      <c r="B134" s="353"/>
      <c r="C134" s="86">
        <v>14</v>
      </c>
      <c r="D134" s="353"/>
      <c r="E134" s="175" t="s">
        <v>5886</v>
      </c>
      <c r="F134" s="86"/>
      <c r="G134" s="86"/>
      <c r="H134" s="240" t="s">
        <v>5887</v>
      </c>
      <c r="I134" s="244" t="s">
        <v>5861</v>
      </c>
      <c r="J134" s="443"/>
      <c r="K134" s="25"/>
      <c r="L134" s="26"/>
      <c r="M134" s="25" t="s">
        <v>1389</v>
      </c>
      <c r="N134" s="55"/>
      <c r="O134" s="28"/>
      <c r="P134" s="152"/>
      <c r="Q134" s="50" t="s">
        <v>282</v>
      </c>
      <c r="R134" s="25" t="s">
        <v>308</v>
      </c>
      <c r="S134" s="50"/>
      <c r="T134" s="65"/>
      <c r="U134" s="65"/>
      <c r="V134" s="65"/>
      <c r="W134" s="65"/>
      <c r="X134" s="65"/>
      <c r="Y134" s="65"/>
      <c r="Z134" s="65"/>
      <c r="AA134" s="65"/>
    </row>
    <row r="135" spans="1:27" ht="15.75" customHeight="1">
      <c r="A135" s="39" t="s">
        <v>5888</v>
      </c>
      <c r="B135" s="31" t="s">
        <v>5889</v>
      </c>
      <c r="C135" s="31">
        <v>1</v>
      </c>
      <c r="D135" s="39" t="s">
        <v>5888</v>
      </c>
      <c r="E135" s="23" t="s">
        <v>5890</v>
      </c>
      <c r="F135" s="31" t="s">
        <v>361</v>
      </c>
      <c r="G135" s="31" t="s">
        <v>2234</v>
      </c>
      <c r="H135" s="39" t="s">
        <v>5891</v>
      </c>
      <c r="I135" s="23" t="s">
        <v>5693</v>
      </c>
      <c r="J135" s="170"/>
      <c r="K135" s="25" t="s">
        <v>294</v>
      </c>
      <c r="L135" s="26"/>
      <c r="M135" s="225" t="s">
        <v>5892</v>
      </c>
      <c r="N135" s="55"/>
      <c r="O135" s="25"/>
      <c r="P135" s="25"/>
      <c r="Q135" s="50" t="s">
        <v>140</v>
      </c>
      <c r="R135" s="25"/>
      <c r="S135" s="50" t="s">
        <v>140</v>
      </c>
      <c r="T135" s="65"/>
      <c r="U135" s="65"/>
      <c r="V135" s="65"/>
      <c r="W135" s="65"/>
      <c r="X135" s="65"/>
      <c r="Y135" s="65"/>
      <c r="Z135" s="65"/>
      <c r="AA135" s="65"/>
    </row>
    <row r="136" spans="1:27" ht="16.5" customHeight="1">
      <c r="A136" s="355" t="s">
        <v>5893</v>
      </c>
      <c r="B136" s="350" t="s">
        <v>106</v>
      </c>
      <c r="C136" s="74">
        <v>1</v>
      </c>
      <c r="D136" s="364" t="s">
        <v>5894</v>
      </c>
      <c r="E136" s="364" t="s">
        <v>5895</v>
      </c>
      <c r="F136" s="363" t="s">
        <v>361</v>
      </c>
      <c r="G136" s="363" t="s">
        <v>5896</v>
      </c>
      <c r="H136" s="398" t="s">
        <v>5897</v>
      </c>
      <c r="I136" s="237" t="s">
        <v>5898</v>
      </c>
      <c r="J136" s="441"/>
      <c r="K136" s="25" t="s">
        <v>294</v>
      </c>
      <c r="L136" s="26"/>
      <c r="M136" s="43"/>
      <c r="N136" s="55"/>
      <c r="O136" s="25"/>
      <c r="P136" s="25"/>
      <c r="Q136" s="50" t="s">
        <v>140</v>
      </c>
      <c r="R136" s="25"/>
      <c r="S136" s="50"/>
      <c r="T136" s="65"/>
      <c r="U136" s="65"/>
      <c r="V136" s="65"/>
      <c r="W136" s="65"/>
      <c r="X136" s="65"/>
      <c r="Y136" s="65"/>
      <c r="Z136" s="65"/>
      <c r="AA136" s="65"/>
    </row>
    <row r="137" spans="1:27" ht="15.75" customHeight="1">
      <c r="A137" s="344"/>
      <c r="B137" s="344"/>
      <c r="C137" s="74">
        <v>2</v>
      </c>
      <c r="D137" s="344"/>
      <c r="E137" s="345"/>
      <c r="F137" s="345"/>
      <c r="G137" s="345"/>
      <c r="H137" s="346"/>
      <c r="I137" s="237" t="s">
        <v>5899</v>
      </c>
      <c r="J137" s="441"/>
      <c r="K137" s="25" t="s">
        <v>294</v>
      </c>
      <c r="L137" s="26"/>
      <c r="M137" s="43"/>
      <c r="N137" s="55"/>
      <c r="O137" s="25"/>
      <c r="P137" s="25"/>
      <c r="Q137" s="50" t="s">
        <v>140</v>
      </c>
      <c r="R137" s="25"/>
      <c r="S137" s="50"/>
      <c r="T137" s="65"/>
      <c r="U137" s="65"/>
      <c r="V137" s="65"/>
      <c r="W137" s="65"/>
      <c r="X137" s="65"/>
      <c r="Y137" s="65"/>
      <c r="Z137" s="65"/>
      <c r="AA137" s="65"/>
    </row>
    <row r="138" spans="1:27" ht="16.5" customHeight="1">
      <c r="A138" s="344"/>
      <c r="B138" s="344"/>
      <c r="C138" s="74">
        <v>3</v>
      </c>
      <c r="D138" s="344"/>
      <c r="E138" s="364" t="s">
        <v>5900</v>
      </c>
      <c r="F138" s="363" t="s">
        <v>361</v>
      </c>
      <c r="G138" s="363" t="s">
        <v>524</v>
      </c>
      <c r="H138" s="398" t="s">
        <v>5901</v>
      </c>
      <c r="I138" s="237" t="s">
        <v>5898</v>
      </c>
      <c r="J138" s="441"/>
      <c r="K138" s="25" t="s">
        <v>294</v>
      </c>
      <c r="L138" s="26"/>
      <c r="M138" s="43"/>
      <c r="N138" s="55"/>
      <c r="O138" s="25"/>
      <c r="P138" s="25"/>
      <c r="Q138" s="50" t="s">
        <v>140</v>
      </c>
      <c r="R138" s="25"/>
      <c r="S138" s="50"/>
      <c r="T138" s="65"/>
      <c r="U138" s="65"/>
      <c r="V138" s="65"/>
      <c r="W138" s="65"/>
      <c r="X138" s="65"/>
      <c r="Y138" s="65"/>
      <c r="Z138" s="65"/>
      <c r="AA138" s="65"/>
    </row>
    <row r="139" spans="1:27" ht="15.75" customHeight="1">
      <c r="A139" s="344"/>
      <c r="B139" s="344"/>
      <c r="C139" s="74">
        <v>4</v>
      </c>
      <c r="D139" s="344"/>
      <c r="E139" s="345"/>
      <c r="F139" s="345"/>
      <c r="G139" s="345"/>
      <c r="H139" s="346"/>
      <c r="I139" s="237" t="s">
        <v>5899</v>
      </c>
      <c r="J139" s="441"/>
      <c r="K139" s="25" t="s">
        <v>294</v>
      </c>
      <c r="L139" s="26"/>
      <c r="M139" s="43"/>
      <c r="N139" s="55"/>
      <c r="O139" s="25"/>
      <c r="P139" s="25"/>
      <c r="Q139" s="50" t="s">
        <v>140</v>
      </c>
      <c r="R139" s="25"/>
      <c r="S139" s="50"/>
      <c r="T139" s="65"/>
      <c r="U139" s="65"/>
      <c r="V139" s="65"/>
      <c r="W139" s="65"/>
      <c r="X139" s="65"/>
      <c r="Y139" s="65"/>
      <c r="Z139" s="65"/>
      <c r="AA139" s="65"/>
    </row>
    <row r="140" spans="1:27" ht="33" customHeight="1">
      <c r="A140" s="344"/>
      <c r="B140" s="344"/>
      <c r="C140" s="74">
        <v>5</v>
      </c>
      <c r="D140" s="344"/>
      <c r="E140" s="364" t="s">
        <v>5902</v>
      </c>
      <c r="F140" s="363" t="s">
        <v>361</v>
      </c>
      <c r="G140" s="363" t="s">
        <v>524</v>
      </c>
      <c r="H140" s="398" t="s">
        <v>5903</v>
      </c>
      <c r="I140" s="237" t="s">
        <v>5898</v>
      </c>
      <c r="J140" s="441"/>
      <c r="K140" s="25" t="s">
        <v>294</v>
      </c>
      <c r="L140" s="26"/>
      <c r="M140" s="43"/>
      <c r="N140" s="55"/>
      <c r="O140" s="25"/>
      <c r="P140" s="50" t="s">
        <v>140</v>
      </c>
      <c r="Q140" s="50" t="s">
        <v>140</v>
      </c>
      <c r="R140" s="25"/>
      <c r="S140" s="50"/>
      <c r="T140" s="65"/>
      <c r="U140" s="65"/>
      <c r="V140" s="65"/>
      <c r="W140" s="65"/>
      <c r="X140" s="65"/>
      <c r="Y140" s="65"/>
      <c r="Z140" s="65"/>
      <c r="AA140" s="65"/>
    </row>
    <row r="141" spans="1:27" ht="15.75" customHeight="1">
      <c r="A141" s="344"/>
      <c r="B141" s="344"/>
      <c r="C141" s="74">
        <v>6</v>
      </c>
      <c r="D141" s="344"/>
      <c r="E141" s="345"/>
      <c r="F141" s="345"/>
      <c r="G141" s="345"/>
      <c r="H141" s="346"/>
      <c r="I141" s="237" t="s">
        <v>5899</v>
      </c>
      <c r="J141" s="441"/>
      <c r="K141" s="25" t="s">
        <v>294</v>
      </c>
      <c r="L141" s="26"/>
      <c r="M141" s="43"/>
      <c r="N141" s="55"/>
      <c r="O141" s="25"/>
      <c r="P141" s="50" t="s">
        <v>140</v>
      </c>
      <c r="Q141" s="50" t="s">
        <v>140</v>
      </c>
      <c r="R141" s="25"/>
      <c r="S141" s="50"/>
      <c r="T141" s="65"/>
      <c r="U141" s="65"/>
      <c r="V141" s="65"/>
      <c r="W141" s="65"/>
      <c r="X141" s="65"/>
      <c r="Y141" s="65"/>
      <c r="Z141" s="65"/>
      <c r="AA141" s="65"/>
    </row>
    <row r="142" spans="1:27" ht="16.5" customHeight="1">
      <c r="A142" s="344"/>
      <c r="B142" s="344"/>
      <c r="C142" s="74">
        <v>7</v>
      </c>
      <c r="D142" s="344"/>
      <c r="E142" s="364" t="s">
        <v>5904</v>
      </c>
      <c r="F142" s="363" t="s">
        <v>361</v>
      </c>
      <c r="G142" s="363" t="s">
        <v>524</v>
      </c>
      <c r="H142" s="398" t="s">
        <v>5905</v>
      </c>
      <c r="I142" s="237" t="s">
        <v>5898</v>
      </c>
      <c r="J142" s="441"/>
      <c r="K142" s="25" t="s">
        <v>294</v>
      </c>
      <c r="L142" s="26"/>
      <c r="M142" s="43"/>
      <c r="N142" s="55"/>
      <c r="O142" s="25"/>
      <c r="P142" s="50" t="s">
        <v>140</v>
      </c>
      <c r="Q142" s="50" t="s">
        <v>140</v>
      </c>
      <c r="R142" s="25"/>
      <c r="S142" s="50"/>
      <c r="T142" s="65"/>
      <c r="U142" s="65"/>
      <c r="V142" s="65"/>
      <c r="W142" s="65"/>
      <c r="X142" s="65"/>
      <c r="Y142" s="65"/>
      <c r="Z142" s="65"/>
      <c r="AA142" s="65"/>
    </row>
    <row r="143" spans="1:27" ht="15.75" customHeight="1">
      <c r="A143" s="344"/>
      <c r="B143" s="344"/>
      <c r="C143" s="74">
        <v>8</v>
      </c>
      <c r="D143" s="344"/>
      <c r="E143" s="345"/>
      <c r="F143" s="345"/>
      <c r="G143" s="345"/>
      <c r="H143" s="346"/>
      <c r="I143" s="237" t="s">
        <v>5899</v>
      </c>
      <c r="J143" s="441"/>
      <c r="K143" s="25" t="s">
        <v>294</v>
      </c>
      <c r="L143" s="26"/>
      <c r="M143" s="43"/>
      <c r="N143" s="55"/>
      <c r="O143" s="25"/>
      <c r="P143" s="50" t="s">
        <v>140</v>
      </c>
      <c r="Q143" s="50" t="s">
        <v>140</v>
      </c>
      <c r="R143" s="25"/>
      <c r="S143" s="50"/>
      <c r="T143" s="65"/>
      <c r="U143" s="65"/>
      <c r="V143" s="65"/>
      <c r="W143" s="65"/>
      <c r="X143" s="65"/>
      <c r="Y143" s="65"/>
      <c r="Z143" s="65"/>
      <c r="AA143" s="65"/>
    </row>
    <row r="144" spans="1:27" ht="33" customHeight="1">
      <c r="A144" s="344"/>
      <c r="B144" s="344"/>
      <c r="C144" s="74">
        <v>9</v>
      </c>
      <c r="D144" s="344"/>
      <c r="E144" s="364" t="s">
        <v>5906</v>
      </c>
      <c r="F144" s="363" t="s">
        <v>361</v>
      </c>
      <c r="G144" s="363" t="s">
        <v>524</v>
      </c>
      <c r="H144" s="398" t="s">
        <v>5907</v>
      </c>
      <c r="I144" s="237" t="s">
        <v>5908</v>
      </c>
      <c r="J144" s="441"/>
      <c r="K144" s="25" t="s">
        <v>294</v>
      </c>
      <c r="L144" s="26"/>
      <c r="M144" s="43"/>
      <c r="N144" s="55"/>
      <c r="O144" s="25"/>
      <c r="P144" s="50" t="s">
        <v>140</v>
      </c>
      <c r="Q144" s="50" t="s">
        <v>140</v>
      </c>
      <c r="R144" s="25"/>
      <c r="S144" s="50"/>
      <c r="T144" s="65"/>
      <c r="U144" s="65"/>
      <c r="V144" s="65"/>
      <c r="W144" s="65"/>
      <c r="X144" s="65"/>
      <c r="Y144" s="65"/>
      <c r="Z144" s="65"/>
      <c r="AA144" s="65"/>
    </row>
    <row r="145" spans="1:27" ht="15.75" customHeight="1">
      <c r="A145" s="344"/>
      <c r="B145" s="344"/>
      <c r="C145" s="74">
        <v>10</v>
      </c>
      <c r="D145" s="344"/>
      <c r="E145" s="345"/>
      <c r="F145" s="345"/>
      <c r="G145" s="345"/>
      <c r="H145" s="346"/>
      <c r="I145" s="237" t="s">
        <v>5899</v>
      </c>
      <c r="J145" s="441"/>
      <c r="K145" s="25" t="s">
        <v>294</v>
      </c>
      <c r="L145" s="26"/>
      <c r="M145" s="43"/>
      <c r="N145" s="55"/>
      <c r="O145" s="25"/>
      <c r="P145" s="50" t="s">
        <v>140</v>
      </c>
      <c r="Q145" s="50" t="s">
        <v>140</v>
      </c>
      <c r="R145" s="25"/>
      <c r="S145" s="50"/>
      <c r="T145" s="65"/>
      <c r="U145" s="65"/>
      <c r="V145" s="65"/>
      <c r="W145" s="65"/>
      <c r="X145" s="65"/>
      <c r="Y145" s="65"/>
      <c r="Z145" s="65"/>
      <c r="AA145" s="65"/>
    </row>
    <row r="146" spans="1:27" ht="15.75" customHeight="1">
      <c r="A146" s="344"/>
      <c r="B146" s="344"/>
      <c r="C146" s="74">
        <v>11</v>
      </c>
      <c r="D146" s="344"/>
      <c r="E146" s="364" t="s">
        <v>5909</v>
      </c>
      <c r="F146" s="363" t="s">
        <v>361</v>
      </c>
      <c r="G146" s="363" t="s">
        <v>524</v>
      </c>
      <c r="H146" s="364" t="s">
        <v>5910</v>
      </c>
      <c r="I146" s="23" t="s">
        <v>5898</v>
      </c>
      <c r="J146" s="170"/>
      <c r="K146" s="25" t="s">
        <v>294</v>
      </c>
      <c r="L146" s="26"/>
      <c r="M146" s="43"/>
      <c r="N146" s="55"/>
      <c r="O146" s="25"/>
      <c r="P146" s="50" t="s">
        <v>140</v>
      </c>
      <c r="Q146" s="50" t="s">
        <v>140</v>
      </c>
      <c r="R146" s="25"/>
      <c r="S146" s="50"/>
      <c r="T146" s="65"/>
      <c r="U146" s="65"/>
      <c r="V146" s="65"/>
      <c r="W146" s="65"/>
      <c r="X146" s="65"/>
      <c r="Y146" s="65"/>
      <c r="Z146" s="65"/>
      <c r="AA146" s="65"/>
    </row>
    <row r="147" spans="1:27" ht="15.75" customHeight="1">
      <c r="A147" s="344"/>
      <c r="B147" s="344"/>
      <c r="C147" s="74">
        <v>12</v>
      </c>
      <c r="D147" s="344"/>
      <c r="E147" s="344"/>
      <c r="F147" s="344"/>
      <c r="G147" s="344"/>
      <c r="H147" s="344"/>
      <c r="I147" s="23" t="s">
        <v>5899</v>
      </c>
      <c r="J147" s="170"/>
      <c r="K147" s="25" t="s">
        <v>294</v>
      </c>
      <c r="L147" s="26"/>
      <c r="M147" s="43"/>
      <c r="N147" s="55"/>
      <c r="O147" s="25"/>
      <c r="P147" s="50" t="s">
        <v>140</v>
      </c>
      <c r="Q147" s="50" t="s">
        <v>140</v>
      </c>
      <c r="R147" s="25"/>
      <c r="S147" s="50"/>
      <c r="T147" s="65"/>
      <c r="U147" s="65"/>
      <c r="V147" s="65"/>
      <c r="W147" s="65"/>
      <c r="X147" s="65"/>
      <c r="Y147" s="65"/>
      <c r="Z147" s="65"/>
      <c r="AA147" s="65"/>
    </row>
    <row r="148" spans="1:27" ht="15.75" customHeight="1">
      <c r="A148" s="344"/>
      <c r="B148" s="344"/>
      <c r="C148" s="74">
        <v>13</v>
      </c>
      <c r="D148" s="344"/>
      <c r="E148" s="364" t="s">
        <v>5911</v>
      </c>
      <c r="F148" s="363" t="s">
        <v>361</v>
      </c>
      <c r="G148" s="363" t="s">
        <v>524</v>
      </c>
      <c r="H148" s="398" t="s">
        <v>5912</v>
      </c>
      <c r="I148" s="241" t="s">
        <v>5913</v>
      </c>
      <c r="J148" s="442"/>
      <c r="K148" s="25" t="s">
        <v>294</v>
      </c>
      <c r="L148" s="26"/>
      <c r="M148" s="43"/>
      <c r="N148" s="55"/>
      <c r="O148" s="25"/>
      <c r="P148" s="25"/>
      <c r="Q148" s="50" t="s">
        <v>140</v>
      </c>
      <c r="R148" s="25" t="s">
        <v>298</v>
      </c>
      <c r="S148" s="50"/>
      <c r="T148" s="65"/>
      <c r="U148" s="65"/>
      <c r="V148" s="65"/>
      <c r="W148" s="65"/>
      <c r="X148" s="65"/>
      <c r="Y148" s="65"/>
      <c r="Z148" s="65"/>
      <c r="AA148" s="65"/>
    </row>
    <row r="149" spans="1:27" ht="15.75" customHeight="1">
      <c r="A149" s="344"/>
      <c r="B149" s="344"/>
      <c r="C149" s="74">
        <v>14</v>
      </c>
      <c r="D149" s="344"/>
      <c r="E149" s="345"/>
      <c r="F149" s="345"/>
      <c r="G149" s="345"/>
      <c r="H149" s="346"/>
      <c r="I149" s="241" t="s">
        <v>5899</v>
      </c>
      <c r="J149" s="442"/>
      <c r="K149" s="25" t="s">
        <v>294</v>
      </c>
      <c r="L149" s="26"/>
      <c r="M149" s="43"/>
      <c r="N149" s="55"/>
      <c r="O149" s="25"/>
      <c r="P149" s="25"/>
      <c r="Q149" s="50" t="s">
        <v>140</v>
      </c>
      <c r="R149" s="25" t="s">
        <v>298</v>
      </c>
      <c r="S149" s="50"/>
      <c r="T149" s="65"/>
      <c r="U149" s="65"/>
      <c r="V149" s="65"/>
      <c r="W149" s="65"/>
      <c r="X149" s="65"/>
      <c r="Y149" s="65"/>
      <c r="Z149" s="65"/>
      <c r="AA149" s="65"/>
    </row>
    <row r="150" spans="1:27" ht="15.75" customHeight="1">
      <c r="A150" s="344"/>
      <c r="B150" s="344"/>
      <c r="C150" s="74">
        <v>15</v>
      </c>
      <c r="D150" s="344"/>
      <c r="E150" s="364" t="s">
        <v>5914</v>
      </c>
      <c r="F150" s="363" t="s">
        <v>361</v>
      </c>
      <c r="G150" s="363" t="s">
        <v>524</v>
      </c>
      <c r="H150" s="398" t="s">
        <v>5915</v>
      </c>
      <c r="I150" s="241" t="s">
        <v>5898</v>
      </c>
      <c r="J150" s="442"/>
      <c r="K150" s="25" t="s">
        <v>294</v>
      </c>
      <c r="L150" s="26"/>
      <c r="M150" s="43"/>
      <c r="N150" s="55"/>
      <c r="O150" s="25"/>
      <c r="P150" s="25"/>
      <c r="Q150" s="50" t="s">
        <v>140</v>
      </c>
      <c r="R150" s="25" t="s">
        <v>298</v>
      </c>
      <c r="S150" s="50"/>
      <c r="T150" s="65"/>
      <c r="U150" s="65"/>
      <c r="V150" s="65"/>
      <c r="W150" s="65"/>
      <c r="X150" s="65"/>
      <c r="Y150" s="65"/>
      <c r="Z150" s="65"/>
      <c r="AA150" s="65"/>
    </row>
    <row r="151" spans="1:27" ht="53.25" customHeight="1">
      <c r="A151" s="344"/>
      <c r="B151" s="344"/>
      <c r="C151" s="74">
        <v>16</v>
      </c>
      <c r="D151" s="344"/>
      <c r="E151" s="345"/>
      <c r="F151" s="345"/>
      <c r="G151" s="345"/>
      <c r="H151" s="346"/>
      <c r="I151" s="241" t="s">
        <v>5899</v>
      </c>
      <c r="J151" s="442"/>
      <c r="K151" s="25" t="s">
        <v>294</v>
      </c>
      <c r="L151" s="26"/>
      <c r="M151" s="43"/>
      <c r="N151" s="55"/>
      <c r="O151" s="25"/>
      <c r="P151" s="25"/>
      <c r="Q151" s="50" t="s">
        <v>140</v>
      </c>
      <c r="R151" s="25" t="s">
        <v>298</v>
      </c>
      <c r="S151" s="50"/>
      <c r="T151" s="65"/>
      <c r="U151" s="65"/>
      <c r="V151" s="65"/>
      <c r="W151" s="65"/>
      <c r="X151" s="65"/>
      <c r="Y151" s="65"/>
      <c r="Z151" s="65"/>
      <c r="AA151" s="65"/>
    </row>
    <row r="152" spans="1:27" ht="15.75" customHeight="1">
      <c r="A152" s="344"/>
      <c r="B152" s="344"/>
      <c r="C152" s="74">
        <v>17</v>
      </c>
      <c r="D152" s="344"/>
      <c r="E152" s="364" t="s">
        <v>5916</v>
      </c>
      <c r="F152" s="363" t="s">
        <v>361</v>
      </c>
      <c r="G152" s="363" t="s">
        <v>524</v>
      </c>
      <c r="H152" s="364" t="s">
        <v>5917</v>
      </c>
      <c r="I152" s="63" t="s">
        <v>5898</v>
      </c>
      <c r="J152" s="171"/>
      <c r="K152" s="25" t="s">
        <v>294</v>
      </c>
      <c r="L152" s="26"/>
      <c r="M152" s="43"/>
      <c r="N152" s="55"/>
      <c r="O152" s="25"/>
      <c r="P152" s="25"/>
      <c r="Q152" s="50" t="s">
        <v>140</v>
      </c>
      <c r="R152" s="25" t="s">
        <v>298</v>
      </c>
      <c r="S152" s="50"/>
      <c r="T152" s="65"/>
      <c r="U152" s="65"/>
      <c r="V152" s="65"/>
      <c r="W152" s="65"/>
      <c r="X152" s="65"/>
      <c r="Y152" s="65"/>
      <c r="Z152" s="65"/>
      <c r="AA152" s="65"/>
    </row>
    <row r="153" spans="1:27" ht="76.5" customHeight="1">
      <c r="A153" s="344"/>
      <c r="B153" s="369"/>
      <c r="C153" s="74">
        <v>18</v>
      </c>
      <c r="D153" s="345"/>
      <c r="E153" s="345"/>
      <c r="F153" s="345"/>
      <c r="G153" s="345"/>
      <c r="H153" s="345"/>
      <c r="I153" s="63" t="s">
        <v>5899</v>
      </c>
      <c r="J153" s="171"/>
      <c r="K153" s="25" t="s">
        <v>294</v>
      </c>
      <c r="L153" s="26"/>
      <c r="M153" s="43"/>
      <c r="N153" s="55"/>
      <c r="O153" s="25"/>
      <c r="P153" s="25"/>
      <c r="Q153" s="50" t="s">
        <v>140</v>
      </c>
      <c r="R153" s="25" t="s">
        <v>298</v>
      </c>
      <c r="S153" s="50"/>
      <c r="T153" s="65"/>
      <c r="U153" s="65"/>
      <c r="V153" s="65"/>
      <c r="W153" s="65"/>
      <c r="X153" s="65"/>
      <c r="Y153" s="65"/>
      <c r="Z153" s="65"/>
      <c r="AA153" s="65"/>
    </row>
    <row r="154" spans="1:27" ht="15.75" customHeight="1">
      <c r="A154" s="355" t="s">
        <v>5918</v>
      </c>
      <c r="B154" s="350" t="s">
        <v>5919</v>
      </c>
      <c r="C154" s="31">
        <v>1</v>
      </c>
      <c r="D154" s="355" t="s">
        <v>5920</v>
      </c>
      <c r="E154" s="23" t="s">
        <v>5921</v>
      </c>
      <c r="F154" s="31" t="s">
        <v>361</v>
      </c>
      <c r="G154" s="31" t="s">
        <v>524</v>
      </c>
      <c r="H154" s="237" t="s">
        <v>5922</v>
      </c>
      <c r="I154" s="237" t="s">
        <v>5923</v>
      </c>
      <c r="J154" s="441"/>
      <c r="K154" s="25" t="s">
        <v>294</v>
      </c>
      <c r="L154" s="26"/>
      <c r="M154" s="43"/>
      <c r="N154" s="55"/>
      <c r="O154" s="25"/>
      <c r="P154" s="25"/>
      <c r="Q154" s="50" t="s">
        <v>140</v>
      </c>
      <c r="R154" s="25"/>
      <c r="S154" s="50"/>
      <c r="T154" s="65"/>
      <c r="U154" s="65"/>
      <c r="V154" s="65"/>
      <c r="W154" s="65"/>
      <c r="X154" s="65"/>
      <c r="Y154" s="65"/>
      <c r="Z154" s="65"/>
      <c r="AA154" s="65"/>
    </row>
    <row r="155" spans="1:27" ht="15.75" customHeight="1">
      <c r="A155" s="345"/>
      <c r="B155" s="345"/>
      <c r="C155" s="31">
        <v>2</v>
      </c>
      <c r="D155" s="345"/>
      <c r="E155" s="23" t="s">
        <v>5924</v>
      </c>
      <c r="F155" s="31" t="s">
        <v>361</v>
      </c>
      <c r="G155" s="31" t="s">
        <v>524</v>
      </c>
      <c r="H155" s="237" t="s">
        <v>5925</v>
      </c>
      <c r="I155" s="237" t="s">
        <v>5923</v>
      </c>
      <c r="J155" s="441"/>
      <c r="K155" s="25" t="s">
        <v>294</v>
      </c>
      <c r="L155" s="26"/>
      <c r="M155" s="43"/>
      <c r="N155" s="55"/>
      <c r="O155" s="25"/>
      <c r="P155" s="25"/>
      <c r="Q155" s="50" t="s">
        <v>140</v>
      </c>
      <c r="R155" s="25"/>
      <c r="S155" s="50"/>
      <c r="T155" s="65"/>
      <c r="U155" s="65"/>
      <c r="V155" s="65"/>
      <c r="W155" s="65"/>
      <c r="X155" s="65"/>
      <c r="Y155" s="65"/>
      <c r="Z155" s="65"/>
      <c r="AA155" s="65"/>
    </row>
    <row r="156" spans="1:27" ht="15.75" customHeight="1">
      <c r="A156" s="355" t="s">
        <v>5926</v>
      </c>
      <c r="B156" s="350" t="s">
        <v>5927</v>
      </c>
      <c r="C156" s="31">
        <v>1</v>
      </c>
      <c r="D156" s="355" t="s">
        <v>5928</v>
      </c>
      <c r="E156" s="23" t="s">
        <v>5929</v>
      </c>
      <c r="F156" s="31" t="s">
        <v>5930</v>
      </c>
      <c r="G156" s="31" t="s">
        <v>524</v>
      </c>
      <c r="H156" s="23" t="s">
        <v>5931</v>
      </c>
      <c r="I156" s="23" t="s">
        <v>5932</v>
      </c>
      <c r="J156" s="170"/>
      <c r="K156" s="25" t="s">
        <v>294</v>
      </c>
      <c r="L156" s="26"/>
      <c r="M156" s="43"/>
      <c r="N156" s="55"/>
      <c r="O156" s="25"/>
      <c r="P156" s="25"/>
      <c r="Q156" s="50" t="s">
        <v>140</v>
      </c>
      <c r="R156" s="25"/>
      <c r="S156" s="50"/>
      <c r="T156" s="65"/>
      <c r="U156" s="65"/>
      <c r="V156" s="65"/>
      <c r="W156" s="65"/>
      <c r="X156" s="65"/>
      <c r="Y156" s="65"/>
      <c r="Z156" s="65"/>
      <c r="AA156" s="65"/>
    </row>
    <row r="157" spans="1:27" ht="15.75" customHeight="1">
      <c r="A157" s="345"/>
      <c r="B157" s="345"/>
      <c r="C157" s="31">
        <v>2</v>
      </c>
      <c r="D157" s="345"/>
      <c r="E157" s="23" t="s">
        <v>5933</v>
      </c>
      <c r="F157" s="31" t="s">
        <v>5934</v>
      </c>
      <c r="G157" s="31" t="s">
        <v>524</v>
      </c>
      <c r="H157" s="23" t="s">
        <v>5931</v>
      </c>
      <c r="I157" s="23" t="s">
        <v>5932</v>
      </c>
      <c r="J157" s="170"/>
      <c r="K157" s="25" t="s">
        <v>294</v>
      </c>
      <c r="L157" s="26"/>
      <c r="M157" s="43"/>
      <c r="N157" s="55"/>
      <c r="O157" s="25"/>
      <c r="P157" s="25"/>
      <c r="Q157" s="50" t="s">
        <v>140</v>
      </c>
      <c r="R157" s="25"/>
      <c r="S157" s="50"/>
      <c r="T157" s="65"/>
      <c r="U157" s="65"/>
      <c r="V157" s="65"/>
      <c r="W157" s="65"/>
      <c r="X157" s="65"/>
      <c r="Y157" s="65"/>
      <c r="Z157" s="65"/>
      <c r="AA157" s="65"/>
    </row>
    <row r="158" spans="1:27" ht="15.75" customHeight="1">
      <c r="A158" s="355" t="s">
        <v>5935</v>
      </c>
      <c r="B158" s="350" t="s">
        <v>5936</v>
      </c>
      <c r="C158" s="31">
        <v>1</v>
      </c>
      <c r="D158" s="355" t="s">
        <v>5937</v>
      </c>
      <c r="E158" s="23" t="s">
        <v>5938</v>
      </c>
      <c r="F158" s="31" t="s">
        <v>361</v>
      </c>
      <c r="G158" s="31" t="s">
        <v>524</v>
      </c>
      <c r="H158" s="23" t="s">
        <v>5939</v>
      </c>
      <c r="I158" s="23" t="s">
        <v>5932</v>
      </c>
      <c r="J158" s="170"/>
      <c r="K158" s="25" t="s">
        <v>294</v>
      </c>
      <c r="L158" s="26"/>
      <c r="M158" s="43"/>
      <c r="N158" s="55"/>
      <c r="O158" s="25"/>
      <c r="P158" s="25"/>
      <c r="Q158" s="50" t="s">
        <v>140</v>
      </c>
      <c r="R158" s="25"/>
      <c r="S158" s="50"/>
      <c r="T158" s="65"/>
      <c r="U158" s="65"/>
      <c r="V158" s="65"/>
      <c r="W158" s="65"/>
      <c r="X158" s="65"/>
      <c r="Y158" s="65"/>
      <c r="Z158" s="65"/>
      <c r="AA158" s="65"/>
    </row>
    <row r="159" spans="1:27" ht="15.75" customHeight="1">
      <c r="A159" s="345"/>
      <c r="B159" s="345"/>
      <c r="C159" s="31">
        <v>2</v>
      </c>
      <c r="D159" s="345"/>
      <c r="E159" s="23" t="s">
        <v>5940</v>
      </c>
      <c r="F159" s="31" t="s">
        <v>361</v>
      </c>
      <c r="G159" s="31" t="s">
        <v>524</v>
      </c>
      <c r="H159" s="23" t="s">
        <v>5939</v>
      </c>
      <c r="I159" s="23" t="s">
        <v>5932</v>
      </c>
      <c r="J159" s="170"/>
      <c r="K159" s="25" t="s">
        <v>294</v>
      </c>
      <c r="L159" s="26"/>
      <c r="M159" s="43"/>
      <c r="N159" s="55"/>
      <c r="O159" s="25"/>
      <c r="P159" s="25"/>
      <c r="Q159" s="50" t="s">
        <v>140</v>
      </c>
      <c r="R159" s="25"/>
      <c r="S159" s="50"/>
      <c r="T159" s="65"/>
      <c r="U159" s="65"/>
      <c r="V159" s="65"/>
      <c r="W159" s="65"/>
      <c r="X159" s="65"/>
      <c r="Y159" s="65"/>
      <c r="Z159" s="65"/>
      <c r="AA159" s="65"/>
    </row>
    <row r="160" spans="1:27" ht="15.75" customHeight="1">
      <c r="A160" s="355" t="s">
        <v>5941</v>
      </c>
      <c r="B160" s="350" t="s">
        <v>5942</v>
      </c>
      <c r="C160" s="31">
        <v>1</v>
      </c>
      <c r="D160" s="355" t="s">
        <v>5943</v>
      </c>
      <c r="E160" s="23" t="s">
        <v>5944</v>
      </c>
      <c r="F160" s="31" t="s">
        <v>361</v>
      </c>
      <c r="G160" s="31" t="s">
        <v>524</v>
      </c>
      <c r="H160" s="23" t="s">
        <v>5945</v>
      </c>
      <c r="I160" s="23" t="s">
        <v>5932</v>
      </c>
      <c r="J160" s="170"/>
      <c r="K160" s="25" t="s">
        <v>294</v>
      </c>
      <c r="L160" s="26"/>
      <c r="M160" s="43"/>
      <c r="N160" s="55"/>
      <c r="O160" s="25"/>
      <c r="P160" s="25"/>
      <c r="Q160" s="50" t="s">
        <v>140</v>
      </c>
      <c r="R160" s="25"/>
      <c r="S160" s="50"/>
      <c r="T160" s="65"/>
      <c r="U160" s="65"/>
      <c r="V160" s="65"/>
      <c r="W160" s="65"/>
      <c r="X160" s="65"/>
      <c r="Y160" s="65"/>
      <c r="Z160" s="65"/>
      <c r="AA160" s="65"/>
    </row>
    <row r="161" spans="1:27" ht="15.75" customHeight="1">
      <c r="A161" s="344"/>
      <c r="B161" s="344"/>
      <c r="C161" s="31">
        <v>2</v>
      </c>
      <c r="D161" s="344"/>
      <c r="E161" s="23" t="s">
        <v>5946</v>
      </c>
      <c r="F161" s="31" t="s">
        <v>361</v>
      </c>
      <c r="G161" s="31" t="s">
        <v>524</v>
      </c>
      <c r="H161" s="23" t="s">
        <v>5945</v>
      </c>
      <c r="I161" s="23" t="s">
        <v>5932</v>
      </c>
      <c r="J161" s="170"/>
      <c r="K161" s="25" t="s">
        <v>294</v>
      </c>
      <c r="L161" s="26"/>
      <c r="M161" s="43"/>
      <c r="N161" s="55"/>
      <c r="O161" s="25"/>
      <c r="P161" s="25"/>
      <c r="Q161" s="50" t="s">
        <v>140</v>
      </c>
      <c r="R161" s="25"/>
      <c r="S161" s="50"/>
      <c r="T161" s="65"/>
      <c r="U161" s="65"/>
      <c r="V161" s="65"/>
      <c r="W161" s="65"/>
      <c r="X161" s="65"/>
      <c r="Y161" s="65"/>
      <c r="Z161" s="65"/>
      <c r="AA161" s="65"/>
    </row>
    <row r="162" spans="1:27" ht="15.75" customHeight="1">
      <c r="A162" s="345"/>
      <c r="B162" s="345"/>
      <c r="C162" s="31">
        <v>3</v>
      </c>
      <c r="D162" s="345"/>
      <c r="E162" s="23" t="s">
        <v>5947</v>
      </c>
      <c r="F162" s="31" t="s">
        <v>361</v>
      </c>
      <c r="G162" s="31" t="s">
        <v>524</v>
      </c>
      <c r="H162" s="23" t="s">
        <v>5948</v>
      </c>
      <c r="I162" s="23" t="s">
        <v>5932</v>
      </c>
      <c r="J162" s="170"/>
      <c r="K162" s="25" t="s">
        <v>294</v>
      </c>
      <c r="L162" s="26"/>
      <c r="M162" s="43"/>
      <c r="N162" s="55"/>
      <c r="O162" s="25"/>
      <c r="P162" s="25"/>
      <c r="Q162" s="50" t="s">
        <v>140</v>
      </c>
      <c r="R162" s="25"/>
      <c r="S162" s="50"/>
      <c r="T162" s="65"/>
      <c r="U162" s="65"/>
      <c r="V162" s="65"/>
      <c r="W162" s="65"/>
      <c r="X162" s="65"/>
      <c r="Y162" s="65"/>
      <c r="Z162" s="65"/>
      <c r="AA162" s="65"/>
    </row>
    <row r="163" spans="1:27" ht="15.75" customHeight="1">
      <c r="A163" s="23" t="s">
        <v>5949</v>
      </c>
      <c r="B163" s="31" t="s">
        <v>5950</v>
      </c>
      <c r="C163" s="31">
        <v>1</v>
      </c>
      <c r="D163" s="23" t="s">
        <v>5951</v>
      </c>
      <c r="E163" s="23" t="s">
        <v>5952</v>
      </c>
      <c r="F163" s="31" t="s">
        <v>361</v>
      </c>
      <c r="G163" s="31" t="s">
        <v>5953</v>
      </c>
      <c r="H163" s="23" t="s">
        <v>5954</v>
      </c>
      <c r="I163" s="23" t="s">
        <v>5955</v>
      </c>
      <c r="J163" s="170"/>
      <c r="K163" s="25" t="s">
        <v>294</v>
      </c>
      <c r="L163" s="26"/>
      <c r="M163" s="43"/>
      <c r="N163" s="55"/>
      <c r="O163" s="25"/>
      <c r="P163" s="50" t="s">
        <v>140</v>
      </c>
      <c r="Q163" s="50" t="s">
        <v>140</v>
      </c>
      <c r="R163" s="25"/>
      <c r="S163" s="50"/>
      <c r="T163" s="65"/>
      <c r="U163" s="65"/>
      <c r="V163" s="65"/>
      <c r="W163" s="65"/>
      <c r="X163" s="65"/>
      <c r="Y163" s="65"/>
      <c r="Z163" s="65"/>
      <c r="AA163" s="65"/>
    </row>
    <row r="164" spans="1:27" ht="15.75" customHeight="1">
      <c r="A164" s="355" t="s">
        <v>5943</v>
      </c>
      <c r="B164" s="350" t="s">
        <v>121</v>
      </c>
      <c r="C164" s="61">
        <v>1</v>
      </c>
      <c r="D164" s="366" t="s">
        <v>5943</v>
      </c>
      <c r="E164" s="63" t="s">
        <v>1523</v>
      </c>
      <c r="F164" s="61" t="s">
        <v>361</v>
      </c>
      <c r="G164" s="61" t="s">
        <v>2234</v>
      </c>
      <c r="H164" s="241" t="s">
        <v>5956</v>
      </c>
      <c r="I164" s="241" t="s">
        <v>5957</v>
      </c>
      <c r="J164" s="442"/>
      <c r="K164" s="25" t="s">
        <v>294</v>
      </c>
      <c r="L164" s="26"/>
      <c r="M164" s="43"/>
      <c r="N164" s="55"/>
      <c r="O164" s="25"/>
      <c r="P164" s="25"/>
      <c r="Q164" s="50" t="s">
        <v>140</v>
      </c>
      <c r="R164" s="25"/>
      <c r="S164" s="50"/>
      <c r="T164" s="65"/>
      <c r="U164" s="65"/>
      <c r="V164" s="65"/>
      <c r="W164" s="65"/>
      <c r="X164" s="65"/>
      <c r="Y164" s="65"/>
      <c r="Z164" s="65"/>
      <c r="AA164" s="65"/>
    </row>
    <row r="165" spans="1:27" ht="15.75" customHeight="1">
      <c r="A165" s="344"/>
      <c r="B165" s="344"/>
      <c r="C165" s="61">
        <v>2</v>
      </c>
      <c r="D165" s="344"/>
      <c r="E165" s="63" t="s">
        <v>5958</v>
      </c>
      <c r="F165" s="61" t="s">
        <v>361</v>
      </c>
      <c r="G165" s="61" t="s">
        <v>2234</v>
      </c>
      <c r="H165" s="241" t="s">
        <v>5959</v>
      </c>
      <c r="I165" s="241" t="s">
        <v>5960</v>
      </c>
      <c r="J165" s="442"/>
      <c r="K165" s="25" t="s">
        <v>294</v>
      </c>
      <c r="L165" s="26"/>
      <c r="M165" s="43"/>
      <c r="N165" s="55"/>
      <c r="O165" s="25"/>
      <c r="P165" s="25"/>
      <c r="Q165" s="50" t="s">
        <v>140</v>
      </c>
      <c r="R165" s="25"/>
      <c r="S165" s="50"/>
      <c r="T165" s="65"/>
      <c r="U165" s="65"/>
      <c r="V165" s="65"/>
      <c r="W165" s="65"/>
      <c r="X165" s="65"/>
      <c r="Y165" s="65"/>
      <c r="Z165" s="65"/>
      <c r="AA165" s="65"/>
    </row>
    <row r="166" spans="1:27" ht="15.75" customHeight="1">
      <c r="A166" s="344"/>
      <c r="B166" s="344"/>
      <c r="C166" s="61">
        <v>3</v>
      </c>
      <c r="D166" s="344"/>
      <c r="E166" s="63" t="s">
        <v>5961</v>
      </c>
      <c r="F166" s="61" t="s">
        <v>361</v>
      </c>
      <c r="G166" s="61" t="s">
        <v>2234</v>
      </c>
      <c r="H166" s="241" t="s">
        <v>5962</v>
      </c>
      <c r="I166" s="241" t="s">
        <v>5960</v>
      </c>
      <c r="J166" s="442"/>
      <c r="K166" s="25" t="s">
        <v>294</v>
      </c>
      <c r="L166" s="26"/>
      <c r="M166" s="43"/>
      <c r="N166" s="55"/>
      <c r="O166" s="25"/>
      <c r="P166" s="25"/>
      <c r="Q166" s="50" t="s">
        <v>140</v>
      </c>
      <c r="R166" s="25"/>
      <c r="S166" s="50"/>
      <c r="T166" s="65"/>
      <c r="U166" s="65"/>
      <c r="V166" s="65"/>
      <c r="W166" s="65"/>
      <c r="X166" s="65"/>
      <c r="Y166" s="65"/>
      <c r="Z166" s="65"/>
      <c r="AA166" s="65"/>
    </row>
    <row r="167" spans="1:27" ht="15.75" customHeight="1">
      <c r="A167" s="344"/>
      <c r="B167" s="344"/>
      <c r="C167" s="61">
        <v>4</v>
      </c>
      <c r="D167" s="344"/>
      <c r="E167" s="63" t="s">
        <v>5963</v>
      </c>
      <c r="F167" s="61" t="s">
        <v>361</v>
      </c>
      <c r="G167" s="61" t="s">
        <v>2234</v>
      </c>
      <c r="H167" s="241" t="s">
        <v>5964</v>
      </c>
      <c r="I167" s="241" t="s">
        <v>5960</v>
      </c>
      <c r="J167" s="442"/>
      <c r="K167" s="25"/>
      <c r="L167" s="26"/>
      <c r="M167" s="43"/>
      <c r="N167" s="55"/>
      <c r="O167" s="25"/>
      <c r="P167" s="25"/>
      <c r="Q167" s="50" t="s">
        <v>282</v>
      </c>
      <c r="R167" s="25"/>
      <c r="S167" s="50"/>
      <c r="T167" s="65"/>
      <c r="U167" s="65"/>
      <c r="V167" s="65"/>
      <c r="W167" s="65"/>
      <c r="X167" s="65"/>
      <c r="Y167" s="65"/>
      <c r="Z167" s="65"/>
      <c r="AA167" s="65"/>
    </row>
    <row r="168" spans="1:27" ht="15.75" customHeight="1">
      <c r="A168" s="352"/>
      <c r="B168" s="352"/>
      <c r="C168" s="86">
        <v>5</v>
      </c>
      <c r="D168" s="352"/>
      <c r="E168" s="175" t="s">
        <v>5965</v>
      </c>
      <c r="F168" s="86" t="s">
        <v>361</v>
      </c>
      <c r="G168" s="86" t="s">
        <v>2234</v>
      </c>
      <c r="H168" s="240" t="s">
        <v>5966</v>
      </c>
      <c r="I168" s="241" t="s">
        <v>5960</v>
      </c>
      <c r="J168" s="442"/>
      <c r="K168" s="25"/>
      <c r="L168" s="26"/>
      <c r="M168" s="43"/>
      <c r="N168" s="55"/>
      <c r="O168" s="25"/>
      <c r="P168" s="25"/>
      <c r="Q168" s="50" t="s">
        <v>282</v>
      </c>
      <c r="R168" s="25" t="s">
        <v>305</v>
      </c>
      <c r="S168" s="50"/>
      <c r="T168" s="65"/>
      <c r="U168" s="65"/>
      <c r="V168" s="65"/>
      <c r="W168" s="65"/>
      <c r="X168" s="65"/>
      <c r="Y168" s="65"/>
      <c r="Z168" s="65"/>
      <c r="AA168" s="65"/>
    </row>
    <row r="169" spans="1:27" ht="15.75" customHeight="1">
      <c r="A169" s="344"/>
      <c r="B169" s="344"/>
      <c r="C169" s="34">
        <v>6</v>
      </c>
      <c r="D169" s="344"/>
      <c r="E169" s="33" t="s">
        <v>5967</v>
      </c>
      <c r="F169" s="34" t="s">
        <v>361</v>
      </c>
      <c r="G169" s="34" t="s">
        <v>327</v>
      </c>
      <c r="H169" s="240" t="s">
        <v>5968</v>
      </c>
      <c r="I169" s="241" t="s">
        <v>5969</v>
      </c>
      <c r="J169" s="442"/>
      <c r="K169" s="25"/>
      <c r="L169" s="26"/>
      <c r="M169" s="43"/>
      <c r="N169" s="55"/>
      <c r="O169" s="25"/>
      <c r="P169" s="25"/>
      <c r="Q169" s="50" t="s">
        <v>140</v>
      </c>
      <c r="R169" s="25" t="s">
        <v>300</v>
      </c>
      <c r="S169" s="50"/>
      <c r="T169" s="65"/>
      <c r="U169" s="65"/>
      <c r="V169" s="65"/>
      <c r="W169" s="65"/>
      <c r="X169" s="65"/>
      <c r="Y169" s="65"/>
      <c r="Z169" s="65"/>
      <c r="AA169" s="65"/>
    </row>
    <row r="170" spans="1:27" ht="15.75" customHeight="1">
      <c r="A170" s="344"/>
      <c r="B170" s="344"/>
      <c r="C170" s="34">
        <v>7</v>
      </c>
      <c r="D170" s="344"/>
      <c r="E170" s="33" t="s">
        <v>5970</v>
      </c>
      <c r="F170" s="34" t="s">
        <v>361</v>
      </c>
      <c r="G170" s="34" t="s">
        <v>524</v>
      </c>
      <c r="H170" s="240" t="s">
        <v>5971</v>
      </c>
      <c r="I170" s="241" t="s">
        <v>5972</v>
      </c>
      <c r="J170" s="442"/>
      <c r="K170" s="25"/>
      <c r="L170" s="26"/>
      <c r="M170" s="43"/>
      <c r="N170" s="55"/>
      <c r="O170" s="28" t="s">
        <v>140</v>
      </c>
      <c r="P170" s="25"/>
      <c r="Q170" s="50" t="s">
        <v>140</v>
      </c>
      <c r="R170" s="25" t="s">
        <v>300</v>
      </c>
      <c r="S170" s="50"/>
      <c r="T170" s="65"/>
      <c r="U170" s="65"/>
      <c r="V170" s="65"/>
      <c r="W170" s="65"/>
      <c r="X170" s="65"/>
      <c r="Y170" s="65"/>
      <c r="Z170" s="65"/>
      <c r="AA170" s="65"/>
    </row>
    <row r="171" spans="1:27" ht="15.75" customHeight="1">
      <c r="A171" s="344"/>
      <c r="B171" s="344"/>
      <c r="C171" s="34">
        <v>8</v>
      </c>
      <c r="D171" s="344"/>
      <c r="E171" s="33" t="s">
        <v>5973</v>
      </c>
      <c r="F171" s="34" t="s">
        <v>361</v>
      </c>
      <c r="G171" s="34" t="s">
        <v>524</v>
      </c>
      <c r="H171" s="240" t="s">
        <v>5974</v>
      </c>
      <c r="I171" s="241" t="s">
        <v>5972</v>
      </c>
      <c r="J171" s="442"/>
      <c r="K171" s="25"/>
      <c r="L171" s="26"/>
      <c r="M171" s="43"/>
      <c r="N171" s="55"/>
      <c r="O171" s="25"/>
      <c r="P171" s="25"/>
      <c r="Q171" s="50" t="s">
        <v>140</v>
      </c>
      <c r="R171" s="25" t="s">
        <v>300</v>
      </c>
      <c r="S171" s="50"/>
      <c r="T171" s="65"/>
      <c r="U171" s="65"/>
      <c r="V171" s="65"/>
      <c r="W171" s="65"/>
      <c r="X171" s="65"/>
      <c r="Y171" s="65"/>
      <c r="Z171" s="65"/>
      <c r="AA171" s="65"/>
    </row>
    <row r="172" spans="1:27" ht="15.75" customHeight="1">
      <c r="A172" s="344"/>
      <c r="B172" s="344"/>
      <c r="C172" s="61">
        <v>9</v>
      </c>
      <c r="D172" s="344"/>
      <c r="E172" s="63" t="s">
        <v>5975</v>
      </c>
      <c r="F172" s="61" t="s">
        <v>361</v>
      </c>
      <c r="G172" s="61" t="s">
        <v>524</v>
      </c>
      <c r="H172" s="241" t="s">
        <v>5976</v>
      </c>
      <c r="I172" s="241" t="s">
        <v>5977</v>
      </c>
      <c r="J172" s="442"/>
      <c r="K172" s="25" t="s">
        <v>294</v>
      </c>
      <c r="L172" s="26"/>
      <c r="M172" s="43"/>
      <c r="N172" s="55"/>
      <c r="O172" s="25"/>
      <c r="P172" s="25"/>
      <c r="Q172" s="50" t="s">
        <v>140</v>
      </c>
      <c r="R172" s="25"/>
      <c r="S172" s="50"/>
      <c r="T172" s="65"/>
      <c r="U172" s="65"/>
      <c r="V172" s="65"/>
      <c r="W172" s="65"/>
      <c r="X172" s="65"/>
      <c r="Y172" s="65"/>
      <c r="Z172" s="65"/>
      <c r="AA172" s="65"/>
    </row>
    <row r="173" spans="1:27" ht="15.75" customHeight="1">
      <c r="A173" s="344"/>
      <c r="B173" s="344"/>
      <c r="C173" s="61">
        <v>10</v>
      </c>
      <c r="D173" s="344"/>
      <c r="E173" s="63" t="s">
        <v>5978</v>
      </c>
      <c r="F173" s="61" t="s">
        <v>361</v>
      </c>
      <c r="G173" s="61" t="s">
        <v>524</v>
      </c>
      <c r="H173" s="241" t="s">
        <v>5979</v>
      </c>
      <c r="I173" s="241" t="s">
        <v>5977</v>
      </c>
      <c r="J173" s="442"/>
      <c r="K173" s="25" t="s">
        <v>294</v>
      </c>
      <c r="L173" s="26"/>
      <c r="M173" s="43"/>
      <c r="N173" s="55"/>
      <c r="O173" s="25"/>
      <c r="P173" s="25"/>
      <c r="Q173" s="50" t="s">
        <v>140</v>
      </c>
      <c r="R173" s="25"/>
      <c r="S173" s="50"/>
      <c r="T173" s="65"/>
      <c r="U173" s="65"/>
      <c r="V173" s="65"/>
      <c r="W173" s="65"/>
      <c r="X173" s="65"/>
      <c r="Y173" s="65"/>
      <c r="Z173" s="65"/>
      <c r="AA173" s="65"/>
    </row>
    <row r="174" spans="1:27" ht="15.75" customHeight="1">
      <c r="A174" s="344"/>
      <c r="B174" s="344"/>
      <c r="C174" s="61">
        <v>11</v>
      </c>
      <c r="D174" s="344"/>
      <c r="E174" s="63" t="s">
        <v>5980</v>
      </c>
      <c r="F174" s="61" t="s">
        <v>361</v>
      </c>
      <c r="G174" s="61" t="s">
        <v>2234</v>
      </c>
      <c r="H174" s="241" t="s">
        <v>5981</v>
      </c>
      <c r="I174" s="241" t="s">
        <v>5982</v>
      </c>
      <c r="J174" s="442"/>
      <c r="K174" s="25" t="s">
        <v>294</v>
      </c>
      <c r="L174" s="26"/>
      <c r="M174" s="43"/>
      <c r="N174" s="55"/>
      <c r="O174" s="25"/>
      <c r="P174" s="25"/>
      <c r="Q174" s="50" t="s">
        <v>140</v>
      </c>
      <c r="R174" s="25"/>
      <c r="S174" s="50"/>
      <c r="T174" s="65"/>
      <c r="U174" s="65"/>
      <c r="V174" s="65"/>
      <c r="W174" s="65"/>
      <c r="X174" s="65"/>
      <c r="Y174" s="65"/>
      <c r="Z174" s="65"/>
      <c r="AA174" s="65"/>
    </row>
    <row r="175" spans="1:27" ht="15.75" customHeight="1">
      <c r="A175" s="344"/>
      <c r="B175" s="344"/>
      <c r="C175" s="61">
        <v>12</v>
      </c>
      <c r="D175" s="344"/>
      <c r="E175" s="63" t="s">
        <v>5983</v>
      </c>
      <c r="F175" s="61" t="s">
        <v>361</v>
      </c>
      <c r="G175" s="61" t="s">
        <v>2234</v>
      </c>
      <c r="H175" s="241" t="s">
        <v>5984</v>
      </c>
      <c r="I175" s="241" t="s">
        <v>5985</v>
      </c>
      <c r="J175" s="442"/>
      <c r="K175" s="25" t="s">
        <v>294</v>
      </c>
      <c r="L175" s="26"/>
      <c r="M175" s="43"/>
      <c r="N175" s="55"/>
      <c r="O175" s="25"/>
      <c r="P175" s="25"/>
      <c r="Q175" s="50" t="s">
        <v>140</v>
      </c>
      <c r="R175" s="25"/>
      <c r="S175" s="50"/>
      <c r="T175" s="65"/>
      <c r="U175" s="65"/>
      <c r="V175" s="65"/>
      <c r="W175" s="65"/>
      <c r="X175" s="65"/>
      <c r="Y175" s="65"/>
      <c r="Z175" s="65"/>
      <c r="AA175" s="65"/>
    </row>
    <row r="176" spans="1:27" ht="15.75" customHeight="1">
      <c r="A176" s="344"/>
      <c r="B176" s="344"/>
      <c r="C176" s="61">
        <v>13</v>
      </c>
      <c r="D176" s="344"/>
      <c r="E176" s="63" t="s">
        <v>5986</v>
      </c>
      <c r="F176" s="61" t="s">
        <v>361</v>
      </c>
      <c r="G176" s="61" t="s">
        <v>2234</v>
      </c>
      <c r="H176" s="241" t="s">
        <v>5987</v>
      </c>
      <c r="I176" s="241" t="s">
        <v>5988</v>
      </c>
      <c r="J176" s="442"/>
      <c r="K176" s="25"/>
      <c r="L176" s="26"/>
      <c r="M176" s="225" t="s">
        <v>5989</v>
      </c>
      <c r="N176" s="55"/>
      <c r="O176" s="25"/>
      <c r="P176" s="25"/>
      <c r="Q176" s="89" t="s">
        <v>393</v>
      </c>
      <c r="R176" s="25"/>
      <c r="S176" s="50" t="s">
        <v>140</v>
      </c>
      <c r="T176" s="65"/>
      <c r="U176" s="65"/>
      <c r="V176" s="65"/>
      <c r="W176" s="65"/>
      <c r="X176" s="65"/>
      <c r="Y176" s="65"/>
      <c r="Z176" s="65"/>
      <c r="AA176" s="65"/>
    </row>
    <row r="177" spans="1:27" ht="15.75" customHeight="1">
      <c r="A177" s="344"/>
      <c r="B177" s="344"/>
      <c r="C177" s="61">
        <v>14</v>
      </c>
      <c r="D177" s="344"/>
      <c r="E177" s="63" t="s">
        <v>5990</v>
      </c>
      <c r="F177" s="61" t="s">
        <v>361</v>
      </c>
      <c r="G177" s="61" t="s">
        <v>2234</v>
      </c>
      <c r="H177" s="241" t="s">
        <v>5991</v>
      </c>
      <c r="I177" s="241" t="s">
        <v>5988</v>
      </c>
      <c r="J177" s="442"/>
      <c r="K177" s="25"/>
      <c r="L177" s="26"/>
      <c r="M177" s="43"/>
      <c r="N177" s="55"/>
      <c r="O177" s="25"/>
      <c r="P177" s="25"/>
      <c r="Q177" s="89" t="s">
        <v>393</v>
      </c>
      <c r="R177" s="25"/>
      <c r="S177" s="50"/>
      <c r="T177" s="65"/>
      <c r="U177" s="65"/>
      <c r="V177" s="65"/>
      <c r="W177" s="65"/>
      <c r="X177" s="65"/>
      <c r="Y177" s="65"/>
      <c r="Z177" s="65"/>
      <c r="AA177" s="65"/>
    </row>
    <row r="178" spans="1:27" ht="15.75" customHeight="1">
      <c r="A178" s="344"/>
      <c r="B178" s="344"/>
      <c r="C178" s="61">
        <v>15</v>
      </c>
      <c r="D178" s="344"/>
      <c r="E178" s="63" t="s">
        <v>5992</v>
      </c>
      <c r="F178" s="61" t="s">
        <v>361</v>
      </c>
      <c r="G178" s="61" t="s">
        <v>2234</v>
      </c>
      <c r="H178" s="241" t="s">
        <v>5993</v>
      </c>
      <c r="I178" s="241" t="s">
        <v>5960</v>
      </c>
      <c r="J178" s="442"/>
      <c r="K178" s="25" t="s">
        <v>294</v>
      </c>
      <c r="L178" s="26"/>
      <c r="M178" s="43"/>
      <c r="N178" s="55"/>
      <c r="O178" s="25"/>
      <c r="P178" s="25"/>
      <c r="Q178" s="50" t="s">
        <v>140</v>
      </c>
      <c r="R178" s="25"/>
      <c r="S178" s="50"/>
      <c r="T178" s="65"/>
      <c r="U178" s="65"/>
      <c r="V178" s="65"/>
      <c r="W178" s="65"/>
      <c r="X178" s="65"/>
      <c r="Y178" s="65"/>
      <c r="Z178" s="65"/>
      <c r="AA178" s="65"/>
    </row>
    <row r="179" spans="1:27" ht="15.75" customHeight="1">
      <c r="A179" s="345"/>
      <c r="B179" s="345"/>
      <c r="C179" s="61">
        <v>16</v>
      </c>
      <c r="D179" s="345"/>
      <c r="E179" s="63" t="s">
        <v>5994</v>
      </c>
      <c r="F179" s="61" t="s">
        <v>361</v>
      </c>
      <c r="G179" s="61" t="s">
        <v>2234</v>
      </c>
      <c r="H179" s="241" t="s">
        <v>5995</v>
      </c>
      <c r="I179" s="241" t="s">
        <v>5960</v>
      </c>
      <c r="J179" s="442"/>
      <c r="K179" s="25" t="s">
        <v>294</v>
      </c>
      <c r="L179" s="26"/>
      <c r="M179" s="43"/>
      <c r="N179" s="55"/>
      <c r="O179" s="25"/>
      <c r="P179" s="25"/>
      <c r="Q179" s="50" t="s">
        <v>140</v>
      </c>
      <c r="R179" s="25"/>
      <c r="S179" s="50"/>
      <c r="T179" s="65"/>
      <c r="U179" s="65"/>
      <c r="V179" s="65"/>
      <c r="W179" s="65"/>
      <c r="X179" s="65"/>
      <c r="Y179" s="65"/>
      <c r="Z179" s="65"/>
      <c r="AA179" s="65"/>
    </row>
    <row r="180" spans="1:27" ht="15.75" customHeight="1">
      <c r="A180" s="15" t="s">
        <v>5996</v>
      </c>
      <c r="B180" s="16"/>
      <c r="C180" s="16"/>
      <c r="D180" s="17"/>
      <c r="E180" s="18"/>
      <c r="F180" s="19"/>
      <c r="G180" s="19"/>
      <c r="H180" s="17"/>
      <c r="I180" s="20"/>
      <c r="J180" s="20"/>
      <c r="K180" s="16"/>
      <c r="L180" s="16"/>
      <c r="M180" s="71"/>
      <c r="N180" s="3"/>
      <c r="O180" s="16"/>
      <c r="P180" s="16"/>
      <c r="Q180" s="16"/>
      <c r="R180" s="16"/>
      <c r="S180" s="16"/>
    </row>
    <row r="181" spans="1:27" ht="15.75" customHeight="1">
      <c r="A181" s="355"/>
      <c r="B181" s="360" t="s">
        <v>5997</v>
      </c>
      <c r="C181" s="31">
        <v>1</v>
      </c>
      <c r="D181" s="355" t="s">
        <v>5998</v>
      </c>
      <c r="E181" s="355" t="s">
        <v>5593</v>
      </c>
      <c r="F181" s="350" t="s">
        <v>326</v>
      </c>
      <c r="G181" s="350" t="s">
        <v>349</v>
      </c>
      <c r="H181" s="355" t="s">
        <v>5594</v>
      </c>
      <c r="I181" s="23" t="s">
        <v>5595</v>
      </c>
      <c r="J181" s="170"/>
      <c r="K181" s="25"/>
      <c r="L181" s="99"/>
      <c r="M181" s="99"/>
      <c r="N181" s="55"/>
      <c r="O181" s="25"/>
      <c r="P181" s="25"/>
      <c r="Q181" s="50" t="s">
        <v>282</v>
      </c>
      <c r="R181" s="25"/>
      <c r="S181" s="50"/>
      <c r="T181" s="65"/>
      <c r="U181" s="65"/>
      <c r="V181" s="65"/>
      <c r="W181" s="65"/>
      <c r="X181" s="65"/>
      <c r="Y181" s="65"/>
      <c r="Z181" s="65"/>
      <c r="AA181" s="65"/>
    </row>
    <row r="182" spans="1:27" ht="15.75" customHeight="1">
      <c r="A182" s="344"/>
      <c r="B182" s="344"/>
      <c r="C182" s="31">
        <v>2</v>
      </c>
      <c r="D182" s="344"/>
      <c r="E182" s="345"/>
      <c r="F182" s="345"/>
      <c r="G182" s="345"/>
      <c r="H182" s="345"/>
      <c r="I182" s="23" t="s">
        <v>5596</v>
      </c>
      <c r="J182" s="170"/>
      <c r="K182" s="25"/>
      <c r="L182" s="99"/>
      <c r="M182" s="128"/>
      <c r="N182" s="55"/>
      <c r="O182" s="25"/>
      <c r="P182" s="25"/>
      <c r="Q182" s="50" t="s">
        <v>282</v>
      </c>
      <c r="R182" s="25"/>
      <c r="S182" s="50"/>
      <c r="T182" s="65"/>
      <c r="U182" s="65"/>
      <c r="V182" s="65"/>
      <c r="W182" s="65"/>
      <c r="X182" s="65"/>
      <c r="Y182" s="65"/>
      <c r="Z182" s="65"/>
      <c r="AA182" s="65"/>
    </row>
    <row r="183" spans="1:27" ht="15.75" customHeight="1">
      <c r="A183" s="345"/>
      <c r="B183" s="345"/>
      <c r="C183" s="31">
        <v>3</v>
      </c>
      <c r="D183" s="345"/>
      <c r="E183" s="23" t="s">
        <v>5612</v>
      </c>
      <c r="F183" s="31" t="s">
        <v>326</v>
      </c>
      <c r="G183" s="31" t="s">
        <v>524</v>
      </c>
      <c r="H183" s="23" t="s">
        <v>5613</v>
      </c>
      <c r="I183" s="23" t="s">
        <v>5614</v>
      </c>
      <c r="J183" s="170"/>
      <c r="K183" s="25"/>
      <c r="L183" s="99"/>
      <c r="M183" s="99"/>
      <c r="N183" s="55"/>
      <c r="O183" s="25"/>
      <c r="P183" s="25"/>
      <c r="Q183" s="50" t="s">
        <v>282</v>
      </c>
      <c r="R183" s="25"/>
      <c r="S183" s="50"/>
      <c r="T183" s="65"/>
      <c r="U183" s="65"/>
      <c r="V183" s="65"/>
      <c r="W183" s="65"/>
      <c r="X183" s="65"/>
      <c r="Y183" s="65"/>
      <c r="Z183" s="65"/>
      <c r="AA183" s="65"/>
    </row>
    <row r="184" spans="1:27" ht="15.75" customHeight="1">
      <c r="A184" s="350"/>
      <c r="B184" s="360" t="s">
        <v>5999</v>
      </c>
      <c r="C184" s="31">
        <v>1</v>
      </c>
      <c r="D184" s="355" t="s">
        <v>6000</v>
      </c>
      <c r="E184" s="23" t="s">
        <v>6001</v>
      </c>
      <c r="F184" s="31" t="s">
        <v>326</v>
      </c>
      <c r="G184" s="31" t="s">
        <v>327</v>
      </c>
      <c r="H184" s="23" t="s">
        <v>6002</v>
      </c>
      <c r="I184" s="23" t="s">
        <v>6003</v>
      </c>
      <c r="J184" s="170"/>
      <c r="K184" s="25" t="s">
        <v>294</v>
      </c>
      <c r="L184" s="99"/>
      <c r="M184" s="99"/>
      <c r="N184" s="55"/>
      <c r="O184" s="25"/>
      <c r="P184" s="25"/>
      <c r="Q184" s="50" t="s">
        <v>140</v>
      </c>
      <c r="R184" s="25"/>
      <c r="S184" s="50"/>
      <c r="T184" s="65"/>
      <c r="U184" s="65"/>
      <c r="V184" s="65"/>
      <c r="W184" s="65"/>
      <c r="X184" s="65"/>
      <c r="Y184" s="65"/>
      <c r="Z184" s="65"/>
      <c r="AA184" s="65"/>
    </row>
    <row r="185" spans="1:27" ht="15.75" customHeight="1">
      <c r="A185" s="345"/>
      <c r="B185" s="345"/>
      <c r="C185" s="31">
        <v>2</v>
      </c>
      <c r="D185" s="345"/>
      <c r="E185" s="23" t="s">
        <v>6004</v>
      </c>
      <c r="F185" s="31" t="s">
        <v>326</v>
      </c>
      <c r="G185" s="31" t="s">
        <v>327</v>
      </c>
      <c r="H185" s="23" t="s">
        <v>6005</v>
      </c>
      <c r="I185" s="23" t="s">
        <v>6006</v>
      </c>
      <c r="J185" s="170"/>
      <c r="K185" s="25" t="s">
        <v>294</v>
      </c>
      <c r="L185" s="99"/>
      <c r="M185" s="99"/>
      <c r="N185" s="55"/>
      <c r="O185" s="25"/>
      <c r="P185" s="25"/>
      <c r="Q185" s="50" t="s">
        <v>140</v>
      </c>
      <c r="R185" s="25"/>
      <c r="S185" s="50"/>
      <c r="T185" s="65"/>
      <c r="U185" s="65"/>
      <c r="V185" s="65"/>
      <c r="W185" s="65"/>
      <c r="X185" s="65"/>
      <c r="Y185" s="65"/>
      <c r="Z185" s="65"/>
      <c r="AA185" s="65"/>
    </row>
    <row r="186" spans="1:27" ht="39" customHeight="1">
      <c r="A186" s="355"/>
      <c r="B186" s="360" t="s">
        <v>176</v>
      </c>
      <c r="C186" s="31">
        <v>1</v>
      </c>
      <c r="D186" s="355" t="s">
        <v>6007</v>
      </c>
      <c r="E186" s="23" t="s">
        <v>6008</v>
      </c>
      <c r="F186" s="31" t="s">
        <v>326</v>
      </c>
      <c r="G186" s="31" t="s">
        <v>327</v>
      </c>
      <c r="H186" s="23" t="s">
        <v>6009</v>
      </c>
      <c r="I186" s="63" t="s">
        <v>6010</v>
      </c>
      <c r="J186" s="171"/>
      <c r="K186" s="25"/>
      <c r="L186" s="99"/>
      <c r="M186" s="99"/>
      <c r="N186" s="55"/>
      <c r="O186" s="25"/>
      <c r="P186" s="25"/>
      <c r="Q186" s="50" t="s">
        <v>282</v>
      </c>
      <c r="R186" s="25"/>
      <c r="S186" s="50"/>
      <c r="T186" s="65"/>
      <c r="U186" s="65"/>
      <c r="V186" s="65"/>
      <c r="W186" s="65"/>
      <c r="X186" s="65"/>
      <c r="Y186" s="65"/>
      <c r="Z186" s="65"/>
      <c r="AA186" s="65"/>
    </row>
    <row r="187" spans="1:27" ht="39" customHeight="1">
      <c r="A187" s="344"/>
      <c r="B187" s="344"/>
      <c r="C187" s="31">
        <v>2</v>
      </c>
      <c r="D187" s="345"/>
      <c r="E187" s="23" t="s">
        <v>6011</v>
      </c>
      <c r="F187" s="31" t="s">
        <v>326</v>
      </c>
      <c r="G187" s="31" t="s">
        <v>327</v>
      </c>
      <c r="H187" s="23" t="s">
        <v>6012</v>
      </c>
      <c r="I187" s="23" t="s">
        <v>6013</v>
      </c>
      <c r="J187" s="170"/>
      <c r="K187" s="25"/>
      <c r="L187" s="99"/>
      <c r="M187" s="99"/>
      <c r="N187" s="55"/>
      <c r="O187" s="25"/>
      <c r="P187" s="25"/>
      <c r="Q187" s="50" t="s">
        <v>282</v>
      </c>
      <c r="R187" s="25"/>
      <c r="S187" s="50"/>
      <c r="T187" s="65"/>
      <c r="U187" s="65"/>
      <c r="V187" s="65"/>
      <c r="W187" s="65"/>
      <c r="X187" s="65"/>
      <c r="Y187" s="65"/>
      <c r="Z187" s="65"/>
      <c r="AA187" s="65"/>
    </row>
    <row r="188" spans="1:27" ht="39" customHeight="1">
      <c r="A188" s="344"/>
      <c r="B188" s="344"/>
      <c r="C188" s="31">
        <v>3</v>
      </c>
      <c r="D188" s="355" t="s">
        <v>6014</v>
      </c>
      <c r="E188" s="23" t="s">
        <v>6015</v>
      </c>
      <c r="F188" s="31" t="s">
        <v>326</v>
      </c>
      <c r="G188" s="31" t="s">
        <v>327</v>
      </c>
      <c r="H188" s="23" t="s">
        <v>6016</v>
      </c>
      <c r="I188" s="23" t="s">
        <v>6017</v>
      </c>
      <c r="J188" s="170"/>
      <c r="K188" s="25"/>
      <c r="L188" s="99"/>
      <c r="M188" s="99"/>
      <c r="N188" s="55"/>
      <c r="O188" s="25"/>
      <c r="P188" s="25"/>
      <c r="Q188" s="50" t="s">
        <v>282</v>
      </c>
      <c r="R188" s="25"/>
      <c r="S188" s="50"/>
      <c r="T188" s="65"/>
      <c r="U188" s="65"/>
      <c r="V188" s="65"/>
      <c r="W188" s="65"/>
      <c r="X188" s="65"/>
      <c r="Y188" s="65"/>
      <c r="Z188" s="65"/>
      <c r="AA188" s="65"/>
    </row>
    <row r="189" spans="1:27" ht="39" customHeight="1">
      <c r="A189" s="344"/>
      <c r="B189" s="344"/>
      <c r="C189" s="31">
        <v>4</v>
      </c>
      <c r="D189" s="345"/>
      <c r="E189" s="23" t="s">
        <v>6018</v>
      </c>
      <c r="F189" s="31" t="s">
        <v>326</v>
      </c>
      <c r="G189" s="31" t="s">
        <v>327</v>
      </c>
      <c r="H189" s="23" t="s">
        <v>6019</v>
      </c>
      <c r="I189" s="23" t="s">
        <v>6020</v>
      </c>
      <c r="J189" s="170"/>
      <c r="K189" s="25"/>
      <c r="L189" s="99"/>
      <c r="M189" s="99"/>
      <c r="N189" s="55"/>
      <c r="O189" s="25"/>
      <c r="P189" s="25"/>
      <c r="Q189" s="50" t="s">
        <v>282</v>
      </c>
      <c r="R189" s="25"/>
      <c r="S189" s="50"/>
      <c r="T189" s="65"/>
      <c r="U189" s="65"/>
      <c r="V189" s="65"/>
      <c r="W189" s="65"/>
      <c r="X189" s="65"/>
      <c r="Y189" s="65"/>
      <c r="Z189" s="65"/>
      <c r="AA189" s="65"/>
    </row>
    <row r="190" spans="1:27" ht="15.75" customHeight="1">
      <c r="A190" s="344"/>
      <c r="B190" s="344"/>
      <c r="C190" s="31">
        <v>5</v>
      </c>
      <c r="D190" s="355" t="s">
        <v>6000</v>
      </c>
      <c r="E190" s="23" t="s">
        <v>6001</v>
      </c>
      <c r="F190" s="31" t="s">
        <v>326</v>
      </c>
      <c r="G190" s="31" t="s">
        <v>327</v>
      </c>
      <c r="H190" s="23" t="s">
        <v>6002</v>
      </c>
      <c r="I190" s="23" t="s">
        <v>6003</v>
      </c>
      <c r="J190" s="170"/>
      <c r="K190" s="25" t="s">
        <v>294</v>
      </c>
      <c r="L190" s="99"/>
      <c r="M190" s="99"/>
      <c r="N190" s="55"/>
      <c r="O190" s="25"/>
      <c r="P190" s="25"/>
      <c r="Q190" s="50" t="s">
        <v>140</v>
      </c>
      <c r="R190" s="25"/>
      <c r="S190" s="50"/>
      <c r="T190" s="65"/>
      <c r="U190" s="65"/>
      <c r="V190" s="65"/>
      <c r="W190" s="65"/>
      <c r="X190" s="65"/>
      <c r="Y190" s="65"/>
      <c r="Z190" s="65"/>
      <c r="AA190" s="65"/>
    </row>
    <row r="191" spans="1:27" ht="15.75" customHeight="1">
      <c r="A191" s="344"/>
      <c r="B191" s="345"/>
      <c r="C191" s="31">
        <v>6</v>
      </c>
      <c r="D191" s="345"/>
      <c r="E191" s="23" t="s">
        <v>6004</v>
      </c>
      <c r="F191" s="31" t="s">
        <v>326</v>
      </c>
      <c r="G191" s="31" t="s">
        <v>327</v>
      </c>
      <c r="H191" s="23" t="s">
        <v>6005</v>
      </c>
      <c r="I191" s="23" t="s">
        <v>6006</v>
      </c>
      <c r="J191" s="170"/>
      <c r="K191" s="25" t="s">
        <v>294</v>
      </c>
      <c r="L191" s="99"/>
      <c r="M191" s="99"/>
      <c r="N191" s="55"/>
      <c r="O191" s="25"/>
      <c r="P191" s="25"/>
      <c r="Q191" s="50" t="s">
        <v>140</v>
      </c>
      <c r="R191" s="25"/>
      <c r="S191" s="50"/>
      <c r="T191" s="65"/>
      <c r="U191" s="65"/>
      <c r="V191" s="65"/>
      <c r="W191" s="65"/>
      <c r="X191" s="65"/>
      <c r="Y191" s="65"/>
      <c r="Z191" s="65"/>
      <c r="AA191" s="65"/>
    </row>
    <row r="192" spans="1:27" ht="15.75" customHeight="1">
      <c r="A192" s="344"/>
      <c r="B192" s="360" t="s">
        <v>220</v>
      </c>
      <c r="C192" s="61">
        <v>1</v>
      </c>
      <c r="D192" s="366" t="s">
        <v>6021</v>
      </c>
      <c r="E192" s="63" t="s">
        <v>6022</v>
      </c>
      <c r="F192" s="61" t="s">
        <v>361</v>
      </c>
      <c r="G192" s="61" t="s">
        <v>327</v>
      </c>
      <c r="H192" s="63" t="s">
        <v>6023</v>
      </c>
      <c r="I192" s="63" t="s">
        <v>6024</v>
      </c>
      <c r="J192" s="171"/>
      <c r="K192" s="25" t="s">
        <v>294</v>
      </c>
      <c r="L192" s="99"/>
      <c r="M192" s="99"/>
      <c r="N192" s="55"/>
      <c r="O192" s="28" t="s">
        <v>140</v>
      </c>
      <c r="P192" s="50" t="s">
        <v>140</v>
      </c>
      <c r="Q192" s="50" t="s">
        <v>140</v>
      </c>
      <c r="R192" s="25"/>
      <c r="S192" s="50"/>
      <c r="T192" s="65"/>
      <c r="U192" s="65"/>
      <c r="V192" s="65"/>
      <c r="W192" s="65"/>
      <c r="X192" s="65"/>
      <c r="Y192" s="65"/>
      <c r="Z192" s="65"/>
      <c r="AA192" s="65"/>
    </row>
    <row r="193" spans="1:27" ht="15.75" customHeight="1">
      <c r="A193" s="344"/>
      <c r="B193" s="344"/>
      <c r="C193" s="61">
        <v>2</v>
      </c>
      <c r="D193" s="344"/>
      <c r="E193" s="63" t="s">
        <v>6025</v>
      </c>
      <c r="F193" s="61" t="s">
        <v>326</v>
      </c>
      <c r="G193" s="61" t="s">
        <v>327</v>
      </c>
      <c r="H193" s="63" t="s">
        <v>6026</v>
      </c>
      <c r="I193" s="63" t="s">
        <v>6027</v>
      </c>
      <c r="J193" s="171"/>
      <c r="K193" s="25" t="s">
        <v>294</v>
      </c>
      <c r="L193" s="99"/>
      <c r="M193" s="99"/>
      <c r="N193" s="55"/>
      <c r="O193" s="28" t="s">
        <v>140</v>
      </c>
      <c r="P193" s="50" t="s">
        <v>140</v>
      </c>
      <c r="Q193" s="50" t="s">
        <v>140</v>
      </c>
      <c r="R193" s="25"/>
      <c r="S193" s="50"/>
      <c r="T193" s="65"/>
      <c r="U193" s="65"/>
      <c r="V193" s="65"/>
      <c r="W193" s="65"/>
      <c r="X193" s="65"/>
      <c r="Y193" s="65"/>
      <c r="Z193" s="65"/>
      <c r="AA193" s="65"/>
    </row>
    <row r="194" spans="1:27" ht="15.75" customHeight="1">
      <c r="A194" s="352"/>
      <c r="B194" s="352"/>
      <c r="C194" s="86">
        <v>3</v>
      </c>
      <c r="D194" s="352"/>
      <c r="E194" s="175" t="s">
        <v>6028</v>
      </c>
      <c r="F194" s="86" t="s">
        <v>326</v>
      </c>
      <c r="G194" s="86" t="s">
        <v>327</v>
      </c>
      <c r="H194" s="175" t="s">
        <v>6029</v>
      </c>
      <c r="I194" s="63" t="s">
        <v>6030</v>
      </c>
      <c r="J194" s="171"/>
      <c r="K194" s="25"/>
      <c r="L194" s="99"/>
      <c r="M194" s="99"/>
      <c r="N194" s="55"/>
      <c r="O194" s="28"/>
      <c r="P194" s="50" t="s">
        <v>282</v>
      </c>
      <c r="Q194" s="50" t="s">
        <v>282</v>
      </c>
      <c r="R194" s="25" t="s">
        <v>305</v>
      </c>
      <c r="S194" s="50"/>
      <c r="T194" s="65"/>
      <c r="U194" s="65"/>
      <c r="V194" s="65"/>
      <c r="W194" s="65"/>
      <c r="X194" s="65"/>
      <c r="Y194" s="65"/>
      <c r="Z194" s="65"/>
      <c r="AA194" s="65"/>
    </row>
    <row r="195" spans="1:27" ht="15.75" customHeight="1">
      <c r="A195" s="344"/>
      <c r="B195" s="344"/>
      <c r="C195" s="61">
        <v>4</v>
      </c>
      <c r="D195" s="344"/>
      <c r="E195" s="63" t="s">
        <v>6031</v>
      </c>
      <c r="F195" s="61" t="s">
        <v>326</v>
      </c>
      <c r="G195" s="61" t="s">
        <v>327</v>
      </c>
      <c r="H195" s="63" t="s">
        <v>6032</v>
      </c>
      <c r="I195" s="63" t="s">
        <v>6033</v>
      </c>
      <c r="J195" s="171"/>
      <c r="K195" s="25" t="s">
        <v>294</v>
      </c>
      <c r="L195" s="99"/>
      <c r="M195" s="99"/>
      <c r="N195" s="55"/>
      <c r="O195" s="28" t="s">
        <v>140</v>
      </c>
      <c r="P195" s="50" t="s">
        <v>140</v>
      </c>
      <c r="Q195" s="50" t="s">
        <v>140</v>
      </c>
      <c r="R195" s="25"/>
      <c r="S195" s="50"/>
      <c r="T195" s="65"/>
      <c r="U195" s="65"/>
      <c r="V195" s="65"/>
      <c r="W195" s="65"/>
      <c r="X195" s="65"/>
      <c r="Y195" s="65"/>
      <c r="Z195" s="65"/>
      <c r="AA195" s="65"/>
    </row>
    <row r="196" spans="1:27" ht="15.75" customHeight="1">
      <c r="A196" s="344"/>
      <c r="B196" s="344"/>
      <c r="C196" s="61">
        <v>5</v>
      </c>
      <c r="D196" s="344"/>
      <c r="E196" s="63" t="s">
        <v>6034</v>
      </c>
      <c r="F196" s="61" t="s">
        <v>326</v>
      </c>
      <c r="G196" s="61" t="s">
        <v>327</v>
      </c>
      <c r="H196" s="63" t="s">
        <v>6035</v>
      </c>
      <c r="I196" s="63" t="s">
        <v>6024</v>
      </c>
      <c r="J196" s="171"/>
      <c r="K196" s="25" t="s">
        <v>294</v>
      </c>
      <c r="L196" s="99"/>
      <c r="M196" s="99"/>
      <c r="N196" s="55"/>
      <c r="O196" s="28" t="s">
        <v>140</v>
      </c>
      <c r="P196" s="50" t="s">
        <v>140</v>
      </c>
      <c r="Q196" s="50" t="s">
        <v>140</v>
      </c>
      <c r="R196" s="25" t="s">
        <v>7</v>
      </c>
      <c r="S196" s="50"/>
      <c r="T196" s="65"/>
      <c r="U196" s="65"/>
      <c r="V196" s="65"/>
      <c r="W196" s="65"/>
      <c r="X196" s="65"/>
      <c r="Y196" s="65"/>
      <c r="Z196" s="65"/>
      <c r="AA196" s="65"/>
    </row>
    <row r="197" spans="1:27" ht="15.75" customHeight="1">
      <c r="A197" s="344"/>
      <c r="B197" s="344"/>
      <c r="C197" s="61">
        <v>6</v>
      </c>
      <c r="D197" s="345"/>
      <c r="E197" s="63" t="s">
        <v>6036</v>
      </c>
      <c r="F197" s="61" t="s">
        <v>326</v>
      </c>
      <c r="G197" s="61" t="s">
        <v>327</v>
      </c>
      <c r="H197" s="63" t="s">
        <v>6037</v>
      </c>
      <c r="I197" s="63" t="s">
        <v>6027</v>
      </c>
      <c r="J197" s="171"/>
      <c r="K197" s="25" t="s">
        <v>294</v>
      </c>
      <c r="L197" s="99"/>
      <c r="M197" s="99"/>
      <c r="N197" s="55"/>
      <c r="O197" s="28" t="s">
        <v>140</v>
      </c>
      <c r="P197" s="50" t="s">
        <v>140</v>
      </c>
      <c r="Q197" s="50" t="s">
        <v>140</v>
      </c>
      <c r="R197" s="25" t="s">
        <v>7</v>
      </c>
      <c r="S197" s="50"/>
      <c r="T197" s="65"/>
      <c r="U197" s="65"/>
      <c r="V197" s="65"/>
      <c r="W197" s="65"/>
      <c r="X197" s="65"/>
      <c r="Y197" s="65"/>
      <c r="Z197" s="65"/>
      <c r="AA197" s="65"/>
    </row>
    <row r="198" spans="1:27" ht="15.75" customHeight="1">
      <c r="A198" s="344"/>
      <c r="B198" s="344"/>
      <c r="C198" s="31">
        <v>7</v>
      </c>
      <c r="D198" s="355" t="s">
        <v>6038</v>
      </c>
      <c r="E198" s="23" t="s">
        <v>6039</v>
      </c>
      <c r="F198" s="31" t="s">
        <v>6040</v>
      </c>
      <c r="G198" s="31" t="s">
        <v>327</v>
      </c>
      <c r="H198" s="23" t="s">
        <v>6023</v>
      </c>
      <c r="I198" s="23" t="s">
        <v>6024</v>
      </c>
      <c r="J198" s="170"/>
      <c r="K198" s="25" t="s">
        <v>294</v>
      </c>
      <c r="L198" s="99"/>
      <c r="M198" s="99"/>
      <c r="N198" s="55"/>
      <c r="O198" s="25"/>
      <c r="P198" s="50" t="s">
        <v>140</v>
      </c>
      <c r="Q198" s="50" t="s">
        <v>140</v>
      </c>
      <c r="R198" s="25"/>
      <c r="S198" s="50"/>
      <c r="T198" s="65"/>
      <c r="U198" s="65"/>
      <c r="V198" s="65"/>
      <c r="W198" s="65"/>
      <c r="X198" s="65"/>
      <c r="Y198" s="65"/>
      <c r="Z198" s="65"/>
      <c r="AA198" s="65"/>
    </row>
    <row r="199" spans="1:27" ht="15.75" customHeight="1">
      <c r="A199" s="344"/>
      <c r="B199" s="344"/>
      <c r="C199" s="31">
        <v>8</v>
      </c>
      <c r="D199" s="345"/>
      <c r="E199" s="23" t="s">
        <v>6041</v>
      </c>
      <c r="F199" s="31" t="s">
        <v>6042</v>
      </c>
      <c r="G199" s="31" t="s">
        <v>327</v>
      </c>
      <c r="H199" s="23" t="s">
        <v>6023</v>
      </c>
      <c r="I199" s="23" t="s">
        <v>6024</v>
      </c>
      <c r="J199" s="170"/>
      <c r="K199" s="25" t="s">
        <v>294</v>
      </c>
      <c r="L199" s="99"/>
      <c r="M199" s="99"/>
      <c r="N199" s="55"/>
      <c r="O199" s="25"/>
      <c r="P199" s="50" t="s">
        <v>140</v>
      </c>
      <c r="Q199" s="50" t="s">
        <v>140</v>
      </c>
      <c r="R199" s="25"/>
      <c r="S199" s="50"/>
      <c r="T199" s="65"/>
      <c r="U199" s="65"/>
      <c r="V199" s="65"/>
      <c r="W199" s="65"/>
      <c r="X199" s="65"/>
      <c r="Y199" s="65"/>
      <c r="Z199" s="65"/>
      <c r="AA199" s="65"/>
    </row>
    <row r="200" spans="1:27" ht="15.75" customHeight="1">
      <c r="A200" s="344"/>
      <c r="B200" s="344"/>
      <c r="C200" s="31">
        <v>9</v>
      </c>
      <c r="D200" s="355" t="s">
        <v>6043</v>
      </c>
      <c r="E200" s="23" t="s">
        <v>6044</v>
      </c>
      <c r="F200" s="31" t="s">
        <v>326</v>
      </c>
      <c r="G200" s="31" t="s">
        <v>524</v>
      </c>
      <c r="H200" s="23" t="s">
        <v>6045</v>
      </c>
      <c r="I200" s="23" t="s">
        <v>6046</v>
      </c>
      <c r="J200" s="170"/>
      <c r="K200" s="25" t="s">
        <v>294</v>
      </c>
      <c r="L200" s="99"/>
      <c r="M200" s="99"/>
      <c r="N200" s="55"/>
      <c r="O200" s="25"/>
      <c r="P200" s="50" t="s">
        <v>140</v>
      </c>
      <c r="Q200" s="50" t="s">
        <v>140</v>
      </c>
      <c r="R200" s="25"/>
      <c r="S200" s="50"/>
      <c r="T200" s="65"/>
      <c r="U200" s="65"/>
      <c r="V200" s="65"/>
      <c r="W200" s="65"/>
      <c r="X200" s="65"/>
      <c r="Y200" s="65"/>
      <c r="Z200" s="65"/>
      <c r="AA200" s="65"/>
    </row>
    <row r="201" spans="1:27" ht="15.75" customHeight="1">
      <c r="A201" s="345"/>
      <c r="B201" s="345"/>
      <c r="C201" s="31">
        <v>10</v>
      </c>
      <c r="D201" s="345"/>
      <c r="E201" s="23" t="s">
        <v>6047</v>
      </c>
      <c r="F201" s="31" t="s">
        <v>326</v>
      </c>
      <c r="G201" s="31" t="s">
        <v>327</v>
      </c>
      <c r="H201" s="23" t="s">
        <v>6045</v>
      </c>
      <c r="I201" s="23" t="s">
        <v>6046</v>
      </c>
      <c r="J201" s="170"/>
      <c r="K201" s="25" t="s">
        <v>294</v>
      </c>
      <c r="L201" s="99"/>
      <c r="M201" s="99"/>
      <c r="N201" s="55"/>
      <c r="O201" s="25"/>
      <c r="P201" s="50" t="s">
        <v>140</v>
      </c>
      <c r="Q201" s="50" t="s">
        <v>140</v>
      </c>
      <c r="R201" s="25"/>
      <c r="S201" s="50"/>
      <c r="T201" s="65"/>
      <c r="U201" s="65"/>
      <c r="V201" s="65"/>
      <c r="W201" s="65"/>
      <c r="X201" s="65"/>
      <c r="Y201" s="65"/>
      <c r="Z201" s="65"/>
      <c r="AA201" s="65"/>
    </row>
    <row r="202" spans="1:27" ht="15.75" customHeight="1">
      <c r="A202" s="15" t="s">
        <v>6048</v>
      </c>
      <c r="B202" s="16"/>
      <c r="C202" s="16"/>
      <c r="D202" s="17"/>
      <c r="E202" s="18"/>
      <c r="F202" s="19"/>
      <c r="G202" s="19"/>
      <c r="H202" s="17"/>
      <c r="I202" s="20"/>
      <c r="J202" s="20"/>
      <c r="K202" s="16"/>
      <c r="L202" s="16"/>
      <c r="M202" s="71"/>
      <c r="N202" s="3"/>
      <c r="O202" s="16"/>
      <c r="P202" s="16"/>
      <c r="Q202" s="16"/>
      <c r="R202" s="16"/>
      <c r="S202" s="16"/>
    </row>
    <row r="203" spans="1:27" ht="15.75" customHeight="1">
      <c r="A203" s="372" t="s">
        <v>6049</v>
      </c>
      <c r="B203" s="350" t="s">
        <v>6050</v>
      </c>
      <c r="C203" s="31">
        <v>1</v>
      </c>
      <c r="D203" s="368" t="s">
        <v>5492</v>
      </c>
      <c r="E203" s="23" t="s">
        <v>5493</v>
      </c>
      <c r="F203" s="31" t="s">
        <v>361</v>
      </c>
      <c r="G203" s="31" t="s">
        <v>327</v>
      </c>
      <c r="H203" s="23" t="s">
        <v>5494</v>
      </c>
      <c r="I203" s="23" t="s">
        <v>6051</v>
      </c>
      <c r="J203" s="170"/>
      <c r="K203" s="25"/>
      <c r="L203" s="25"/>
      <c r="M203" s="43"/>
      <c r="N203" s="55"/>
      <c r="O203" s="25"/>
      <c r="P203" s="25"/>
      <c r="Q203" s="50" t="s">
        <v>282</v>
      </c>
      <c r="R203" s="25"/>
      <c r="S203" s="50"/>
      <c r="T203" s="65"/>
      <c r="U203" s="65"/>
      <c r="V203" s="65"/>
      <c r="W203" s="65"/>
      <c r="X203" s="65"/>
      <c r="Y203" s="65"/>
      <c r="Z203" s="65"/>
      <c r="AA203" s="65"/>
    </row>
    <row r="204" spans="1:27" ht="15.75" customHeight="1">
      <c r="A204" s="344"/>
      <c r="B204" s="344"/>
      <c r="C204" s="31">
        <v>2</v>
      </c>
      <c r="D204" s="344"/>
      <c r="E204" s="23" t="s">
        <v>5496</v>
      </c>
      <c r="F204" s="31" t="s">
        <v>361</v>
      </c>
      <c r="G204" s="31" t="s">
        <v>327</v>
      </c>
      <c r="H204" s="23" t="s">
        <v>5497</v>
      </c>
      <c r="I204" s="23" t="s">
        <v>6051</v>
      </c>
      <c r="J204" s="170"/>
      <c r="K204" s="25"/>
      <c r="L204" s="25"/>
      <c r="M204" s="43"/>
      <c r="N204" s="55"/>
      <c r="O204" s="25"/>
      <c r="P204" s="25"/>
      <c r="Q204" s="50" t="s">
        <v>282</v>
      </c>
      <c r="R204" s="25"/>
      <c r="S204" s="50"/>
      <c r="T204" s="65"/>
      <c r="U204" s="65"/>
      <c r="V204" s="65"/>
      <c r="W204" s="65"/>
      <c r="X204" s="65"/>
      <c r="Y204" s="65"/>
      <c r="Z204" s="65"/>
      <c r="AA204" s="65"/>
    </row>
    <row r="205" spans="1:27" ht="15.75" customHeight="1">
      <c r="A205" s="344"/>
      <c r="B205" s="344"/>
      <c r="C205" s="31">
        <v>3</v>
      </c>
      <c r="D205" s="344"/>
      <c r="E205" s="23" t="s">
        <v>5498</v>
      </c>
      <c r="F205" s="31" t="s">
        <v>361</v>
      </c>
      <c r="G205" s="31" t="s">
        <v>327</v>
      </c>
      <c r="H205" s="23" t="s">
        <v>5499</v>
      </c>
      <c r="I205" s="23" t="s">
        <v>6051</v>
      </c>
      <c r="J205" s="170"/>
      <c r="K205" s="25"/>
      <c r="L205" s="25"/>
      <c r="M205" s="43"/>
      <c r="N205" s="55"/>
      <c r="O205" s="25"/>
      <c r="P205" s="25"/>
      <c r="Q205" s="50" t="s">
        <v>282</v>
      </c>
      <c r="R205" s="25"/>
      <c r="S205" s="50"/>
      <c r="T205" s="65"/>
      <c r="U205" s="65"/>
      <c r="V205" s="65"/>
      <c r="W205" s="65"/>
      <c r="X205" s="65"/>
      <c r="Y205" s="65"/>
      <c r="Z205" s="65"/>
      <c r="AA205" s="65"/>
    </row>
    <row r="206" spans="1:27" ht="15.75" customHeight="1">
      <c r="A206" s="344"/>
      <c r="B206" s="344"/>
      <c r="C206" s="31">
        <v>4</v>
      </c>
      <c r="D206" s="344"/>
      <c r="E206" s="23" t="s">
        <v>5500</v>
      </c>
      <c r="F206" s="31" t="s">
        <v>361</v>
      </c>
      <c r="G206" s="31" t="s">
        <v>327</v>
      </c>
      <c r="H206" s="23" t="s">
        <v>5501</v>
      </c>
      <c r="I206" s="23" t="s">
        <v>6051</v>
      </c>
      <c r="J206" s="170"/>
      <c r="K206" s="25"/>
      <c r="L206" s="25"/>
      <c r="M206" s="43"/>
      <c r="N206" s="55"/>
      <c r="O206" s="25"/>
      <c r="P206" s="25"/>
      <c r="Q206" s="50" t="s">
        <v>282</v>
      </c>
      <c r="R206" s="25"/>
      <c r="S206" s="50"/>
      <c r="T206" s="65"/>
      <c r="U206" s="65"/>
      <c r="V206" s="65"/>
      <c r="W206" s="65"/>
      <c r="X206" s="65"/>
      <c r="Y206" s="65"/>
      <c r="Z206" s="65"/>
      <c r="AA206" s="65"/>
    </row>
    <row r="207" spans="1:27" ht="15.75" customHeight="1">
      <c r="A207" s="344"/>
      <c r="B207" s="344"/>
      <c r="C207" s="31">
        <v>5</v>
      </c>
      <c r="D207" s="344"/>
      <c r="E207" s="355" t="s">
        <v>5502</v>
      </c>
      <c r="F207" s="31" t="s">
        <v>361</v>
      </c>
      <c r="G207" s="31" t="s">
        <v>327</v>
      </c>
      <c r="H207" s="23" t="s">
        <v>5503</v>
      </c>
      <c r="I207" s="23" t="s">
        <v>6052</v>
      </c>
      <c r="J207" s="170"/>
      <c r="K207" s="25"/>
      <c r="L207" s="25"/>
      <c r="M207" s="43"/>
      <c r="N207" s="55"/>
      <c r="O207" s="25"/>
      <c r="P207" s="25"/>
      <c r="Q207" s="50" t="s">
        <v>282</v>
      </c>
      <c r="R207" s="25"/>
      <c r="S207" s="50"/>
      <c r="T207" s="65"/>
      <c r="U207" s="65"/>
      <c r="V207" s="65"/>
      <c r="W207" s="65"/>
      <c r="X207" s="65"/>
      <c r="Y207" s="65"/>
      <c r="Z207" s="65"/>
      <c r="AA207" s="65"/>
    </row>
    <row r="208" spans="1:27" ht="15.75" customHeight="1">
      <c r="A208" s="344"/>
      <c r="B208" s="344"/>
      <c r="C208" s="31">
        <v>6</v>
      </c>
      <c r="D208" s="344"/>
      <c r="E208" s="345"/>
      <c r="F208" s="31" t="s">
        <v>361</v>
      </c>
      <c r="G208" s="31" t="s">
        <v>327</v>
      </c>
      <c r="H208" s="23" t="s">
        <v>5504</v>
      </c>
      <c r="I208" s="23" t="s">
        <v>6052</v>
      </c>
      <c r="J208" s="170"/>
      <c r="K208" s="25"/>
      <c r="L208" s="25"/>
      <c r="M208" s="43"/>
      <c r="N208" s="55"/>
      <c r="O208" s="25"/>
      <c r="P208" s="25"/>
      <c r="Q208" s="50" t="s">
        <v>282</v>
      </c>
      <c r="R208" s="25"/>
      <c r="S208" s="50"/>
      <c r="T208" s="65"/>
      <c r="U208" s="65"/>
      <c r="V208" s="65"/>
      <c r="W208" s="65"/>
      <c r="X208" s="65"/>
      <c r="Y208" s="65"/>
      <c r="Z208" s="65"/>
      <c r="AA208" s="65"/>
    </row>
    <row r="209" spans="1:27" ht="15.75" customHeight="1">
      <c r="A209" s="344"/>
      <c r="B209" s="344"/>
      <c r="C209" s="31">
        <v>7</v>
      </c>
      <c r="D209" s="344"/>
      <c r="E209" s="355" t="s">
        <v>5505</v>
      </c>
      <c r="F209" s="31" t="s">
        <v>361</v>
      </c>
      <c r="G209" s="31" t="s">
        <v>327</v>
      </c>
      <c r="H209" s="23" t="s">
        <v>5506</v>
      </c>
      <c r="I209" s="23" t="s">
        <v>6052</v>
      </c>
      <c r="J209" s="170"/>
      <c r="K209" s="25"/>
      <c r="L209" s="25"/>
      <c r="M209" s="43"/>
      <c r="N209" s="55"/>
      <c r="O209" s="25"/>
      <c r="P209" s="25"/>
      <c r="Q209" s="50" t="s">
        <v>282</v>
      </c>
      <c r="R209" s="25"/>
      <c r="S209" s="50"/>
      <c r="T209" s="65"/>
      <c r="U209" s="65"/>
      <c r="V209" s="65"/>
      <c r="W209" s="65"/>
      <c r="X209" s="65"/>
      <c r="Y209" s="65"/>
      <c r="Z209" s="65"/>
      <c r="AA209" s="65"/>
    </row>
    <row r="210" spans="1:27" ht="15.75" customHeight="1">
      <c r="A210" s="345"/>
      <c r="B210" s="345"/>
      <c r="C210" s="31">
        <v>8</v>
      </c>
      <c r="D210" s="345"/>
      <c r="E210" s="345"/>
      <c r="F210" s="31" t="s">
        <v>361</v>
      </c>
      <c r="G210" s="31" t="s">
        <v>327</v>
      </c>
      <c r="H210" s="23" t="s">
        <v>5507</v>
      </c>
      <c r="I210" s="23" t="s">
        <v>6052</v>
      </c>
      <c r="J210" s="170"/>
      <c r="K210" s="25"/>
      <c r="L210" s="25"/>
      <c r="M210" s="43"/>
      <c r="N210" s="55"/>
      <c r="O210" s="25"/>
      <c r="P210" s="25"/>
      <c r="Q210" s="50" t="s">
        <v>282</v>
      </c>
      <c r="R210" s="25"/>
      <c r="S210" s="50"/>
      <c r="T210" s="65"/>
      <c r="U210" s="65"/>
      <c r="V210" s="65"/>
      <c r="W210" s="65"/>
      <c r="X210" s="65"/>
      <c r="Y210" s="65"/>
      <c r="Z210" s="65"/>
      <c r="AA210" s="65"/>
    </row>
    <row r="211" spans="1:27" ht="15.75" customHeight="1">
      <c r="A211" s="15" t="s">
        <v>6053</v>
      </c>
      <c r="B211" s="16"/>
      <c r="C211" s="16"/>
      <c r="D211" s="17"/>
      <c r="E211" s="18"/>
      <c r="F211" s="19"/>
      <c r="G211" s="19"/>
      <c r="H211" s="17"/>
      <c r="I211" s="20"/>
      <c r="J211" s="20"/>
      <c r="K211" s="16"/>
      <c r="L211" s="16"/>
      <c r="M211" s="71"/>
      <c r="N211" s="3"/>
      <c r="O211" s="16"/>
      <c r="P211" s="16"/>
      <c r="Q211" s="16"/>
      <c r="R211" s="16"/>
      <c r="S211" s="16"/>
    </row>
    <row r="212" spans="1:27" ht="15.75" customHeight="1">
      <c r="A212" s="368" t="s">
        <v>6054</v>
      </c>
      <c r="B212" s="360" t="s">
        <v>6055</v>
      </c>
      <c r="C212" s="31">
        <v>1</v>
      </c>
      <c r="D212" s="368" t="s">
        <v>6054</v>
      </c>
      <c r="E212" s="368" t="s">
        <v>6056</v>
      </c>
      <c r="F212" s="403" t="s">
        <v>5651</v>
      </c>
      <c r="G212" s="403" t="s">
        <v>524</v>
      </c>
      <c r="H212" s="64" t="s">
        <v>6057</v>
      </c>
      <c r="I212" s="23" t="s">
        <v>6058</v>
      </c>
      <c r="J212" s="170"/>
      <c r="K212" s="25"/>
      <c r="L212" s="26"/>
      <c r="M212" s="43"/>
      <c r="N212" s="27"/>
      <c r="O212" s="28"/>
      <c r="P212" s="28"/>
      <c r="Q212" s="50" t="s">
        <v>282</v>
      </c>
      <c r="R212" s="25"/>
      <c r="S212" s="50"/>
      <c r="T212" s="65"/>
      <c r="U212" s="65"/>
      <c r="V212" s="65"/>
      <c r="W212" s="65"/>
      <c r="X212" s="65"/>
      <c r="Y212" s="65"/>
      <c r="Z212" s="65"/>
      <c r="AA212" s="65"/>
    </row>
    <row r="213" spans="1:27" ht="15.75" customHeight="1">
      <c r="A213" s="344"/>
      <c r="B213" s="344"/>
      <c r="C213" s="31">
        <v>2</v>
      </c>
      <c r="D213" s="344"/>
      <c r="E213" s="345"/>
      <c r="F213" s="345"/>
      <c r="G213" s="345"/>
      <c r="H213" s="64" t="s">
        <v>6059</v>
      </c>
      <c r="I213" s="23" t="s">
        <v>6060</v>
      </c>
      <c r="J213" s="170"/>
      <c r="K213" s="25"/>
      <c r="L213" s="26"/>
      <c r="M213" s="43"/>
      <c r="N213" s="27"/>
      <c r="O213" s="25"/>
      <c r="P213" s="25"/>
      <c r="Q213" s="50" t="s">
        <v>282</v>
      </c>
      <c r="R213" s="25"/>
      <c r="S213" s="50"/>
      <c r="T213" s="65"/>
      <c r="U213" s="65"/>
      <c r="V213" s="65"/>
      <c r="W213" s="65"/>
      <c r="X213" s="65"/>
      <c r="Y213" s="65"/>
      <c r="Z213" s="65"/>
      <c r="AA213" s="65"/>
    </row>
    <row r="214" spans="1:27" ht="15.75" customHeight="1">
      <c r="A214" s="344"/>
      <c r="B214" s="344"/>
      <c r="C214" s="31">
        <v>3</v>
      </c>
      <c r="D214" s="344"/>
      <c r="E214" s="368" t="s">
        <v>6061</v>
      </c>
      <c r="F214" s="403" t="s">
        <v>326</v>
      </c>
      <c r="G214" s="403" t="s">
        <v>524</v>
      </c>
      <c r="H214" s="64" t="s">
        <v>6062</v>
      </c>
      <c r="I214" s="23" t="s">
        <v>6063</v>
      </c>
      <c r="J214" s="170"/>
      <c r="K214" s="25"/>
      <c r="L214" s="26"/>
      <c r="M214" s="43"/>
      <c r="N214" s="27"/>
      <c r="O214" s="25"/>
      <c r="P214" s="25"/>
      <c r="Q214" s="50" t="s">
        <v>282</v>
      </c>
      <c r="R214" s="25"/>
      <c r="S214" s="50"/>
      <c r="T214" s="65"/>
      <c r="U214" s="65"/>
      <c r="V214" s="65"/>
      <c r="W214" s="65"/>
      <c r="X214" s="65"/>
      <c r="Y214" s="65"/>
      <c r="Z214" s="65"/>
      <c r="AA214" s="65"/>
    </row>
    <row r="215" spans="1:27" ht="15.75" customHeight="1">
      <c r="A215" s="344"/>
      <c r="B215" s="344"/>
      <c r="C215" s="31">
        <v>4</v>
      </c>
      <c r="D215" s="344"/>
      <c r="E215" s="345"/>
      <c r="F215" s="345"/>
      <c r="G215" s="345"/>
      <c r="H215" s="64" t="s">
        <v>6059</v>
      </c>
      <c r="I215" s="23" t="s">
        <v>6060</v>
      </c>
      <c r="J215" s="170"/>
      <c r="K215" s="25"/>
      <c r="L215" s="26"/>
      <c r="M215" s="43"/>
      <c r="N215" s="27"/>
      <c r="O215" s="25"/>
      <c r="P215" s="25"/>
      <c r="Q215" s="50" t="s">
        <v>282</v>
      </c>
      <c r="R215" s="25"/>
      <c r="S215" s="50"/>
      <c r="T215" s="65"/>
      <c r="U215" s="65"/>
      <c r="V215" s="65"/>
      <c r="W215" s="65"/>
      <c r="X215" s="65"/>
      <c r="Y215" s="65"/>
      <c r="Z215" s="65"/>
      <c r="AA215" s="65"/>
    </row>
    <row r="216" spans="1:27" ht="15.75" customHeight="1">
      <c r="A216" s="344"/>
      <c r="B216" s="344"/>
      <c r="C216" s="31">
        <v>5</v>
      </c>
      <c r="D216" s="344"/>
      <c r="E216" s="368" t="s">
        <v>6064</v>
      </c>
      <c r="F216" s="403" t="s">
        <v>326</v>
      </c>
      <c r="G216" s="403" t="s">
        <v>524</v>
      </c>
      <c r="H216" s="64" t="s">
        <v>6065</v>
      </c>
      <c r="I216" s="23" t="s">
        <v>6063</v>
      </c>
      <c r="J216" s="170"/>
      <c r="K216" s="25"/>
      <c r="L216" s="26"/>
      <c r="M216" s="43"/>
      <c r="N216" s="27"/>
      <c r="O216" s="25"/>
      <c r="P216" s="25"/>
      <c r="Q216" s="50" t="s">
        <v>282</v>
      </c>
      <c r="R216" s="25"/>
      <c r="S216" s="50"/>
      <c r="T216" s="65"/>
      <c r="U216" s="65"/>
      <c r="V216" s="65"/>
      <c r="W216" s="65"/>
      <c r="X216" s="65"/>
      <c r="Y216" s="65"/>
      <c r="Z216" s="65"/>
      <c r="AA216" s="65"/>
    </row>
    <row r="217" spans="1:27" ht="15.75" customHeight="1">
      <c r="A217" s="344"/>
      <c r="B217" s="344"/>
      <c r="C217" s="31">
        <v>6</v>
      </c>
      <c r="D217" s="344"/>
      <c r="E217" s="345"/>
      <c r="F217" s="345"/>
      <c r="G217" s="345"/>
      <c r="H217" s="64" t="s">
        <v>6059</v>
      </c>
      <c r="I217" s="23" t="s">
        <v>6060</v>
      </c>
      <c r="J217" s="170"/>
      <c r="K217" s="25"/>
      <c r="L217" s="26"/>
      <c r="M217" s="43"/>
      <c r="N217" s="27"/>
      <c r="O217" s="25"/>
      <c r="P217" s="25"/>
      <c r="Q217" s="50" t="s">
        <v>282</v>
      </c>
      <c r="R217" s="25"/>
      <c r="S217" s="50"/>
      <c r="T217" s="65"/>
      <c r="U217" s="65"/>
      <c r="V217" s="65"/>
      <c r="W217" s="65"/>
      <c r="X217" s="65"/>
      <c r="Y217" s="65"/>
      <c r="Z217" s="65"/>
      <c r="AA217" s="65"/>
    </row>
    <row r="218" spans="1:27" ht="15.75" customHeight="1">
      <c r="A218" s="345"/>
      <c r="B218" s="345"/>
      <c r="C218" s="31">
        <v>7</v>
      </c>
      <c r="D218" s="345"/>
      <c r="E218" s="39" t="s">
        <v>6066</v>
      </c>
      <c r="F218" s="248" t="s">
        <v>361</v>
      </c>
      <c r="G218" s="248" t="s">
        <v>349</v>
      </c>
      <c r="H218" s="64" t="s">
        <v>6067</v>
      </c>
      <c r="I218" s="23" t="s">
        <v>6068</v>
      </c>
      <c r="J218" s="170"/>
      <c r="K218" s="25"/>
      <c r="L218" s="26"/>
      <c r="M218" s="43"/>
      <c r="N218" s="27"/>
      <c r="O218" s="25"/>
      <c r="P218" s="25"/>
      <c r="Q218" s="50" t="s">
        <v>282</v>
      </c>
      <c r="R218" s="25"/>
      <c r="S218" s="50"/>
      <c r="T218" s="65"/>
      <c r="U218" s="65"/>
      <c r="V218" s="65"/>
      <c r="W218" s="65"/>
      <c r="X218" s="65"/>
      <c r="Y218" s="65"/>
      <c r="Z218" s="65"/>
      <c r="AA218" s="65"/>
    </row>
    <row r="219" spans="1:27" ht="15.75" customHeight="1">
      <c r="A219" s="368" t="s">
        <v>6069</v>
      </c>
      <c r="B219" s="360" t="s">
        <v>6070</v>
      </c>
      <c r="C219" s="31">
        <v>1</v>
      </c>
      <c r="D219" s="368" t="s">
        <v>6069</v>
      </c>
      <c r="E219" s="23" t="s">
        <v>6071</v>
      </c>
      <c r="F219" s="31" t="s">
        <v>326</v>
      </c>
      <c r="G219" s="31" t="s">
        <v>327</v>
      </c>
      <c r="H219" s="23" t="s">
        <v>6072</v>
      </c>
      <c r="I219" s="23" t="s">
        <v>6073</v>
      </c>
      <c r="J219" s="170"/>
      <c r="K219" s="25"/>
      <c r="L219" s="26"/>
      <c r="M219" s="43"/>
      <c r="N219" s="27"/>
      <c r="O219" s="25"/>
      <c r="P219" s="25"/>
      <c r="Q219" s="50" t="s">
        <v>282</v>
      </c>
      <c r="R219" s="25"/>
      <c r="S219" s="50"/>
      <c r="T219" s="65"/>
      <c r="U219" s="65"/>
      <c r="V219" s="65"/>
      <c r="W219" s="65"/>
      <c r="X219" s="65"/>
      <c r="Y219" s="65"/>
      <c r="Z219" s="65"/>
      <c r="AA219" s="65"/>
    </row>
    <row r="220" spans="1:27" ht="15.75" customHeight="1">
      <c r="A220" s="344"/>
      <c r="B220" s="344"/>
      <c r="C220" s="31">
        <v>2</v>
      </c>
      <c r="D220" s="344"/>
      <c r="E220" s="23" t="s">
        <v>6074</v>
      </c>
      <c r="F220" s="31" t="s">
        <v>326</v>
      </c>
      <c r="G220" s="31" t="s">
        <v>327</v>
      </c>
      <c r="H220" s="23" t="s">
        <v>6072</v>
      </c>
      <c r="I220" s="23" t="s">
        <v>6075</v>
      </c>
      <c r="J220" s="170"/>
      <c r="K220" s="25"/>
      <c r="L220" s="26"/>
      <c r="M220" s="43"/>
      <c r="N220" s="27"/>
      <c r="O220" s="25"/>
      <c r="P220" s="25"/>
      <c r="Q220" s="50" t="s">
        <v>282</v>
      </c>
      <c r="R220" s="25"/>
      <c r="S220" s="50"/>
      <c r="T220" s="65"/>
      <c r="U220" s="65"/>
      <c r="V220" s="65"/>
      <c r="W220" s="65"/>
      <c r="X220" s="65"/>
      <c r="Y220" s="65"/>
      <c r="Z220" s="65"/>
      <c r="AA220" s="65"/>
    </row>
    <row r="221" spans="1:27" ht="15.75" customHeight="1">
      <c r="A221" s="344"/>
      <c r="B221" s="344"/>
      <c r="C221" s="31">
        <v>3</v>
      </c>
      <c r="D221" s="344"/>
      <c r="E221" s="23" t="s">
        <v>6076</v>
      </c>
      <c r="F221" s="31" t="s">
        <v>326</v>
      </c>
      <c r="G221" s="31" t="s">
        <v>327</v>
      </c>
      <c r="H221" s="23" t="s">
        <v>6072</v>
      </c>
      <c r="I221" s="23" t="s">
        <v>6077</v>
      </c>
      <c r="J221" s="170"/>
      <c r="K221" s="25"/>
      <c r="L221" s="26"/>
      <c r="M221" s="43"/>
      <c r="N221" s="27"/>
      <c r="O221" s="25"/>
      <c r="P221" s="25"/>
      <c r="Q221" s="50" t="s">
        <v>282</v>
      </c>
      <c r="R221" s="25"/>
      <c r="S221" s="50"/>
      <c r="T221" s="65"/>
      <c r="U221" s="65"/>
      <c r="V221" s="65"/>
      <c r="W221" s="65"/>
      <c r="X221" s="65"/>
      <c r="Y221" s="65"/>
      <c r="Z221" s="65"/>
      <c r="AA221" s="65"/>
    </row>
    <row r="222" spans="1:27" ht="15.75" customHeight="1">
      <c r="A222" s="344"/>
      <c r="B222" s="344"/>
      <c r="C222" s="31">
        <v>4</v>
      </c>
      <c r="D222" s="344"/>
      <c r="E222" s="23" t="s">
        <v>6078</v>
      </c>
      <c r="F222" s="31" t="s">
        <v>326</v>
      </c>
      <c r="G222" s="31" t="s">
        <v>327</v>
      </c>
      <c r="H222" s="23" t="s">
        <v>6072</v>
      </c>
      <c r="I222" s="23" t="s">
        <v>6079</v>
      </c>
      <c r="J222" s="170"/>
      <c r="K222" s="25"/>
      <c r="L222" s="26"/>
      <c r="M222" s="43"/>
      <c r="N222" s="27"/>
      <c r="O222" s="25"/>
      <c r="P222" s="25"/>
      <c r="Q222" s="50" t="s">
        <v>282</v>
      </c>
      <c r="R222" s="25"/>
      <c r="S222" s="50"/>
      <c r="T222" s="65"/>
      <c r="U222" s="65"/>
      <c r="V222" s="65"/>
      <c r="W222" s="65"/>
      <c r="X222" s="65"/>
      <c r="Y222" s="65"/>
      <c r="Z222" s="65"/>
      <c r="AA222" s="65"/>
    </row>
    <row r="223" spans="1:27" ht="15.75" customHeight="1">
      <c r="A223" s="344"/>
      <c r="B223" s="344"/>
      <c r="C223" s="31">
        <v>5</v>
      </c>
      <c r="D223" s="344"/>
      <c r="E223" s="23" t="s">
        <v>6080</v>
      </c>
      <c r="F223" s="31" t="s">
        <v>326</v>
      </c>
      <c r="G223" s="31" t="s">
        <v>327</v>
      </c>
      <c r="H223" s="23" t="s">
        <v>6072</v>
      </c>
      <c r="I223" s="23" t="s">
        <v>6081</v>
      </c>
      <c r="J223" s="170"/>
      <c r="K223" s="25"/>
      <c r="L223" s="26"/>
      <c r="M223" s="43"/>
      <c r="N223" s="27"/>
      <c r="O223" s="25"/>
      <c r="P223" s="25"/>
      <c r="Q223" s="50" t="s">
        <v>282</v>
      </c>
      <c r="R223" s="25"/>
      <c r="S223" s="50"/>
      <c r="T223" s="65"/>
      <c r="U223" s="65"/>
      <c r="V223" s="65"/>
      <c r="W223" s="65"/>
      <c r="X223" s="65"/>
      <c r="Y223" s="65"/>
      <c r="Z223" s="65"/>
      <c r="AA223" s="65"/>
    </row>
    <row r="224" spans="1:27" ht="15.75" customHeight="1">
      <c r="A224" s="344"/>
      <c r="B224" s="344"/>
      <c r="C224" s="31">
        <v>6</v>
      </c>
      <c r="D224" s="344"/>
      <c r="E224" s="23" t="s">
        <v>6082</v>
      </c>
      <c r="F224" s="31" t="s">
        <v>326</v>
      </c>
      <c r="G224" s="31" t="s">
        <v>327</v>
      </c>
      <c r="H224" s="23" t="s">
        <v>6072</v>
      </c>
      <c r="I224" s="23" t="s">
        <v>6083</v>
      </c>
      <c r="J224" s="170"/>
      <c r="K224" s="25"/>
      <c r="L224" s="26"/>
      <c r="M224" s="43"/>
      <c r="N224" s="27"/>
      <c r="O224" s="25"/>
      <c r="P224" s="25"/>
      <c r="Q224" s="50" t="s">
        <v>282</v>
      </c>
      <c r="R224" s="25"/>
      <c r="S224" s="50"/>
      <c r="T224" s="65"/>
      <c r="U224" s="65"/>
      <c r="V224" s="65"/>
      <c r="W224" s="65"/>
      <c r="X224" s="65"/>
      <c r="Y224" s="65"/>
      <c r="Z224" s="65"/>
      <c r="AA224" s="65"/>
    </row>
    <row r="225" spans="1:27" ht="15.75" customHeight="1">
      <c r="A225" s="345"/>
      <c r="B225" s="345"/>
      <c r="C225" s="31">
        <v>7</v>
      </c>
      <c r="D225" s="345"/>
      <c r="E225" s="39" t="s">
        <v>6084</v>
      </c>
      <c r="F225" s="31" t="s">
        <v>326</v>
      </c>
      <c r="G225" s="31" t="s">
        <v>327</v>
      </c>
      <c r="H225" s="23" t="s">
        <v>6072</v>
      </c>
      <c r="I225" s="23" t="s">
        <v>6085</v>
      </c>
      <c r="J225" s="170"/>
      <c r="K225" s="25"/>
      <c r="L225" s="26"/>
      <c r="M225" s="43"/>
      <c r="N225" s="27"/>
      <c r="O225" s="25"/>
      <c r="P225" s="25"/>
      <c r="Q225" s="50" t="s">
        <v>282</v>
      </c>
      <c r="R225" s="25"/>
      <c r="S225" s="50"/>
      <c r="T225" s="65"/>
      <c r="U225" s="65"/>
      <c r="V225" s="65"/>
      <c r="W225" s="65"/>
      <c r="X225" s="65"/>
      <c r="Y225" s="65"/>
      <c r="Z225" s="65"/>
      <c r="AA225" s="65"/>
    </row>
    <row r="226" spans="1:27" ht="15.75" customHeight="1">
      <c r="A226" s="15" t="s">
        <v>6086</v>
      </c>
      <c r="B226" s="16"/>
      <c r="C226" s="16"/>
      <c r="D226" s="17"/>
      <c r="E226" s="18"/>
      <c r="F226" s="19"/>
      <c r="G226" s="19"/>
      <c r="H226" s="17"/>
      <c r="I226" s="20"/>
      <c r="J226" s="20"/>
      <c r="K226" s="16"/>
      <c r="L226" s="16"/>
      <c r="M226" s="71"/>
      <c r="N226" s="3"/>
      <c r="O226" s="16"/>
      <c r="P226" s="16"/>
      <c r="Q226" s="16"/>
      <c r="R226" s="16"/>
      <c r="S226" s="16"/>
    </row>
    <row r="227" spans="1:27" ht="15.75" customHeight="1">
      <c r="A227" s="73" t="s">
        <v>6087</v>
      </c>
      <c r="B227" s="31" t="s">
        <v>6088</v>
      </c>
      <c r="C227" s="31">
        <v>1</v>
      </c>
      <c r="D227" s="39" t="s">
        <v>6087</v>
      </c>
      <c r="E227" s="23" t="s">
        <v>2075</v>
      </c>
      <c r="F227" s="31" t="s">
        <v>361</v>
      </c>
      <c r="G227" s="31" t="s">
        <v>327</v>
      </c>
      <c r="H227" s="23" t="s">
        <v>2076</v>
      </c>
      <c r="I227" s="23" t="s">
        <v>2077</v>
      </c>
      <c r="J227" s="170"/>
      <c r="K227" s="25" t="s">
        <v>294</v>
      </c>
      <c r="L227" s="25"/>
      <c r="M227" s="43"/>
      <c r="N227" s="55"/>
      <c r="O227" s="25"/>
      <c r="P227" s="25"/>
      <c r="Q227" s="50" t="s">
        <v>140</v>
      </c>
      <c r="R227" s="25"/>
      <c r="S227" s="50"/>
      <c r="T227" s="65"/>
      <c r="U227" s="65"/>
      <c r="V227" s="65"/>
      <c r="W227" s="65"/>
      <c r="X227" s="65"/>
      <c r="Y227" s="65"/>
      <c r="Z227" s="65"/>
      <c r="AA227" s="65"/>
    </row>
    <row r="228" spans="1:27" ht="15.75" customHeight="1">
      <c r="A228" s="181" t="s">
        <v>6089</v>
      </c>
      <c r="B228" s="86" t="s">
        <v>219</v>
      </c>
      <c r="C228" s="86">
        <v>1</v>
      </c>
      <c r="D228" s="181" t="s">
        <v>6089</v>
      </c>
      <c r="E228" s="175" t="s">
        <v>6090</v>
      </c>
      <c r="F228" s="86" t="s">
        <v>361</v>
      </c>
      <c r="G228" s="86" t="s">
        <v>327</v>
      </c>
      <c r="H228" s="175" t="s">
        <v>6091</v>
      </c>
      <c r="I228" s="63" t="s">
        <v>6092</v>
      </c>
      <c r="J228" s="171"/>
      <c r="K228" s="25"/>
      <c r="L228" s="25"/>
      <c r="M228" s="43"/>
      <c r="N228" s="55"/>
      <c r="O228" s="25"/>
      <c r="P228" s="25"/>
      <c r="Q228" s="50" t="s">
        <v>282</v>
      </c>
      <c r="R228" s="25" t="s">
        <v>305</v>
      </c>
      <c r="S228" s="50"/>
      <c r="T228" s="65"/>
      <c r="U228" s="65"/>
      <c r="V228" s="65"/>
      <c r="W228" s="65"/>
      <c r="X228" s="65"/>
      <c r="Y228" s="65"/>
      <c r="Z228" s="65"/>
      <c r="AA228" s="65"/>
    </row>
    <row r="229" spans="1:27" ht="15.75" customHeight="1">
      <c r="A229" s="15" t="s">
        <v>6093</v>
      </c>
      <c r="B229" s="16"/>
      <c r="C229" s="16"/>
      <c r="D229" s="17"/>
      <c r="E229" s="18"/>
      <c r="F229" s="19"/>
      <c r="G229" s="19"/>
      <c r="H229" s="17"/>
      <c r="I229" s="20"/>
      <c r="J229" s="20"/>
      <c r="K229" s="16"/>
      <c r="L229" s="16"/>
      <c r="M229" s="71"/>
      <c r="N229" s="3"/>
      <c r="O229" s="16"/>
      <c r="P229" s="16"/>
      <c r="Q229" s="16"/>
      <c r="R229" s="16"/>
      <c r="S229" s="16"/>
    </row>
    <row r="230" spans="1:27" ht="15.75" customHeight="1">
      <c r="A230" s="361" t="s">
        <v>6094</v>
      </c>
      <c r="B230" s="354" t="s">
        <v>6095</v>
      </c>
      <c r="C230" s="86">
        <v>1</v>
      </c>
      <c r="D230" s="361" t="s">
        <v>6094</v>
      </c>
      <c r="E230" s="175" t="s">
        <v>6096</v>
      </c>
      <c r="F230" s="86" t="s">
        <v>326</v>
      </c>
      <c r="G230" s="86" t="s">
        <v>524</v>
      </c>
      <c r="H230" s="175" t="s">
        <v>6097</v>
      </c>
      <c r="I230" s="35" t="s">
        <v>6098</v>
      </c>
      <c r="J230" s="172"/>
      <c r="K230" s="25"/>
      <c r="L230" s="66"/>
      <c r="M230" s="66"/>
      <c r="N230" s="27"/>
      <c r="O230" s="25"/>
      <c r="P230" s="25"/>
      <c r="Q230" s="89" t="s">
        <v>393</v>
      </c>
      <c r="R230" s="25" t="s">
        <v>296</v>
      </c>
      <c r="S230" s="50"/>
      <c r="T230" s="65"/>
      <c r="U230" s="65"/>
      <c r="V230" s="65"/>
      <c r="W230" s="65"/>
      <c r="X230" s="65"/>
      <c r="Y230" s="65"/>
      <c r="Z230" s="65"/>
      <c r="AA230" s="65"/>
    </row>
    <row r="231" spans="1:27" ht="15.75" customHeight="1">
      <c r="A231" s="352"/>
      <c r="B231" s="352"/>
      <c r="C231" s="86">
        <v>2</v>
      </c>
      <c r="D231" s="352"/>
      <c r="E231" s="175" t="s">
        <v>6099</v>
      </c>
      <c r="F231" s="86" t="s">
        <v>326</v>
      </c>
      <c r="G231" s="86" t="s">
        <v>524</v>
      </c>
      <c r="H231" s="175" t="s">
        <v>6097</v>
      </c>
      <c r="I231" s="35" t="s">
        <v>6098</v>
      </c>
      <c r="J231" s="172"/>
      <c r="K231" s="25"/>
      <c r="L231" s="66"/>
      <c r="M231" s="66"/>
      <c r="N231" s="27"/>
      <c r="O231" s="25"/>
      <c r="P231" s="25"/>
      <c r="Q231" s="89" t="s">
        <v>393</v>
      </c>
      <c r="R231" s="25" t="s">
        <v>296</v>
      </c>
      <c r="S231" s="50"/>
      <c r="T231" s="65"/>
      <c r="U231" s="65"/>
      <c r="V231" s="65"/>
      <c r="W231" s="65"/>
      <c r="X231" s="65"/>
      <c r="Y231" s="65"/>
      <c r="Z231" s="65"/>
      <c r="AA231" s="65"/>
    </row>
    <row r="232" spans="1:27" ht="15.75" customHeight="1">
      <c r="A232" s="352"/>
      <c r="B232" s="352"/>
      <c r="C232" s="86">
        <v>3</v>
      </c>
      <c r="D232" s="352"/>
      <c r="E232" s="175" t="s">
        <v>6100</v>
      </c>
      <c r="F232" s="86" t="s">
        <v>326</v>
      </c>
      <c r="G232" s="86" t="s">
        <v>524</v>
      </c>
      <c r="H232" s="175" t="s">
        <v>6097</v>
      </c>
      <c r="I232" s="35" t="s">
        <v>6098</v>
      </c>
      <c r="J232" s="172"/>
      <c r="K232" s="25"/>
      <c r="L232" s="66"/>
      <c r="M232" s="66"/>
      <c r="N232" s="27"/>
      <c r="O232" s="25"/>
      <c r="P232" s="25"/>
      <c r="Q232" s="89" t="s">
        <v>393</v>
      </c>
      <c r="R232" s="25" t="s">
        <v>296</v>
      </c>
      <c r="S232" s="50"/>
      <c r="T232" s="65"/>
      <c r="U232" s="65"/>
      <c r="V232" s="65"/>
      <c r="W232" s="65"/>
      <c r="X232" s="65"/>
      <c r="Y232" s="65"/>
      <c r="Z232" s="65"/>
      <c r="AA232" s="65"/>
    </row>
    <row r="233" spans="1:27" ht="15.75" customHeight="1">
      <c r="A233" s="352"/>
      <c r="B233" s="352"/>
      <c r="C233" s="86">
        <v>4</v>
      </c>
      <c r="D233" s="352"/>
      <c r="E233" s="175" t="s">
        <v>6101</v>
      </c>
      <c r="F233" s="86" t="s">
        <v>326</v>
      </c>
      <c r="G233" s="86" t="s">
        <v>524</v>
      </c>
      <c r="H233" s="175" t="s">
        <v>6097</v>
      </c>
      <c r="I233" s="35" t="s">
        <v>6098</v>
      </c>
      <c r="J233" s="172"/>
      <c r="K233" s="25"/>
      <c r="L233" s="66"/>
      <c r="M233" s="66"/>
      <c r="N233" s="27"/>
      <c r="O233" s="25"/>
      <c r="P233" s="25"/>
      <c r="Q233" s="89" t="s">
        <v>393</v>
      </c>
      <c r="R233" s="25" t="s">
        <v>296</v>
      </c>
      <c r="S233" s="50"/>
      <c r="T233" s="65"/>
      <c r="U233" s="65"/>
      <c r="V233" s="65"/>
      <c r="W233" s="65"/>
      <c r="X233" s="65"/>
      <c r="Y233" s="65"/>
      <c r="Z233" s="65"/>
      <c r="AA233" s="65"/>
    </row>
    <row r="234" spans="1:27" ht="15.75" customHeight="1">
      <c r="A234" s="352"/>
      <c r="B234" s="352"/>
      <c r="C234" s="86">
        <v>5</v>
      </c>
      <c r="D234" s="352"/>
      <c r="E234" s="175" t="s">
        <v>6102</v>
      </c>
      <c r="F234" s="86" t="s">
        <v>326</v>
      </c>
      <c r="G234" s="86" t="s">
        <v>524</v>
      </c>
      <c r="H234" s="175" t="s">
        <v>6097</v>
      </c>
      <c r="I234" s="35" t="s">
        <v>6098</v>
      </c>
      <c r="J234" s="172"/>
      <c r="K234" s="25"/>
      <c r="L234" s="66"/>
      <c r="M234" s="66"/>
      <c r="N234" s="27"/>
      <c r="O234" s="25"/>
      <c r="P234" s="25"/>
      <c r="Q234" s="89" t="s">
        <v>393</v>
      </c>
      <c r="R234" s="25" t="s">
        <v>296</v>
      </c>
      <c r="S234" s="50"/>
      <c r="T234" s="65"/>
      <c r="U234" s="65"/>
      <c r="V234" s="65"/>
      <c r="W234" s="65"/>
      <c r="X234" s="65"/>
      <c r="Y234" s="65"/>
      <c r="Z234" s="65"/>
      <c r="AA234" s="65"/>
    </row>
    <row r="235" spans="1:27" ht="15.75" customHeight="1">
      <c r="A235" s="352"/>
      <c r="B235" s="352"/>
      <c r="C235" s="86">
        <v>6</v>
      </c>
      <c r="D235" s="352"/>
      <c r="E235" s="181" t="s">
        <v>6103</v>
      </c>
      <c r="F235" s="86" t="s">
        <v>326</v>
      </c>
      <c r="G235" s="86" t="s">
        <v>524</v>
      </c>
      <c r="H235" s="175" t="s">
        <v>6097</v>
      </c>
      <c r="I235" s="35" t="s">
        <v>6098</v>
      </c>
      <c r="J235" s="172"/>
      <c r="K235" s="25"/>
      <c r="L235" s="66"/>
      <c r="M235" s="66"/>
      <c r="N235" s="27"/>
      <c r="O235" s="25"/>
      <c r="P235" s="25"/>
      <c r="Q235" s="89" t="s">
        <v>393</v>
      </c>
      <c r="R235" s="25" t="s">
        <v>296</v>
      </c>
      <c r="S235" s="50"/>
      <c r="T235" s="65"/>
      <c r="U235" s="65"/>
      <c r="V235" s="65"/>
      <c r="W235" s="65"/>
      <c r="X235" s="65"/>
      <c r="Y235" s="65"/>
      <c r="Z235" s="65"/>
      <c r="AA235" s="65"/>
    </row>
    <row r="236" spans="1:27" ht="15.75" customHeight="1">
      <c r="A236" s="353"/>
      <c r="B236" s="353"/>
      <c r="C236" s="86">
        <v>7</v>
      </c>
      <c r="D236" s="353"/>
      <c r="E236" s="181" t="s">
        <v>6104</v>
      </c>
      <c r="F236" s="86" t="s">
        <v>326</v>
      </c>
      <c r="G236" s="86" t="s">
        <v>524</v>
      </c>
      <c r="H236" s="175" t="s">
        <v>6105</v>
      </c>
      <c r="I236" s="35" t="s">
        <v>6106</v>
      </c>
      <c r="J236" s="172"/>
      <c r="K236" s="25"/>
      <c r="L236" s="66"/>
      <c r="M236" s="66"/>
      <c r="N236" s="27"/>
      <c r="O236" s="25"/>
      <c r="P236" s="25"/>
      <c r="Q236" s="89" t="s">
        <v>393</v>
      </c>
      <c r="R236" s="25" t="s">
        <v>296</v>
      </c>
      <c r="S236" s="50"/>
      <c r="T236" s="65"/>
      <c r="U236" s="65"/>
      <c r="V236" s="65"/>
      <c r="W236" s="65"/>
      <c r="X236" s="65"/>
      <c r="Y236" s="65"/>
      <c r="Z236" s="65"/>
      <c r="AA236" s="65"/>
    </row>
    <row r="237" spans="1:27" ht="15.75" customHeight="1">
      <c r="A237" s="355" t="s">
        <v>6107</v>
      </c>
      <c r="B237" s="350" t="s">
        <v>290</v>
      </c>
      <c r="C237" s="41">
        <v>1</v>
      </c>
      <c r="D237" s="355" t="s">
        <v>6107</v>
      </c>
      <c r="E237" s="39" t="s">
        <v>6108</v>
      </c>
      <c r="F237" s="31" t="s">
        <v>326</v>
      </c>
      <c r="G237" s="31" t="s">
        <v>327</v>
      </c>
      <c r="H237" s="23" t="s">
        <v>6097</v>
      </c>
      <c r="I237" s="23" t="s">
        <v>6098</v>
      </c>
      <c r="J237" s="170"/>
      <c r="K237" s="25"/>
      <c r="L237" s="66"/>
      <c r="M237" s="66"/>
      <c r="N237" s="3"/>
      <c r="O237" s="25"/>
      <c r="P237" s="25"/>
      <c r="Q237" s="89" t="s">
        <v>393</v>
      </c>
      <c r="R237" s="25" t="s">
        <v>297</v>
      </c>
      <c r="S237" s="50"/>
    </row>
    <row r="238" spans="1:27" ht="15.75" customHeight="1">
      <c r="A238" s="344"/>
      <c r="B238" s="344"/>
      <c r="C238" s="41">
        <v>2</v>
      </c>
      <c r="D238" s="344"/>
      <c r="E238" s="39" t="s">
        <v>6109</v>
      </c>
      <c r="F238" s="31" t="s">
        <v>326</v>
      </c>
      <c r="G238" s="31" t="s">
        <v>327</v>
      </c>
      <c r="H238" s="23" t="s">
        <v>6097</v>
      </c>
      <c r="I238" s="23" t="s">
        <v>6098</v>
      </c>
      <c r="J238" s="170"/>
      <c r="K238" s="25"/>
      <c r="L238" s="66"/>
      <c r="M238" s="66"/>
      <c r="N238" s="3"/>
      <c r="O238" s="25"/>
      <c r="P238" s="25"/>
      <c r="Q238" s="89" t="s">
        <v>393</v>
      </c>
      <c r="R238" s="25" t="s">
        <v>297</v>
      </c>
      <c r="S238" s="50"/>
    </row>
    <row r="239" spans="1:27" ht="15.75" customHeight="1">
      <c r="A239" s="344"/>
      <c r="B239" s="344"/>
      <c r="C239" s="41">
        <v>3</v>
      </c>
      <c r="D239" s="344"/>
      <c r="E239" s="39" t="s">
        <v>6110</v>
      </c>
      <c r="F239" s="31" t="s">
        <v>326</v>
      </c>
      <c r="G239" s="31" t="s">
        <v>327</v>
      </c>
      <c r="H239" s="23" t="s">
        <v>6097</v>
      </c>
      <c r="I239" s="23" t="s">
        <v>6098</v>
      </c>
      <c r="J239" s="170"/>
      <c r="K239" s="25"/>
      <c r="L239" s="66"/>
      <c r="M239" s="66"/>
      <c r="N239" s="3"/>
      <c r="O239" s="25"/>
      <c r="P239" s="25"/>
      <c r="Q239" s="89" t="s">
        <v>393</v>
      </c>
      <c r="R239" s="25" t="s">
        <v>297</v>
      </c>
      <c r="S239" s="50"/>
    </row>
    <row r="240" spans="1:27" ht="15.75" customHeight="1">
      <c r="A240" s="344"/>
      <c r="B240" s="344"/>
      <c r="C240" s="41">
        <v>4</v>
      </c>
      <c r="D240" s="344"/>
      <c r="E240" s="39" t="s">
        <v>6111</v>
      </c>
      <c r="F240" s="31" t="s">
        <v>326</v>
      </c>
      <c r="G240" s="31" t="s">
        <v>327</v>
      </c>
      <c r="H240" s="23" t="s">
        <v>6097</v>
      </c>
      <c r="I240" s="23" t="s">
        <v>6098</v>
      </c>
      <c r="J240" s="170"/>
      <c r="K240" s="25"/>
      <c r="L240" s="66"/>
      <c r="M240" s="66"/>
      <c r="N240" s="3"/>
      <c r="O240" s="25"/>
      <c r="P240" s="25"/>
      <c r="Q240" s="89" t="s">
        <v>393</v>
      </c>
      <c r="R240" s="25" t="s">
        <v>297</v>
      </c>
      <c r="S240" s="50"/>
    </row>
    <row r="241" spans="1:27" ht="15.75" customHeight="1">
      <c r="A241" s="345"/>
      <c r="B241" s="345"/>
      <c r="C241" s="41">
        <v>5</v>
      </c>
      <c r="D241" s="345"/>
      <c r="E241" s="39" t="s">
        <v>6112</v>
      </c>
      <c r="F241" s="31" t="s">
        <v>326</v>
      </c>
      <c r="G241" s="31" t="s">
        <v>327</v>
      </c>
      <c r="H241" s="23" t="s">
        <v>6097</v>
      </c>
      <c r="I241" s="249" t="s">
        <v>6113</v>
      </c>
      <c r="J241" s="249"/>
      <c r="K241" s="25"/>
      <c r="L241" s="66"/>
      <c r="M241" s="66"/>
      <c r="N241" s="3"/>
      <c r="O241" s="25"/>
      <c r="P241" s="25"/>
      <c r="Q241" s="89" t="s">
        <v>393</v>
      </c>
      <c r="R241" s="25" t="s">
        <v>297</v>
      </c>
      <c r="S241" s="50"/>
    </row>
    <row r="242" spans="1:27" ht="15.75" customHeight="1">
      <c r="A242" s="15" t="s">
        <v>6114</v>
      </c>
      <c r="B242" s="16"/>
      <c r="C242" s="16"/>
      <c r="D242" s="17"/>
      <c r="E242" s="18"/>
      <c r="F242" s="19"/>
      <c r="G242" s="19"/>
      <c r="H242" s="17"/>
      <c r="I242" s="20"/>
      <c r="J242" s="20"/>
      <c r="K242" s="16"/>
      <c r="L242" s="16"/>
      <c r="M242" s="71"/>
      <c r="N242" s="3"/>
      <c r="O242" s="16"/>
      <c r="P242" s="16"/>
      <c r="Q242" s="16"/>
      <c r="R242" s="16"/>
      <c r="S242" s="16"/>
    </row>
    <row r="243" spans="1:27" ht="15.75" customHeight="1">
      <c r="A243" s="355" t="s">
        <v>5744</v>
      </c>
      <c r="B243" s="350" t="s">
        <v>6115</v>
      </c>
      <c r="C243" s="31">
        <v>1</v>
      </c>
      <c r="D243" s="355" t="s">
        <v>6116</v>
      </c>
      <c r="E243" s="23" t="s">
        <v>6117</v>
      </c>
      <c r="F243" s="31" t="s">
        <v>361</v>
      </c>
      <c r="G243" s="31" t="s">
        <v>2234</v>
      </c>
      <c r="H243" s="237" t="s">
        <v>6118</v>
      </c>
      <c r="I243" s="237" t="s">
        <v>5693</v>
      </c>
      <c r="J243" s="441"/>
      <c r="K243" s="25" t="s">
        <v>294</v>
      </c>
      <c r="L243" s="26"/>
      <c r="M243" s="43"/>
      <c r="N243" s="55"/>
      <c r="O243" s="28"/>
      <c r="P243" s="50" t="s">
        <v>140</v>
      </c>
      <c r="Q243" s="50" t="s">
        <v>140</v>
      </c>
      <c r="R243" s="25"/>
      <c r="S243" s="50"/>
      <c r="T243" s="65"/>
      <c r="U243" s="65"/>
      <c r="V243" s="65"/>
      <c r="W243" s="65"/>
      <c r="X243" s="65"/>
      <c r="Y243" s="65"/>
      <c r="Z243" s="65"/>
      <c r="AA243" s="65"/>
    </row>
    <row r="244" spans="1:27" ht="15.75" customHeight="1">
      <c r="A244" s="344"/>
      <c r="B244" s="344"/>
      <c r="C244" s="31">
        <v>2</v>
      </c>
      <c r="D244" s="344"/>
      <c r="E244" s="23" t="s">
        <v>6119</v>
      </c>
      <c r="F244" s="31" t="s">
        <v>361</v>
      </c>
      <c r="G244" s="238" t="s">
        <v>2234</v>
      </c>
      <c r="H244" s="237" t="s">
        <v>6120</v>
      </c>
      <c r="I244" s="237" t="s">
        <v>5693</v>
      </c>
      <c r="J244" s="441"/>
      <c r="K244" s="25" t="s">
        <v>294</v>
      </c>
      <c r="L244" s="26"/>
      <c r="M244" s="43"/>
      <c r="N244" s="55"/>
      <c r="O244" s="25"/>
      <c r="P244" s="50" t="s">
        <v>140</v>
      </c>
      <c r="Q244" s="50" t="s">
        <v>140</v>
      </c>
      <c r="R244" s="25"/>
      <c r="S244" s="50"/>
      <c r="T244" s="65"/>
      <c r="U244" s="65"/>
      <c r="V244" s="65"/>
      <c r="W244" s="65"/>
      <c r="X244" s="65"/>
      <c r="Y244" s="65"/>
      <c r="Z244" s="65"/>
      <c r="AA244" s="65"/>
    </row>
    <row r="245" spans="1:27" ht="15.75" customHeight="1">
      <c r="A245" s="345"/>
      <c r="B245" s="345"/>
      <c r="C245" s="31">
        <v>3</v>
      </c>
      <c r="D245" s="345"/>
      <c r="E245" s="23" t="s">
        <v>6121</v>
      </c>
      <c r="F245" s="31" t="s">
        <v>361</v>
      </c>
      <c r="G245" s="238" t="s">
        <v>2234</v>
      </c>
      <c r="H245" s="237" t="s">
        <v>6122</v>
      </c>
      <c r="I245" s="237" t="s">
        <v>5693</v>
      </c>
      <c r="J245" s="441"/>
      <c r="K245" s="25" t="s">
        <v>294</v>
      </c>
      <c r="L245" s="26"/>
      <c r="M245" s="43"/>
      <c r="N245" s="55"/>
      <c r="O245" s="28"/>
      <c r="P245" s="50" t="s">
        <v>140</v>
      </c>
      <c r="Q245" s="50" t="s">
        <v>140</v>
      </c>
      <c r="R245" s="25"/>
      <c r="S245" s="50"/>
      <c r="T245" s="65"/>
      <c r="U245" s="65"/>
      <c r="V245" s="65"/>
      <c r="W245" s="65"/>
      <c r="X245" s="65"/>
      <c r="Y245" s="65"/>
      <c r="Z245" s="65"/>
      <c r="AA245" s="65"/>
    </row>
    <row r="246" spans="1:27" ht="15.75" customHeight="1">
      <c r="A246" s="356" t="s">
        <v>6123</v>
      </c>
      <c r="B246" s="360" t="s">
        <v>6124</v>
      </c>
      <c r="C246" s="31">
        <v>1</v>
      </c>
      <c r="D246" s="356" t="s">
        <v>6125</v>
      </c>
      <c r="E246" s="23" t="s">
        <v>6126</v>
      </c>
      <c r="F246" s="31" t="s">
        <v>6127</v>
      </c>
      <c r="G246" s="238" t="s">
        <v>2234</v>
      </c>
      <c r="H246" s="237" t="s">
        <v>6128</v>
      </c>
      <c r="I246" s="237" t="s">
        <v>5693</v>
      </c>
      <c r="J246" s="441"/>
      <c r="K246" s="25" t="s">
        <v>294</v>
      </c>
      <c r="L246" s="26"/>
      <c r="M246" s="43"/>
      <c r="N246" s="55"/>
      <c r="O246" s="28"/>
      <c r="P246" s="50" t="s">
        <v>140</v>
      </c>
      <c r="Q246" s="50" t="s">
        <v>140</v>
      </c>
      <c r="R246" s="25" t="s">
        <v>7</v>
      </c>
      <c r="S246" s="50"/>
      <c r="T246" s="65"/>
      <c r="U246" s="65"/>
      <c r="V246" s="65"/>
      <c r="W246" s="65"/>
      <c r="X246" s="65"/>
      <c r="Y246" s="65"/>
      <c r="Z246" s="65"/>
      <c r="AA246" s="65"/>
    </row>
    <row r="247" spans="1:27" ht="15.75" customHeight="1">
      <c r="A247" s="344"/>
      <c r="B247" s="344"/>
      <c r="C247" s="31">
        <v>2</v>
      </c>
      <c r="D247" s="344"/>
      <c r="E247" s="23" t="s">
        <v>6129</v>
      </c>
      <c r="F247" s="31" t="s">
        <v>6130</v>
      </c>
      <c r="G247" s="238" t="s">
        <v>2234</v>
      </c>
      <c r="H247" s="237" t="s">
        <v>6131</v>
      </c>
      <c r="I247" s="237" t="s">
        <v>5693</v>
      </c>
      <c r="J247" s="441"/>
      <c r="K247" s="25" t="s">
        <v>294</v>
      </c>
      <c r="L247" s="26"/>
      <c r="M247" s="43"/>
      <c r="N247" s="55"/>
      <c r="O247" s="25"/>
      <c r="P247" s="50" t="s">
        <v>140</v>
      </c>
      <c r="Q247" s="50" t="s">
        <v>140</v>
      </c>
      <c r="R247" s="25" t="s">
        <v>7</v>
      </c>
      <c r="S247" s="50"/>
      <c r="T247" s="65"/>
      <c r="U247" s="65"/>
      <c r="V247" s="65"/>
      <c r="W247" s="65"/>
      <c r="X247" s="65"/>
      <c r="Y247" s="65"/>
      <c r="Z247" s="65"/>
      <c r="AA247" s="65"/>
    </row>
    <row r="248" spans="1:27" ht="15.75" customHeight="1">
      <c r="A248" s="344"/>
      <c r="B248" s="344"/>
      <c r="C248" s="31">
        <v>3</v>
      </c>
      <c r="D248" s="344"/>
      <c r="E248" s="23" t="s">
        <v>6121</v>
      </c>
      <c r="F248" s="31" t="s">
        <v>6132</v>
      </c>
      <c r="G248" s="238" t="s">
        <v>2234</v>
      </c>
      <c r="H248" s="237" t="s">
        <v>6131</v>
      </c>
      <c r="I248" s="237" t="s">
        <v>5693</v>
      </c>
      <c r="J248" s="441"/>
      <c r="K248" s="25" t="s">
        <v>294</v>
      </c>
      <c r="L248" s="26"/>
      <c r="M248" s="43"/>
      <c r="N248" s="55"/>
      <c r="O248" s="25"/>
      <c r="P248" s="50" t="s">
        <v>140</v>
      </c>
      <c r="Q248" s="50" t="s">
        <v>140</v>
      </c>
      <c r="R248" s="25" t="s">
        <v>7</v>
      </c>
      <c r="S248" s="50"/>
      <c r="T248" s="65"/>
      <c r="U248" s="65"/>
      <c r="V248" s="65"/>
      <c r="W248" s="65"/>
      <c r="X248" s="65"/>
      <c r="Y248" s="65"/>
      <c r="Z248" s="65"/>
      <c r="AA248" s="65"/>
    </row>
    <row r="249" spans="1:27" ht="15.75" customHeight="1">
      <c r="A249" s="344"/>
      <c r="B249" s="344"/>
      <c r="C249" s="31">
        <v>4</v>
      </c>
      <c r="D249" s="344"/>
      <c r="E249" s="23" t="s">
        <v>6133</v>
      </c>
      <c r="F249" s="31" t="s">
        <v>361</v>
      </c>
      <c r="G249" s="238" t="s">
        <v>2234</v>
      </c>
      <c r="H249" s="237" t="s">
        <v>6134</v>
      </c>
      <c r="I249" s="237" t="s">
        <v>5693</v>
      </c>
      <c r="J249" s="441"/>
      <c r="K249" s="25" t="s">
        <v>294</v>
      </c>
      <c r="L249" s="26"/>
      <c r="M249" s="43"/>
      <c r="N249" s="55"/>
      <c r="O249" s="28" t="s">
        <v>140</v>
      </c>
      <c r="P249" s="154"/>
      <c r="Q249" s="50" t="s">
        <v>140</v>
      </c>
      <c r="R249" s="25" t="s">
        <v>7</v>
      </c>
      <c r="S249" s="50"/>
      <c r="T249" s="65"/>
      <c r="U249" s="65"/>
      <c r="V249" s="65"/>
      <c r="W249" s="65"/>
      <c r="X249" s="65"/>
      <c r="Y249" s="65"/>
      <c r="Z249" s="65"/>
      <c r="AA249" s="65"/>
    </row>
    <row r="250" spans="1:27" ht="15.75" customHeight="1">
      <c r="A250" s="344"/>
      <c r="B250" s="344"/>
      <c r="C250" s="31">
        <v>5</v>
      </c>
      <c r="D250" s="344"/>
      <c r="E250" s="23" t="s">
        <v>6135</v>
      </c>
      <c r="F250" s="31" t="s">
        <v>361</v>
      </c>
      <c r="G250" s="238" t="s">
        <v>2234</v>
      </c>
      <c r="H250" s="237" t="s">
        <v>6136</v>
      </c>
      <c r="I250" s="237" t="s">
        <v>5693</v>
      </c>
      <c r="J250" s="441"/>
      <c r="K250" s="25" t="s">
        <v>294</v>
      </c>
      <c r="L250" s="26"/>
      <c r="M250" s="43"/>
      <c r="N250" s="55"/>
      <c r="O250" s="28" t="s">
        <v>140</v>
      </c>
      <c r="P250" s="154"/>
      <c r="Q250" s="50" t="s">
        <v>140</v>
      </c>
      <c r="R250" s="25" t="s">
        <v>7</v>
      </c>
      <c r="S250" s="50"/>
      <c r="T250" s="65"/>
      <c r="U250" s="65"/>
      <c r="V250" s="65"/>
      <c r="W250" s="65"/>
      <c r="X250" s="65"/>
      <c r="Y250" s="65"/>
      <c r="Z250" s="65"/>
      <c r="AA250" s="65"/>
    </row>
    <row r="251" spans="1:27" ht="15.75" customHeight="1">
      <c r="A251" s="344"/>
      <c r="B251" s="344"/>
      <c r="C251" s="31">
        <v>6</v>
      </c>
      <c r="D251" s="344"/>
      <c r="E251" s="23" t="s">
        <v>6137</v>
      </c>
      <c r="F251" s="31" t="s">
        <v>361</v>
      </c>
      <c r="G251" s="238" t="s">
        <v>2234</v>
      </c>
      <c r="H251" s="237" t="s">
        <v>6138</v>
      </c>
      <c r="I251" s="237" t="s">
        <v>5693</v>
      </c>
      <c r="J251" s="441"/>
      <c r="K251" s="25" t="s">
        <v>294</v>
      </c>
      <c r="L251" s="26"/>
      <c r="M251" s="43"/>
      <c r="N251" s="55"/>
      <c r="O251" s="25"/>
      <c r="P251" s="154"/>
      <c r="Q251" s="50" t="s">
        <v>140</v>
      </c>
      <c r="R251" s="25" t="s">
        <v>7</v>
      </c>
      <c r="S251" s="50"/>
      <c r="T251" s="65"/>
      <c r="U251" s="65"/>
      <c r="V251" s="65"/>
      <c r="W251" s="65"/>
      <c r="X251" s="65"/>
      <c r="Y251" s="65"/>
      <c r="Z251" s="65"/>
      <c r="AA251" s="65"/>
    </row>
    <row r="252" spans="1:27" ht="15.75" customHeight="1">
      <c r="A252" s="344"/>
      <c r="B252" s="344"/>
      <c r="C252" s="31">
        <v>7</v>
      </c>
      <c r="D252" s="344"/>
      <c r="E252" s="23" t="s">
        <v>6139</v>
      </c>
      <c r="F252" s="31" t="s">
        <v>361</v>
      </c>
      <c r="G252" s="238" t="s">
        <v>2234</v>
      </c>
      <c r="H252" s="237" t="s">
        <v>6140</v>
      </c>
      <c r="I252" s="237" t="s">
        <v>5693</v>
      </c>
      <c r="J252" s="441"/>
      <c r="K252" s="25" t="s">
        <v>294</v>
      </c>
      <c r="L252" s="26"/>
      <c r="M252" s="43"/>
      <c r="N252" s="55"/>
      <c r="O252" s="25"/>
      <c r="P252" s="154"/>
      <c r="Q252" s="50" t="s">
        <v>140</v>
      </c>
      <c r="R252" s="25" t="s">
        <v>7</v>
      </c>
      <c r="S252" s="50"/>
      <c r="T252" s="65"/>
      <c r="U252" s="65"/>
      <c r="V252" s="65"/>
      <c r="W252" s="65"/>
      <c r="X252" s="65"/>
      <c r="Y252" s="65"/>
      <c r="Z252" s="65"/>
      <c r="AA252" s="65"/>
    </row>
    <row r="253" spans="1:27" ht="15.75" customHeight="1">
      <c r="A253" s="344"/>
      <c r="B253" s="344"/>
      <c r="C253" s="31">
        <v>8</v>
      </c>
      <c r="D253" s="344"/>
      <c r="E253" s="23" t="s">
        <v>6141</v>
      </c>
      <c r="F253" s="31" t="s">
        <v>361</v>
      </c>
      <c r="G253" s="238" t="s">
        <v>2234</v>
      </c>
      <c r="H253" s="237" t="s">
        <v>6142</v>
      </c>
      <c r="I253" s="237" t="s">
        <v>5693</v>
      </c>
      <c r="J253" s="441"/>
      <c r="K253" s="25" t="s">
        <v>294</v>
      </c>
      <c r="L253" s="26"/>
      <c r="M253" s="43"/>
      <c r="N253" s="55"/>
      <c r="O253" s="25"/>
      <c r="P253" s="154"/>
      <c r="Q253" s="50" t="s">
        <v>140</v>
      </c>
      <c r="R253" s="25" t="s">
        <v>7</v>
      </c>
      <c r="S253" s="50"/>
      <c r="T253" s="65"/>
      <c r="U253" s="65"/>
      <c r="V253" s="65"/>
      <c r="W253" s="65"/>
      <c r="X253" s="65"/>
      <c r="Y253" s="65"/>
      <c r="Z253" s="65"/>
      <c r="AA253" s="65"/>
    </row>
    <row r="254" spans="1:27" ht="15.75" customHeight="1">
      <c r="A254" s="344"/>
      <c r="B254" s="344"/>
      <c r="C254" s="31">
        <v>9</v>
      </c>
      <c r="D254" s="344"/>
      <c r="E254" s="23" t="s">
        <v>6143</v>
      </c>
      <c r="F254" s="31" t="s">
        <v>361</v>
      </c>
      <c r="G254" s="238" t="s">
        <v>2234</v>
      </c>
      <c r="H254" s="237" t="s">
        <v>6144</v>
      </c>
      <c r="I254" s="237" t="s">
        <v>5693</v>
      </c>
      <c r="J254" s="441"/>
      <c r="K254" s="25"/>
      <c r="L254" s="26"/>
      <c r="M254" s="43"/>
      <c r="N254" s="55"/>
      <c r="O254" s="25"/>
      <c r="P254" s="154"/>
      <c r="Q254" s="50" t="s">
        <v>282</v>
      </c>
      <c r="R254" s="25" t="s">
        <v>7</v>
      </c>
      <c r="S254" s="50"/>
      <c r="T254" s="65"/>
      <c r="U254" s="65"/>
      <c r="V254" s="65"/>
      <c r="W254" s="65"/>
      <c r="X254" s="65"/>
      <c r="Y254" s="65"/>
      <c r="Z254" s="65"/>
      <c r="AA254" s="65"/>
    </row>
    <row r="255" spans="1:27" ht="15.75" customHeight="1">
      <c r="A255" s="345"/>
      <c r="B255" s="345"/>
      <c r="C255" s="31">
        <v>10</v>
      </c>
      <c r="D255" s="345"/>
      <c r="E255" s="23" t="s">
        <v>6145</v>
      </c>
      <c r="F255" s="31" t="s">
        <v>361</v>
      </c>
      <c r="G255" s="238" t="s">
        <v>2234</v>
      </c>
      <c r="H255" s="237" t="s">
        <v>6146</v>
      </c>
      <c r="I255" s="237" t="s">
        <v>5693</v>
      </c>
      <c r="J255" s="441"/>
      <c r="K255" s="25"/>
      <c r="L255" s="26"/>
      <c r="M255" s="43"/>
      <c r="N255" s="55"/>
      <c r="O255" s="25"/>
      <c r="P255" s="154"/>
      <c r="Q255" s="50" t="s">
        <v>282</v>
      </c>
      <c r="R255" s="25" t="s">
        <v>7</v>
      </c>
      <c r="S255" s="50"/>
      <c r="T255" s="65"/>
      <c r="U255" s="65"/>
      <c r="V255" s="65"/>
      <c r="W255" s="65"/>
      <c r="X255" s="65"/>
      <c r="Y255" s="65"/>
      <c r="Z255" s="65"/>
      <c r="AA255" s="65"/>
    </row>
    <row r="256" spans="1:27" ht="20.25" hidden="1" customHeight="1">
      <c r="A256" s="15" t="s">
        <v>6147</v>
      </c>
      <c r="B256" s="16"/>
      <c r="C256" s="16"/>
      <c r="D256" s="17"/>
      <c r="E256" s="18"/>
      <c r="F256" s="19"/>
      <c r="G256" s="19"/>
      <c r="H256" s="17"/>
      <c r="I256" s="20"/>
      <c r="J256" s="20"/>
      <c r="K256" s="16"/>
      <c r="L256" s="16"/>
      <c r="M256" s="71"/>
      <c r="N256" s="3"/>
      <c r="O256" s="16"/>
      <c r="P256" s="16"/>
      <c r="Q256" s="16"/>
      <c r="R256" s="16"/>
      <c r="S256" s="16"/>
    </row>
    <row r="257" spans="1:27" ht="57.75" hidden="1" customHeight="1">
      <c r="A257" s="250" t="s">
        <v>6148</v>
      </c>
      <c r="B257" s="251"/>
      <c r="C257" s="252"/>
      <c r="D257" s="250" t="s">
        <v>6149</v>
      </c>
      <c r="E257" s="250" t="s">
        <v>6150</v>
      </c>
      <c r="F257" s="252"/>
      <c r="G257" s="252"/>
      <c r="H257" s="252"/>
      <c r="I257" s="252"/>
      <c r="J257" s="252"/>
      <c r="K257" s="25"/>
      <c r="L257" s="43"/>
      <c r="M257" s="43"/>
      <c r="N257" s="55"/>
      <c r="O257" s="25"/>
      <c r="P257" s="25"/>
      <c r="Q257" s="25"/>
      <c r="R257" s="25"/>
      <c r="S257" s="25"/>
      <c r="T257" s="65"/>
      <c r="U257" s="65"/>
      <c r="V257" s="65"/>
      <c r="W257" s="65"/>
      <c r="X257" s="65"/>
      <c r="Y257" s="65"/>
      <c r="Z257" s="65"/>
      <c r="AA257" s="65"/>
    </row>
    <row r="258" spans="1:27" ht="20.25" hidden="1" customHeight="1">
      <c r="A258" s="15" t="s">
        <v>6151</v>
      </c>
      <c r="B258" s="16"/>
      <c r="C258" s="16"/>
      <c r="D258" s="17"/>
      <c r="E258" s="18"/>
      <c r="F258" s="19"/>
      <c r="G258" s="19"/>
      <c r="H258" s="17"/>
      <c r="I258" s="20"/>
      <c r="J258" s="20"/>
      <c r="K258" s="16"/>
      <c r="L258" s="16"/>
      <c r="M258" s="71"/>
      <c r="N258" s="3"/>
      <c r="O258" s="16"/>
      <c r="P258" s="16"/>
      <c r="Q258" s="16"/>
      <c r="R258" s="16"/>
      <c r="S258" s="16"/>
    </row>
    <row r="259" spans="1:27" ht="57.75" hidden="1" customHeight="1">
      <c r="A259" s="250" t="s">
        <v>6152</v>
      </c>
      <c r="B259" s="251"/>
      <c r="C259" s="252"/>
      <c r="D259" s="250" t="s">
        <v>6153</v>
      </c>
      <c r="E259" s="250" t="s">
        <v>6150</v>
      </c>
      <c r="F259" s="252"/>
      <c r="G259" s="252"/>
      <c r="H259" s="252"/>
      <c r="I259" s="252"/>
      <c r="J259" s="252"/>
      <c r="K259" s="25"/>
      <c r="L259" s="43"/>
      <c r="M259" s="43"/>
      <c r="N259" s="55"/>
      <c r="O259" s="25"/>
      <c r="P259" s="25"/>
      <c r="Q259" s="25"/>
      <c r="R259" s="25"/>
      <c r="S259" s="25"/>
      <c r="T259" s="65"/>
      <c r="U259" s="65"/>
      <c r="V259" s="65"/>
      <c r="W259" s="65"/>
      <c r="X259" s="65"/>
      <c r="Y259" s="65"/>
      <c r="Z259" s="65"/>
      <c r="AA259" s="65"/>
    </row>
    <row r="260" spans="1:27" ht="20.25" hidden="1" customHeight="1">
      <c r="A260" s="15" t="s">
        <v>6154</v>
      </c>
      <c r="B260" s="16"/>
      <c r="C260" s="16"/>
      <c r="D260" s="17"/>
      <c r="E260" s="18"/>
      <c r="F260" s="19"/>
      <c r="G260" s="19"/>
      <c r="H260" s="17"/>
      <c r="I260" s="20"/>
      <c r="J260" s="20"/>
      <c r="K260" s="16"/>
      <c r="L260" s="16"/>
      <c r="M260" s="71"/>
      <c r="N260" s="3"/>
      <c r="O260" s="16"/>
      <c r="P260" s="16"/>
      <c r="Q260" s="16"/>
      <c r="R260" s="16"/>
      <c r="S260" s="16"/>
    </row>
    <row r="261" spans="1:27" ht="57.75" hidden="1" customHeight="1">
      <c r="A261" s="250" t="s">
        <v>6155</v>
      </c>
      <c r="B261" s="251"/>
      <c r="C261" s="252"/>
      <c r="D261" s="250" t="s">
        <v>6156</v>
      </c>
      <c r="E261" s="250" t="s">
        <v>6150</v>
      </c>
      <c r="F261" s="252"/>
      <c r="G261" s="252"/>
      <c r="H261" s="252"/>
      <c r="I261" s="252"/>
      <c r="J261" s="252"/>
      <c r="K261" s="25"/>
      <c r="L261" s="43"/>
      <c r="M261" s="43"/>
      <c r="N261" s="55"/>
      <c r="O261" s="25"/>
      <c r="P261" s="25"/>
      <c r="Q261" s="25"/>
      <c r="R261" s="25"/>
      <c r="S261" s="25"/>
      <c r="T261" s="65"/>
      <c r="U261" s="65"/>
      <c r="V261" s="65"/>
      <c r="W261" s="65"/>
      <c r="X261" s="65"/>
      <c r="Y261" s="65"/>
      <c r="Z261" s="65"/>
      <c r="AA261" s="65"/>
    </row>
    <row r="262" spans="1:27" ht="20.25" hidden="1" customHeight="1">
      <c r="A262" s="15" t="s">
        <v>6157</v>
      </c>
      <c r="B262" s="16"/>
      <c r="C262" s="16"/>
      <c r="D262" s="17"/>
      <c r="E262" s="18"/>
      <c r="F262" s="19"/>
      <c r="G262" s="19"/>
      <c r="H262" s="17"/>
      <c r="I262" s="20"/>
      <c r="J262" s="20"/>
      <c r="K262" s="16"/>
      <c r="L262" s="16"/>
      <c r="M262" s="71"/>
      <c r="N262" s="3"/>
      <c r="O262" s="16"/>
      <c r="P262" s="16"/>
      <c r="Q262" s="16"/>
      <c r="R262" s="16"/>
      <c r="S262" s="16"/>
    </row>
    <row r="263" spans="1:27" ht="57.75" hidden="1" customHeight="1">
      <c r="A263" s="250" t="s">
        <v>6158</v>
      </c>
      <c r="B263" s="251"/>
      <c r="C263" s="252"/>
      <c r="D263" s="250" t="s">
        <v>6159</v>
      </c>
      <c r="E263" s="250" t="s">
        <v>6150</v>
      </c>
      <c r="F263" s="252"/>
      <c r="G263" s="252"/>
      <c r="H263" s="252"/>
      <c r="I263" s="252"/>
      <c r="J263" s="252"/>
      <c r="K263" s="25"/>
      <c r="L263" s="43"/>
      <c r="M263" s="43"/>
      <c r="N263" s="55"/>
      <c r="O263" s="25"/>
      <c r="P263" s="25"/>
      <c r="Q263" s="25"/>
      <c r="R263" s="25"/>
      <c r="S263" s="25"/>
      <c r="T263" s="65"/>
      <c r="U263" s="65"/>
      <c r="V263" s="65"/>
      <c r="W263" s="65"/>
      <c r="X263" s="65"/>
      <c r="Y263" s="65"/>
      <c r="Z263" s="65"/>
      <c r="AA263" s="65"/>
    </row>
    <row r="264" spans="1:27" ht="20.25" hidden="1" customHeight="1">
      <c r="A264" s="15" t="s">
        <v>6160</v>
      </c>
      <c r="B264" s="16"/>
      <c r="C264" s="16"/>
      <c r="D264" s="17"/>
      <c r="E264" s="18"/>
      <c r="F264" s="19"/>
      <c r="G264" s="19"/>
      <c r="H264" s="17"/>
      <c r="I264" s="20"/>
      <c r="J264" s="20"/>
      <c r="K264" s="16"/>
      <c r="L264" s="16"/>
      <c r="M264" s="71"/>
      <c r="N264" s="3"/>
      <c r="O264" s="16"/>
      <c r="P264" s="16"/>
      <c r="Q264" s="16"/>
      <c r="R264" s="16"/>
      <c r="S264" s="16"/>
    </row>
    <row r="265" spans="1:27" ht="57.75" hidden="1" customHeight="1">
      <c r="A265" s="250" t="s">
        <v>6161</v>
      </c>
      <c r="B265" s="251"/>
      <c r="C265" s="252"/>
      <c r="D265" s="250" t="s">
        <v>6162</v>
      </c>
      <c r="E265" s="250" t="s">
        <v>6150</v>
      </c>
      <c r="F265" s="252"/>
      <c r="G265" s="252"/>
      <c r="H265" s="252"/>
      <c r="I265" s="252"/>
      <c r="J265" s="252"/>
      <c r="K265" s="25"/>
      <c r="L265" s="43"/>
      <c r="M265" s="43"/>
      <c r="N265" s="55"/>
      <c r="O265" s="25"/>
      <c r="P265" s="25"/>
      <c r="Q265" s="25"/>
      <c r="R265" s="25"/>
      <c r="S265" s="25"/>
      <c r="T265" s="65"/>
      <c r="U265" s="65"/>
      <c r="V265" s="65"/>
      <c r="W265" s="65"/>
      <c r="X265" s="65"/>
      <c r="Y265" s="65"/>
      <c r="Z265" s="65"/>
      <c r="AA265" s="65"/>
    </row>
    <row r="266" spans="1:27" ht="20.25" hidden="1" customHeight="1">
      <c r="A266" s="15" t="s">
        <v>6163</v>
      </c>
      <c r="B266" s="16"/>
      <c r="C266" s="16"/>
      <c r="D266" s="17"/>
      <c r="E266" s="18"/>
      <c r="F266" s="19"/>
      <c r="G266" s="19"/>
      <c r="H266" s="17"/>
      <c r="I266" s="20"/>
      <c r="J266" s="20"/>
      <c r="K266" s="16"/>
      <c r="L266" s="16"/>
      <c r="M266" s="71"/>
      <c r="N266" s="3"/>
      <c r="O266" s="16"/>
      <c r="P266" s="16"/>
      <c r="Q266" s="16"/>
      <c r="R266" s="16"/>
      <c r="S266" s="16"/>
    </row>
    <row r="267" spans="1:27" ht="57.75" hidden="1" customHeight="1">
      <c r="A267" s="250" t="s">
        <v>6164</v>
      </c>
      <c r="B267" s="251"/>
      <c r="C267" s="252"/>
      <c r="D267" s="250" t="s">
        <v>6165</v>
      </c>
      <c r="E267" s="250" t="s">
        <v>6150</v>
      </c>
      <c r="F267" s="252"/>
      <c r="G267" s="252"/>
      <c r="H267" s="252"/>
      <c r="I267" s="252"/>
      <c r="J267" s="252"/>
      <c r="K267" s="25"/>
      <c r="L267" s="43"/>
      <c r="M267" s="43"/>
      <c r="N267" s="55"/>
      <c r="O267" s="25"/>
      <c r="P267" s="25"/>
      <c r="Q267" s="25"/>
      <c r="R267" s="25"/>
      <c r="S267" s="25"/>
      <c r="T267" s="65"/>
      <c r="U267" s="65"/>
      <c r="V267" s="65"/>
      <c r="W267" s="65"/>
      <c r="X267" s="65"/>
      <c r="Y267" s="65"/>
      <c r="Z267" s="65"/>
      <c r="AA267" s="65"/>
    </row>
    <row r="268" spans="1:27" ht="20.25" hidden="1" customHeight="1">
      <c r="A268" s="15" t="s">
        <v>6166</v>
      </c>
      <c r="B268" s="16"/>
      <c r="C268" s="16"/>
      <c r="D268" s="17"/>
      <c r="E268" s="18"/>
      <c r="F268" s="19"/>
      <c r="G268" s="19"/>
      <c r="H268" s="17"/>
      <c r="I268" s="20"/>
      <c r="J268" s="20"/>
      <c r="K268" s="16"/>
      <c r="L268" s="16"/>
      <c r="M268" s="71"/>
      <c r="N268" s="3"/>
      <c r="O268" s="16"/>
      <c r="P268" s="16"/>
      <c r="Q268" s="16"/>
      <c r="R268" s="16"/>
      <c r="S268" s="16"/>
    </row>
    <row r="269" spans="1:27" ht="57.75" hidden="1" customHeight="1">
      <c r="A269" s="250" t="s">
        <v>6167</v>
      </c>
      <c r="B269" s="251"/>
      <c r="C269" s="252"/>
      <c r="D269" s="250" t="s">
        <v>6168</v>
      </c>
      <c r="E269" s="250" t="s">
        <v>6150</v>
      </c>
      <c r="F269" s="252"/>
      <c r="G269" s="252"/>
      <c r="H269" s="252"/>
      <c r="I269" s="252"/>
      <c r="J269" s="252"/>
      <c r="K269" s="25"/>
      <c r="L269" s="43"/>
      <c r="M269" s="43"/>
      <c r="N269" s="55"/>
      <c r="O269" s="25"/>
      <c r="P269" s="25"/>
      <c r="Q269" s="25"/>
      <c r="R269" s="25"/>
      <c r="S269" s="25"/>
      <c r="T269" s="65"/>
      <c r="U269" s="65"/>
      <c r="V269" s="65"/>
      <c r="W269" s="65"/>
      <c r="X269" s="65"/>
      <c r="Y269" s="65"/>
      <c r="Z269" s="65"/>
      <c r="AA269" s="65"/>
    </row>
    <row r="270" spans="1:27" ht="15.75" customHeight="1">
      <c r="A270" s="15" t="s">
        <v>6169</v>
      </c>
      <c r="B270" s="16"/>
      <c r="C270" s="16"/>
      <c r="D270" s="17"/>
      <c r="E270" s="18"/>
      <c r="F270" s="19"/>
      <c r="G270" s="19"/>
      <c r="H270" s="17"/>
      <c r="I270" s="20"/>
      <c r="J270" s="20"/>
      <c r="K270" s="16"/>
      <c r="L270" s="16"/>
      <c r="M270" s="71"/>
      <c r="N270" s="3"/>
      <c r="O270" s="16"/>
      <c r="P270" s="16"/>
      <c r="Q270" s="16"/>
      <c r="R270" s="16"/>
      <c r="S270" s="16"/>
    </row>
    <row r="271" spans="1:27" ht="15.75" customHeight="1">
      <c r="A271" s="253"/>
      <c r="B271" s="31" t="s">
        <v>6170</v>
      </c>
      <c r="C271" s="31">
        <v>1</v>
      </c>
      <c r="D271" s="58" t="s">
        <v>6171</v>
      </c>
      <c r="E271" s="23" t="s">
        <v>6172</v>
      </c>
      <c r="F271" s="31" t="s">
        <v>326</v>
      </c>
      <c r="G271" s="31" t="s">
        <v>327</v>
      </c>
      <c r="H271" s="23" t="s">
        <v>6005</v>
      </c>
      <c r="I271" s="23" t="s">
        <v>6173</v>
      </c>
      <c r="J271" s="170"/>
      <c r="K271" s="25"/>
      <c r="L271" s="99"/>
      <c r="M271" s="99"/>
      <c r="N271" s="55"/>
      <c r="O271" s="25"/>
      <c r="P271" s="25"/>
      <c r="Q271" s="89" t="s">
        <v>393</v>
      </c>
      <c r="R271" s="25"/>
      <c r="S271" s="50"/>
      <c r="T271" s="65"/>
      <c r="U271" s="65"/>
      <c r="V271" s="65"/>
      <c r="W271" s="65"/>
      <c r="X271" s="65"/>
      <c r="Y271" s="65"/>
      <c r="Z271" s="65"/>
      <c r="AA271" s="65"/>
    </row>
    <row r="272" spans="1:27" ht="15.75" customHeight="1">
      <c r="A272" s="15" t="s">
        <v>6174</v>
      </c>
      <c r="B272" s="16"/>
      <c r="C272" s="16"/>
      <c r="D272" s="17"/>
      <c r="E272" s="18"/>
      <c r="F272" s="19"/>
      <c r="G272" s="19"/>
      <c r="H272" s="17"/>
      <c r="I272" s="20"/>
      <c r="J272" s="20"/>
      <c r="K272" s="16"/>
      <c r="L272" s="16"/>
      <c r="M272" s="71"/>
      <c r="N272" s="3"/>
      <c r="O272" s="16"/>
      <c r="P272" s="16"/>
      <c r="Q272" s="16"/>
      <c r="R272" s="16"/>
      <c r="S272" s="16"/>
    </row>
    <row r="273" spans="1:27" ht="15.75" customHeight="1">
      <c r="A273" s="58" t="s">
        <v>6175</v>
      </c>
      <c r="B273" s="31" t="s">
        <v>6176</v>
      </c>
      <c r="C273" s="31">
        <v>1</v>
      </c>
      <c r="D273" s="254" t="s">
        <v>6177</v>
      </c>
      <c r="E273" s="255" t="s">
        <v>6177</v>
      </c>
      <c r="F273" s="31" t="s">
        <v>361</v>
      </c>
      <c r="G273" s="31" t="s">
        <v>349</v>
      </c>
      <c r="H273" s="64" t="s">
        <v>6178</v>
      </c>
      <c r="I273" s="64" t="s">
        <v>6179</v>
      </c>
      <c r="J273" s="64"/>
      <c r="K273" s="25"/>
      <c r="L273" s="99"/>
      <c r="M273" s="390" t="s">
        <v>6180</v>
      </c>
      <c r="N273" s="55"/>
      <c r="O273" s="28" t="s">
        <v>140</v>
      </c>
      <c r="P273" s="28"/>
      <c r="Q273" s="50" t="s">
        <v>282</v>
      </c>
      <c r="R273" s="25"/>
      <c r="S273" s="50" t="s">
        <v>140</v>
      </c>
      <c r="T273" s="65"/>
      <c r="U273" s="65"/>
      <c r="V273" s="65"/>
      <c r="W273" s="65"/>
      <c r="X273" s="65"/>
      <c r="Y273" s="65"/>
      <c r="Z273" s="65"/>
      <c r="AA273" s="65"/>
    </row>
    <row r="274" spans="1:27" ht="67.5" customHeight="1">
      <c r="A274" s="355" t="s">
        <v>6175</v>
      </c>
      <c r="B274" s="403" t="s">
        <v>177</v>
      </c>
      <c r="C274" s="31">
        <v>1</v>
      </c>
      <c r="D274" s="355" t="s">
        <v>6175</v>
      </c>
      <c r="E274" s="23" t="s">
        <v>6181</v>
      </c>
      <c r="F274" s="31" t="s">
        <v>361</v>
      </c>
      <c r="G274" s="31" t="s">
        <v>6182</v>
      </c>
      <c r="H274" s="64" t="s">
        <v>6183</v>
      </c>
      <c r="I274" s="64" t="s">
        <v>6184</v>
      </c>
      <c r="J274" s="64"/>
      <c r="K274" s="25"/>
      <c r="L274" s="25"/>
      <c r="M274" s="344"/>
      <c r="N274" s="55"/>
      <c r="O274" s="25"/>
      <c r="P274" s="25"/>
      <c r="Q274" s="50" t="s">
        <v>282</v>
      </c>
      <c r="R274" s="25"/>
      <c r="S274" s="50" t="s">
        <v>140</v>
      </c>
      <c r="T274" s="65"/>
      <c r="U274" s="65"/>
      <c r="V274" s="65"/>
      <c r="W274" s="65"/>
      <c r="X274" s="65"/>
      <c r="Y274" s="65"/>
      <c r="Z274" s="65"/>
      <c r="AA274" s="65"/>
    </row>
    <row r="275" spans="1:27" ht="15.75" customHeight="1">
      <c r="A275" s="344"/>
      <c r="B275" s="344"/>
      <c r="C275" s="31">
        <v>2</v>
      </c>
      <c r="D275" s="344"/>
      <c r="E275" s="23" t="s">
        <v>6185</v>
      </c>
      <c r="F275" s="31" t="s">
        <v>361</v>
      </c>
      <c r="G275" s="31" t="s">
        <v>524</v>
      </c>
      <c r="H275" s="64" t="s">
        <v>6186</v>
      </c>
      <c r="I275" s="64" t="s">
        <v>6187</v>
      </c>
      <c r="J275" s="64"/>
      <c r="K275" s="25"/>
      <c r="L275" s="25"/>
      <c r="M275" s="344"/>
      <c r="N275" s="55"/>
      <c r="O275" s="25"/>
      <c r="P275" s="25"/>
      <c r="Q275" s="50" t="s">
        <v>282</v>
      </c>
      <c r="R275" s="25"/>
      <c r="S275" s="50" t="s">
        <v>140</v>
      </c>
      <c r="T275" s="65"/>
      <c r="U275" s="65"/>
      <c r="V275" s="65"/>
      <c r="W275" s="65"/>
      <c r="X275" s="65"/>
      <c r="Y275" s="65"/>
      <c r="Z275" s="65"/>
      <c r="AA275" s="65"/>
    </row>
    <row r="276" spans="1:27" ht="15.75" customHeight="1">
      <c r="A276" s="344"/>
      <c r="B276" s="344"/>
      <c r="C276" s="31">
        <v>3</v>
      </c>
      <c r="D276" s="344"/>
      <c r="E276" s="23" t="s">
        <v>6188</v>
      </c>
      <c r="F276" s="31" t="s">
        <v>361</v>
      </c>
      <c r="G276" s="31" t="s">
        <v>524</v>
      </c>
      <c r="H276" s="64" t="s">
        <v>6189</v>
      </c>
      <c r="I276" s="64" t="s">
        <v>6187</v>
      </c>
      <c r="J276" s="64"/>
      <c r="K276" s="25"/>
      <c r="L276" s="25"/>
      <c r="M276" s="344"/>
      <c r="N276" s="55"/>
      <c r="O276" s="25"/>
      <c r="P276" s="25"/>
      <c r="Q276" s="50" t="s">
        <v>282</v>
      </c>
      <c r="R276" s="25"/>
      <c r="S276" s="50" t="s">
        <v>140</v>
      </c>
      <c r="T276" s="65"/>
      <c r="U276" s="65"/>
      <c r="V276" s="65"/>
      <c r="W276" s="65"/>
      <c r="X276" s="65"/>
      <c r="Y276" s="65"/>
      <c r="Z276" s="65"/>
      <c r="AA276" s="65"/>
    </row>
    <row r="277" spans="1:27" ht="15.75" customHeight="1">
      <c r="A277" s="344"/>
      <c r="B277" s="344"/>
      <c r="C277" s="31">
        <v>4</v>
      </c>
      <c r="D277" s="344"/>
      <c r="E277" s="23" t="s">
        <v>6190</v>
      </c>
      <c r="F277" s="31" t="s">
        <v>361</v>
      </c>
      <c r="G277" s="31" t="s">
        <v>524</v>
      </c>
      <c r="H277" s="64" t="s">
        <v>6191</v>
      </c>
      <c r="I277" s="64" t="s">
        <v>6187</v>
      </c>
      <c r="J277" s="64"/>
      <c r="K277" s="25"/>
      <c r="L277" s="25"/>
      <c r="M277" s="344"/>
      <c r="N277" s="55"/>
      <c r="O277" s="25"/>
      <c r="P277" s="25"/>
      <c r="Q277" s="50" t="s">
        <v>282</v>
      </c>
      <c r="R277" s="25"/>
      <c r="S277" s="50" t="s">
        <v>140</v>
      </c>
      <c r="T277" s="65"/>
      <c r="U277" s="65"/>
      <c r="V277" s="65"/>
      <c r="W277" s="65"/>
      <c r="X277" s="65"/>
      <c r="Y277" s="65"/>
      <c r="Z277" s="65"/>
      <c r="AA277" s="65"/>
    </row>
    <row r="278" spans="1:27" ht="15.75" customHeight="1">
      <c r="A278" s="344"/>
      <c r="B278" s="344"/>
      <c r="C278" s="31">
        <v>5</v>
      </c>
      <c r="D278" s="344"/>
      <c r="E278" s="23" t="s">
        <v>6192</v>
      </c>
      <c r="F278" s="31" t="s">
        <v>361</v>
      </c>
      <c r="G278" s="31" t="s">
        <v>327</v>
      </c>
      <c r="H278" s="64" t="s">
        <v>6193</v>
      </c>
      <c r="I278" s="64" t="s">
        <v>6194</v>
      </c>
      <c r="J278" s="64"/>
      <c r="K278" s="25"/>
      <c r="L278" s="25"/>
      <c r="M278" s="344"/>
      <c r="N278" s="55"/>
      <c r="O278" s="25"/>
      <c r="P278" s="25"/>
      <c r="Q278" s="50" t="s">
        <v>282</v>
      </c>
      <c r="R278" s="25"/>
      <c r="S278" s="50" t="s">
        <v>140</v>
      </c>
      <c r="T278" s="65"/>
      <c r="U278" s="65"/>
      <c r="V278" s="65"/>
      <c r="W278" s="65"/>
      <c r="X278" s="65"/>
      <c r="Y278" s="65"/>
      <c r="Z278" s="65"/>
      <c r="AA278" s="65"/>
    </row>
    <row r="279" spans="1:27" ht="102.75" customHeight="1">
      <c r="A279" s="344"/>
      <c r="B279" s="344"/>
      <c r="C279" s="31">
        <v>6</v>
      </c>
      <c r="D279" s="344"/>
      <c r="E279" s="63" t="s">
        <v>6195</v>
      </c>
      <c r="F279" s="61" t="s">
        <v>361</v>
      </c>
      <c r="G279" s="61" t="s">
        <v>327</v>
      </c>
      <c r="H279" s="256" t="s">
        <v>6196</v>
      </c>
      <c r="I279" s="256" t="s">
        <v>6197</v>
      </c>
      <c r="J279" s="256"/>
      <c r="K279" s="25"/>
      <c r="L279" s="25"/>
      <c r="M279" s="344"/>
      <c r="N279" s="55"/>
      <c r="O279" s="25"/>
      <c r="P279" s="25"/>
      <c r="Q279" s="50" t="s">
        <v>3897</v>
      </c>
      <c r="R279" s="25"/>
      <c r="S279" s="50" t="s">
        <v>140</v>
      </c>
      <c r="T279" s="65"/>
      <c r="U279" s="65"/>
      <c r="V279" s="65"/>
      <c r="W279" s="65"/>
      <c r="X279" s="65"/>
      <c r="Y279" s="65"/>
      <c r="Z279" s="65"/>
      <c r="AA279" s="65"/>
    </row>
    <row r="280" spans="1:27" ht="110.25" customHeight="1">
      <c r="A280" s="344"/>
      <c r="B280" s="344"/>
      <c r="C280" s="31">
        <v>7</v>
      </c>
      <c r="D280" s="344"/>
      <c r="E280" s="63" t="s">
        <v>6198</v>
      </c>
      <c r="F280" s="61" t="s">
        <v>361</v>
      </c>
      <c r="G280" s="61" t="s">
        <v>327</v>
      </c>
      <c r="H280" s="1" t="s">
        <v>6199</v>
      </c>
      <c r="I280" s="256" t="s">
        <v>6200</v>
      </c>
      <c r="J280" s="256"/>
      <c r="K280" s="25"/>
      <c r="L280" s="25"/>
      <c r="M280" s="344"/>
      <c r="N280" s="55"/>
      <c r="O280" s="25"/>
      <c r="P280" s="25"/>
      <c r="Q280" s="50" t="s">
        <v>282</v>
      </c>
      <c r="R280" s="25"/>
      <c r="S280" s="50" t="s">
        <v>140</v>
      </c>
      <c r="T280" s="65"/>
      <c r="U280" s="65"/>
      <c r="V280" s="65"/>
      <c r="W280" s="65"/>
      <c r="X280" s="65"/>
      <c r="Y280" s="65"/>
      <c r="Z280" s="65"/>
      <c r="AA280" s="65"/>
    </row>
    <row r="281" spans="1:27" ht="120" customHeight="1">
      <c r="A281" s="344"/>
      <c r="B281" s="344"/>
      <c r="C281" s="31">
        <v>8</v>
      </c>
      <c r="D281" s="344"/>
      <c r="E281" s="63" t="s">
        <v>6201</v>
      </c>
      <c r="F281" s="61" t="s">
        <v>361</v>
      </c>
      <c r="G281" s="61" t="s">
        <v>524</v>
      </c>
      <c r="H281" s="256" t="s">
        <v>6202</v>
      </c>
      <c r="I281" s="256" t="s">
        <v>6203</v>
      </c>
      <c r="J281" s="256"/>
      <c r="K281" s="25"/>
      <c r="L281" s="25"/>
      <c r="M281" s="344"/>
      <c r="N281" s="55"/>
      <c r="O281" s="25"/>
      <c r="P281" s="25"/>
      <c r="Q281" s="50" t="s">
        <v>282</v>
      </c>
      <c r="R281" s="25"/>
      <c r="S281" s="50" t="s">
        <v>140</v>
      </c>
      <c r="T281" s="65"/>
      <c r="U281" s="65"/>
      <c r="V281" s="65"/>
      <c r="W281" s="65"/>
      <c r="X281" s="65"/>
      <c r="Y281" s="65"/>
      <c r="Z281" s="65"/>
      <c r="AA281" s="65"/>
    </row>
    <row r="282" spans="1:27" ht="15.75" customHeight="1">
      <c r="A282" s="344"/>
      <c r="B282" s="344"/>
      <c r="C282" s="31">
        <v>9</v>
      </c>
      <c r="D282" s="344"/>
      <c r="E282" s="63" t="s">
        <v>6204</v>
      </c>
      <c r="F282" s="61" t="s">
        <v>361</v>
      </c>
      <c r="G282" s="61" t="s">
        <v>524</v>
      </c>
      <c r="H282" s="256" t="s">
        <v>6205</v>
      </c>
      <c r="I282" s="256" t="s">
        <v>6206</v>
      </c>
      <c r="J282" s="256"/>
      <c r="K282" s="25"/>
      <c r="L282" s="25"/>
      <c r="M282" s="344"/>
      <c r="N282" s="55"/>
      <c r="O282" s="25"/>
      <c r="P282" s="25"/>
      <c r="Q282" s="50" t="s">
        <v>282</v>
      </c>
      <c r="R282" s="25"/>
      <c r="S282" s="50" t="s">
        <v>140</v>
      </c>
      <c r="T282" s="65"/>
      <c r="U282" s="65"/>
      <c r="V282" s="65"/>
      <c r="W282" s="65"/>
      <c r="X282" s="65"/>
      <c r="Y282" s="65"/>
      <c r="Z282" s="65"/>
      <c r="AA282" s="65"/>
    </row>
    <row r="283" spans="1:27" ht="15.75" customHeight="1">
      <c r="A283" s="344"/>
      <c r="B283" s="344"/>
      <c r="C283" s="31">
        <v>10</v>
      </c>
      <c r="D283" s="344"/>
      <c r="E283" s="63" t="s">
        <v>6207</v>
      </c>
      <c r="F283" s="61" t="s">
        <v>361</v>
      </c>
      <c r="G283" s="61" t="s">
        <v>524</v>
      </c>
      <c r="H283" s="256" t="s">
        <v>6208</v>
      </c>
      <c r="I283" s="256" t="s">
        <v>6209</v>
      </c>
      <c r="J283" s="256"/>
      <c r="K283" s="25"/>
      <c r="L283" s="26"/>
      <c r="M283" s="344"/>
      <c r="N283" s="55"/>
      <c r="O283" s="25"/>
      <c r="P283" s="25"/>
      <c r="Q283" s="50" t="s">
        <v>282</v>
      </c>
      <c r="R283" s="25"/>
      <c r="S283" s="50" t="s">
        <v>140</v>
      </c>
      <c r="T283" s="65"/>
      <c r="U283" s="65"/>
      <c r="V283" s="65"/>
      <c r="W283" s="65"/>
      <c r="X283" s="65"/>
      <c r="Y283" s="65"/>
      <c r="Z283" s="65"/>
      <c r="AA283" s="65"/>
    </row>
    <row r="284" spans="1:27" ht="15.75" customHeight="1">
      <c r="A284" s="344"/>
      <c r="B284" s="344"/>
      <c r="C284" s="31">
        <v>11</v>
      </c>
      <c r="D284" s="344"/>
      <c r="E284" s="63" t="s">
        <v>6210</v>
      </c>
      <c r="F284" s="61" t="s">
        <v>361</v>
      </c>
      <c r="G284" s="61" t="s">
        <v>524</v>
      </c>
      <c r="H284" s="256" t="s">
        <v>6211</v>
      </c>
      <c r="I284" s="256" t="s">
        <v>6212</v>
      </c>
      <c r="J284" s="256"/>
      <c r="K284" s="25"/>
      <c r="L284" s="25"/>
      <c r="M284" s="344"/>
      <c r="N284" s="55"/>
      <c r="O284" s="25"/>
      <c r="P284" s="25"/>
      <c r="Q284" s="50" t="s">
        <v>282</v>
      </c>
      <c r="R284" s="25"/>
      <c r="S284" s="50" t="s">
        <v>140</v>
      </c>
      <c r="T284" s="65"/>
      <c r="U284" s="65"/>
      <c r="V284" s="65"/>
      <c r="W284" s="65"/>
      <c r="X284" s="65"/>
      <c r="Y284" s="65"/>
      <c r="Z284" s="65"/>
      <c r="AA284" s="65"/>
    </row>
    <row r="285" spans="1:27" ht="15.75" customHeight="1">
      <c r="A285" s="344"/>
      <c r="B285" s="344"/>
      <c r="C285" s="31">
        <v>12</v>
      </c>
      <c r="D285" s="344"/>
      <c r="E285" s="167" t="s">
        <v>6213</v>
      </c>
      <c r="F285" s="164" t="s">
        <v>361</v>
      </c>
      <c r="G285" s="164" t="s">
        <v>524</v>
      </c>
      <c r="H285" s="257" t="s">
        <v>6214</v>
      </c>
      <c r="I285" s="256" t="s">
        <v>6212</v>
      </c>
      <c r="J285" s="256"/>
      <c r="K285" s="25"/>
      <c r="L285" s="25"/>
      <c r="M285" s="344"/>
      <c r="N285" s="55"/>
      <c r="O285" s="25"/>
      <c r="P285" s="25"/>
      <c r="Q285" s="50" t="s">
        <v>282</v>
      </c>
      <c r="R285" s="25"/>
      <c r="S285" s="50" t="s">
        <v>140</v>
      </c>
      <c r="T285" s="65"/>
      <c r="U285" s="65"/>
      <c r="V285" s="65"/>
      <c r="W285" s="65"/>
      <c r="X285" s="65"/>
      <c r="Y285" s="65"/>
      <c r="Z285" s="65"/>
      <c r="AA285" s="65"/>
    </row>
    <row r="286" spans="1:27" ht="96" customHeight="1">
      <c r="A286" s="345"/>
      <c r="B286" s="345"/>
      <c r="C286" s="31">
        <v>13</v>
      </c>
      <c r="D286" s="345"/>
      <c r="E286" s="102" t="s">
        <v>6215</v>
      </c>
      <c r="F286" s="190" t="s">
        <v>361</v>
      </c>
      <c r="G286" s="190" t="s">
        <v>524</v>
      </c>
      <c r="H286" s="258" t="s">
        <v>6216</v>
      </c>
      <c r="I286" s="259" t="s">
        <v>6217</v>
      </c>
      <c r="J286" s="446"/>
      <c r="K286" s="25"/>
      <c r="L286" s="25"/>
      <c r="M286" s="345"/>
      <c r="N286" s="55"/>
      <c r="O286" s="25"/>
      <c r="P286" s="25"/>
      <c r="Q286" s="50" t="s">
        <v>282</v>
      </c>
      <c r="R286" s="25"/>
      <c r="S286" s="50" t="s">
        <v>140</v>
      </c>
      <c r="T286" s="65"/>
      <c r="U286" s="65"/>
      <c r="V286" s="65"/>
      <c r="W286" s="65"/>
      <c r="X286" s="65"/>
      <c r="Y286" s="65"/>
      <c r="Z286" s="65"/>
      <c r="AA286" s="65"/>
    </row>
    <row r="287" spans="1:27" ht="116.25" customHeight="1">
      <c r="A287" s="406" t="s">
        <v>6218</v>
      </c>
      <c r="B287" s="403" t="s">
        <v>6219</v>
      </c>
      <c r="C287" s="31">
        <v>1</v>
      </c>
      <c r="D287" s="406" t="s">
        <v>6218</v>
      </c>
      <c r="E287" s="21" t="s">
        <v>6220</v>
      </c>
      <c r="F287" s="190" t="s">
        <v>361</v>
      </c>
      <c r="G287" s="190" t="s">
        <v>524</v>
      </c>
      <c r="H287" s="260" t="s">
        <v>6221</v>
      </c>
      <c r="I287" s="260" t="s">
        <v>6222</v>
      </c>
      <c r="J287" s="260"/>
      <c r="K287" s="25"/>
      <c r="L287" s="50"/>
      <c r="M287" s="48" t="s">
        <v>6223</v>
      </c>
      <c r="N287" s="4"/>
      <c r="O287" s="25"/>
      <c r="P287" s="25"/>
      <c r="Q287" s="50" t="s">
        <v>282</v>
      </c>
      <c r="R287" s="25"/>
      <c r="S287" s="50"/>
      <c r="T287" s="185"/>
      <c r="U287" s="185"/>
      <c r="V287" s="185"/>
      <c r="W287" s="185"/>
      <c r="X287" s="185"/>
      <c r="Y287" s="185"/>
      <c r="Z287" s="185"/>
      <c r="AA287" s="185"/>
    </row>
    <row r="288" spans="1:27" ht="15.75" customHeight="1">
      <c r="A288" s="344"/>
      <c r="B288" s="344"/>
      <c r="C288" s="31">
        <v>2</v>
      </c>
      <c r="D288" s="344"/>
      <c r="E288" s="21" t="s">
        <v>6224</v>
      </c>
      <c r="F288" s="190" t="s">
        <v>361</v>
      </c>
      <c r="G288" s="190" t="s">
        <v>524</v>
      </c>
      <c r="H288" s="260" t="s">
        <v>6225</v>
      </c>
      <c r="I288" s="260" t="s">
        <v>6222</v>
      </c>
      <c r="J288" s="260"/>
      <c r="K288" s="25"/>
      <c r="L288" s="50"/>
      <c r="M288" s="48"/>
      <c r="N288" s="4"/>
      <c r="O288" s="25"/>
      <c r="P288" s="25"/>
      <c r="Q288" s="50" t="s">
        <v>282</v>
      </c>
      <c r="R288" s="25"/>
      <c r="S288" s="50"/>
      <c r="T288" s="185"/>
      <c r="U288" s="185"/>
      <c r="V288" s="185"/>
      <c r="W288" s="185"/>
      <c r="X288" s="185"/>
      <c r="Y288" s="185"/>
      <c r="Z288" s="185"/>
      <c r="AA288" s="185"/>
    </row>
    <row r="289" spans="1:27" ht="15.75" customHeight="1">
      <c r="A289" s="344"/>
      <c r="B289" s="344"/>
      <c r="C289" s="31">
        <v>3</v>
      </c>
      <c r="D289" s="344"/>
      <c r="E289" s="21" t="s">
        <v>6226</v>
      </c>
      <c r="F289" s="190" t="s">
        <v>361</v>
      </c>
      <c r="G289" s="190" t="s">
        <v>524</v>
      </c>
      <c r="H289" s="260" t="s">
        <v>6227</v>
      </c>
      <c r="I289" s="260" t="s">
        <v>6222</v>
      </c>
      <c r="J289" s="260"/>
      <c r="K289" s="25"/>
      <c r="L289" s="50"/>
      <c r="M289" s="48"/>
      <c r="N289" s="4"/>
      <c r="O289" s="25"/>
      <c r="P289" s="25"/>
      <c r="Q289" s="50" t="s">
        <v>282</v>
      </c>
      <c r="R289" s="25"/>
      <c r="S289" s="50"/>
      <c r="T289" s="185"/>
      <c r="U289" s="185"/>
      <c r="V289" s="185"/>
      <c r="W289" s="185"/>
      <c r="X289" s="185"/>
      <c r="Y289" s="185"/>
      <c r="Z289" s="185"/>
      <c r="AA289" s="185"/>
    </row>
    <row r="290" spans="1:27" ht="15.75" customHeight="1">
      <c r="A290" s="344"/>
      <c r="B290" s="344"/>
      <c r="C290" s="31">
        <v>4</v>
      </c>
      <c r="D290" s="344"/>
      <c r="E290" s="21" t="s">
        <v>6228</v>
      </c>
      <c r="F290" s="190" t="s">
        <v>361</v>
      </c>
      <c r="G290" s="190" t="s">
        <v>524</v>
      </c>
      <c r="H290" s="260" t="s">
        <v>6229</v>
      </c>
      <c r="I290" s="260" t="s">
        <v>6230</v>
      </c>
      <c r="J290" s="260"/>
      <c r="K290" s="25"/>
      <c r="L290" s="50"/>
      <c r="M290" s="48"/>
      <c r="N290" s="4"/>
      <c r="O290" s="25"/>
      <c r="P290" s="25"/>
      <c r="Q290" s="50" t="s">
        <v>282</v>
      </c>
      <c r="R290" s="25"/>
      <c r="S290" s="50"/>
      <c r="T290" s="185"/>
      <c r="U290" s="185"/>
      <c r="V290" s="185"/>
      <c r="W290" s="185"/>
      <c r="X290" s="185"/>
      <c r="Y290" s="185"/>
      <c r="Z290" s="185"/>
      <c r="AA290" s="185"/>
    </row>
    <row r="291" spans="1:27" ht="15.75" customHeight="1">
      <c r="A291" s="344"/>
      <c r="B291" s="344"/>
      <c r="C291" s="31">
        <v>5</v>
      </c>
      <c r="D291" s="344"/>
      <c r="E291" s="21" t="s">
        <v>6231</v>
      </c>
      <c r="F291" s="190" t="s">
        <v>361</v>
      </c>
      <c r="G291" s="190" t="s">
        <v>524</v>
      </c>
      <c r="H291" s="260" t="s">
        <v>6232</v>
      </c>
      <c r="I291" s="260" t="s">
        <v>6230</v>
      </c>
      <c r="J291" s="260"/>
      <c r="K291" s="25"/>
      <c r="L291" s="50"/>
      <c r="M291" s="48"/>
      <c r="N291" s="4"/>
      <c r="O291" s="25"/>
      <c r="P291" s="25"/>
      <c r="Q291" s="50" t="s">
        <v>282</v>
      </c>
      <c r="R291" s="25"/>
      <c r="S291" s="50"/>
      <c r="T291" s="185"/>
      <c r="U291" s="185"/>
      <c r="V291" s="185"/>
      <c r="W291" s="185"/>
      <c r="X291" s="185"/>
      <c r="Y291" s="185"/>
      <c r="Z291" s="185"/>
      <c r="AA291" s="185"/>
    </row>
    <row r="292" spans="1:27" ht="15.75" customHeight="1">
      <c r="A292" s="344"/>
      <c r="B292" s="344"/>
      <c r="C292" s="31">
        <v>6</v>
      </c>
      <c r="D292" s="344"/>
      <c r="E292" s="21" t="s">
        <v>6233</v>
      </c>
      <c r="F292" s="190" t="s">
        <v>361</v>
      </c>
      <c r="G292" s="190" t="s">
        <v>524</v>
      </c>
      <c r="H292" s="260" t="s">
        <v>6234</v>
      </c>
      <c r="I292" s="260" t="s">
        <v>6230</v>
      </c>
      <c r="J292" s="260"/>
      <c r="K292" s="25"/>
      <c r="L292" s="50"/>
      <c r="M292" s="48"/>
      <c r="N292" s="4"/>
      <c r="O292" s="25"/>
      <c r="P292" s="25"/>
      <c r="Q292" s="50" t="s">
        <v>282</v>
      </c>
      <c r="R292" s="25"/>
      <c r="S292" s="50"/>
      <c r="T292" s="185"/>
      <c r="U292" s="185"/>
      <c r="V292" s="185"/>
      <c r="W292" s="185"/>
      <c r="X292" s="185"/>
      <c r="Y292" s="185"/>
      <c r="Z292" s="185"/>
      <c r="AA292" s="185"/>
    </row>
    <row r="293" spans="1:27" ht="15.75" customHeight="1">
      <c r="A293" s="345"/>
      <c r="B293" s="345"/>
      <c r="C293" s="31">
        <v>7</v>
      </c>
      <c r="D293" s="345"/>
      <c r="E293" s="21" t="s">
        <v>6235</v>
      </c>
      <c r="F293" s="190" t="s">
        <v>361</v>
      </c>
      <c r="G293" s="190" t="s">
        <v>524</v>
      </c>
      <c r="H293" s="260" t="s">
        <v>6236</v>
      </c>
      <c r="I293" s="260" t="s">
        <v>6237</v>
      </c>
      <c r="J293" s="260"/>
      <c r="K293" s="25"/>
      <c r="L293" s="50"/>
      <c r="M293" s="48"/>
      <c r="N293" s="4"/>
      <c r="O293" s="25"/>
      <c r="P293" s="25"/>
      <c r="Q293" s="50" t="s">
        <v>282</v>
      </c>
      <c r="R293" s="25"/>
      <c r="S293" s="50"/>
      <c r="T293" s="185"/>
      <c r="U293" s="185"/>
      <c r="V293" s="185"/>
      <c r="W293" s="185"/>
      <c r="X293" s="185"/>
      <c r="Y293" s="185"/>
      <c r="Z293" s="185"/>
      <c r="AA293" s="185"/>
    </row>
    <row r="294" spans="1:27" ht="20.25" hidden="1" customHeight="1">
      <c r="A294" s="15" t="s">
        <v>6238</v>
      </c>
      <c r="B294" s="16"/>
      <c r="C294" s="16"/>
      <c r="D294" s="17"/>
      <c r="E294" s="18"/>
      <c r="F294" s="19"/>
      <c r="G294" s="19"/>
      <c r="H294" s="17"/>
      <c r="I294" s="20"/>
      <c r="J294" s="20"/>
      <c r="K294" s="16"/>
      <c r="L294" s="16"/>
      <c r="M294" s="71"/>
      <c r="N294" s="3"/>
      <c r="O294" s="16"/>
      <c r="P294" s="16"/>
      <c r="Q294" s="16"/>
      <c r="R294" s="16"/>
      <c r="S294" s="16"/>
    </row>
    <row r="295" spans="1:27" ht="58.5" hidden="1" customHeight="1">
      <c r="A295" s="250" t="s">
        <v>6239</v>
      </c>
      <c r="B295" s="251"/>
      <c r="C295" s="252"/>
      <c r="D295" s="250" t="s">
        <v>6240</v>
      </c>
      <c r="E295" s="250" t="s">
        <v>6150</v>
      </c>
      <c r="F295" s="252"/>
      <c r="G295" s="252"/>
      <c r="H295" s="252"/>
      <c r="I295" s="252"/>
      <c r="J295" s="252"/>
      <c r="K295" s="25"/>
      <c r="L295" s="43"/>
      <c r="M295" s="43"/>
      <c r="N295" s="55"/>
      <c r="O295" s="25"/>
      <c r="P295" s="25"/>
      <c r="Q295" s="25"/>
      <c r="R295" s="25"/>
      <c r="S295" s="25"/>
      <c r="T295" s="65"/>
      <c r="U295" s="65"/>
      <c r="V295" s="65"/>
      <c r="W295" s="65"/>
      <c r="X295" s="65"/>
      <c r="Y295" s="65"/>
      <c r="Z295" s="65"/>
      <c r="AA295" s="65"/>
    </row>
    <row r="296" spans="1:27" ht="20.25" hidden="1" customHeight="1">
      <c r="A296" s="15" t="s">
        <v>6241</v>
      </c>
      <c r="B296" s="16"/>
      <c r="C296" s="16"/>
      <c r="D296" s="17"/>
      <c r="E296" s="18"/>
      <c r="F296" s="19"/>
      <c r="G296" s="19"/>
      <c r="H296" s="17"/>
      <c r="I296" s="20"/>
      <c r="J296" s="20"/>
      <c r="K296" s="16"/>
      <c r="L296" s="16"/>
      <c r="M296" s="71"/>
      <c r="N296" s="3"/>
      <c r="O296" s="16"/>
      <c r="P296" s="16"/>
      <c r="Q296" s="16"/>
      <c r="R296" s="16"/>
      <c r="S296" s="16"/>
    </row>
    <row r="297" spans="1:27" ht="58.5" hidden="1" customHeight="1">
      <c r="A297" s="250" t="s">
        <v>6242</v>
      </c>
      <c r="B297" s="251"/>
      <c r="C297" s="252"/>
      <c r="D297" s="250" t="s">
        <v>6243</v>
      </c>
      <c r="E297" s="250" t="s">
        <v>6150</v>
      </c>
      <c r="F297" s="252"/>
      <c r="G297" s="252"/>
      <c r="H297" s="252"/>
      <c r="I297" s="252"/>
      <c r="J297" s="252"/>
      <c r="K297" s="25"/>
      <c r="L297" s="43"/>
      <c r="M297" s="43"/>
      <c r="N297" s="55"/>
      <c r="O297" s="25"/>
      <c r="P297" s="25"/>
      <c r="Q297" s="25"/>
      <c r="R297" s="25"/>
      <c r="S297" s="25"/>
      <c r="T297" s="65"/>
      <c r="U297" s="65"/>
      <c r="V297" s="65"/>
      <c r="W297" s="65"/>
      <c r="X297" s="65"/>
      <c r="Y297" s="65"/>
      <c r="Z297" s="65"/>
      <c r="AA297" s="65"/>
    </row>
    <row r="298" spans="1:27" ht="20.25" hidden="1" customHeight="1">
      <c r="A298" s="15" t="s">
        <v>6244</v>
      </c>
      <c r="B298" s="16"/>
      <c r="C298" s="16"/>
      <c r="D298" s="17"/>
      <c r="E298" s="18"/>
      <c r="F298" s="19"/>
      <c r="G298" s="19"/>
      <c r="H298" s="17"/>
      <c r="I298" s="20"/>
      <c r="J298" s="20"/>
      <c r="K298" s="16"/>
      <c r="L298" s="16"/>
      <c r="M298" s="71"/>
      <c r="N298" s="3"/>
      <c r="O298" s="16"/>
      <c r="P298" s="16"/>
      <c r="Q298" s="16"/>
      <c r="R298" s="16"/>
      <c r="S298" s="16"/>
    </row>
    <row r="299" spans="1:27" ht="58.5" hidden="1" customHeight="1">
      <c r="A299" s="250" t="s">
        <v>6245</v>
      </c>
      <c r="B299" s="251"/>
      <c r="C299" s="252"/>
      <c r="D299" s="250" t="s">
        <v>6246</v>
      </c>
      <c r="E299" s="250" t="s">
        <v>6150</v>
      </c>
      <c r="F299" s="252"/>
      <c r="G299" s="252"/>
      <c r="H299" s="252"/>
      <c r="I299" s="252"/>
      <c r="J299" s="252"/>
      <c r="K299" s="25"/>
      <c r="L299" s="43"/>
      <c r="M299" s="43"/>
      <c r="N299" s="55"/>
      <c r="O299" s="25"/>
      <c r="P299" s="25"/>
      <c r="Q299" s="25"/>
      <c r="R299" s="25"/>
      <c r="S299" s="25"/>
      <c r="T299" s="65"/>
      <c r="U299" s="65"/>
      <c r="V299" s="65"/>
      <c r="W299" s="65"/>
      <c r="X299" s="65"/>
      <c r="Y299" s="65"/>
      <c r="Z299" s="65"/>
      <c r="AA299" s="65"/>
    </row>
    <row r="300" spans="1:27" ht="20.25" hidden="1" customHeight="1">
      <c r="A300" s="15" t="s">
        <v>6247</v>
      </c>
      <c r="B300" s="16"/>
      <c r="C300" s="16"/>
      <c r="D300" s="17"/>
      <c r="E300" s="18"/>
      <c r="F300" s="19"/>
      <c r="G300" s="19"/>
      <c r="H300" s="17"/>
      <c r="I300" s="20"/>
      <c r="J300" s="20"/>
      <c r="K300" s="16"/>
      <c r="L300" s="16"/>
      <c r="M300" s="71"/>
      <c r="N300" s="3"/>
      <c r="O300" s="16"/>
      <c r="P300" s="16"/>
      <c r="Q300" s="16"/>
      <c r="R300" s="16"/>
      <c r="S300" s="16"/>
    </row>
    <row r="301" spans="1:27" ht="58.5" hidden="1" customHeight="1">
      <c r="A301" s="250" t="s">
        <v>6248</v>
      </c>
      <c r="B301" s="251"/>
      <c r="C301" s="252"/>
      <c r="D301" s="250" t="s">
        <v>6249</v>
      </c>
      <c r="E301" s="250" t="s">
        <v>6150</v>
      </c>
      <c r="F301" s="252"/>
      <c r="G301" s="252"/>
      <c r="H301" s="252"/>
      <c r="I301" s="252"/>
      <c r="J301" s="252"/>
      <c r="K301" s="25"/>
      <c r="L301" s="43"/>
      <c r="M301" s="43"/>
      <c r="N301" s="55"/>
      <c r="O301" s="25"/>
      <c r="P301" s="25"/>
      <c r="Q301" s="25"/>
      <c r="R301" s="25"/>
      <c r="S301" s="25"/>
      <c r="T301" s="65"/>
      <c r="U301" s="65"/>
      <c r="V301" s="65"/>
      <c r="W301" s="65"/>
      <c r="X301" s="65"/>
      <c r="Y301" s="65"/>
      <c r="Z301" s="65"/>
      <c r="AA301" s="65"/>
    </row>
    <row r="302" spans="1:27" ht="20.25" hidden="1" customHeight="1">
      <c r="A302" s="15" t="s">
        <v>6250</v>
      </c>
      <c r="B302" s="16"/>
      <c r="C302" s="16"/>
      <c r="D302" s="17"/>
      <c r="E302" s="18"/>
      <c r="F302" s="19"/>
      <c r="G302" s="19"/>
      <c r="H302" s="17"/>
      <c r="I302" s="20"/>
      <c r="J302" s="20"/>
      <c r="K302" s="16"/>
      <c r="L302" s="16"/>
      <c r="M302" s="71"/>
      <c r="N302" s="3"/>
      <c r="O302" s="16"/>
      <c r="P302" s="16"/>
      <c r="Q302" s="16"/>
      <c r="R302" s="16"/>
      <c r="S302" s="16"/>
    </row>
    <row r="303" spans="1:27" ht="58.5" hidden="1" customHeight="1">
      <c r="A303" s="250" t="s">
        <v>6251</v>
      </c>
      <c r="B303" s="251"/>
      <c r="C303" s="252"/>
      <c r="D303" s="250" t="s">
        <v>6252</v>
      </c>
      <c r="E303" s="250" t="s">
        <v>6150</v>
      </c>
      <c r="F303" s="252"/>
      <c r="G303" s="252"/>
      <c r="H303" s="252"/>
      <c r="I303" s="252"/>
      <c r="J303" s="252"/>
      <c r="K303" s="25"/>
      <c r="L303" s="43"/>
      <c r="M303" s="43"/>
      <c r="N303" s="55"/>
      <c r="O303" s="25"/>
      <c r="P303" s="25"/>
      <c r="Q303" s="25"/>
      <c r="R303" s="25"/>
      <c r="S303" s="25"/>
      <c r="T303" s="65"/>
      <c r="U303" s="65"/>
      <c r="V303" s="65"/>
      <c r="W303" s="65"/>
      <c r="X303" s="65"/>
      <c r="Y303" s="65"/>
      <c r="Z303" s="65"/>
      <c r="AA303" s="65"/>
    </row>
    <row r="304" spans="1:27" ht="20.25" hidden="1" customHeight="1">
      <c r="A304" s="15" t="s">
        <v>6253</v>
      </c>
      <c r="B304" s="16"/>
      <c r="C304" s="16"/>
      <c r="D304" s="17"/>
      <c r="E304" s="18"/>
      <c r="F304" s="19"/>
      <c r="G304" s="19"/>
      <c r="H304" s="17"/>
      <c r="I304" s="20"/>
      <c r="J304" s="20"/>
      <c r="K304" s="16"/>
      <c r="L304" s="16"/>
      <c r="M304" s="71"/>
      <c r="N304" s="3"/>
      <c r="O304" s="16"/>
      <c r="P304" s="16"/>
      <c r="Q304" s="16"/>
      <c r="R304" s="16"/>
      <c r="S304" s="16"/>
    </row>
    <row r="305" spans="1:27" ht="58.5" hidden="1" customHeight="1">
      <c r="A305" s="250" t="s">
        <v>6254</v>
      </c>
      <c r="B305" s="251"/>
      <c r="C305" s="252"/>
      <c r="D305" s="250" t="s">
        <v>6255</v>
      </c>
      <c r="E305" s="250" t="s">
        <v>6150</v>
      </c>
      <c r="F305" s="252"/>
      <c r="G305" s="252"/>
      <c r="H305" s="252"/>
      <c r="I305" s="252"/>
      <c r="J305" s="252"/>
      <c r="K305" s="25"/>
      <c r="L305" s="43"/>
      <c r="M305" s="43"/>
      <c r="N305" s="55"/>
      <c r="O305" s="25"/>
      <c r="P305" s="25"/>
      <c r="Q305" s="25"/>
      <c r="R305" s="25"/>
      <c r="S305" s="25"/>
      <c r="T305" s="65"/>
      <c r="U305" s="65"/>
      <c r="V305" s="65"/>
      <c r="W305" s="65"/>
      <c r="X305" s="65"/>
      <c r="Y305" s="65"/>
      <c r="Z305" s="65"/>
      <c r="AA305" s="65"/>
    </row>
    <row r="306" spans="1:27" ht="15.75" customHeight="1">
      <c r="A306" s="15" t="s">
        <v>6256</v>
      </c>
      <c r="B306" s="16"/>
      <c r="C306" s="16"/>
      <c r="D306" s="17"/>
      <c r="E306" s="18"/>
      <c r="F306" s="19"/>
      <c r="G306" s="19"/>
      <c r="H306" s="17"/>
      <c r="I306" s="20"/>
      <c r="J306" s="20"/>
      <c r="K306" s="16"/>
      <c r="L306" s="16"/>
      <c r="M306" s="71"/>
      <c r="N306" s="3"/>
      <c r="O306" s="16"/>
      <c r="P306" s="16"/>
      <c r="Q306" s="16"/>
      <c r="R306" s="16"/>
      <c r="S306" s="16"/>
    </row>
    <row r="307" spans="1:27" ht="16.5" customHeight="1">
      <c r="A307" s="404" t="s">
        <v>6257</v>
      </c>
      <c r="B307" s="405" t="s">
        <v>114</v>
      </c>
      <c r="C307" s="261">
        <v>1</v>
      </c>
      <c r="D307" s="404" t="s">
        <v>6258</v>
      </c>
      <c r="E307" s="404" t="s">
        <v>6259</v>
      </c>
      <c r="F307" s="261" t="s">
        <v>361</v>
      </c>
      <c r="G307" s="261" t="s">
        <v>524</v>
      </c>
      <c r="H307" s="262" t="s">
        <v>6260</v>
      </c>
      <c r="I307" s="262" t="s">
        <v>6261</v>
      </c>
      <c r="J307" s="262"/>
      <c r="K307" s="25"/>
      <c r="L307" s="50"/>
      <c r="M307" s="66"/>
      <c r="N307" s="4"/>
      <c r="O307" s="25"/>
      <c r="P307" s="25"/>
      <c r="Q307" s="50" t="s">
        <v>282</v>
      </c>
      <c r="R307" s="25"/>
      <c r="S307" s="50"/>
    </row>
    <row r="308" spans="1:27" ht="15.75" customHeight="1">
      <c r="A308" s="344"/>
      <c r="B308" s="344"/>
      <c r="C308" s="261">
        <v>2</v>
      </c>
      <c r="D308" s="344"/>
      <c r="E308" s="345"/>
      <c r="F308" s="261" t="s">
        <v>361</v>
      </c>
      <c r="G308" s="261" t="s">
        <v>524</v>
      </c>
      <c r="H308" s="262" t="s">
        <v>6262</v>
      </c>
      <c r="I308" s="262" t="s">
        <v>6263</v>
      </c>
      <c r="J308" s="262"/>
      <c r="K308" s="25"/>
      <c r="L308" s="50"/>
      <c r="M308" s="66"/>
      <c r="N308" s="4"/>
      <c r="O308" s="25"/>
      <c r="P308" s="25"/>
      <c r="Q308" s="50" t="s">
        <v>282</v>
      </c>
      <c r="R308" s="25"/>
      <c r="S308" s="50"/>
    </row>
    <row r="309" spans="1:27" ht="15.75" customHeight="1">
      <c r="A309" s="345"/>
      <c r="B309" s="345"/>
      <c r="C309" s="261">
        <v>3</v>
      </c>
      <c r="D309" s="345"/>
      <c r="E309" s="262" t="s">
        <v>6264</v>
      </c>
      <c r="F309" s="261" t="s">
        <v>361</v>
      </c>
      <c r="G309" s="261" t="s">
        <v>327</v>
      </c>
      <c r="H309" s="262" t="s">
        <v>6265</v>
      </c>
      <c r="I309" s="262" t="s">
        <v>6266</v>
      </c>
      <c r="J309" s="262"/>
      <c r="K309" s="25"/>
      <c r="L309" s="50"/>
      <c r="M309" s="66"/>
      <c r="N309" s="4"/>
      <c r="O309" s="25"/>
      <c r="P309" s="25"/>
      <c r="Q309" s="50" t="s">
        <v>282</v>
      </c>
      <c r="R309" s="25"/>
      <c r="S309" s="50"/>
    </row>
    <row r="310" spans="1:27" ht="15.75" customHeight="1">
      <c r="A310" s="15" t="s">
        <v>6256</v>
      </c>
      <c r="B310" s="16"/>
      <c r="C310" s="16"/>
      <c r="D310" s="263"/>
      <c r="E310" s="18"/>
      <c r="F310" s="19"/>
      <c r="G310" s="19"/>
      <c r="H310" s="17"/>
      <c r="I310" s="20"/>
      <c r="J310" s="20"/>
      <c r="K310" s="16"/>
      <c r="L310" s="16"/>
      <c r="M310" s="71"/>
      <c r="N310" s="3"/>
      <c r="O310" s="16"/>
      <c r="P310" s="16"/>
      <c r="Q310" s="16"/>
      <c r="R310" s="16"/>
      <c r="S310" s="16"/>
    </row>
    <row r="311" spans="1:27" ht="15.75" customHeight="1">
      <c r="A311" s="364" t="s">
        <v>6267</v>
      </c>
      <c r="B311" s="405" t="s">
        <v>249</v>
      </c>
      <c r="C311" s="261">
        <v>1</v>
      </c>
      <c r="D311" s="404" t="s">
        <v>6268</v>
      </c>
      <c r="E311" s="404" t="s">
        <v>6269</v>
      </c>
      <c r="F311" s="405" t="s">
        <v>361</v>
      </c>
      <c r="G311" s="405" t="s">
        <v>524</v>
      </c>
      <c r="H311" s="264" t="s">
        <v>6270</v>
      </c>
      <c r="I311" s="264" t="s">
        <v>6271</v>
      </c>
      <c r="J311" s="264"/>
      <c r="K311" s="25"/>
      <c r="L311" s="50"/>
      <c r="M311" s="380" t="s">
        <v>6272</v>
      </c>
      <c r="N311" s="4"/>
      <c r="O311" s="25"/>
      <c r="P311" s="25"/>
      <c r="Q311" s="50" t="s">
        <v>282</v>
      </c>
      <c r="R311" s="25"/>
      <c r="S311" s="50" t="s">
        <v>140</v>
      </c>
    </row>
    <row r="312" spans="1:27" ht="15.75" customHeight="1">
      <c r="A312" s="344"/>
      <c r="B312" s="344"/>
      <c r="C312" s="261">
        <v>2</v>
      </c>
      <c r="D312" s="344"/>
      <c r="E312" s="344"/>
      <c r="F312" s="344"/>
      <c r="G312" s="344"/>
      <c r="H312" s="264" t="s">
        <v>6273</v>
      </c>
      <c r="I312" s="264" t="s">
        <v>6271</v>
      </c>
      <c r="J312" s="264"/>
      <c r="K312" s="25"/>
      <c r="L312" s="50"/>
      <c r="M312" s="344"/>
      <c r="N312" s="4"/>
      <c r="O312" s="25"/>
      <c r="P312" s="25"/>
      <c r="Q312" s="50" t="s">
        <v>282</v>
      </c>
      <c r="R312" s="25"/>
      <c r="S312" s="50" t="s">
        <v>140</v>
      </c>
    </row>
    <row r="313" spans="1:27" ht="15.75" customHeight="1">
      <c r="A313" s="344"/>
      <c r="B313" s="344"/>
      <c r="C313" s="261">
        <v>3</v>
      </c>
      <c r="D313" s="344"/>
      <c r="E313" s="344"/>
      <c r="F313" s="344"/>
      <c r="G313" s="344"/>
      <c r="H313" s="264" t="s">
        <v>6274</v>
      </c>
      <c r="I313" s="264" t="s">
        <v>6271</v>
      </c>
      <c r="J313" s="264"/>
      <c r="K313" s="25"/>
      <c r="L313" s="50"/>
      <c r="M313" s="344"/>
      <c r="N313" s="4"/>
      <c r="O313" s="25"/>
      <c r="P313" s="25"/>
      <c r="Q313" s="50" t="s">
        <v>282</v>
      </c>
      <c r="R313" s="25"/>
      <c r="S313" s="50" t="s">
        <v>140</v>
      </c>
    </row>
    <row r="314" spans="1:27" ht="15.75" customHeight="1">
      <c r="A314" s="344"/>
      <c r="B314" s="344"/>
      <c r="C314" s="261">
        <v>4</v>
      </c>
      <c r="D314" s="344"/>
      <c r="E314" s="345"/>
      <c r="F314" s="345"/>
      <c r="G314" s="345"/>
      <c r="H314" s="264" t="s">
        <v>6275</v>
      </c>
      <c r="I314" s="262" t="s">
        <v>6271</v>
      </c>
      <c r="J314" s="262"/>
      <c r="K314" s="25"/>
      <c r="L314" s="50"/>
      <c r="M314" s="344"/>
      <c r="N314" s="4"/>
      <c r="O314" s="25"/>
      <c r="P314" s="25"/>
      <c r="Q314" s="50" t="s">
        <v>282</v>
      </c>
      <c r="R314" s="25"/>
      <c r="S314" s="50" t="s">
        <v>140</v>
      </c>
    </row>
    <row r="315" spans="1:27" ht="15.75" customHeight="1">
      <c r="A315" s="344"/>
      <c r="B315" s="344"/>
      <c r="C315" s="261">
        <v>5</v>
      </c>
      <c r="D315" s="344"/>
      <c r="E315" s="404" t="s">
        <v>6276</v>
      </c>
      <c r="F315" s="405" t="s">
        <v>361</v>
      </c>
      <c r="G315" s="405" t="s">
        <v>524</v>
      </c>
      <c r="H315" s="264" t="s">
        <v>6277</v>
      </c>
      <c r="I315" s="262" t="s">
        <v>6278</v>
      </c>
      <c r="J315" s="262"/>
      <c r="K315" s="25"/>
      <c r="L315" s="50"/>
      <c r="M315" s="344"/>
      <c r="N315" s="4"/>
      <c r="O315" s="25"/>
      <c r="P315" s="25"/>
      <c r="Q315" s="50" t="s">
        <v>282</v>
      </c>
      <c r="R315" s="25"/>
      <c r="S315" s="50" t="s">
        <v>140</v>
      </c>
    </row>
    <row r="316" spans="1:27" ht="15.75" customHeight="1">
      <c r="A316" s="344"/>
      <c r="B316" s="344"/>
      <c r="C316" s="261">
        <v>6</v>
      </c>
      <c r="D316" s="344"/>
      <c r="E316" s="344"/>
      <c r="F316" s="344"/>
      <c r="G316" s="344"/>
      <c r="H316" s="264" t="s">
        <v>6279</v>
      </c>
      <c r="I316" s="262" t="s">
        <v>6280</v>
      </c>
      <c r="J316" s="262"/>
      <c r="K316" s="25"/>
      <c r="L316" s="50"/>
      <c r="M316" s="344"/>
      <c r="N316" s="4"/>
      <c r="O316" s="25"/>
      <c r="P316" s="25"/>
      <c r="Q316" s="50" t="s">
        <v>282</v>
      </c>
      <c r="R316" s="25"/>
      <c r="S316" s="50" t="s">
        <v>140</v>
      </c>
    </row>
    <row r="317" spans="1:27" ht="15.75" customHeight="1">
      <c r="A317" s="344"/>
      <c r="B317" s="344"/>
      <c r="C317" s="261">
        <v>7</v>
      </c>
      <c r="D317" s="344"/>
      <c r="E317" s="344"/>
      <c r="F317" s="344"/>
      <c r="G317" s="344"/>
      <c r="H317" s="264" t="s">
        <v>6281</v>
      </c>
      <c r="I317" s="262" t="s">
        <v>6278</v>
      </c>
      <c r="J317" s="262"/>
      <c r="K317" s="25"/>
      <c r="L317" s="50"/>
      <c r="M317" s="344"/>
      <c r="N317" s="4"/>
      <c r="O317" s="25"/>
      <c r="P317" s="25"/>
      <c r="Q317" s="50" t="s">
        <v>282</v>
      </c>
      <c r="R317" s="25"/>
      <c r="S317" s="50" t="s">
        <v>140</v>
      </c>
    </row>
    <row r="318" spans="1:27" ht="15.75" customHeight="1">
      <c r="A318" s="345"/>
      <c r="B318" s="345"/>
      <c r="C318" s="261">
        <v>8</v>
      </c>
      <c r="D318" s="345"/>
      <c r="E318" s="345"/>
      <c r="F318" s="345"/>
      <c r="G318" s="345"/>
      <c r="H318" s="262" t="s">
        <v>6282</v>
      </c>
      <c r="I318" s="262" t="s">
        <v>6280</v>
      </c>
      <c r="J318" s="262"/>
      <c r="K318" s="25"/>
      <c r="L318" s="50"/>
      <c r="M318" s="345"/>
      <c r="N318" s="4"/>
      <c r="O318" s="25"/>
      <c r="P318" s="25"/>
      <c r="Q318" s="50" t="s">
        <v>282</v>
      </c>
      <c r="R318" s="25"/>
      <c r="S318" s="50" t="s">
        <v>140</v>
      </c>
    </row>
    <row r="319" spans="1:27" ht="15.75" customHeight="1">
      <c r="A319" s="68"/>
      <c r="B319" s="68"/>
      <c r="D319" s="68"/>
      <c r="E319" s="69"/>
      <c r="M319" s="68"/>
      <c r="O319" s="68"/>
      <c r="P319" s="68"/>
      <c r="Q319" s="68"/>
      <c r="R319" s="68"/>
      <c r="S319" s="68"/>
    </row>
    <row r="320" spans="1:27" ht="15.75" customHeight="1">
      <c r="A320" s="68"/>
      <c r="B320" s="68"/>
      <c r="D320" s="68"/>
      <c r="E320" s="69"/>
      <c r="M320" s="68"/>
      <c r="O320" s="68"/>
      <c r="P320" s="68"/>
      <c r="Q320" s="68"/>
      <c r="R320" s="68"/>
      <c r="S320" s="68"/>
    </row>
    <row r="321" spans="1:19" ht="15.75" customHeight="1">
      <c r="A321" s="68"/>
      <c r="B321" s="68"/>
      <c r="D321" s="68"/>
      <c r="E321" s="69"/>
      <c r="M321" s="68"/>
      <c r="O321" s="68"/>
      <c r="P321" s="68"/>
      <c r="Q321" s="68"/>
      <c r="R321" s="68"/>
      <c r="S321" s="68"/>
    </row>
    <row r="322" spans="1:19" ht="15.75" customHeight="1">
      <c r="A322" s="68"/>
      <c r="B322" s="68"/>
      <c r="D322" s="68"/>
      <c r="E322" s="69"/>
      <c r="M322" s="68"/>
      <c r="O322" s="68"/>
      <c r="P322" s="68"/>
      <c r="Q322" s="68"/>
      <c r="R322" s="68"/>
      <c r="S322" s="68"/>
    </row>
    <row r="323" spans="1:19" ht="15.75" customHeight="1">
      <c r="A323" s="68"/>
      <c r="B323" s="68"/>
      <c r="D323" s="68"/>
      <c r="E323" s="69"/>
      <c r="M323" s="68"/>
      <c r="O323" s="68"/>
      <c r="P323" s="68"/>
      <c r="Q323" s="68"/>
      <c r="R323" s="68"/>
      <c r="S323" s="68"/>
    </row>
    <row r="324" spans="1:19" ht="15.75" customHeight="1">
      <c r="A324" s="68"/>
      <c r="B324" s="68"/>
      <c r="D324" s="68"/>
      <c r="E324" s="69"/>
      <c r="M324" s="68"/>
      <c r="O324" s="68"/>
      <c r="P324" s="68"/>
      <c r="Q324" s="68"/>
      <c r="R324" s="68"/>
      <c r="S324" s="68"/>
    </row>
    <row r="325" spans="1:19" ht="15.75" customHeight="1">
      <c r="A325" s="68"/>
      <c r="B325" s="68"/>
      <c r="D325" s="68"/>
      <c r="E325" s="69"/>
      <c r="M325" s="68"/>
      <c r="O325" s="68"/>
      <c r="P325" s="68"/>
      <c r="Q325" s="68"/>
      <c r="R325" s="68"/>
      <c r="S325" s="68"/>
    </row>
    <row r="326" spans="1:19" ht="15.75" customHeight="1">
      <c r="A326" s="68"/>
      <c r="B326" s="68"/>
      <c r="D326" s="68"/>
      <c r="E326" s="69"/>
      <c r="M326" s="68"/>
      <c r="O326" s="68"/>
      <c r="P326" s="68"/>
      <c r="Q326" s="68"/>
      <c r="R326" s="68"/>
      <c r="S326" s="68"/>
    </row>
    <row r="327" spans="1:19" ht="15.75" customHeight="1">
      <c r="A327" s="68"/>
      <c r="B327" s="68"/>
      <c r="D327" s="68"/>
      <c r="E327" s="69"/>
      <c r="M327" s="68"/>
      <c r="O327" s="68"/>
      <c r="P327" s="68"/>
      <c r="Q327" s="68"/>
      <c r="R327" s="68"/>
      <c r="S327" s="68"/>
    </row>
    <row r="328" spans="1:19" ht="15.75" customHeight="1">
      <c r="A328" s="68"/>
      <c r="B328" s="68"/>
      <c r="D328" s="68"/>
      <c r="E328" s="69"/>
      <c r="M328" s="68"/>
      <c r="O328" s="68"/>
      <c r="P328" s="68"/>
      <c r="Q328" s="68"/>
      <c r="R328" s="68"/>
      <c r="S328" s="68"/>
    </row>
    <row r="329" spans="1:19" ht="15.75" customHeight="1">
      <c r="A329" s="68"/>
      <c r="B329" s="68"/>
      <c r="D329" s="68"/>
      <c r="E329" s="69"/>
      <c r="M329" s="68"/>
      <c r="O329" s="68"/>
      <c r="P329" s="68"/>
      <c r="Q329" s="68"/>
      <c r="R329" s="68"/>
      <c r="S329" s="68"/>
    </row>
    <row r="330" spans="1:19" ht="15.75" customHeight="1">
      <c r="A330" s="68"/>
      <c r="B330" s="68"/>
      <c r="D330" s="68"/>
      <c r="E330" s="69"/>
      <c r="M330" s="68"/>
      <c r="O330" s="68"/>
      <c r="P330" s="68"/>
      <c r="Q330" s="68"/>
      <c r="R330" s="68"/>
      <c r="S330" s="68"/>
    </row>
    <row r="331" spans="1:19" ht="15.75" customHeight="1">
      <c r="A331" s="68"/>
      <c r="B331" s="68"/>
      <c r="D331" s="68"/>
      <c r="E331" s="69"/>
      <c r="M331" s="68"/>
      <c r="O331" s="68"/>
      <c r="P331" s="68"/>
      <c r="Q331" s="68"/>
      <c r="R331" s="68"/>
      <c r="S331" s="68"/>
    </row>
    <row r="332" spans="1:19" ht="15.75" customHeight="1">
      <c r="A332" s="68"/>
      <c r="B332" s="68"/>
      <c r="D332" s="68"/>
      <c r="E332" s="69"/>
      <c r="M332" s="68"/>
      <c r="O332" s="68"/>
      <c r="P332" s="68"/>
      <c r="Q332" s="68"/>
      <c r="R332" s="68"/>
      <c r="S332" s="68"/>
    </row>
    <row r="333" spans="1:19" ht="15.75" customHeight="1">
      <c r="A333" s="68"/>
      <c r="B333" s="68"/>
      <c r="D333" s="68"/>
      <c r="E333" s="69"/>
      <c r="M333" s="68"/>
      <c r="O333" s="68"/>
      <c r="P333" s="68"/>
      <c r="Q333" s="68"/>
      <c r="R333" s="68"/>
      <c r="S333" s="68"/>
    </row>
    <row r="334" spans="1:19" ht="15.75" customHeight="1">
      <c r="A334" s="68"/>
      <c r="B334" s="68"/>
      <c r="D334" s="68"/>
      <c r="E334" s="69"/>
      <c r="M334" s="68"/>
      <c r="O334" s="68"/>
      <c r="P334" s="68"/>
      <c r="Q334" s="68"/>
      <c r="R334" s="68"/>
      <c r="S334" s="68"/>
    </row>
    <row r="335" spans="1:19" ht="15.75" customHeight="1">
      <c r="A335" s="68"/>
      <c r="B335" s="68"/>
      <c r="D335" s="68"/>
      <c r="E335" s="69"/>
      <c r="M335" s="68"/>
      <c r="O335" s="68"/>
      <c r="P335" s="68"/>
      <c r="Q335" s="68"/>
      <c r="R335" s="68"/>
      <c r="S335" s="68"/>
    </row>
    <row r="336" spans="1:19" ht="15.75" customHeight="1">
      <c r="A336" s="68"/>
      <c r="B336" s="68"/>
      <c r="D336" s="68"/>
      <c r="E336" s="69"/>
      <c r="M336" s="68"/>
      <c r="O336" s="68"/>
      <c r="P336" s="68"/>
      <c r="Q336" s="68"/>
      <c r="R336" s="68"/>
      <c r="S336" s="68"/>
    </row>
    <row r="337" spans="1:19" ht="15.75" customHeight="1">
      <c r="A337" s="68"/>
      <c r="B337" s="68"/>
      <c r="D337" s="68"/>
      <c r="E337" s="69"/>
      <c r="M337" s="68"/>
      <c r="O337" s="68"/>
      <c r="P337" s="68"/>
      <c r="Q337" s="68"/>
      <c r="R337" s="68"/>
      <c r="S337" s="68"/>
    </row>
    <row r="338" spans="1:19" ht="15.75" customHeight="1">
      <c r="A338" s="68"/>
      <c r="B338" s="68"/>
      <c r="D338" s="68"/>
      <c r="E338" s="69"/>
      <c r="M338" s="68"/>
      <c r="O338" s="68"/>
      <c r="P338" s="68"/>
      <c r="Q338" s="68"/>
      <c r="R338" s="68"/>
      <c r="S338" s="68"/>
    </row>
    <row r="339" spans="1:19" ht="15.75" customHeight="1">
      <c r="A339" s="68"/>
      <c r="B339" s="68"/>
      <c r="D339" s="68"/>
      <c r="E339" s="69"/>
      <c r="M339" s="68"/>
      <c r="O339" s="68"/>
      <c r="P339" s="68"/>
      <c r="Q339" s="68"/>
      <c r="R339" s="68"/>
      <c r="S339" s="68"/>
    </row>
    <row r="340" spans="1:19" ht="15.75" customHeight="1">
      <c r="A340" s="68"/>
      <c r="B340" s="68"/>
      <c r="D340" s="68"/>
      <c r="E340" s="69"/>
      <c r="M340" s="68"/>
      <c r="O340" s="68"/>
      <c r="P340" s="68"/>
      <c r="Q340" s="68"/>
      <c r="R340" s="68"/>
      <c r="S340" s="68"/>
    </row>
    <row r="341" spans="1:19" ht="15.75" customHeight="1">
      <c r="A341" s="68"/>
      <c r="B341" s="68"/>
      <c r="D341" s="68"/>
      <c r="E341" s="69"/>
      <c r="M341" s="68"/>
      <c r="O341" s="68"/>
      <c r="P341" s="68"/>
      <c r="Q341" s="68"/>
      <c r="R341" s="68"/>
      <c r="S341" s="68"/>
    </row>
    <row r="342" spans="1:19" ht="15.75" customHeight="1">
      <c r="A342" s="68"/>
      <c r="B342" s="68"/>
      <c r="D342" s="68"/>
      <c r="E342" s="69"/>
      <c r="M342" s="68"/>
      <c r="O342" s="68"/>
      <c r="P342" s="68"/>
      <c r="Q342" s="68"/>
      <c r="R342" s="68"/>
      <c r="S342" s="68"/>
    </row>
    <row r="343" spans="1:19" ht="15.75" customHeight="1">
      <c r="A343" s="68"/>
      <c r="B343" s="68"/>
      <c r="D343" s="68"/>
      <c r="E343" s="69"/>
      <c r="M343" s="68"/>
      <c r="O343" s="68"/>
      <c r="P343" s="68"/>
      <c r="Q343" s="68"/>
      <c r="R343" s="68"/>
      <c r="S343" s="68"/>
    </row>
    <row r="344" spans="1:19" ht="15.75" customHeight="1">
      <c r="A344" s="68"/>
      <c r="B344" s="68"/>
      <c r="D344" s="68"/>
      <c r="E344" s="69"/>
      <c r="M344" s="68"/>
      <c r="O344" s="68"/>
      <c r="P344" s="68"/>
      <c r="Q344" s="68"/>
      <c r="R344" s="68"/>
      <c r="S344" s="68"/>
    </row>
    <row r="345" spans="1:19" ht="15.75" customHeight="1">
      <c r="A345" s="68"/>
      <c r="B345" s="68"/>
      <c r="D345" s="68"/>
      <c r="E345" s="69"/>
      <c r="M345" s="68"/>
      <c r="O345" s="68"/>
      <c r="P345" s="68"/>
      <c r="Q345" s="68"/>
      <c r="R345" s="68"/>
      <c r="S345" s="68"/>
    </row>
    <row r="346" spans="1:19" ht="15.75" customHeight="1">
      <c r="A346" s="68"/>
      <c r="B346" s="68"/>
      <c r="D346" s="68"/>
      <c r="E346" s="69"/>
      <c r="M346" s="68"/>
      <c r="O346" s="68"/>
      <c r="P346" s="68"/>
      <c r="Q346" s="68"/>
      <c r="R346" s="68"/>
      <c r="S346" s="68"/>
    </row>
    <row r="347" spans="1:19" ht="15.75" customHeight="1">
      <c r="A347" s="68"/>
      <c r="B347" s="68"/>
      <c r="D347" s="68"/>
      <c r="E347" s="69"/>
      <c r="M347" s="68"/>
      <c r="O347" s="68"/>
      <c r="P347" s="68"/>
      <c r="Q347" s="68"/>
      <c r="R347" s="68"/>
      <c r="S347" s="68"/>
    </row>
    <row r="348" spans="1:19" ht="15.75" customHeight="1">
      <c r="A348" s="68"/>
      <c r="B348" s="68"/>
      <c r="D348" s="68"/>
      <c r="E348" s="69"/>
      <c r="M348" s="68"/>
      <c r="O348" s="68"/>
      <c r="P348" s="68"/>
      <c r="Q348" s="68"/>
      <c r="R348" s="68"/>
      <c r="S348" s="68"/>
    </row>
    <row r="349" spans="1:19" ht="15.75" customHeight="1">
      <c r="A349" s="68"/>
      <c r="B349" s="68"/>
      <c r="D349" s="68"/>
      <c r="E349" s="69"/>
      <c r="M349" s="68"/>
      <c r="O349" s="68"/>
      <c r="P349" s="68"/>
      <c r="Q349" s="68"/>
      <c r="R349" s="68"/>
      <c r="S349" s="68"/>
    </row>
    <row r="350" spans="1:19" ht="15.75" customHeight="1">
      <c r="A350" s="68"/>
      <c r="B350" s="68"/>
      <c r="D350" s="68"/>
      <c r="E350" s="69"/>
      <c r="M350" s="68"/>
      <c r="O350" s="68"/>
      <c r="P350" s="68"/>
      <c r="Q350" s="68"/>
      <c r="R350" s="68"/>
      <c r="S350" s="68"/>
    </row>
    <row r="351" spans="1:19" ht="15.75" customHeight="1">
      <c r="A351" s="68"/>
      <c r="B351" s="68"/>
      <c r="D351" s="68"/>
      <c r="E351" s="69"/>
      <c r="M351" s="68"/>
      <c r="O351" s="68"/>
      <c r="P351" s="68"/>
      <c r="Q351" s="68"/>
      <c r="R351" s="68"/>
      <c r="S351" s="68"/>
    </row>
    <row r="352" spans="1:19" ht="15.75" customHeight="1">
      <c r="A352" s="68"/>
      <c r="B352" s="68"/>
      <c r="D352" s="68"/>
      <c r="E352" s="69"/>
      <c r="M352" s="68"/>
      <c r="O352" s="68"/>
      <c r="P352" s="68"/>
      <c r="Q352" s="68"/>
      <c r="R352" s="68"/>
      <c r="S352" s="68"/>
    </row>
    <row r="353" spans="1:19" ht="15.75" customHeight="1">
      <c r="A353" s="68"/>
      <c r="B353" s="68"/>
      <c r="D353" s="68"/>
      <c r="E353" s="69"/>
      <c r="M353" s="68"/>
      <c r="O353" s="68"/>
      <c r="P353" s="68"/>
      <c r="Q353" s="68"/>
      <c r="R353" s="68"/>
      <c r="S353" s="68"/>
    </row>
    <row r="354" spans="1:19" ht="15.75" customHeight="1">
      <c r="A354" s="68"/>
      <c r="B354" s="68"/>
      <c r="D354" s="68"/>
      <c r="E354" s="69"/>
      <c r="M354" s="68"/>
      <c r="O354" s="68"/>
      <c r="P354" s="68"/>
      <c r="Q354" s="68"/>
      <c r="R354" s="68"/>
      <c r="S354" s="68"/>
    </row>
    <row r="355" spans="1:19" ht="15.75" customHeight="1">
      <c r="A355" s="68"/>
      <c r="B355" s="68"/>
      <c r="D355" s="68"/>
      <c r="E355" s="69"/>
      <c r="M355" s="68"/>
      <c r="O355" s="68"/>
      <c r="P355" s="68"/>
      <c r="Q355" s="68"/>
      <c r="R355" s="68"/>
      <c r="S355" s="68"/>
    </row>
    <row r="356" spans="1:19" ht="15.75" customHeight="1">
      <c r="A356" s="68"/>
      <c r="B356" s="68"/>
      <c r="D356" s="68"/>
      <c r="E356" s="69"/>
      <c r="M356" s="68"/>
      <c r="O356" s="68"/>
      <c r="P356" s="68"/>
      <c r="Q356" s="68"/>
      <c r="R356" s="68"/>
      <c r="S356" s="68"/>
    </row>
    <row r="357" spans="1:19" ht="15.75" customHeight="1">
      <c r="A357" s="68"/>
      <c r="B357" s="68"/>
      <c r="D357" s="68"/>
      <c r="E357" s="69"/>
      <c r="M357" s="68"/>
      <c r="O357" s="68"/>
      <c r="P357" s="68"/>
      <c r="Q357" s="68"/>
      <c r="R357" s="68"/>
      <c r="S357" s="68"/>
    </row>
    <row r="358" spans="1:19" ht="15.75" customHeight="1">
      <c r="A358" s="68"/>
      <c r="B358" s="68"/>
      <c r="D358" s="68"/>
      <c r="E358" s="69"/>
      <c r="M358" s="68"/>
      <c r="O358" s="68"/>
      <c r="P358" s="68"/>
      <c r="Q358" s="68"/>
      <c r="R358" s="68"/>
      <c r="S358" s="68"/>
    </row>
    <row r="359" spans="1:19" ht="15.75" customHeight="1">
      <c r="A359" s="68"/>
      <c r="B359" s="68"/>
      <c r="D359" s="68"/>
      <c r="E359" s="69"/>
      <c r="M359" s="68"/>
      <c r="O359" s="68"/>
      <c r="P359" s="68"/>
      <c r="Q359" s="68"/>
      <c r="R359" s="68"/>
      <c r="S359" s="68"/>
    </row>
    <row r="360" spans="1:19" ht="15.75" customHeight="1">
      <c r="A360" s="68"/>
      <c r="B360" s="68"/>
      <c r="D360" s="68"/>
      <c r="E360" s="69"/>
      <c r="M360" s="68"/>
      <c r="O360" s="68"/>
      <c r="P360" s="68"/>
      <c r="Q360" s="68"/>
      <c r="R360" s="68"/>
      <c r="S360" s="68"/>
    </row>
    <row r="361" spans="1:19" ht="15.75" customHeight="1">
      <c r="A361" s="68"/>
      <c r="B361" s="68"/>
      <c r="D361" s="68"/>
      <c r="E361" s="69"/>
      <c r="M361" s="68"/>
      <c r="O361" s="68"/>
      <c r="P361" s="68"/>
      <c r="Q361" s="68"/>
      <c r="R361" s="68"/>
      <c r="S361" s="68"/>
    </row>
    <row r="362" spans="1:19" ht="15.75" customHeight="1">
      <c r="A362" s="68"/>
      <c r="B362" s="68"/>
      <c r="D362" s="68"/>
      <c r="E362" s="69"/>
      <c r="M362" s="68"/>
      <c r="O362" s="68"/>
      <c r="P362" s="68"/>
      <c r="Q362" s="68"/>
      <c r="R362" s="68"/>
      <c r="S362" s="68"/>
    </row>
    <row r="363" spans="1:19" ht="15.75" customHeight="1">
      <c r="A363" s="68"/>
      <c r="B363" s="68"/>
      <c r="D363" s="68"/>
      <c r="E363" s="69"/>
      <c r="M363" s="68"/>
      <c r="O363" s="68"/>
      <c r="P363" s="68"/>
      <c r="Q363" s="68"/>
      <c r="R363" s="68"/>
      <c r="S363" s="68"/>
    </row>
    <row r="364" spans="1:19" ht="15.75" customHeight="1">
      <c r="A364" s="68"/>
      <c r="B364" s="68"/>
      <c r="D364" s="68"/>
      <c r="E364" s="69"/>
      <c r="M364" s="68"/>
      <c r="O364" s="68"/>
      <c r="P364" s="68"/>
      <c r="Q364" s="68"/>
      <c r="R364" s="68"/>
      <c r="S364" s="68"/>
    </row>
    <row r="365" spans="1:19" ht="15.75" customHeight="1">
      <c r="A365" s="68"/>
      <c r="B365" s="68"/>
      <c r="D365" s="68"/>
      <c r="E365" s="69"/>
      <c r="M365" s="68"/>
      <c r="O365" s="68"/>
      <c r="P365" s="68"/>
      <c r="Q365" s="68"/>
      <c r="R365" s="68"/>
      <c r="S365" s="68"/>
    </row>
    <row r="366" spans="1:19" ht="15.75" customHeight="1">
      <c r="A366" s="68"/>
      <c r="B366" s="68"/>
      <c r="D366" s="68"/>
      <c r="E366" s="69"/>
      <c r="M366" s="68"/>
      <c r="O366" s="68"/>
      <c r="P366" s="68"/>
      <c r="Q366" s="68"/>
      <c r="R366" s="68"/>
      <c r="S366" s="68"/>
    </row>
    <row r="367" spans="1:19" ht="15.75" customHeight="1">
      <c r="A367" s="68"/>
      <c r="B367" s="68"/>
      <c r="D367" s="68"/>
      <c r="E367" s="69"/>
      <c r="M367" s="68"/>
      <c r="O367" s="68"/>
      <c r="P367" s="68"/>
      <c r="Q367" s="68"/>
      <c r="R367" s="68"/>
      <c r="S367" s="68"/>
    </row>
    <row r="368" spans="1:19" ht="15.75" customHeight="1">
      <c r="A368" s="68"/>
      <c r="B368" s="68"/>
      <c r="D368" s="68"/>
      <c r="E368" s="69"/>
      <c r="M368" s="68"/>
      <c r="O368" s="68"/>
      <c r="P368" s="68"/>
      <c r="Q368" s="68"/>
      <c r="R368" s="68"/>
      <c r="S368" s="68"/>
    </row>
    <row r="369" spans="1:19" ht="15.75" customHeight="1">
      <c r="A369" s="68"/>
      <c r="B369" s="68"/>
      <c r="D369" s="68"/>
      <c r="E369" s="69"/>
      <c r="M369" s="68"/>
      <c r="O369" s="68"/>
      <c r="P369" s="68"/>
      <c r="Q369" s="68"/>
      <c r="R369" s="68"/>
      <c r="S369" s="68"/>
    </row>
    <row r="370" spans="1:19" ht="15.75" customHeight="1">
      <c r="A370" s="68"/>
      <c r="B370" s="68"/>
      <c r="D370" s="68"/>
      <c r="E370" s="69"/>
      <c r="M370" s="68"/>
      <c r="O370" s="68"/>
      <c r="P370" s="68"/>
      <c r="Q370" s="68"/>
      <c r="R370" s="68"/>
      <c r="S370" s="68"/>
    </row>
    <row r="371" spans="1:19" ht="15.75" customHeight="1">
      <c r="A371" s="68"/>
      <c r="B371" s="68"/>
      <c r="D371" s="68"/>
      <c r="E371" s="69"/>
      <c r="M371" s="68"/>
      <c r="O371" s="68"/>
      <c r="P371" s="68"/>
      <c r="Q371" s="68"/>
      <c r="R371" s="68"/>
      <c r="S371" s="68"/>
    </row>
    <row r="372" spans="1:19" ht="15.75" customHeight="1">
      <c r="A372" s="68"/>
      <c r="B372" s="68"/>
      <c r="D372" s="68"/>
      <c r="E372" s="69"/>
      <c r="M372" s="68"/>
      <c r="O372" s="68"/>
      <c r="P372" s="68"/>
      <c r="Q372" s="68"/>
      <c r="R372" s="68"/>
      <c r="S372" s="68"/>
    </row>
    <row r="373" spans="1:19" ht="15.75" customHeight="1">
      <c r="A373" s="68"/>
      <c r="B373" s="68"/>
      <c r="D373" s="68"/>
      <c r="E373" s="69"/>
      <c r="M373" s="68"/>
      <c r="O373" s="68"/>
      <c r="P373" s="68"/>
      <c r="Q373" s="68"/>
      <c r="R373" s="68"/>
      <c r="S373" s="68"/>
    </row>
    <row r="374" spans="1:19" ht="15.75" customHeight="1">
      <c r="A374" s="68"/>
      <c r="B374" s="68"/>
      <c r="D374" s="68"/>
      <c r="E374" s="69"/>
      <c r="M374" s="68"/>
      <c r="O374" s="68"/>
      <c r="P374" s="68"/>
      <c r="Q374" s="68"/>
      <c r="R374" s="68"/>
      <c r="S374" s="68"/>
    </row>
    <row r="375" spans="1:19" ht="15.75" customHeight="1">
      <c r="A375" s="68"/>
      <c r="B375" s="68"/>
      <c r="D375" s="68"/>
      <c r="E375" s="69"/>
      <c r="M375" s="68"/>
      <c r="O375" s="68"/>
      <c r="P375" s="68"/>
      <c r="Q375" s="68"/>
      <c r="R375" s="68"/>
      <c r="S375" s="68"/>
    </row>
    <row r="376" spans="1:19" ht="15.75" customHeight="1">
      <c r="A376" s="68"/>
      <c r="B376" s="68"/>
      <c r="D376" s="68"/>
      <c r="E376" s="69"/>
      <c r="M376" s="68"/>
      <c r="O376" s="68"/>
      <c r="P376" s="68"/>
      <c r="Q376" s="68"/>
      <c r="R376" s="68"/>
      <c r="S376" s="68"/>
    </row>
    <row r="377" spans="1:19" ht="15.75" customHeight="1">
      <c r="A377" s="68"/>
      <c r="B377" s="68"/>
      <c r="D377" s="68"/>
      <c r="E377" s="69"/>
      <c r="M377" s="68"/>
      <c r="O377" s="68"/>
      <c r="P377" s="68"/>
      <c r="Q377" s="68"/>
      <c r="R377" s="68"/>
      <c r="S377" s="68"/>
    </row>
    <row r="378" spans="1:19" ht="15.75" customHeight="1">
      <c r="A378" s="68"/>
      <c r="B378" s="68"/>
      <c r="D378" s="68"/>
      <c r="E378" s="69"/>
      <c r="M378" s="68"/>
      <c r="O378" s="68"/>
      <c r="P378" s="68"/>
      <c r="Q378" s="68"/>
      <c r="R378" s="68"/>
      <c r="S378" s="68"/>
    </row>
    <row r="379" spans="1:19" ht="15.75" customHeight="1">
      <c r="A379" s="68"/>
      <c r="B379" s="68"/>
      <c r="D379" s="68"/>
      <c r="E379" s="69"/>
      <c r="M379" s="68"/>
      <c r="O379" s="68"/>
      <c r="P379" s="68"/>
      <c r="Q379" s="68"/>
      <c r="R379" s="68"/>
      <c r="S379" s="68"/>
    </row>
    <row r="380" spans="1:19" ht="15.75" customHeight="1">
      <c r="A380" s="68"/>
      <c r="B380" s="68"/>
      <c r="D380" s="68"/>
      <c r="E380" s="69"/>
      <c r="M380" s="68"/>
      <c r="O380" s="68"/>
      <c r="P380" s="68"/>
      <c r="Q380" s="68"/>
      <c r="R380" s="68"/>
      <c r="S380" s="68"/>
    </row>
    <row r="381" spans="1:19" ht="15.75" customHeight="1">
      <c r="A381" s="68"/>
      <c r="B381" s="68"/>
      <c r="D381" s="68"/>
      <c r="E381" s="69"/>
      <c r="M381" s="68"/>
      <c r="O381" s="68"/>
      <c r="P381" s="68"/>
      <c r="Q381" s="68"/>
      <c r="R381" s="68"/>
      <c r="S381" s="68"/>
    </row>
    <row r="382" spans="1:19" ht="15.75" customHeight="1">
      <c r="A382" s="68"/>
      <c r="B382" s="68"/>
      <c r="D382" s="68"/>
      <c r="E382" s="69"/>
      <c r="M382" s="68"/>
      <c r="O382" s="68"/>
      <c r="P382" s="68"/>
      <c r="Q382" s="68"/>
      <c r="R382" s="68"/>
      <c r="S382" s="68"/>
    </row>
    <row r="383" spans="1:19" ht="15.75" customHeight="1">
      <c r="A383" s="68"/>
      <c r="B383" s="68"/>
      <c r="D383" s="68"/>
      <c r="E383" s="69"/>
      <c r="M383" s="68"/>
      <c r="O383" s="68"/>
      <c r="P383" s="68"/>
      <c r="Q383" s="68"/>
      <c r="R383" s="68"/>
      <c r="S383" s="68"/>
    </row>
    <row r="384" spans="1:19" ht="15.75" customHeight="1">
      <c r="A384" s="68"/>
      <c r="B384" s="68"/>
      <c r="D384" s="68"/>
      <c r="E384" s="69"/>
      <c r="M384" s="68"/>
      <c r="O384" s="68"/>
      <c r="P384" s="68"/>
      <c r="Q384" s="68"/>
      <c r="R384" s="68"/>
      <c r="S384" s="68"/>
    </row>
    <row r="385" spans="1:19" ht="15.75" customHeight="1">
      <c r="A385" s="68"/>
      <c r="B385" s="68"/>
      <c r="D385" s="68"/>
      <c r="E385" s="69"/>
      <c r="M385" s="68"/>
      <c r="O385" s="68"/>
      <c r="P385" s="68"/>
      <c r="Q385" s="68"/>
      <c r="R385" s="68"/>
      <c r="S385" s="68"/>
    </row>
    <row r="386" spans="1:19" ht="15.75" customHeight="1">
      <c r="A386" s="68"/>
      <c r="B386" s="68"/>
      <c r="D386" s="68"/>
      <c r="E386" s="69"/>
      <c r="M386" s="68"/>
      <c r="O386" s="68"/>
      <c r="P386" s="68"/>
      <c r="Q386" s="68"/>
      <c r="R386" s="68"/>
      <c r="S386" s="68"/>
    </row>
    <row r="387" spans="1:19" ht="15.75" customHeight="1">
      <c r="A387" s="68"/>
      <c r="B387" s="68"/>
      <c r="D387" s="68"/>
      <c r="E387" s="69"/>
      <c r="M387" s="68"/>
      <c r="O387" s="68"/>
      <c r="P387" s="68"/>
      <c r="Q387" s="68"/>
      <c r="R387" s="68"/>
      <c r="S387" s="68"/>
    </row>
    <row r="388" spans="1:19" ht="15.75" customHeight="1">
      <c r="A388" s="68"/>
      <c r="B388" s="68"/>
      <c r="D388" s="68"/>
      <c r="E388" s="69"/>
      <c r="M388" s="68"/>
      <c r="O388" s="68"/>
      <c r="P388" s="68"/>
      <c r="Q388" s="68"/>
      <c r="R388" s="68"/>
      <c r="S388" s="68"/>
    </row>
    <row r="389" spans="1:19" ht="15.75" customHeight="1">
      <c r="A389" s="68"/>
      <c r="B389" s="68"/>
      <c r="D389" s="68"/>
      <c r="E389" s="69"/>
      <c r="M389" s="68"/>
      <c r="O389" s="68"/>
      <c r="P389" s="68"/>
      <c r="Q389" s="68"/>
      <c r="R389" s="68"/>
      <c r="S389" s="68"/>
    </row>
    <row r="390" spans="1:19" ht="15.75" customHeight="1">
      <c r="A390" s="68"/>
      <c r="B390" s="68"/>
      <c r="D390" s="68"/>
      <c r="E390" s="69"/>
      <c r="M390" s="68"/>
      <c r="O390" s="68"/>
      <c r="P390" s="68"/>
      <c r="Q390" s="68"/>
      <c r="R390" s="68"/>
      <c r="S390" s="68"/>
    </row>
    <row r="391" spans="1:19" ht="15.75" customHeight="1">
      <c r="A391" s="68"/>
      <c r="B391" s="68"/>
      <c r="D391" s="68"/>
      <c r="E391" s="69"/>
      <c r="M391" s="68"/>
      <c r="O391" s="68"/>
      <c r="P391" s="68"/>
      <c r="Q391" s="68"/>
      <c r="R391" s="68"/>
      <c r="S391" s="68"/>
    </row>
    <row r="392" spans="1:19" ht="15.75" customHeight="1">
      <c r="A392" s="68"/>
      <c r="B392" s="68"/>
      <c r="D392" s="68"/>
      <c r="E392" s="69"/>
      <c r="M392" s="68"/>
      <c r="O392" s="68"/>
      <c r="P392" s="68"/>
      <c r="Q392" s="68"/>
      <c r="R392" s="68"/>
      <c r="S392" s="68"/>
    </row>
    <row r="393" spans="1:19" ht="15.75" customHeight="1">
      <c r="A393" s="68"/>
      <c r="B393" s="68"/>
      <c r="D393" s="68"/>
      <c r="E393" s="69"/>
      <c r="M393" s="68"/>
      <c r="O393" s="68"/>
      <c r="P393" s="68"/>
      <c r="Q393" s="68"/>
      <c r="R393" s="68"/>
      <c r="S393" s="68"/>
    </row>
    <row r="394" spans="1:19" ht="15.75" customHeight="1">
      <c r="A394" s="68"/>
      <c r="B394" s="68"/>
      <c r="D394" s="68"/>
      <c r="E394" s="69"/>
      <c r="M394" s="68"/>
      <c r="O394" s="68"/>
      <c r="P394" s="68"/>
      <c r="Q394" s="68"/>
      <c r="R394" s="68"/>
      <c r="S394" s="68"/>
    </row>
    <row r="395" spans="1:19" ht="15.75" customHeight="1">
      <c r="A395" s="68"/>
      <c r="B395" s="68"/>
      <c r="D395" s="68"/>
      <c r="E395" s="69"/>
      <c r="M395" s="68"/>
      <c r="O395" s="68"/>
      <c r="P395" s="68"/>
      <c r="Q395" s="68"/>
      <c r="R395" s="68"/>
      <c r="S395" s="68"/>
    </row>
    <row r="396" spans="1:19" ht="15.75" customHeight="1">
      <c r="A396" s="68"/>
      <c r="B396" s="68"/>
      <c r="D396" s="68"/>
      <c r="E396" s="69"/>
      <c r="M396" s="68"/>
      <c r="O396" s="68"/>
      <c r="P396" s="68"/>
      <c r="Q396" s="68"/>
      <c r="R396" s="68"/>
      <c r="S396" s="68"/>
    </row>
    <row r="397" spans="1:19" ht="15.75" customHeight="1">
      <c r="A397" s="68"/>
      <c r="B397" s="68"/>
      <c r="D397" s="68"/>
      <c r="E397" s="69"/>
      <c r="M397" s="68"/>
      <c r="O397" s="68"/>
      <c r="P397" s="68"/>
      <c r="Q397" s="68"/>
      <c r="R397" s="68"/>
      <c r="S397" s="68"/>
    </row>
    <row r="398" spans="1:19" ht="15.75" customHeight="1">
      <c r="A398" s="68"/>
      <c r="B398" s="68"/>
      <c r="D398" s="68"/>
      <c r="E398" s="69"/>
      <c r="M398" s="68"/>
      <c r="O398" s="68"/>
      <c r="P398" s="68"/>
      <c r="Q398" s="68"/>
      <c r="R398" s="68"/>
      <c r="S398" s="68"/>
    </row>
    <row r="399" spans="1:19" ht="15.75" customHeight="1">
      <c r="A399" s="68"/>
      <c r="B399" s="68"/>
      <c r="D399" s="68"/>
      <c r="E399" s="69"/>
      <c r="M399" s="68"/>
      <c r="O399" s="68"/>
      <c r="P399" s="68"/>
      <c r="Q399" s="68"/>
      <c r="R399" s="68"/>
      <c r="S399" s="68"/>
    </row>
    <row r="400" spans="1:19" ht="15.75" customHeight="1">
      <c r="A400" s="68"/>
      <c r="B400" s="68"/>
      <c r="D400" s="68"/>
      <c r="E400" s="69"/>
      <c r="M400" s="68"/>
      <c r="O400" s="68"/>
      <c r="P400" s="68"/>
      <c r="Q400" s="68"/>
      <c r="R400" s="68"/>
      <c r="S400" s="68"/>
    </row>
    <row r="401" spans="1:19" ht="15.75" customHeight="1">
      <c r="A401" s="68"/>
      <c r="B401" s="68"/>
      <c r="D401" s="68"/>
      <c r="E401" s="69"/>
      <c r="M401" s="68"/>
      <c r="O401" s="68"/>
      <c r="P401" s="68"/>
      <c r="Q401" s="68"/>
      <c r="R401" s="68"/>
      <c r="S401" s="68"/>
    </row>
    <row r="402" spans="1:19" ht="15.75" customHeight="1">
      <c r="A402" s="68"/>
      <c r="B402" s="68"/>
      <c r="D402" s="68"/>
      <c r="E402" s="69"/>
      <c r="M402" s="68"/>
      <c r="O402" s="68"/>
      <c r="P402" s="68"/>
      <c r="Q402" s="68"/>
      <c r="R402" s="68"/>
      <c r="S402" s="68"/>
    </row>
    <row r="403" spans="1:19" ht="15.75" customHeight="1">
      <c r="A403" s="68"/>
      <c r="B403" s="68"/>
      <c r="D403" s="68"/>
      <c r="E403" s="69"/>
      <c r="M403" s="68"/>
      <c r="O403" s="68"/>
      <c r="P403" s="68"/>
      <c r="Q403" s="68"/>
      <c r="R403" s="68"/>
      <c r="S403" s="68"/>
    </row>
    <row r="404" spans="1:19" ht="15.75" customHeight="1">
      <c r="A404" s="68"/>
      <c r="B404" s="68"/>
      <c r="D404" s="68"/>
      <c r="E404" s="69"/>
      <c r="M404" s="68"/>
      <c r="O404" s="68"/>
      <c r="P404" s="68"/>
      <c r="Q404" s="68"/>
      <c r="R404" s="68"/>
      <c r="S404" s="68"/>
    </row>
    <row r="405" spans="1:19" ht="15.75" customHeight="1">
      <c r="A405" s="68"/>
      <c r="B405" s="68"/>
      <c r="D405" s="68"/>
      <c r="E405" s="69"/>
      <c r="M405" s="68"/>
      <c r="O405" s="68"/>
      <c r="P405" s="68"/>
      <c r="Q405" s="68"/>
      <c r="R405" s="68"/>
      <c r="S405" s="68"/>
    </row>
    <row r="406" spans="1:19" ht="15.75" customHeight="1">
      <c r="A406" s="68"/>
      <c r="B406" s="68"/>
      <c r="D406" s="68"/>
      <c r="E406" s="69"/>
      <c r="M406" s="68"/>
      <c r="O406" s="68"/>
      <c r="P406" s="68"/>
      <c r="Q406" s="68"/>
      <c r="R406" s="68"/>
      <c r="S406" s="68"/>
    </row>
    <row r="407" spans="1:19" ht="15.75" customHeight="1">
      <c r="A407" s="68"/>
      <c r="B407" s="68"/>
      <c r="D407" s="68"/>
      <c r="E407" s="69"/>
      <c r="M407" s="68"/>
      <c r="O407" s="68"/>
      <c r="P407" s="68"/>
      <c r="Q407" s="68"/>
      <c r="R407" s="68"/>
      <c r="S407" s="68"/>
    </row>
    <row r="408" spans="1:19" ht="15.75" customHeight="1">
      <c r="A408" s="68"/>
      <c r="B408" s="68"/>
      <c r="D408" s="68"/>
      <c r="E408" s="69"/>
      <c r="M408" s="68"/>
      <c r="O408" s="68"/>
      <c r="P408" s="68"/>
      <c r="Q408" s="68"/>
      <c r="R408" s="68"/>
      <c r="S408" s="68"/>
    </row>
    <row r="409" spans="1:19" ht="15.75" customHeight="1">
      <c r="A409" s="68"/>
      <c r="B409" s="68"/>
      <c r="D409" s="68"/>
      <c r="E409" s="69"/>
      <c r="M409" s="68"/>
      <c r="O409" s="68"/>
      <c r="P409" s="68"/>
      <c r="Q409" s="68"/>
      <c r="R409" s="68"/>
      <c r="S409" s="68"/>
    </row>
    <row r="410" spans="1:19" ht="15.75" customHeight="1">
      <c r="A410" s="68"/>
      <c r="B410" s="68"/>
      <c r="D410" s="68"/>
      <c r="E410" s="69"/>
      <c r="M410" s="68"/>
      <c r="O410" s="68"/>
      <c r="P410" s="68"/>
      <c r="Q410" s="68"/>
      <c r="R410" s="68"/>
      <c r="S410" s="68"/>
    </row>
    <row r="411" spans="1:19" ht="15.75" customHeight="1">
      <c r="A411" s="68"/>
      <c r="B411" s="68"/>
      <c r="D411" s="68"/>
      <c r="E411" s="69"/>
      <c r="M411" s="68"/>
      <c r="O411" s="68"/>
      <c r="P411" s="68"/>
      <c r="Q411" s="68"/>
      <c r="R411" s="68"/>
      <c r="S411" s="68"/>
    </row>
    <row r="412" spans="1:19" ht="15.75" customHeight="1">
      <c r="A412" s="68"/>
      <c r="B412" s="68"/>
      <c r="D412" s="68"/>
      <c r="E412" s="69"/>
      <c r="M412" s="68"/>
      <c r="O412" s="68"/>
      <c r="P412" s="68"/>
      <c r="Q412" s="68"/>
      <c r="R412" s="68"/>
      <c r="S412" s="68"/>
    </row>
    <row r="413" spans="1:19" ht="15.75" customHeight="1">
      <c r="A413" s="68"/>
      <c r="B413" s="68"/>
      <c r="D413" s="68"/>
      <c r="E413" s="69"/>
      <c r="M413" s="68"/>
      <c r="O413" s="68"/>
      <c r="P413" s="68"/>
      <c r="Q413" s="68"/>
      <c r="R413" s="68"/>
      <c r="S413" s="68"/>
    </row>
    <row r="414" spans="1:19" ht="15.75" customHeight="1">
      <c r="A414" s="68"/>
      <c r="B414" s="68"/>
      <c r="D414" s="68"/>
      <c r="E414" s="69"/>
      <c r="M414" s="68"/>
      <c r="O414" s="68"/>
      <c r="P414" s="68"/>
      <c r="Q414" s="68"/>
      <c r="R414" s="68"/>
      <c r="S414" s="68"/>
    </row>
    <row r="415" spans="1:19" ht="15.75" customHeight="1">
      <c r="A415" s="68"/>
      <c r="B415" s="68"/>
      <c r="D415" s="68"/>
      <c r="E415" s="69"/>
      <c r="M415" s="68"/>
      <c r="O415" s="68"/>
      <c r="P415" s="68"/>
      <c r="Q415" s="68"/>
      <c r="R415" s="68"/>
      <c r="S415" s="68"/>
    </row>
    <row r="416" spans="1:19" ht="15.75" customHeight="1">
      <c r="A416" s="68"/>
      <c r="B416" s="68"/>
      <c r="D416" s="68"/>
      <c r="E416" s="69"/>
      <c r="M416" s="68"/>
      <c r="O416" s="68"/>
      <c r="P416" s="68"/>
      <c r="Q416" s="68"/>
      <c r="R416" s="68"/>
      <c r="S416" s="68"/>
    </row>
    <row r="417" spans="1:19" ht="15.75" customHeight="1">
      <c r="A417" s="68"/>
      <c r="B417" s="68"/>
      <c r="D417" s="68"/>
      <c r="E417" s="69"/>
      <c r="M417" s="68"/>
      <c r="O417" s="68"/>
      <c r="P417" s="68"/>
      <c r="Q417" s="68"/>
      <c r="R417" s="68"/>
      <c r="S417" s="68"/>
    </row>
    <row r="418" spans="1:19" ht="15.75" customHeight="1">
      <c r="A418" s="68"/>
      <c r="B418" s="68"/>
      <c r="D418" s="68"/>
      <c r="E418" s="69"/>
      <c r="M418" s="68"/>
      <c r="O418" s="68"/>
      <c r="P418" s="68"/>
      <c r="Q418" s="68"/>
      <c r="R418" s="68"/>
      <c r="S418" s="68"/>
    </row>
    <row r="419" spans="1:19" ht="15.75" customHeight="1">
      <c r="A419" s="68"/>
      <c r="B419" s="68"/>
      <c r="D419" s="68"/>
      <c r="E419" s="69"/>
      <c r="M419" s="68"/>
      <c r="O419" s="68"/>
      <c r="P419" s="68"/>
      <c r="Q419" s="68"/>
      <c r="R419" s="68"/>
      <c r="S419" s="68"/>
    </row>
    <row r="420" spans="1:19" ht="15.75" customHeight="1">
      <c r="A420" s="68"/>
      <c r="B420" s="68"/>
      <c r="D420" s="68"/>
      <c r="E420" s="69"/>
      <c r="M420" s="68"/>
      <c r="O420" s="68"/>
      <c r="P420" s="68"/>
      <c r="Q420" s="68"/>
      <c r="R420" s="68"/>
      <c r="S420" s="68"/>
    </row>
    <row r="421" spans="1:19" ht="15.75" customHeight="1">
      <c r="A421" s="68"/>
      <c r="B421" s="68"/>
      <c r="D421" s="68"/>
      <c r="E421" s="69"/>
      <c r="M421" s="68"/>
      <c r="O421" s="68"/>
      <c r="P421" s="68"/>
      <c r="Q421" s="68"/>
      <c r="R421" s="68"/>
      <c r="S421" s="68"/>
    </row>
    <row r="422" spans="1:19" ht="15.75" customHeight="1">
      <c r="A422" s="68"/>
      <c r="B422" s="68"/>
      <c r="D422" s="68"/>
      <c r="E422" s="69"/>
      <c r="M422" s="68"/>
      <c r="O422" s="68"/>
      <c r="P422" s="68"/>
      <c r="Q422" s="68"/>
      <c r="R422" s="68"/>
      <c r="S422" s="68"/>
    </row>
    <row r="423" spans="1:19" ht="15.75" customHeight="1">
      <c r="A423" s="68"/>
      <c r="B423" s="68"/>
      <c r="D423" s="68"/>
      <c r="E423" s="69"/>
      <c r="M423" s="68"/>
      <c r="O423" s="68"/>
      <c r="P423" s="68"/>
      <c r="Q423" s="68"/>
      <c r="R423" s="68"/>
      <c r="S423" s="68"/>
    </row>
    <row r="424" spans="1:19" ht="15.75" customHeight="1">
      <c r="A424" s="68"/>
      <c r="B424" s="68"/>
      <c r="D424" s="68"/>
      <c r="E424" s="69"/>
      <c r="M424" s="68"/>
      <c r="O424" s="68"/>
      <c r="P424" s="68"/>
      <c r="Q424" s="68"/>
      <c r="R424" s="68"/>
      <c r="S424" s="68"/>
    </row>
    <row r="425" spans="1:19" ht="15.75" customHeight="1">
      <c r="A425" s="68"/>
      <c r="B425" s="68"/>
      <c r="D425" s="68"/>
      <c r="E425" s="69"/>
      <c r="M425" s="68"/>
      <c r="O425" s="68"/>
      <c r="P425" s="68"/>
      <c r="Q425" s="68"/>
      <c r="R425" s="68"/>
      <c r="S425" s="68"/>
    </row>
    <row r="426" spans="1:19" ht="15.75" customHeight="1">
      <c r="A426" s="68"/>
      <c r="B426" s="68"/>
      <c r="D426" s="68"/>
      <c r="E426" s="69"/>
      <c r="M426" s="68"/>
      <c r="O426" s="68"/>
      <c r="P426" s="68"/>
      <c r="Q426" s="68"/>
      <c r="R426" s="68"/>
      <c r="S426" s="68"/>
    </row>
    <row r="427" spans="1:19" ht="15.75" customHeight="1">
      <c r="A427" s="68"/>
      <c r="B427" s="68"/>
      <c r="D427" s="68"/>
      <c r="E427" s="69"/>
      <c r="M427" s="68"/>
      <c r="O427" s="68"/>
      <c r="P427" s="68"/>
      <c r="Q427" s="68"/>
      <c r="R427" s="68"/>
      <c r="S427" s="68"/>
    </row>
    <row r="428" spans="1:19" ht="15.75" customHeight="1">
      <c r="A428" s="68"/>
      <c r="B428" s="68"/>
      <c r="D428" s="68"/>
      <c r="E428" s="69"/>
      <c r="M428" s="68"/>
      <c r="O428" s="68"/>
      <c r="P428" s="68"/>
      <c r="Q428" s="68"/>
      <c r="R428" s="68"/>
      <c r="S428" s="68"/>
    </row>
    <row r="429" spans="1:19" ht="15.75" customHeight="1">
      <c r="A429" s="68"/>
      <c r="B429" s="68"/>
      <c r="D429" s="68"/>
      <c r="E429" s="69"/>
      <c r="M429" s="68"/>
      <c r="O429" s="68"/>
      <c r="P429" s="68"/>
      <c r="Q429" s="68"/>
      <c r="R429" s="68"/>
      <c r="S429" s="68"/>
    </row>
    <row r="430" spans="1:19" ht="15.75" customHeight="1">
      <c r="A430" s="68"/>
      <c r="B430" s="68"/>
      <c r="D430" s="68"/>
      <c r="E430" s="69"/>
      <c r="M430" s="68"/>
      <c r="O430" s="68"/>
      <c r="P430" s="68"/>
      <c r="Q430" s="68"/>
      <c r="R430" s="68"/>
      <c r="S430" s="68"/>
    </row>
    <row r="431" spans="1:19" ht="15.75" customHeight="1">
      <c r="A431" s="68"/>
      <c r="B431" s="68"/>
      <c r="D431" s="68"/>
      <c r="E431" s="69"/>
      <c r="M431" s="68"/>
      <c r="O431" s="68"/>
      <c r="P431" s="68"/>
      <c r="Q431" s="68"/>
      <c r="R431" s="68"/>
      <c r="S431" s="68"/>
    </row>
    <row r="432" spans="1:19" ht="15.75" customHeight="1">
      <c r="A432" s="68"/>
      <c r="B432" s="68"/>
      <c r="D432" s="68"/>
      <c r="E432" s="69"/>
      <c r="M432" s="68"/>
      <c r="O432" s="68"/>
      <c r="P432" s="68"/>
      <c r="Q432" s="68"/>
      <c r="R432" s="68"/>
      <c r="S432" s="68"/>
    </row>
    <row r="433" spans="1:19" ht="15.75" customHeight="1">
      <c r="A433" s="68"/>
      <c r="B433" s="68"/>
      <c r="D433" s="68"/>
      <c r="E433" s="69"/>
      <c r="M433" s="68"/>
      <c r="O433" s="68"/>
      <c r="P433" s="68"/>
      <c r="Q433" s="68"/>
      <c r="R433" s="68"/>
      <c r="S433" s="68"/>
    </row>
    <row r="434" spans="1:19" ht="15.75" customHeight="1">
      <c r="A434" s="68"/>
      <c r="B434" s="68"/>
      <c r="D434" s="68"/>
      <c r="E434" s="69"/>
      <c r="M434" s="68"/>
      <c r="O434" s="68"/>
      <c r="P434" s="68"/>
      <c r="Q434" s="68"/>
      <c r="R434" s="68"/>
      <c r="S434" s="68"/>
    </row>
    <row r="435" spans="1:19" ht="15.75" customHeight="1">
      <c r="A435" s="68"/>
      <c r="B435" s="68"/>
      <c r="D435" s="68"/>
      <c r="E435" s="69"/>
      <c r="M435" s="68"/>
      <c r="O435" s="68"/>
      <c r="P435" s="68"/>
      <c r="Q435" s="68"/>
      <c r="R435" s="68"/>
      <c r="S435" s="68"/>
    </row>
    <row r="436" spans="1:19" ht="15.75" customHeight="1">
      <c r="A436" s="68"/>
      <c r="B436" s="68"/>
      <c r="D436" s="68"/>
      <c r="E436" s="69"/>
      <c r="M436" s="68"/>
      <c r="O436" s="68"/>
      <c r="P436" s="68"/>
      <c r="Q436" s="68"/>
      <c r="R436" s="68"/>
      <c r="S436" s="68"/>
    </row>
    <row r="437" spans="1:19" ht="15.75" customHeight="1">
      <c r="A437" s="68"/>
      <c r="B437" s="68"/>
      <c r="D437" s="68"/>
      <c r="E437" s="69"/>
      <c r="M437" s="68"/>
      <c r="O437" s="68"/>
      <c r="P437" s="68"/>
      <c r="Q437" s="68"/>
      <c r="R437" s="68"/>
      <c r="S437" s="68"/>
    </row>
    <row r="438" spans="1:19" ht="15.75" customHeight="1">
      <c r="A438" s="68"/>
      <c r="B438" s="68"/>
      <c r="D438" s="68"/>
      <c r="E438" s="69"/>
      <c r="M438" s="68"/>
      <c r="O438" s="68"/>
      <c r="P438" s="68"/>
      <c r="Q438" s="68"/>
      <c r="R438" s="68"/>
      <c r="S438" s="68"/>
    </row>
    <row r="439" spans="1:19" ht="15.75" customHeight="1">
      <c r="A439" s="68"/>
      <c r="B439" s="68"/>
      <c r="D439" s="68"/>
      <c r="E439" s="69"/>
      <c r="M439" s="68"/>
      <c r="O439" s="68"/>
      <c r="P439" s="68"/>
      <c r="Q439" s="68"/>
      <c r="R439" s="68"/>
      <c r="S439" s="68"/>
    </row>
    <row r="440" spans="1:19" ht="15.75" customHeight="1">
      <c r="A440" s="68"/>
      <c r="B440" s="68"/>
      <c r="D440" s="68"/>
      <c r="E440" s="69"/>
      <c r="M440" s="68"/>
      <c r="O440" s="68"/>
      <c r="P440" s="68"/>
      <c r="Q440" s="68"/>
      <c r="R440" s="68"/>
      <c r="S440" s="68"/>
    </row>
    <row r="441" spans="1:19" ht="15.75" customHeight="1">
      <c r="A441" s="68"/>
      <c r="B441" s="68"/>
      <c r="D441" s="68"/>
      <c r="E441" s="69"/>
      <c r="M441" s="68"/>
      <c r="O441" s="68"/>
      <c r="P441" s="68"/>
      <c r="Q441" s="68"/>
      <c r="R441" s="68"/>
      <c r="S441" s="68"/>
    </row>
    <row r="442" spans="1:19" ht="15.75" customHeight="1">
      <c r="A442" s="68"/>
      <c r="B442" s="68"/>
      <c r="D442" s="68"/>
      <c r="E442" s="69"/>
      <c r="M442" s="68"/>
      <c r="O442" s="68"/>
      <c r="P442" s="68"/>
      <c r="Q442" s="68"/>
      <c r="R442" s="68"/>
      <c r="S442" s="68"/>
    </row>
    <row r="443" spans="1:19" ht="15.75" customHeight="1">
      <c r="A443" s="68"/>
      <c r="B443" s="68"/>
      <c r="D443" s="68"/>
      <c r="E443" s="69"/>
      <c r="M443" s="68"/>
      <c r="O443" s="68"/>
      <c r="P443" s="68"/>
      <c r="Q443" s="68"/>
      <c r="R443" s="68"/>
      <c r="S443" s="68"/>
    </row>
    <row r="444" spans="1:19" ht="15.75" customHeight="1">
      <c r="A444" s="68"/>
      <c r="B444" s="68"/>
      <c r="D444" s="68"/>
      <c r="E444" s="69"/>
      <c r="M444" s="68"/>
      <c r="O444" s="68"/>
      <c r="P444" s="68"/>
      <c r="Q444" s="68"/>
      <c r="R444" s="68"/>
      <c r="S444" s="68"/>
    </row>
    <row r="445" spans="1:19" ht="15.75" customHeight="1">
      <c r="A445" s="68"/>
      <c r="B445" s="68"/>
      <c r="D445" s="68"/>
      <c r="E445" s="69"/>
      <c r="M445" s="68"/>
      <c r="O445" s="68"/>
      <c r="P445" s="68"/>
      <c r="Q445" s="68"/>
      <c r="R445" s="68"/>
      <c r="S445" s="68"/>
    </row>
    <row r="446" spans="1:19" ht="15.75" customHeight="1">
      <c r="A446" s="68"/>
      <c r="B446" s="68"/>
      <c r="D446" s="68"/>
      <c r="E446" s="69"/>
      <c r="M446" s="68"/>
      <c r="O446" s="68"/>
      <c r="P446" s="68"/>
      <c r="Q446" s="68"/>
      <c r="R446" s="68"/>
      <c r="S446" s="68"/>
    </row>
    <row r="447" spans="1:19" ht="15.75" customHeight="1">
      <c r="A447" s="68"/>
      <c r="B447" s="68"/>
      <c r="D447" s="68"/>
      <c r="E447" s="69"/>
      <c r="M447" s="68"/>
      <c r="O447" s="68"/>
      <c r="P447" s="68"/>
      <c r="Q447" s="68"/>
      <c r="R447" s="68"/>
      <c r="S447" s="68"/>
    </row>
    <row r="448" spans="1:19" ht="15.75" customHeight="1">
      <c r="A448" s="68"/>
      <c r="B448" s="68"/>
      <c r="D448" s="68"/>
      <c r="E448" s="69"/>
      <c r="M448" s="68"/>
      <c r="O448" s="68"/>
      <c r="P448" s="68"/>
      <c r="Q448" s="68"/>
      <c r="R448" s="68"/>
      <c r="S448" s="68"/>
    </row>
    <row r="449" spans="1:19" ht="15.75" customHeight="1">
      <c r="A449" s="68"/>
      <c r="B449" s="68"/>
      <c r="D449" s="68"/>
      <c r="E449" s="69"/>
      <c r="M449" s="68"/>
      <c r="O449" s="68"/>
      <c r="P449" s="68"/>
      <c r="Q449" s="68"/>
      <c r="R449" s="68"/>
      <c r="S449" s="68"/>
    </row>
    <row r="450" spans="1:19" ht="15.75" customHeight="1">
      <c r="A450" s="68"/>
      <c r="B450" s="68"/>
      <c r="D450" s="68"/>
      <c r="E450" s="69"/>
      <c r="M450" s="68"/>
      <c r="O450" s="68"/>
      <c r="P450" s="68"/>
      <c r="Q450" s="68"/>
      <c r="R450" s="68"/>
      <c r="S450" s="68"/>
    </row>
    <row r="451" spans="1:19" ht="15.75" customHeight="1">
      <c r="A451" s="68"/>
      <c r="B451" s="68"/>
      <c r="D451" s="68"/>
      <c r="E451" s="69"/>
      <c r="M451" s="68"/>
      <c r="O451" s="68"/>
      <c r="P451" s="68"/>
      <c r="Q451" s="68"/>
      <c r="R451" s="68"/>
      <c r="S451" s="68"/>
    </row>
    <row r="452" spans="1:19" ht="15.75" customHeight="1">
      <c r="A452" s="68"/>
      <c r="B452" s="68"/>
      <c r="D452" s="68"/>
      <c r="E452" s="69"/>
      <c r="M452" s="68"/>
      <c r="O452" s="68"/>
      <c r="P452" s="68"/>
      <c r="Q452" s="68"/>
      <c r="R452" s="68"/>
      <c r="S452" s="68"/>
    </row>
    <row r="453" spans="1:19" ht="15.75" customHeight="1">
      <c r="A453" s="68"/>
      <c r="B453" s="68"/>
      <c r="D453" s="68"/>
      <c r="E453" s="69"/>
      <c r="M453" s="68"/>
      <c r="O453" s="68"/>
      <c r="P453" s="68"/>
      <c r="Q453" s="68"/>
      <c r="R453" s="68"/>
      <c r="S453" s="68"/>
    </row>
    <row r="454" spans="1:19" ht="15.75" customHeight="1">
      <c r="A454" s="68"/>
      <c r="B454" s="68"/>
      <c r="D454" s="68"/>
      <c r="E454" s="69"/>
      <c r="M454" s="68"/>
      <c r="O454" s="68"/>
      <c r="P454" s="68"/>
      <c r="Q454" s="68"/>
      <c r="R454" s="68"/>
      <c r="S454" s="68"/>
    </row>
    <row r="455" spans="1:19" ht="15.75" customHeight="1">
      <c r="A455" s="68"/>
      <c r="B455" s="68"/>
      <c r="D455" s="68"/>
      <c r="E455" s="69"/>
      <c r="M455" s="68"/>
      <c r="O455" s="68"/>
      <c r="P455" s="68"/>
      <c r="Q455" s="68"/>
      <c r="R455" s="68"/>
      <c r="S455" s="68"/>
    </row>
    <row r="456" spans="1:19" ht="15.75" customHeight="1">
      <c r="A456" s="68"/>
      <c r="B456" s="68"/>
      <c r="D456" s="68"/>
      <c r="E456" s="69"/>
      <c r="M456" s="68"/>
      <c r="O456" s="68"/>
      <c r="P456" s="68"/>
      <c r="Q456" s="68"/>
      <c r="R456" s="68"/>
      <c r="S456" s="68"/>
    </row>
    <row r="457" spans="1:19" ht="15.75" customHeight="1">
      <c r="A457" s="68"/>
      <c r="B457" s="68"/>
      <c r="D457" s="68"/>
      <c r="E457" s="69"/>
      <c r="M457" s="68"/>
      <c r="O457" s="68"/>
      <c r="P457" s="68"/>
      <c r="Q457" s="68"/>
      <c r="R457" s="68"/>
      <c r="S457" s="68"/>
    </row>
    <row r="458" spans="1:19" ht="15.75" customHeight="1">
      <c r="A458" s="68"/>
      <c r="B458" s="68"/>
      <c r="D458" s="68"/>
      <c r="E458" s="69"/>
      <c r="M458" s="68"/>
      <c r="O458" s="68"/>
      <c r="P458" s="68"/>
      <c r="Q458" s="68"/>
      <c r="R458" s="68"/>
      <c r="S458" s="68"/>
    </row>
    <row r="459" spans="1:19" ht="15.75" customHeight="1">
      <c r="A459" s="68"/>
      <c r="B459" s="68"/>
      <c r="D459" s="68"/>
      <c r="E459" s="69"/>
      <c r="M459" s="68"/>
      <c r="O459" s="68"/>
      <c r="P459" s="68"/>
      <c r="Q459" s="68"/>
      <c r="R459" s="68"/>
      <c r="S459" s="68"/>
    </row>
    <row r="460" spans="1:19" ht="15.75" customHeight="1">
      <c r="A460" s="68"/>
      <c r="B460" s="68"/>
      <c r="D460" s="68"/>
      <c r="E460" s="69"/>
      <c r="M460" s="68"/>
      <c r="O460" s="68"/>
      <c r="P460" s="68"/>
      <c r="Q460" s="68"/>
      <c r="R460" s="68"/>
      <c r="S460" s="68"/>
    </row>
    <row r="461" spans="1:19" ht="15.75" customHeight="1">
      <c r="A461" s="68"/>
      <c r="B461" s="68"/>
      <c r="D461" s="68"/>
      <c r="E461" s="69"/>
      <c r="M461" s="68"/>
      <c r="O461" s="68"/>
      <c r="P461" s="68"/>
      <c r="Q461" s="68"/>
      <c r="R461" s="68"/>
      <c r="S461" s="68"/>
    </row>
    <row r="462" spans="1:19" ht="15.75" customHeight="1">
      <c r="A462" s="68"/>
      <c r="B462" s="68"/>
      <c r="D462" s="68"/>
      <c r="E462" s="69"/>
      <c r="M462" s="68"/>
      <c r="O462" s="68"/>
      <c r="P462" s="68"/>
      <c r="Q462" s="68"/>
      <c r="R462" s="68"/>
      <c r="S462" s="68"/>
    </row>
    <row r="463" spans="1:19" ht="15.75" customHeight="1">
      <c r="A463" s="68"/>
      <c r="B463" s="68"/>
      <c r="D463" s="68"/>
      <c r="E463" s="69"/>
      <c r="M463" s="68"/>
      <c r="O463" s="68"/>
      <c r="P463" s="68"/>
      <c r="Q463" s="68"/>
      <c r="R463" s="68"/>
      <c r="S463" s="68"/>
    </row>
    <row r="464" spans="1:19" ht="15.75" customHeight="1">
      <c r="A464" s="68"/>
      <c r="B464" s="68"/>
      <c r="D464" s="68"/>
      <c r="E464" s="69"/>
      <c r="M464" s="68"/>
      <c r="O464" s="68"/>
      <c r="P464" s="68"/>
      <c r="Q464" s="68"/>
      <c r="R464" s="68"/>
      <c r="S464" s="68"/>
    </row>
    <row r="465" spans="1:19" ht="15.75" customHeight="1">
      <c r="A465" s="68"/>
      <c r="B465" s="68"/>
      <c r="D465" s="68"/>
      <c r="E465" s="69"/>
      <c r="M465" s="68"/>
      <c r="O465" s="68"/>
      <c r="P465" s="68"/>
      <c r="Q465" s="68"/>
      <c r="R465" s="68"/>
      <c r="S465" s="68"/>
    </row>
    <row r="466" spans="1:19" ht="15.75" customHeight="1">
      <c r="A466" s="68"/>
      <c r="B466" s="68"/>
      <c r="D466" s="68"/>
      <c r="E466" s="69"/>
      <c r="M466" s="68"/>
      <c r="O466" s="68"/>
      <c r="P466" s="68"/>
      <c r="Q466" s="68"/>
      <c r="R466" s="68"/>
      <c r="S466" s="68"/>
    </row>
    <row r="467" spans="1:19" ht="15.75" customHeight="1">
      <c r="A467" s="68"/>
      <c r="B467" s="68"/>
      <c r="D467" s="68"/>
      <c r="E467" s="69"/>
      <c r="M467" s="68"/>
      <c r="O467" s="68"/>
      <c r="P467" s="68"/>
      <c r="Q467" s="68"/>
      <c r="R467" s="68"/>
      <c r="S467" s="68"/>
    </row>
    <row r="468" spans="1:19" ht="15.75" customHeight="1">
      <c r="A468" s="68"/>
      <c r="B468" s="68"/>
      <c r="D468" s="68"/>
      <c r="E468" s="69"/>
      <c r="M468" s="68"/>
      <c r="O468" s="68"/>
      <c r="P468" s="68"/>
      <c r="Q468" s="68"/>
      <c r="R468" s="68"/>
      <c r="S468" s="68"/>
    </row>
    <row r="469" spans="1:19" ht="15.75" customHeight="1">
      <c r="A469" s="68"/>
      <c r="B469" s="68"/>
      <c r="D469" s="68"/>
      <c r="E469" s="69"/>
      <c r="M469" s="68"/>
      <c r="O469" s="68"/>
      <c r="P469" s="68"/>
      <c r="Q469" s="68"/>
      <c r="R469" s="68"/>
      <c r="S469" s="68"/>
    </row>
    <row r="470" spans="1:19" ht="15.75" customHeight="1">
      <c r="A470" s="68"/>
      <c r="B470" s="68"/>
      <c r="D470" s="68"/>
      <c r="E470" s="69"/>
      <c r="M470" s="68"/>
      <c r="O470" s="68"/>
      <c r="P470" s="68"/>
      <c r="Q470" s="68"/>
      <c r="R470" s="68"/>
      <c r="S470" s="68"/>
    </row>
    <row r="471" spans="1:19" ht="15.75" customHeight="1">
      <c r="A471" s="68"/>
      <c r="B471" s="68"/>
      <c r="D471" s="68"/>
      <c r="E471" s="69"/>
      <c r="M471" s="68"/>
      <c r="O471" s="68"/>
      <c r="P471" s="68"/>
      <c r="Q471" s="68"/>
      <c r="R471" s="68"/>
      <c r="S471" s="68"/>
    </row>
    <row r="472" spans="1:19" ht="15.75" customHeight="1">
      <c r="A472" s="68"/>
      <c r="B472" s="68"/>
      <c r="D472" s="68"/>
      <c r="E472" s="69"/>
      <c r="M472" s="68"/>
      <c r="O472" s="68"/>
      <c r="P472" s="68"/>
      <c r="Q472" s="68"/>
      <c r="R472" s="68"/>
      <c r="S472" s="68"/>
    </row>
    <row r="473" spans="1:19" ht="15.75" customHeight="1">
      <c r="A473" s="68"/>
      <c r="B473" s="68"/>
      <c r="D473" s="68"/>
      <c r="E473" s="69"/>
      <c r="M473" s="68"/>
      <c r="O473" s="68"/>
      <c r="P473" s="68"/>
      <c r="Q473" s="68"/>
      <c r="R473" s="68"/>
      <c r="S473" s="68"/>
    </row>
    <row r="474" spans="1:19" ht="15.75" customHeight="1">
      <c r="A474" s="68"/>
      <c r="B474" s="68"/>
      <c r="D474" s="68"/>
      <c r="E474" s="69"/>
      <c r="M474" s="68"/>
      <c r="O474" s="68"/>
      <c r="P474" s="68"/>
      <c r="Q474" s="68"/>
      <c r="R474" s="68"/>
      <c r="S474" s="68"/>
    </row>
    <row r="475" spans="1:19" ht="15.75" customHeight="1">
      <c r="A475" s="68"/>
      <c r="B475" s="68"/>
      <c r="D475" s="68"/>
      <c r="E475" s="69"/>
      <c r="M475" s="68"/>
      <c r="O475" s="68"/>
      <c r="P475" s="68"/>
      <c r="Q475" s="68"/>
      <c r="R475" s="68"/>
      <c r="S475" s="68"/>
    </row>
    <row r="476" spans="1:19" ht="15.75" customHeight="1">
      <c r="A476" s="68"/>
      <c r="B476" s="68"/>
      <c r="D476" s="68"/>
      <c r="E476" s="69"/>
      <c r="M476" s="68"/>
      <c r="O476" s="68"/>
      <c r="P476" s="68"/>
      <c r="Q476" s="68"/>
      <c r="R476" s="68"/>
      <c r="S476" s="68"/>
    </row>
    <row r="477" spans="1:19" ht="15.75" customHeight="1">
      <c r="A477" s="68"/>
      <c r="B477" s="68"/>
      <c r="D477" s="68"/>
      <c r="E477" s="69"/>
      <c r="M477" s="68"/>
      <c r="O477" s="68"/>
      <c r="P477" s="68"/>
      <c r="Q477" s="68"/>
      <c r="R477" s="68"/>
      <c r="S477" s="68"/>
    </row>
    <row r="478" spans="1:19" ht="15.75" customHeight="1">
      <c r="A478" s="68"/>
      <c r="B478" s="68"/>
      <c r="D478" s="68"/>
      <c r="E478" s="69"/>
      <c r="M478" s="68"/>
      <c r="O478" s="68"/>
      <c r="P478" s="68"/>
      <c r="Q478" s="68"/>
      <c r="R478" s="68"/>
      <c r="S478" s="68"/>
    </row>
    <row r="479" spans="1:19" ht="15.75" customHeight="1">
      <c r="A479" s="68"/>
      <c r="B479" s="68"/>
      <c r="D479" s="68"/>
      <c r="E479" s="69"/>
      <c r="M479" s="68"/>
      <c r="O479" s="68"/>
      <c r="P479" s="68"/>
      <c r="Q479" s="68"/>
      <c r="R479" s="68"/>
      <c r="S479" s="68"/>
    </row>
    <row r="480" spans="1:19" ht="15.75" customHeight="1">
      <c r="A480" s="68"/>
      <c r="B480" s="68"/>
      <c r="D480" s="68"/>
      <c r="E480" s="69"/>
      <c r="M480" s="68"/>
      <c r="O480" s="68"/>
      <c r="P480" s="68"/>
      <c r="Q480" s="68"/>
      <c r="R480" s="68"/>
      <c r="S480" s="68"/>
    </row>
    <row r="481" spans="1:19" ht="15.75" customHeight="1">
      <c r="A481" s="68"/>
      <c r="B481" s="68"/>
      <c r="D481" s="68"/>
      <c r="E481" s="69"/>
      <c r="M481" s="68"/>
      <c r="O481" s="68"/>
      <c r="P481" s="68"/>
      <c r="Q481" s="68"/>
      <c r="R481" s="68"/>
      <c r="S481" s="68"/>
    </row>
    <row r="482" spans="1:19" ht="15.75" customHeight="1">
      <c r="A482" s="68"/>
      <c r="B482" s="68"/>
      <c r="D482" s="68"/>
      <c r="E482" s="69"/>
      <c r="M482" s="68"/>
      <c r="O482" s="68"/>
      <c r="P482" s="68"/>
      <c r="Q482" s="68"/>
      <c r="R482" s="68"/>
      <c r="S482" s="68"/>
    </row>
    <row r="483" spans="1:19" ht="15.75" customHeight="1">
      <c r="A483" s="68"/>
      <c r="B483" s="68"/>
      <c r="D483" s="68"/>
      <c r="E483" s="69"/>
      <c r="M483" s="68"/>
      <c r="O483" s="68"/>
      <c r="P483" s="68"/>
      <c r="Q483" s="68"/>
      <c r="R483" s="68"/>
      <c r="S483" s="68"/>
    </row>
    <row r="484" spans="1:19" ht="15.75" customHeight="1">
      <c r="A484" s="68"/>
      <c r="B484" s="68"/>
      <c r="D484" s="68"/>
      <c r="E484" s="69"/>
      <c r="M484" s="68"/>
      <c r="O484" s="68"/>
      <c r="P484" s="68"/>
      <c r="Q484" s="68"/>
      <c r="R484" s="68"/>
      <c r="S484" s="68"/>
    </row>
    <row r="485" spans="1:19" ht="15.75" customHeight="1">
      <c r="A485" s="68"/>
      <c r="B485" s="68"/>
      <c r="D485" s="68"/>
      <c r="E485" s="69"/>
      <c r="M485" s="68"/>
      <c r="O485" s="68"/>
      <c r="P485" s="68"/>
      <c r="Q485" s="68"/>
      <c r="R485" s="68"/>
      <c r="S485" s="68"/>
    </row>
    <row r="486" spans="1:19" ht="15.75" customHeight="1">
      <c r="A486" s="68"/>
      <c r="B486" s="68"/>
      <c r="D486" s="68"/>
      <c r="E486" s="69"/>
      <c r="M486" s="68"/>
      <c r="O486" s="68"/>
      <c r="P486" s="68"/>
      <c r="Q486" s="68"/>
      <c r="R486" s="68"/>
      <c r="S486" s="68"/>
    </row>
    <row r="487" spans="1:19" ht="15.75" customHeight="1">
      <c r="A487" s="68"/>
      <c r="B487" s="68"/>
      <c r="D487" s="68"/>
      <c r="E487" s="69"/>
      <c r="M487" s="68"/>
      <c r="O487" s="68"/>
      <c r="P487" s="68"/>
      <c r="Q487" s="68"/>
      <c r="R487" s="68"/>
      <c r="S487" s="68"/>
    </row>
    <row r="488" spans="1:19" ht="15.75" customHeight="1">
      <c r="A488" s="68"/>
      <c r="B488" s="68"/>
      <c r="D488" s="68"/>
      <c r="E488" s="69"/>
      <c r="M488" s="68"/>
      <c r="O488" s="68"/>
      <c r="P488" s="68"/>
      <c r="Q488" s="68"/>
      <c r="R488" s="68"/>
      <c r="S488" s="68"/>
    </row>
    <row r="489" spans="1:19" ht="15.75" customHeight="1">
      <c r="A489" s="68"/>
      <c r="B489" s="68"/>
      <c r="D489" s="68"/>
      <c r="E489" s="69"/>
      <c r="M489" s="68"/>
      <c r="O489" s="68"/>
      <c r="P489" s="68"/>
      <c r="Q489" s="68"/>
      <c r="R489" s="68"/>
      <c r="S489" s="68"/>
    </row>
    <row r="490" spans="1:19" ht="15.75" customHeight="1">
      <c r="A490" s="68"/>
      <c r="B490" s="68"/>
      <c r="D490" s="68"/>
      <c r="E490" s="69"/>
      <c r="M490" s="68"/>
      <c r="O490" s="68"/>
      <c r="P490" s="68"/>
      <c r="Q490" s="68"/>
      <c r="R490" s="68"/>
      <c r="S490" s="68"/>
    </row>
    <row r="491" spans="1:19" ht="15.75" customHeight="1">
      <c r="A491" s="68"/>
      <c r="B491" s="68"/>
      <c r="D491" s="68"/>
      <c r="E491" s="69"/>
      <c r="M491" s="68"/>
      <c r="O491" s="68"/>
      <c r="P491" s="68"/>
      <c r="Q491" s="68"/>
      <c r="R491" s="68"/>
      <c r="S491" s="68"/>
    </row>
    <row r="492" spans="1:19" ht="15.75" customHeight="1">
      <c r="A492" s="68"/>
      <c r="B492" s="68"/>
      <c r="D492" s="68"/>
      <c r="E492" s="69"/>
      <c r="M492" s="68"/>
      <c r="O492" s="68"/>
      <c r="P492" s="68"/>
      <c r="Q492" s="68"/>
      <c r="R492" s="68"/>
      <c r="S492" s="68"/>
    </row>
    <row r="493" spans="1:19" ht="15.75" customHeight="1">
      <c r="A493" s="68"/>
      <c r="B493" s="68"/>
      <c r="D493" s="68"/>
      <c r="E493" s="69"/>
      <c r="M493" s="68"/>
      <c r="O493" s="68"/>
      <c r="P493" s="68"/>
      <c r="Q493" s="68"/>
      <c r="R493" s="68"/>
      <c r="S493" s="68"/>
    </row>
    <row r="494" spans="1:19" ht="15.75" customHeight="1">
      <c r="A494" s="68"/>
      <c r="B494" s="68"/>
      <c r="D494" s="68"/>
      <c r="E494" s="69"/>
      <c r="M494" s="68"/>
      <c r="O494" s="68"/>
      <c r="P494" s="68"/>
      <c r="Q494" s="68"/>
      <c r="R494" s="68"/>
      <c r="S494" s="68"/>
    </row>
    <row r="495" spans="1:19" ht="15.75" customHeight="1">
      <c r="A495" s="68"/>
      <c r="B495" s="68"/>
      <c r="D495" s="68"/>
      <c r="E495" s="69"/>
      <c r="M495" s="68"/>
      <c r="O495" s="68"/>
      <c r="P495" s="68"/>
      <c r="Q495" s="68"/>
      <c r="R495" s="68"/>
      <c r="S495" s="68"/>
    </row>
    <row r="496" spans="1:19" ht="15.75" customHeight="1">
      <c r="A496" s="68"/>
      <c r="B496" s="68"/>
      <c r="D496" s="68"/>
      <c r="E496" s="69"/>
      <c r="M496" s="68"/>
      <c r="O496" s="68"/>
      <c r="P496" s="68"/>
      <c r="Q496" s="68"/>
      <c r="R496" s="68"/>
      <c r="S496" s="68"/>
    </row>
    <row r="497" spans="1:19" ht="15.75" customHeight="1">
      <c r="A497" s="68"/>
      <c r="B497" s="68"/>
      <c r="D497" s="68"/>
      <c r="E497" s="69"/>
      <c r="M497" s="68"/>
      <c r="O497" s="68"/>
      <c r="P497" s="68"/>
      <c r="Q497" s="68"/>
      <c r="R497" s="68"/>
      <c r="S497" s="68"/>
    </row>
    <row r="498" spans="1:19" ht="15.75" customHeight="1">
      <c r="A498" s="68"/>
      <c r="B498" s="68"/>
      <c r="D498" s="68"/>
      <c r="E498" s="69"/>
      <c r="M498" s="68"/>
      <c r="O498" s="68"/>
      <c r="P498" s="68"/>
      <c r="Q498" s="68"/>
      <c r="R498" s="68"/>
      <c r="S498" s="68"/>
    </row>
    <row r="499" spans="1:19" ht="15.75" customHeight="1">
      <c r="A499" s="68"/>
      <c r="B499" s="68"/>
      <c r="D499" s="68"/>
      <c r="E499" s="69"/>
      <c r="M499" s="68"/>
      <c r="O499" s="68"/>
      <c r="P499" s="68"/>
      <c r="Q499" s="68"/>
      <c r="R499" s="68"/>
      <c r="S499" s="68"/>
    </row>
    <row r="500" spans="1:19" ht="15.75" customHeight="1">
      <c r="A500" s="68"/>
      <c r="B500" s="68"/>
      <c r="D500" s="68"/>
      <c r="E500" s="69"/>
      <c r="M500" s="68"/>
      <c r="O500" s="68"/>
      <c r="P500" s="68"/>
      <c r="Q500" s="68"/>
      <c r="R500" s="68"/>
      <c r="S500" s="68"/>
    </row>
    <row r="501" spans="1:19" ht="15.75" customHeight="1">
      <c r="A501" s="68"/>
      <c r="B501" s="68"/>
      <c r="D501" s="68"/>
      <c r="E501" s="69"/>
      <c r="M501" s="68"/>
      <c r="O501" s="68"/>
      <c r="P501" s="68"/>
      <c r="Q501" s="68"/>
      <c r="R501" s="68"/>
      <c r="S501" s="68"/>
    </row>
    <row r="502" spans="1:19" ht="15.75" customHeight="1">
      <c r="A502" s="68"/>
      <c r="B502" s="68"/>
      <c r="D502" s="68"/>
      <c r="E502" s="69"/>
      <c r="M502" s="68"/>
      <c r="O502" s="68"/>
      <c r="P502" s="68"/>
      <c r="Q502" s="68"/>
      <c r="R502" s="68"/>
      <c r="S502" s="68"/>
    </row>
    <row r="503" spans="1:19" ht="15.75" customHeight="1">
      <c r="A503" s="68"/>
      <c r="B503" s="68"/>
      <c r="D503" s="68"/>
      <c r="E503" s="69"/>
      <c r="M503" s="68"/>
      <c r="O503" s="68"/>
      <c r="P503" s="68"/>
      <c r="Q503" s="68"/>
      <c r="R503" s="68"/>
      <c r="S503" s="68"/>
    </row>
    <row r="504" spans="1:19" ht="15.75" customHeight="1">
      <c r="A504" s="68"/>
      <c r="B504" s="68"/>
      <c r="D504" s="68"/>
      <c r="E504" s="69"/>
      <c r="M504" s="68"/>
      <c r="O504" s="68"/>
      <c r="P504" s="68"/>
      <c r="Q504" s="68"/>
      <c r="R504" s="68"/>
      <c r="S504" s="68"/>
    </row>
    <row r="505" spans="1:19" ht="15.75" customHeight="1">
      <c r="A505" s="68"/>
      <c r="B505" s="68"/>
      <c r="D505" s="68"/>
      <c r="E505" s="69"/>
      <c r="M505" s="68"/>
      <c r="O505" s="68"/>
      <c r="P505" s="68"/>
      <c r="Q505" s="68"/>
      <c r="R505" s="68"/>
      <c r="S505" s="68"/>
    </row>
    <row r="506" spans="1:19" ht="15.75" customHeight="1">
      <c r="A506" s="68"/>
      <c r="B506" s="68"/>
      <c r="D506" s="68"/>
      <c r="E506" s="69"/>
      <c r="M506" s="68"/>
      <c r="O506" s="68"/>
      <c r="P506" s="68"/>
      <c r="Q506" s="68"/>
      <c r="R506" s="68"/>
      <c r="S506" s="68"/>
    </row>
    <row r="507" spans="1:19" ht="15.75" customHeight="1">
      <c r="A507" s="68"/>
      <c r="B507" s="68"/>
      <c r="D507" s="68"/>
      <c r="E507" s="69"/>
      <c r="M507" s="68"/>
      <c r="O507" s="68"/>
      <c r="P507" s="68"/>
      <c r="Q507" s="68"/>
      <c r="R507" s="68"/>
      <c r="S507" s="68"/>
    </row>
    <row r="508" spans="1:19" ht="15.75" customHeight="1">
      <c r="A508" s="68"/>
      <c r="B508" s="68"/>
      <c r="D508" s="68"/>
      <c r="E508" s="69"/>
      <c r="M508" s="68"/>
      <c r="O508" s="68"/>
      <c r="P508" s="68"/>
      <c r="Q508" s="68"/>
      <c r="R508" s="68"/>
      <c r="S508" s="68"/>
    </row>
    <row r="509" spans="1:19" ht="15.75" customHeight="1">
      <c r="A509" s="68"/>
      <c r="B509" s="68"/>
      <c r="D509" s="68"/>
      <c r="E509" s="69"/>
      <c r="M509" s="68"/>
      <c r="O509" s="68"/>
      <c r="P509" s="68"/>
      <c r="Q509" s="68"/>
      <c r="R509" s="68"/>
      <c r="S509" s="68"/>
    </row>
    <row r="510" spans="1:19" ht="15.75" customHeight="1">
      <c r="A510" s="68"/>
      <c r="B510" s="68"/>
      <c r="D510" s="68"/>
      <c r="E510" s="69"/>
      <c r="M510" s="68"/>
      <c r="O510" s="68"/>
      <c r="P510" s="68"/>
      <c r="Q510" s="68"/>
      <c r="R510" s="68"/>
      <c r="S510" s="68"/>
    </row>
    <row r="511" spans="1:19" ht="15.75" customHeight="1">
      <c r="A511" s="68"/>
      <c r="B511" s="68"/>
      <c r="D511" s="68"/>
      <c r="E511" s="69"/>
      <c r="M511" s="68"/>
      <c r="O511" s="68"/>
      <c r="P511" s="68"/>
      <c r="Q511" s="68"/>
      <c r="R511" s="68"/>
      <c r="S511" s="68"/>
    </row>
    <row r="512" spans="1:19" ht="15.75" customHeight="1">
      <c r="A512" s="68"/>
      <c r="B512" s="68"/>
      <c r="D512" s="68"/>
      <c r="E512" s="69"/>
      <c r="M512" s="68"/>
      <c r="O512" s="68"/>
      <c r="P512" s="68"/>
      <c r="Q512" s="68"/>
      <c r="R512" s="68"/>
      <c r="S512" s="68"/>
    </row>
    <row r="513" spans="1:19" ht="15.75" customHeight="1">
      <c r="A513" s="68"/>
      <c r="B513" s="68"/>
      <c r="D513" s="68"/>
      <c r="E513" s="69"/>
      <c r="M513" s="68"/>
      <c r="O513" s="68"/>
      <c r="P513" s="68"/>
      <c r="Q513" s="68"/>
      <c r="R513" s="68"/>
      <c r="S513" s="68"/>
    </row>
    <row r="514" spans="1:19" ht="15.75" customHeight="1">
      <c r="A514" s="68"/>
      <c r="B514" s="68"/>
      <c r="D514" s="68"/>
      <c r="E514" s="69"/>
      <c r="M514" s="68"/>
      <c r="O514" s="68"/>
      <c r="P514" s="68"/>
      <c r="Q514" s="68"/>
      <c r="R514" s="68"/>
      <c r="S514" s="68"/>
    </row>
    <row r="515" spans="1:19" ht="15.75" customHeight="1">
      <c r="A515" s="68"/>
      <c r="B515" s="68"/>
      <c r="D515" s="68"/>
      <c r="E515" s="69"/>
      <c r="M515" s="68"/>
      <c r="O515" s="68"/>
      <c r="P515" s="68"/>
      <c r="Q515" s="68"/>
      <c r="R515" s="68"/>
      <c r="S515" s="68"/>
    </row>
    <row r="516" spans="1:19" ht="15.75" customHeight="1">
      <c r="A516" s="68"/>
      <c r="B516" s="68"/>
      <c r="D516" s="68"/>
      <c r="E516" s="69"/>
      <c r="M516" s="68"/>
      <c r="O516" s="68"/>
      <c r="P516" s="68"/>
      <c r="Q516" s="68"/>
      <c r="R516" s="68"/>
      <c r="S516" s="68"/>
    </row>
    <row r="517" spans="1:19" ht="15.75" customHeight="1">
      <c r="A517" s="68"/>
      <c r="B517" s="68"/>
      <c r="D517" s="68"/>
      <c r="E517" s="69"/>
      <c r="M517" s="68"/>
      <c r="O517" s="68"/>
      <c r="P517" s="68"/>
      <c r="Q517" s="68"/>
      <c r="R517" s="68"/>
      <c r="S517" s="68"/>
    </row>
    <row r="518" spans="1:19" ht="15.75" customHeight="1">
      <c r="A518" s="68"/>
      <c r="B518" s="68"/>
      <c r="D518" s="68"/>
      <c r="E518" s="69"/>
      <c r="M518" s="68"/>
      <c r="O518" s="68"/>
      <c r="P518" s="68"/>
      <c r="Q518" s="68"/>
      <c r="R518" s="68"/>
      <c r="S518" s="68"/>
    </row>
    <row r="519" spans="1:19" ht="15.75" customHeight="1">
      <c r="A519" s="68"/>
      <c r="B519" s="68"/>
      <c r="D519" s="68"/>
      <c r="E519" s="69"/>
      <c r="M519" s="68"/>
      <c r="O519" s="68"/>
      <c r="P519" s="68"/>
      <c r="Q519" s="68"/>
      <c r="R519" s="68"/>
      <c r="S519" s="68"/>
    </row>
    <row r="520" spans="1:19" ht="15.75" customHeight="1">
      <c r="A520" s="68"/>
      <c r="B520" s="68"/>
      <c r="D520" s="68"/>
      <c r="E520" s="69"/>
      <c r="M520" s="68"/>
      <c r="O520" s="68"/>
      <c r="P520" s="68"/>
      <c r="Q520" s="68"/>
      <c r="R520" s="68"/>
      <c r="S520" s="68"/>
    </row>
    <row r="521" spans="1:19" ht="15.75" customHeight="1">
      <c r="A521" s="68"/>
      <c r="B521" s="68"/>
      <c r="D521" s="68"/>
      <c r="E521" s="69"/>
      <c r="M521" s="68"/>
      <c r="O521" s="68"/>
      <c r="P521" s="68"/>
      <c r="Q521" s="68"/>
      <c r="R521" s="68"/>
      <c r="S521" s="68"/>
    </row>
    <row r="522" spans="1:19" ht="15.75" customHeight="1">
      <c r="A522" s="68"/>
      <c r="B522" s="68"/>
      <c r="D522" s="68"/>
      <c r="E522" s="69"/>
      <c r="M522" s="68"/>
      <c r="O522" s="68"/>
      <c r="P522" s="68"/>
      <c r="Q522" s="68"/>
      <c r="R522" s="68"/>
      <c r="S522" s="68"/>
    </row>
    <row r="523" spans="1:19" ht="15.75" customHeight="1">
      <c r="A523" s="68"/>
      <c r="B523" s="68"/>
      <c r="D523" s="68"/>
      <c r="E523" s="69"/>
      <c r="M523" s="68"/>
      <c r="O523" s="68"/>
      <c r="P523" s="68"/>
      <c r="Q523" s="68"/>
      <c r="R523" s="68"/>
      <c r="S523" s="68"/>
    </row>
    <row r="524" spans="1:19" ht="15.75" customHeight="1">
      <c r="A524" s="68"/>
      <c r="B524" s="68"/>
      <c r="D524" s="68"/>
      <c r="E524" s="69"/>
      <c r="M524" s="68"/>
      <c r="O524" s="68"/>
      <c r="P524" s="68"/>
      <c r="Q524" s="68"/>
      <c r="R524" s="68"/>
      <c r="S524" s="68"/>
    </row>
    <row r="525" spans="1:19" ht="15.75" customHeight="1">
      <c r="A525" s="68"/>
      <c r="B525" s="68"/>
      <c r="D525" s="68"/>
      <c r="E525" s="69"/>
      <c r="M525" s="68"/>
      <c r="O525" s="68"/>
      <c r="P525" s="68"/>
      <c r="Q525" s="68"/>
      <c r="R525" s="68"/>
      <c r="S525" s="68"/>
    </row>
    <row r="526" spans="1:19" ht="15.75" customHeight="1">
      <c r="A526" s="68"/>
      <c r="B526" s="68"/>
      <c r="D526" s="68"/>
      <c r="E526" s="69"/>
      <c r="M526" s="68"/>
      <c r="O526" s="68"/>
      <c r="P526" s="68"/>
      <c r="Q526" s="68"/>
      <c r="R526" s="68"/>
      <c r="S526" s="68"/>
    </row>
    <row r="527" spans="1:19" ht="15.75" customHeight="1">
      <c r="A527" s="68"/>
      <c r="B527" s="68"/>
      <c r="D527" s="68"/>
      <c r="E527" s="69"/>
      <c r="M527" s="68"/>
      <c r="O527" s="68"/>
      <c r="P527" s="68"/>
      <c r="Q527" s="68"/>
      <c r="R527" s="68"/>
      <c r="S527" s="68"/>
    </row>
    <row r="528" spans="1:19" ht="15.75" customHeight="1">
      <c r="A528" s="68"/>
      <c r="B528" s="68"/>
      <c r="D528" s="68"/>
      <c r="E528" s="69"/>
      <c r="M528" s="68"/>
      <c r="O528" s="68"/>
      <c r="P528" s="68"/>
      <c r="Q528" s="68"/>
      <c r="R528" s="68"/>
      <c r="S528" s="68"/>
    </row>
    <row r="529" spans="1:19" ht="15.75" customHeight="1">
      <c r="A529" s="68"/>
      <c r="B529" s="68"/>
      <c r="D529" s="68"/>
      <c r="E529" s="69"/>
      <c r="M529" s="68"/>
      <c r="O529" s="68"/>
      <c r="P529" s="68"/>
      <c r="Q529" s="68"/>
      <c r="R529" s="68"/>
      <c r="S529" s="68"/>
    </row>
    <row r="530" spans="1:19" ht="15.75" customHeight="1">
      <c r="A530" s="68"/>
      <c r="B530" s="68"/>
      <c r="D530" s="68"/>
      <c r="E530" s="69"/>
      <c r="M530" s="68"/>
      <c r="O530" s="68"/>
      <c r="P530" s="68"/>
      <c r="Q530" s="68"/>
      <c r="R530" s="68"/>
      <c r="S530" s="68"/>
    </row>
    <row r="531" spans="1:19" ht="15.75" customHeight="1">
      <c r="A531" s="68"/>
      <c r="B531" s="68"/>
      <c r="D531" s="68"/>
      <c r="E531" s="69"/>
      <c r="M531" s="68"/>
      <c r="O531" s="68"/>
      <c r="P531" s="68"/>
      <c r="Q531" s="68"/>
      <c r="R531" s="68"/>
      <c r="S531" s="68"/>
    </row>
    <row r="532" spans="1:19" ht="15.75" customHeight="1">
      <c r="A532" s="68"/>
      <c r="B532" s="68"/>
      <c r="D532" s="68"/>
      <c r="E532" s="69"/>
      <c r="M532" s="68"/>
      <c r="O532" s="68"/>
      <c r="P532" s="68"/>
      <c r="Q532" s="68"/>
      <c r="R532" s="68"/>
      <c r="S532" s="68"/>
    </row>
    <row r="533" spans="1:19" ht="15.75" customHeight="1">
      <c r="A533" s="68"/>
      <c r="B533" s="68"/>
      <c r="D533" s="68"/>
      <c r="E533" s="69"/>
      <c r="M533" s="68"/>
      <c r="O533" s="68"/>
      <c r="P533" s="68"/>
      <c r="Q533" s="68"/>
      <c r="R533" s="68"/>
      <c r="S533" s="68"/>
    </row>
    <row r="534" spans="1:19" ht="15.75" customHeight="1">
      <c r="A534" s="68"/>
      <c r="B534" s="68"/>
      <c r="D534" s="68"/>
      <c r="E534" s="69"/>
      <c r="M534" s="68"/>
      <c r="O534" s="68"/>
      <c r="P534" s="68"/>
      <c r="Q534" s="68"/>
      <c r="R534" s="68"/>
      <c r="S534" s="68"/>
    </row>
    <row r="535" spans="1:19" ht="15.75" customHeight="1">
      <c r="A535" s="68"/>
      <c r="B535" s="68"/>
      <c r="D535" s="68"/>
      <c r="E535" s="69"/>
      <c r="M535" s="68"/>
      <c r="O535" s="68"/>
      <c r="P535" s="68"/>
      <c r="Q535" s="68"/>
      <c r="R535" s="68"/>
      <c r="S535" s="68"/>
    </row>
    <row r="536" spans="1:19" ht="15.75" customHeight="1">
      <c r="A536" s="68"/>
      <c r="B536" s="68"/>
      <c r="D536" s="68"/>
      <c r="E536" s="69"/>
      <c r="M536" s="68"/>
      <c r="O536" s="68"/>
      <c r="P536" s="68"/>
      <c r="Q536" s="68"/>
      <c r="R536" s="68"/>
      <c r="S536" s="68"/>
    </row>
    <row r="537" spans="1:19" ht="15.75" customHeight="1">
      <c r="A537" s="68"/>
      <c r="B537" s="68"/>
      <c r="D537" s="68"/>
      <c r="E537" s="69"/>
      <c r="M537" s="68"/>
      <c r="O537" s="68"/>
      <c r="P537" s="68"/>
      <c r="Q537" s="68"/>
      <c r="R537" s="68"/>
      <c r="S537" s="68"/>
    </row>
    <row r="538" spans="1:19" ht="15.75" customHeight="1">
      <c r="A538" s="68"/>
      <c r="B538" s="68"/>
      <c r="D538" s="68"/>
      <c r="E538" s="69"/>
      <c r="M538" s="68"/>
      <c r="O538" s="68"/>
      <c r="P538" s="68"/>
      <c r="Q538" s="68"/>
      <c r="R538" s="68"/>
      <c r="S538" s="68"/>
    </row>
    <row r="539" spans="1:19" ht="15.75" customHeight="1">
      <c r="A539" s="68"/>
      <c r="B539" s="68"/>
      <c r="D539" s="68"/>
      <c r="E539" s="69"/>
      <c r="M539" s="68"/>
      <c r="O539" s="68"/>
      <c r="P539" s="68"/>
      <c r="Q539" s="68"/>
      <c r="R539" s="68"/>
      <c r="S539" s="68"/>
    </row>
    <row r="540" spans="1:19" ht="15.75" customHeight="1">
      <c r="A540" s="68"/>
      <c r="B540" s="68"/>
      <c r="D540" s="68"/>
      <c r="E540" s="69"/>
      <c r="M540" s="68"/>
      <c r="O540" s="68"/>
      <c r="P540" s="68"/>
      <c r="Q540" s="68"/>
      <c r="R540" s="68"/>
      <c r="S540" s="68"/>
    </row>
    <row r="541" spans="1:19" ht="15.75" customHeight="1">
      <c r="A541" s="68"/>
      <c r="B541" s="68"/>
      <c r="D541" s="68"/>
      <c r="E541" s="69"/>
      <c r="M541" s="68"/>
      <c r="O541" s="68"/>
      <c r="P541" s="68"/>
      <c r="Q541" s="68"/>
      <c r="R541" s="68"/>
      <c r="S541" s="68"/>
    </row>
    <row r="542" spans="1:19" ht="15.75" customHeight="1">
      <c r="A542" s="68"/>
      <c r="B542" s="68"/>
      <c r="D542" s="68"/>
      <c r="E542" s="69"/>
      <c r="M542" s="68"/>
      <c r="O542" s="68"/>
      <c r="P542" s="68"/>
      <c r="Q542" s="68"/>
      <c r="R542" s="68"/>
      <c r="S542" s="68"/>
    </row>
    <row r="543" spans="1:19" ht="15.75" customHeight="1">
      <c r="A543" s="68"/>
      <c r="B543" s="68"/>
      <c r="D543" s="68"/>
      <c r="E543" s="69"/>
      <c r="M543" s="68"/>
      <c r="O543" s="68"/>
      <c r="P543" s="68"/>
      <c r="Q543" s="68"/>
      <c r="R543" s="68"/>
      <c r="S543" s="68"/>
    </row>
    <row r="544" spans="1:19" ht="15.75" customHeight="1">
      <c r="A544" s="68"/>
      <c r="B544" s="68"/>
      <c r="D544" s="68"/>
      <c r="E544" s="69"/>
      <c r="M544" s="68"/>
      <c r="O544" s="68"/>
      <c r="P544" s="68"/>
      <c r="Q544" s="68"/>
      <c r="R544" s="68"/>
      <c r="S544" s="68"/>
    </row>
    <row r="545" spans="1:19" ht="15.75" customHeight="1">
      <c r="A545" s="68"/>
      <c r="B545" s="68"/>
      <c r="D545" s="68"/>
      <c r="E545" s="69"/>
      <c r="M545" s="68"/>
      <c r="O545" s="68"/>
      <c r="P545" s="68"/>
      <c r="Q545" s="68"/>
      <c r="R545" s="68"/>
      <c r="S545" s="68"/>
    </row>
    <row r="546" spans="1:19" ht="15.75" customHeight="1">
      <c r="A546" s="68"/>
      <c r="B546" s="68"/>
      <c r="D546" s="68"/>
      <c r="E546" s="69"/>
      <c r="M546" s="68"/>
      <c r="O546" s="68"/>
      <c r="P546" s="68"/>
      <c r="Q546" s="68"/>
      <c r="R546" s="68"/>
      <c r="S546" s="68"/>
    </row>
    <row r="547" spans="1:19" ht="15.75" customHeight="1">
      <c r="A547" s="68"/>
      <c r="B547" s="68"/>
      <c r="D547" s="68"/>
      <c r="E547" s="69"/>
      <c r="M547" s="68"/>
      <c r="O547" s="68"/>
      <c r="P547" s="68"/>
      <c r="Q547" s="68"/>
      <c r="R547" s="68"/>
      <c r="S547" s="68"/>
    </row>
    <row r="548" spans="1:19" ht="15.75" customHeight="1">
      <c r="A548" s="68"/>
      <c r="B548" s="68"/>
      <c r="D548" s="68"/>
      <c r="E548" s="69"/>
      <c r="M548" s="68"/>
      <c r="O548" s="68"/>
      <c r="P548" s="68"/>
      <c r="Q548" s="68"/>
      <c r="R548" s="68"/>
      <c r="S548" s="68"/>
    </row>
    <row r="549" spans="1:19" ht="15.75" customHeight="1">
      <c r="A549" s="68"/>
      <c r="B549" s="68"/>
      <c r="D549" s="68"/>
      <c r="E549" s="69"/>
      <c r="M549" s="68"/>
      <c r="O549" s="68"/>
      <c r="P549" s="68"/>
      <c r="Q549" s="68"/>
      <c r="R549" s="68"/>
      <c r="S549" s="68"/>
    </row>
    <row r="550" spans="1:19" ht="15.75" customHeight="1">
      <c r="A550" s="68"/>
      <c r="B550" s="68"/>
      <c r="D550" s="68"/>
      <c r="E550" s="69"/>
      <c r="M550" s="68"/>
      <c r="O550" s="68"/>
      <c r="P550" s="68"/>
      <c r="Q550" s="68"/>
      <c r="R550" s="68"/>
      <c r="S550" s="68"/>
    </row>
    <row r="551" spans="1:19" ht="15.75" customHeight="1">
      <c r="A551" s="68"/>
      <c r="B551" s="68"/>
      <c r="D551" s="68"/>
      <c r="E551" s="69"/>
      <c r="M551" s="68"/>
      <c r="O551" s="68"/>
      <c r="P551" s="68"/>
      <c r="Q551" s="68"/>
      <c r="R551" s="68"/>
      <c r="S551" s="68"/>
    </row>
    <row r="552" spans="1:19" ht="15.75" customHeight="1">
      <c r="A552" s="68"/>
      <c r="B552" s="68"/>
      <c r="D552" s="68"/>
      <c r="E552" s="69"/>
      <c r="M552" s="68"/>
      <c r="O552" s="68"/>
      <c r="P552" s="68"/>
      <c r="Q552" s="68"/>
      <c r="R552" s="68"/>
      <c r="S552" s="68"/>
    </row>
    <row r="553" spans="1:19" ht="15.75" customHeight="1">
      <c r="A553" s="68"/>
      <c r="B553" s="68"/>
      <c r="D553" s="68"/>
      <c r="E553" s="69"/>
      <c r="M553" s="68"/>
      <c r="O553" s="68"/>
      <c r="P553" s="68"/>
      <c r="Q553" s="68"/>
      <c r="R553" s="68"/>
      <c r="S553" s="68"/>
    </row>
    <row r="554" spans="1:19" ht="15.75" customHeight="1">
      <c r="A554" s="68"/>
      <c r="B554" s="68"/>
      <c r="D554" s="68"/>
      <c r="E554" s="69"/>
      <c r="M554" s="68"/>
      <c r="O554" s="68"/>
      <c r="P554" s="68"/>
      <c r="Q554" s="68"/>
      <c r="R554" s="68"/>
      <c r="S554" s="68"/>
    </row>
    <row r="555" spans="1:19" ht="15.75" customHeight="1">
      <c r="A555" s="68"/>
      <c r="B555" s="68"/>
      <c r="D555" s="68"/>
      <c r="E555" s="69"/>
      <c r="M555" s="68"/>
      <c r="O555" s="68"/>
      <c r="P555" s="68"/>
      <c r="Q555" s="68"/>
      <c r="R555" s="68"/>
      <c r="S555" s="68"/>
    </row>
    <row r="556" spans="1:19" ht="15.75" customHeight="1">
      <c r="A556" s="68"/>
      <c r="B556" s="68"/>
      <c r="D556" s="68"/>
      <c r="E556" s="69"/>
      <c r="M556" s="68"/>
      <c r="O556" s="68"/>
      <c r="P556" s="68"/>
      <c r="Q556" s="68"/>
      <c r="R556" s="68"/>
      <c r="S556" s="68"/>
    </row>
    <row r="557" spans="1:19" ht="15.75" customHeight="1">
      <c r="A557" s="68"/>
      <c r="B557" s="68"/>
      <c r="D557" s="68"/>
      <c r="E557" s="69"/>
      <c r="M557" s="68"/>
      <c r="O557" s="68"/>
      <c r="P557" s="68"/>
      <c r="Q557" s="68"/>
      <c r="R557" s="68"/>
      <c r="S557" s="68"/>
    </row>
    <row r="558" spans="1:19" ht="15.75" customHeight="1">
      <c r="A558" s="68"/>
      <c r="B558" s="68"/>
      <c r="D558" s="68"/>
      <c r="E558" s="69"/>
      <c r="M558" s="68"/>
      <c r="O558" s="68"/>
      <c r="P558" s="68"/>
      <c r="Q558" s="68"/>
      <c r="R558" s="68"/>
      <c r="S558" s="68"/>
    </row>
    <row r="559" spans="1:19" ht="15.75" customHeight="1">
      <c r="A559" s="68"/>
      <c r="B559" s="68"/>
      <c r="D559" s="68"/>
      <c r="E559" s="69"/>
      <c r="M559" s="68"/>
      <c r="O559" s="68"/>
      <c r="P559" s="68"/>
      <c r="Q559" s="68"/>
      <c r="R559" s="68"/>
      <c r="S559" s="68"/>
    </row>
    <row r="560" spans="1:19" ht="15.75" customHeight="1">
      <c r="A560" s="68"/>
      <c r="B560" s="68"/>
      <c r="D560" s="68"/>
      <c r="E560" s="69"/>
      <c r="M560" s="68"/>
      <c r="O560" s="68"/>
      <c r="P560" s="68"/>
      <c r="Q560" s="68"/>
      <c r="R560" s="68"/>
      <c r="S560" s="68"/>
    </row>
    <row r="561" spans="1:19" ht="15.75" customHeight="1">
      <c r="A561" s="68"/>
      <c r="B561" s="68"/>
      <c r="D561" s="68"/>
      <c r="E561" s="69"/>
      <c r="M561" s="68"/>
      <c r="O561" s="68"/>
      <c r="P561" s="68"/>
      <c r="Q561" s="68"/>
      <c r="R561" s="68"/>
      <c r="S561" s="68"/>
    </row>
    <row r="562" spans="1:19" ht="15.75" customHeight="1">
      <c r="A562" s="68"/>
      <c r="B562" s="68"/>
      <c r="D562" s="68"/>
      <c r="E562" s="69"/>
      <c r="M562" s="68"/>
      <c r="O562" s="68"/>
      <c r="P562" s="68"/>
      <c r="Q562" s="68"/>
      <c r="R562" s="68"/>
      <c r="S562" s="68"/>
    </row>
    <row r="563" spans="1:19" ht="15.75" customHeight="1">
      <c r="A563" s="68"/>
      <c r="B563" s="68"/>
      <c r="D563" s="68"/>
      <c r="E563" s="69"/>
      <c r="M563" s="68"/>
      <c r="O563" s="68"/>
      <c r="P563" s="68"/>
      <c r="Q563" s="68"/>
      <c r="R563" s="68"/>
      <c r="S563" s="68"/>
    </row>
    <row r="564" spans="1:19" ht="15.75" customHeight="1">
      <c r="A564" s="68"/>
      <c r="B564" s="68"/>
      <c r="D564" s="68"/>
      <c r="E564" s="69"/>
      <c r="M564" s="68"/>
      <c r="O564" s="68"/>
      <c r="P564" s="68"/>
      <c r="Q564" s="68"/>
      <c r="R564" s="68"/>
      <c r="S564" s="68"/>
    </row>
    <row r="565" spans="1:19" ht="15.75" customHeight="1">
      <c r="A565" s="68"/>
      <c r="B565" s="68"/>
      <c r="D565" s="68"/>
      <c r="E565" s="69"/>
      <c r="M565" s="68"/>
      <c r="O565" s="68"/>
      <c r="P565" s="68"/>
      <c r="Q565" s="68"/>
      <c r="R565" s="68"/>
      <c r="S565" s="68"/>
    </row>
    <row r="566" spans="1:19" ht="15.75" customHeight="1">
      <c r="A566" s="68"/>
      <c r="B566" s="68"/>
      <c r="D566" s="68"/>
      <c r="E566" s="69"/>
      <c r="M566" s="68"/>
      <c r="O566" s="68"/>
      <c r="P566" s="68"/>
      <c r="Q566" s="68"/>
      <c r="R566" s="68"/>
      <c r="S566" s="68"/>
    </row>
    <row r="567" spans="1:19" ht="15.75" customHeight="1">
      <c r="A567" s="68"/>
      <c r="B567" s="68"/>
      <c r="D567" s="68"/>
      <c r="E567" s="69"/>
      <c r="M567" s="68"/>
      <c r="O567" s="68"/>
      <c r="P567" s="68"/>
      <c r="Q567" s="68"/>
      <c r="R567" s="68"/>
      <c r="S567" s="68"/>
    </row>
    <row r="568" spans="1:19" ht="15.75" customHeight="1">
      <c r="A568" s="68"/>
      <c r="B568" s="68"/>
      <c r="D568" s="68"/>
      <c r="E568" s="69"/>
      <c r="M568" s="68"/>
      <c r="O568" s="68"/>
      <c r="P568" s="68"/>
      <c r="Q568" s="68"/>
      <c r="R568" s="68"/>
      <c r="S568" s="68"/>
    </row>
    <row r="569" spans="1:19" ht="15.75" customHeight="1">
      <c r="A569" s="68"/>
      <c r="B569" s="68"/>
      <c r="D569" s="68"/>
      <c r="E569" s="69"/>
      <c r="M569" s="68"/>
      <c r="O569" s="68"/>
      <c r="P569" s="68"/>
      <c r="Q569" s="68"/>
      <c r="R569" s="68"/>
      <c r="S569" s="68"/>
    </row>
    <row r="570" spans="1:19" ht="15.75" customHeight="1">
      <c r="A570" s="68"/>
      <c r="B570" s="68"/>
      <c r="D570" s="68"/>
      <c r="E570" s="69"/>
      <c r="M570" s="68"/>
      <c r="O570" s="68"/>
      <c r="P570" s="68"/>
      <c r="Q570" s="68"/>
      <c r="R570" s="68"/>
      <c r="S570" s="68"/>
    </row>
    <row r="571" spans="1:19" ht="15.75" customHeight="1">
      <c r="A571" s="68"/>
      <c r="B571" s="68"/>
      <c r="D571" s="68"/>
      <c r="E571" s="69"/>
      <c r="M571" s="68"/>
      <c r="O571" s="68"/>
      <c r="P571" s="68"/>
      <c r="Q571" s="68"/>
      <c r="R571" s="68"/>
      <c r="S571" s="68"/>
    </row>
    <row r="572" spans="1:19" ht="15.75" customHeight="1">
      <c r="A572" s="68"/>
      <c r="B572" s="68"/>
      <c r="D572" s="68"/>
      <c r="E572" s="69"/>
      <c r="M572" s="68"/>
      <c r="O572" s="68"/>
      <c r="P572" s="68"/>
      <c r="Q572" s="68"/>
      <c r="R572" s="68"/>
      <c r="S572" s="68"/>
    </row>
    <row r="573" spans="1:19" ht="15.75" customHeight="1">
      <c r="A573" s="68"/>
      <c r="B573" s="68"/>
      <c r="D573" s="68"/>
      <c r="E573" s="69"/>
      <c r="M573" s="68"/>
      <c r="O573" s="68"/>
      <c r="P573" s="68"/>
      <c r="Q573" s="68"/>
      <c r="R573" s="68"/>
      <c r="S573" s="68"/>
    </row>
    <row r="574" spans="1:19" ht="15.75" customHeight="1">
      <c r="A574" s="68"/>
      <c r="B574" s="68"/>
      <c r="D574" s="68"/>
      <c r="E574" s="69"/>
      <c r="M574" s="68"/>
      <c r="O574" s="68"/>
      <c r="P574" s="68"/>
      <c r="Q574" s="68"/>
      <c r="R574" s="68"/>
      <c r="S574" s="68"/>
    </row>
    <row r="575" spans="1:19" ht="15.75" customHeight="1">
      <c r="A575" s="68"/>
      <c r="B575" s="68"/>
      <c r="D575" s="68"/>
      <c r="E575" s="69"/>
      <c r="M575" s="68"/>
      <c r="O575" s="68"/>
      <c r="P575" s="68"/>
      <c r="Q575" s="68"/>
      <c r="R575" s="68"/>
      <c r="S575" s="68"/>
    </row>
    <row r="576" spans="1:19" ht="15.75" customHeight="1">
      <c r="A576" s="68"/>
      <c r="B576" s="68"/>
      <c r="D576" s="68"/>
      <c r="E576" s="69"/>
      <c r="M576" s="68"/>
      <c r="O576" s="68"/>
      <c r="P576" s="68"/>
      <c r="Q576" s="68"/>
      <c r="R576" s="68"/>
      <c r="S576" s="68"/>
    </row>
    <row r="577" spans="1:19" ht="15.75" customHeight="1">
      <c r="A577" s="68"/>
      <c r="B577" s="68"/>
      <c r="D577" s="68"/>
      <c r="E577" s="69"/>
      <c r="M577" s="68"/>
      <c r="O577" s="68"/>
      <c r="P577" s="68"/>
      <c r="Q577" s="68"/>
      <c r="R577" s="68"/>
      <c r="S577" s="68"/>
    </row>
    <row r="578" spans="1:19" ht="15.75" customHeight="1">
      <c r="A578" s="68"/>
      <c r="B578" s="68"/>
      <c r="D578" s="68"/>
      <c r="E578" s="69"/>
      <c r="M578" s="68"/>
      <c r="O578" s="68"/>
      <c r="P578" s="68"/>
      <c r="Q578" s="68"/>
      <c r="R578" s="68"/>
      <c r="S578" s="68"/>
    </row>
    <row r="579" spans="1:19" ht="15.75" customHeight="1">
      <c r="A579" s="68"/>
      <c r="B579" s="68"/>
      <c r="D579" s="68"/>
      <c r="E579" s="69"/>
      <c r="M579" s="68"/>
      <c r="O579" s="68"/>
      <c r="P579" s="68"/>
      <c r="Q579" s="68"/>
      <c r="R579" s="68"/>
      <c r="S579" s="68"/>
    </row>
    <row r="580" spans="1:19" ht="15.75" customHeight="1">
      <c r="A580" s="68"/>
      <c r="B580" s="68"/>
      <c r="D580" s="68"/>
      <c r="E580" s="69"/>
      <c r="M580" s="68"/>
      <c r="O580" s="68"/>
      <c r="P580" s="68"/>
      <c r="Q580" s="68"/>
      <c r="R580" s="68"/>
      <c r="S580" s="68"/>
    </row>
    <row r="581" spans="1:19" ht="15.75" customHeight="1">
      <c r="A581" s="68"/>
      <c r="B581" s="68"/>
      <c r="D581" s="68"/>
      <c r="E581" s="69"/>
      <c r="M581" s="68"/>
      <c r="O581" s="68"/>
      <c r="P581" s="68"/>
      <c r="Q581" s="68"/>
      <c r="R581" s="68"/>
      <c r="S581" s="68"/>
    </row>
    <row r="582" spans="1:19" ht="15.75" customHeight="1">
      <c r="A582" s="68"/>
      <c r="B582" s="68"/>
      <c r="D582" s="68"/>
      <c r="E582" s="69"/>
      <c r="M582" s="68"/>
      <c r="O582" s="68"/>
      <c r="P582" s="68"/>
      <c r="Q582" s="68"/>
      <c r="R582" s="68"/>
      <c r="S582" s="68"/>
    </row>
    <row r="583" spans="1:19" ht="15.75" customHeight="1">
      <c r="A583" s="68"/>
      <c r="B583" s="68"/>
      <c r="D583" s="68"/>
      <c r="E583" s="69"/>
      <c r="M583" s="68"/>
      <c r="O583" s="68"/>
      <c r="P583" s="68"/>
      <c r="Q583" s="68"/>
      <c r="R583" s="68"/>
      <c r="S583" s="68"/>
    </row>
    <row r="584" spans="1:19" ht="15.75" customHeight="1">
      <c r="A584" s="68"/>
      <c r="B584" s="68"/>
      <c r="D584" s="68"/>
      <c r="E584" s="69"/>
      <c r="M584" s="68"/>
      <c r="O584" s="68"/>
      <c r="P584" s="68"/>
      <c r="Q584" s="68"/>
      <c r="R584" s="68"/>
      <c r="S584" s="68"/>
    </row>
    <row r="585" spans="1:19" ht="15.75" customHeight="1">
      <c r="A585" s="68"/>
      <c r="B585" s="68"/>
      <c r="D585" s="68"/>
      <c r="E585" s="69"/>
      <c r="M585" s="68"/>
      <c r="O585" s="68"/>
      <c r="P585" s="68"/>
      <c r="Q585" s="68"/>
      <c r="R585" s="68"/>
      <c r="S585" s="68"/>
    </row>
    <row r="586" spans="1:19" ht="15.75" customHeight="1">
      <c r="A586" s="68"/>
      <c r="B586" s="68"/>
      <c r="D586" s="68"/>
      <c r="E586" s="69"/>
      <c r="M586" s="68"/>
      <c r="O586" s="68"/>
      <c r="P586" s="68"/>
      <c r="Q586" s="68"/>
      <c r="R586" s="68"/>
      <c r="S586" s="68"/>
    </row>
    <row r="587" spans="1:19" ht="15.75" customHeight="1">
      <c r="A587" s="68"/>
      <c r="B587" s="68"/>
      <c r="D587" s="68"/>
      <c r="E587" s="69"/>
      <c r="M587" s="68"/>
      <c r="O587" s="68"/>
      <c r="P587" s="68"/>
      <c r="Q587" s="68"/>
      <c r="R587" s="68"/>
      <c r="S587" s="68"/>
    </row>
    <row r="588" spans="1:19" ht="15.75" customHeight="1">
      <c r="A588" s="68"/>
      <c r="B588" s="68"/>
      <c r="D588" s="68"/>
      <c r="E588" s="69"/>
      <c r="M588" s="68"/>
      <c r="O588" s="68"/>
      <c r="P588" s="68"/>
      <c r="Q588" s="68"/>
      <c r="R588" s="68"/>
      <c r="S588" s="68"/>
    </row>
    <row r="589" spans="1:19" ht="15.75" customHeight="1">
      <c r="A589" s="68"/>
      <c r="B589" s="68"/>
      <c r="D589" s="68"/>
      <c r="E589" s="69"/>
      <c r="M589" s="68"/>
      <c r="O589" s="68"/>
      <c r="P589" s="68"/>
      <c r="Q589" s="68"/>
      <c r="R589" s="68"/>
      <c r="S589" s="68"/>
    </row>
    <row r="590" spans="1:19" ht="15.75" customHeight="1">
      <c r="A590" s="68"/>
      <c r="B590" s="68"/>
      <c r="D590" s="68"/>
      <c r="E590" s="69"/>
      <c r="M590" s="68"/>
      <c r="O590" s="68"/>
      <c r="P590" s="68"/>
      <c r="Q590" s="68"/>
      <c r="R590" s="68"/>
      <c r="S590" s="68"/>
    </row>
    <row r="591" spans="1:19" ht="15.75" customHeight="1">
      <c r="A591" s="68"/>
      <c r="B591" s="68"/>
      <c r="D591" s="68"/>
      <c r="E591" s="69"/>
      <c r="M591" s="68"/>
      <c r="O591" s="68"/>
      <c r="P591" s="68"/>
      <c r="Q591" s="68"/>
      <c r="R591" s="68"/>
      <c r="S591" s="68"/>
    </row>
    <row r="592" spans="1:19" ht="15.75" customHeight="1">
      <c r="A592" s="68"/>
      <c r="B592" s="68"/>
      <c r="D592" s="68"/>
      <c r="E592" s="69"/>
      <c r="M592" s="68"/>
      <c r="O592" s="68"/>
      <c r="P592" s="68"/>
      <c r="Q592" s="68"/>
      <c r="R592" s="68"/>
      <c r="S592" s="68"/>
    </row>
    <row r="593" spans="1:19" ht="15.75" customHeight="1">
      <c r="A593" s="68"/>
      <c r="B593" s="68"/>
      <c r="D593" s="68"/>
      <c r="E593" s="69"/>
      <c r="M593" s="68"/>
      <c r="O593" s="68"/>
      <c r="P593" s="68"/>
      <c r="Q593" s="68"/>
      <c r="R593" s="68"/>
      <c r="S593" s="68"/>
    </row>
    <row r="594" spans="1:19" ht="15.75" customHeight="1">
      <c r="A594" s="68"/>
      <c r="B594" s="68"/>
      <c r="D594" s="68"/>
      <c r="E594" s="69"/>
      <c r="M594" s="68"/>
      <c r="O594" s="68"/>
      <c r="P594" s="68"/>
      <c r="Q594" s="68"/>
      <c r="R594" s="68"/>
      <c r="S594" s="68"/>
    </row>
    <row r="595" spans="1:19" ht="15.75" customHeight="1">
      <c r="A595" s="68"/>
      <c r="B595" s="68"/>
      <c r="D595" s="68"/>
      <c r="E595" s="69"/>
      <c r="M595" s="68"/>
      <c r="O595" s="68"/>
      <c r="P595" s="68"/>
      <c r="Q595" s="68"/>
      <c r="R595" s="68"/>
      <c r="S595" s="68"/>
    </row>
    <row r="596" spans="1:19" ht="15.75" customHeight="1">
      <c r="A596" s="68"/>
      <c r="B596" s="68"/>
      <c r="D596" s="68"/>
      <c r="E596" s="69"/>
      <c r="M596" s="68"/>
      <c r="O596" s="68"/>
      <c r="P596" s="68"/>
      <c r="Q596" s="68"/>
      <c r="R596" s="68"/>
      <c r="S596" s="68"/>
    </row>
    <row r="597" spans="1:19" ht="15.75" customHeight="1">
      <c r="A597" s="68"/>
      <c r="B597" s="68"/>
      <c r="D597" s="68"/>
      <c r="E597" s="69"/>
      <c r="M597" s="68"/>
      <c r="O597" s="68"/>
      <c r="P597" s="68"/>
      <c r="Q597" s="68"/>
      <c r="R597" s="68"/>
      <c r="S597" s="68"/>
    </row>
    <row r="598" spans="1:19" ht="15.75" customHeight="1">
      <c r="A598" s="68"/>
      <c r="B598" s="68"/>
      <c r="D598" s="68"/>
      <c r="E598" s="69"/>
      <c r="M598" s="68"/>
      <c r="O598" s="68"/>
      <c r="P598" s="68"/>
      <c r="Q598" s="68"/>
      <c r="R598" s="68"/>
      <c r="S598" s="68"/>
    </row>
    <row r="599" spans="1:19" ht="15.75" customHeight="1">
      <c r="A599" s="68"/>
      <c r="B599" s="68"/>
      <c r="D599" s="68"/>
      <c r="E599" s="69"/>
      <c r="M599" s="68"/>
      <c r="O599" s="68"/>
      <c r="P599" s="68"/>
      <c r="Q599" s="68"/>
      <c r="R599" s="68"/>
      <c r="S599" s="68"/>
    </row>
    <row r="600" spans="1:19" ht="15.75" customHeight="1">
      <c r="A600" s="68"/>
      <c r="B600" s="68"/>
      <c r="D600" s="68"/>
      <c r="E600" s="69"/>
      <c r="M600" s="68"/>
      <c r="O600" s="68"/>
      <c r="P600" s="68"/>
      <c r="Q600" s="68"/>
      <c r="R600" s="68"/>
      <c r="S600" s="68"/>
    </row>
    <row r="601" spans="1:19" ht="15.75" customHeight="1">
      <c r="A601" s="68"/>
      <c r="B601" s="68"/>
      <c r="D601" s="68"/>
      <c r="E601" s="69"/>
      <c r="M601" s="68"/>
      <c r="O601" s="68"/>
      <c r="P601" s="68"/>
      <c r="Q601" s="68"/>
      <c r="R601" s="68"/>
      <c r="S601" s="68"/>
    </row>
    <row r="602" spans="1:19" ht="15.75" customHeight="1">
      <c r="A602" s="68"/>
      <c r="B602" s="68"/>
      <c r="D602" s="68"/>
      <c r="E602" s="69"/>
      <c r="M602" s="68"/>
      <c r="O602" s="68"/>
      <c r="P602" s="68"/>
      <c r="Q602" s="68"/>
      <c r="R602" s="68"/>
      <c r="S602" s="68"/>
    </row>
    <row r="603" spans="1:19" ht="15.75" customHeight="1">
      <c r="A603" s="68"/>
      <c r="B603" s="68"/>
      <c r="D603" s="68"/>
      <c r="E603" s="69"/>
      <c r="M603" s="68"/>
      <c r="O603" s="68"/>
      <c r="P603" s="68"/>
      <c r="Q603" s="68"/>
      <c r="R603" s="68"/>
      <c r="S603" s="68"/>
    </row>
    <row r="604" spans="1:19" ht="15.75" customHeight="1">
      <c r="A604" s="68"/>
      <c r="B604" s="68"/>
      <c r="D604" s="68"/>
      <c r="E604" s="69"/>
      <c r="M604" s="68"/>
      <c r="O604" s="68"/>
      <c r="P604" s="68"/>
      <c r="Q604" s="68"/>
      <c r="R604" s="68"/>
      <c r="S604" s="68"/>
    </row>
    <row r="605" spans="1:19" ht="15.75" customHeight="1">
      <c r="A605" s="68"/>
      <c r="B605" s="68"/>
      <c r="D605" s="68"/>
      <c r="E605" s="69"/>
      <c r="M605" s="68"/>
      <c r="O605" s="68"/>
      <c r="P605" s="68"/>
      <c r="Q605" s="68"/>
      <c r="R605" s="68"/>
      <c r="S605" s="68"/>
    </row>
    <row r="606" spans="1:19" ht="15.75" customHeight="1">
      <c r="A606" s="68"/>
      <c r="B606" s="68"/>
      <c r="D606" s="68"/>
      <c r="E606" s="69"/>
      <c r="M606" s="68"/>
      <c r="O606" s="68"/>
      <c r="P606" s="68"/>
      <c r="Q606" s="68"/>
      <c r="R606" s="68"/>
      <c r="S606" s="68"/>
    </row>
    <row r="607" spans="1:19" ht="15.75" customHeight="1">
      <c r="A607" s="68"/>
      <c r="B607" s="68"/>
      <c r="D607" s="68"/>
      <c r="E607" s="69"/>
      <c r="M607" s="68"/>
      <c r="O607" s="68"/>
      <c r="P607" s="68"/>
      <c r="Q607" s="68"/>
      <c r="R607" s="68"/>
      <c r="S607" s="68"/>
    </row>
    <row r="608" spans="1:19" ht="15.75" customHeight="1">
      <c r="A608" s="68"/>
      <c r="B608" s="68"/>
      <c r="D608" s="68"/>
      <c r="E608" s="69"/>
      <c r="M608" s="68"/>
      <c r="O608" s="68"/>
      <c r="P608" s="68"/>
      <c r="Q608" s="68"/>
      <c r="R608" s="68"/>
      <c r="S608" s="68"/>
    </row>
    <row r="609" spans="1:19" ht="15.75" customHeight="1">
      <c r="A609" s="68"/>
      <c r="B609" s="68"/>
      <c r="D609" s="68"/>
      <c r="E609" s="69"/>
      <c r="M609" s="68"/>
      <c r="O609" s="68"/>
      <c r="P609" s="68"/>
      <c r="Q609" s="68"/>
      <c r="R609" s="68"/>
      <c r="S609" s="68"/>
    </row>
    <row r="610" spans="1:19" ht="15.75" customHeight="1">
      <c r="A610" s="68"/>
      <c r="B610" s="68"/>
      <c r="D610" s="68"/>
      <c r="E610" s="69"/>
      <c r="M610" s="68"/>
      <c r="O610" s="68"/>
      <c r="P610" s="68"/>
      <c r="Q610" s="68"/>
      <c r="R610" s="68"/>
      <c r="S610" s="68"/>
    </row>
    <row r="611" spans="1:19" ht="15.75" customHeight="1">
      <c r="A611" s="68"/>
      <c r="B611" s="68"/>
      <c r="D611" s="68"/>
      <c r="E611" s="69"/>
      <c r="M611" s="68"/>
      <c r="O611" s="68"/>
      <c r="P611" s="68"/>
      <c r="Q611" s="68"/>
      <c r="R611" s="68"/>
      <c r="S611" s="68"/>
    </row>
    <row r="612" spans="1:19" ht="15.75" customHeight="1">
      <c r="A612" s="68"/>
      <c r="B612" s="68"/>
      <c r="D612" s="68"/>
      <c r="E612" s="69"/>
      <c r="M612" s="68"/>
      <c r="O612" s="68"/>
      <c r="P612" s="68"/>
      <c r="Q612" s="68"/>
      <c r="R612" s="68"/>
      <c r="S612" s="68"/>
    </row>
    <row r="613" spans="1:19" ht="15.75" customHeight="1">
      <c r="A613" s="68"/>
      <c r="B613" s="68"/>
      <c r="D613" s="68"/>
      <c r="E613" s="69"/>
      <c r="M613" s="68"/>
      <c r="O613" s="68"/>
      <c r="P613" s="68"/>
      <c r="Q613" s="68"/>
      <c r="R613" s="68"/>
      <c r="S613" s="68"/>
    </row>
    <row r="614" spans="1:19" ht="15.75" customHeight="1">
      <c r="A614" s="68"/>
      <c r="B614" s="68"/>
      <c r="D614" s="68"/>
      <c r="E614" s="69"/>
      <c r="M614" s="68"/>
      <c r="O614" s="68"/>
      <c r="P614" s="68"/>
      <c r="Q614" s="68"/>
      <c r="R614" s="68"/>
      <c r="S614" s="68"/>
    </row>
    <row r="615" spans="1:19" ht="15.75" customHeight="1">
      <c r="A615" s="68"/>
      <c r="B615" s="68"/>
      <c r="D615" s="68"/>
      <c r="E615" s="69"/>
      <c r="M615" s="68"/>
      <c r="O615" s="68"/>
      <c r="P615" s="68"/>
      <c r="Q615" s="68"/>
      <c r="R615" s="68"/>
      <c r="S615" s="68"/>
    </row>
    <row r="616" spans="1:19" ht="15.75" customHeight="1">
      <c r="A616" s="68"/>
      <c r="B616" s="68"/>
      <c r="D616" s="68"/>
      <c r="E616" s="69"/>
      <c r="M616" s="68"/>
      <c r="O616" s="68"/>
      <c r="P616" s="68"/>
      <c r="Q616" s="68"/>
      <c r="R616" s="68"/>
      <c r="S616" s="68"/>
    </row>
    <row r="617" spans="1:19" ht="15.75" customHeight="1">
      <c r="A617" s="68"/>
      <c r="B617" s="68"/>
      <c r="D617" s="68"/>
      <c r="E617" s="69"/>
      <c r="M617" s="68"/>
      <c r="O617" s="68"/>
      <c r="P617" s="68"/>
      <c r="Q617" s="68"/>
      <c r="R617" s="68"/>
      <c r="S617" s="68"/>
    </row>
    <row r="618" spans="1:19" ht="15.75" customHeight="1">
      <c r="A618" s="68"/>
      <c r="B618" s="68"/>
      <c r="D618" s="68"/>
      <c r="E618" s="69"/>
      <c r="M618" s="68"/>
      <c r="O618" s="68"/>
      <c r="P618" s="68"/>
      <c r="Q618" s="68"/>
      <c r="R618" s="68"/>
      <c r="S618" s="68"/>
    </row>
    <row r="619" spans="1:19" ht="15.75" customHeight="1">
      <c r="A619" s="68"/>
      <c r="B619" s="68"/>
      <c r="D619" s="68"/>
      <c r="E619" s="69"/>
      <c r="M619" s="68"/>
      <c r="O619" s="68"/>
      <c r="P619" s="68"/>
      <c r="Q619" s="68"/>
      <c r="R619" s="68"/>
      <c r="S619" s="68"/>
    </row>
    <row r="620" spans="1:19" ht="15.75" customHeight="1">
      <c r="A620" s="68"/>
      <c r="B620" s="68"/>
      <c r="D620" s="68"/>
      <c r="E620" s="69"/>
      <c r="M620" s="68"/>
      <c r="O620" s="68"/>
      <c r="P620" s="68"/>
      <c r="Q620" s="68"/>
      <c r="R620" s="68"/>
      <c r="S620" s="68"/>
    </row>
    <row r="621" spans="1:19" ht="15.75" customHeight="1">
      <c r="A621" s="68"/>
      <c r="B621" s="68"/>
      <c r="D621" s="68"/>
      <c r="E621" s="69"/>
      <c r="M621" s="68"/>
      <c r="O621" s="68"/>
      <c r="P621" s="68"/>
      <c r="Q621" s="68"/>
      <c r="R621" s="68"/>
      <c r="S621" s="68"/>
    </row>
    <row r="622" spans="1:19" ht="15.75" customHeight="1">
      <c r="A622" s="68"/>
      <c r="B622" s="68"/>
      <c r="D622" s="68"/>
      <c r="E622" s="69"/>
      <c r="M622" s="68"/>
      <c r="O622" s="68"/>
      <c r="P622" s="68"/>
      <c r="Q622" s="68"/>
      <c r="R622" s="68"/>
      <c r="S622" s="68"/>
    </row>
    <row r="623" spans="1:19" ht="15.75" customHeight="1">
      <c r="A623" s="68"/>
      <c r="B623" s="68"/>
      <c r="D623" s="68"/>
      <c r="E623" s="69"/>
      <c r="M623" s="68"/>
      <c r="O623" s="68"/>
      <c r="P623" s="68"/>
      <c r="Q623" s="68"/>
      <c r="R623" s="68"/>
      <c r="S623" s="68"/>
    </row>
    <row r="624" spans="1:19" ht="15.75" customHeight="1">
      <c r="A624" s="68"/>
      <c r="B624" s="68"/>
      <c r="D624" s="68"/>
      <c r="E624" s="69"/>
      <c r="M624" s="68"/>
      <c r="O624" s="68"/>
      <c r="P624" s="68"/>
      <c r="Q624" s="68"/>
      <c r="R624" s="68"/>
      <c r="S624" s="68"/>
    </row>
    <row r="625" spans="1:19" ht="15.75" customHeight="1">
      <c r="A625" s="68"/>
      <c r="B625" s="68"/>
      <c r="D625" s="68"/>
      <c r="E625" s="69"/>
      <c r="M625" s="68"/>
      <c r="O625" s="68"/>
      <c r="P625" s="68"/>
      <c r="Q625" s="68"/>
      <c r="R625" s="68"/>
      <c r="S625" s="68"/>
    </row>
    <row r="626" spans="1:19" ht="15.75" customHeight="1">
      <c r="A626" s="68"/>
      <c r="B626" s="68"/>
      <c r="D626" s="68"/>
      <c r="E626" s="69"/>
      <c r="M626" s="68"/>
      <c r="O626" s="68"/>
      <c r="P626" s="68"/>
      <c r="Q626" s="68"/>
      <c r="R626" s="68"/>
      <c r="S626" s="68"/>
    </row>
    <row r="627" spans="1:19" ht="15.75" customHeight="1">
      <c r="A627" s="68"/>
      <c r="B627" s="68"/>
      <c r="D627" s="68"/>
      <c r="E627" s="69"/>
      <c r="M627" s="68"/>
      <c r="O627" s="68"/>
      <c r="P627" s="68"/>
      <c r="Q627" s="68"/>
      <c r="R627" s="68"/>
      <c r="S627" s="68"/>
    </row>
    <row r="628" spans="1:19" ht="15.75" customHeight="1">
      <c r="A628" s="68"/>
      <c r="B628" s="68"/>
      <c r="D628" s="68"/>
      <c r="E628" s="69"/>
      <c r="M628" s="68"/>
      <c r="O628" s="68"/>
      <c r="P628" s="68"/>
      <c r="Q628" s="68"/>
      <c r="R628" s="68"/>
      <c r="S628" s="68"/>
    </row>
    <row r="629" spans="1:19" ht="15.75" customHeight="1">
      <c r="A629" s="68"/>
      <c r="B629" s="68"/>
      <c r="D629" s="68"/>
      <c r="E629" s="69"/>
      <c r="M629" s="68"/>
      <c r="O629" s="68"/>
      <c r="P629" s="68"/>
      <c r="Q629" s="68"/>
      <c r="R629" s="68"/>
      <c r="S629" s="68"/>
    </row>
    <row r="630" spans="1:19" ht="15.75" customHeight="1">
      <c r="A630" s="68"/>
      <c r="B630" s="68"/>
      <c r="D630" s="68"/>
      <c r="E630" s="69"/>
      <c r="M630" s="68"/>
      <c r="O630" s="68"/>
      <c r="P630" s="68"/>
      <c r="Q630" s="68"/>
      <c r="R630" s="68"/>
      <c r="S630" s="68"/>
    </row>
    <row r="631" spans="1:19" ht="15.75" customHeight="1">
      <c r="A631" s="68"/>
      <c r="B631" s="68"/>
      <c r="D631" s="68"/>
      <c r="E631" s="69"/>
      <c r="M631" s="68"/>
      <c r="O631" s="68"/>
      <c r="P631" s="68"/>
      <c r="Q631" s="68"/>
      <c r="R631" s="68"/>
      <c r="S631" s="68"/>
    </row>
    <row r="632" spans="1:19" ht="15.75" customHeight="1">
      <c r="A632" s="68"/>
      <c r="B632" s="68"/>
      <c r="D632" s="68"/>
      <c r="E632" s="69"/>
      <c r="M632" s="68"/>
      <c r="O632" s="68"/>
      <c r="P632" s="68"/>
      <c r="Q632" s="68"/>
      <c r="R632" s="68"/>
      <c r="S632" s="68"/>
    </row>
    <row r="633" spans="1:19" ht="15.75" customHeight="1">
      <c r="A633" s="68"/>
      <c r="B633" s="68"/>
      <c r="D633" s="68"/>
      <c r="E633" s="69"/>
      <c r="M633" s="68"/>
      <c r="O633" s="68"/>
      <c r="P633" s="68"/>
      <c r="Q633" s="68"/>
      <c r="R633" s="68"/>
      <c r="S633" s="68"/>
    </row>
    <row r="634" spans="1:19" ht="15.75" customHeight="1">
      <c r="A634" s="68"/>
      <c r="B634" s="68"/>
      <c r="D634" s="68"/>
      <c r="E634" s="69"/>
      <c r="M634" s="68"/>
      <c r="O634" s="68"/>
      <c r="P634" s="68"/>
      <c r="Q634" s="68"/>
      <c r="R634" s="68"/>
      <c r="S634" s="68"/>
    </row>
    <row r="635" spans="1:19" ht="15.75" customHeight="1">
      <c r="A635" s="68"/>
      <c r="B635" s="68"/>
      <c r="D635" s="68"/>
      <c r="E635" s="69"/>
      <c r="M635" s="68"/>
      <c r="O635" s="68"/>
      <c r="P635" s="68"/>
      <c r="Q635" s="68"/>
      <c r="R635" s="68"/>
      <c r="S635" s="68"/>
    </row>
    <row r="636" spans="1:19" ht="15.75" customHeight="1">
      <c r="A636" s="68"/>
      <c r="B636" s="68"/>
      <c r="D636" s="68"/>
      <c r="E636" s="69"/>
      <c r="M636" s="68"/>
      <c r="O636" s="68"/>
      <c r="P636" s="68"/>
      <c r="Q636" s="68"/>
      <c r="R636" s="68"/>
      <c r="S636" s="68"/>
    </row>
    <row r="637" spans="1:19" ht="15.75" customHeight="1">
      <c r="A637" s="68"/>
      <c r="B637" s="68"/>
      <c r="D637" s="68"/>
      <c r="E637" s="69"/>
      <c r="M637" s="68"/>
      <c r="O637" s="68"/>
      <c r="P637" s="68"/>
      <c r="Q637" s="68"/>
      <c r="R637" s="68"/>
      <c r="S637" s="68"/>
    </row>
    <row r="638" spans="1:19" ht="15.75" customHeight="1">
      <c r="A638" s="68"/>
      <c r="B638" s="68"/>
      <c r="D638" s="68"/>
      <c r="E638" s="69"/>
      <c r="M638" s="68"/>
      <c r="O638" s="68"/>
      <c r="P638" s="68"/>
      <c r="Q638" s="68"/>
      <c r="R638" s="68"/>
      <c r="S638" s="68"/>
    </row>
    <row r="639" spans="1:19" ht="15.75" customHeight="1">
      <c r="A639" s="68"/>
      <c r="B639" s="68"/>
      <c r="D639" s="68"/>
      <c r="E639" s="69"/>
      <c r="M639" s="68"/>
      <c r="O639" s="68"/>
      <c r="P639" s="68"/>
      <c r="Q639" s="68"/>
      <c r="R639" s="68"/>
      <c r="S639" s="68"/>
    </row>
    <row r="640" spans="1:19" ht="15.75" customHeight="1">
      <c r="A640" s="68"/>
      <c r="B640" s="68"/>
      <c r="D640" s="68"/>
      <c r="E640" s="69"/>
      <c r="M640" s="68"/>
      <c r="O640" s="68"/>
      <c r="P640" s="68"/>
      <c r="Q640" s="68"/>
      <c r="R640" s="68"/>
      <c r="S640" s="68"/>
    </row>
    <row r="641" spans="1:19" ht="15.75" customHeight="1">
      <c r="A641" s="68"/>
      <c r="B641" s="68"/>
      <c r="D641" s="68"/>
      <c r="E641" s="69"/>
      <c r="M641" s="68"/>
      <c r="O641" s="68"/>
      <c r="P641" s="68"/>
      <c r="Q641" s="68"/>
      <c r="R641" s="68"/>
      <c r="S641" s="68"/>
    </row>
    <row r="642" spans="1:19" ht="15.75" customHeight="1">
      <c r="A642" s="68"/>
      <c r="B642" s="68"/>
      <c r="D642" s="68"/>
      <c r="E642" s="69"/>
      <c r="M642" s="68"/>
      <c r="O642" s="68"/>
      <c r="P642" s="68"/>
      <c r="Q642" s="68"/>
      <c r="R642" s="68"/>
      <c r="S642" s="68"/>
    </row>
    <row r="643" spans="1:19" ht="15.75" customHeight="1">
      <c r="A643" s="68"/>
      <c r="B643" s="68"/>
      <c r="D643" s="68"/>
      <c r="E643" s="69"/>
      <c r="M643" s="68"/>
      <c r="O643" s="68"/>
      <c r="P643" s="68"/>
      <c r="Q643" s="68"/>
      <c r="R643" s="68"/>
      <c r="S643" s="68"/>
    </row>
    <row r="644" spans="1:19" ht="15.75" customHeight="1">
      <c r="A644" s="68"/>
      <c r="B644" s="68"/>
      <c r="D644" s="68"/>
      <c r="E644" s="69"/>
      <c r="M644" s="68"/>
      <c r="O644" s="68"/>
      <c r="P644" s="68"/>
      <c r="Q644" s="68"/>
      <c r="R644" s="68"/>
      <c r="S644" s="68"/>
    </row>
    <row r="645" spans="1:19" ht="15.75" customHeight="1">
      <c r="A645" s="68"/>
      <c r="B645" s="68"/>
      <c r="D645" s="68"/>
      <c r="E645" s="69"/>
      <c r="M645" s="68"/>
      <c r="O645" s="68"/>
      <c r="P645" s="68"/>
      <c r="Q645" s="68"/>
      <c r="R645" s="68"/>
      <c r="S645" s="68"/>
    </row>
    <row r="646" spans="1:19" ht="15.75" customHeight="1">
      <c r="A646" s="68"/>
      <c r="B646" s="68"/>
      <c r="D646" s="68"/>
      <c r="E646" s="69"/>
      <c r="M646" s="68"/>
      <c r="O646" s="68"/>
      <c r="P646" s="68"/>
      <c r="Q646" s="68"/>
      <c r="R646" s="68"/>
      <c r="S646" s="68"/>
    </row>
    <row r="647" spans="1:19" ht="15.75" customHeight="1">
      <c r="A647" s="68"/>
      <c r="B647" s="68"/>
      <c r="D647" s="68"/>
      <c r="E647" s="69"/>
      <c r="M647" s="68"/>
      <c r="O647" s="68"/>
      <c r="P647" s="68"/>
      <c r="Q647" s="68"/>
      <c r="R647" s="68"/>
      <c r="S647" s="68"/>
    </row>
    <row r="648" spans="1:19" ht="15.75" customHeight="1">
      <c r="A648" s="68"/>
      <c r="B648" s="68"/>
      <c r="D648" s="68"/>
      <c r="E648" s="69"/>
      <c r="M648" s="68"/>
      <c r="O648" s="68"/>
      <c r="P648" s="68"/>
      <c r="Q648" s="68"/>
      <c r="R648" s="68"/>
      <c r="S648" s="68"/>
    </row>
    <row r="649" spans="1:19" ht="15.75" customHeight="1">
      <c r="A649" s="68"/>
      <c r="B649" s="68"/>
      <c r="D649" s="68"/>
      <c r="E649" s="69"/>
      <c r="M649" s="68"/>
      <c r="O649" s="68"/>
      <c r="P649" s="68"/>
      <c r="Q649" s="68"/>
      <c r="R649" s="68"/>
      <c r="S649" s="68"/>
    </row>
    <row r="650" spans="1:19" ht="15.75" customHeight="1">
      <c r="A650" s="68"/>
      <c r="B650" s="68"/>
      <c r="D650" s="68"/>
      <c r="E650" s="69"/>
      <c r="M650" s="68"/>
      <c r="O650" s="68"/>
      <c r="P650" s="68"/>
      <c r="Q650" s="68"/>
      <c r="R650" s="68"/>
      <c r="S650" s="68"/>
    </row>
    <row r="651" spans="1:19" ht="15.75" customHeight="1">
      <c r="A651" s="68"/>
      <c r="B651" s="68"/>
      <c r="D651" s="68"/>
      <c r="E651" s="69"/>
      <c r="M651" s="68"/>
      <c r="O651" s="68"/>
      <c r="P651" s="68"/>
      <c r="Q651" s="68"/>
      <c r="R651" s="68"/>
      <c r="S651" s="68"/>
    </row>
    <row r="652" spans="1:19" ht="15.75" customHeight="1">
      <c r="A652" s="68"/>
      <c r="B652" s="68"/>
      <c r="D652" s="68"/>
      <c r="E652" s="69"/>
      <c r="M652" s="68"/>
      <c r="O652" s="68"/>
      <c r="P652" s="68"/>
      <c r="Q652" s="68"/>
      <c r="R652" s="68"/>
      <c r="S652" s="68"/>
    </row>
    <row r="653" spans="1:19" ht="15.75" customHeight="1">
      <c r="A653" s="68"/>
      <c r="B653" s="68"/>
      <c r="D653" s="68"/>
      <c r="E653" s="69"/>
      <c r="M653" s="68"/>
      <c r="O653" s="68"/>
      <c r="P653" s="68"/>
      <c r="Q653" s="68"/>
      <c r="R653" s="68"/>
      <c r="S653" s="68"/>
    </row>
    <row r="654" spans="1:19" ht="15.75" customHeight="1">
      <c r="A654" s="68"/>
      <c r="B654" s="68"/>
      <c r="D654" s="68"/>
      <c r="E654" s="69"/>
      <c r="M654" s="68"/>
      <c r="O654" s="68"/>
      <c r="P654" s="68"/>
      <c r="Q654" s="68"/>
      <c r="R654" s="68"/>
      <c r="S654" s="68"/>
    </row>
    <row r="655" spans="1:19" ht="15.75" customHeight="1">
      <c r="A655" s="68"/>
      <c r="B655" s="68"/>
      <c r="D655" s="68"/>
      <c r="E655" s="69"/>
      <c r="M655" s="68"/>
      <c r="O655" s="68"/>
      <c r="P655" s="68"/>
      <c r="Q655" s="68"/>
      <c r="R655" s="68"/>
      <c r="S655" s="68"/>
    </row>
    <row r="656" spans="1:19" ht="15.75" customHeight="1">
      <c r="A656" s="68"/>
      <c r="B656" s="68"/>
      <c r="D656" s="68"/>
      <c r="E656" s="69"/>
      <c r="M656" s="68"/>
      <c r="O656" s="68"/>
      <c r="P656" s="68"/>
      <c r="Q656" s="68"/>
      <c r="R656" s="68"/>
      <c r="S656" s="68"/>
    </row>
    <row r="657" spans="1:19" ht="15.75" customHeight="1">
      <c r="A657" s="68"/>
      <c r="B657" s="68"/>
      <c r="D657" s="68"/>
      <c r="E657" s="69"/>
      <c r="M657" s="68"/>
      <c r="O657" s="68"/>
      <c r="P657" s="68"/>
      <c r="Q657" s="68"/>
      <c r="R657" s="68"/>
      <c r="S657" s="68"/>
    </row>
    <row r="658" spans="1:19" ht="15.75" customHeight="1">
      <c r="A658" s="68"/>
      <c r="B658" s="68"/>
      <c r="D658" s="68"/>
      <c r="E658" s="69"/>
      <c r="M658" s="68"/>
      <c r="O658" s="68"/>
      <c r="P658" s="68"/>
      <c r="Q658" s="68"/>
      <c r="R658" s="68"/>
      <c r="S658" s="68"/>
    </row>
    <row r="659" spans="1:19" ht="15.75" customHeight="1">
      <c r="A659" s="68"/>
      <c r="B659" s="68"/>
      <c r="D659" s="68"/>
      <c r="E659" s="69"/>
      <c r="M659" s="68"/>
      <c r="O659" s="68"/>
      <c r="P659" s="68"/>
      <c r="Q659" s="68"/>
      <c r="R659" s="68"/>
      <c r="S659" s="68"/>
    </row>
    <row r="660" spans="1:19" ht="15.75" customHeight="1">
      <c r="A660" s="68"/>
      <c r="B660" s="68"/>
      <c r="D660" s="68"/>
      <c r="E660" s="69"/>
      <c r="M660" s="68"/>
      <c r="O660" s="68"/>
      <c r="P660" s="68"/>
      <c r="Q660" s="68"/>
      <c r="R660" s="68"/>
      <c r="S660" s="68"/>
    </row>
    <row r="661" spans="1:19" ht="15.75" customHeight="1">
      <c r="A661" s="68"/>
      <c r="B661" s="68"/>
      <c r="D661" s="68"/>
      <c r="E661" s="69"/>
      <c r="M661" s="68"/>
      <c r="O661" s="68"/>
      <c r="P661" s="68"/>
      <c r="Q661" s="68"/>
      <c r="R661" s="68"/>
      <c r="S661" s="68"/>
    </row>
    <row r="662" spans="1:19" ht="15.75" customHeight="1">
      <c r="A662" s="68"/>
      <c r="B662" s="68"/>
      <c r="D662" s="68"/>
      <c r="E662" s="69"/>
      <c r="M662" s="68"/>
      <c r="O662" s="68"/>
      <c r="P662" s="68"/>
      <c r="Q662" s="68"/>
      <c r="R662" s="68"/>
      <c r="S662" s="68"/>
    </row>
    <row r="663" spans="1:19" ht="15.75" customHeight="1">
      <c r="A663" s="68"/>
      <c r="B663" s="68"/>
      <c r="D663" s="68"/>
      <c r="E663" s="69"/>
      <c r="M663" s="68"/>
      <c r="O663" s="68"/>
      <c r="P663" s="68"/>
      <c r="Q663" s="68"/>
      <c r="R663" s="68"/>
      <c r="S663" s="68"/>
    </row>
    <row r="664" spans="1:19" ht="15.75" customHeight="1">
      <c r="A664" s="68"/>
      <c r="B664" s="68"/>
      <c r="D664" s="68"/>
      <c r="E664" s="69"/>
      <c r="M664" s="68"/>
      <c r="O664" s="68"/>
      <c r="P664" s="68"/>
      <c r="Q664" s="68"/>
      <c r="R664" s="68"/>
      <c r="S664" s="68"/>
    </row>
    <row r="665" spans="1:19" ht="15.75" customHeight="1">
      <c r="A665" s="68"/>
      <c r="B665" s="68"/>
      <c r="D665" s="68"/>
      <c r="E665" s="69"/>
      <c r="M665" s="68"/>
      <c r="O665" s="68"/>
      <c r="P665" s="68"/>
      <c r="Q665" s="68"/>
      <c r="R665" s="68"/>
      <c r="S665" s="68"/>
    </row>
    <row r="666" spans="1:19" ht="15.75" customHeight="1">
      <c r="A666" s="68"/>
      <c r="B666" s="68"/>
      <c r="D666" s="68"/>
      <c r="E666" s="69"/>
      <c r="M666" s="68"/>
      <c r="O666" s="68"/>
      <c r="P666" s="68"/>
      <c r="Q666" s="68"/>
      <c r="R666" s="68"/>
      <c r="S666" s="68"/>
    </row>
    <row r="667" spans="1:19" ht="15.75" customHeight="1">
      <c r="A667" s="68"/>
      <c r="B667" s="68"/>
      <c r="D667" s="68"/>
      <c r="E667" s="69"/>
      <c r="M667" s="68"/>
      <c r="O667" s="68"/>
      <c r="P667" s="68"/>
      <c r="Q667" s="68"/>
      <c r="R667" s="68"/>
      <c r="S667" s="68"/>
    </row>
    <row r="668" spans="1:19" ht="15.75" customHeight="1">
      <c r="A668" s="68"/>
      <c r="B668" s="68"/>
      <c r="D668" s="68"/>
      <c r="E668" s="69"/>
      <c r="M668" s="68"/>
      <c r="O668" s="68"/>
      <c r="P668" s="68"/>
      <c r="Q668" s="68"/>
      <c r="R668" s="68"/>
      <c r="S668" s="68"/>
    </row>
    <row r="669" spans="1:19" ht="15.75" customHeight="1">
      <c r="A669" s="68"/>
      <c r="B669" s="68"/>
      <c r="D669" s="68"/>
      <c r="E669" s="69"/>
      <c r="M669" s="68"/>
      <c r="O669" s="68"/>
      <c r="P669" s="68"/>
      <c r="Q669" s="68"/>
      <c r="R669" s="68"/>
      <c r="S669" s="68"/>
    </row>
    <row r="670" spans="1:19" ht="15.75" customHeight="1">
      <c r="A670" s="68"/>
      <c r="B670" s="68"/>
      <c r="D670" s="68"/>
      <c r="E670" s="69"/>
      <c r="M670" s="68"/>
      <c r="O670" s="68"/>
      <c r="P670" s="68"/>
      <c r="Q670" s="68"/>
      <c r="R670" s="68"/>
      <c r="S670" s="68"/>
    </row>
    <row r="671" spans="1:19" ht="15.75" customHeight="1">
      <c r="A671" s="68"/>
      <c r="B671" s="68"/>
      <c r="D671" s="68"/>
      <c r="E671" s="69"/>
      <c r="M671" s="68"/>
      <c r="O671" s="68"/>
      <c r="P671" s="68"/>
      <c r="Q671" s="68"/>
      <c r="R671" s="68"/>
      <c r="S671" s="68"/>
    </row>
    <row r="672" spans="1:19" ht="15.75" customHeight="1">
      <c r="A672" s="68"/>
      <c r="B672" s="68"/>
      <c r="D672" s="68"/>
      <c r="E672" s="69"/>
      <c r="M672" s="68"/>
      <c r="O672" s="68"/>
      <c r="P672" s="68"/>
      <c r="Q672" s="68"/>
      <c r="R672" s="68"/>
      <c r="S672" s="68"/>
    </row>
    <row r="673" spans="1:19" ht="15.75" customHeight="1">
      <c r="A673" s="68"/>
      <c r="B673" s="68"/>
      <c r="D673" s="68"/>
      <c r="E673" s="69"/>
      <c r="M673" s="68"/>
      <c r="O673" s="68"/>
      <c r="P673" s="68"/>
      <c r="Q673" s="68"/>
      <c r="R673" s="68"/>
      <c r="S673" s="68"/>
    </row>
    <row r="674" spans="1:19" ht="15.75" customHeight="1">
      <c r="A674" s="68"/>
      <c r="B674" s="68"/>
      <c r="D674" s="68"/>
      <c r="E674" s="69"/>
      <c r="M674" s="68"/>
      <c r="O674" s="68"/>
      <c r="P674" s="68"/>
      <c r="Q674" s="68"/>
      <c r="R674" s="68"/>
      <c r="S674" s="68"/>
    </row>
    <row r="675" spans="1:19" ht="15.75" customHeight="1">
      <c r="A675" s="68"/>
      <c r="B675" s="68"/>
      <c r="D675" s="68"/>
      <c r="E675" s="69"/>
      <c r="M675" s="68"/>
      <c r="O675" s="68"/>
      <c r="P675" s="68"/>
      <c r="Q675" s="68"/>
      <c r="R675" s="68"/>
      <c r="S675" s="68"/>
    </row>
    <row r="676" spans="1:19" ht="15.75" customHeight="1">
      <c r="A676" s="68"/>
      <c r="B676" s="68"/>
      <c r="D676" s="68"/>
      <c r="E676" s="69"/>
      <c r="M676" s="68"/>
      <c r="O676" s="68"/>
      <c r="P676" s="68"/>
      <c r="Q676" s="68"/>
      <c r="R676" s="68"/>
      <c r="S676" s="68"/>
    </row>
    <row r="677" spans="1:19" ht="15.75" customHeight="1">
      <c r="A677" s="68"/>
      <c r="B677" s="68"/>
      <c r="D677" s="68"/>
      <c r="E677" s="69"/>
      <c r="M677" s="68"/>
      <c r="O677" s="68"/>
      <c r="P677" s="68"/>
      <c r="Q677" s="68"/>
      <c r="R677" s="68"/>
      <c r="S677" s="68"/>
    </row>
    <row r="678" spans="1:19" ht="15.75" customHeight="1">
      <c r="A678" s="68"/>
      <c r="B678" s="68"/>
      <c r="D678" s="68"/>
      <c r="E678" s="69"/>
      <c r="M678" s="68"/>
      <c r="O678" s="68"/>
      <c r="P678" s="68"/>
      <c r="Q678" s="68"/>
      <c r="R678" s="68"/>
      <c r="S678" s="68"/>
    </row>
    <row r="679" spans="1:19" ht="15.75" customHeight="1">
      <c r="A679" s="68"/>
      <c r="B679" s="68"/>
      <c r="D679" s="68"/>
      <c r="E679" s="69"/>
      <c r="M679" s="68"/>
      <c r="O679" s="68"/>
      <c r="P679" s="68"/>
      <c r="Q679" s="68"/>
      <c r="R679" s="68"/>
      <c r="S679" s="68"/>
    </row>
    <row r="680" spans="1:19" ht="15.75" customHeight="1">
      <c r="A680" s="68"/>
      <c r="B680" s="68"/>
      <c r="D680" s="68"/>
      <c r="E680" s="69"/>
      <c r="M680" s="68"/>
      <c r="O680" s="68"/>
      <c r="P680" s="68"/>
      <c r="Q680" s="68"/>
      <c r="R680" s="68"/>
      <c r="S680" s="68"/>
    </row>
    <row r="681" spans="1:19" ht="15.75" customHeight="1">
      <c r="A681" s="68"/>
      <c r="B681" s="68"/>
      <c r="D681" s="68"/>
      <c r="E681" s="69"/>
      <c r="M681" s="68"/>
      <c r="O681" s="68"/>
      <c r="P681" s="68"/>
      <c r="Q681" s="68"/>
      <c r="R681" s="68"/>
      <c r="S681" s="68"/>
    </row>
    <row r="682" spans="1:19" ht="15.75" customHeight="1">
      <c r="A682" s="68"/>
      <c r="B682" s="68"/>
      <c r="D682" s="68"/>
      <c r="E682" s="69"/>
      <c r="M682" s="68"/>
      <c r="O682" s="68"/>
      <c r="P682" s="68"/>
      <c r="Q682" s="68"/>
      <c r="R682" s="68"/>
      <c r="S682" s="68"/>
    </row>
    <row r="683" spans="1:19" ht="15.75" customHeight="1">
      <c r="A683" s="68"/>
      <c r="B683" s="68"/>
      <c r="D683" s="68"/>
      <c r="E683" s="69"/>
      <c r="M683" s="68"/>
      <c r="O683" s="68"/>
      <c r="P683" s="68"/>
      <c r="Q683" s="68"/>
      <c r="R683" s="68"/>
      <c r="S683" s="68"/>
    </row>
    <row r="684" spans="1:19" ht="15.75" customHeight="1">
      <c r="A684" s="68"/>
      <c r="B684" s="68"/>
      <c r="D684" s="68"/>
      <c r="E684" s="69"/>
      <c r="M684" s="68"/>
      <c r="O684" s="68"/>
      <c r="P684" s="68"/>
      <c r="Q684" s="68"/>
      <c r="R684" s="68"/>
      <c r="S684" s="68"/>
    </row>
    <row r="685" spans="1:19" ht="15.75" customHeight="1">
      <c r="A685" s="68"/>
      <c r="B685" s="68"/>
      <c r="D685" s="68"/>
      <c r="E685" s="69"/>
      <c r="M685" s="68"/>
      <c r="O685" s="68"/>
      <c r="P685" s="68"/>
      <c r="Q685" s="68"/>
      <c r="R685" s="68"/>
      <c r="S685" s="68"/>
    </row>
    <row r="686" spans="1:19" ht="15.75" customHeight="1">
      <c r="A686" s="68"/>
      <c r="B686" s="68"/>
      <c r="D686" s="68"/>
      <c r="E686" s="69"/>
      <c r="M686" s="68"/>
      <c r="O686" s="68"/>
      <c r="P686" s="68"/>
      <c r="Q686" s="68"/>
      <c r="R686" s="68"/>
      <c r="S686" s="68"/>
    </row>
    <row r="687" spans="1:19" ht="15.75" customHeight="1">
      <c r="A687" s="68"/>
      <c r="B687" s="68"/>
      <c r="D687" s="68"/>
      <c r="E687" s="69"/>
      <c r="M687" s="68"/>
      <c r="O687" s="68"/>
      <c r="P687" s="68"/>
      <c r="Q687" s="68"/>
      <c r="R687" s="68"/>
      <c r="S687" s="68"/>
    </row>
    <row r="688" spans="1:19" ht="15.75" customHeight="1">
      <c r="A688" s="68"/>
      <c r="B688" s="68"/>
      <c r="D688" s="68"/>
      <c r="E688" s="69"/>
      <c r="M688" s="68"/>
      <c r="O688" s="68"/>
      <c r="P688" s="68"/>
      <c r="Q688" s="68"/>
      <c r="R688" s="68"/>
      <c r="S688" s="68"/>
    </row>
    <row r="689" spans="1:19" ht="15.75" customHeight="1">
      <c r="A689" s="68"/>
      <c r="B689" s="68"/>
      <c r="D689" s="68"/>
      <c r="E689" s="69"/>
      <c r="M689" s="68"/>
      <c r="O689" s="68"/>
      <c r="P689" s="68"/>
      <c r="Q689" s="68"/>
      <c r="R689" s="68"/>
      <c r="S689" s="68"/>
    </row>
    <row r="690" spans="1:19" ht="15.75" customHeight="1">
      <c r="A690" s="68"/>
      <c r="B690" s="68"/>
      <c r="D690" s="68"/>
      <c r="E690" s="69"/>
      <c r="M690" s="68"/>
      <c r="O690" s="68"/>
      <c r="P690" s="68"/>
      <c r="Q690" s="68"/>
      <c r="R690" s="68"/>
      <c r="S690" s="68"/>
    </row>
    <row r="691" spans="1:19" ht="15.75" customHeight="1">
      <c r="A691" s="68"/>
      <c r="B691" s="68"/>
      <c r="D691" s="68"/>
      <c r="E691" s="69"/>
      <c r="M691" s="68"/>
      <c r="O691" s="68"/>
      <c r="P691" s="68"/>
      <c r="Q691" s="68"/>
      <c r="R691" s="68"/>
      <c r="S691" s="68"/>
    </row>
    <row r="692" spans="1:19" ht="15.75" customHeight="1">
      <c r="A692" s="68"/>
      <c r="B692" s="68"/>
      <c r="D692" s="68"/>
      <c r="E692" s="69"/>
      <c r="M692" s="68"/>
      <c r="O692" s="68"/>
      <c r="P692" s="68"/>
      <c r="Q692" s="68"/>
      <c r="R692" s="68"/>
      <c r="S692" s="68"/>
    </row>
    <row r="693" spans="1:19" ht="15.75" customHeight="1">
      <c r="A693" s="68"/>
      <c r="B693" s="68"/>
      <c r="D693" s="68"/>
      <c r="E693" s="69"/>
      <c r="M693" s="68"/>
      <c r="O693" s="68"/>
      <c r="P693" s="68"/>
      <c r="Q693" s="68"/>
      <c r="R693" s="68"/>
      <c r="S693" s="68"/>
    </row>
    <row r="694" spans="1:19" ht="15.75" customHeight="1">
      <c r="A694" s="68"/>
      <c r="B694" s="68"/>
      <c r="D694" s="68"/>
      <c r="E694" s="69"/>
      <c r="M694" s="68"/>
      <c r="O694" s="68"/>
      <c r="P694" s="68"/>
      <c r="Q694" s="68"/>
      <c r="R694" s="68"/>
      <c r="S694" s="68"/>
    </row>
    <row r="695" spans="1:19" ht="15.75" customHeight="1">
      <c r="A695" s="68"/>
      <c r="B695" s="68"/>
      <c r="D695" s="68"/>
      <c r="E695" s="69"/>
      <c r="M695" s="68"/>
      <c r="O695" s="68"/>
      <c r="P695" s="68"/>
      <c r="Q695" s="68"/>
      <c r="R695" s="68"/>
      <c r="S695" s="68"/>
    </row>
    <row r="696" spans="1:19" ht="15.75" customHeight="1">
      <c r="A696" s="68"/>
      <c r="B696" s="68"/>
      <c r="D696" s="68"/>
      <c r="E696" s="69"/>
      <c r="M696" s="68"/>
      <c r="O696" s="68"/>
      <c r="P696" s="68"/>
      <c r="Q696" s="68"/>
      <c r="R696" s="68"/>
      <c r="S696" s="68"/>
    </row>
    <row r="697" spans="1:19" ht="15.75" customHeight="1">
      <c r="A697" s="68"/>
      <c r="B697" s="68"/>
      <c r="D697" s="68"/>
      <c r="E697" s="69"/>
      <c r="M697" s="68"/>
      <c r="O697" s="68"/>
      <c r="P697" s="68"/>
      <c r="Q697" s="68"/>
      <c r="R697" s="68"/>
      <c r="S697" s="68"/>
    </row>
    <row r="698" spans="1:19" ht="15.75" customHeight="1">
      <c r="A698" s="68"/>
      <c r="B698" s="68"/>
      <c r="D698" s="68"/>
      <c r="E698" s="69"/>
      <c r="M698" s="68"/>
      <c r="O698" s="68"/>
      <c r="P698" s="68"/>
      <c r="Q698" s="68"/>
      <c r="R698" s="68"/>
      <c r="S698" s="68"/>
    </row>
    <row r="699" spans="1:19" ht="15.75" customHeight="1">
      <c r="A699" s="68"/>
      <c r="B699" s="68"/>
      <c r="D699" s="68"/>
      <c r="E699" s="69"/>
      <c r="M699" s="68"/>
      <c r="O699" s="68"/>
      <c r="P699" s="68"/>
      <c r="Q699" s="68"/>
      <c r="R699" s="68"/>
      <c r="S699" s="68"/>
    </row>
    <row r="700" spans="1:19" ht="15.75" customHeight="1">
      <c r="A700" s="68"/>
      <c r="B700" s="68"/>
      <c r="D700" s="68"/>
      <c r="E700" s="69"/>
      <c r="M700" s="68"/>
      <c r="O700" s="68"/>
      <c r="P700" s="68"/>
      <c r="Q700" s="68"/>
      <c r="R700" s="68"/>
      <c r="S700" s="68"/>
    </row>
    <row r="701" spans="1:19" ht="15.75" customHeight="1">
      <c r="A701" s="68"/>
      <c r="B701" s="68"/>
      <c r="D701" s="68"/>
      <c r="E701" s="69"/>
      <c r="M701" s="68"/>
      <c r="O701" s="68"/>
      <c r="P701" s="68"/>
      <c r="Q701" s="68"/>
      <c r="R701" s="68"/>
      <c r="S701" s="68"/>
    </row>
    <row r="702" spans="1:19" ht="15.75" customHeight="1">
      <c r="A702" s="68"/>
      <c r="B702" s="68"/>
      <c r="D702" s="68"/>
      <c r="E702" s="69"/>
      <c r="M702" s="68"/>
      <c r="O702" s="68"/>
      <c r="P702" s="68"/>
      <c r="Q702" s="68"/>
      <c r="R702" s="68"/>
      <c r="S702" s="68"/>
    </row>
    <row r="703" spans="1:19" ht="15.75" customHeight="1">
      <c r="A703" s="68"/>
      <c r="B703" s="68"/>
      <c r="D703" s="68"/>
      <c r="E703" s="69"/>
      <c r="M703" s="68"/>
      <c r="O703" s="68"/>
      <c r="P703" s="68"/>
      <c r="Q703" s="68"/>
      <c r="R703" s="68"/>
      <c r="S703" s="68"/>
    </row>
    <row r="704" spans="1:19" ht="15.75" customHeight="1">
      <c r="A704" s="68"/>
      <c r="B704" s="68"/>
      <c r="D704" s="68"/>
      <c r="E704" s="69"/>
      <c r="M704" s="68"/>
      <c r="O704" s="68"/>
      <c r="P704" s="68"/>
      <c r="Q704" s="68"/>
      <c r="R704" s="68"/>
      <c r="S704" s="68"/>
    </row>
    <row r="705" spans="1:19" ht="15.75" customHeight="1">
      <c r="A705" s="68"/>
      <c r="B705" s="68"/>
      <c r="D705" s="68"/>
      <c r="E705" s="69"/>
      <c r="M705" s="68"/>
      <c r="O705" s="68"/>
      <c r="P705" s="68"/>
      <c r="Q705" s="68"/>
      <c r="R705" s="68"/>
      <c r="S705" s="68"/>
    </row>
    <row r="706" spans="1:19" ht="15.75" customHeight="1">
      <c r="A706" s="68"/>
      <c r="B706" s="68"/>
      <c r="D706" s="68"/>
      <c r="E706" s="69"/>
      <c r="M706" s="68"/>
      <c r="O706" s="68"/>
      <c r="P706" s="68"/>
      <c r="Q706" s="68"/>
      <c r="R706" s="68"/>
      <c r="S706" s="68"/>
    </row>
    <row r="707" spans="1:19" ht="15.75" customHeight="1">
      <c r="A707" s="68"/>
      <c r="B707" s="68"/>
      <c r="D707" s="68"/>
      <c r="E707" s="69"/>
      <c r="M707" s="68"/>
      <c r="O707" s="68"/>
      <c r="P707" s="68"/>
      <c r="Q707" s="68"/>
      <c r="R707" s="68"/>
      <c r="S707" s="68"/>
    </row>
    <row r="708" spans="1:19" ht="15.75" customHeight="1">
      <c r="A708" s="68"/>
      <c r="B708" s="68"/>
      <c r="D708" s="68"/>
      <c r="E708" s="69"/>
      <c r="M708" s="68"/>
      <c r="O708" s="68"/>
      <c r="P708" s="68"/>
      <c r="Q708" s="68"/>
      <c r="R708" s="68"/>
      <c r="S708" s="68"/>
    </row>
    <row r="709" spans="1:19" ht="15.75" customHeight="1">
      <c r="A709" s="68"/>
      <c r="B709" s="68"/>
      <c r="D709" s="68"/>
      <c r="E709" s="69"/>
      <c r="M709" s="68"/>
      <c r="O709" s="68"/>
      <c r="P709" s="68"/>
      <c r="Q709" s="68"/>
      <c r="R709" s="68"/>
      <c r="S709" s="68"/>
    </row>
    <row r="710" spans="1:19" ht="15.75" customHeight="1">
      <c r="A710" s="68"/>
      <c r="B710" s="68"/>
      <c r="D710" s="68"/>
      <c r="E710" s="69"/>
      <c r="M710" s="68"/>
      <c r="O710" s="68"/>
      <c r="P710" s="68"/>
      <c r="Q710" s="68"/>
      <c r="R710" s="68"/>
      <c r="S710" s="68"/>
    </row>
    <row r="711" spans="1:19" ht="15.75" customHeight="1">
      <c r="A711" s="68"/>
      <c r="B711" s="68"/>
      <c r="D711" s="68"/>
      <c r="E711" s="69"/>
      <c r="M711" s="68"/>
      <c r="O711" s="68"/>
      <c r="P711" s="68"/>
      <c r="Q711" s="68"/>
      <c r="R711" s="68"/>
      <c r="S711" s="68"/>
    </row>
    <row r="712" spans="1:19" ht="15.75" customHeight="1">
      <c r="A712" s="68"/>
      <c r="B712" s="68"/>
      <c r="D712" s="68"/>
      <c r="E712" s="69"/>
      <c r="M712" s="68"/>
      <c r="O712" s="68"/>
      <c r="P712" s="68"/>
      <c r="Q712" s="68"/>
      <c r="R712" s="68"/>
      <c r="S712" s="68"/>
    </row>
    <row r="713" spans="1:19" ht="15.75" customHeight="1">
      <c r="A713" s="68"/>
      <c r="B713" s="68"/>
      <c r="D713" s="68"/>
      <c r="E713" s="69"/>
      <c r="M713" s="68"/>
      <c r="O713" s="68"/>
      <c r="P713" s="68"/>
      <c r="Q713" s="68"/>
      <c r="R713" s="68"/>
      <c r="S713" s="68"/>
    </row>
    <row r="714" spans="1:19" ht="15.75" customHeight="1">
      <c r="A714" s="68"/>
      <c r="B714" s="68"/>
      <c r="D714" s="68"/>
      <c r="E714" s="69"/>
      <c r="M714" s="68"/>
      <c r="O714" s="68"/>
      <c r="P714" s="68"/>
      <c r="Q714" s="68"/>
      <c r="R714" s="68"/>
      <c r="S714" s="68"/>
    </row>
    <row r="715" spans="1:19" ht="15.75" customHeight="1">
      <c r="A715" s="68"/>
      <c r="B715" s="68"/>
      <c r="D715" s="68"/>
      <c r="E715" s="69"/>
      <c r="M715" s="68"/>
      <c r="O715" s="68"/>
      <c r="P715" s="68"/>
      <c r="Q715" s="68"/>
      <c r="R715" s="68"/>
      <c r="S715" s="68"/>
    </row>
    <row r="716" spans="1:19" ht="15.75" customHeight="1">
      <c r="A716" s="68"/>
      <c r="B716" s="68"/>
      <c r="D716" s="68"/>
      <c r="E716" s="69"/>
      <c r="M716" s="68"/>
      <c r="O716" s="68"/>
      <c r="P716" s="68"/>
      <c r="Q716" s="68"/>
      <c r="R716" s="68"/>
      <c r="S716" s="68"/>
    </row>
    <row r="717" spans="1:19" ht="15.75" customHeight="1">
      <c r="A717" s="68"/>
      <c r="B717" s="68"/>
      <c r="D717" s="68"/>
      <c r="E717" s="69"/>
      <c r="M717" s="68"/>
      <c r="O717" s="68"/>
      <c r="P717" s="68"/>
      <c r="Q717" s="68"/>
      <c r="R717" s="68"/>
      <c r="S717" s="68"/>
    </row>
    <row r="718" spans="1:19" ht="15.75" customHeight="1">
      <c r="A718" s="68"/>
      <c r="B718" s="68"/>
      <c r="D718" s="68"/>
      <c r="E718" s="69"/>
      <c r="M718" s="68"/>
      <c r="O718" s="68"/>
      <c r="P718" s="68"/>
      <c r="Q718" s="68"/>
      <c r="R718" s="68"/>
      <c r="S718" s="68"/>
    </row>
    <row r="719" spans="1:19" ht="15.75" customHeight="1">
      <c r="A719" s="68"/>
      <c r="B719" s="68"/>
      <c r="D719" s="68"/>
      <c r="E719" s="69"/>
      <c r="M719" s="68"/>
      <c r="O719" s="68"/>
      <c r="P719" s="68"/>
      <c r="Q719" s="68"/>
      <c r="R719" s="68"/>
      <c r="S719" s="68"/>
    </row>
    <row r="720" spans="1:19" ht="15.75" customHeight="1">
      <c r="A720" s="68"/>
      <c r="B720" s="68"/>
      <c r="D720" s="68"/>
      <c r="E720" s="69"/>
      <c r="M720" s="68"/>
      <c r="O720" s="68"/>
      <c r="P720" s="68"/>
      <c r="Q720" s="68"/>
      <c r="R720" s="68"/>
      <c r="S720" s="68"/>
    </row>
    <row r="721" spans="1:19" ht="15.75" customHeight="1">
      <c r="A721" s="68"/>
      <c r="B721" s="68"/>
      <c r="D721" s="68"/>
      <c r="E721" s="69"/>
      <c r="M721" s="68"/>
      <c r="O721" s="68"/>
      <c r="P721" s="68"/>
      <c r="Q721" s="68"/>
      <c r="R721" s="68"/>
      <c r="S721" s="68"/>
    </row>
    <row r="722" spans="1:19" ht="15.75" customHeight="1">
      <c r="A722" s="68"/>
      <c r="B722" s="68"/>
      <c r="D722" s="68"/>
      <c r="E722" s="69"/>
      <c r="M722" s="68"/>
      <c r="O722" s="68"/>
      <c r="P722" s="68"/>
      <c r="Q722" s="68"/>
      <c r="R722" s="68"/>
      <c r="S722" s="68"/>
    </row>
    <row r="723" spans="1:19" ht="15.75" customHeight="1">
      <c r="A723" s="68"/>
      <c r="B723" s="68"/>
      <c r="D723" s="68"/>
      <c r="E723" s="69"/>
      <c r="M723" s="68"/>
      <c r="O723" s="68"/>
      <c r="P723" s="68"/>
      <c r="Q723" s="68"/>
      <c r="R723" s="68"/>
      <c r="S723" s="68"/>
    </row>
    <row r="724" spans="1:19" ht="15.75" customHeight="1">
      <c r="A724" s="68"/>
      <c r="B724" s="68"/>
      <c r="D724" s="68"/>
      <c r="E724" s="69"/>
      <c r="M724" s="68"/>
      <c r="O724" s="68"/>
      <c r="P724" s="68"/>
      <c r="Q724" s="68"/>
      <c r="R724" s="68"/>
      <c r="S724" s="68"/>
    </row>
    <row r="725" spans="1:19" ht="15.75" customHeight="1">
      <c r="A725" s="68"/>
      <c r="B725" s="68"/>
      <c r="D725" s="68"/>
      <c r="E725" s="69"/>
      <c r="M725" s="68"/>
      <c r="O725" s="68"/>
      <c r="P725" s="68"/>
      <c r="Q725" s="68"/>
      <c r="R725" s="68"/>
      <c r="S725" s="68"/>
    </row>
    <row r="726" spans="1:19" ht="15.75" customHeight="1">
      <c r="A726" s="68"/>
      <c r="B726" s="68"/>
      <c r="D726" s="68"/>
      <c r="E726" s="69"/>
      <c r="M726" s="68"/>
      <c r="O726" s="68"/>
      <c r="P726" s="68"/>
      <c r="Q726" s="68"/>
      <c r="R726" s="68"/>
      <c r="S726" s="68"/>
    </row>
    <row r="727" spans="1:19" ht="15.75" customHeight="1">
      <c r="A727" s="68"/>
      <c r="B727" s="68"/>
      <c r="D727" s="68"/>
      <c r="E727" s="69"/>
      <c r="M727" s="68"/>
      <c r="O727" s="68"/>
      <c r="P727" s="68"/>
      <c r="Q727" s="68"/>
      <c r="R727" s="68"/>
      <c r="S727" s="68"/>
    </row>
    <row r="728" spans="1:19" ht="15.75" customHeight="1">
      <c r="A728" s="68"/>
      <c r="B728" s="68"/>
      <c r="D728" s="68"/>
      <c r="E728" s="69"/>
      <c r="M728" s="68"/>
      <c r="O728" s="68"/>
      <c r="P728" s="68"/>
      <c r="Q728" s="68"/>
      <c r="R728" s="68"/>
      <c r="S728" s="68"/>
    </row>
    <row r="729" spans="1:19" ht="15.75" customHeight="1">
      <c r="A729" s="68"/>
      <c r="B729" s="68"/>
      <c r="D729" s="68"/>
      <c r="E729" s="69"/>
      <c r="M729" s="68"/>
      <c r="O729" s="68"/>
      <c r="P729" s="68"/>
      <c r="Q729" s="68"/>
      <c r="R729" s="68"/>
      <c r="S729" s="68"/>
    </row>
    <row r="730" spans="1:19" ht="15.75" customHeight="1">
      <c r="A730" s="68"/>
      <c r="B730" s="68"/>
      <c r="D730" s="68"/>
      <c r="E730" s="69"/>
      <c r="M730" s="68"/>
      <c r="O730" s="68"/>
      <c r="P730" s="68"/>
      <c r="Q730" s="68"/>
      <c r="R730" s="68"/>
      <c r="S730" s="68"/>
    </row>
    <row r="731" spans="1:19" ht="15.75" customHeight="1">
      <c r="A731" s="68"/>
      <c r="B731" s="68"/>
      <c r="D731" s="68"/>
      <c r="E731" s="69"/>
      <c r="M731" s="68"/>
      <c r="O731" s="68"/>
      <c r="P731" s="68"/>
      <c r="Q731" s="68"/>
      <c r="R731" s="68"/>
      <c r="S731" s="68"/>
    </row>
    <row r="732" spans="1:19" ht="15.75" customHeight="1">
      <c r="A732" s="68"/>
      <c r="B732" s="68"/>
      <c r="D732" s="68"/>
      <c r="E732" s="69"/>
      <c r="M732" s="68"/>
      <c r="O732" s="68"/>
      <c r="P732" s="68"/>
      <c r="Q732" s="68"/>
      <c r="R732" s="68"/>
      <c r="S732" s="68"/>
    </row>
    <row r="733" spans="1:19" ht="15.75" customHeight="1">
      <c r="A733" s="68"/>
      <c r="B733" s="68"/>
      <c r="D733" s="68"/>
      <c r="E733" s="69"/>
      <c r="M733" s="68"/>
      <c r="O733" s="68"/>
      <c r="P733" s="68"/>
      <c r="Q733" s="68"/>
      <c r="R733" s="68"/>
      <c r="S733" s="68"/>
    </row>
    <row r="734" spans="1:19" ht="15.75" customHeight="1">
      <c r="A734" s="68"/>
      <c r="B734" s="68"/>
      <c r="D734" s="68"/>
      <c r="E734" s="69"/>
      <c r="M734" s="68"/>
      <c r="O734" s="68"/>
      <c r="P734" s="68"/>
      <c r="Q734" s="68"/>
      <c r="R734" s="68"/>
      <c r="S734" s="68"/>
    </row>
    <row r="735" spans="1:19" ht="15.75" customHeight="1">
      <c r="A735" s="68"/>
      <c r="B735" s="68"/>
      <c r="D735" s="68"/>
      <c r="E735" s="69"/>
      <c r="M735" s="68"/>
      <c r="O735" s="68"/>
      <c r="P735" s="68"/>
      <c r="Q735" s="68"/>
      <c r="R735" s="68"/>
      <c r="S735" s="68"/>
    </row>
    <row r="736" spans="1:19" ht="15.75" customHeight="1">
      <c r="A736" s="68"/>
      <c r="B736" s="68"/>
      <c r="D736" s="68"/>
      <c r="E736" s="69"/>
      <c r="M736" s="68"/>
      <c r="O736" s="68"/>
      <c r="P736" s="68"/>
      <c r="Q736" s="68"/>
      <c r="R736" s="68"/>
      <c r="S736" s="68"/>
    </row>
    <row r="737" spans="1:19" ht="15.75" customHeight="1">
      <c r="A737" s="68"/>
      <c r="B737" s="68"/>
      <c r="D737" s="68"/>
      <c r="E737" s="69"/>
      <c r="M737" s="68"/>
      <c r="O737" s="68"/>
      <c r="P737" s="68"/>
      <c r="Q737" s="68"/>
      <c r="R737" s="68"/>
      <c r="S737" s="68"/>
    </row>
    <row r="738" spans="1:19" ht="15.75" customHeight="1">
      <c r="A738" s="68"/>
      <c r="B738" s="68"/>
      <c r="D738" s="68"/>
      <c r="E738" s="69"/>
      <c r="M738" s="68"/>
      <c r="O738" s="68"/>
      <c r="P738" s="68"/>
      <c r="Q738" s="68"/>
      <c r="R738" s="68"/>
      <c r="S738" s="68"/>
    </row>
    <row r="739" spans="1:19" ht="15.75" customHeight="1">
      <c r="A739" s="68"/>
      <c r="B739" s="68"/>
      <c r="D739" s="68"/>
      <c r="E739" s="69"/>
      <c r="M739" s="68"/>
      <c r="O739" s="68"/>
      <c r="P739" s="68"/>
      <c r="Q739" s="68"/>
      <c r="R739" s="68"/>
      <c r="S739" s="68"/>
    </row>
    <row r="740" spans="1:19" ht="15.75" customHeight="1">
      <c r="A740" s="68"/>
      <c r="B740" s="68"/>
      <c r="D740" s="68"/>
      <c r="E740" s="69"/>
      <c r="M740" s="68"/>
      <c r="O740" s="68"/>
      <c r="P740" s="68"/>
      <c r="Q740" s="68"/>
      <c r="R740" s="68"/>
      <c r="S740" s="68"/>
    </row>
    <row r="741" spans="1:19" ht="15.75" customHeight="1">
      <c r="A741" s="68"/>
      <c r="B741" s="68"/>
      <c r="D741" s="68"/>
      <c r="E741" s="69"/>
      <c r="M741" s="68"/>
      <c r="O741" s="68"/>
      <c r="P741" s="68"/>
      <c r="Q741" s="68"/>
      <c r="R741" s="68"/>
      <c r="S741" s="68"/>
    </row>
    <row r="742" spans="1:19" ht="15.75" customHeight="1">
      <c r="A742" s="68"/>
      <c r="B742" s="68"/>
      <c r="D742" s="68"/>
      <c r="E742" s="69"/>
      <c r="M742" s="68"/>
      <c r="O742" s="68"/>
      <c r="P742" s="68"/>
      <c r="Q742" s="68"/>
      <c r="R742" s="68"/>
      <c r="S742" s="68"/>
    </row>
    <row r="743" spans="1:19" ht="15.75" customHeight="1">
      <c r="A743" s="68"/>
      <c r="B743" s="68"/>
      <c r="D743" s="68"/>
      <c r="E743" s="69"/>
      <c r="M743" s="68"/>
      <c r="O743" s="68"/>
      <c r="P743" s="68"/>
      <c r="Q743" s="68"/>
      <c r="R743" s="68"/>
      <c r="S743" s="68"/>
    </row>
    <row r="744" spans="1:19" ht="15.75" customHeight="1">
      <c r="A744" s="68"/>
      <c r="B744" s="68"/>
      <c r="D744" s="68"/>
      <c r="E744" s="69"/>
      <c r="M744" s="68"/>
      <c r="O744" s="68"/>
      <c r="P744" s="68"/>
      <c r="Q744" s="68"/>
      <c r="R744" s="68"/>
      <c r="S744" s="68"/>
    </row>
    <row r="745" spans="1:19" ht="15.75" customHeight="1">
      <c r="A745" s="68"/>
      <c r="B745" s="68"/>
      <c r="D745" s="68"/>
      <c r="E745" s="69"/>
      <c r="M745" s="68"/>
      <c r="O745" s="68"/>
      <c r="P745" s="68"/>
      <c r="Q745" s="68"/>
      <c r="R745" s="68"/>
      <c r="S745" s="68"/>
    </row>
    <row r="746" spans="1:19" ht="15.75" customHeight="1">
      <c r="A746" s="68"/>
      <c r="B746" s="68"/>
      <c r="D746" s="68"/>
      <c r="E746" s="69"/>
      <c r="M746" s="68"/>
      <c r="O746" s="68"/>
      <c r="P746" s="68"/>
      <c r="Q746" s="68"/>
      <c r="R746" s="68"/>
      <c r="S746" s="68"/>
    </row>
    <row r="747" spans="1:19" ht="15.75" customHeight="1">
      <c r="A747" s="68"/>
      <c r="B747" s="68"/>
      <c r="D747" s="68"/>
      <c r="E747" s="69"/>
      <c r="M747" s="68"/>
      <c r="O747" s="68"/>
      <c r="P747" s="68"/>
      <c r="Q747" s="68"/>
      <c r="R747" s="68"/>
      <c r="S747" s="68"/>
    </row>
    <row r="748" spans="1:19" ht="15.75" customHeight="1">
      <c r="A748" s="68"/>
      <c r="B748" s="68"/>
      <c r="D748" s="68"/>
      <c r="E748" s="69"/>
      <c r="M748" s="68"/>
      <c r="O748" s="68"/>
      <c r="P748" s="68"/>
      <c r="Q748" s="68"/>
      <c r="R748" s="68"/>
      <c r="S748" s="68"/>
    </row>
    <row r="749" spans="1:19" ht="15.75" customHeight="1">
      <c r="A749" s="68"/>
      <c r="B749" s="68"/>
      <c r="D749" s="68"/>
      <c r="E749" s="69"/>
      <c r="M749" s="68"/>
      <c r="O749" s="68"/>
      <c r="P749" s="68"/>
      <c r="Q749" s="68"/>
      <c r="R749" s="68"/>
      <c r="S749" s="68"/>
    </row>
    <row r="750" spans="1:19" ht="15.75" customHeight="1">
      <c r="A750" s="68"/>
      <c r="B750" s="68"/>
      <c r="D750" s="68"/>
      <c r="E750" s="69"/>
      <c r="M750" s="68"/>
      <c r="O750" s="68"/>
      <c r="P750" s="68"/>
      <c r="Q750" s="68"/>
      <c r="R750" s="68"/>
      <c r="S750" s="68"/>
    </row>
    <row r="751" spans="1:19" ht="15.75" customHeight="1">
      <c r="A751" s="68"/>
      <c r="B751" s="68"/>
      <c r="D751" s="68"/>
      <c r="E751" s="69"/>
      <c r="M751" s="68"/>
      <c r="O751" s="68"/>
      <c r="P751" s="68"/>
      <c r="Q751" s="68"/>
      <c r="R751" s="68"/>
      <c r="S751" s="68"/>
    </row>
    <row r="752" spans="1:19" ht="15.75" customHeight="1">
      <c r="A752" s="68"/>
      <c r="B752" s="68"/>
      <c r="D752" s="68"/>
      <c r="E752" s="69"/>
      <c r="M752" s="68"/>
      <c r="O752" s="68"/>
      <c r="P752" s="68"/>
      <c r="Q752" s="68"/>
      <c r="R752" s="68"/>
      <c r="S752" s="68"/>
    </row>
    <row r="753" spans="1:19" ht="15.75" customHeight="1">
      <c r="A753" s="68"/>
      <c r="B753" s="68"/>
      <c r="D753" s="68"/>
      <c r="E753" s="69"/>
      <c r="M753" s="68"/>
      <c r="O753" s="68"/>
      <c r="P753" s="68"/>
      <c r="Q753" s="68"/>
      <c r="R753" s="68"/>
      <c r="S753" s="68"/>
    </row>
    <row r="754" spans="1:19" ht="15.75" customHeight="1">
      <c r="A754" s="68"/>
      <c r="B754" s="68"/>
      <c r="D754" s="68"/>
      <c r="E754" s="69"/>
      <c r="M754" s="68"/>
      <c r="O754" s="68"/>
      <c r="P754" s="68"/>
      <c r="Q754" s="68"/>
      <c r="R754" s="68"/>
      <c r="S754" s="68"/>
    </row>
    <row r="755" spans="1:19" ht="15.75" customHeight="1">
      <c r="A755" s="68"/>
      <c r="B755" s="68"/>
      <c r="D755" s="68"/>
      <c r="E755" s="69"/>
      <c r="M755" s="68"/>
      <c r="O755" s="68"/>
      <c r="P755" s="68"/>
      <c r="Q755" s="68"/>
      <c r="R755" s="68"/>
      <c r="S755" s="68"/>
    </row>
    <row r="756" spans="1:19" ht="15.75" customHeight="1">
      <c r="A756" s="68"/>
      <c r="B756" s="68"/>
      <c r="D756" s="68"/>
      <c r="E756" s="69"/>
      <c r="M756" s="68"/>
      <c r="O756" s="68"/>
      <c r="P756" s="68"/>
      <c r="Q756" s="68"/>
      <c r="R756" s="68"/>
      <c r="S756" s="68"/>
    </row>
    <row r="757" spans="1:19" ht="15.75" customHeight="1">
      <c r="A757" s="68"/>
      <c r="B757" s="68"/>
      <c r="D757" s="68"/>
      <c r="E757" s="69"/>
      <c r="M757" s="68"/>
      <c r="O757" s="68"/>
      <c r="P757" s="68"/>
      <c r="Q757" s="68"/>
      <c r="R757" s="68"/>
      <c r="S757" s="68"/>
    </row>
    <row r="758" spans="1:19" ht="15.75" customHeight="1">
      <c r="A758" s="68"/>
      <c r="B758" s="68"/>
      <c r="D758" s="68"/>
      <c r="E758" s="69"/>
      <c r="M758" s="68"/>
      <c r="O758" s="68"/>
      <c r="P758" s="68"/>
      <c r="Q758" s="68"/>
      <c r="R758" s="68"/>
      <c r="S758" s="68"/>
    </row>
    <row r="759" spans="1:19" ht="15.75" customHeight="1">
      <c r="A759" s="68"/>
      <c r="B759" s="68"/>
      <c r="D759" s="68"/>
      <c r="E759" s="69"/>
      <c r="M759" s="68"/>
      <c r="O759" s="68"/>
      <c r="P759" s="68"/>
      <c r="Q759" s="68"/>
      <c r="R759" s="68"/>
      <c r="S759" s="68"/>
    </row>
    <row r="760" spans="1:19" ht="15.75" customHeight="1">
      <c r="A760" s="68"/>
      <c r="B760" s="68"/>
      <c r="D760" s="68"/>
      <c r="E760" s="69"/>
      <c r="M760" s="68"/>
      <c r="O760" s="68"/>
      <c r="P760" s="68"/>
      <c r="Q760" s="68"/>
      <c r="R760" s="68"/>
      <c r="S760" s="68"/>
    </row>
    <row r="761" spans="1:19" ht="15.75" customHeight="1">
      <c r="A761" s="68"/>
      <c r="B761" s="68"/>
      <c r="D761" s="68"/>
      <c r="E761" s="69"/>
      <c r="M761" s="68"/>
      <c r="O761" s="68"/>
      <c r="P761" s="68"/>
      <c r="Q761" s="68"/>
      <c r="R761" s="68"/>
      <c r="S761" s="68"/>
    </row>
    <row r="762" spans="1:19" ht="15.75" customHeight="1">
      <c r="A762" s="68"/>
      <c r="B762" s="68"/>
      <c r="D762" s="68"/>
      <c r="E762" s="69"/>
      <c r="M762" s="68"/>
      <c r="O762" s="68"/>
      <c r="P762" s="68"/>
      <c r="Q762" s="68"/>
      <c r="R762" s="68"/>
      <c r="S762" s="68"/>
    </row>
    <row r="763" spans="1:19" ht="15.75" customHeight="1">
      <c r="A763" s="68"/>
      <c r="B763" s="68"/>
      <c r="D763" s="68"/>
      <c r="E763" s="69"/>
      <c r="M763" s="68"/>
      <c r="O763" s="68"/>
      <c r="P763" s="68"/>
      <c r="Q763" s="68"/>
      <c r="R763" s="68"/>
      <c r="S763" s="68"/>
    </row>
    <row r="764" spans="1:19" ht="15.75" customHeight="1">
      <c r="A764" s="68"/>
      <c r="B764" s="68"/>
      <c r="D764" s="68"/>
      <c r="E764" s="69"/>
      <c r="M764" s="68"/>
      <c r="O764" s="68"/>
      <c r="P764" s="68"/>
      <c r="Q764" s="68"/>
      <c r="R764" s="68"/>
      <c r="S764" s="68"/>
    </row>
    <row r="765" spans="1:19" ht="15.75" customHeight="1">
      <c r="A765" s="68"/>
      <c r="B765" s="68"/>
      <c r="D765" s="68"/>
      <c r="E765" s="69"/>
      <c r="M765" s="68"/>
      <c r="O765" s="68"/>
      <c r="P765" s="68"/>
      <c r="Q765" s="68"/>
      <c r="R765" s="68"/>
      <c r="S765" s="68"/>
    </row>
    <row r="766" spans="1:19" ht="15.75" customHeight="1">
      <c r="A766" s="68"/>
      <c r="B766" s="68"/>
      <c r="D766" s="68"/>
      <c r="E766" s="69"/>
      <c r="M766" s="68"/>
      <c r="O766" s="68"/>
      <c r="P766" s="68"/>
      <c r="Q766" s="68"/>
      <c r="R766" s="68"/>
      <c r="S766" s="68"/>
    </row>
    <row r="767" spans="1:19" ht="15.75" customHeight="1">
      <c r="A767" s="68"/>
      <c r="B767" s="68"/>
      <c r="D767" s="68"/>
      <c r="E767" s="69"/>
      <c r="M767" s="68"/>
      <c r="O767" s="68"/>
      <c r="P767" s="68"/>
      <c r="Q767" s="68"/>
      <c r="R767" s="68"/>
      <c r="S767" s="68"/>
    </row>
    <row r="768" spans="1:19" ht="15.75" customHeight="1">
      <c r="A768" s="68"/>
      <c r="B768" s="68"/>
      <c r="D768" s="68"/>
      <c r="E768" s="69"/>
      <c r="M768" s="68"/>
      <c r="O768" s="68"/>
      <c r="P768" s="68"/>
      <c r="Q768" s="68"/>
      <c r="R768" s="68"/>
      <c r="S768" s="68"/>
    </row>
    <row r="769" spans="1:19" ht="15.75" customHeight="1">
      <c r="A769" s="68"/>
      <c r="B769" s="68"/>
      <c r="D769" s="68"/>
      <c r="E769" s="69"/>
      <c r="M769" s="68"/>
      <c r="O769" s="68"/>
      <c r="P769" s="68"/>
      <c r="Q769" s="68"/>
      <c r="R769" s="68"/>
      <c r="S769" s="68"/>
    </row>
    <row r="770" spans="1:19" ht="15.75" customHeight="1">
      <c r="A770" s="68"/>
      <c r="B770" s="68"/>
      <c r="D770" s="68"/>
      <c r="E770" s="69"/>
      <c r="M770" s="68"/>
      <c r="O770" s="68"/>
      <c r="P770" s="68"/>
      <c r="Q770" s="68"/>
      <c r="R770" s="68"/>
      <c r="S770" s="68"/>
    </row>
    <row r="771" spans="1:19" ht="15.75" customHeight="1">
      <c r="A771" s="68"/>
      <c r="B771" s="68"/>
      <c r="D771" s="68"/>
      <c r="E771" s="69"/>
      <c r="M771" s="68"/>
      <c r="O771" s="68"/>
      <c r="P771" s="68"/>
      <c r="Q771" s="68"/>
      <c r="R771" s="68"/>
      <c r="S771" s="68"/>
    </row>
    <row r="772" spans="1:19" ht="15.75" customHeight="1">
      <c r="A772" s="68"/>
      <c r="B772" s="68"/>
      <c r="D772" s="68"/>
      <c r="E772" s="69"/>
      <c r="M772" s="68"/>
      <c r="O772" s="68"/>
      <c r="P772" s="68"/>
      <c r="Q772" s="68"/>
      <c r="R772" s="68"/>
      <c r="S772" s="68"/>
    </row>
    <row r="773" spans="1:19" ht="15.75" customHeight="1">
      <c r="A773" s="68"/>
      <c r="B773" s="68"/>
      <c r="D773" s="68"/>
      <c r="E773" s="69"/>
      <c r="M773" s="68"/>
      <c r="O773" s="68"/>
      <c r="P773" s="68"/>
      <c r="Q773" s="68"/>
      <c r="R773" s="68"/>
      <c r="S773" s="68"/>
    </row>
    <row r="774" spans="1:19" ht="15.75" customHeight="1">
      <c r="A774" s="68"/>
      <c r="B774" s="68"/>
      <c r="D774" s="68"/>
      <c r="E774" s="69"/>
      <c r="M774" s="68"/>
      <c r="O774" s="68"/>
      <c r="P774" s="68"/>
      <c r="Q774" s="68"/>
      <c r="R774" s="68"/>
      <c r="S774" s="68"/>
    </row>
    <row r="775" spans="1:19" ht="15.75" customHeight="1">
      <c r="A775" s="68"/>
      <c r="B775" s="68"/>
      <c r="D775" s="68"/>
      <c r="E775" s="69"/>
      <c r="M775" s="68"/>
      <c r="O775" s="68"/>
      <c r="P775" s="68"/>
      <c r="Q775" s="68"/>
      <c r="R775" s="68"/>
      <c r="S775" s="68"/>
    </row>
    <row r="776" spans="1:19" ht="15.75" customHeight="1">
      <c r="A776" s="68"/>
      <c r="B776" s="68"/>
      <c r="D776" s="68"/>
      <c r="E776" s="69"/>
      <c r="M776" s="68"/>
      <c r="O776" s="68"/>
      <c r="P776" s="68"/>
      <c r="Q776" s="68"/>
      <c r="R776" s="68"/>
      <c r="S776" s="68"/>
    </row>
    <row r="777" spans="1:19" ht="15.75" customHeight="1">
      <c r="A777" s="68"/>
      <c r="B777" s="68"/>
      <c r="D777" s="68"/>
      <c r="E777" s="69"/>
      <c r="M777" s="68"/>
      <c r="O777" s="68"/>
      <c r="P777" s="68"/>
      <c r="Q777" s="68"/>
      <c r="R777" s="68"/>
      <c r="S777" s="68"/>
    </row>
    <row r="778" spans="1:19" ht="15.75" customHeight="1">
      <c r="A778" s="68"/>
      <c r="B778" s="68"/>
      <c r="D778" s="68"/>
      <c r="E778" s="69"/>
      <c r="M778" s="68"/>
      <c r="O778" s="68"/>
      <c r="P778" s="68"/>
      <c r="Q778" s="68"/>
      <c r="R778" s="68"/>
      <c r="S778" s="68"/>
    </row>
    <row r="779" spans="1:19" ht="15.75" customHeight="1">
      <c r="A779" s="68"/>
      <c r="B779" s="68"/>
      <c r="D779" s="68"/>
      <c r="E779" s="69"/>
      <c r="M779" s="68"/>
      <c r="O779" s="68"/>
      <c r="P779" s="68"/>
      <c r="Q779" s="68"/>
      <c r="R779" s="68"/>
      <c r="S779" s="68"/>
    </row>
    <row r="780" spans="1:19" ht="15.75" customHeight="1">
      <c r="A780" s="68"/>
      <c r="B780" s="68"/>
      <c r="D780" s="68"/>
      <c r="E780" s="69"/>
      <c r="M780" s="68"/>
      <c r="O780" s="68"/>
      <c r="P780" s="68"/>
      <c r="Q780" s="68"/>
      <c r="R780" s="68"/>
      <c r="S780" s="68"/>
    </row>
    <row r="781" spans="1:19" ht="15.75" customHeight="1">
      <c r="A781" s="68"/>
      <c r="B781" s="68"/>
      <c r="D781" s="68"/>
      <c r="E781" s="69"/>
      <c r="M781" s="68"/>
      <c r="O781" s="68"/>
      <c r="P781" s="68"/>
      <c r="Q781" s="68"/>
      <c r="R781" s="68"/>
      <c r="S781" s="68"/>
    </row>
    <row r="782" spans="1:19" ht="15.75" customHeight="1">
      <c r="A782" s="68"/>
      <c r="B782" s="68"/>
      <c r="D782" s="68"/>
      <c r="E782" s="69"/>
      <c r="M782" s="68"/>
      <c r="O782" s="68"/>
      <c r="P782" s="68"/>
      <c r="Q782" s="68"/>
      <c r="R782" s="68"/>
      <c r="S782" s="68"/>
    </row>
    <row r="783" spans="1:19" ht="15.75" customHeight="1">
      <c r="A783" s="68"/>
      <c r="B783" s="68"/>
      <c r="D783" s="68"/>
      <c r="E783" s="69"/>
      <c r="M783" s="68"/>
      <c r="O783" s="68"/>
      <c r="P783" s="68"/>
      <c r="Q783" s="68"/>
      <c r="R783" s="68"/>
      <c r="S783" s="68"/>
    </row>
    <row r="784" spans="1:19" ht="15.75" customHeight="1">
      <c r="A784" s="68"/>
      <c r="B784" s="68"/>
      <c r="D784" s="68"/>
      <c r="E784" s="69"/>
      <c r="M784" s="68"/>
      <c r="O784" s="68"/>
      <c r="P784" s="68"/>
      <c r="Q784" s="68"/>
      <c r="R784" s="68"/>
      <c r="S784" s="68"/>
    </row>
    <row r="785" spans="1:19" ht="15.75" customHeight="1">
      <c r="A785" s="68"/>
      <c r="B785" s="68"/>
      <c r="D785" s="68"/>
      <c r="E785" s="69"/>
      <c r="M785" s="68"/>
      <c r="O785" s="68"/>
      <c r="P785" s="68"/>
      <c r="Q785" s="68"/>
      <c r="R785" s="68"/>
      <c r="S785" s="68"/>
    </row>
    <row r="786" spans="1:19" ht="15.75" customHeight="1">
      <c r="A786" s="68"/>
      <c r="B786" s="68"/>
      <c r="D786" s="68"/>
      <c r="E786" s="69"/>
      <c r="M786" s="68"/>
      <c r="O786" s="68"/>
      <c r="P786" s="68"/>
      <c r="Q786" s="68"/>
      <c r="R786" s="68"/>
      <c r="S786" s="68"/>
    </row>
    <row r="787" spans="1:19" ht="15.75" customHeight="1">
      <c r="A787" s="68"/>
      <c r="B787" s="68"/>
      <c r="D787" s="68"/>
      <c r="E787" s="69"/>
      <c r="M787" s="68"/>
      <c r="O787" s="68"/>
      <c r="P787" s="68"/>
      <c r="Q787" s="68"/>
      <c r="R787" s="68"/>
      <c r="S787" s="68"/>
    </row>
    <row r="788" spans="1:19" ht="15.75" customHeight="1">
      <c r="A788" s="68"/>
      <c r="B788" s="68"/>
      <c r="D788" s="68"/>
      <c r="E788" s="69"/>
      <c r="M788" s="68"/>
      <c r="O788" s="68"/>
      <c r="P788" s="68"/>
      <c r="Q788" s="68"/>
      <c r="R788" s="68"/>
      <c r="S788" s="68"/>
    </row>
    <row r="789" spans="1:19" ht="15.75" customHeight="1">
      <c r="A789" s="68"/>
      <c r="B789" s="68"/>
      <c r="D789" s="68"/>
      <c r="E789" s="69"/>
      <c r="M789" s="68"/>
      <c r="O789" s="68"/>
      <c r="P789" s="68"/>
      <c r="Q789" s="68"/>
      <c r="R789" s="68"/>
      <c r="S789" s="68"/>
    </row>
    <row r="790" spans="1:19" ht="15.75" customHeight="1">
      <c r="A790" s="68"/>
      <c r="B790" s="68"/>
      <c r="D790" s="68"/>
      <c r="E790" s="69"/>
      <c r="M790" s="68"/>
      <c r="O790" s="68"/>
      <c r="P790" s="68"/>
      <c r="Q790" s="68"/>
      <c r="R790" s="68"/>
      <c r="S790" s="68"/>
    </row>
    <row r="791" spans="1:19" ht="15.75" customHeight="1">
      <c r="A791" s="68"/>
      <c r="B791" s="68"/>
      <c r="D791" s="68"/>
      <c r="E791" s="69"/>
      <c r="M791" s="68"/>
      <c r="O791" s="68"/>
      <c r="P791" s="68"/>
      <c r="Q791" s="68"/>
      <c r="R791" s="68"/>
      <c r="S791" s="68"/>
    </row>
    <row r="792" spans="1:19" ht="15.75" customHeight="1">
      <c r="A792" s="68"/>
      <c r="B792" s="68"/>
      <c r="D792" s="68"/>
      <c r="E792" s="69"/>
      <c r="M792" s="68"/>
      <c r="O792" s="68"/>
      <c r="P792" s="68"/>
      <c r="Q792" s="68"/>
      <c r="R792" s="68"/>
      <c r="S792" s="68"/>
    </row>
    <row r="793" spans="1:19" ht="15.75" customHeight="1">
      <c r="A793" s="68"/>
      <c r="B793" s="68"/>
      <c r="D793" s="68"/>
      <c r="E793" s="69"/>
      <c r="M793" s="68"/>
      <c r="O793" s="68"/>
      <c r="P793" s="68"/>
      <c r="Q793" s="68"/>
      <c r="R793" s="68"/>
      <c r="S793" s="68"/>
    </row>
    <row r="794" spans="1:19" ht="15.75" customHeight="1">
      <c r="A794" s="68"/>
      <c r="B794" s="68"/>
      <c r="D794" s="68"/>
      <c r="E794" s="69"/>
      <c r="M794" s="68"/>
      <c r="O794" s="68"/>
      <c r="P794" s="68"/>
      <c r="Q794" s="68"/>
      <c r="R794" s="68"/>
      <c r="S794" s="68"/>
    </row>
    <row r="795" spans="1:19" ht="15.75" customHeight="1">
      <c r="A795" s="68"/>
      <c r="B795" s="68"/>
      <c r="D795" s="68"/>
      <c r="E795" s="69"/>
      <c r="M795" s="68"/>
      <c r="O795" s="68"/>
      <c r="P795" s="68"/>
      <c r="Q795" s="68"/>
      <c r="R795" s="68"/>
      <c r="S795" s="68"/>
    </row>
    <row r="796" spans="1:19" ht="15.75" customHeight="1">
      <c r="A796" s="68"/>
      <c r="B796" s="68"/>
      <c r="D796" s="68"/>
      <c r="E796" s="69"/>
      <c r="M796" s="68"/>
      <c r="O796" s="68"/>
      <c r="P796" s="68"/>
      <c r="Q796" s="68"/>
      <c r="R796" s="68"/>
      <c r="S796" s="68"/>
    </row>
    <row r="797" spans="1:19" ht="15.75" customHeight="1">
      <c r="A797" s="68"/>
      <c r="B797" s="68"/>
      <c r="D797" s="68"/>
      <c r="E797" s="69"/>
      <c r="M797" s="68"/>
      <c r="O797" s="68"/>
      <c r="P797" s="68"/>
      <c r="Q797" s="68"/>
      <c r="R797" s="68"/>
      <c r="S797" s="68"/>
    </row>
    <row r="798" spans="1:19" ht="15.75" customHeight="1">
      <c r="A798" s="68"/>
      <c r="B798" s="68"/>
      <c r="D798" s="68"/>
      <c r="E798" s="69"/>
      <c r="M798" s="68"/>
      <c r="O798" s="68"/>
      <c r="P798" s="68"/>
      <c r="Q798" s="68"/>
      <c r="R798" s="68"/>
      <c r="S798" s="68"/>
    </row>
    <row r="799" spans="1:19" ht="15.75" customHeight="1">
      <c r="A799" s="68"/>
      <c r="B799" s="68"/>
      <c r="D799" s="68"/>
      <c r="E799" s="69"/>
      <c r="M799" s="68"/>
      <c r="O799" s="68"/>
      <c r="P799" s="68"/>
      <c r="Q799" s="68"/>
      <c r="R799" s="68"/>
      <c r="S799" s="68"/>
    </row>
    <row r="800" spans="1:19" ht="15.75" customHeight="1">
      <c r="A800" s="68"/>
      <c r="B800" s="68"/>
      <c r="D800" s="68"/>
      <c r="E800" s="69"/>
      <c r="M800" s="68"/>
      <c r="O800" s="68"/>
      <c r="P800" s="68"/>
      <c r="Q800" s="68"/>
      <c r="R800" s="68"/>
      <c r="S800" s="68"/>
    </row>
    <row r="801" spans="1:19" ht="15.75" customHeight="1">
      <c r="A801" s="68"/>
      <c r="B801" s="68"/>
      <c r="D801" s="68"/>
      <c r="E801" s="69"/>
      <c r="M801" s="68"/>
      <c r="O801" s="68"/>
      <c r="P801" s="68"/>
      <c r="Q801" s="68"/>
      <c r="R801" s="68"/>
      <c r="S801" s="68"/>
    </row>
    <row r="802" spans="1:19" ht="15.75" customHeight="1">
      <c r="A802" s="68"/>
      <c r="B802" s="68"/>
      <c r="D802" s="68"/>
      <c r="E802" s="69"/>
      <c r="M802" s="68"/>
      <c r="O802" s="68"/>
      <c r="P802" s="68"/>
      <c r="Q802" s="68"/>
      <c r="R802" s="68"/>
      <c r="S802" s="68"/>
    </row>
    <row r="803" spans="1:19" ht="15.75" customHeight="1">
      <c r="A803" s="68"/>
      <c r="B803" s="68"/>
      <c r="D803" s="68"/>
      <c r="E803" s="69"/>
      <c r="M803" s="68"/>
      <c r="O803" s="68"/>
      <c r="P803" s="68"/>
      <c r="Q803" s="68"/>
      <c r="R803" s="68"/>
      <c r="S803" s="68"/>
    </row>
    <row r="804" spans="1:19" ht="15.75" customHeight="1">
      <c r="A804" s="68"/>
      <c r="B804" s="68"/>
      <c r="D804" s="68"/>
      <c r="E804" s="69"/>
      <c r="M804" s="68"/>
      <c r="O804" s="68"/>
      <c r="P804" s="68"/>
      <c r="Q804" s="68"/>
      <c r="R804" s="68"/>
      <c r="S804" s="68"/>
    </row>
    <row r="805" spans="1:19" ht="15.75" customHeight="1">
      <c r="A805" s="68"/>
      <c r="B805" s="68"/>
      <c r="D805" s="68"/>
      <c r="E805" s="69"/>
      <c r="M805" s="68"/>
      <c r="O805" s="68"/>
      <c r="P805" s="68"/>
      <c r="Q805" s="68"/>
      <c r="R805" s="68"/>
      <c r="S805" s="68"/>
    </row>
    <row r="806" spans="1:19" ht="15.75" customHeight="1">
      <c r="A806" s="68"/>
      <c r="B806" s="68"/>
      <c r="D806" s="68"/>
      <c r="E806" s="69"/>
      <c r="M806" s="68"/>
      <c r="O806" s="68"/>
      <c r="P806" s="68"/>
      <c r="Q806" s="68"/>
      <c r="R806" s="68"/>
      <c r="S806" s="68"/>
    </row>
    <row r="807" spans="1:19" ht="15.75" customHeight="1">
      <c r="A807" s="68"/>
      <c r="B807" s="68"/>
      <c r="D807" s="68"/>
      <c r="E807" s="69"/>
      <c r="M807" s="68"/>
      <c r="O807" s="68"/>
      <c r="P807" s="68"/>
      <c r="Q807" s="68"/>
      <c r="R807" s="68"/>
      <c r="S807" s="68"/>
    </row>
    <row r="808" spans="1:19" ht="15.75" customHeight="1">
      <c r="A808" s="68"/>
      <c r="B808" s="68"/>
      <c r="D808" s="68"/>
      <c r="E808" s="69"/>
      <c r="M808" s="68"/>
      <c r="O808" s="68"/>
      <c r="P808" s="68"/>
      <c r="Q808" s="68"/>
      <c r="R808" s="68"/>
      <c r="S808" s="68"/>
    </row>
    <row r="809" spans="1:19" ht="15.75" customHeight="1">
      <c r="A809" s="68"/>
      <c r="B809" s="68"/>
      <c r="D809" s="68"/>
      <c r="E809" s="69"/>
      <c r="M809" s="68"/>
      <c r="O809" s="68"/>
      <c r="P809" s="68"/>
      <c r="Q809" s="68"/>
      <c r="R809" s="68"/>
      <c r="S809" s="68"/>
    </row>
    <row r="810" spans="1:19" ht="15.75" customHeight="1">
      <c r="A810" s="68"/>
      <c r="B810" s="68"/>
      <c r="D810" s="68"/>
      <c r="E810" s="69"/>
      <c r="M810" s="68"/>
      <c r="O810" s="68"/>
      <c r="P810" s="68"/>
      <c r="Q810" s="68"/>
      <c r="R810" s="68"/>
      <c r="S810" s="68"/>
    </row>
    <row r="811" spans="1:19" ht="15.75" customHeight="1">
      <c r="A811" s="68"/>
      <c r="B811" s="68"/>
      <c r="D811" s="68"/>
      <c r="E811" s="69"/>
      <c r="M811" s="68"/>
      <c r="O811" s="68"/>
      <c r="P811" s="68"/>
      <c r="Q811" s="68"/>
      <c r="R811" s="68"/>
      <c r="S811" s="68"/>
    </row>
    <row r="812" spans="1:19" ht="15.75" customHeight="1">
      <c r="A812" s="68"/>
      <c r="B812" s="68"/>
      <c r="D812" s="68"/>
      <c r="E812" s="69"/>
      <c r="M812" s="68"/>
      <c r="O812" s="68"/>
      <c r="P812" s="68"/>
      <c r="Q812" s="68"/>
      <c r="R812" s="68"/>
      <c r="S812" s="68"/>
    </row>
    <row r="813" spans="1:19" ht="15.75" customHeight="1">
      <c r="A813" s="68"/>
      <c r="B813" s="68"/>
      <c r="D813" s="68"/>
      <c r="E813" s="69"/>
      <c r="M813" s="68"/>
      <c r="O813" s="68"/>
      <c r="P813" s="68"/>
      <c r="Q813" s="68"/>
      <c r="R813" s="68"/>
      <c r="S813" s="68"/>
    </row>
    <row r="814" spans="1:19" ht="15.75" customHeight="1">
      <c r="A814" s="68"/>
      <c r="B814" s="68"/>
      <c r="D814" s="68"/>
      <c r="E814" s="69"/>
      <c r="M814" s="68"/>
      <c r="O814" s="68"/>
      <c r="P814" s="68"/>
      <c r="Q814" s="68"/>
      <c r="R814" s="68"/>
      <c r="S814" s="68"/>
    </row>
    <row r="815" spans="1:19" ht="15.75" customHeight="1">
      <c r="A815" s="68"/>
      <c r="B815" s="68"/>
      <c r="D815" s="68"/>
      <c r="E815" s="69"/>
      <c r="M815" s="68"/>
      <c r="O815" s="68"/>
      <c r="P815" s="68"/>
      <c r="Q815" s="68"/>
      <c r="R815" s="68"/>
      <c r="S815" s="68"/>
    </row>
    <row r="816" spans="1:19" ht="15.75" customHeight="1">
      <c r="A816" s="68"/>
      <c r="B816" s="68"/>
      <c r="D816" s="68"/>
      <c r="E816" s="69"/>
      <c r="M816" s="68"/>
      <c r="O816" s="68"/>
      <c r="P816" s="68"/>
      <c r="Q816" s="68"/>
      <c r="R816" s="68"/>
      <c r="S816" s="68"/>
    </row>
    <row r="817" spans="1:19" ht="15.75" customHeight="1">
      <c r="A817" s="68"/>
      <c r="B817" s="68"/>
      <c r="D817" s="68"/>
      <c r="E817" s="69"/>
      <c r="M817" s="68"/>
      <c r="O817" s="68"/>
      <c r="P817" s="68"/>
      <c r="Q817" s="68"/>
      <c r="R817" s="68"/>
      <c r="S817" s="68"/>
    </row>
    <row r="818" spans="1:19" ht="15.75" customHeight="1">
      <c r="A818" s="68"/>
      <c r="B818" s="68"/>
      <c r="D818" s="68"/>
      <c r="E818" s="69"/>
      <c r="M818" s="68"/>
      <c r="O818" s="68"/>
      <c r="P818" s="68"/>
      <c r="Q818" s="68"/>
      <c r="R818" s="68"/>
      <c r="S818" s="68"/>
    </row>
    <row r="819" spans="1:19" ht="15.75" customHeight="1">
      <c r="A819" s="68"/>
      <c r="B819" s="68"/>
      <c r="D819" s="68"/>
      <c r="E819" s="69"/>
      <c r="M819" s="68"/>
      <c r="O819" s="68"/>
      <c r="P819" s="68"/>
      <c r="Q819" s="68"/>
      <c r="R819" s="68"/>
      <c r="S819" s="68"/>
    </row>
    <row r="820" spans="1:19" ht="15.75" customHeight="1">
      <c r="A820" s="68"/>
      <c r="B820" s="68"/>
      <c r="D820" s="68"/>
      <c r="E820" s="69"/>
      <c r="M820" s="68"/>
      <c r="O820" s="68"/>
      <c r="P820" s="68"/>
      <c r="Q820" s="68"/>
      <c r="R820" s="68"/>
      <c r="S820" s="68"/>
    </row>
    <row r="821" spans="1:19" ht="15.75" customHeight="1">
      <c r="A821" s="68"/>
      <c r="B821" s="68"/>
      <c r="D821" s="68"/>
      <c r="E821" s="69"/>
      <c r="M821" s="68"/>
      <c r="O821" s="68"/>
      <c r="P821" s="68"/>
      <c r="Q821" s="68"/>
      <c r="R821" s="68"/>
      <c r="S821" s="68"/>
    </row>
    <row r="822" spans="1:19" ht="15.75" customHeight="1">
      <c r="A822" s="68"/>
      <c r="B822" s="68"/>
      <c r="D822" s="68"/>
      <c r="E822" s="69"/>
      <c r="M822" s="68"/>
      <c r="O822" s="68"/>
      <c r="P822" s="68"/>
      <c r="Q822" s="68"/>
      <c r="R822" s="68"/>
      <c r="S822" s="68"/>
    </row>
    <row r="823" spans="1:19" ht="15.75" customHeight="1">
      <c r="A823" s="68"/>
      <c r="B823" s="68"/>
      <c r="D823" s="68"/>
      <c r="E823" s="69"/>
      <c r="M823" s="68"/>
      <c r="O823" s="68"/>
      <c r="P823" s="68"/>
      <c r="Q823" s="68"/>
      <c r="R823" s="68"/>
      <c r="S823" s="68"/>
    </row>
    <row r="824" spans="1:19" ht="15.75" customHeight="1">
      <c r="A824" s="68"/>
      <c r="B824" s="68"/>
      <c r="D824" s="68"/>
      <c r="E824" s="69"/>
      <c r="M824" s="68"/>
      <c r="O824" s="68"/>
      <c r="P824" s="68"/>
      <c r="Q824" s="68"/>
      <c r="R824" s="68"/>
      <c r="S824" s="68"/>
    </row>
    <row r="825" spans="1:19" ht="15.75" customHeight="1">
      <c r="A825" s="68"/>
      <c r="B825" s="68"/>
      <c r="D825" s="68"/>
      <c r="E825" s="69"/>
      <c r="M825" s="68"/>
      <c r="O825" s="68"/>
      <c r="P825" s="68"/>
      <c r="Q825" s="68"/>
      <c r="R825" s="68"/>
      <c r="S825" s="68"/>
    </row>
    <row r="826" spans="1:19" ht="15.75" customHeight="1">
      <c r="A826" s="68"/>
      <c r="B826" s="68"/>
      <c r="D826" s="68"/>
      <c r="E826" s="69"/>
      <c r="M826" s="68"/>
      <c r="O826" s="68"/>
      <c r="P826" s="68"/>
      <c r="Q826" s="68"/>
      <c r="R826" s="68"/>
      <c r="S826" s="68"/>
    </row>
    <row r="827" spans="1:19" ht="15.75" customHeight="1">
      <c r="A827" s="68"/>
      <c r="B827" s="68"/>
      <c r="D827" s="68"/>
      <c r="E827" s="69"/>
      <c r="M827" s="68"/>
      <c r="O827" s="68"/>
      <c r="P827" s="68"/>
      <c r="Q827" s="68"/>
      <c r="R827" s="68"/>
      <c r="S827" s="68"/>
    </row>
    <row r="828" spans="1:19" ht="15.75" customHeight="1">
      <c r="A828" s="68"/>
      <c r="B828" s="68"/>
      <c r="D828" s="68"/>
      <c r="E828" s="69"/>
      <c r="M828" s="68"/>
      <c r="O828" s="68"/>
      <c r="P828" s="68"/>
      <c r="Q828" s="68"/>
      <c r="R828" s="68"/>
      <c r="S828" s="68"/>
    </row>
    <row r="829" spans="1:19" ht="15.75" customHeight="1">
      <c r="A829" s="68"/>
      <c r="B829" s="68"/>
      <c r="D829" s="68"/>
      <c r="E829" s="69"/>
      <c r="M829" s="68"/>
      <c r="O829" s="68"/>
      <c r="P829" s="68"/>
      <c r="Q829" s="68"/>
      <c r="R829" s="68"/>
      <c r="S829" s="68"/>
    </row>
    <row r="830" spans="1:19" ht="15.75" customHeight="1">
      <c r="A830" s="68"/>
      <c r="B830" s="68"/>
      <c r="D830" s="68"/>
      <c r="E830" s="69"/>
      <c r="M830" s="68"/>
      <c r="O830" s="68"/>
      <c r="P830" s="68"/>
      <c r="Q830" s="68"/>
      <c r="R830" s="68"/>
      <c r="S830" s="68"/>
    </row>
    <row r="831" spans="1:19" ht="15.75" customHeight="1">
      <c r="A831" s="68"/>
      <c r="B831" s="68"/>
      <c r="D831" s="68"/>
      <c r="E831" s="69"/>
      <c r="M831" s="68"/>
      <c r="O831" s="68"/>
      <c r="P831" s="68"/>
      <c r="Q831" s="68"/>
      <c r="R831" s="68"/>
      <c r="S831" s="68"/>
    </row>
    <row r="832" spans="1:19" ht="15.75" customHeight="1">
      <c r="A832" s="68"/>
      <c r="B832" s="68"/>
      <c r="D832" s="68"/>
      <c r="E832" s="69"/>
      <c r="M832" s="68"/>
      <c r="O832" s="68"/>
      <c r="P832" s="68"/>
      <c r="Q832" s="68"/>
      <c r="R832" s="68"/>
      <c r="S832" s="68"/>
    </row>
    <row r="833" spans="1:19" ht="15.75" customHeight="1">
      <c r="A833" s="68"/>
      <c r="B833" s="68"/>
      <c r="D833" s="68"/>
      <c r="E833" s="69"/>
      <c r="M833" s="68"/>
      <c r="O833" s="68"/>
      <c r="P833" s="68"/>
      <c r="Q833" s="68"/>
      <c r="R833" s="68"/>
      <c r="S833" s="68"/>
    </row>
    <row r="834" spans="1:19" ht="15.75" customHeight="1">
      <c r="A834" s="68"/>
      <c r="B834" s="68"/>
      <c r="D834" s="68"/>
      <c r="E834" s="69"/>
      <c r="M834" s="68"/>
      <c r="O834" s="68"/>
      <c r="P834" s="68"/>
      <c r="Q834" s="68"/>
      <c r="R834" s="68"/>
      <c r="S834" s="68"/>
    </row>
    <row r="835" spans="1:19" ht="15.75" customHeight="1">
      <c r="A835" s="68"/>
      <c r="B835" s="68"/>
      <c r="D835" s="68"/>
      <c r="E835" s="69"/>
      <c r="M835" s="68"/>
      <c r="O835" s="68"/>
      <c r="P835" s="68"/>
      <c r="Q835" s="68"/>
      <c r="R835" s="68"/>
      <c r="S835" s="68"/>
    </row>
    <row r="836" spans="1:19" ht="15.75" customHeight="1">
      <c r="A836" s="68"/>
      <c r="B836" s="68"/>
      <c r="D836" s="68"/>
      <c r="E836" s="69"/>
      <c r="M836" s="68"/>
      <c r="O836" s="68"/>
      <c r="P836" s="68"/>
      <c r="Q836" s="68"/>
      <c r="R836" s="68"/>
      <c r="S836" s="68"/>
    </row>
    <row r="837" spans="1:19" ht="15.75" customHeight="1">
      <c r="A837" s="68"/>
      <c r="B837" s="68"/>
      <c r="D837" s="68"/>
      <c r="E837" s="69"/>
      <c r="M837" s="68"/>
      <c r="O837" s="68"/>
      <c r="P837" s="68"/>
      <c r="Q837" s="68"/>
      <c r="R837" s="68"/>
      <c r="S837" s="68"/>
    </row>
    <row r="838" spans="1:19" ht="15.75" customHeight="1">
      <c r="A838" s="68"/>
      <c r="B838" s="68"/>
      <c r="D838" s="68"/>
      <c r="E838" s="69"/>
      <c r="M838" s="68"/>
      <c r="O838" s="68"/>
      <c r="P838" s="68"/>
      <c r="Q838" s="68"/>
      <c r="R838" s="68"/>
      <c r="S838" s="68"/>
    </row>
    <row r="839" spans="1:19" ht="15.75" customHeight="1">
      <c r="A839" s="68"/>
      <c r="B839" s="68"/>
      <c r="D839" s="68"/>
      <c r="E839" s="69"/>
      <c r="M839" s="68"/>
      <c r="O839" s="68"/>
      <c r="P839" s="68"/>
      <c r="Q839" s="68"/>
      <c r="R839" s="68"/>
      <c r="S839" s="68"/>
    </row>
    <row r="840" spans="1:19" ht="15.75" customHeight="1">
      <c r="A840" s="68"/>
      <c r="B840" s="68"/>
      <c r="D840" s="68"/>
      <c r="E840" s="69"/>
      <c r="M840" s="68"/>
      <c r="O840" s="68"/>
      <c r="P840" s="68"/>
      <c r="Q840" s="68"/>
      <c r="R840" s="68"/>
      <c r="S840" s="68"/>
    </row>
    <row r="841" spans="1:19" ht="15.75" customHeight="1">
      <c r="A841" s="68"/>
      <c r="B841" s="68"/>
      <c r="D841" s="68"/>
      <c r="E841" s="69"/>
      <c r="M841" s="68"/>
      <c r="O841" s="68"/>
      <c r="P841" s="68"/>
      <c r="Q841" s="68"/>
      <c r="R841" s="68"/>
      <c r="S841" s="68"/>
    </row>
    <row r="842" spans="1:19" ht="15.75" customHeight="1">
      <c r="A842" s="68"/>
      <c r="B842" s="68"/>
      <c r="D842" s="68"/>
      <c r="E842" s="69"/>
      <c r="M842" s="68"/>
      <c r="O842" s="68"/>
      <c r="P842" s="68"/>
      <c r="Q842" s="68"/>
      <c r="R842" s="68"/>
      <c r="S842" s="68"/>
    </row>
    <row r="843" spans="1:19" ht="15.75" customHeight="1">
      <c r="A843" s="68"/>
      <c r="B843" s="68"/>
      <c r="D843" s="68"/>
      <c r="E843" s="69"/>
      <c r="M843" s="68"/>
      <c r="O843" s="68"/>
      <c r="P843" s="68"/>
      <c r="Q843" s="68"/>
      <c r="R843" s="68"/>
      <c r="S843" s="68"/>
    </row>
    <row r="844" spans="1:19" ht="15.75" customHeight="1">
      <c r="A844" s="68"/>
      <c r="B844" s="68"/>
      <c r="D844" s="68"/>
      <c r="E844" s="69"/>
      <c r="M844" s="68"/>
      <c r="O844" s="68"/>
      <c r="P844" s="68"/>
      <c r="Q844" s="68"/>
      <c r="R844" s="68"/>
      <c r="S844" s="68"/>
    </row>
    <row r="845" spans="1:19" ht="15.75" customHeight="1">
      <c r="A845" s="68"/>
      <c r="B845" s="68"/>
      <c r="D845" s="68"/>
      <c r="E845" s="69"/>
      <c r="M845" s="68"/>
      <c r="O845" s="68"/>
      <c r="P845" s="68"/>
      <c r="Q845" s="68"/>
      <c r="R845" s="68"/>
      <c r="S845" s="68"/>
    </row>
    <row r="846" spans="1:19" ht="15.75" customHeight="1">
      <c r="A846" s="68"/>
      <c r="B846" s="68"/>
      <c r="D846" s="68"/>
      <c r="E846" s="69"/>
      <c r="M846" s="68"/>
      <c r="O846" s="68"/>
      <c r="P846" s="68"/>
      <c r="Q846" s="68"/>
      <c r="R846" s="68"/>
      <c r="S846" s="68"/>
    </row>
    <row r="847" spans="1:19" ht="15.75" customHeight="1">
      <c r="A847" s="68"/>
      <c r="B847" s="68"/>
      <c r="D847" s="68"/>
      <c r="E847" s="69"/>
      <c r="M847" s="68"/>
      <c r="O847" s="68"/>
      <c r="P847" s="68"/>
      <c r="Q847" s="68"/>
      <c r="R847" s="68"/>
      <c r="S847" s="68"/>
    </row>
    <row r="848" spans="1:19" ht="15.75" customHeight="1">
      <c r="A848" s="68"/>
      <c r="B848" s="68"/>
      <c r="D848" s="68"/>
      <c r="E848" s="69"/>
      <c r="M848" s="68"/>
      <c r="O848" s="68"/>
      <c r="P848" s="68"/>
      <c r="Q848" s="68"/>
      <c r="R848" s="68"/>
      <c r="S848" s="68"/>
    </row>
    <row r="849" spans="1:19" ht="15.75" customHeight="1">
      <c r="A849" s="68"/>
      <c r="B849" s="68"/>
      <c r="D849" s="68"/>
      <c r="E849" s="69"/>
      <c r="M849" s="68"/>
      <c r="O849" s="68"/>
      <c r="P849" s="68"/>
      <c r="Q849" s="68"/>
      <c r="R849" s="68"/>
      <c r="S849" s="68"/>
    </row>
    <row r="850" spans="1:19" ht="15.75" customHeight="1">
      <c r="A850" s="68"/>
      <c r="B850" s="68"/>
      <c r="D850" s="68"/>
      <c r="E850" s="69"/>
      <c r="M850" s="68"/>
      <c r="O850" s="68"/>
      <c r="P850" s="68"/>
      <c r="Q850" s="68"/>
      <c r="R850" s="68"/>
      <c r="S850" s="68"/>
    </row>
    <row r="851" spans="1:19" ht="15.75" customHeight="1">
      <c r="A851" s="68"/>
      <c r="B851" s="68"/>
      <c r="D851" s="68"/>
      <c r="E851" s="69"/>
      <c r="M851" s="68"/>
      <c r="O851" s="68"/>
      <c r="P851" s="68"/>
      <c r="Q851" s="68"/>
      <c r="R851" s="68"/>
      <c r="S851" s="68"/>
    </row>
    <row r="852" spans="1:19" ht="15.75" customHeight="1">
      <c r="A852" s="68"/>
      <c r="B852" s="68"/>
      <c r="D852" s="68"/>
      <c r="E852" s="69"/>
      <c r="M852" s="68"/>
      <c r="O852" s="68"/>
      <c r="P852" s="68"/>
      <c r="Q852" s="68"/>
      <c r="R852" s="68"/>
      <c r="S852" s="68"/>
    </row>
    <row r="853" spans="1:19" ht="15.75" customHeight="1">
      <c r="A853" s="68"/>
      <c r="B853" s="68"/>
      <c r="D853" s="68"/>
      <c r="E853" s="69"/>
      <c r="M853" s="68"/>
      <c r="O853" s="68"/>
      <c r="P853" s="68"/>
      <c r="Q853" s="68"/>
      <c r="R853" s="68"/>
      <c r="S853" s="68"/>
    </row>
    <row r="854" spans="1:19" ht="15.75" customHeight="1">
      <c r="A854" s="68"/>
      <c r="B854" s="68"/>
      <c r="D854" s="68"/>
      <c r="E854" s="69"/>
      <c r="M854" s="68"/>
      <c r="O854" s="68"/>
      <c r="P854" s="68"/>
      <c r="Q854" s="68"/>
      <c r="R854" s="68"/>
      <c r="S854" s="68"/>
    </row>
    <row r="855" spans="1:19" ht="15.75" customHeight="1">
      <c r="A855" s="68"/>
      <c r="B855" s="68"/>
      <c r="D855" s="68"/>
      <c r="E855" s="69"/>
      <c r="M855" s="68"/>
      <c r="O855" s="68"/>
      <c r="P855" s="68"/>
      <c r="Q855" s="68"/>
      <c r="R855" s="68"/>
      <c r="S855" s="68"/>
    </row>
    <row r="856" spans="1:19" ht="15.75" customHeight="1">
      <c r="A856" s="68"/>
      <c r="B856" s="68"/>
      <c r="D856" s="68"/>
      <c r="E856" s="69"/>
      <c r="M856" s="68"/>
      <c r="O856" s="68"/>
      <c r="P856" s="68"/>
      <c r="Q856" s="68"/>
      <c r="R856" s="68"/>
      <c r="S856" s="68"/>
    </row>
    <row r="857" spans="1:19" ht="15.75" customHeight="1">
      <c r="A857" s="68"/>
      <c r="B857" s="68"/>
      <c r="D857" s="68"/>
      <c r="E857" s="69"/>
      <c r="M857" s="68"/>
      <c r="O857" s="68"/>
      <c r="P857" s="68"/>
      <c r="Q857" s="68"/>
      <c r="R857" s="68"/>
      <c r="S857" s="68"/>
    </row>
    <row r="858" spans="1:19" ht="15.75" customHeight="1">
      <c r="A858" s="68"/>
      <c r="B858" s="68"/>
      <c r="D858" s="68"/>
      <c r="E858" s="69"/>
      <c r="M858" s="68"/>
      <c r="O858" s="68"/>
      <c r="P858" s="68"/>
      <c r="Q858" s="68"/>
      <c r="R858" s="68"/>
      <c r="S858" s="68"/>
    </row>
    <row r="859" spans="1:19" ht="15.75" customHeight="1">
      <c r="A859" s="68"/>
      <c r="B859" s="68"/>
      <c r="D859" s="68"/>
      <c r="E859" s="69"/>
      <c r="M859" s="68"/>
      <c r="O859" s="68"/>
      <c r="P859" s="68"/>
      <c r="Q859" s="68"/>
      <c r="R859" s="68"/>
      <c r="S859" s="68"/>
    </row>
    <row r="860" spans="1:19" ht="15.75" customHeight="1">
      <c r="A860" s="68"/>
      <c r="B860" s="68"/>
      <c r="D860" s="68"/>
      <c r="E860" s="69"/>
      <c r="M860" s="68"/>
      <c r="O860" s="68"/>
      <c r="P860" s="68"/>
      <c r="Q860" s="68"/>
      <c r="R860" s="68"/>
      <c r="S860" s="68"/>
    </row>
    <row r="861" spans="1:19" ht="15.75" customHeight="1">
      <c r="A861" s="68"/>
      <c r="B861" s="68"/>
      <c r="D861" s="68"/>
      <c r="E861" s="69"/>
      <c r="M861" s="68"/>
      <c r="O861" s="68"/>
      <c r="P861" s="68"/>
      <c r="Q861" s="68"/>
      <c r="R861" s="68"/>
      <c r="S861" s="68"/>
    </row>
    <row r="862" spans="1:19" ht="15.75" customHeight="1">
      <c r="A862" s="68"/>
      <c r="B862" s="68"/>
      <c r="D862" s="68"/>
      <c r="E862" s="69"/>
      <c r="M862" s="68"/>
      <c r="O862" s="68"/>
      <c r="P862" s="68"/>
      <c r="Q862" s="68"/>
      <c r="R862" s="68"/>
      <c r="S862" s="68"/>
    </row>
    <row r="863" spans="1:19" ht="15.75" customHeight="1">
      <c r="A863" s="68"/>
      <c r="B863" s="68"/>
      <c r="D863" s="68"/>
      <c r="E863" s="69"/>
      <c r="M863" s="68"/>
      <c r="O863" s="68"/>
      <c r="P863" s="68"/>
      <c r="Q863" s="68"/>
      <c r="R863" s="68"/>
      <c r="S863" s="68"/>
    </row>
    <row r="864" spans="1:19" ht="15.75" customHeight="1">
      <c r="A864" s="68"/>
      <c r="B864" s="68"/>
      <c r="D864" s="68"/>
      <c r="E864" s="69"/>
      <c r="M864" s="68"/>
      <c r="O864" s="68"/>
      <c r="P864" s="68"/>
      <c r="Q864" s="68"/>
      <c r="R864" s="68"/>
      <c r="S864" s="68"/>
    </row>
    <row r="865" spans="1:19" ht="15.75" customHeight="1">
      <c r="A865" s="68"/>
      <c r="B865" s="68"/>
      <c r="D865" s="68"/>
      <c r="E865" s="69"/>
      <c r="M865" s="68"/>
      <c r="O865" s="68"/>
      <c r="P865" s="68"/>
      <c r="Q865" s="68"/>
      <c r="R865" s="68"/>
      <c r="S865" s="68"/>
    </row>
    <row r="866" spans="1:19" ht="15.75" customHeight="1">
      <c r="A866" s="68"/>
      <c r="B866" s="68"/>
      <c r="D866" s="68"/>
      <c r="E866" s="69"/>
      <c r="M866" s="68"/>
      <c r="O866" s="68"/>
      <c r="P866" s="68"/>
      <c r="Q866" s="68"/>
      <c r="R866" s="68"/>
      <c r="S866" s="68"/>
    </row>
    <row r="867" spans="1:19" ht="15.75" customHeight="1">
      <c r="A867" s="68"/>
      <c r="B867" s="68"/>
      <c r="D867" s="68"/>
      <c r="E867" s="69"/>
      <c r="M867" s="68"/>
      <c r="O867" s="68"/>
      <c r="P867" s="68"/>
      <c r="Q867" s="68"/>
      <c r="R867" s="68"/>
      <c r="S867" s="68"/>
    </row>
    <row r="868" spans="1:19" ht="15.75" customHeight="1">
      <c r="A868" s="68"/>
      <c r="B868" s="68"/>
      <c r="D868" s="68"/>
      <c r="E868" s="69"/>
      <c r="M868" s="68"/>
      <c r="O868" s="68"/>
      <c r="P868" s="68"/>
      <c r="Q868" s="68"/>
      <c r="R868" s="68"/>
      <c r="S868" s="68"/>
    </row>
    <row r="869" spans="1:19" ht="15.75" customHeight="1">
      <c r="A869" s="68"/>
      <c r="B869" s="68"/>
      <c r="D869" s="68"/>
      <c r="E869" s="69"/>
      <c r="M869" s="68"/>
      <c r="O869" s="68"/>
      <c r="P869" s="68"/>
      <c r="Q869" s="68"/>
      <c r="R869" s="68"/>
      <c r="S869" s="68"/>
    </row>
    <row r="870" spans="1:19" ht="15.75" customHeight="1">
      <c r="A870" s="68"/>
      <c r="B870" s="68"/>
      <c r="D870" s="68"/>
      <c r="E870" s="69"/>
      <c r="M870" s="68"/>
      <c r="O870" s="68"/>
      <c r="P870" s="68"/>
      <c r="Q870" s="68"/>
      <c r="R870" s="68"/>
      <c r="S870" s="68"/>
    </row>
    <row r="871" spans="1:19" ht="15.75" customHeight="1">
      <c r="A871" s="68"/>
      <c r="B871" s="68"/>
      <c r="D871" s="68"/>
      <c r="E871" s="69"/>
      <c r="M871" s="68"/>
      <c r="O871" s="68"/>
      <c r="P871" s="68"/>
      <c r="Q871" s="68"/>
      <c r="R871" s="68"/>
      <c r="S871" s="68"/>
    </row>
    <row r="872" spans="1:19" ht="15.75" customHeight="1">
      <c r="A872" s="68"/>
      <c r="B872" s="68"/>
      <c r="D872" s="68"/>
      <c r="E872" s="69"/>
      <c r="M872" s="68"/>
      <c r="O872" s="68"/>
      <c r="P872" s="68"/>
      <c r="Q872" s="68"/>
      <c r="R872" s="68"/>
      <c r="S872" s="68"/>
    </row>
    <row r="873" spans="1:19" ht="15.75" customHeight="1">
      <c r="A873" s="68"/>
      <c r="B873" s="68"/>
      <c r="D873" s="68"/>
      <c r="E873" s="69"/>
      <c r="M873" s="68"/>
      <c r="O873" s="68"/>
      <c r="P873" s="68"/>
      <c r="Q873" s="68"/>
      <c r="R873" s="68"/>
      <c r="S873" s="68"/>
    </row>
    <row r="874" spans="1:19" ht="15.75" customHeight="1">
      <c r="A874" s="68"/>
      <c r="B874" s="68"/>
      <c r="D874" s="68"/>
      <c r="E874" s="69"/>
      <c r="M874" s="68"/>
      <c r="O874" s="68"/>
      <c r="P874" s="68"/>
      <c r="Q874" s="68"/>
      <c r="R874" s="68"/>
      <c r="S874" s="68"/>
    </row>
    <row r="875" spans="1:19" ht="15.75" customHeight="1">
      <c r="A875" s="68"/>
      <c r="B875" s="68"/>
      <c r="D875" s="68"/>
      <c r="E875" s="69"/>
      <c r="M875" s="68"/>
      <c r="O875" s="68"/>
      <c r="P875" s="68"/>
      <c r="Q875" s="68"/>
      <c r="R875" s="68"/>
      <c r="S875" s="68"/>
    </row>
    <row r="876" spans="1:19" ht="15.75" customHeight="1">
      <c r="A876" s="68"/>
      <c r="B876" s="68"/>
      <c r="D876" s="68"/>
      <c r="E876" s="69"/>
      <c r="M876" s="68"/>
      <c r="O876" s="68"/>
      <c r="P876" s="68"/>
      <c r="Q876" s="68"/>
      <c r="R876" s="68"/>
      <c r="S876" s="68"/>
    </row>
    <row r="877" spans="1:19" ht="15.75" customHeight="1">
      <c r="A877" s="68"/>
      <c r="B877" s="68"/>
      <c r="D877" s="68"/>
      <c r="E877" s="69"/>
      <c r="M877" s="68"/>
      <c r="O877" s="68"/>
      <c r="P877" s="68"/>
      <c r="Q877" s="68"/>
      <c r="R877" s="68"/>
      <c r="S877" s="68"/>
    </row>
    <row r="878" spans="1:19" ht="15.75" customHeight="1">
      <c r="A878" s="68"/>
      <c r="B878" s="68"/>
      <c r="D878" s="68"/>
      <c r="E878" s="69"/>
      <c r="M878" s="68"/>
      <c r="O878" s="68"/>
      <c r="P878" s="68"/>
      <c r="Q878" s="68"/>
      <c r="R878" s="68"/>
      <c r="S878" s="68"/>
    </row>
    <row r="879" spans="1:19" ht="15.75" customHeight="1">
      <c r="A879" s="68"/>
      <c r="B879" s="68"/>
      <c r="D879" s="68"/>
      <c r="E879" s="69"/>
      <c r="M879" s="68"/>
      <c r="O879" s="68"/>
      <c r="P879" s="68"/>
      <c r="Q879" s="68"/>
      <c r="R879" s="68"/>
      <c r="S879" s="68"/>
    </row>
    <row r="880" spans="1:19" ht="15.75" customHeight="1">
      <c r="A880" s="68"/>
      <c r="B880" s="68"/>
      <c r="D880" s="68"/>
      <c r="E880" s="69"/>
      <c r="M880" s="68"/>
      <c r="O880" s="68"/>
      <c r="P880" s="68"/>
      <c r="Q880" s="68"/>
      <c r="R880" s="68"/>
      <c r="S880" s="68"/>
    </row>
    <row r="881" spans="1:19" ht="15.75" customHeight="1">
      <c r="A881" s="68"/>
      <c r="B881" s="68"/>
      <c r="D881" s="68"/>
      <c r="E881" s="69"/>
      <c r="M881" s="68"/>
      <c r="O881" s="68"/>
      <c r="P881" s="68"/>
      <c r="Q881" s="68"/>
      <c r="R881" s="68"/>
      <c r="S881" s="68"/>
    </row>
    <row r="882" spans="1:19" ht="15.75" customHeight="1">
      <c r="A882" s="68"/>
      <c r="B882" s="68"/>
      <c r="D882" s="68"/>
      <c r="E882" s="69"/>
      <c r="M882" s="68"/>
      <c r="O882" s="68"/>
      <c r="P882" s="68"/>
      <c r="Q882" s="68"/>
      <c r="R882" s="68"/>
      <c r="S882" s="68"/>
    </row>
    <row r="883" spans="1:19" ht="15.75" customHeight="1">
      <c r="A883" s="68"/>
      <c r="B883" s="68"/>
      <c r="D883" s="68"/>
      <c r="E883" s="69"/>
      <c r="M883" s="68"/>
      <c r="O883" s="68"/>
      <c r="P883" s="68"/>
      <c r="Q883" s="68"/>
      <c r="R883" s="68"/>
      <c r="S883" s="68"/>
    </row>
    <row r="884" spans="1:19" ht="15.75" customHeight="1">
      <c r="A884" s="68"/>
      <c r="B884" s="68"/>
      <c r="D884" s="68"/>
      <c r="E884" s="69"/>
      <c r="M884" s="68"/>
      <c r="O884" s="68"/>
      <c r="P884" s="68"/>
      <c r="Q884" s="68"/>
      <c r="R884" s="68"/>
      <c r="S884" s="68"/>
    </row>
    <row r="885" spans="1:19" ht="15.75" customHeight="1">
      <c r="A885" s="68"/>
      <c r="B885" s="68"/>
      <c r="D885" s="68"/>
      <c r="E885" s="69"/>
      <c r="M885" s="68"/>
      <c r="O885" s="68"/>
      <c r="P885" s="68"/>
      <c r="Q885" s="68"/>
      <c r="R885" s="68"/>
      <c r="S885" s="68"/>
    </row>
    <row r="886" spans="1:19" ht="15.75" customHeight="1">
      <c r="A886" s="68"/>
      <c r="B886" s="68"/>
      <c r="D886" s="68"/>
      <c r="E886" s="69"/>
      <c r="M886" s="68"/>
      <c r="O886" s="68"/>
      <c r="P886" s="68"/>
      <c r="Q886" s="68"/>
      <c r="R886" s="68"/>
      <c r="S886" s="68"/>
    </row>
    <row r="887" spans="1:19" ht="15.75" customHeight="1">
      <c r="A887" s="68"/>
      <c r="B887" s="68"/>
      <c r="D887" s="68"/>
      <c r="E887" s="69"/>
      <c r="M887" s="68"/>
      <c r="O887" s="68"/>
      <c r="P887" s="68"/>
      <c r="Q887" s="68"/>
      <c r="R887" s="68"/>
      <c r="S887" s="68"/>
    </row>
    <row r="888" spans="1:19" ht="15.75" customHeight="1">
      <c r="A888" s="68"/>
      <c r="B888" s="68"/>
      <c r="D888" s="68"/>
      <c r="E888" s="69"/>
      <c r="M888" s="68"/>
      <c r="O888" s="68"/>
      <c r="P888" s="68"/>
      <c r="Q888" s="68"/>
      <c r="R888" s="68"/>
      <c r="S888" s="68"/>
    </row>
    <row r="889" spans="1:19" ht="15.75" customHeight="1">
      <c r="A889" s="68"/>
      <c r="B889" s="68"/>
      <c r="D889" s="68"/>
      <c r="E889" s="69"/>
      <c r="M889" s="68"/>
      <c r="O889" s="68"/>
      <c r="P889" s="68"/>
      <c r="Q889" s="68"/>
      <c r="R889" s="68"/>
      <c r="S889" s="68"/>
    </row>
    <row r="890" spans="1:19" ht="15.75" customHeight="1">
      <c r="A890" s="68"/>
      <c r="B890" s="68"/>
      <c r="D890" s="68"/>
      <c r="E890" s="69"/>
      <c r="M890" s="68"/>
      <c r="O890" s="68"/>
      <c r="P890" s="68"/>
      <c r="Q890" s="68"/>
      <c r="R890" s="68"/>
      <c r="S890" s="68"/>
    </row>
    <row r="891" spans="1:19" ht="15.75" customHeight="1">
      <c r="A891" s="68"/>
      <c r="B891" s="68"/>
      <c r="D891" s="68"/>
      <c r="E891" s="69"/>
      <c r="M891" s="68"/>
      <c r="O891" s="68"/>
      <c r="P891" s="68"/>
      <c r="Q891" s="68"/>
      <c r="R891" s="68"/>
      <c r="S891" s="68"/>
    </row>
    <row r="892" spans="1:19" ht="15.75" customHeight="1">
      <c r="A892" s="68"/>
      <c r="B892" s="68"/>
      <c r="D892" s="68"/>
      <c r="E892" s="69"/>
      <c r="M892" s="68"/>
      <c r="O892" s="68"/>
      <c r="P892" s="68"/>
      <c r="Q892" s="68"/>
      <c r="R892" s="68"/>
      <c r="S892" s="68"/>
    </row>
    <row r="893" spans="1:19" ht="15.75" customHeight="1">
      <c r="A893" s="68"/>
      <c r="B893" s="68"/>
      <c r="D893" s="68"/>
      <c r="E893" s="69"/>
      <c r="M893" s="68"/>
      <c r="O893" s="68"/>
      <c r="P893" s="68"/>
      <c r="Q893" s="68"/>
      <c r="R893" s="68"/>
      <c r="S893" s="68"/>
    </row>
    <row r="894" spans="1:19" ht="15.75" customHeight="1">
      <c r="A894" s="68"/>
      <c r="B894" s="68"/>
      <c r="D894" s="68"/>
      <c r="E894" s="69"/>
      <c r="M894" s="68"/>
      <c r="O894" s="68"/>
      <c r="P894" s="68"/>
      <c r="Q894" s="68"/>
      <c r="R894" s="68"/>
      <c r="S894" s="68"/>
    </row>
    <row r="895" spans="1:19" ht="15.75" customHeight="1">
      <c r="A895" s="68"/>
      <c r="B895" s="68"/>
      <c r="D895" s="68"/>
      <c r="E895" s="69"/>
      <c r="M895" s="68"/>
      <c r="O895" s="68"/>
      <c r="P895" s="68"/>
      <c r="Q895" s="68"/>
      <c r="R895" s="68"/>
      <c r="S895" s="68"/>
    </row>
    <row r="896" spans="1:19" ht="15.75" customHeight="1">
      <c r="A896" s="68"/>
      <c r="B896" s="68"/>
      <c r="D896" s="68"/>
      <c r="E896" s="69"/>
      <c r="M896" s="68"/>
      <c r="O896" s="68"/>
      <c r="P896" s="68"/>
      <c r="Q896" s="68"/>
      <c r="R896" s="68"/>
      <c r="S896" s="68"/>
    </row>
    <row r="897" spans="1:19" ht="15.75" customHeight="1">
      <c r="A897" s="68"/>
      <c r="B897" s="68"/>
      <c r="D897" s="68"/>
      <c r="E897" s="69"/>
      <c r="M897" s="68"/>
      <c r="O897" s="68"/>
      <c r="P897" s="68"/>
      <c r="Q897" s="68"/>
      <c r="R897" s="68"/>
      <c r="S897" s="68"/>
    </row>
    <row r="898" spans="1:19" ht="15.75" customHeight="1">
      <c r="A898" s="68"/>
      <c r="B898" s="68"/>
      <c r="D898" s="68"/>
      <c r="E898" s="69"/>
      <c r="M898" s="68"/>
      <c r="O898" s="68"/>
      <c r="P898" s="68"/>
      <c r="Q898" s="68"/>
      <c r="R898" s="68"/>
      <c r="S898" s="68"/>
    </row>
    <row r="899" spans="1:19" ht="15.75" customHeight="1">
      <c r="A899" s="68"/>
      <c r="B899" s="68"/>
      <c r="D899" s="68"/>
      <c r="E899" s="69"/>
      <c r="M899" s="68"/>
      <c r="O899" s="68"/>
      <c r="P899" s="68"/>
      <c r="Q899" s="68"/>
      <c r="R899" s="68"/>
      <c r="S899" s="68"/>
    </row>
    <row r="900" spans="1:19" ht="15.75" customHeight="1">
      <c r="A900" s="68"/>
      <c r="B900" s="68"/>
      <c r="D900" s="68"/>
      <c r="E900" s="69"/>
      <c r="M900" s="68"/>
      <c r="O900" s="68"/>
      <c r="P900" s="68"/>
      <c r="Q900" s="68"/>
      <c r="R900" s="68"/>
      <c r="S900" s="68"/>
    </row>
    <row r="901" spans="1:19" ht="15.75" customHeight="1">
      <c r="A901" s="68"/>
      <c r="B901" s="68"/>
      <c r="D901" s="68"/>
      <c r="E901" s="69"/>
      <c r="M901" s="68"/>
      <c r="O901" s="68"/>
      <c r="P901" s="68"/>
      <c r="Q901" s="68"/>
      <c r="R901" s="68"/>
      <c r="S901" s="68"/>
    </row>
    <row r="902" spans="1:19" ht="15.75" customHeight="1">
      <c r="A902" s="68"/>
      <c r="B902" s="68"/>
      <c r="D902" s="68"/>
      <c r="E902" s="69"/>
      <c r="M902" s="68"/>
      <c r="O902" s="68"/>
      <c r="P902" s="68"/>
      <c r="Q902" s="68"/>
      <c r="R902" s="68"/>
      <c r="S902" s="68"/>
    </row>
    <row r="903" spans="1:19" ht="15.75" customHeight="1">
      <c r="A903" s="68"/>
      <c r="B903" s="68"/>
      <c r="D903" s="68"/>
      <c r="E903" s="69"/>
      <c r="M903" s="68"/>
      <c r="O903" s="68"/>
      <c r="P903" s="68"/>
      <c r="Q903" s="68"/>
      <c r="R903" s="68"/>
      <c r="S903" s="68"/>
    </row>
    <row r="904" spans="1:19" ht="15.75" customHeight="1">
      <c r="A904" s="68"/>
      <c r="B904" s="68"/>
      <c r="D904" s="68"/>
      <c r="E904" s="69"/>
      <c r="M904" s="68"/>
      <c r="O904" s="68"/>
      <c r="P904" s="68"/>
      <c r="Q904" s="68"/>
      <c r="R904" s="68"/>
      <c r="S904" s="68"/>
    </row>
    <row r="905" spans="1:19" ht="15.75" customHeight="1">
      <c r="A905" s="68"/>
      <c r="B905" s="68"/>
      <c r="D905" s="68"/>
      <c r="E905" s="69"/>
      <c r="M905" s="68"/>
      <c r="O905" s="68"/>
      <c r="P905" s="68"/>
      <c r="Q905" s="68"/>
      <c r="R905" s="68"/>
      <c r="S905" s="68"/>
    </row>
    <row r="906" spans="1:19" ht="15.75" customHeight="1">
      <c r="A906" s="68"/>
      <c r="B906" s="68"/>
      <c r="D906" s="68"/>
      <c r="E906" s="69"/>
      <c r="M906" s="68"/>
      <c r="O906" s="68"/>
      <c r="P906" s="68"/>
      <c r="Q906" s="68"/>
      <c r="R906" s="68"/>
      <c r="S906" s="68"/>
    </row>
    <row r="907" spans="1:19" ht="15.75" customHeight="1">
      <c r="A907" s="68"/>
      <c r="B907" s="68"/>
      <c r="D907" s="68"/>
      <c r="E907" s="69"/>
      <c r="M907" s="68"/>
      <c r="O907" s="68"/>
      <c r="P907" s="68"/>
      <c r="Q907" s="68"/>
      <c r="R907" s="68"/>
      <c r="S907" s="68"/>
    </row>
    <row r="908" spans="1:19" ht="15.75" customHeight="1">
      <c r="A908" s="68"/>
      <c r="B908" s="68"/>
      <c r="D908" s="68"/>
      <c r="E908" s="69"/>
      <c r="M908" s="68"/>
      <c r="O908" s="68"/>
      <c r="P908" s="68"/>
      <c r="Q908" s="68"/>
      <c r="R908" s="68"/>
      <c r="S908" s="68"/>
    </row>
    <row r="909" spans="1:19" ht="15.75" customHeight="1">
      <c r="A909" s="68"/>
      <c r="B909" s="68"/>
      <c r="D909" s="68"/>
      <c r="E909" s="69"/>
      <c r="M909" s="68"/>
      <c r="O909" s="68"/>
      <c r="P909" s="68"/>
      <c r="Q909" s="68"/>
      <c r="R909" s="68"/>
      <c r="S909" s="68"/>
    </row>
    <row r="910" spans="1:19" ht="15.75" customHeight="1">
      <c r="A910" s="68"/>
      <c r="B910" s="68"/>
      <c r="D910" s="68"/>
      <c r="E910" s="69"/>
      <c r="M910" s="68"/>
      <c r="O910" s="68"/>
      <c r="P910" s="68"/>
      <c r="Q910" s="68"/>
      <c r="R910" s="68"/>
      <c r="S910" s="68"/>
    </row>
    <row r="911" spans="1:19" ht="15.75" customHeight="1">
      <c r="A911" s="68"/>
      <c r="B911" s="68"/>
      <c r="D911" s="68"/>
      <c r="E911" s="69"/>
      <c r="M911" s="68"/>
      <c r="O911" s="68"/>
      <c r="P911" s="68"/>
      <c r="Q911" s="68"/>
      <c r="R911" s="68"/>
      <c r="S911" s="68"/>
    </row>
    <row r="912" spans="1:19" ht="15.75" customHeight="1">
      <c r="A912" s="68"/>
      <c r="B912" s="68"/>
      <c r="D912" s="68"/>
      <c r="E912" s="69"/>
      <c r="M912" s="68"/>
      <c r="O912" s="68"/>
      <c r="P912" s="68"/>
      <c r="Q912" s="68"/>
      <c r="R912" s="68"/>
      <c r="S912" s="68"/>
    </row>
    <row r="913" spans="1:19" ht="15.75" customHeight="1">
      <c r="A913" s="68"/>
      <c r="B913" s="68"/>
      <c r="D913" s="68"/>
      <c r="E913" s="69"/>
      <c r="M913" s="68"/>
      <c r="O913" s="68"/>
      <c r="P913" s="68"/>
      <c r="Q913" s="68"/>
      <c r="R913" s="68"/>
      <c r="S913" s="68"/>
    </row>
    <row r="914" spans="1:19" ht="15.75" customHeight="1">
      <c r="A914" s="68"/>
      <c r="B914" s="68"/>
      <c r="D914" s="68"/>
      <c r="E914" s="69"/>
      <c r="M914" s="68"/>
      <c r="O914" s="68"/>
      <c r="P914" s="68"/>
      <c r="Q914" s="68"/>
      <c r="R914" s="68"/>
      <c r="S914" s="68"/>
    </row>
    <row r="915" spans="1:19" ht="15.75" customHeight="1">
      <c r="A915" s="68"/>
      <c r="B915" s="68"/>
      <c r="D915" s="68"/>
      <c r="E915" s="69"/>
      <c r="M915" s="68"/>
      <c r="O915" s="68"/>
      <c r="P915" s="68"/>
      <c r="Q915" s="68"/>
      <c r="R915" s="68"/>
      <c r="S915" s="68"/>
    </row>
    <row r="916" spans="1:19" ht="15.75" customHeight="1">
      <c r="A916" s="68"/>
      <c r="B916" s="68"/>
      <c r="D916" s="68"/>
      <c r="E916" s="69"/>
      <c r="M916" s="68"/>
      <c r="O916" s="68"/>
      <c r="P916" s="68"/>
      <c r="Q916" s="68"/>
      <c r="R916" s="68"/>
      <c r="S916" s="68"/>
    </row>
    <row r="917" spans="1:19" ht="15.75" customHeight="1">
      <c r="A917" s="68"/>
      <c r="B917" s="68"/>
      <c r="D917" s="68"/>
      <c r="E917" s="69"/>
      <c r="M917" s="68"/>
      <c r="O917" s="68"/>
      <c r="P917" s="68"/>
      <c r="Q917" s="68"/>
      <c r="R917" s="68"/>
      <c r="S917" s="68"/>
    </row>
    <row r="918" spans="1:19" ht="15.75" customHeight="1">
      <c r="A918" s="68"/>
      <c r="B918" s="68"/>
      <c r="D918" s="68"/>
      <c r="E918" s="69"/>
      <c r="M918" s="68"/>
      <c r="O918" s="68"/>
      <c r="P918" s="68"/>
      <c r="Q918" s="68"/>
      <c r="R918" s="68"/>
      <c r="S918" s="68"/>
    </row>
    <row r="919" spans="1:19" ht="15.75" customHeight="1">
      <c r="A919" s="68"/>
      <c r="B919" s="68"/>
      <c r="D919" s="68"/>
      <c r="E919" s="69"/>
      <c r="M919" s="68"/>
      <c r="O919" s="68"/>
      <c r="P919" s="68"/>
      <c r="Q919" s="68"/>
      <c r="R919" s="68"/>
      <c r="S919" s="68"/>
    </row>
    <row r="920" spans="1:19" ht="15.75" customHeight="1">
      <c r="A920" s="68"/>
      <c r="B920" s="68"/>
      <c r="D920" s="68"/>
      <c r="E920" s="69"/>
      <c r="M920" s="68"/>
      <c r="O920" s="68"/>
      <c r="P920" s="68"/>
      <c r="Q920" s="68"/>
      <c r="R920" s="68"/>
      <c r="S920" s="68"/>
    </row>
    <row r="921" spans="1:19" ht="15.75" customHeight="1">
      <c r="A921" s="68"/>
      <c r="B921" s="68"/>
      <c r="D921" s="68"/>
      <c r="E921" s="69"/>
      <c r="M921" s="68"/>
      <c r="O921" s="68"/>
      <c r="P921" s="68"/>
      <c r="Q921" s="68"/>
      <c r="R921" s="68"/>
      <c r="S921" s="68"/>
    </row>
    <row r="922" spans="1:19" ht="15.75" customHeight="1">
      <c r="A922" s="68"/>
      <c r="B922" s="68"/>
      <c r="D922" s="68"/>
      <c r="E922" s="69"/>
      <c r="M922" s="68"/>
      <c r="O922" s="68"/>
      <c r="P922" s="68"/>
      <c r="Q922" s="68"/>
      <c r="R922" s="68"/>
      <c r="S922" s="68"/>
    </row>
    <row r="923" spans="1:19" ht="15.75" customHeight="1">
      <c r="A923" s="68"/>
      <c r="B923" s="68"/>
      <c r="D923" s="68"/>
      <c r="E923" s="69"/>
      <c r="M923" s="68"/>
      <c r="O923" s="68"/>
      <c r="P923" s="68"/>
      <c r="Q923" s="68"/>
      <c r="R923" s="68"/>
      <c r="S923" s="68"/>
    </row>
    <row r="924" spans="1:19" ht="15.75" customHeight="1">
      <c r="A924" s="68"/>
      <c r="B924" s="68"/>
      <c r="D924" s="68"/>
      <c r="E924" s="69"/>
      <c r="M924" s="68"/>
      <c r="O924" s="68"/>
      <c r="P924" s="68"/>
      <c r="Q924" s="68"/>
      <c r="R924" s="68"/>
      <c r="S924" s="68"/>
    </row>
    <row r="925" spans="1:19" ht="15.75" customHeight="1">
      <c r="A925" s="68"/>
      <c r="B925" s="68"/>
      <c r="D925" s="68"/>
      <c r="E925" s="69"/>
      <c r="M925" s="68"/>
      <c r="O925" s="68"/>
      <c r="P925" s="68"/>
      <c r="Q925" s="68"/>
      <c r="R925" s="68"/>
      <c r="S925" s="68"/>
    </row>
    <row r="926" spans="1:19" ht="15.75" customHeight="1">
      <c r="A926" s="68"/>
      <c r="B926" s="68"/>
      <c r="D926" s="68"/>
      <c r="E926" s="69"/>
      <c r="M926" s="68"/>
      <c r="O926" s="68"/>
      <c r="P926" s="68"/>
      <c r="Q926" s="68"/>
      <c r="R926" s="68"/>
      <c r="S926" s="68"/>
    </row>
    <row r="927" spans="1:19" ht="15.75" customHeight="1">
      <c r="A927" s="68"/>
      <c r="B927" s="68"/>
      <c r="D927" s="68"/>
      <c r="E927" s="69"/>
      <c r="M927" s="68"/>
      <c r="O927" s="68"/>
      <c r="P927" s="68"/>
      <c r="Q927" s="68"/>
      <c r="R927" s="68"/>
      <c r="S927" s="68"/>
    </row>
    <row r="928" spans="1:19" ht="15.75" customHeight="1">
      <c r="A928" s="68"/>
      <c r="B928" s="68"/>
      <c r="D928" s="68"/>
      <c r="E928" s="69"/>
      <c r="M928" s="68"/>
      <c r="O928" s="68"/>
      <c r="P928" s="68"/>
      <c r="Q928" s="68"/>
      <c r="R928" s="68"/>
      <c r="S928" s="68"/>
    </row>
    <row r="929" spans="1:19" ht="15.75" customHeight="1">
      <c r="A929" s="68"/>
      <c r="B929" s="68"/>
      <c r="D929" s="68"/>
      <c r="E929" s="69"/>
      <c r="M929" s="68"/>
      <c r="O929" s="68"/>
      <c r="P929" s="68"/>
      <c r="Q929" s="68"/>
      <c r="R929" s="68"/>
      <c r="S929" s="68"/>
    </row>
    <row r="930" spans="1:19" ht="15.75" customHeight="1">
      <c r="A930" s="68"/>
      <c r="B930" s="68"/>
      <c r="D930" s="68"/>
      <c r="E930" s="69"/>
      <c r="M930" s="68"/>
      <c r="O930" s="68"/>
      <c r="P930" s="68"/>
      <c r="Q930" s="68"/>
      <c r="R930" s="68"/>
      <c r="S930" s="68"/>
    </row>
    <row r="931" spans="1:19" ht="15.75" customHeight="1">
      <c r="A931" s="68"/>
      <c r="B931" s="68"/>
      <c r="D931" s="68"/>
      <c r="E931" s="69"/>
      <c r="M931" s="68"/>
      <c r="O931" s="68"/>
      <c r="P931" s="68"/>
      <c r="Q931" s="68"/>
      <c r="R931" s="68"/>
      <c r="S931" s="68"/>
    </row>
    <row r="932" spans="1:19" ht="15.75" customHeight="1">
      <c r="A932" s="68"/>
      <c r="B932" s="68"/>
      <c r="D932" s="68"/>
      <c r="E932" s="69"/>
      <c r="M932" s="68"/>
      <c r="O932" s="68"/>
      <c r="P932" s="68"/>
      <c r="Q932" s="68"/>
      <c r="R932" s="68"/>
      <c r="S932" s="68"/>
    </row>
    <row r="933" spans="1:19" ht="15.75" customHeight="1">
      <c r="A933" s="68"/>
      <c r="B933" s="68"/>
      <c r="D933" s="68"/>
      <c r="E933" s="69"/>
      <c r="M933" s="68"/>
      <c r="O933" s="68"/>
      <c r="P933" s="68"/>
      <c r="Q933" s="68"/>
      <c r="R933" s="68"/>
      <c r="S933" s="68"/>
    </row>
    <row r="934" spans="1:19" ht="15.75" customHeight="1">
      <c r="A934" s="68"/>
      <c r="B934" s="68"/>
      <c r="D934" s="68"/>
      <c r="E934" s="69"/>
      <c r="M934" s="68"/>
      <c r="O934" s="68"/>
      <c r="P934" s="68"/>
      <c r="Q934" s="68"/>
      <c r="R934" s="68"/>
      <c r="S934" s="68"/>
    </row>
    <row r="935" spans="1:19" ht="15.75" customHeight="1">
      <c r="A935" s="68"/>
      <c r="B935" s="68"/>
      <c r="D935" s="68"/>
      <c r="E935" s="69"/>
      <c r="M935" s="68"/>
      <c r="O935" s="68"/>
      <c r="P935" s="68"/>
      <c r="Q935" s="68"/>
      <c r="R935" s="68"/>
      <c r="S935" s="68"/>
    </row>
    <row r="936" spans="1:19" ht="15.75" customHeight="1">
      <c r="A936" s="68"/>
      <c r="B936" s="68"/>
      <c r="D936" s="68"/>
      <c r="E936" s="69"/>
      <c r="M936" s="68"/>
      <c r="O936" s="68"/>
      <c r="P936" s="68"/>
      <c r="Q936" s="68"/>
      <c r="R936" s="68"/>
      <c r="S936" s="68"/>
    </row>
    <row r="937" spans="1:19" ht="15.75" customHeight="1">
      <c r="A937" s="68"/>
      <c r="B937" s="68"/>
      <c r="D937" s="68"/>
      <c r="E937" s="69"/>
      <c r="M937" s="68"/>
      <c r="O937" s="68"/>
      <c r="P937" s="68"/>
      <c r="Q937" s="68"/>
      <c r="R937" s="68"/>
      <c r="S937" s="68"/>
    </row>
    <row r="938" spans="1:19" ht="15.75" customHeight="1">
      <c r="A938" s="68"/>
      <c r="B938" s="68"/>
      <c r="D938" s="68"/>
      <c r="E938" s="69"/>
      <c r="M938" s="68"/>
      <c r="O938" s="68"/>
      <c r="P938" s="68"/>
      <c r="Q938" s="68"/>
      <c r="R938" s="68"/>
      <c r="S938" s="68"/>
    </row>
    <row r="939" spans="1:19" ht="15.75" customHeight="1">
      <c r="A939" s="68"/>
      <c r="B939" s="68"/>
      <c r="D939" s="68"/>
      <c r="E939" s="69"/>
      <c r="M939" s="68"/>
      <c r="O939" s="68"/>
      <c r="P939" s="68"/>
      <c r="Q939" s="68"/>
      <c r="R939" s="68"/>
      <c r="S939" s="68"/>
    </row>
    <row r="940" spans="1:19" ht="15.75" customHeight="1">
      <c r="A940" s="68"/>
      <c r="B940" s="68"/>
      <c r="D940" s="68"/>
      <c r="E940" s="69"/>
      <c r="M940" s="68"/>
      <c r="O940" s="68"/>
      <c r="P940" s="68"/>
      <c r="Q940" s="68"/>
      <c r="R940" s="68"/>
      <c r="S940" s="68"/>
    </row>
    <row r="941" spans="1:19" ht="15.75" customHeight="1">
      <c r="A941" s="68"/>
      <c r="B941" s="68"/>
      <c r="D941" s="68"/>
      <c r="E941" s="69"/>
      <c r="M941" s="68"/>
      <c r="O941" s="68"/>
      <c r="P941" s="68"/>
      <c r="Q941" s="68"/>
      <c r="R941" s="68"/>
      <c r="S941" s="68"/>
    </row>
    <row r="942" spans="1:19" ht="15.75" customHeight="1">
      <c r="A942" s="68"/>
      <c r="B942" s="68"/>
      <c r="D942" s="68"/>
      <c r="E942" s="69"/>
      <c r="M942" s="68"/>
      <c r="O942" s="68"/>
      <c r="P942" s="68"/>
      <c r="Q942" s="68"/>
      <c r="R942" s="68"/>
      <c r="S942" s="68"/>
    </row>
    <row r="943" spans="1:19" ht="15.75" customHeight="1">
      <c r="A943" s="68"/>
      <c r="B943" s="68"/>
      <c r="D943" s="68"/>
      <c r="E943" s="69"/>
      <c r="M943" s="68"/>
      <c r="O943" s="68"/>
      <c r="P943" s="68"/>
      <c r="Q943" s="68"/>
      <c r="R943" s="68"/>
      <c r="S943" s="68"/>
    </row>
    <row r="944" spans="1:19" ht="15.75" customHeight="1">
      <c r="A944" s="68"/>
      <c r="B944" s="68"/>
      <c r="D944" s="68"/>
      <c r="E944" s="69"/>
      <c r="M944" s="68"/>
      <c r="O944" s="68"/>
      <c r="P944" s="68"/>
      <c r="Q944" s="68"/>
      <c r="R944" s="68"/>
      <c r="S944" s="68"/>
    </row>
    <row r="945" spans="1:19" ht="15.75" customHeight="1">
      <c r="A945" s="68"/>
      <c r="B945" s="68"/>
      <c r="D945" s="68"/>
      <c r="E945" s="69"/>
      <c r="M945" s="68"/>
      <c r="O945" s="68"/>
      <c r="P945" s="68"/>
      <c r="Q945" s="68"/>
      <c r="R945" s="68"/>
      <c r="S945" s="68"/>
    </row>
    <row r="946" spans="1:19" ht="15.75" customHeight="1">
      <c r="A946" s="68"/>
      <c r="B946" s="68"/>
      <c r="D946" s="68"/>
      <c r="E946" s="69"/>
      <c r="M946" s="68"/>
      <c r="O946" s="68"/>
      <c r="P946" s="68"/>
      <c r="Q946" s="68"/>
      <c r="R946" s="68"/>
      <c r="S946" s="68"/>
    </row>
    <row r="947" spans="1:19" ht="15.75" customHeight="1">
      <c r="A947" s="68"/>
      <c r="B947" s="68"/>
      <c r="D947" s="68"/>
      <c r="E947" s="69"/>
      <c r="M947" s="68"/>
      <c r="O947" s="68"/>
      <c r="P947" s="68"/>
      <c r="Q947" s="68"/>
      <c r="R947" s="68"/>
      <c r="S947" s="68"/>
    </row>
    <row r="948" spans="1:19" ht="15.75" customHeight="1">
      <c r="A948" s="68"/>
      <c r="B948" s="68"/>
      <c r="D948" s="68"/>
      <c r="E948" s="69"/>
      <c r="M948" s="68"/>
      <c r="O948" s="68"/>
      <c r="P948" s="68"/>
      <c r="Q948" s="68"/>
      <c r="R948" s="68"/>
      <c r="S948" s="68"/>
    </row>
    <row r="949" spans="1:19" ht="15.75" customHeight="1">
      <c r="A949" s="68"/>
      <c r="B949" s="68"/>
      <c r="D949" s="68"/>
      <c r="E949" s="69"/>
      <c r="M949" s="68"/>
      <c r="O949" s="68"/>
      <c r="P949" s="68"/>
      <c r="Q949" s="68"/>
      <c r="R949" s="68"/>
      <c r="S949" s="68"/>
    </row>
    <row r="950" spans="1:19" ht="15.75" customHeight="1">
      <c r="A950" s="68"/>
      <c r="B950" s="68"/>
      <c r="D950" s="68"/>
      <c r="E950" s="69"/>
      <c r="M950" s="68"/>
      <c r="O950" s="68"/>
      <c r="P950" s="68"/>
      <c r="Q950" s="68"/>
      <c r="R950" s="68"/>
      <c r="S950" s="68"/>
    </row>
    <row r="951" spans="1:19" ht="15.75" customHeight="1">
      <c r="A951" s="68"/>
      <c r="B951" s="68"/>
      <c r="D951" s="68"/>
      <c r="E951" s="69"/>
      <c r="M951" s="68"/>
      <c r="O951" s="68"/>
      <c r="P951" s="68"/>
      <c r="Q951" s="68"/>
      <c r="R951" s="68"/>
      <c r="S951" s="68"/>
    </row>
    <row r="952" spans="1:19" ht="15.75" customHeight="1">
      <c r="A952" s="68"/>
      <c r="B952" s="68"/>
      <c r="D952" s="68"/>
      <c r="E952" s="69"/>
      <c r="M952" s="68"/>
      <c r="O952" s="68"/>
      <c r="P952" s="68"/>
      <c r="Q952" s="68"/>
      <c r="R952" s="68"/>
      <c r="S952" s="68"/>
    </row>
    <row r="953" spans="1:19" ht="15.75" customHeight="1">
      <c r="A953" s="68"/>
      <c r="B953" s="68"/>
      <c r="D953" s="68"/>
      <c r="E953" s="69"/>
      <c r="M953" s="68"/>
      <c r="O953" s="68"/>
      <c r="P953" s="68"/>
      <c r="Q953" s="68"/>
      <c r="R953" s="68"/>
      <c r="S953" s="68"/>
    </row>
    <row r="954" spans="1:19" ht="15.75" customHeight="1">
      <c r="A954" s="68"/>
      <c r="B954" s="68"/>
      <c r="D954" s="68"/>
      <c r="E954" s="69"/>
      <c r="M954" s="68"/>
      <c r="O954" s="68"/>
      <c r="P954" s="68"/>
      <c r="Q954" s="68"/>
      <c r="R954" s="68"/>
      <c r="S954" s="68"/>
    </row>
    <row r="955" spans="1:19" ht="15.75" customHeight="1">
      <c r="A955" s="68"/>
      <c r="B955" s="68"/>
      <c r="D955" s="68"/>
      <c r="E955" s="69"/>
      <c r="M955" s="68"/>
      <c r="O955" s="68"/>
      <c r="P955" s="68"/>
      <c r="Q955" s="68"/>
      <c r="R955" s="68"/>
      <c r="S955" s="68"/>
    </row>
    <row r="956" spans="1:19" ht="15.75" customHeight="1">
      <c r="A956" s="68"/>
      <c r="B956" s="68"/>
      <c r="D956" s="68"/>
      <c r="E956" s="69"/>
      <c r="M956" s="68"/>
      <c r="O956" s="68"/>
      <c r="P956" s="68"/>
      <c r="Q956" s="68"/>
      <c r="R956" s="68"/>
      <c r="S956" s="68"/>
    </row>
    <row r="957" spans="1:19" ht="15.75" customHeight="1">
      <c r="A957" s="68"/>
      <c r="B957" s="68"/>
      <c r="D957" s="68"/>
      <c r="E957" s="69"/>
      <c r="M957" s="68"/>
      <c r="O957" s="68"/>
      <c r="P957" s="68"/>
      <c r="Q957" s="68"/>
      <c r="R957" s="68"/>
      <c r="S957" s="68"/>
    </row>
    <row r="958" spans="1:19" ht="15.75" customHeight="1">
      <c r="A958" s="68"/>
      <c r="B958" s="68"/>
      <c r="D958" s="68"/>
      <c r="E958" s="69"/>
      <c r="M958" s="68"/>
      <c r="O958" s="68"/>
      <c r="P958" s="68"/>
      <c r="Q958" s="68"/>
      <c r="R958" s="68"/>
      <c r="S958" s="68"/>
    </row>
    <row r="959" spans="1:19" ht="15.75" customHeight="1">
      <c r="A959" s="68"/>
      <c r="B959" s="68"/>
      <c r="D959" s="68"/>
      <c r="E959" s="69"/>
      <c r="M959" s="68"/>
      <c r="O959" s="68"/>
      <c r="P959" s="68"/>
      <c r="Q959" s="68"/>
      <c r="R959" s="68"/>
      <c r="S959" s="68"/>
    </row>
    <row r="960" spans="1:19" ht="15.75" customHeight="1">
      <c r="A960" s="68"/>
      <c r="B960" s="68"/>
      <c r="D960" s="68"/>
      <c r="E960" s="69"/>
      <c r="M960" s="68"/>
      <c r="O960" s="68"/>
      <c r="P960" s="68"/>
      <c r="Q960" s="68"/>
      <c r="R960" s="68"/>
      <c r="S960" s="68"/>
    </row>
    <row r="961" spans="1:19" ht="15.75" customHeight="1">
      <c r="A961" s="68"/>
      <c r="B961" s="68"/>
      <c r="D961" s="68"/>
      <c r="E961" s="69"/>
      <c r="M961" s="68"/>
      <c r="O961" s="68"/>
      <c r="P961" s="68"/>
      <c r="Q961" s="68"/>
      <c r="R961" s="68"/>
      <c r="S961" s="68"/>
    </row>
    <row r="962" spans="1:19" ht="15.75" customHeight="1">
      <c r="A962" s="68"/>
      <c r="B962" s="68"/>
      <c r="D962" s="68"/>
      <c r="E962" s="69"/>
      <c r="M962" s="68"/>
      <c r="O962" s="68"/>
      <c r="P962" s="68"/>
      <c r="Q962" s="68"/>
      <c r="R962" s="68"/>
      <c r="S962" s="68"/>
    </row>
    <row r="963" spans="1:19" ht="15.75" customHeight="1">
      <c r="A963" s="68"/>
      <c r="B963" s="68"/>
      <c r="D963" s="68"/>
      <c r="E963" s="69"/>
      <c r="M963" s="68"/>
      <c r="O963" s="68"/>
      <c r="P963" s="68"/>
      <c r="Q963" s="68"/>
      <c r="R963" s="68"/>
      <c r="S963" s="68"/>
    </row>
    <row r="964" spans="1:19" ht="15.75" customHeight="1">
      <c r="A964" s="68"/>
      <c r="B964" s="68"/>
      <c r="D964" s="68"/>
      <c r="E964" s="69"/>
      <c r="M964" s="68"/>
      <c r="O964" s="68"/>
      <c r="P964" s="68"/>
      <c r="Q964" s="68"/>
      <c r="R964" s="68"/>
      <c r="S964" s="68"/>
    </row>
    <row r="965" spans="1:19" ht="15.75" customHeight="1">
      <c r="A965" s="68"/>
      <c r="B965" s="68"/>
      <c r="D965" s="68"/>
      <c r="E965" s="69"/>
      <c r="M965" s="68"/>
      <c r="O965" s="68"/>
      <c r="P965" s="68"/>
      <c r="Q965" s="68"/>
      <c r="R965" s="68"/>
      <c r="S965" s="68"/>
    </row>
    <row r="966" spans="1:19" ht="15.75" customHeight="1">
      <c r="A966" s="68"/>
      <c r="B966" s="68"/>
      <c r="D966" s="68"/>
      <c r="E966" s="69"/>
      <c r="M966" s="68"/>
      <c r="O966" s="68"/>
      <c r="P966" s="68"/>
      <c r="Q966" s="68"/>
      <c r="R966" s="68"/>
      <c r="S966" s="68"/>
    </row>
    <row r="967" spans="1:19" ht="15.75" customHeight="1">
      <c r="A967" s="68"/>
      <c r="B967" s="68"/>
      <c r="D967" s="68"/>
      <c r="E967" s="69"/>
      <c r="M967" s="68"/>
      <c r="O967" s="68"/>
      <c r="P967" s="68"/>
      <c r="Q967" s="68"/>
      <c r="R967" s="68"/>
      <c r="S967" s="68"/>
    </row>
    <row r="968" spans="1:19" ht="15.75" customHeight="1">
      <c r="A968" s="68"/>
      <c r="B968" s="68"/>
      <c r="D968" s="68"/>
      <c r="E968" s="69"/>
      <c r="M968" s="68"/>
      <c r="O968" s="68"/>
      <c r="P968" s="68"/>
      <c r="Q968" s="68"/>
      <c r="R968" s="68"/>
      <c r="S968" s="68"/>
    </row>
    <row r="969" spans="1:19" ht="15.75" customHeight="1">
      <c r="A969" s="68"/>
      <c r="B969" s="68"/>
      <c r="D969" s="68"/>
      <c r="E969" s="69"/>
      <c r="M969" s="68"/>
      <c r="O969" s="68"/>
      <c r="P969" s="68"/>
      <c r="Q969" s="68"/>
      <c r="R969" s="68"/>
      <c r="S969" s="68"/>
    </row>
    <row r="970" spans="1:19" ht="15.75" customHeight="1">
      <c r="A970" s="68"/>
      <c r="B970" s="68"/>
      <c r="D970" s="68"/>
      <c r="E970" s="69"/>
      <c r="M970" s="68"/>
      <c r="O970" s="68"/>
      <c r="P970" s="68"/>
      <c r="Q970" s="68"/>
      <c r="R970" s="68"/>
      <c r="S970" s="68"/>
    </row>
    <row r="971" spans="1:19" ht="15.75" customHeight="1">
      <c r="A971" s="68"/>
      <c r="B971" s="68"/>
      <c r="D971" s="68"/>
      <c r="E971" s="69"/>
      <c r="M971" s="68"/>
      <c r="O971" s="68"/>
      <c r="P971" s="68"/>
      <c r="Q971" s="68"/>
      <c r="R971" s="68"/>
      <c r="S971" s="68"/>
    </row>
    <row r="972" spans="1:19" ht="15.75" customHeight="1">
      <c r="A972" s="68"/>
      <c r="B972" s="68"/>
      <c r="D972" s="68"/>
      <c r="E972" s="69"/>
      <c r="M972" s="68"/>
      <c r="O972" s="68"/>
      <c r="P972" s="68"/>
      <c r="Q972" s="68"/>
      <c r="R972" s="68"/>
      <c r="S972" s="68"/>
    </row>
    <row r="973" spans="1:19" ht="15.75" customHeight="1">
      <c r="A973" s="68"/>
      <c r="B973" s="68"/>
      <c r="D973" s="68"/>
      <c r="E973" s="69"/>
      <c r="M973" s="68"/>
      <c r="O973" s="68"/>
      <c r="P973" s="68"/>
      <c r="Q973" s="68"/>
      <c r="R973" s="68"/>
      <c r="S973" s="68"/>
    </row>
    <row r="974" spans="1:19" ht="15.75" customHeight="1">
      <c r="A974" s="68"/>
      <c r="B974" s="68"/>
      <c r="D974" s="68"/>
      <c r="E974" s="69"/>
      <c r="M974" s="68"/>
      <c r="O974" s="68"/>
      <c r="P974" s="68"/>
      <c r="Q974" s="68"/>
      <c r="R974" s="68"/>
      <c r="S974" s="68"/>
    </row>
    <row r="975" spans="1:19" ht="15.75" customHeight="1">
      <c r="A975" s="68"/>
      <c r="B975" s="68"/>
      <c r="D975" s="68"/>
      <c r="E975" s="69"/>
      <c r="M975" s="68"/>
      <c r="O975" s="68"/>
      <c r="P975" s="68"/>
      <c r="Q975" s="68"/>
      <c r="R975" s="68"/>
      <c r="S975" s="68"/>
    </row>
    <row r="976" spans="1:19" ht="15.75" customHeight="1">
      <c r="A976" s="68"/>
      <c r="B976" s="68"/>
      <c r="D976" s="68"/>
      <c r="E976" s="69"/>
      <c r="M976" s="68"/>
      <c r="O976" s="68"/>
      <c r="P976" s="68"/>
      <c r="Q976" s="68"/>
      <c r="R976" s="68"/>
      <c r="S976" s="68"/>
    </row>
    <row r="977" spans="1:19" ht="15.75" customHeight="1">
      <c r="A977" s="68"/>
      <c r="B977" s="68"/>
      <c r="D977" s="68"/>
      <c r="E977" s="69"/>
      <c r="M977" s="68"/>
      <c r="O977" s="68"/>
      <c r="P977" s="68"/>
      <c r="Q977" s="68"/>
      <c r="R977" s="68"/>
      <c r="S977" s="68"/>
    </row>
    <row r="978" spans="1:19" ht="15.75" customHeight="1">
      <c r="A978" s="68"/>
      <c r="B978" s="68"/>
      <c r="D978" s="68"/>
      <c r="E978" s="69"/>
      <c r="M978" s="68"/>
      <c r="O978" s="68"/>
      <c r="P978" s="68"/>
      <c r="Q978" s="68"/>
      <c r="R978" s="68"/>
      <c r="S978" s="68"/>
    </row>
    <row r="979" spans="1:19" ht="15.75" customHeight="1">
      <c r="A979" s="68"/>
      <c r="B979" s="68"/>
      <c r="D979" s="68"/>
      <c r="E979" s="69"/>
      <c r="M979" s="68"/>
      <c r="O979" s="68"/>
      <c r="P979" s="68"/>
      <c r="Q979" s="68"/>
      <c r="R979" s="68"/>
      <c r="S979" s="68"/>
    </row>
    <row r="980" spans="1:19" ht="15.75" customHeight="1">
      <c r="A980" s="68"/>
      <c r="B980" s="68"/>
      <c r="D980" s="68"/>
      <c r="E980" s="69"/>
      <c r="M980" s="68"/>
      <c r="O980" s="68"/>
      <c r="P980" s="68"/>
      <c r="Q980" s="68"/>
      <c r="R980" s="68"/>
      <c r="S980" s="68"/>
    </row>
    <row r="981" spans="1:19" ht="15.75" customHeight="1">
      <c r="A981" s="68"/>
      <c r="B981" s="68"/>
      <c r="D981" s="68"/>
      <c r="E981" s="69"/>
      <c r="M981" s="68"/>
      <c r="O981" s="68"/>
      <c r="P981" s="68"/>
      <c r="Q981" s="68"/>
      <c r="R981" s="68"/>
      <c r="S981" s="68"/>
    </row>
    <row r="982" spans="1:19" ht="15.75" customHeight="1">
      <c r="A982" s="68"/>
      <c r="B982" s="68"/>
      <c r="D982" s="68"/>
      <c r="E982" s="69"/>
      <c r="M982" s="68"/>
      <c r="O982" s="68"/>
      <c r="P982" s="68"/>
      <c r="Q982" s="68"/>
      <c r="R982" s="68"/>
      <c r="S982" s="68"/>
    </row>
    <row r="983" spans="1:19" ht="15.75" customHeight="1">
      <c r="A983" s="68"/>
      <c r="B983" s="68"/>
      <c r="D983" s="68"/>
      <c r="E983" s="69"/>
      <c r="M983" s="68"/>
      <c r="O983" s="68"/>
      <c r="P983" s="68"/>
      <c r="Q983" s="68"/>
      <c r="R983" s="68"/>
      <c r="S983" s="68"/>
    </row>
    <row r="984" spans="1:19" ht="15.75" customHeight="1">
      <c r="A984" s="68"/>
      <c r="B984" s="68"/>
      <c r="D984" s="68"/>
      <c r="E984" s="69"/>
      <c r="M984" s="68"/>
      <c r="O984" s="68"/>
      <c r="P984" s="68"/>
      <c r="Q984" s="68"/>
      <c r="R984" s="68"/>
      <c r="S984" s="68"/>
    </row>
    <row r="985" spans="1:19" ht="15.75" customHeight="1">
      <c r="A985" s="68"/>
      <c r="B985" s="68"/>
      <c r="D985" s="68"/>
      <c r="E985" s="69"/>
      <c r="M985" s="68"/>
      <c r="O985" s="68"/>
      <c r="P985" s="68"/>
      <c r="Q985" s="68"/>
      <c r="R985" s="68"/>
      <c r="S985" s="68"/>
    </row>
    <row r="986" spans="1:19" ht="15.75" customHeight="1">
      <c r="A986" s="68"/>
      <c r="B986" s="68"/>
      <c r="D986" s="68"/>
      <c r="E986" s="69"/>
      <c r="M986" s="68"/>
      <c r="O986" s="68"/>
      <c r="P986" s="68"/>
      <c r="Q986" s="68"/>
      <c r="R986" s="68"/>
      <c r="S986" s="68"/>
    </row>
    <row r="987" spans="1:19" ht="15.75" customHeight="1">
      <c r="A987" s="68"/>
      <c r="B987" s="68"/>
      <c r="D987" s="68"/>
      <c r="E987" s="69"/>
      <c r="M987" s="68"/>
      <c r="O987" s="68"/>
      <c r="P987" s="68"/>
      <c r="Q987" s="68"/>
      <c r="R987" s="68"/>
      <c r="S987" s="68"/>
    </row>
    <row r="988" spans="1:19" ht="15.75" customHeight="1">
      <c r="A988" s="68"/>
      <c r="B988" s="68"/>
      <c r="D988" s="68"/>
      <c r="E988" s="69"/>
      <c r="M988" s="68"/>
      <c r="O988" s="68"/>
      <c r="P988" s="68"/>
      <c r="Q988" s="68"/>
      <c r="R988" s="68"/>
      <c r="S988" s="68"/>
    </row>
    <row r="989" spans="1:19" ht="15.75" customHeight="1">
      <c r="A989" s="68"/>
      <c r="B989" s="68"/>
      <c r="D989" s="68"/>
      <c r="E989" s="69"/>
      <c r="M989" s="68"/>
      <c r="O989" s="68"/>
      <c r="P989" s="68"/>
      <c r="Q989" s="68"/>
      <c r="R989" s="68"/>
      <c r="S989" s="68"/>
    </row>
    <row r="990" spans="1:19" ht="15.75" customHeight="1">
      <c r="A990" s="68"/>
      <c r="B990" s="68"/>
      <c r="D990" s="68"/>
      <c r="E990" s="69"/>
      <c r="M990" s="68"/>
      <c r="O990" s="68"/>
      <c r="P990" s="68"/>
      <c r="Q990" s="68"/>
      <c r="R990" s="68"/>
      <c r="S990" s="68"/>
    </row>
    <row r="991" spans="1:19" ht="15.75" customHeight="1">
      <c r="A991" s="68"/>
      <c r="B991" s="68"/>
      <c r="D991" s="68"/>
      <c r="E991" s="69"/>
      <c r="M991" s="68"/>
      <c r="O991" s="68"/>
      <c r="P991" s="68"/>
      <c r="Q991" s="68"/>
      <c r="R991" s="68"/>
      <c r="S991" s="68"/>
    </row>
    <row r="992" spans="1:19" ht="15.75" customHeight="1">
      <c r="A992" s="68"/>
      <c r="B992" s="68"/>
      <c r="D992" s="68"/>
      <c r="E992" s="69"/>
      <c r="M992" s="68"/>
      <c r="O992" s="68"/>
      <c r="P992" s="68"/>
      <c r="Q992" s="68"/>
      <c r="R992" s="68"/>
      <c r="S992" s="68"/>
    </row>
    <row r="993" spans="1:19" ht="15.75" customHeight="1">
      <c r="A993" s="68"/>
      <c r="B993" s="68"/>
      <c r="D993" s="68"/>
      <c r="E993" s="69"/>
      <c r="M993" s="68"/>
      <c r="O993" s="68"/>
      <c r="P993" s="68"/>
      <c r="Q993" s="68"/>
      <c r="R993" s="68"/>
      <c r="S993" s="68"/>
    </row>
    <row r="994" spans="1:19" ht="15.75" customHeight="1">
      <c r="A994" s="68"/>
      <c r="B994" s="68"/>
      <c r="D994" s="68"/>
      <c r="E994" s="69"/>
      <c r="M994" s="68"/>
      <c r="O994" s="68"/>
      <c r="P994" s="68"/>
      <c r="Q994" s="68"/>
      <c r="R994" s="68"/>
      <c r="S994" s="68"/>
    </row>
    <row r="995" spans="1:19" ht="15.75" customHeight="1">
      <c r="A995" s="68"/>
      <c r="B995" s="68"/>
      <c r="D995" s="68"/>
      <c r="E995" s="69"/>
      <c r="M995" s="68"/>
      <c r="O995" s="68"/>
      <c r="P995" s="68"/>
      <c r="Q995" s="68"/>
      <c r="R995" s="68"/>
      <c r="S995" s="68"/>
    </row>
    <row r="996" spans="1:19" ht="15.75" customHeight="1">
      <c r="A996" s="68"/>
      <c r="B996" s="68"/>
      <c r="D996" s="68"/>
      <c r="E996" s="69"/>
      <c r="M996" s="68"/>
      <c r="O996" s="68"/>
      <c r="P996" s="68"/>
      <c r="Q996" s="68"/>
      <c r="R996" s="68"/>
      <c r="S996" s="68"/>
    </row>
    <row r="997" spans="1:19" ht="15.75" customHeight="1">
      <c r="A997" s="68"/>
      <c r="B997" s="68"/>
      <c r="D997" s="68"/>
      <c r="E997" s="69"/>
      <c r="M997" s="68"/>
      <c r="O997" s="68"/>
      <c r="P997" s="68"/>
      <c r="Q997" s="68"/>
      <c r="R997" s="68"/>
      <c r="S997" s="68"/>
    </row>
    <row r="998" spans="1:19" ht="15.75" customHeight="1">
      <c r="A998" s="68"/>
      <c r="B998" s="68"/>
      <c r="D998" s="68"/>
      <c r="E998" s="69"/>
      <c r="M998" s="68"/>
      <c r="O998" s="68"/>
      <c r="P998" s="68"/>
      <c r="Q998" s="68"/>
      <c r="R998" s="68"/>
      <c r="S998" s="68"/>
    </row>
    <row r="999" spans="1:19" ht="15.75" customHeight="1">
      <c r="A999" s="68"/>
      <c r="B999" s="68"/>
      <c r="D999" s="68"/>
      <c r="E999" s="69"/>
      <c r="M999" s="68"/>
      <c r="O999" s="68"/>
      <c r="P999" s="68"/>
      <c r="Q999" s="68"/>
      <c r="R999" s="68"/>
      <c r="S999" s="68"/>
    </row>
    <row r="1000" spans="1:19" ht="15.75" customHeight="1">
      <c r="A1000" s="68"/>
      <c r="B1000" s="68"/>
      <c r="D1000" s="68"/>
      <c r="E1000" s="69"/>
      <c r="M1000" s="68"/>
      <c r="O1000" s="68"/>
      <c r="P1000" s="68"/>
      <c r="Q1000" s="68"/>
      <c r="R1000" s="68"/>
      <c r="S1000" s="68"/>
    </row>
  </sheetData>
  <mergeCells count="192">
    <mergeCell ref="A186:A201"/>
    <mergeCell ref="B186:B191"/>
    <mergeCell ref="B192:B201"/>
    <mergeCell ref="D192:D197"/>
    <mergeCell ref="D198:D199"/>
    <mergeCell ref="D200:D201"/>
    <mergeCell ref="H152:H153"/>
    <mergeCell ref="E148:E149"/>
    <mergeCell ref="F148:F149"/>
    <mergeCell ref="G148:G149"/>
    <mergeCell ref="E150:E151"/>
    <mergeCell ref="D184:D185"/>
    <mergeCell ref="D186:D187"/>
    <mergeCell ref="D188:D189"/>
    <mergeCell ref="D190:D191"/>
    <mergeCell ref="A184:A185"/>
    <mergeCell ref="B184:B185"/>
    <mergeCell ref="A164:A179"/>
    <mergeCell ref="B164:B179"/>
    <mergeCell ref="D164:D179"/>
    <mergeCell ref="D181:D183"/>
    <mergeCell ref="E181:E182"/>
    <mergeCell ref="F181:F182"/>
    <mergeCell ref="G181:G182"/>
    <mergeCell ref="H146:H147"/>
    <mergeCell ref="H148:H149"/>
    <mergeCell ref="E144:E145"/>
    <mergeCell ref="F144:F145"/>
    <mergeCell ref="G144:G145"/>
    <mergeCell ref="E146:E147"/>
    <mergeCell ref="F150:F151"/>
    <mergeCell ref="G150:G151"/>
    <mergeCell ref="H150:H151"/>
    <mergeCell ref="H136:H137"/>
    <mergeCell ref="E138:E139"/>
    <mergeCell ref="F138:F139"/>
    <mergeCell ref="H138:H139"/>
    <mergeCell ref="H142:H143"/>
    <mergeCell ref="H144:H145"/>
    <mergeCell ref="E140:E141"/>
    <mergeCell ref="F140:F141"/>
    <mergeCell ref="G140:G141"/>
    <mergeCell ref="H140:H141"/>
    <mergeCell ref="E142:E143"/>
    <mergeCell ref="F142:F143"/>
    <mergeCell ref="G142:G143"/>
    <mergeCell ref="A19:A22"/>
    <mergeCell ref="B19:B24"/>
    <mergeCell ref="A23:A24"/>
    <mergeCell ref="A25:A26"/>
    <mergeCell ref="B25:B28"/>
    <mergeCell ref="A27:A28"/>
    <mergeCell ref="E30:E32"/>
    <mergeCell ref="E33:E35"/>
    <mergeCell ref="M67:M68"/>
    <mergeCell ref="A30:A35"/>
    <mergeCell ref="B30:B35"/>
    <mergeCell ref="D30:D35"/>
    <mergeCell ref="D50:D60"/>
    <mergeCell ref="D61:D75"/>
    <mergeCell ref="A37:A42"/>
    <mergeCell ref="B37:B42"/>
    <mergeCell ref="D37:D42"/>
    <mergeCell ref="A43:A48"/>
    <mergeCell ref="B43:B48"/>
    <mergeCell ref="D43:D48"/>
    <mergeCell ref="A50:A60"/>
    <mergeCell ref="B50:B60"/>
    <mergeCell ref="A61:A75"/>
    <mergeCell ref="B61:B75"/>
    <mergeCell ref="E21:E22"/>
    <mergeCell ref="D23:D24"/>
    <mergeCell ref="D25:D28"/>
    <mergeCell ref="F21:F22"/>
    <mergeCell ref="G21:G22"/>
    <mergeCell ref="H21:H22"/>
    <mergeCell ref="E17:E18"/>
    <mergeCell ref="D19:D22"/>
    <mergeCell ref="E19:E20"/>
    <mergeCell ref="F19:F20"/>
    <mergeCell ref="G19:G20"/>
    <mergeCell ref="H19:H20"/>
    <mergeCell ref="D13:D18"/>
    <mergeCell ref="E13:E14"/>
    <mergeCell ref="F13:F14"/>
    <mergeCell ref="E15:E16"/>
    <mergeCell ref="F15:F16"/>
    <mergeCell ref="F17:F18"/>
    <mergeCell ref="A4:A11"/>
    <mergeCell ref="B4:B11"/>
    <mergeCell ref="D4:D11"/>
    <mergeCell ref="A13:A18"/>
    <mergeCell ref="B13:B18"/>
    <mergeCell ref="M311:M318"/>
    <mergeCell ref="D274:D286"/>
    <mergeCell ref="D287:D293"/>
    <mergeCell ref="D307:D309"/>
    <mergeCell ref="A203:A210"/>
    <mergeCell ref="B203:B210"/>
    <mergeCell ref="D203:D210"/>
    <mergeCell ref="E207:E208"/>
    <mergeCell ref="E209:E210"/>
    <mergeCell ref="A237:A241"/>
    <mergeCell ref="B237:B241"/>
    <mergeCell ref="A243:A245"/>
    <mergeCell ref="B243:B245"/>
    <mergeCell ref="A246:A255"/>
    <mergeCell ref="B246:B255"/>
    <mergeCell ref="D246:D255"/>
    <mergeCell ref="M273:M286"/>
    <mergeCell ref="E307:E308"/>
    <mergeCell ref="A287:A293"/>
    <mergeCell ref="B287:B293"/>
    <mergeCell ref="A307:A309"/>
    <mergeCell ref="B307:B309"/>
    <mergeCell ref="E311:E314"/>
    <mergeCell ref="F311:F314"/>
    <mergeCell ref="G311:G314"/>
    <mergeCell ref="E315:E318"/>
    <mergeCell ref="F315:F318"/>
    <mergeCell ref="G315:G318"/>
    <mergeCell ref="A311:A318"/>
    <mergeCell ref="B311:B318"/>
    <mergeCell ref="D311:D318"/>
    <mergeCell ref="E212:E213"/>
    <mergeCell ref="F212:F213"/>
    <mergeCell ref="G212:G213"/>
    <mergeCell ref="E214:E215"/>
    <mergeCell ref="F214:F215"/>
    <mergeCell ref="G214:G215"/>
    <mergeCell ref="A274:A286"/>
    <mergeCell ref="B274:B286"/>
    <mergeCell ref="E216:E217"/>
    <mergeCell ref="F216:F217"/>
    <mergeCell ref="G216:G217"/>
    <mergeCell ref="A212:A218"/>
    <mergeCell ref="B212:B218"/>
    <mergeCell ref="D212:D218"/>
    <mergeCell ref="D237:D241"/>
    <mergeCell ref="D243:D245"/>
    <mergeCell ref="A219:A225"/>
    <mergeCell ref="B219:B225"/>
    <mergeCell ref="D219:D225"/>
    <mergeCell ref="A230:A236"/>
    <mergeCell ref="B230:B236"/>
    <mergeCell ref="D230:D236"/>
    <mergeCell ref="H181:H182"/>
    <mergeCell ref="A181:A183"/>
    <mergeCell ref="B181:B183"/>
    <mergeCell ref="D156:D157"/>
    <mergeCell ref="D158:D159"/>
    <mergeCell ref="D160:D162"/>
    <mergeCell ref="D121:D134"/>
    <mergeCell ref="D136:D153"/>
    <mergeCell ref="G138:G139"/>
    <mergeCell ref="A121:A134"/>
    <mergeCell ref="B121:B134"/>
    <mergeCell ref="A136:A153"/>
    <mergeCell ref="B136:B153"/>
    <mergeCell ref="A158:A159"/>
    <mergeCell ref="B158:B159"/>
    <mergeCell ref="A154:A155"/>
    <mergeCell ref="B154:B155"/>
    <mergeCell ref="A156:A157"/>
    <mergeCell ref="B156:B157"/>
    <mergeCell ref="A160:A162"/>
    <mergeCell ref="B160:B162"/>
    <mergeCell ref="E136:E137"/>
    <mergeCell ref="F136:F137"/>
    <mergeCell ref="G136:G137"/>
    <mergeCell ref="A115:A120"/>
    <mergeCell ref="B115:B120"/>
    <mergeCell ref="D115:D120"/>
    <mergeCell ref="F146:F147"/>
    <mergeCell ref="G146:G147"/>
    <mergeCell ref="E152:E153"/>
    <mergeCell ref="F152:F153"/>
    <mergeCell ref="G152:G153"/>
    <mergeCell ref="D154:D155"/>
    <mergeCell ref="A76:A92"/>
    <mergeCell ref="B76:B92"/>
    <mergeCell ref="D76:D92"/>
    <mergeCell ref="A93:A103"/>
    <mergeCell ref="B93:B103"/>
    <mergeCell ref="D93:D103"/>
    <mergeCell ref="A110:A114"/>
    <mergeCell ref="B110:B114"/>
    <mergeCell ref="D110:D114"/>
    <mergeCell ref="A104:A109"/>
    <mergeCell ref="B104:B109"/>
    <mergeCell ref="D104:D106"/>
    <mergeCell ref="D107:D109"/>
  </mergeCells>
  <conditionalFormatting sqref="I3:J3">
    <cfRule type="cellIs" dxfId="435" priority="1" stopIfTrue="1" operator="equal">
      <formula>"OK"</formula>
    </cfRule>
  </conditionalFormatting>
  <conditionalFormatting sqref="I3:J3">
    <cfRule type="cellIs" dxfId="434" priority="2" stopIfTrue="1" operator="equal">
      <formula>"Fail"</formula>
    </cfRule>
  </conditionalFormatting>
  <conditionalFormatting sqref="I3:J3">
    <cfRule type="cellIs" dxfId="433" priority="3" stopIfTrue="1" operator="equal">
      <formula>"OK"</formula>
    </cfRule>
  </conditionalFormatting>
  <conditionalFormatting sqref="I3:J3">
    <cfRule type="cellIs" dxfId="432" priority="4" stopIfTrue="1" operator="equal">
      <formula>"Fail"</formula>
    </cfRule>
  </conditionalFormatting>
  <conditionalFormatting sqref="K3:K10 L3 K12:K29 L12 L29 K36:L36 K49:K55 L49 K61:K85 K93:K98 K104:K113 K135:K167 K169:K180 L180 K202:L202 K211:L211 K226:L226 K229:L229 K242:L242 K256:L256 K258:L258 K260:L260 K262:L262 K264:L264 K266:L266 K268:L268 K270:L270 K272:L272 K294:L294 K296:L296 K298:L298 K300:L300 K302:L302 K304:L304 K306:K318 L306 L310">
    <cfRule type="containsText" dxfId="431" priority="5" operator="containsText" text="NG">
      <formula>NOT(ISERROR(SEARCH(("NG"),(K3))))</formula>
    </cfRule>
  </conditionalFormatting>
  <conditionalFormatting sqref="K3:K10 L3 K12:K29 L12 L29 K36:L36 K49:K55 L49 K61:K85 K93:K98 K104:K113 K135:K167 K169:K180 L180 K202:L202 K211:L211 K226:L226 K229:L229 K242:L242 K256:L256 K258:L258 K260:L260 K262:L262 K264:L264 K266:L266 K268:L268 K270:L270 K272:L272 K294:L294 K296:L296 K298:L298 K300:L300 K302:L302 K304:L304 K306:K318 L306 L310">
    <cfRule type="containsText" dxfId="430" priority="6" operator="containsText" text="OK">
      <formula>NOT(ISERROR(SEARCH(("OK"),(K3))))</formula>
    </cfRule>
  </conditionalFormatting>
  <conditionalFormatting sqref="K257 K259 K261 K263 K265 K267 K269 K295 K297 K299 K301 K303 K305">
    <cfRule type="containsText" dxfId="429" priority="7" operator="containsText" text="NG">
      <formula>NOT(ISERROR(SEARCH(("NG"),(K257))))</formula>
    </cfRule>
  </conditionalFormatting>
  <conditionalFormatting sqref="K257 K259 K261 K263 K265 K267 K269 K295 K297 K299 K301 K303 K305">
    <cfRule type="containsText" dxfId="428" priority="8" operator="containsText" text="OK">
      <formula>NOT(ISERROR(SEARCH(("OK"),(K257))))</formula>
    </cfRule>
  </conditionalFormatting>
  <conditionalFormatting sqref="I12:J12 I29:J29 I36:J36 I49:J49 I180:J180 I202:J202 I211:J211 I226:J226 I229:J229 I242:J242 I256:J256 I258:J258 I260:J260 I262:J262 I264:J264 I266:J266 I268:J268 I270:J270 I272:J272 I294:J294 I296:J296 I298:J298 I300:J300 I302:J302 I304:J304">
    <cfRule type="cellIs" dxfId="427" priority="9" stopIfTrue="1" operator="equal">
      <formula>"OK"</formula>
    </cfRule>
  </conditionalFormatting>
  <conditionalFormatting sqref="I12:J12 I29:J29 I36:J36 I49:J49 I180:J180 I202:J202 I211:J211 I226:J226 I229:J229 I242:J242 I256:J256 I258:J258 I260:J260 I262:J262 I264:J264 I266:J266 I268:J268 I270:J270 I272:J272 I294:J294 I296:J296 I298:J298 I300:J300 I302:J302 I304:J304">
    <cfRule type="cellIs" dxfId="426" priority="10" stopIfTrue="1" operator="equal">
      <formula>"Fail"</formula>
    </cfRule>
  </conditionalFormatting>
  <conditionalFormatting sqref="I12:J12 I29:J29 I36:J36 I49:J49 I180:J180 I202:J202 I211:J211 I226:J226 I229:J229 I242:J242 I256:J256 I258:J258 I260:J260 I262:J262 I264:J264 I266:J266 I268:J268 I270:J270 I272:J272 I294:J294 I296:J296 I298:J298 I300:J300 I302:J302 I304:J304">
    <cfRule type="cellIs" dxfId="425" priority="11" stopIfTrue="1" operator="equal">
      <formula>"OK"</formula>
    </cfRule>
  </conditionalFormatting>
  <conditionalFormatting sqref="I12:J12 I29:J29 I36:J36 I49:J49 I180:J180 I202:J202 I211:J211 I226:J226 I229:J229 I242:J242 I256:J256 I258:J258 I260:J260 I262:J262 I264:J264 I266:J266 I268:J268 I270:J270 I272:J272 I294:J294 I296:J296 I298:J298 I300:J300 I302:J302 I304:J304">
    <cfRule type="cellIs" dxfId="424" priority="12" stopIfTrue="1" operator="equal">
      <formula>"Fail"</formula>
    </cfRule>
  </conditionalFormatting>
  <conditionalFormatting sqref="I8:J8">
    <cfRule type="cellIs" dxfId="423" priority="13" stopIfTrue="1" operator="equal">
      <formula>"OK"</formula>
    </cfRule>
  </conditionalFormatting>
  <conditionalFormatting sqref="I8:J8">
    <cfRule type="cellIs" dxfId="422" priority="14" stopIfTrue="1" operator="equal">
      <formula>"Fail"</formula>
    </cfRule>
  </conditionalFormatting>
  <conditionalFormatting sqref="I6:J6">
    <cfRule type="cellIs" dxfId="421" priority="15" stopIfTrue="1" operator="equal">
      <formula>"OK"</formula>
    </cfRule>
  </conditionalFormatting>
  <conditionalFormatting sqref="I6:J6">
    <cfRule type="cellIs" dxfId="420" priority="16" stopIfTrue="1" operator="equal">
      <formula>"Fail"</formula>
    </cfRule>
  </conditionalFormatting>
  <conditionalFormatting sqref="I38:J38">
    <cfRule type="cellIs" dxfId="419" priority="17" stopIfTrue="1" operator="equal">
      <formula>"OK"</formula>
    </cfRule>
  </conditionalFormatting>
  <conditionalFormatting sqref="I38:J38">
    <cfRule type="cellIs" dxfId="418" priority="18" stopIfTrue="1" operator="equal">
      <formula>"Fail"</formula>
    </cfRule>
  </conditionalFormatting>
  <conditionalFormatting sqref="I37:J37">
    <cfRule type="cellIs" dxfId="417" priority="19" stopIfTrue="1" operator="equal">
      <formula>"OK"</formula>
    </cfRule>
  </conditionalFormatting>
  <conditionalFormatting sqref="I37:J37">
    <cfRule type="cellIs" dxfId="416" priority="20" stopIfTrue="1" operator="equal">
      <formula>"Fail"</formula>
    </cfRule>
  </conditionalFormatting>
  <conditionalFormatting sqref="I38:J38">
    <cfRule type="cellIs" dxfId="415" priority="21" stopIfTrue="1" operator="equal">
      <formula>"OK"</formula>
    </cfRule>
  </conditionalFormatting>
  <conditionalFormatting sqref="I38:J38">
    <cfRule type="cellIs" dxfId="414" priority="22" stopIfTrue="1" operator="equal">
      <formula>"Fail"</formula>
    </cfRule>
  </conditionalFormatting>
  <conditionalFormatting sqref="I40:J40">
    <cfRule type="cellIs" dxfId="413" priority="23" stopIfTrue="1" operator="equal">
      <formula>"OK"</formula>
    </cfRule>
  </conditionalFormatting>
  <conditionalFormatting sqref="I40:J40">
    <cfRule type="cellIs" dxfId="412" priority="24" stopIfTrue="1" operator="equal">
      <formula>"Fail"</formula>
    </cfRule>
  </conditionalFormatting>
  <conditionalFormatting sqref="I40:J40">
    <cfRule type="cellIs" dxfId="411" priority="25" stopIfTrue="1" operator="equal">
      <formula>"OK"</formula>
    </cfRule>
  </conditionalFormatting>
  <conditionalFormatting sqref="I40:J40">
    <cfRule type="cellIs" dxfId="410" priority="26" stopIfTrue="1" operator="equal">
      <formula>"Fail"</formula>
    </cfRule>
  </conditionalFormatting>
  <conditionalFormatting sqref="I41:J41">
    <cfRule type="cellIs" dxfId="409" priority="27" stopIfTrue="1" operator="equal">
      <formula>"OK"</formula>
    </cfRule>
  </conditionalFormatting>
  <conditionalFormatting sqref="I41:J41">
    <cfRule type="cellIs" dxfId="408" priority="28" stopIfTrue="1" operator="equal">
      <formula>"Fail"</formula>
    </cfRule>
  </conditionalFormatting>
  <conditionalFormatting sqref="I41:J41">
    <cfRule type="cellIs" dxfId="407" priority="29" stopIfTrue="1" operator="equal">
      <formula>"OK"</formula>
    </cfRule>
  </conditionalFormatting>
  <conditionalFormatting sqref="I41:J41">
    <cfRule type="cellIs" dxfId="406" priority="30" stopIfTrue="1" operator="equal">
      <formula>"Fail"</formula>
    </cfRule>
  </conditionalFormatting>
  <conditionalFormatting sqref="I42:J42">
    <cfRule type="cellIs" dxfId="405" priority="31" stopIfTrue="1" operator="equal">
      <formula>"OK"</formula>
    </cfRule>
  </conditionalFormatting>
  <conditionalFormatting sqref="I42:J42">
    <cfRule type="cellIs" dxfId="404" priority="32" stopIfTrue="1" operator="equal">
      <formula>"Fail"</formula>
    </cfRule>
  </conditionalFormatting>
  <conditionalFormatting sqref="I42:J42">
    <cfRule type="cellIs" dxfId="403" priority="33" stopIfTrue="1" operator="equal">
      <formula>"OK"</formula>
    </cfRule>
  </conditionalFormatting>
  <conditionalFormatting sqref="I42:J42">
    <cfRule type="cellIs" dxfId="402" priority="34" stopIfTrue="1" operator="equal">
      <formula>"Fail"</formula>
    </cfRule>
  </conditionalFormatting>
  <conditionalFormatting sqref="I39:J39">
    <cfRule type="cellIs" dxfId="401" priority="35" stopIfTrue="1" operator="equal">
      <formula>"OK"</formula>
    </cfRule>
  </conditionalFormatting>
  <conditionalFormatting sqref="I39:J39">
    <cfRule type="cellIs" dxfId="400" priority="36" stopIfTrue="1" operator="equal">
      <formula>"Fail"</formula>
    </cfRule>
  </conditionalFormatting>
  <conditionalFormatting sqref="I43:J43">
    <cfRule type="cellIs" dxfId="399" priority="37" stopIfTrue="1" operator="equal">
      <formula>"OK"</formula>
    </cfRule>
  </conditionalFormatting>
  <conditionalFormatting sqref="I43:J43">
    <cfRule type="cellIs" dxfId="398" priority="38" stopIfTrue="1" operator="equal">
      <formula>"Fail"</formula>
    </cfRule>
  </conditionalFormatting>
  <conditionalFormatting sqref="I44:J44">
    <cfRule type="cellIs" dxfId="397" priority="39" stopIfTrue="1" operator="equal">
      <formula>"OK"</formula>
    </cfRule>
  </conditionalFormatting>
  <conditionalFormatting sqref="I44:J44">
    <cfRule type="cellIs" dxfId="396" priority="40" stopIfTrue="1" operator="equal">
      <formula>"Fail"</formula>
    </cfRule>
  </conditionalFormatting>
  <conditionalFormatting sqref="I44:J44">
    <cfRule type="cellIs" dxfId="395" priority="41" stopIfTrue="1" operator="equal">
      <formula>"OK"</formula>
    </cfRule>
  </conditionalFormatting>
  <conditionalFormatting sqref="I44:J44">
    <cfRule type="cellIs" dxfId="394" priority="42" stopIfTrue="1" operator="equal">
      <formula>"Fail"</formula>
    </cfRule>
  </conditionalFormatting>
  <conditionalFormatting sqref="I46:J46">
    <cfRule type="cellIs" dxfId="393" priority="43" stopIfTrue="1" operator="equal">
      <formula>"OK"</formula>
    </cfRule>
  </conditionalFormatting>
  <conditionalFormatting sqref="I46:J46">
    <cfRule type="cellIs" dxfId="392" priority="44" stopIfTrue="1" operator="equal">
      <formula>"Fail"</formula>
    </cfRule>
  </conditionalFormatting>
  <conditionalFormatting sqref="I46:J46">
    <cfRule type="cellIs" dxfId="391" priority="45" stopIfTrue="1" operator="equal">
      <formula>"OK"</formula>
    </cfRule>
  </conditionalFormatting>
  <conditionalFormatting sqref="I46:J46">
    <cfRule type="cellIs" dxfId="390" priority="46" stopIfTrue="1" operator="equal">
      <formula>"Fail"</formula>
    </cfRule>
  </conditionalFormatting>
  <conditionalFormatting sqref="I47:J47">
    <cfRule type="cellIs" dxfId="389" priority="47" stopIfTrue="1" operator="equal">
      <formula>"OK"</formula>
    </cfRule>
  </conditionalFormatting>
  <conditionalFormatting sqref="I47:J47">
    <cfRule type="cellIs" dxfId="388" priority="48" stopIfTrue="1" operator="equal">
      <formula>"Fail"</formula>
    </cfRule>
  </conditionalFormatting>
  <conditionalFormatting sqref="I47:J47">
    <cfRule type="cellIs" dxfId="387" priority="49" stopIfTrue="1" operator="equal">
      <formula>"OK"</formula>
    </cfRule>
  </conditionalFormatting>
  <conditionalFormatting sqref="I47:J47">
    <cfRule type="cellIs" dxfId="386" priority="50" stopIfTrue="1" operator="equal">
      <formula>"Fail"</formula>
    </cfRule>
  </conditionalFormatting>
  <conditionalFormatting sqref="I48:J48">
    <cfRule type="cellIs" dxfId="385" priority="51" stopIfTrue="1" operator="equal">
      <formula>"OK"</formula>
    </cfRule>
  </conditionalFormatting>
  <conditionalFormatting sqref="I48:J48">
    <cfRule type="cellIs" dxfId="384" priority="52" stopIfTrue="1" operator="equal">
      <formula>"Fail"</formula>
    </cfRule>
  </conditionalFormatting>
  <conditionalFormatting sqref="I48:J48">
    <cfRule type="cellIs" dxfId="383" priority="53" stopIfTrue="1" operator="equal">
      <formula>"OK"</formula>
    </cfRule>
  </conditionalFormatting>
  <conditionalFormatting sqref="I48:J48">
    <cfRule type="cellIs" dxfId="382" priority="54" stopIfTrue="1" operator="equal">
      <formula>"Fail"</formula>
    </cfRule>
  </conditionalFormatting>
  <conditionalFormatting sqref="I45:J45">
    <cfRule type="cellIs" dxfId="381" priority="55" stopIfTrue="1" operator="equal">
      <formula>"OK"</formula>
    </cfRule>
  </conditionalFormatting>
  <conditionalFormatting sqref="I45:J45">
    <cfRule type="cellIs" dxfId="380" priority="56" stopIfTrue="1" operator="equal">
      <formula>"Fail"</formula>
    </cfRule>
  </conditionalFormatting>
  <conditionalFormatting sqref="I5:J5">
    <cfRule type="cellIs" dxfId="379" priority="57" stopIfTrue="1" operator="equal">
      <formula>"OK"</formula>
    </cfRule>
  </conditionalFormatting>
  <conditionalFormatting sqref="I5:J5">
    <cfRule type="cellIs" dxfId="378" priority="58" stopIfTrue="1" operator="equal">
      <formula>"Fail"</formula>
    </cfRule>
  </conditionalFormatting>
  <conditionalFormatting sqref="L37:L42">
    <cfRule type="cellIs" dxfId="377" priority="59" stopIfTrue="1" operator="equal">
      <formula>"OK"</formula>
    </cfRule>
  </conditionalFormatting>
  <conditionalFormatting sqref="L37:L42">
    <cfRule type="cellIs" dxfId="376" priority="60" stopIfTrue="1" operator="equal">
      <formula>"Fail"</formula>
    </cfRule>
  </conditionalFormatting>
  <conditionalFormatting sqref="L43:L48">
    <cfRule type="cellIs" dxfId="375" priority="61" stopIfTrue="1" operator="equal">
      <formula>"OK"</formula>
    </cfRule>
  </conditionalFormatting>
  <conditionalFormatting sqref="L43:L48">
    <cfRule type="cellIs" dxfId="374" priority="62" stopIfTrue="1" operator="equal">
      <formula>"Fail"</formula>
    </cfRule>
  </conditionalFormatting>
  <conditionalFormatting sqref="I24:J24">
    <cfRule type="cellIs" dxfId="373" priority="63" stopIfTrue="1" operator="equal">
      <formula>"OK"</formula>
    </cfRule>
  </conditionalFormatting>
  <conditionalFormatting sqref="I24:J24">
    <cfRule type="cellIs" dxfId="372" priority="64" stopIfTrue="1" operator="equal">
      <formula>"Fail"</formula>
    </cfRule>
  </conditionalFormatting>
  <conditionalFormatting sqref="I24:J24">
    <cfRule type="cellIs" dxfId="371" priority="65" stopIfTrue="1" operator="equal">
      <formula>"OK"</formula>
    </cfRule>
  </conditionalFormatting>
  <conditionalFormatting sqref="I24:J24">
    <cfRule type="cellIs" dxfId="370" priority="66" stopIfTrue="1" operator="equal">
      <formula>"Fail"</formula>
    </cfRule>
  </conditionalFormatting>
  <conditionalFormatting sqref="I21:J22">
    <cfRule type="cellIs" dxfId="369" priority="67" stopIfTrue="1" operator="equal">
      <formula>"OK"</formula>
    </cfRule>
  </conditionalFormatting>
  <conditionalFormatting sqref="I21:J22">
    <cfRule type="cellIs" dxfId="368" priority="68" stopIfTrue="1" operator="equal">
      <formula>"Fail"</formula>
    </cfRule>
  </conditionalFormatting>
  <conditionalFormatting sqref="I19:J20">
    <cfRule type="cellIs" dxfId="367" priority="69" stopIfTrue="1" operator="equal">
      <formula>"OK"</formula>
    </cfRule>
  </conditionalFormatting>
  <conditionalFormatting sqref="I19:J20">
    <cfRule type="cellIs" dxfId="366" priority="70" stopIfTrue="1" operator="equal">
      <formula>"Fail"</formula>
    </cfRule>
  </conditionalFormatting>
  <conditionalFormatting sqref="I19:J20">
    <cfRule type="cellIs" dxfId="365" priority="71" stopIfTrue="1" operator="equal">
      <formula>"OK"</formula>
    </cfRule>
  </conditionalFormatting>
  <conditionalFormatting sqref="I19:J20">
    <cfRule type="cellIs" dxfId="364" priority="72" stopIfTrue="1" operator="equal">
      <formula>"Fail"</formula>
    </cfRule>
  </conditionalFormatting>
  <conditionalFormatting sqref="I21:J22">
    <cfRule type="cellIs" dxfId="363" priority="73" stopIfTrue="1" operator="equal">
      <formula>"OK"</formula>
    </cfRule>
  </conditionalFormatting>
  <conditionalFormatting sqref="I21:J22">
    <cfRule type="cellIs" dxfId="362" priority="74" stopIfTrue="1" operator="equal">
      <formula>"Fail"</formula>
    </cfRule>
  </conditionalFormatting>
  <conditionalFormatting sqref="I23:J23">
    <cfRule type="cellIs" dxfId="361" priority="75" stopIfTrue="1" operator="equal">
      <formula>"OK"</formula>
    </cfRule>
  </conditionalFormatting>
  <conditionalFormatting sqref="I23:J23">
    <cfRule type="cellIs" dxfId="360" priority="76" stopIfTrue="1" operator="equal">
      <formula>"Fail"</formula>
    </cfRule>
  </conditionalFormatting>
  <conditionalFormatting sqref="I23:J23">
    <cfRule type="cellIs" dxfId="359" priority="77" stopIfTrue="1" operator="equal">
      <formula>"OK"</formula>
    </cfRule>
  </conditionalFormatting>
  <conditionalFormatting sqref="I23:J23">
    <cfRule type="cellIs" dxfId="358" priority="78" stopIfTrue="1" operator="equal">
      <formula>"Fail"</formula>
    </cfRule>
  </conditionalFormatting>
  <conditionalFormatting sqref="I25:J25">
    <cfRule type="cellIs" dxfId="357" priority="79" stopIfTrue="1" operator="equal">
      <formula>"OK"</formula>
    </cfRule>
  </conditionalFormatting>
  <conditionalFormatting sqref="I25:J25">
    <cfRule type="cellIs" dxfId="356" priority="80" stopIfTrue="1" operator="equal">
      <formula>"Fail"</formula>
    </cfRule>
  </conditionalFormatting>
  <conditionalFormatting sqref="I25:J25">
    <cfRule type="cellIs" dxfId="355" priority="81" stopIfTrue="1" operator="equal">
      <formula>"OK"</formula>
    </cfRule>
  </conditionalFormatting>
  <conditionalFormatting sqref="I25:J25">
    <cfRule type="cellIs" dxfId="354" priority="82" stopIfTrue="1" operator="equal">
      <formula>"Fail"</formula>
    </cfRule>
  </conditionalFormatting>
  <conditionalFormatting sqref="I26:J26">
    <cfRule type="cellIs" dxfId="353" priority="83" stopIfTrue="1" operator="equal">
      <formula>"OK"</formula>
    </cfRule>
  </conditionalFormatting>
  <conditionalFormatting sqref="I26:J26">
    <cfRule type="cellIs" dxfId="352" priority="84" stopIfTrue="1" operator="equal">
      <formula>"Fail"</formula>
    </cfRule>
  </conditionalFormatting>
  <conditionalFormatting sqref="I26:J26">
    <cfRule type="cellIs" dxfId="351" priority="85" stopIfTrue="1" operator="equal">
      <formula>"OK"</formula>
    </cfRule>
  </conditionalFormatting>
  <conditionalFormatting sqref="I26:J26">
    <cfRule type="cellIs" dxfId="350" priority="86" stopIfTrue="1" operator="equal">
      <formula>"Fail"</formula>
    </cfRule>
  </conditionalFormatting>
  <conditionalFormatting sqref="L19:L20 L23:L24">
    <cfRule type="cellIs" dxfId="349" priority="87" stopIfTrue="1" operator="equal">
      <formula>"OK"</formula>
    </cfRule>
  </conditionalFormatting>
  <conditionalFormatting sqref="L19:L20 L23:L24">
    <cfRule type="cellIs" dxfId="348" priority="88" stopIfTrue="1" operator="equal">
      <formula>"Fail"</formula>
    </cfRule>
  </conditionalFormatting>
  <conditionalFormatting sqref="L25">
    <cfRule type="cellIs" dxfId="347" priority="89" stopIfTrue="1" operator="equal">
      <formula>"OK"</formula>
    </cfRule>
  </conditionalFormatting>
  <conditionalFormatting sqref="L25">
    <cfRule type="cellIs" dxfId="346" priority="90" stopIfTrue="1" operator="equal">
      <formula>"Fail"</formula>
    </cfRule>
  </conditionalFormatting>
  <conditionalFormatting sqref="L21:L22">
    <cfRule type="cellIs" dxfId="345" priority="91" stopIfTrue="1" operator="equal">
      <formula>"OK"</formula>
    </cfRule>
  </conditionalFormatting>
  <conditionalFormatting sqref="L21:L22">
    <cfRule type="cellIs" dxfId="344" priority="92" stopIfTrue="1" operator="equal">
      <formula>"Fail"</formula>
    </cfRule>
  </conditionalFormatting>
  <conditionalFormatting sqref="L26">
    <cfRule type="cellIs" dxfId="343" priority="93" stopIfTrue="1" operator="equal">
      <formula>"OK"</formula>
    </cfRule>
  </conditionalFormatting>
  <conditionalFormatting sqref="L26">
    <cfRule type="cellIs" dxfId="342" priority="94" stopIfTrue="1" operator="equal">
      <formula>"Fail"</formula>
    </cfRule>
  </conditionalFormatting>
  <conditionalFormatting sqref="I28:J28">
    <cfRule type="cellIs" dxfId="341" priority="95" stopIfTrue="1" operator="equal">
      <formula>"OK"</formula>
    </cfRule>
  </conditionalFormatting>
  <conditionalFormatting sqref="I28:J28">
    <cfRule type="cellIs" dxfId="340" priority="96" stopIfTrue="1" operator="equal">
      <formula>"Fail"</formula>
    </cfRule>
  </conditionalFormatting>
  <conditionalFormatting sqref="I28:J28">
    <cfRule type="cellIs" dxfId="339" priority="97" stopIfTrue="1" operator="equal">
      <formula>"OK"</formula>
    </cfRule>
  </conditionalFormatting>
  <conditionalFormatting sqref="I28:J28">
    <cfRule type="cellIs" dxfId="338" priority="98" stopIfTrue="1" operator="equal">
      <formula>"Fail"</formula>
    </cfRule>
  </conditionalFormatting>
  <conditionalFormatting sqref="I27:J27">
    <cfRule type="cellIs" dxfId="337" priority="99" stopIfTrue="1" operator="equal">
      <formula>"OK"</formula>
    </cfRule>
  </conditionalFormatting>
  <conditionalFormatting sqref="I27:J27">
    <cfRule type="cellIs" dxfId="336" priority="100" stopIfTrue="1" operator="equal">
      <formula>"Fail"</formula>
    </cfRule>
  </conditionalFormatting>
  <conditionalFormatting sqref="I27:J27">
    <cfRule type="cellIs" dxfId="335" priority="101" stopIfTrue="1" operator="equal">
      <formula>"OK"</formula>
    </cfRule>
  </conditionalFormatting>
  <conditionalFormatting sqref="I27:J27">
    <cfRule type="cellIs" dxfId="334" priority="102" stopIfTrue="1" operator="equal">
      <formula>"Fail"</formula>
    </cfRule>
  </conditionalFormatting>
  <conditionalFormatting sqref="L27:L28">
    <cfRule type="cellIs" dxfId="333" priority="103" stopIfTrue="1" operator="equal">
      <formula>"OK"</formula>
    </cfRule>
  </conditionalFormatting>
  <conditionalFormatting sqref="L27:L28">
    <cfRule type="cellIs" dxfId="332" priority="104" stopIfTrue="1" operator="equal">
      <formula>"Fail"</formula>
    </cfRule>
  </conditionalFormatting>
  <conditionalFormatting sqref="I14:J14">
    <cfRule type="cellIs" dxfId="331" priority="105" stopIfTrue="1" operator="equal">
      <formula>"OK"</formula>
    </cfRule>
  </conditionalFormatting>
  <conditionalFormatting sqref="I14:J14">
    <cfRule type="cellIs" dxfId="330" priority="106" stopIfTrue="1" operator="equal">
      <formula>"Fail"</formula>
    </cfRule>
  </conditionalFormatting>
  <conditionalFormatting sqref="I13:J13">
    <cfRule type="cellIs" dxfId="329" priority="107" stopIfTrue="1" operator="equal">
      <formula>"OK"</formula>
    </cfRule>
  </conditionalFormatting>
  <conditionalFormatting sqref="I13:J13">
    <cfRule type="cellIs" dxfId="328" priority="108" stopIfTrue="1" operator="equal">
      <formula>"Fail"</formula>
    </cfRule>
  </conditionalFormatting>
  <conditionalFormatting sqref="I18:J18">
    <cfRule type="cellIs" dxfId="327" priority="109" stopIfTrue="1" operator="equal">
      <formula>"OK"</formula>
    </cfRule>
  </conditionalFormatting>
  <conditionalFormatting sqref="I18:J18">
    <cfRule type="cellIs" dxfId="326" priority="110" stopIfTrue="1" operator="equal">
      <formula>"Fail"</formula>
    </cfRule>
  </conditionalFormatting>
  <conditionalFormatting sqref="I17:J17">
    <cfRule type="cellIs" dxfId="325" priority="111" stopIfTrue="1" operator="equal">
      <formula>"OK"</formula>
    </cfRule>
  </conditionalFormatting>
  <conditionalFormatting sqref="I17:J17">
    <cfRule type="cellIs" dxfId="324" priority="112" stopIfTrue="1" operator="equal">
      <formula>"Fail"</formula>
    </cfRule>
  </conditionalFormatting>
  <conditionalFormatting sqref="I16:J16">
    <cfRule type="cellIs" dxfId="323" priority="113" stopIfTrue="1" operator="equal">
      <formula>"OK"</formula>
    </cfRule>
  </conditionalFormatting>
  <conditionalFormatting sqref="I16:J16">
    <cfRule type="cellIs" dxfId="322" priority="114" stopIfTrue="1" operator="equal">
      <formula>"Fail"</formula>
    </cfRule>
  </conditionalFormatting>
  <conditionalFormatting sqref="I15:J15">
    <cfRule type="cellIs" dxfId="321" priority="115" stopIfTrue="1" operator="equal">
      <formula>"OK"</formula>
    </cfRule>
  </conditionalFormatting>
  <conditionalFormatting sqref="I15:J15">
    <cfRule type="cellIs" dxfId="320" priority="116" stopIfTrue="1" operator="equal">
      <formula>"Fail"</formula>
    </cfRule>
  </conditionalFormatting>
  <conditionalFormatting sqref="I181:J182">
    <cfRule type="cellIs" dxfId="319" priority="117" stopIfTrue="1" operator="equal">
      <formula>"OK"</formula>
    </cfRule>
  </conditionalFormatting>
  <conditionalFormatting sqref="I181:J182">
    <cfRule type="cellIs" dxfId="318" priority="118" stopIfTrue="1" operator="equal">
      <formula>"Fail"</formula>
    </cfRule>
  </conditionalFormatting>
  <conditionalFormatting sqref="I181:J182">
    <cfRule type="cellIs" dxfId="317" priority="119" stopIfTrue="1" operator="equal">
      <formula>"OK"</formula>
    </cfRule>
  </conditionalFormatting>
  <conditionalFormatting sqref="I181:J182">
    <cfRule type="cellIs" dxfId="316" priority="120" stopIfTrue="1" operator="equal">
      <formula>"Fail"</formula>
    </cfRule>
  </conditionalFormatting>
  <conditionalFormatting sqref="L181:L182">
    <cfRule type="cellIs" dxfId="315" priority="121" stopIfTrue="1" operator="equal">
      <formula>"OK"</formula>
    </cfRule>
  </conditionalFormatting>
  <conditionalFormatting sqref="L181:L182">
    <cfRule type="cellIs" dxfId="314" priority="122" stopIfTrue="1" operator="equal">
      <formula>"Fail"</formula>
    </cfRule>
  </conditionalFormatting>
  <conditionalFormatting sqref="I183:J183">
    <cfRule type="cellIs" dxfId="313" priority="123" stopIfTrue="1" operator="equal">
      <formula>"OK"</formula>
    </cfRule>
  </conditionalFormatting>
  <conditionalFormatting sqref="I183:J183">
    <cfRule type="cellIs" dxfId="312" priority="124" stopIfTrue="1" operator="equal">
      <formula>"Fail"</formula>
    </cfRule>
  </conditionalFormatting>
  <conditionalFormatting sqref="I183:J183">
    <cfRule type="cellIs" dxfId="311" priority="125" stopIfTrue="1" operator="equal">
      <formula>"OK"</formula>
    </cfRule>
  </conditionalFormatting>
  <conditionalFormatting sqref="I183:J183">
    <cfRule type="cellIs" dxfId="310" priority="126" stopIfTrue="1" operator="equal">
      <formula>"Fail"</formula>
    </cfRule>
  </conditionalFormatting>
  <conditionalFormatting sqref="L183">
    <cfRule type="cellIs" dxfId="309" priority="127" stopIfTrue="1" operator="equal">
      <formula>"OK"</formula>
    </cfRule>
  </conditionalFormatting>
  <conditionalFormatting sqref="L183">
    <cfRule type="cellIs" dxfId="308" priority="128" stopIfTrue="1" operator="equal">
      <formula>"Fail"</formula>
    </cfRule>
  </conditionalFormatting>
  <conditionalFormatting sqref="L203:L210">
    <cfRule type="containsText" dxfId="307" priority="129" operator="containsText" text="NG">
      <formula>NOT(ISERROR(SEARCH(("NG"),(L203))))</formula>
    </cfRule>
  </conditionalFormatting>
  <conditionalFormatting sqref="L203:L210">
    <cfRule type="containsText" dxfId="306" priority="130" operator="containsText" text="OK">
      <formula>NOT(ISERROR(SEARCH(("OK"),(L203))))</formula>
    </cfRule>
  </conditionalFormatting>
  <conditionalFormatting sqref="L227">
    <cfRule type="containsText" dxfId="305" priority="131" operator="containsText" text="NG">
      <formula>NOT(ISERROR(SEARCH(("NG"),(L227))))</formula>
    </cfRule>
  </conditionalFormatting>
  <conditionalFormatting sqref="L227">
    <cfRule type="containsText" dxfId="304" priority="132" operator="containsText" text="OK">
      <formula>NOT(ISERROR(SEARCH(("OK"),(L227))))</formula>
    </cfRule>
  </conditionalFormatting>
  <conditionalFormatting sqref="K30:K35">
    <cfRule type="containsText" dxfId="303" priority="133" operator="containsText" text="NG">
      <formula>NOT(ISERROR(SEARCH(("NG"),(K30))))</formula>
    </cfRule>
  </conditionalFormatting>
  <conditionalFormatting sqref="K30:K35">
    <cfRule type="containsText" dxfId="302" priority="134" operator="containsText" text="OK">
      <formula>NOT(ISERROR(SEARCH(("OK"),(K30))))</formula>
    </cfRule>
  </conditionalFormatting>
  <conditionalFormatting sqref="K37:K48">
    <cfRule type="containsText" dxfId="301" priority="135" operator="containsText" text="NG">
      <formula>NOT(ISERROR(SEARCH(("NG"),(K37))))</formula>
    </cfRule>
  </conditionalFormatting>
  <conditionalFormatting sqref="K37:K48">
    <cfRule type="containsText" dxfId="300" priority="136" operator="containsText" text="OK">
      <formula>NOT(ISERROR(SEARCH(("OK"),(K37))))</formula>
    </cfRule>
  </conditionalFormatting>
  <conditionalFormatting sqref="K181:K201">
    <cfRule type="containsText" dxfId="299" priority="137" operator="containsText" text="NG">
      <formula>NOT(ISERROR(SEARCH(("NG"),(K181))))</formula>
    </cfRule>
  </conditionalFormatting>
  <conditionalFormatting sqref="K181:K201">
    <cfRule type="containsText" dxfId="298" priority="138" operator="containsText" text="OK">
      <formula>NOT(ISERROR(SEARCH(("OK"),(K181))))</formula>
    </cfRule>
  </conditionalFormatting>
  <conditionalFormatting sqref="K203:K210">
    <cfRule type="containsText" dxfId="297" priority="139" operator="containsText" text="NG">
      <formula>NOT(ISERROR(SEARCH(("NG"),(K203))))</formula>
    </cfRule>
  </conditionalFormatting>
  <conditionalFormatting sqref="K203:K210">
    <cfRule type="containsText" dxfId="296" priority="140" operator="containsText" text="OK">
      <formula>NOT(ISERROR(SEARCH(("OK"),(K203))))</formula>
    </cfRule>
  </conditionalFormatting>
  <conditionalFormatting sqref="K212:K225">
    <cfRule type="containsText" dxfId="295" priority="141" operator="containsText" text="NG">
      <formula>NOT(ISERROR(SEARCH(("NG"),(K212))))</formula>
    </cfRule>
  </conditionalFormatting>
  <conditionalFormatting sqref="K212:K225">
    <cfRule type="containsText" dxfId="294" priority="142" operator="containsText" text="OK">
      <formula>NOT(ISERROR(SEARCH(("OK"),(K212))))</formula>
    </cfRule>
  </conditionalFormatting>
  <conditionalFormatting sqref="K227">
    <cfRule type="containsText" dxfId="293" priority="143" operator="containsText" text="NG">
      <formula>NOT(ISERROR(SEARCH(("NG"),(K227))))</formula>
    </cfRule>
  </conditionalFormatting>
  <conditionalFormatting sqref="K227">
    <cfRule type="containsText" dxfId="292" priority="144" operator="containsText" text="OK">
      <formula>NOT(ISERROR(SEARCH(("OK"),(K227))))</formula>
    </cfRule>
  </conditionalFormatting>
  <conditionalFormatting sqref="K230:K241">
    <cfRule type="containsText" dxfId="291" priority="145" operator="containsText" text="NG">
      <formula>NOT(ISERROR(SEARCH(("NG"),(K230))))</formula>
    </cfRule>
  </conditionalFormatting>
  <conditionalFormatting sqref="K230:K241">
    <cfRule type="containsText" dxfId="290" priority="146" operator="containsText" text="OK">
      <formula>NOT(ISERROR(SEARCH(("OK"),(K230))))</formula>
    </cfRule>
  </conditionalFormatting>
  <conditionalFormatting sqref="K243:K255">
    <cfRule type="containsText" dxfId="289" priority="147" operator="containsText" text="NG">
      <formula>NOT(ISERROR(SEARCH(("NG"),(K243))))</formula>
    </cfRule>
  </conditionalFormatting>
  <conditionalFormatting sqref="K243:K255">
    <cfRule type="containsText" dxfId="288" priority="148" operator="containsText" text="OK">
      <formula>NOT(ISERROR(SEARCH(("OK"),(K243))))</formula>
    </cfRule>
  </conditionalFormatting>
  <conditionalFormatting sqref="K271">
    <cfRule type="containsText" dxfId="287" priority="149" operator="containsText" text="NG">
      <formula>NOT(ISERROR(SEARCH(("NG"),(K271))))</formula>
    </cfRule>
  </conditionalFormatting>
  <conditionalFormatting sqref="K271">
    <cfRule type="containsText" dxfId="286" priority="150" operator="containsText" text="OK">
      <formula>NOT(ISERROR(SEARCH(("OK"),(K271))))</formula>
    </cfRule>
  </conditionalFormatting>
  <conditionalFormatting sqref="K273:K293">
    <cfRule type="containsText" dxfId="285" priority="151" operator="containsText" text="NG">
      <formula>NOT(ISERROR(SEARCH(("NG"),(K273))))</formula>
    </cfRule>
  </conditionalFormatting>
  <conditionalFormatting sqref="K273:K293">
    <cfRule type="containsText" dxfId="284" priority="152" operator="containsText" text="OK">
      <formula>NOT(ISERROR(SEARCH(("OK"),(K273))))</formula>
    </cfRule>
  </conditionalFormatting>
  <conditionalFormatting sqref="I9:J9">
    <cfRule type="cellIs" dxfId="283" priority="153" stopIfTrue="1" operator="equal">
      <formula>"OK"</formula>
    </cfRule>
  </conditionalFormatting>
  <conditionalFormatting sqref="I9:J9">
    <cfRule type="cellIs" dxfId="282" priority="154" stopIfTrue="1" operator="equal">
      <formula>"Fail"</formula>
    </cfRule>
  </conditionalFormatting>
  <conditionalFormatting sqref="I4:J4">
    <cfRule type="cellIs" dxfId="281" priority="155" stopIfTrue="1" operator="equal">
      <formula>"OK"</formula>
    </cfRule>
  </conditionalFormatting>
  <conditionalFormatting sqref="I4:J4">
    <cfRule type="cellIs" dxfId="280" priority="156" stopIfTrue="1" operator="equal">
      <formula>"Fail"</formula>
    </cfRule>
  </conditionalFormatting>
  <conditionalFormatting sqref="I306:J306">
    <cfRule type="cellIs" dxfId="279" priority="157" stopIfTrue="1" operator="equal">
      <formula>"OK"</formula>
    </cfRule>
  </conditionalFormatting>
  <conditionalFormatting sqref="I306:J306">
    <cfRule type="cellIs" dxfId="278" priority="158" stopIfTrue="1" operator="equal">
      <formula>"Fail"</formula>
    </cfRule>
  </conditionalFormatting>
  <conditionalFormatting sqref="I306:J306">
    <cfRule type="cellIs" dxfId="277" priority="159" stopIfTrue="1" operator="equal">
      <formula>"OK"</formula>
    </cfRule>
  </conditionalFormatting>
  <conditionalFormatting sqref="I306:J306">
    <cfRule type="cellIs" dxfId="276" priority="160" stopIfTrue="1" operator="equal">
      <formula>"Fail"</formula>
    </cfRule>
  </conditionalFormatting>
  <conditionalFormatting sqref="I11:J11">
    <cfRule type="cellIs" dxfId="275" priority="161" stopIfTrue="1" operator="equal">
      <formula>"OK"</formula>
    </cfRule>
  </conditionalFormatting>
  <conditionalFormatting sqref="I11:J11">
    <cfRule type="cellIs" dxfId="274" priority="162" stopIfTrue="1" operator="equal">
      <formula>"Fail"</formula>
    </cfRule>
  </conditionalFormatting>
  <conditionalFormatting sqref="K11">
    <cfRule type="containsText" dxfId="273" priority="163" operator="containsText" text="NG">
      <formula>NOT(ISERROR(SEARCH(("NG"),(K11))))</formula>
    </cfRule>
  </conditionalFormatting>
  <conditionalFormatting sqref="K11">
    <cfRule type="containsText" dxfId="272" priority="164" operator="containsText" text="OK">
      <formula>NOT(ISERROR(SEARCH(("OK"),(K11))))</formula>
    </cfRule>
  </conditionalFormatting>
  <conditionalFormatting sqref="K56">
    <cfRule type="containsText" dxfId="271" priority="165" operator="containsText" text="NG">
      <formula>NOT(ISERROR(SEARCH(("NG"),(K56))))</formula>
    </cfRule>
  </conditionalFormatting>
  <conditionalFormatting sqref="K56">
    <cfRule type="containsText" dxfId="270" priority="166" operator="containsText" text="OK">
      <formula>NOT(ISERROR(SEARCH(("OK"),(K56))))</formula>
    </cfRule>
  </conditionalFormatting>
  <conditionalFormatting sqref="K57">
    <cfRule type="containsText" dxfId="269" priority="167" operator="containsText" text="NG">
      <formula>NOT(ISERROR(SEARCH(("NG"),(K57))))</formula>
    </cfRule>
  </conditionalFormatting>
  <conditionalFormatting sqref="K57">
    <cfRule type="containsText" dxfId="268" priority="168" operator="containsText" text="OK">
      <formula>NOT(ISERROR(SEARCH(("OK"),(K57))))</formula>
    </cfRule>
  </conditionalFormatting>
  <conditionalFormatting sqref="K58">
    <cfRule type="containsText" dxfId="267" priority="169" operator="containsText" text="NG">
      <formula>NOT(ISERROR(SEARCH(("NG"),(K58))))</formula>
    </cfRule>
  </conditionalFormatting>
  <conditionalFormatting sqref="K58">
    <cfRule type="containsText" dxfId="266" priority="170" operator="containsText" text="OK">
      <formula>NOT(ISERROR(SEARCH(("OK"),(K58))))</formula>
    </cfRule>
  </conditionalFormatting>
  <conditionalFormatting sqref="K59">
    <cfRule type="containsText" dxfId="265" priority="171" operator="containsText" text="NG">
      <formula>NOT(ISERROR(SEARCH(("NG"),(K59))))</formula>
    </cfRule>
  </conditionalFormatting>
  <conditionalFormatting sqref="K59">
    <cfRule type="containsText" dxfId="264" priority="172" operator="containsText" text="OK">
      <formula>NOT(ISERROR(SEARCH(("OK"),(K59))))</formula>
    </cfRule>
  </conditionalFormatting>
  <conditionalFormatting sqref="K60">
    <cfRule type="containsText" dxfId="263" priority="173" operator="containsText" text="NG">
      <formula>NOT(ISERROR(SEARCH(("NG"),(K60))))</formula>
    </cfRule>
  </conditionalFormatting>
  <conditionalFormatting sqref="K60">
    <cfRule type="containsText" dxfId="262" priority="174" operator="containsText" text="OK">
      <formula>NOT(ISERROR(SEARCH(("OK"),(K60))))</formula>
    </cfRule>
  </conditionalFormatting>
  <conditionalFormatting sqref="K86">
    <cfRule type="containsText" dxfId="261" priority="175" operator="containsText" text="NG">
      <formula>NOT(ISERROR(SEARCH(("NG"),(K86))))</formula>
    </cfRule>
  </conditionalFormatting>
  <conditionalFormatting sqref="K86">
    <cfRule type="containsText" dxfId="260" priority="176" operator="containsText" text="OK">
      <formula>NOT(ISERROR(SEARCH(("OK"),(K86))))</formula>
    </cfRule>
  </conditionalFormatting>
  <conditionalFormatting sqref="K87">
    <cfRule type="containsText" dxfId="259" priority="177" operator="containsText" text="NG">
      <formula>NOT(ISERROR(SEARCH(("NG"),(K87))))</formula>
    </cfRule>
  </conditionalFormatting>
  <conditionalFormatting sqref="K87">
    <cfRule type="containsText" dxfId="258" priority="178" operator="containsText" text="OK">
      <formula>NOT(ISERROR(SEARCH(("OK"),(K87))))</formula>
    </cfRule>
  </conditionalFormatting>
  <conditionalFormatting sqref="K88">
    <cfRule type="containsText" dxfId="257" priority="179" operator="containsText" text="NG">
      <formula>NOT(ISERROR(SEARCH(("NG"),(K88))))</formula>
    </cfRule>
  </conditionalFormatting>
  <conditionalFormatting sqref="K88">
    <cfRule type="containsText" dxfId="256" priority="180" operator="containsText" text="OK">
      <formula>NOT(ISERROR(SEARCH(("OK"),(K88))))</formula>
    </cfRule>
  </conditionalFormatting>
  <conditionalFormatting sqref="K89">
    <cfRule type="containsText" dxfId="255" priority="181" operator="containsText" text="NG">
      <formula>NOT(ISERROR(SEARCH(("NG"),(K89))))</formula>
    </cfRule>
  </conditionalFormatting>
  <conditionalFormatting sqref="K89">
    <cfRule type="containsText" dxfId="254" priority="182" operator="containsText" text="OK">
      <formula>NOT(ISERROR(SEARCH(("OK"),(K89))))</formula>
    </cfRule>
  </conditionalFormatting>
  <conditionalFormatting sqref="K90">
    <cfRule type="containsText" dxfId="253" priority="183" operator="containsText" text="NG">
      <formula>NOT(ISERROR(SEARCH(("NG"),(K90))))</formula>
    </cfRule>
  </conditionalFormatting>
  <conditionalFormatting sqref="K90">
    <cfRule type="containsText" dxfId="252" priority="184" operator="containsText" text="OK">
      <formula>NOT(ISERROR(SEARCH(("OK"),(K90))))</formula>
    </cfRule>
  </conditionalFormatting>
  <conditionalFormatting sqref="K91">
    <cfRule type="containsText" dxfId="251" priority="185" operator="containsText" text="NG">
      <formula>NOT(ISERROR(SEARCH(("NG"),(K91))))</formula>
    </cfRule>
  </conditionalFormatting>
  <conditionalFormatting sqref="K91">
    <cfRule type="containsText" dxfId="250" priority="186" operator="containsText" text="OK">
      <formula>NOT(ISERROR(SEARCH(("OK"),(K91))))</formula>
    </cfRule>
  </conditionalFormatting>
  <conditionalFormatting sqref="K92">
    <cfRule type="containsText" dxfId="249" priority="187" operator="containsText" text="NG">
      <formula>NOT(ISERROR(SEARCH(("NG"),(K92))))</formula>
    </cfRule>
  </conditionalFormatting>
  <conditionalFormatting sqref="K92">
    <cfRule type="containsText" dxfId="248" priority="188" operator="containsText" text="OK">
      <formula>NOT(ISERROR(SEARCH(("OK"),(K92))))</formula>
    </cfRule>
  </conditionalFormatting>
  <conditionalFormatting sqref="K99">
    <cfRule type="containsText" dxfId="247" priority="189" operator="containsText" text="NG">
      <formula>NOT(ISERROR(SEARCH(("NG"),(K99))))</formula>
    </cfRule>
  </conditionalFormatting>
  <conditionalFormatting sqref="K99">
    <cfRule type="containsText" dxfId="246" priority="190" operator="containsText" text="OK">
      <formula>NOT(ISERROR(SEARCH(("OK"),(K99))))</formula>
    </cfRule>
  </conditionalFormatting>
  <conditionalFormatting sqref="K100">
    <cfRule type="containsText" dxfId="245" priority="191" operator="containsText" text="NG">
      <formula>NOT(ISERROR(SEARCH(("NG"),(K100))))</formula>
    </cfRule>
  </conditionalFormatting>
  <conditionalFormatting sqref="K100">
    <cfRule type="containsText" dxfId="244" priority="192" operator="containsText" text="OK">
      <formula>NOT(ISERROR(SEARCH(("OK"),(K100))))</formula>
    </cfRule>
  </conditionalFormatting>
  <conditionalFormatting sqref="K101">
    <cfRule type="containsText" dxfId="243" priority="193" operator="containsText" text="NG">
      <formula>NOT(ISERROR(SEARCH(("NG"),(K101))))</formula>
    </cfRule>
  </conditionalFormatting>
  <conditionalFormatting sqref="K101">
    <cfRule type="containsText" dxfId="242" priority="194" operator="containsText" text="OK">
      <formula>NOT(ISERROR(SEARCH(("OK"),(K101))))</formula>
    </cfRule>
  </conditionalFormatting>
  <conditionalFormatting sqref="K102">
    <cfRule type="containsText" dxfId="241" priority="195" operator="containsText" text="NG">
      <formula>NOT(ISERROR(SEARCH(("NG"),(K102))))</formula>
    </cfRule>
  </conditionalFormatting>
  <conditionalFormatting sqref="K102">
    <cfRule type="containsText" dxfId="240" priority="196" operator="containsText" text="OK">
      <formula>NOT(ISERROR(SEARCH(("OK"),(K102))))</formula>
    </cfRule>
  </conditionalFormatting>
  <conditionalFormatting sqref="K103">
    <cfRule type="containsText" dxfId="239" priority="197" operator="containsText" text="NG">
      <formula>NOT(ISERROR(SEARCH(("NG"),(K103))))</formula>
    </cfRule>
  </conditionalFormatting>
  <conditionalFormatting sqref="K103">
    <cfRule type="containsText" dxfId="238" priority="198" operator="containsText" text="OK">
      <formula>NOT(ISERROR(SEARCH(("OK"),(K103))))</formula>
    </cfRule>
  </conditionalFormatting>
  <conditionalFormatting sqref="K114">
    <cfRule type="containsText" dxfId="237" priority="199" operator="containsText" text="NG">
      <formula>NOT(ISERROR(SEARCH(("NG"),(K114))))</formula>
    </cfRule>
  </conditionalFormatting>
  <conditionalFormatting sqref="K114">
    <cfRule type="containsText" dxfId="236" priority="200" operator="containsText" text="OK">
      <formula>NOT(ISERROR(SEARCH(("OK"),(K114))))</formula>
    </cfRule>
  </conditionalFormatting>
  <conditionalFormatting sqref="K115:K120">
    <cfRule type="containsText" dxfId="235" priority="201" operator="containsText" text="NG">
      <formula>NOT(ISERROR(SEARCH(("NG"),(K115))))</formula>
    </cfRule>
  </conditionalFormatting>
  <conditionalFormatting sqref="K115:K120">
    <cfRule type="containsText" dxfId="234" priority="202" operator="containsText" text="OK">
      <formula>NOT(ISERROR(SEARCH(("OK"),(K115))))</formula>
    </cfRule>
  </conditionalFormatting>
  <conditionalFormatting sqref="K168">
    <cfRule type="containsText" dxfId="233" priority="203" operator="containsText" text="NG">
      <formula>NOT(ISERROR(SEARCH(("NG"),(K168))))</formula>
    </cfRule>
  </conditionalFormatting>
  <conditionalFormatting sqref="K168">
    <cfRule type="containsText" dxfId="232" priority="204" operator="containsText" text="OK">
      <formula>NOT(ISERROR(SEARCH(("OK"),(K168))))</formula>
    </cfRule>
  </conditionalFormatting>
  <conditionalFormatting sqref="K228">
    <cfRule type="containsText" dxfId="231" priority="205" operator="containsText" text="NG">
      <formula>NOT(ISERROR(SEARCH(("NG"),(K228))))</formula>
    </cfRule>
  </conditionalFormatting>
  <conditionalFormatting sqref="K228">
    <cfRule type="containsText" dxfId="230" priority="206" operator="containsText" text="OK">
      <formula>NOT(ISERROR(SEARCH(("OK"),(K228))))</formula>
    </cfRule>
  </conditionalFormatting>
  <conditionalFormatting sqref="L228">
    <cfRule type="containsText" dxfId="229" priority="207" operator="containsText" text="NG">
      <formula>NOT(ISERROR(SEARCH(("NG"),(L228))))</formula>
    </cfRule>
  </conditionalFormatting>
  <conditionalFormatting sqref="L228">
    <cfRule type="containsText" dxfId="228" priority="208" operator="containsText" text="OK">
      <formula>NOT(ISERROR(SEARCH(("OK"),(L228))))</formula>
    </cfRule>
  </conditionalFormatting>
  <conditionalFormatting sqref="K121:K134">
    <cfRule type="containsText" dxfId="227" priority="209" operator="containsText" text="NG">
      <formula>NOT(ISERROR(SEARCH(("NG"),(K121))))</formula>
    </cfRule>
  </conditionalFormatting>
  <conditionalFormatting sqref="K121:K134">
    <cfRule type="containsText" dxfId="226" priority="210" operator="containsText" text="OK">
      <formula>NOT(ISERROR(SEARCH(("OK"),(K121))))</formula>
    </cfRule>
  </conditionalFormatting>
  <conditionalFormatting sqref="I310:J310">
    <cfRule type="cellIs" dxfId="225" priority="211" stopIfTrue="1" operator="equal">
      <formula>"OK"</formula>
    </cfRule>
  </conditionalFormatting>
  <conditionalFormatting sqref="I310:J310">
    <cfRule type="cellIs" dxfId="224" priority="212" stopIfTrue="1" operator="equal">
      <formula>"Fail"</formula>
    </cfRule>
  </conditionalFormatting>
  <conditionalFormatting sqref="I310:J310">
    <cfRule type="cellIs" dxfId="223" priority="213" stopIfTrue="1" operator="equal">
      <formula>"OK"</formula>
    </cfRule>
  </conditionalFormatting>
  <conditionalFormatting sqref="I310:J310">
    <cfRule type="cellIs" dxfId="222" priority="214" stopIfTrue="1" operator="equal">
      <formula>"Fail"</formula>
    </cfRule>
  </conditionalFormatting>
  <conditionalFormatting sqref="I7:J7">
    <cfRule type="cellIs" dxfId="221" priority="215" stopIfTrue="1" operator="equal">
      <formula>"OK"</formula>
    </cfRule>
  </conditionalFormatting>
  <conditionalFormatting sqref="I7:J7">
    <cfRule type="cellIs" dxfId="220" priority="216" stopIfTrue="1" operator="equal">
      <formula>"Fail"</formula>
    </cfRule>
  </conditionalFormatting>
  <conditionalFormatting sqref="I10:J10">
    <cfRule type="cellIs" dxfId="219" priority="217" stopIfTrue="1" operator="equal">
      <formula>"OK"</formula>
    </cfRule>
  </conditionalFormatting>
  <conditionalFormatting sqref="I10:J10">
    <cfRule type="cellIs" dxfId="218" priority="218" stopIfTrue="1" operator="equal">
      <formula>"Fail"</formula>
    </cfRule>
  </conditionalFormatting>
  <dataValidations count="5">
    <dataValidation type="list" allowBlank="1" showErrorMessage="1" sqref="O4:O11 O84:O92 O98:O103 O111 O113:O134 O170 O192:O197 O243 O245:O246 O249:O250 O273">
      <formula1>"필수,중요,선택"</formula1>
    </dataValidation>
    <dataValidation type="list" allowBlank="1" showErrorMessage="1" sqref="Q30:Q35 S30:S35">
      <formula1>"필드,실차,X,O"</formula1>
    </dataValidation>
    <dataValidation type="list" allowBlank="1" showErrorMessage="1" sqref="R50:R55 R243:R255 R169:R179 R135:R167 R93:R113 R76:R84 R61:R70">
      <formula1>$BI$2:$BI$26</formula1>
    </dataValidation>
    <dataValidation type="list" allowBlank="1" showErrorMessage="1" sqref="K4:L318">
      <formula1>"Pass,Fail,NA"</formula1>
    </dataValidation>
    <dataValidation type="list" allowBlank="1" showErrorMessage="1" sqref="O19:P28 O30:P35 O37:O48 O50 O51:P75 O76 O77:P83 P85:P92 O93:P97 P98:P103 O104 O105:P110 P111 O112:P112 P113:P134 O135:P139 O140:O147 O148:P162 O163 O164:P169 P170 O171:P179 O181:P191 O198:O201 O203:P210 O212:P225 O227:P228 O230:P241 O244 O247:O248 P249:P250 O251:P255 O257:P257 O259:P259 O261:P261 O263:P263 O265:P265 O267:P267 O269:P269 O271:P271 P273 O274:P293 O295:P295 O297:P297 O299:P299 O301:P301 O303:P303 O305:P305 O307:P309 O311:P318">
      <formula1>"Proto,M/CAR,Pilot,M,SOP"</formula1>
    </dataValidation>
  </dataValidations>
  <pageMargins left="0.7" right="0.7" top="0.75" bottom="0.75" header="0" footer="0"/>
  <pageSetup paperSize="9" scale="15"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FF00"/>
  </sheetPr>
  <dimension ref="A1:AA1000"/>
  <sheetViews>
    <sheetView workbookViewId="0">
      <pane xSplit="2" ySplit="2" topLeftCell="G3" activePane="bottomRight" state="frozen"/>
      <selection pane="topRight" activeCell="C1" sqref="C1"/>
      <selection pane="bottomLeft" activeCell="A3" sqref="A3"/>
      <selection pane="bottomRight" activeCell="J3" sqref="J3"/>
    </sheetView>
  </sheetViews>
  <sheetFormatPr defaultColWidth="14.42578125" defaultRowHeight="15" customHeight="1"/>
  <cols>
    <col min="1" max="1" width="45.140625" customWidth="1"/>
    <col min="2" max="2" width="9.42578125" customWidth="1"/>
    <col min="3" max="3" width="9" customWidth="1"/>
    <col min="4" max="4" width="43.28515625" customWidth="1"/>
    <col min="5" max="5" width="48.28515625" customWidth="1"/>
    <col min="6" max="7" width="5.42578125" customWidth="1"/>
    <col min="8" max="9" width="43.28515625" customWidth="1"/>
    <col min="10" max="10" width="43.28515625" style="326" customWidth="1"/>
    <col min="11" max="11" width="9" customWidth="1"/>
    <col min="12" max="12" width="15.28515625" customWidth="1"/>
    <col min="13" max="13" width="17.85546875" customWidth="1"/>
    <col min="14" max="15" width="9" customWidth="1"/>
    <col min="16" max="17" width="7.42578125" customWidth="1"/>
    <col min="18" max="18" width="15.7109375" customWidth="1"/>
    <col min="19" max="19" width="7.42578125" customWidth="1"/>
    <col min="20" max="27" width="9" customWidth="1"/>
  </cols>
  <sheetData>
    <row r="1" spans="1:27" ht="39.75" customHeight="1">
      <c r="A1" s="9"/>
      <c r="B1" s="11" t="str">
        <f t="array" ref="B1">"ETC_"&amp;TEXT(MAX(IFERROR(--MID($B$2:$B$5000,5,3),0)),"000")</f>
        <v>ETC_029</v>
      </c>
      <c r="C1" s="4"/>
      <c r="D1" s="8"/>
      <c r="E1" s="9"/>
      <c r="F1" s="4"/>
      <c r="G1" s="4"/>
      <c r="H1" s="118"/>
      <c r="I1" s="118"/>
      <c r="J1" s="118"/>
      <c r="K1" s="11"/>
      <c r="L1" s="4"/>
      <c r="M1" s="11"/>
      <c r="N1" s="3"/>
      <c r="O1" s="11"/>
      <c r="P1" s="11"/>
      <c r="Q1" s="11"/>
      <c r="R1" s="11"/>
      <c r="S1" s="11"/>
    </row>
    <row r="2" spans="1:27" ht="39" customHeight="1">
      <c r="A2" s="265" t="s">
        <v>309</v>
      </c>
      <c r="B2" s="70" t="s">
        <v>310</v>
      </c>
      <c r="C2" s="70" t="s">
        <v>311</v>
      </c>
      <c r="D2" s="12" t="s">
        <v>312</v>
      </c>
      <c r="E2" s="12" t="s">
        <v>313</v>
      </c>
      <c r="F2" s="70" t="s">
        <v>314</v>
      </c>
      <c r="G2" s="70" t="s">
        <v>315</v>
      </c>
      <c r="H2" s="12" t="s">
        <v>316</v>
      </c>
      <c r="I2" s="12" t="s">
        <v>317</v>
      </c>
      <c r="J2" s="70" t="s">
        <v>7999</v>
      </c>
      <c r="K2" s="70" t="s">
        <v>291</v>
      </c>
      <c r="L2" s="70" t="s">
        <v>318</v>
      </c>
      <c r="M2" s="70" t="s">
        <v>293</v>
      </c>
      <c r="N2" s="13"/>
      <c r="O2" s="70" t="s">
        <v>319</v>
      </c>
      <c r="P2" s="70" t="s">
        <v>320</v>
      </c>
      <c r="Q2" s="70" t="s">
        <v>321</v>
      </c>
      <c r="R2" s="70" t="s">
        <v>1</v>
      </c>
      <c r="S2" s="70" t="s">
        <v>322</v>
      </c>
      <c r="T2" s="14"/>
      <c r="U2" s="14"/>
      <c r="V2" s="14"/>
      <c r="W2" s="14"/>
      <c r="X2" s="14"/>
      <c r="Y2" s="14"/>
      <c r="Z2" s="14"/>
      <c r="AA2" s="14"/>
    </row>
    <row r="3" spans="1:27" ht="37.5">
      <c r="A3" s="15" t="s">
        <v>6283</v>
      </c>
      <c r="B3" s="16"/>
      <c r="C3" s="16"/>
      <c r="D3" s="17"/>
      <c r="E3" s="18"/>
      <c r="F3" s="19"/>
      <c r="G3" s="19"/>
      <c r="H3" s="17"/>
      <c r="I3" s="20"/>
      <c r="J3" s="20"/>
      <c r="K3" s="16"/>
      <c r="L3" s="16"/>
      <c r="M3" s="71"/>
      <c r="N3" s="3"/>
      <c r="O3" s="16"/>
      <c r="P3" s="16"/>
      <c r="Q3" s="16"/>
      <c r="R3" s="16"/>
      <c r="S3" s="16"/>
    </row>
    <row r="4" spans="1:27" ht="39" customHeight="1">
      <c r="A4" s="356" t="s">
        <v>6284</v>
      </c>
      <c r="B4" s="360" t="s">
        <v>6285</v>
      </c>
      <c r="C4" s="31">
        <v>1</v>
      </c>
      <c r="D4" s="356" t="s">
        <v>6286</v>
      </c>
      <c r="E4" s="23" t="s">
        <v>12</v>
      </c>
      <c r="F4" s="31" t="s">
        <v>326</v>
      </c>
      <c r="G4" s="31" t="s">
        <v>524</v>
      </c>
      <c r="H4" s="23" t="s">
        <v>6287</v>
      </c>
      <c r="I4" s="23" t="s">
        <v>6288</v>
      </c>
      <c r="J4" s="170"/>
      <c r="K4" s="25" t="s">
        <v>294</v>
      </c>
      <c r="L4" s="99"/>
      <c r="M4" s="99" t="s">
        <v>6289</v>
      </c>
      <c r="N4" s="55"/>
      <c r="O4" s="28"/>
      <c r="P4" s="28"/>
      <c r="Q4" s="50" t="s">
        <v>140</v>
      </c>
      <c r="R4" s="25"/>
      <c r="S4" s="50"/>
      <c r="T4" s="65"/>
      <c r="U4" s="65"/>
      <c r="V4" s="65"/>
      <c r="W4" s="65"/>
      <c r="X4" s="65"/>
      <c r="Y4" s="65"/>
      <c r="Z4" s="65"/>
      <c r="AA4" s="65"/>
    </row>
    <row r="5" spans="1:27" ht="39" customHeight="1">
      <c r="A5" s="344"/>
      <c r="B5" s="344"/>
      <c r="C5" s="31">
        <v>1</v>
      </c>
      <c r="D5" s="344"/>
      <c r="E5" s="23" t="s">
        <v>13</v>
      </c>
      <c r="F5" s="31" t="s">
        <v>326</v>
      </c>
      <c r="G5" s="31" t="s">
        <v>524</v>
      </c>
      <c r="H5" s="23" t="s">
        <v>2268</v>
      </c>
      <c r="I5" s="23" t="s">
        <v>2269</v>
      </c>
      <c r="J5" s="170"/>
      <c r="K5" s="25" t="s">
        <v>294</v>
      </c>
      <c r="L5" s="99"/>
      <c r="M5" s="99" t="s">
        <v>6289</v>
      </c>
      <c r="N5" s="55"/>
      <c r="O5" s="28"/>
      <c r="P5" s="28"/>
      <c r="Q5" s="50" t="s">
        <v>140</v>
      </c>
      <c r="R5" s="25"/>
      <c r="S5" s="50"/>
      <c r="T5" s="65"/>
      <c r="U5" s="65"/>
      <c r="V5" s="65"/>
      <c r="W5" s="65"/>
      <c r="X5" s="65"/>
      <c r="Y5" s="65"/>
      <c r="Z5" s="65"/>
      <c r="AA5" s="65"/>
    </row>
    <row r="6" spans="1:27" ht="39" customHeight="1">
      <c r="A6" s="344"/>
      <c r="B6" s="344"/>
      <c r="C6" s="31">
        <v>2</v>
      </c>
      <c r="D6" s="344"/>
      <c r="E6" s="23" t="s">
        <v>14</v>
      </c>
      <c r="F6" s="31" t="s">
        <v>326</v>
      </c>
      <c r="G6" s="31" t="s">
        <v>524</v>
      </c>
      <c r="H6" s="23" t="s">
        <v>2270</v>
      </c>
      <c r="I6" s="23" t="s">
        <v>2271</v>
      </c>
      <c r="J6" s="170"/>
      <c r="K6" s="25" t="s">
        <v>294</v>
      </c>
      <c r="L6" s="99"/>
      <c r="M6" s="99" t="s">
        <v>6289</v>
      </c>
      <c r="N6" s="55"/>
      <c r="O6" s="25"/>
      <c r="P6" s="25"/>
      <c r="Q6" s="50" t="s">
        <v>140</v>
      </c>
      <c r="R6" s="25"/>
      <c r="S6" s="50"/>
      <c r="T6" s="65"/>
      <c r="U6" s="65"/>
      <c r="V6" s="65"/>
      <c r="W6" s="65"/>
      <c r="X6" s="65"/>
      <c r="Y6" s="65"/>
      <c r="Z6" s="65"/>
      <c r="AA6" s="65"/>
    </row>
    <row r="7" spans="1:27" ht="39" customHeight="1">
      <c r="A7" s="344"/>
      <c r="B7" s="344"/>
      <c r="C7" s="31">
        <v>3</v>
      </c>
      <c r="D7" s="344"/>
      <c r="E7" s="23" t="s">
        <v>15</v>
      </c>
      <c r="F7" s="31" t="s">
        <v>326</v>
      </c>
      <c r="G7" s="31" t="s">
        <v>524</v>
      </c>
      <c r="H7" s="23" t="s">
        <v>15</v>
      </c>
      <c r="I7" s="23" t="s">
        <v>2271</v>
      </c>
      <c r="J7" s="170"/>
      <c r="K7" s="25" t="s">
        <v>294</v>
      </c>
      <c r="L7" s="99"/>
      <c r="M7" s="99" t="s">
        <v>6289</v>
      </c>
      <c r="N7" s="55"/>
      <c r="O7" s="25"/>
      <c r="P7" s="25"/>
      <c r="Q7" s="50" t="s">
        <v>140</v>
      </c>
      <c r="R7" s="25"/>
      <c r="S7" s="50"/>
      <c r="T7" s="65"/>
      <c r="U7" s="65"/>
      <c r="V7" s="65"/>
      <c r="W7" s="65"/>
      <c r="X7" s="65"/>
      <c r="Y7" s="65"/>
      <c r="Z7" s="65"/>
      <c r="AA7" s="65"/>
    </row>
    <row r="8" spans="1:27" ht="39" customHeight="1">
      <c r="A8" s="344"/>
      <c r="B8" s="344"/>
      <c r="C8" s="31">
        <v>4</v>
      </c>
      <c r="D8" s="344"/>
      <c r="E8" s="23" t="s">
        <v>16</v>
      </c>
      <c r="F8" s="31" t="s">
        <v>326</v>
      </c>
      <c r="G8" s="31" t="s">
        <v>524</v>
      </c>
      <c r="H8" s="23" t="s">
        <v>16</v>
      </c>
      <c r="I8" s="23" t="s">
        <v>2271</v>
      </c>
      <c r="J8" s="170"/>
      <c r="K8" s="25" t="s">
        <v>294</v>
      </c>
      <c r="L8" s="99"/>
      <c r="M8" s="99" t="s">
        <v>6289</v>
      </c>
      <c r="N8" s="55"/>
      <c r="O8" s="25"/>
      <c r="P8" s="25"/>
      <c r="Q8" s="50" t="s">
        <v>140</v>
      </c>
      <c r="R8" s="25"/>
      <c r="S8" s="50"/>
      <c r="T8" s="65"/>
      <c r="U8" s="65"/>
      <c r="V8" s="65"/>
      <c r="W8" s="65"/>
      <c r="X8" s="65"/>
      <c r="Y8" s="65"/>
      <c r="Z8" s="65"/>
      <c r="AA8" s="65"/>
    </row>
    <row r="9" spans="1:27" ht="39" customHeight="1">
      <c r="A9" s="344"/>
      <c r="B9" s="344"/>
      <c r="C9" s="31">
        <v>5</v>
      </c>
      <c r="D9" s="344"/>
      <c r="E9" s="23" t="s">
        <v>17</v>
      </c>
      <c r="F9" s="31" t="s">
        <v>326</v>
      </c>
      <c r="G9" s="31" t="s">
        <v>524</v>
      </c>
      <c r="H9" s="23" t="s">
        <v>6290</v>
      </c>
      <c r="I9" s="39" t="s">
        <v>6288</v>
      </c>
      <c r="J9" s="289"/>
      <c r="K9" s="25" t="s">
        <v>294</v>
      </c>
      <c r="L9" s="99"/>
      <c r="M9" s="99" t="s">
        <v>6289</v>
      </c>
      <c r="N9" s="55"/>
      <c r="O9" s="25"/>
      <c r="P9" s="25"/>
      <c r="Q9" s="50" t="s">
        <v>140</v>
      </c>
      <c r="R9" s="25"/>
      <c r="S9" s="50"/>
      <c r="T9" s="65"/>
      <c r="U9" s="65"/>
      <c r="V9" s="65"/>
      <c r="W9" s="65"/>
      <c r="X9" s="65"/>
      <c r="Y9" s="65"/>
      <c r="Z9" s="65"/>
      <c r="AA9" s="65"/>
    </row>
    <row r="10" spans="1:27" ht="39" customHeight="1">
      <c r="A10" s="344"/>
      <c r="B10" s="344"/>
      <c r="C10" s="31">
        <v>6</v>
      </c>
      <c r="D10" s="344"/>
      <c r="E10" s="23" t="s">
        <v>18</v>
      </c>
      <c r="F10" s="31" t="s">
        <v>326</v>
      </c>
      <c r="G10" s="31" t="s">
        <v>524</v>
      </c>
      <c r="H10" s="23" t="s">
        <v>6291</v>
      </c>
      <c r="I10" s="39" t="s">
        <v>6288</v>
      </c>
      <c r="J10" s="289"/>
      <c r="K10" s="25" t="s">
        <v>294</v>
      </c>
      <c r="L10" s="99"/>
      <c r="M10" s="99" t="s">
        <v>6289</v>
      </c>
      <c r="N10" s="55"/>
      <c r="O10" s="25"/>
      <c r="P10" s="25"/>
      <c r="Q10" s="50" t="s">
        <v>140</v>
      </c>
      <c r="R10" s="154"/>
      <c r="S10" s="179"/>
      <c r="T10" s="65"/>
      <c r="U10" s="65"/>
      <c r="V10" s="65"/>
      <c r="W10" s="65"/>
      <c r="X10" s="65"/>
      <c r="Y10" s="65"/>
      <c r="Z10" s="65"/>
      <c r="AA10" s="65"/>
    </row>
    <row r="11" spans="1:27" ht="39" customHeight="1">
      <c r="A11" s="345"/>
      <c r="B11" s="345"/>
      <c r="C11" s="31">
        <v>7</v>
      </c>
      <c r="D11" s="345"/>
      <c r="E11" s="23" t="s">
        <v>19</v>
      </c>
      <c r="F11" s="31" t="s">
        <v>326</v>
      </c>
      <c r="G11" s="31" t="s">
        <v>524</v>
      </c>
      <c r="H11" s="23" t="s">
        <v>6292</v>
      </c>
      <c r="I11" s="39" t="s">
        <v>6288</v>
      </c>
      <c r="J11" s="289"/>
      <c r="K11" s="25" t="s">
        <v>294</v>
      </c>
      <c r="L11" s="99"/>
      <c r="M11" s="99" t="s">
        <v>6289</v>
      </c>
      <c r="N11" s="55"/>
      <c r="O11" s="25"/>
      <c r="P11" s="25"/>
      <c r="Q11" s="50" t="s">
        <v>140</v>
      </c>
      <c r="R11" s="154"/>
      <c r="S11" s="179"/>
      <c r="T11" s="65"/>
      <c r="U11" s="65"/>
      <c r="V11" s="65"/>
      <c r="W11" s="65"/>
      <c r="X11" s="65"/>
      <c r="Y11" s="65"/>
      <c r="Z11" s="65"/>
      <c r="AA11" s="65"/>
    </row>
    <row r="12" spans="1:27" ht="39" customHeight="1">
      <c r="A12" s="356" t="s">
        <v>6293</v>
      </c>
      <c r="B12" s="360" t="s">
        <v>6294</v>
      </c>
      <c r="C12" s="31">
        <v>1</v>
      </c>
      <c r="D12" s="356" t="s">
        <v>6295</v>
      </c>
      <c r="E12" s="23" t="s">
        <v>20</v>
      </c>
      <c r="F12" s="31" t="s">
        <v>326</v>
      </c>
      <c r="G12" s="31" t="s">
        <v>524</v>
      </c>
      <c r="H12" s="23" t="s">
        <v>6296</v>
      </c>
      <c r="I12" s="39" t="s">
        <v>6288</v>
      </c>
      <c r="J12" s="289"/>
      <c r="K12" s="25" t="s">
        <v>294</v>
      </c>
      <c r="L12" s="99"/>
      <c r="M12" s="99" t="s">
        <v>6297</v>
      </c>
      <c r="N12" s="55"/>
      <c r="O12" s="154"/>
      <c r="P12" s="154"/>
      <c r="Q12" s="50" t="s">
        <v>140</v>
      </c>
      <c r="R12" s="154"/>
      <c r="S12" s="179"/>
      <c r="T12" s="65"/>
      <c r="U12" s="65"/>
      <c r="V12" s="65"/>
      <c r="W12" s="65"/>
      <c r="X12" s="65"/>
      <c r="Y12" s="65"/>
      <c r="Z12" s="65"/>
      <c r="AA12" s="65"/>
    </row>
    <row r="13" spans="1:27" ht="75">
      <c r="A13" s="344"/>
      <c r="B13" s="344"/>
      <c r="C13" s="31">
        <v>2</v>
      </c>
      <c r="D13" s="344"/>
      <c r="E13" s="23" t="s">
        <v>21</v>
      </c>
      <c r="F13" s="31" t="s">
        <v>326</v>
      </c>
      <c r="G13" s="31" t="s">
        <v>524</v>
      </c>
      <c r="H13" s="23" t="s">
        <v>6298</v>
      </c>
      <c r="I13" s="23" t="s">
        <v>2269</v>
      </c>
      <c r="J13" s="170"/>
      <c r="K13" s="25" t="s">
        <v>294</v>
      </c>
      <c r="L13" s="99"/>
      <c r="M13" s="128" t="s">
        <v>6297</v>
      </c>
      <c r="N13" s="55"/>
      <c r="O13" s="25"/>
      <c r="P13" s="25"/>
      <c r="Q13" s="50" t="s">
        <v>140</v>
      </c>
      <c r="R13" s="154"/>
      <c r="S13" s="179"/>
      <c r="T13" s="65"/>
      <c r="U13" s="65"/>
      <c r="V13" s="65"/>
      <c r="W13" s="65"/>
      <c r="X13" s="65"/>
      <c r="Y13" s="65"/>
      <c r="Z13" s="65"/>
      <c r="AA13" s="65"/>
    </row>
    <row r="14" spans="1:27" ht="39" customHeight="1">
      <c r="A14" s="344"/>
      <c r="B14" s="344"/>
      <c r="C14" s="31">
        <v>3</v>
      </c>
      <c r="D14" s="344"/>
      <c r="E14" s="23" t="s">
        <v>22</v>
      </c>
      <c r="F14" s="31" t="s">
        <v>326</v>
      </c>
      <c r="G14" s="31" t="s">
        <v>524</v>
      </c>
      <c r="H14" s="23" t="s">
        <v>2275</v>
      </c>
      <c r="I14" s="23" t="s">
        <v>2271</v>
      </c>
      <c r="J14" s="170"/>
      <c r="K14" s="25" t="s">
        <v>294</v>
      </c>
      <c r="L14" s="99"/>
      <c r="M14" s="128" t="s">
        <v>6297</v>
      </c>
      <c r="N14" s="55"/>
      <c r="O14" s="25"/>
      <c r="P14" s="25"/>
      <c r="Q14" s="50" t="s">
        <v>140</v>
      </c>
      <c r="R14" s="154"/>
      <c r="S14" s="179"/>
      <c r="T14" s="65"/>
      <c r="U14" s="65"/>
      <c r="V14" s="65"/>
      <c r="W14" s="65"/>
      <c r="X14" s="65"/>
      <c r="Y14" s="65"/>
      <c r="Z14" s="65"/>
      <c r="AA14" s="65"/>
    </row>
    <row r="15" spans="1:27" ht="39" customHeight="1">
      <c r="A15" s="344"/>
      <c r="B15" s="344"/>
      <c r="C15" s="31">
        <v>4</v>
      </c>
      <c r="D15" s="344"/>
      <c r="E15" s="23" t="s">
        <v>23</v>
      </c>
      <c r="F15" s="31" t="s">
        <v>326</v>
      </c>
      <c r="G15" s="31" t="s">
        <v>524</v>
      </c>
      <c r="H15" s="23" t="s">
        <v>2276</v>
      </c>
      <c r="I15" s="23" t="s">
        <v>2271</v>
      </c>
      <c r="J15" s="170"/>
      <c r="K15" s="25" t="s">
        <v>294</v>
      </c>
      <c r="L15" s="99"/>
      <c r="M15" s="128" t="s">
        <v>6297</v>
      </c>
      <c r="N15" s="55"/>
      <c r="O15" s="25"/>
      <c r="P15" s="25"/>
      <c r="Q15" s="50" t="s">
        <v>140</v>
      </c>
      <c r="R15" s="154"/>
      <c r="S15" s="179"/>
      <c r="T15" s="65"/>
      <c r="U15" s="65"/>
      <c r="V15" s="65"/>
      <c r="W15" s="65"/>
      <c r="X15" s="65"/>
      <c r="Y15" s="65"/>
      <c r="Z15" s="65"/>
      <c r="AA15" s="65"/>
    </row>
    <row r="16" spans="1:27" ht="39" customHeight="1">
      <c r="A16" s="344"/>
      <c r="B16" s="344"/>
      <c r="C16" s="31">
        <v>5</v>
      </c>
      <c r="D16" s="344"/>
      <c r="E16" s="23" t="s">
        <v>24</v>
      </c>
      <c r="F16" s="31" t="s">
        <v>326</v>
      </c>
      <c r="G16" s="31" t="s">
        <v>524</v>
      </c>
      <c r="H16" s="23" t="s">
        <v>6299</v>
      </c>
      <c r="I16" s="23" t="s">
        <v>6288</v>
      </c>
      <c r="J16" s="170"/>
      <c r="K16" s="25" t="s">
        <v>294</v>
      </c>
      <c r="L16" s="99"/>
      <c r="M16" s="128" t="s">
        <v>6297</v>
      </c>
      <c r="N16" s="55"/>
      <c r="O16" s="25"/>
      <c r="P16" s="25"/>
      <c r="Q16" s="50" t="s">
        <v>140</v>
      </c>
      <c r="R16" s="154"/>
      <c r="S16" s="179"/>
      <c r="T16" s="65"/>
      <c r="U16" s="65"/>
      <c r="V16" s="65"/>
      <c r="W16" s="65"/>
      <c r="X16" s="65"/>
      <c r="Y16" s="65"/>
      <c r="Z16" s="65"/>
      <c r="AA16" s="65"/>
    </row>
    <row r="17" spans="1:27" ht="39" customHeight="1">
      <c r="A17" s="344"/>
      <c r="B17" s="344"/>
      <c r="C17" s="31">
        <v>6</v>
      </c>
      <c r="D17" s="344"/>
      <c r="E17" s="23" t="s">
        <v>25</v>
      </c>
      <c r="F17" s="31" t="s">
        <v>326</v>
      </c>
      <c r="G17" s="31" t="s">
        <v>524</v>
      </c>
      <c r="H17" s="23" t="s">
        <v>6300</v>
      </c>
      <c r="I17" s="23" t="s">
        <v>6288</v>
      </c>
      <c r="J17" s="170"/>
      <c r="K17" s="25" t="s">
        <v>294</v>
      </c>
      <c r="L17" s="99"/>
      <c r="M17" s="128" t="s">
        <v>6297</v>
      </c>
      <c r="N17" s="55"/>
      <c r="O17" s="25"/>
      <c r="P17" s="25"/>
      <c r="Q17" s="50" t="s">
        <v>140</v>
      </c>
      <c r="R17" s="154"/>
      <c r="S17" s="179"/>
      <c r="T17" s="65"/>
      <c r="U17" s="65"/>
      <c r="V17" s="65"/>
      <c r="W17" s="65"/>
      <c r="X17" s="65"/>
      <c r="Y17" s="65"/>
      <c r="Z17" s="65"/>
      <c r="AA17" s="65"/>
    </row>
    <row r="18" spans="1:27" ht="45">
      <c r="A18" s="344"/>
      <c r="B18" s="344"/>
      <c r="C18" s="31">
        <v>7</v>
      </c>
      <c r="D18" s="344"/>
      <c r="E18" s="23" t="s">
        <v>26</v>
      </c>
      <c r="F18" s="31" t="s">
        <v>326</v>
      </c>
      <c r="G18" s="31" t="s">
        <v>524</v>
      </c>
      <c r="H18" s="23" t="s">
        <v>6301</v>
      </c>
      <c r="I18" s="23" t="s">
        <v>2271</v>
      </c>
      <c r="J18" s="170"/>
      <c r="K18" s="25" t="s">
        <v>294</v>
      </c>
      <c r="L18" s="99"/>
      <c r="M18" s="128" t="s">
        <v>6297</v>
      </c>
      <c r="N18" s="55"/>
      <c r="O18" s="25"/>
      <c r="P18" s="25"/>
      <c r="Q18" s="50" t="s">
        <v>140</v>
      </c>
      <c r="R18" s="154"/>
      <c r="S18" s="179"/>
      <c r="T18" s="65"/>
      <c r="U18" s="65"/>
      <c r="V18" s="65"/>
      <c r="W18" s="65"/>
      <c r="X18" s="65"/>
      <c r="Y18" s="65"/>
      <c r="Z18" s="65"/>
      <c r="AA18" s="65"/>
    </row>
    <row r="19" spans="1:27" ht="39" customHeight="1">
      <c r="A19" s="345"/>
      <c r="B19" s="345"/>
      <c r="C19" s="31">
        <v>8</v>
      </c>
      <c r="D19" s="345"/>
      <c r="E19" s="23" t="s">
        <v>27</v>
      </c>
      <c r="F19" s="31" t="s">
        <v>326</v>
      </c>
      <c r="G19" s="31" t="s">
        <v>524</v>
      </c>
      <c r="H19" s="23" t="s">
        <v>6302</v>
      </c>
      <c r="I19" s="23" t="s">
        <v>6288</v>
      </c>
      <c r="J19" s="170"/>
      <c r="K19" s="25" t="s">
        <v>294</v>
      </c>
      <c r="L19" s="99"/>
      <c r="M19" s="128" t="s">
        <v>6297</v>
      </c>
      <c r="N19" s="55"/>
      <c r="O19" s="25"/>
      <c r="P19" s="25"/>
      <c r="Q19" s="50" t="s">
        <v>140</v>
      </c>
      <c r="R19" s="154"/>
      <c r="S19" s="179"/>
      <c r="T19" s="65"/>
      <c r="U19" s="65"/>
      <c r="V19" s="65"/>
      <c r="W19" s="65"/>
      <c r="X19" s="65"/>
      <c r="Y19" s="65"/>
      <c r="Z19" s="65"/>
      <c r="AA19" s="65"/>
    </row>
    <row r="20" spans="1:27" ht="120">
      <c r="A20" s="170"/>
      <c r="B20" s="360" t="s">
        <v>6303</v>
      </c>
      <c r="C20" s="31">
        <v>1</v>
      </c>
      <c r="D20" s="23" t="s">
        <v>6304</v>
      </c>
      <c r="E20" s="23" t="s">
        <v>6305</v>
      </c>
      <c r="F20" s="31" t="s">
        <v>326</v>
      </c>
      <c r="G20" s="31" t="s">
        <v>524</v>
      </c>
      <c r="H20" s="23" t="s">
        <v>6306</v>
      </c>
      <c r="I20" s="23" t="s">
        <v>6307</v>
      </c>
      <c r="J20" s="170"/>
      <c r="K20" s="25" t="s">
        <v>294</v>
      </c>
      <c r="L20" s="99"/>
      <c r="M20" s="99" t="s">
        <v>6308</v>
      </c>
      <c r="N20" s="266"/>
      <c r="O20" s="154"/>
      <c r="P20" s="50" t="s">
        <v>140</v>
      </c>
      <c r="Q20" s="50" t="s">
        <v>140</v>
      </c>
      <c r="R20" s="154" t="s">
        <v>7</v>
      </c>
      <c r="S20" s="179"/>
      <c r="T20" s="267"/>
      <c r="U20" s="267"/>
      <c r="V20" s="267"/>
      <c r="W20" s="267"/>
      <c r="X20" s="267"/>
      <c r="Y20" s="267"/>
      <c r="Z20" s="267"/>
      <c r="AA20" s="267"/>
    </row>
    <row r="21" spans="1:27" ht="39" customHeight="1">
      <c r="A21" s="355"/>
      <c r="B21" s="344"/>
      <c r="C21" s="31">
        <v>2</v>
      </c>
      <c r="D21" s="355" t="s">
        <v>6309</v>
      </c>
      <c r="E21" s="58" t="s">
        <v>6310</v>
      </c>
      <c r="F21" s="31" t="s">
        <v>5678</v>
      </c>
      <c r="G21" s="31" t="s">
        <v>327</v>
      </c>
      <c r="H21" s="23" t="s">
        <v>6311</v>
      </c>
      <c r="I21" s="23" t="s">
        <v>6312</v>
      </c>
      <c r="J21" s="170"/>
      <c r="K21" s="25" t="s">
        <v>294</v>
      </c>
      <c r="L21" s="99"/>
      <c r="M21" s="99"/>
      <c r="N21" s="266"/>
      <c r="O21" s="154"/>
      <c r="P21" s="50" t="s">
        <v>140</v>
      </c>
      <c r="Q21" s="50" t="s">
        <v>140</v>
      </c>
      <c r="R21" s="154"/>
      <c r="S21" s="179"/>
      <c r="T21" s="267"/>
      <c r="U21" s="267"/>
      <c r="V21" s="267"/>
      <c r="W21" s="267"/>
      <c r="X21" s="267"/>
      <c r="Y21" s="267"/>
      <c r="Z21" s="267"/>
      <c r="AA21" s="267"/>
    </row>
    <row r="22" spans="1:27" ht="39" customHeight="1">
      <c r="A22" s="344"/>
      <c r="B22" s="344"/>
      <c r="C22" s="31">
        <v>3</v>
      </c>
      <c r="D22" s="344"/>
      <c r="E22" s="58" t="s">
        <v>6313</v>
      </c>
      <c r="F22" s="31" t="s">
        <v>326</v>
      </c>
      <c r="G22" s="31" t="s">
        <v>524</v>
      </c>
      <c r="H22" s="23" t="s">
        <v>6314</v>
      </c>
      <c r="I22" s="23" t="s">
        <v>6315</v>
      </c>
      <c r="J22" s="170"/>
      <c r="K22" s="25" t="s">
        <v>294</v>
      </c>
      <c r="L22" s="99"/>
      <c r="M22" s="99"/>
      <c r="N22" s="266"/>
      <c r="O22" s="28" t="s">
        <v>140</v>
      </c>
      <c r="P22" s="50" t="s">
        <v>140</v>
      </c>
      <c r="Q22" s="50" t="s">
        <v>140</v>
      </c>
      <c r="R22" s="154"/>
      <c r="S22" s="179"/>
      <c r="T22" s="267"/>
      <c r="U22" s="267"/>
      <c r="V22" s="267"/>
      <c r="W22" s="267"/>
      <c r="X22" s="267"/>
      <c r="Y22" s="267"/>
      <c r="Z22" s="267"/>
      <c r="AA22" s="267"/>
    </row>
    <row r="23" spans="1:27" ht="39" customHeight="1">
      <c r="A23" s="344"/>
      <c r="B23" s="344"/>
      <c r="C23" s="31">
        <v>4</v>
      </c>
      <c r="D23" s="344"/>
      <c r="E23" s="58" t="s">
        <v>6316</v>
      </c>
      <c r="F23" s="31" t="s">
        <v>6317</v>
      </c>
      <c r="G23" s="31" t="s">
        <v>327</v>
      </c>
      <c r="H23" s="23" t="s">
        <v>6318</v>
      </c>
      <c r="I23" s="23" t="s">
        <v>6312</v>
      </c>
      <c r="J23" s="170"/>
      <c r="K23" s="25" t="s">
        <v>294</v>
      </c>
      <c r="L23" s="99"/>
      <c r="M23" s="99"/>
      <c r="N23" s="266"/>
      <c r="O23" s="25"/>
      <c r="P23" s="50" t="s">
        <v>140</v>
      </c>
      <c r="Q23" s="50" t="s">
        <v>140</v>
      </c>
      <c r="R23" s="25"/>
      <c r="S23" s="50"/>
      <c r="T23" s="267"/>
      <c r="U23" s="267"/>
      <c r="V23" s="267"/>
      <c r="W23" s="267"/>
      <c r="X23" s="267"/>
      <c r="Y23" s="267"/>
      <c r="Z23" s="267"/>
      <c r="AA23" s="267"/>
    </row>
    <row r="24" spans="1:27" ht="39" customHeight="1">
      <c r="A24" s="345"/>
      <c r="B24" s="344"/>
      <c r="C24" s="31">
        <v>5</v>
      </c>
      <c r="D24" s="345"/>
      <c r="E24" s="58" t="s">
        <v>6319</v>
      </c>
      <c r="F24" s="31" t="s">
        <v>326</v>
      </c>
      <c r="G24" s="31" t="s">
        <v>327</v>
      </c>
      <c r="H24" s="23" t="s">
        <v>6320</v>
      </c>
      <c r="I24" s="23" t="s">
        <v>6321</v>
      </c>
      <c r="J24" s="170"/>
      <c r="K24" s="25" t="s">
        <v>294</v>
      </c>
      <c r="L24" s="99"/>
      <c r="M24" s="99"/>
      <c r="N24" s="266"/>
      <c r="O24" s="28" t="s">
        <v>140</v>
      </c>
      <c r="P24" s="50" t="s">
        <v>140</v>
      </c>
      <c r="Q24" s="50" t="s">
        <v>140</v>
      </c>
      <c r="R24" s="25"/>
      <c r="S24" s="50"/>
      <c r="T24" s="267"/>
      <c r="U24" s="267"/>
      <c r="V24" s="267"/>
      <c r="W24" s="267"/>
      <c r="X24" s="267"/>
      <c r="Y24" s="267"/>
      <c r="Z24" s="267"/>
      <c r="AA24" s="267"/>
    </row>
    <row r="25" spans="1:27" ht="15.75" customHeight="1">
      <c r="A25" s="402"/>
      <c r="B25" s="344"/>
      <c r="C25" s="31">
        <v>6</v>
      </c>
      <c r="D25" s="402" t="s">
        <v>6322</v>
      </c>
      <c r="E25" s="268" t="s">
        <v>6323</v>
      </c>
      <c r="F25" s="269" t="s">
        <v>6324</v>
      </c>
      <c r="G25" s="269" t="s">
        <v>327</v>
      </c>
      <c r="H25" s="270" t="s">
        <v>6325</v>
      </c>
      <c r="I25" s="125" t="s">
        <v>6326</v>
      </c>
      <c r="J25" s="323"/>
      <c r="K25" s="25" t="s">
        <v>294</v>
      </c>
      <c r="L25" s="128"/>
      <c r="M25" s="128"/>
      <c r="N25" s="266"/>
      <c r="O25" s="25"/>
      <c r="P25" s="25"/>
      <c r="Q25" s="50" t="s">
        <v>140</v>
      </c>
      <c r="R25" s="25"/>
      <c r="S25" s="50"/>
      <c r="T25" s="267"/>
      <c r="U25" s="267"/>
      <c r="V25" s="267"/>
      <c r="W25" s="267"/>
      <c r="X25" s="267"/>
      <c r="Y25" s="267"/>
      <c r="Z25" s="267"/>
      <c r="AA25" s="267"/>
    </row>
    <row r="26" spans="1:27" ht="15.75" customHeight="1">
      <c r="A26" s="345"/>
      <c r="B26" s="345"/>
      <c r="C26" s="31">
        <v>7</v>
      </c>
      <c r="D26" s="345"/>
      <c r="E26" s="39" t="s">
        <v>6327</v>
      </c>
      <c r="F26" s="31" t="s">
        <v>6328</v>
      </c>
      <c r="G26" s="31" t="s">
        <v>327</v>
      </c>
      <c r="H26" s="23" t="s">
        <v>6329</v>
      </c>
      <c r="I26" s="23" t="s">
        <v>6326</v>
      </c>
      <c r="J26" s="170"/>
      <c r="K26" s="25" t="s">
        <v>294</v>
      </c>
      <c r="L26" s="128"/>
      <c r="M26" s="128"/>
      <c r="N26" s="266"/>
      <c r="O26" s="154"/>
      <c r="P26" s="154"/>
      <c r="Q26" s="50" t="s">
        <v>140</v>
      </c>
      <c r="R26" s="154"/>
      <c r="S26" s="179"/>
      <c r="T26" s="267"/>
      <c r="U26" s="267"/>
      <c r="V26" s="267"/>
      <c r="W26" s="267"/>
      <c r="X26" s="267"/>
      <c r="Y26" s="267"/>
      <c r="Z26" s="267"/>
      <c r="AA26" s="267"/>
    </row>
    <row r="27" spans="1:27" ht="15.75" customHeight="1">
      <c r="A27" s="355" t="s">
        <v>6330</v>
      </c>
      <c r="B27" s="360" t="s">
        <v>221</v>
      </c>
      <c r="C27" s="61">
        <v>1</v>
      </c>
      <c r="D27" s="366" t="s">
        <v>6331</v>
      </c>
      <c r="E27" s="63" t="s">
        <v>6332</v>
      </c>
      <c r="F27" s="61" t="s">
        <v>326</v>
      </c>
      <c r="G27" s="61" t="s">
        <v>327</v>
      </c>
      <c r="H27" s="63" t="s">
        <v>3326</v>
      </c>
      <c r="I27" s="63" t="s">
        <v>6333</v>
      </c>
      <c r="J27" s="171"/>
      <c r="K27" s="25"/>
      <c r="L27" s="99"/>
      <c r="M27" s="99"/>
      <c r="N27" s="55"/>
      <c r="O27" s="28" t="s">
        <v>140</v>
      </c>
      <c r="P27" s="25"/>
      <c r="Q27" s="50" t="s">
        <v>282</v>
      </c>
      <c r="R27" s="25"/>
      <c r="S27" s="50"/>
      <c r="T27" s="65"/>
      <c r="U27" s="65"/>
      <c r="V27" s="65"/>
      <c r="W27" s="65"/>
      <c r="X27" s="65"/>
      <c r="Y27" s="65"/>
      <c r="Z27" s="65"/>
      <c r="AA27" s="65"/>
    </row>
    <row r="28" spans="1:27" ht="15.75" customHeight="1">
      <c r="A28" s="344"/>
      <c r="B28" s="344"/>
      <c r="C28" s="61">
        <v>2</v>
      </c>
      <c r="D28" s="344"/>
      <c r="E28" s="63" t="s">
        <v>6334</v>
      </c>
      <c r="F28" s="61" t="s">
        <v>326</v>
      </c>
      <c r="G28" s="61" t="s">
        <v>327</v>
      </c>
      <c r="H28" s="63" t="s">
        <v>6335</v>
      </c>
      <c r="I28" s="63" t="s">
        <v>6336</v>
      </c>
      <c r="J28" s="171"/>
      <c r="K28" s="25"/>
      <c r="L28" s="99"/>
      <c r="M28" s="99"/>
      <c r="N28" s="55"/>
      <c r="O28" s="28" t="s">
        <v>140</v>
      </c>
      <c r="P28" s="25"/>
      <c r="Q28" s="50" t="s">
        <v>282</v>
      </c>
      <c r="R28" s="25"/>
      <c r="S28" s="50"/>
      <c r="T28" s="65"/>
      <c r="U28" s="65"/>
      <c r="V28" s="65"/>
      <c r="W28" s="65"/>
      <c r="X28" s="65"/>
      <c r="Y28" s="65"/>
      <c r="Z28" s="65"/>
      <c r="AA28" s="65"/>
    </row>
    <row r="29" spans="1:27" ht="15.75" customHeight="1">
      <c r="A29" s="344"/>
      <c r="B29" s="344"/>
      <c r="C29" s="61">
        <v>3</v>
      </c>
      <c r="D29" s="344"/>
      <c r="E29" s="63" t="s">
        <v>6337</v>
      </c>
      <c r="F29" s="61" t="s">
        <v>326</v>
      </c>
      <c r="G29" s="61" t="s">
        <v>327</v>
      </c>
      <c r="H29" s="63" t="s">
        <v>6338</v>
      </c>
      <c r="I29" s="63" t="s">
        <v>6339</v>
      </c>
      <c r="J29" s="171"/>
      <c r="K29" s="25"/>
      <c r="L29" s="99"/>
      <c r="M29" s="99"/>
      <c r="N29" s="55"/>
      <c r="O29" s="28" t="s">
        <v>140</v>
      </c>
      <c r="P29" s="25"/>
      <c r="Q29" s="50" t="s">
        <v>282</v>
      </c>
      <c r="R29" s="25"/>
      <c r="S29" s="50"/>
      <c r="T29" s="65"/>
      <c r="U29" s="65"/>
      <c r="V29" s="65"/>
      <c r="W29" s="65"/>
      <c r="X29" s="65"/>
      <c r="Y29" s="65"/>
      <c r="Z29" s="65"/>
      <c r="AA29" s="65"/>
    </row>
    <row r="30" spans="1:27" ht="15.75" customHeight="1">
      <c r="A30" s="344"/>
      <c r="B30" s="344"/>
      <c r="C30" s="61">
        <v>4</v>
      </c>
      <c r="D30" s="344"/>
      <c r="E30" s="63" t="s">
        <v>6340</v>
      </c>
      <c r="F30" s="61" t="s">
        <v>326</v>
      </c>
      <c r="G30" s="61" t="s">
        <v>524</v>
      </c>
      <c r="H30" s="63" t="s">
        <v>6341</v>
      </c>
      <c r="I30" s="63" t="s">
        <v>6342</v>
      </c>
      <c r="J30" s="171"/>
      <c r="K30" s="25"/>
      <c r="L30" s="99"/>
      <c r="M30" s="99"/>
      <c r="N30" s="55"/>
      <c r="O30" s="28" t="s">
        <v>140</v>
      </c>
      <c r="P30" s="25"/>
      <c r="Q30" s="50" t="s">
        <v>282</v>
      </c>
      <c r="R30" s="25" t="s">
        <v>7</v>
      </c>
      <c r="S30" s="50"/>
      <c r="T30" s="65"/>
      <c r="U30" s="65"/>
      <c r="V30" s="65"/>
      <c r="W30" s="65"/>
      <c r="X30" s="65"/>
      <c r="Y30" s="65"/>
      <c r="Z30" s="65"/>
      <c r="AA30" s="65"/>
    </row>
    <row r="31" spans="1:27" ht="15.75" customHeight="1">
      <c r="A31" s="344"/>
      <c r="B31" s="344"/>
      <c r="C31" s="61">
        <v>5</v>
      </c>
      <c r="D31" s="344"/>
      <c r="E31" s="63" t="s">
        <v>6343</v>
      </c>
      <c r="F31" s="61" t="s">
        <v>326</v>
      </c>
      <c r="G31" s="61" t="s">
        <v>524</v>
      </c>
      <c r="H31" s="63" t="s">
        <v>6344</v>
      </c>
      <c r="I31" s="63" t="s">
        <v>6336</v>
      </c>
      <c r="J31" s="171"/>
      <c r="K31" s="25"/>
      <c r="L31" s="99"/>
      <c r="M31" s="99"/>
      <c r="N31" s="55"/>
      <c r="O31" s="28" t="s">
        <v>140</v>
      </c>
      <c r="P31" s="25"/>
      <c r="Q31" s="50" t="s">
        <v>282</v>
      </c>
      <c r="R31" s="25" t="s">
        <v>7</v>
      </c>
      <c r="S31" s="50"/>
      <c r="T31" s="65"/>
      <c r="U31" s="65"/>
      <c r="V31" s="65"/>
      <c r="W31" s="65"/>
      <c r="X31" s="65"/>
      <c r="Y31" s="65"/>
      <c r="Z31" s="65"/>
      <c r="AA31" s="65"/>
    </row>
    <row r="32" spans="1:27" ht="15.75" customHeight="1">
      <c r="A32" s="353"/>
      <c r="B32" s="353"/>
      <c r="C32" s="86">
        <v>6</v>
      </c>
      <c r="D32" s="353"/>
      <c r="E32" s="175" t="s">
        <v>6345</v>
      </c>
      <c r="F32" s="86" t="s">
        <v>326</v>
      </c>
      <c r="G32" s="86" t="s">
        <v>327</v>
      </c>
      <c r="H32" s="175" t="s">
        <v>6346</v>
      </c>
      <c r="I32" s="63" t="s">
        <v>6333</v>
      </c>
      <c r="J32" s="171"/>
      <c r="K32" s="25"/>
      <c r="L32" s="99"/>
      <c r="M32" s="99"/>
      <c r="N32" s="55"/>
      <c r="O32" s="28"/>
      <c r="P32" s="25"/>
      <c r="Q32" s="50" t="s">
        <v>282</v>
      </c>
      <c r="R32" s="25" t="s">
        <v>305</v>
      </c>
      <c r="S32" s="50"/>
      <c r="T32" s="65"/>
      <c r="U32" s="65"/>
      <c r="V32" s="65"/>
      <c r="W32" s="65"/>
      <c r="X32" s="65"/>
      <c r="Y32" s="65"/>
      <c r="Z32" s="65"/>
      <c r="AA32" s="65"/>
    </row>
    <row r="33" spans="1:27" ht="15.75" customHeight="1">
      <c r="A33" s="355"/>
      <c r="B33" s="360" t="s">
        <v>6347</v>
      </c>
      <c r="C33" s="31">
        <v>1</v>
      </c>
      <c r="D33" s="21" t="s">
        <v>6348</v>
      </c>
      <c r="E33" s="23" t="s">
        <v>6349</v>
      </c>
      <c r="F33" s="31" t="s">
        <v>326</v>
      </c>
      <c r="G33" s="31" t="s">
        <v>327</v>
      </c>
      <c r="H33" s="23" t="s">
        <v>6350</v>
      </c>
      <c r="I33" s="23" t="s">
        <v>6333</v>
      </c>
      <c r="J33" s="170"/>
      <c r="K33" s="25"/>
      <c r="L33" s="99"/>
      <c r="M33" s="99"/>
      <c r="N33" s="55"/>
      <c r="O33" s="25"/>
      <c r="P33" s="25"/>
      <c r="Q33" s="50" t="s">
        <v>282</v>
      </c>
      <c r="R33" s="25"/>
      <c r="S33" s="50"/>
      <c r="T33" s="65"/>
      <c r="U33" s="65"/>
      <c r="V33" s="65"/>
      <c r="W33" s="65"/>
      <c r="X33" s="65"/>
      <c r="Y33" s="65"/>
      <c r="Z33" s="65"/>
      <c r="AA33" s="65"/>
    </row>
    <row r="34" spans="1:27" ht="15.75" customHeight="1">
      <c r="A34" s="344"/>
      <c r="B34" s="344"/>
      <c r="C34" s="31">
        <v>2</v>
      </c>
      <c r="D34" s="355" t="s">
        <v>6351</v>
      </c>
      <c r="E34" s="23" t="s">
        <v>6352</v>
      </c>
      <c r="F34" s="31" t="s">
        <v>6040</v>
      </c>
      <c r="G34" s="31" t="s">
        <v>327</v>
      </c>
      <c r="H34" s="23" t="s">
        <v>6350</v>
      </c>
      <c r="I34" s="23" t="s">
        <v>6333</v>
      </c>
      <c r="J34" s="170"/>
      <c r="K34" s="25"/>
      <c r="L34" s="99"/>
      <c r="M34" s="99"/>
      <c r="N34" s="55"/>
      <c r="O34" s="25"/>
      <c r="P34" s="25"/>
      <c r="Q34" s="50" t="s">
        <v>282</v>
      </c>
      <c r="R34" s="25"/>
      <c r="S34" s="50"/>
      <c r="T34" s="65"/>
      <c r="U34" s="65"/>
      <c r="V34" s="65"/>
      <c r="W34" s="65"/>
      <c r="X34" s="65"/>
      <c r="Y34" s="65"/>
      <c r="Z34" s="65"/>
      <c r="AA34" s="65"/>
    </row>
    <row r="35" spans="1:27" ht="15.75" customHeight="1">
      <c r="A35" s="344"/>
      <c r="B35" s="344"/>
      <c r="C35" s="31">
        <v>3</v>
      </c>
      <c r="D35" s="345"/>
      <c r="E35" s="23" t="s">
        <v>6353</v>
      </c>
      <c r="F35" s="31" t="s">
        <v>6042</v>
      </c>
      <c r="G35" s="31" t="s">
        <v>327</v>
      </c>
      <c r="H35" s="23" t="s">
        <v>6350</v>
      </c>
      <c r="I35" s="23" t="s">
        <v>6333</v>
      </c>
      <c r="J35" s="170"/>
      <c r="K35" s="25"/>
      <c r="L35" s="99"/>
      <c r="M35" s="99"/>
      <c r="N35" s="55"/>
      <c r="O35" s="25"/>
      <c r="P35" s="25"/>
      <c r="Q35" s="50" t="s">
        <v>282</v>
      </c>
      <c r="R35" s="25"/>
      <c r="S35" s="50"/>
      <c r="T35" s="65"/>
      <c r="U35" s="65"/>
      <c r="V35" s="65"/>
      <c r="W35" s="65"/>
      <c r="X35" s="65"/>
      <c r="Y35" s="65"/>
      <c r="Z35" s="65"/>
      <c r="AA35" s="65"/>
    </row>
    <row r="36" spans="1:27" ht="39" customHeight="1">
      <c r="A36" s="344"/>
      <c r="B36" s="344"/>
      <c r="C36" s="31">
        <v>4</v>
      </c>
      <c r="D36" s="355" t="s">
        <v>6354</v>
      </c>
      <c r="E36" s="23" t="s">
        <v>6355</v>
      </c>
      <c r="F36" s="31" t="s">
        <v>326</v>
      </c>
      <c r="G36" s="31" t="s">
        <v>524</v>
      </c>
      <c r="H36" s="23" t="s">
        <v>6356</v>
      </c>
      <c r="I36" s="23" t="s">
        <v>337</v>
      </c>
      <c r="J36" s="170"/>
      <c r="K36" s="25"/>
      <c r="L36" s="99"/>
      <c r="M36" s="99"/>
      <c r="N36" s="55"/>
      <c r="O36" s="25"/>
      <c r="P36" s="25"/>
      <c r="Q36" s="50" t="s">
        <v>282</v>
      </c>
      <c r="R36" s="25"/>
      <c r="S36" s="50"/>
      <c r="T36" s="65"/>
      <c r="U36" s="65"/>
      <c r="V36" s="65"/>
      <c r="W36" s="65"/>
      <c r="X36" s="65"/>
      <c r="Y36" s="65"/>
      <c r="Z36" s="65"/>
      <c r="AA36" s="65"/>
    </row>
    <row r="37" spans="1:27" ht="39" customHeight="1">
      <c r="A37" s="345"/>
      <c r="B37" s="345"/>
      <c r="C37" s="31">
        <v>5</v>
      </c>
      <c r="D37" s="345"/>
      <c r="E37" s="23" t="s">
        <v>6357</v>
      </c>
      <c r="F37" s="31" t="s">
        <v>326</v>
      </c>
      <c r="G37" s="31" t="s">
        <v>327</v>
      </c>
      <c r="H37" s="23" t="s">
        <v>6356</v>
      </c>
      <c r="I37" s="23" t="s">
        <v>337</v>
      </c>
      <c r="J37" s="170"/>
      <c r="K37" s="25"/>
      <c r="L37" s="99"/>
      <c r="M37" s="99"/>
      <c r="N37" s="55"/>
      <c r="O37" s="25"/>
      <c r="P37" s="25"/>
      <c r="Q37" s="50" t="s">
        <v>282</v>
      </c>
      <c r="R37" s="25"/>
      <c r="S37" s="50"/>
      <c r="T37" s="65"/>
      <c r="U37" s="65"/>
      <c r="V37" s="65"/>
      <c r="W37" s="65"/>
      <c r="X37" s="65"/>
      <c r="Y37" s="65"/>
      <c r="Z37" s="65"/>
      <c r="AA37" s="65"/>
    </row>
    <row r="38" spans="1:27" ht="39" customHeight="1">
      <c r="A38" s="355"/>
      <c r="B38" s="360" t="s">
        <v>6358</v>
      </c>
      <c r="C38" s="31">
        <v>1</v>
      </c>
      <c r="D38" s="355" t="s">
        <v>6359</v>
      </c>
      <c r="E38" s="23" t="s">
        <v>6360</v>
      </c>
      <c r="F38" s="31" t="s">
        <v>326</v>
      </c>
      <c r="G38" s="31" t="s">
        <v>524</v>
      </c>
      <c r="H38" s="23" t="s">
        <v>6361</v>
      </c>
      <c r="I38" s="23" t="s">
        <v>6362</v>
      </c>
      <c r="J38" s="170"/>
      <c r="K38" s="25" t="s">
        <v>294</v>
      </c>
      <c r="L38" s="99"/>
      <c r="M38" s="99"/>
      <c r="N38" s="266"/>
      <c r="O38" s="154"/>
      <c r="P38" s="50" t="s">
        <v>140</v>
      </c>
      <c r="Q38" s="50" t="s">
        <v>140</v>
      </c>
      <c r="R38" s="154"/>
      <c r="S38" s="179"/>
      <c r="T38" s="267"/>
      <c r="U38" s="267"/>
      <c r="V38" s="267"/>
      <c r="W38" s="267"/>
      <c r="X38" s="267"/>
      <c r="Y38" s="267"/>
      <c r="Z38" s="267"/>
      <c r="AA38" s="267"/>
    </row>
    <row r="39" spans="1:27" ht="39" customHeight="1">
      <c r="A39" s="344"/>
      <c r="B39" s="344"/>
      <c r="C39" s="31">
        <v>2</v>
      </c>
      <c r="D39" s="344"/>
      <c r="E39" s="23" t="s">
        <v>6363</v>
      </c>
      <c r="F39" s="31" t="s">
        <v>326</v>
      </c>
      <c r="G39" s="31" t="s">
        <v>327</v>
      </c>
      <c r="H39" s="23" t="s">
        <v>6364</v>
      </c>
      <c r="I39" s="23" t="s">
        <v>6362</v>
      </c>
      <c r="J39" s="170"/>
      <c r="K39" s="25" t="s">
        <v>294</v>
      </c>
      <c r="L39" s="99"/>
      <c r="M39" s="99"/>
      <c r="N39" s="55"/>
      <c r="O39" s="154"/>
      <c r="P39" s="154"/>
      <c r="Q39" s="50" t="s">
        <v>140</v>
      </c>
      <c r="R39" s="154"/>
      <c r="S39" s="179"/>
      <c r="T39" s="65"/>
      <c r="U39" s="65"/>
      <c r="V39" s="65"/>
      <c r="W39" s="65"/>
      <c r="X39" s="65"/>
      <c r="Y39" s="65"/>
      <c r="Z39" s="65"/>
      <c r="AA39" s="65"/>
    </row>
    <row r="40" spans="1:27" ht="39" customHeight="1">
      <c r="A40" s="344"/>
      <c r="B40" s="344"/>
      <c r="C40" s="31">
        <v>3</v>
      </c>
      <c r="D40" s="344"/>
      <c r="E40" s="23" t="s">
        <v>6365</v>
      </c>
      <c r="F40" s="31" t="s">
        <v>326</v>
      </c>
      <c r="G40" s="31" t="s">
        <v>327</v>
      </c>
      <c r="H40" s="23" t="s">
        <v>6366</v>
      </c>
      <c r="I40" s="23" t="s">
        <v>6367</v>
      </c>
      <c r="J40" s="170"/>
      <c r="K40" s="25" t="s">
        <v>294</v>
      </c>
      <c r="L40" s="99"/>
      <c r="M40" s="99"/>
      <c r="N40" s="55"/>
      <c r="O40" s="154"/>
      <c r="P40" s="154"/>
      <c r="Q40" s="50" t="s">
        <v>140</v>
      </c>
      <c r="R40" s="154"/>
      <c r="S40" s="179"/>
      <c r="T40" s="65"/>
      <c r="U40" s="65"/>
      <c r="V40" s="65"/>
      <c r="W40" s="65"/>
      <c r="X40" s="65"/>
      <c r="Y40" s="65"/>
      <c r="Z40" s="65"/>
      <c r="AA40" s="65"/>
    </row>
    <row r="41" spans="1:27" ht="15.75" customHeight="1">
      <c r="A41" s="345"/>
      <c r="B41" s="345"/>
      <c r="C41" s="31">
        <v>4</v>
      </c>
      <c r="D41" s="345"/>
      <c r="E41" s="23" t="s">
        <v>6368</v>
      </c>
      <c r="F41" s="31" t="s">
        <v>326</v>
      </c>
      <c r="G41" s="31" t="s">
        <v>327</v>
      </c>
      <c r="H41" s="23" t="s">
        <v>6369</v>
      </c>
      <c r="I41" s="23" t="s">
        <v>6370</v>
      </c>
      <c r="J41" s="170"/>
      <c r="K41" s="25" t="s">
        <v>294</v>
      </c>
      <c r="L41" s="99"/>
      <c r="M41" s="99"/>
      <c r="N41" s="55"/>
      <c r="O41" s="154"/>
      <c r="P41" s="154"/>
      <c r="Q41" s="50" t="s">
        <v>140</v>
      </c>
      <c r="R41" s="154"/>
      <c r="S41" s="179"/>
      <c r="T41" s="65"/>
      <c r="U41" s="65"/>
      <c r="V41" s="65"/>
      <c r="W41" s="65"/>
      <c r="X41" s="65"/>
      <c r="Y41" s="65"/>
      <c r="Z41" s="65"/>
      <c r="AA41" s="65"/>
    </row>
    <row r="42" spans="1:27" ht="15.75" customHeight="1">
      <c r="A42" s="356" t="s">
        <v>6371</v>
      </c>
      <c r="B42" s="360" t="s">
        <v>6372</v>
      </c>
      <c r="C42" s="31">
        <v>1</v>
      </c>
      <c r="D42" s="356" t="s">
        <v>6373</v>
      </c>
      <c r="E42" s="39" t="s">
        <v>6374</v>
      </c>
      <c r="F42" s="31" t="s">
        <v>2</v>
      </c>
      <c r="G42" s="31" t="s">
        <v>327</v>
      </c>
      <c r="H42" s="39" t="s">
        <v>6375</v>
      </c>
      <c r="I42" s="39" t="s">
        <v>6376</v>
      </c>
      <c r="J42" s="289"/>
      <c r="K42" s="25"/>
      <c r="L42" s="43"/>
      <c r="M42" s="377" t="s">
        <v>6377</v>
      </c>
      <c r="N42" s="55"/>
      <c r="O42" s="25"/>
      <c r="P42" s="25"/>
      <c r="Q42" s="50" t="s">
        <v>282</v>
      </c>
      <c r="R42" s="25"/>
      <c r="S42" s="50" t="s">
        <v>140</v>
      </c>
      <c r="T42" s="65"/>
      <c r="U42" s="65"/>
      <c r="V42" s="65"/>
      <c r="W42" s="65"/>
      <c r="X42" s="65"/>
      <c r="Y42" s="65"/>
      <c r="Z42" s="65"/>
      <c r="AA42" s="65"/>
    </row>
    <row r="43" spans="1:27" ht="39" customHeight="1">
      <c r="A43" s="344"/>
      <c r="B43" s="344"/>
      <c r="C43" s="31">
        <v>2</v>
      </c>
      <c r="D43" s="344"/>
      <c r="E43" s="39" t="s">
        <v>6378</v>
      </c>
      <c r="F43" s="31" t="s">
        <v>2</v>
      </c>
      <c r="G43" s="31" t="s">
        <v>327</v>
      </c>
      <c r="H43" s="39" t="s">
        <v>6379</v>
      </c>
      <c r="I43" s="39" t="s">
        <v>6380</v>
      </c>
      <c r="J43" s="289"/>
      <c r="K43" s="25"/>
      <c r="L43" s="43"/>
      <c r="M43" s="344"/>
      <c r="N43" s="55"/>
      <c r="O43" s="25"/>
      <c r="P43" s="25"/>
      <c r="Q43" s="50" t="s">
        <v>282</v>
      </c>
      <c r="R43" s="25"/>
      <c r="S43" s="50" t="s">
        <v>140</v>
      </c>
      <c r="T43" s="65"/>
      <c r="U43" s="65"/>
      <c r="V43" s="65"/>
      <c r="W43" s="65"/>
      <c r="X43" s="65"/>
      <c r="Y43" s="65"/>
      <c r="Z43" s="65"/>
      <c r="AA43" s="65"/>
    </row>
    <row r="44" spans="1:27" ht="39" customHeight="1">
      <c r="A44" s="344"/>
      <c r="B44" s="344"/>
      <c r="C44" s="31">
        <v>3</v>
      </c>
      <c r="D44" s="344"/>
      <c r="E44" s="39" t="s">
        <v>6381</v>
      </c>
      <c r="F44" s="31" t="s">
        <v>2</v>
      </c>
      <c r="G44" s="31" t="s">
        <v>327</v>
      </c>
      <c r="H44" s="39" t="s">
        <v>6382</v>
      </c>
      <c r="I44" s="39" t="s">
        <v>6380</v>
      </c>
      <c r="J44" s="289"/>
      <c r="K44" s="25"/>
      <c r="L44" s="43"/>
      <c r="M44" s="344"/>
      <c r="N44" s="55"/>
      <c r="O44" s="25"/>
      <c r="P44" s="25"/>
      <c r="Q44" s="50" t="s">
        <v>282</v>
      </c>
      <c r="R44" s="25"/>
      <c r="S44" s="50" t="s">
        <v>140</v>
      </c>
      <c r="T44" s="65"/>
      <c r="U44" s="65"/>
      <c r="V44" s="65"/>
      <c r="W44" s="65"/>
      <c r="X44" s="65"/>
      <c r="Y44" s="65"/>
      <c r="Z44" s="65"/>
      <c r="AA44" s="65"/>
    </row>
    <row r="45" spans="1:27" ht="39" customHeight="1">
      <c r="A45" s="344"/>
      <c r="B45" s="344"/>
      <c r="C45" s="31">
        <v>4</v>
      </c>
      <c r="D45" s="344"/>
      <c r="E45" s="39" t="s">
        <v>6383</v>
      </c>
      <c r="F45" s="31" t="s">
        <v>2</v>
      </c>
      <c r="G45" s="31" t="s">
        <v>327</v>
      </c>
      <c r="H45" s="39" t="s">
        <v>6384</v>
      </c>
      <c r="I45" s="39" t="s">
        <v>6380</v>
      </c>
      <c r="J45" s="289"/>
      <c r="K45" s="25"/>
      <c r="L45" s="43"/>
      <c r="M45" s="344"/>
      <c r="N45" s="55"/>
      <c r="O45" s="25"/>
      <c r="P45" s="25"/>
      <c r="Q45" s="50" t="s">
        <v>282</v>
      </c>
      <c r="R45" s="25"/>
      <c r="S45" s="50" t="s">
        <v>140</v>
      </c>
      <c r="T45" s="65"/>
      <c r="U45" s="65"/>
      <c r="V45" s="65"/>
      <c r="W45" s="65"/>
      <c r="X45" s="65"/>
      <c r="Y45" s="65"/>
      <c r="Z45" s="65"/>
      <c r="AA45" s="65"/>
    </row>
    <row r="46" spans="1:27" ht="39" customHeight="1">
      <c r="A46" s="344"/>
      <c r="B46" s="344"/>
      <c r="C46" s="31">
        <v>5</v>
      </c>
      <c r="D46" s="344"/>
      <c r="E46" s="39" t="s">
        <v>6385</v>
      </c>
      <c r="F46" s="31" t="s">
        <v>2</v>
      </c>
      <c r="G46" s="31" t="s">
        <v>327</v>
      </c>
      <c r="H46" s="39" t="s">
        <v>6386</v>
      </c>
      <c r="I46" s="39" t="s">
        <v>6380</v>
      </c>
      <c r="J46" s="289"/>
      <c r="K46" s="25"/>
      <c r="L46" s="43"/>
      <c r="M46" s="344"/>
      <c r="N46" s="55"/>
      <c r="O46" s="25"/>
      <c r="P46" s="25"/>
      <c r="Q46" s="50" t="s">
        <v>282</v>
      </c>
      <c r="R46" s="25"/>
      <c r="S46" s="50" t="s">
        <v>140</v>
      </c>
      <c r="T46" s="65"/>
      <c r="U46" s="65"/>
      <c r="V46" s="65"/>
      <c r="W46" s="65"/>
      <c r="X46" s="65"/>
      <c r="Y46" s="65"/>
      <c r="Z46" s="65"/>
      <c r="AA46" s="65"/>
    </row>
    <row r="47" spans="1:27" ht="39" customHeight="1">
      <c r="A47" s="344"/>
      <c r="B47" s="344"/>
      <c r="C47" s="31">
        <v>6</v>
      </c>
      <c r="D47" s="344"/>
      <c r="E47" s="39" t="s">
        <v>6387</v>
      </c>
      <c r="F47" s="31" t="s">
        <v>2</v>
      </c>
      <c r="G47" s="31" t="s">
        <v>327</v>
      </c>
      <c r="H47" s="39" t="s">
        <v>6388</v>
      </c>
      <c r="I47" s="39" t="s">
        <v>6380</v>
      </c>
      <c r="J47" s="289"/>
      <c r="K47" s="25"/>
      <c r="L47" s="43"/>
      <c r="M47" s="344"/>
      <c r="N47" s="55"/>
      <c r="O47" s="25"/>
      <c r="P47" s="25"/>
      <c r="Q47" s="50" t="s">
        <v>282</v>
      </c>
      <c r="R47" s="25"/>
      <c r="S47" s="50" t="s">
        <v>140</v>
      </c>
      <c r="T47" s="65"/>
      <c r="U47" s="65"/>
      <c r="V47" s="65"/>
      <c r="W47" s="65"/>
      <c r="X47" s="65"/>
      <c r="Y47" s="65"/>
      <c r="Z47" s="65"/>
      <c r="AA47" s="65"/>
    </row>
    <row r="48" spans="1:27" ht="39" customHeight="1">
      <c r="A48" s="344"/>
      <c r="B48" s="344"/>
      <c r="C48" s="31">
        <v>7</v>
      </c>
      <c r="D48" s="344"/>
      <c r="E48" s="39" t="s">
        <v>6389</v>
      </c>
      <c r="F48" s="31" t="s">
        <v>2</v>
      </c>
      <c r="G48" s="31" t="s">
        <v>327</v>
      </c>
      <c r="H48" s="39" t="s">
        <v>6390</v>
      </c>
      <c r="I48" s="39" t="s">
        <v>6380</v>
      </c>
      <c r="J48" s="289"/>
      <c r="K48" s="25"/>
      <c r="L48" s="43"/>
      <c r="M48" s="344"/>
      <c r="N48" s="55"/>
      <c r="O48" s="25"/>
      <c r="P48" s="25"/>
      <c r="Q48" s="50" t="s">
        <v>282</v>
      </c>
      <c r="R48" s="25"/>
      <c r="S48" s="50" t="s">
        <v>140</v>
      </c>
      <c r="T48" s="65"/>
      <c r="U48" s="65"/>
      <c r="V48" s="65"/>
      <c r="W48" s="65"/>
      <c r="X48" s="65"/>
      <c r="Y48" s="65"/>
      <c r="Z48" s="65"/>
      <c r="AA48" s="65"/>
    </row>
    <row r="49" spans="1:27" ht="39" customHeight="1">
      <c r="A49" s="344"/>
      <c r="B49" s="344"/>
      <c r="C49" s="31">
        <v>8</v>
      </c>
      <c r="D49" s="344"/>
      <c r="E49" s="39" t="s">
        <v>6391</v>
      </c>
      <c r="F49" s="31" t="s">
        <v>2</v>
      </c>
      <c r="G49" s="31" t="s">
        <v>327</v>
      </c>
      <c r="H49" s="39" t="s">
        <v>6392</v>
      </c>
      <c r="I49" s="39" t="s">
        <v>6380</v>
      </c>
      <c r="J49" s="289"/>
      <c r="K49" s="25"/>
      <c r="L49" s="43"/>
      <c r="M49" s="344"/>
      <c r="N49" s="55"/>
      <c r="O49" s="25"/>
      <c r="P49" s="25"/>
      <c r="Q49" s="50" t="s">
        <v>282</v>
      </c>
      <c r="R49" s="25"/>
      <c r="S49" s="50" t="s">
        <v>140</v>
      </c>
      <c r="T49" s="65"/>
      <c r="U49" s="65"/>
      <c r="V49" s="65"/>
      <c r="W49" s="65"/>
      <c r="X49" s="65"/>
      <c r="Y49" s="65"/>
      <c r="Z49" s="65"/>
      <c r="AA49" s="65"/>
    </row>
    <row r="50" spans="1:27" ht="39" customHeight="1">
      <c r="A50" s="344"/>
      <c r="B50" s="344"/>
      <c r="C50" s="31">
        <v>9</v>
      </c>
      <c r="D50" s="344"/>
      <c r="E50" s="39" t="s">
        <v>6393</v>
      </c>
      <c r="F50" s="31" t="s">
        <v>2</v>
      </c>
      <c r="G50" s="31" t="s">
        <v>327</v>
      </c>
      <c r="H50" s="39" t="s">
        <v>6394</v>
      </c>
      <c r="I50" s="39" t="s">
        <v>6380</v>
      </c>
      <c r="J50" s="289"/>
      <c r="K50" s="25"/>
      <c r="L50" s="43"/>
      <c r="M50" s="344"/>
      <c r="N50" s="55"/>
      <c r="O50" s="25"/>
      <c r="P50" s="25"/>
      <c r="Q50" s="50" t="s">
        <v>282</v>
      </c>
      <c r="R50" s="25"/>
      <c r="S50" s="50" t="s">
        <v>140</v>
      </c>
      <c r="T50" s="65"/>
      <c r="U50" s="65"/>
      <c r="V50" s="65"/>
      <c r="W50" s="65"/>
      <c r="X50" s="65"/>
      <c r="Y50" s="65"/>
      <c r="Z50" s="65"/>
      <c r="AA50" s="65"/>
    </row>
    <row r="51" spans="1:27" ht="39" customHeight="1">
      <c r="A51" s="344"/>
      <c r="B51" s="344"/>
      <c r="C51" s="31">
        <v>10</v>
      </c>
      <c r="D51" s="344"/>
      <c r="E51" s="39" t="s">
        <v>6395</v>
      </c>
      <c r="F51" s="31" t="s">
        <v>2</v>
      </c>
      <c r="G51" s="31" t="s">
        <v>327</v>
      </c>
      <c r="H51" s="39" t="s">
        <v>6396</v>
      </c>
      <c r="I51" s="39" t="s">
        <v>6380</v>
      </c>
      <c r="J51" s="289"/>
      <c r="K51" s="25"/>
      <c r="L51" s="43"/>
      <c r="M51" s="344"/>
      <c r="N51" s="55"/>
      <c r="O51" s="25"/>
      <c r="P51" s="25"/>
      <c r="Q51" s="50" t="s">
        <v>282</v>
      </c>
      <c r="R51" s="25"/>
      <c r="S51" s="50" t="s">
        <v>140</v>
      </c>
      <c r="T51" s="65"/>
      <c r="U51" s="65"/>
      <c r="V51" s="65"/>
      <c r="W51" s="65"/>
      <c r="X51" s="65"/>
      <c r="Y51" s="65"/>
      <c r="Z51" s="65"/>
      <c r="AA51" s="65"/>
    </row>
    <row r="52" spans="1:27" ht="39" customHeight="1">
      <c r="A52" s="344"/>
      <c r="B52" s="344"/>
      <c r="C52" s="31">
        <v>11</v>
      </c>
      <c r="D52" s="344"/>
      <c r="E52" s="39" t="s">
        <v>6397</v>
      </c>
      <c r="F52" s="31" t="s">
        <v>2</v>
      </c>
      <c r="G52" s="31" t="s">
        <v>327</v>
      </c>
      <c r="H52" s="39" t="s">
        <v>6398</v>
      </c>
      <c r="I52" s="39" t="s">
        <v>6380</v>
      </c>
      <c r="J52" s="289"/>
      <c r="K52" s="25"/>
      <c r="L52" s="43"/>
      <c r="M52" s="344"/>
      <c r="N52" s="55"/>
      <c r="O52" s="25"/>
      <c r="P52" s="25"/>
      <c r="Q52" s="50" t="s">
        <v>282</v>
      </c>
      <c r="R52" s="25"/>
      <c r="S52" s="50" t="s">
        <v>140</v>
      </c>
      <c r="T52" s="65"/>
      <c r="U52" s="65"/>
      <c r="V52" s="65"/>
      <c r="W52" s="65"/>
      <c r="X52" s="65"/>
      <c r="Y52" s="65"/>
      <c r="Z52" s="65"/>
      <c r="AA52" s="65"/>
    </row>
    <row r="53" spans="1:27" ht="39" customHeight="1">
      <c r="A53" s="344"/>
      <c r="B53" s="344"/>
      <c r="C53" s="31">
        <v>12</v>
      </c>
      <c r="D53" s="344"/>
      <c r="E53" s="39" t="s">
        <v>6399</v>
      </c>
      <c r="F53" s="31" t="s">
        <v>2</v>
      </c>
      <c r="G53" s="31" t="s">
        <v>327</v>
      </c>
      <c r="H53" s="39" t="s">
        <v>6400</v>
      </c>
      <c r="I53" s="39" t="s">
        <v>6380</v>
      </c>
      <c r="J53" s="289"/>
      <c r="K53" s="25"/>
      <c r="L53" s="43"/>
      <c r="M53" s="344"/>
      <c r="N53" s="55"/>
      <c r="O53" s="25"/>
      <c r="P53" s="25"/>
      <c r="Q53" s="50" t="s">
        <v>282</v>
      </c>
      <c r="R53" s="25"/>
      <c r="S53" s="50" t="s">
        <v>140</v>
      </c>
      <c r="T53" s="65"/>
      <c r="U53" s="65"/>
      <c r="V53" s="65"/>
      <c r="W53" s="65"/>
      <c r="X53" s="65"/>
      <c r="Y53" s="65"/>
      <c r="Z53" s="65"/>
      <c r="AA53" s="65"/>
    </row>
    <row r="54" spans="1:27" ht="39" customHeight="1">
      <c r="A54" s="344"/>
      <c r="B54" s="344"/>
      <c r="C54" s="31">
        <v>13</v>
      </c>
      <c r="D54" s="344"/>
      <c r="E54" s="39" t="s">
        <v>6401</v>
      </c>
      <c r="F54" s="31" t="s">
        <v>2</v>
      </c>
      <c r="G54" s="31" t="s">
        <v>327</v>
      </c>
      <c r="H54" s="39" t="s">
        <v>6402</v>
      </c>
      <c r="I54" s="39" t="s">
        <v>6380</v>
      </c>
      <c r="J54" s="289"/>
      <c r="K54" s="25"/>
      <c r="L54" s="43"/>
      <c r="M54" s="344"/>
      <c r="N54" s="55"/>
      <c r="O54" s="25"/>
      <c r="P54" s="25"/>
      <c r="Q54" s="50" t="s">
        <v>282</v>
      </c>
      <c r="R54" s="25"/>
      <c r="S54" s="50" t="s">
        <v>140</v>
      </c>
      <c r="T54" s="65"/>
      <c r="U54" s="65"/>
      <c r="V54" s="65"/>
      <c r="W54" s="65"/>
      <c r="X54" s="65"/>
      <c r="Y54" s="65"/>
      <c r="Z54" s="65"/>
      <c r="AA54" s="65"/>
    </row>
    <row r="55" spans="1:27" ht="39" customHeight="1">
      <c r="A55" s="344"/>
      <c r="B55" s="344"/>
      <c r="C55" s="31">
        <v>14</v>
      </c>
      <c r="D55" s="344"/>
      <c r="E55" s="39" t="s">
        <v>6403</v>
      </c>
      <c r="F55" s="31" t="s">
        <v>2</v>
      </c>
      <c r="G55" s="31" t="s">
        <v>327</v>
      </c>
      <c r="H55" s="39" t="s">
        <v>6404</v>
      </c>
      <c r="I55" s="39" t="s">
        <v>6380</v>
      </c>
      <c r="J55" s="289"/>
      <c r="K55" s="25"/>
      <c r="L55" s="43"/>
      <c r="M55" s="344"/>
      <c r="N55" s="55"/>
      <c r="O55" s="25"/>
      <c r="P55" s="25"/>
      <c r="Q55" s="50" t="s">
        <v>282</v>
      </c>
      <c r="R55" s="25"/>
      <c r="S55" s="50" t="s">
        <v>140</v>
      </c>
      <c r="T55" s="65"/>
      <c r="U55" s="65"/>
      <c r="V55" s="65"/>
      <c r="W55" s="65"/>
      <c r="X55" s="65"/>
      <c r="Y55" s="65"/>
      <c r="Z55" s="65"/>
      <c r="AA55" s="65"/>
    </row>
    <row r="56" spans="1:27" ht="39" customHeight="1">
      <c r="A56" s="344"/>
      <c r="B56" s="344"/>
      <c r="C56" s="31">
        <v>15</v>
      </c>
      <c r="D56" s="344"/>
      <c r="E56" s="39" t="s">
        <v>6405</v>
      </c>
      <c r="F56" s="31" t="s">
        <v>2</v>
      </c>
      <c r="G56" s="31" t="s">
        <v>327</v>
      </c>
      <c r="H56" s="39" t="s">
        <v>6406</v>
      </c>
      <c r="I56" s="39" t="s">
        <v>6380</v>
      </c>
      <c r="J56" s="289"/>
      <c r="K56" s="25"/>
      <c r="L56" s="43"/>
      <c r="M56" s="344"/>
      <c r="N56" s="55"/>
      <c r="O56" s="25"/>
      <c r="P56" s="25"/>
      <c r="Q56" s="50" t="s">
        <v>282</v>
      </c>
      <c r="R56" s="25"/>
      <c r="S56" s="50" t="s">
        <v>140</v>
      </c>
      <c r="T56" s="65"/>
      <c r="U56" s="65"/>
      <c r="V56" s="65"/>
      <c r="W56" s="65"/>
      <c r="X56" s="65"/>
      <c r="Y56" s="65"/>
      <c r="Z56" s="65"/>
      <c r="AA56" s="65"/>
    </row>
    <row r="57" spans="1:27" ht="39" customHeight="1">
      <c r="A57" s="344"/>
      <c r="B57" s="344"/>
      <c r="C57" s="31">
        <v>16</v>
      </c>
      <c r="D57" s="344"/>
      <c r="E57" s="39" t="s">
        <v>6407</v>
      </c>
      <c r="F57" s="31" t="s">
        <v>2</v>
      </c>
      <c r="G57" s="31" t="s">
        <v>327</v>
      </c>
      <c r="H57" s="39" t="s">
        <v>6408</v>
      </c>
      <c r="I57" s="39" t="s">
        <v>6380</v>
      </c>
      <c r="J57" s="289"/>
      <c r="K57" s="25"/>
      <c r="L57" s="43"/>
      <c r="M57" s="344"/>
      <c r="N57" s="55"/>
      <c r="O57" s="25"/>
      <c r="P57" s="25"/>
      <c r="Q57" s="50" t="s">
        <v>282</v>
      </c>
      <c r="R57" s="25"/>
      <c r="S57" s="50" t="s">
        <v>140</v>
      </c>
      <c r="T57" s="65"/>
      <c r="U57" s="65"/>
      <c r="V57" s="65"/>
      <c r="W57" s="65"/>
      <c r="X57" s="65"/>
      <c r="Y57" s="65"/>
      <c r="Z57" s="65"/>
      <c r="AA57" s="65"/>
    </row>
    <row r="58" spans="1:27" ht="39" customHeight="1">
      <c r="A58" s="344"/>
      <c r="B58" s="344"/>
      <c r="C58" s="31">
        <v>17</v>
      </c>
      <c r="D58" s="344"/>
      <c r="E58" s="39" t="s">
        <v>6409</v>
      </c>
      <c r="F58" s="31" t="s">
        <v>2</v>
      </c>
      <c r="G58" s="31" t="s">
        <v>327</v>
      </c>
      <c r="H58" s="39" t="s">
        <v>6410</v>
      </c>
      <c r="I58" s="39" t="s">
        <v>6380</v>
      </c>
      <c r="J58" s="289"/>
      <c r="K58" s="25"/>
      <c r="L58" s="43"/>
      <c r="M58" s="344"/>
      <c r="N58" s="55"/>
      <c r="O58" s="25"/>
      <c r="P58" s="25"/>
      <c r="Q58" s="50" t="s">
        <v>282</v>
      </c>
      <c r="R58" s="25"/>
      <c r="S58" s="50" t="s">
        <v>140</v>
      </c>
      <c r="T58" s="65"/>
      <c r="U58" s="65"/>
      <c r="V58" s="65"/>
      <c r="W58" s="65"/>
      <c r="X58" s="65"/>
      <c r="Y58" s="65"/>
      <c r="Z58" s="65"/>
      <c r="AA58" s="65"/>
    </row>
    <row r="59" spans="1:27" ht="39" customHeight="1">
      <c r="A59" s="344"/>
      <c r="B59" s="344"/>
      <c r="C59" s="31">
        <v>18</v>
      </c>
      <c r="D59" s="344"/>
      <c r="E59" s="39" t="s">
        <v>6411</v>
      </c>
      <c r="F59" s="31" t="s">
        <v>2</v>
      </c>
      <c r="G59" s="31" t="s">
        <v>327</v>
      </c>
      <c r="H59" s="39" t="s">
        <v>6412</v>
      </c>
      <c r="I59" s="39" t="s">
        <v>6380</v>
      </c>
      <c r="J59" s="289"/>
      <c r="K59" s="25"/>
      <c r="L59" s="43"/>
      <c r="M59" s="344"/>
      <c r="N59" s="55"/>
      <c r="O59" s="25"/>
      <c r="P59" s="25"/>
      <c r="Q59" s="50" t="s">
        <v>282</v>
      </c>
      <c r="R59" s="25"/>
      <c r="S59" s="50" t="s">
        <v>140</v>
      </c>
      <c r="T59" s="65"/>
      <c r="U59" s="65"/>
      <c r="V59" s="65"/>
      <c r="W59" s="65"/>
      <c r="X59" s="65"/>
      <c r="Y59" s="65"/>
      <c r="Z59" s="65"/>
      <c r="AA59" s="65"/>
    </row>
    <row r="60" spans="1:27" ht="39" customHeight="1">
      <c r="A60" s="344"/>
      <c r="B60" s="344"/>
      <c r="C60" s="31">
        <v>19</v>
      </c>
      <c r="D60" s="344"/>
      <c r="E60" s="39" t="s">
        <v>6413</v>
      </c>
      <c r="F60" s="31" t="s">
        <v>2</v>
      </c>
      <c r="G60" s="31" t="s">
        <v>327</v>
      </c>
      <c r="H60" s="39" t="s">
        <v>6414</v>
      </c>
      <c r="I60" s="39" t="s">
        <v>6380</v>
      </c>
      <c r="J60" s="289"/>
      <c r="K60" s="25"/>
      <c r="L60" s="43"/>
      <c r="M60" s="344"/>
      <c r="N60" s="55"/>
      <c r="O60" s="25"/>
      <c r="P60" s="25"/>
      <c r="Q60" s="50" t="s">
        <v>282</v>
      </c>
      <c r="R60" s="25"/>
      <c r="S60" s="50" t="s">
        <v>140</v>
      </c>
      <c r="T60" s="65"/>
      <c r="U60" s="65"/>
      <c r="V60" s="65"/>
      <c r="W60" s="65"/>
      <c r="X60" s="65"/>
      <c r="Y60" s="65"/>
      <c r="Z60" s="65"/>
      <c r="AA60" s="65"/>
    </row>
    <row r="61" spans="1:27" ht="39" customHeight="1">
      <c r="A61" s="344"/>
      <c r="B61" s="344"/>
      <c r="C61" s="31">
        <v>20</v>
      </c>
      <c r="D61" s="344"/>
      <c r="E61" s="39" t="s">
        <v>6415</v>
      </c>
      <c r="F61" s="31" t="s">
        <v>2</v>
      </c>
      <c r="G61" s="31" t="s">
        <v>327</v>
      </c>
      <c r="H61" s="39" t="s">
        <v>6416</v>
      </c>
      <c r="I61" s="39" t="s">
        <v>6380</v>
      </c>
      <c r="J61" s="289"/>
      <c r="K61" s="25"/>
      <c r="L61" s="43"/>
      <c r="M61" s="344"/>
      <c r="N61" s="55"/>
      <c r="O61" s="25"/>
      <c r="P61" s="25"/>
      <c r="Q61" s="50" t="s">
        <v>282</v>
      </c>
      <c r="R61" s="25"/>
      <c r="S61" s="50" t="s">
        <v>140</v>
      </c>
      <c r="T61" s="65"/>
      <c r="U61" s="65"/>
      <c r="V61" s="65"/>
      <c r="W61" s="65"/>
      <c r="X61" s="65"/>
      <c r="Y61" s="65"/>
      <c r="Z61" s="65"/>
      <c r="AA61" s="65"/>
    </row>
    <row r="62" spans="1:27" ht="39" customHeight="1">
      <c r="A62" s="345"/>
      <c r="B62" s="345"/>
      <c r="C62" s="31">
        <v>21</v>
      </c>
      <c r="D62" s="345"/>
      <c r="E62" s="39" t="s">
        <v>6417</v>
      </c>
      <c r="F62" s="31" t="s">
        <v>2</v>
      </c>
      <c r="G62" s="31" t="s">
        <v>327</v>
      </c>
      <c r="H62" s="39" t="s">
        <v>6418</v>
      </c>
      <c r="I62" s="39" t="s">
        <v>6380</v>
      </c>
      <c r="J62" s="289"/>
      <c r="K62" s="25"/>
      <c r="L62" s="43"/>
      <c r="M62" s="345"/>
      <c r="N62" s="55"/>
      <c r="O62" s="25"/>
      <c r="P62" s="25"/>
      <c r="Q62" s="50" t="s">
        <v>282</v>
      </c>
      <c r="R62" s="25"/>
      <c r="S62" s="50" t="s">
        <v>140</v>
      </c>
      <c r="T62" s="65"/>
      <c r="U62" s="65"/>
      <c r="V62" s="65"/>
      <c r="W62" s="65"/>
      <c r="X62" s="65"/>
      <c r="Y62" s="65"/>
      <c r="Z62" s="65"/>
      <c r="AA62" s="65"/>
    </row>
    <row r="63" spans="1:27" ht="16.5" customHeight="1">
      <c r="A63" s="351" t="s">
        <v>6419</v>
      </c>
      <c r="B63" s="354" t="s">
        <v>6420</v>
      </c>
      <c r="C63" s="86">
        <v>1</v>
      </c>
      <c r="D63" s="351" t="s">
        <v>6421</v>
      </c>
      <c r="E63" s="181" t="s">
        <v>6422</v>
      </c>
      <c r="F63" s="86" t="s">
        <v>326</v>
      </c>
      <c r="G63" s="86" t="s">
        <v>327</v>
      </c>
      <c r="H63" s="175" t="s">
        <v>6423</v>
      </c>
      <c r="I63" s="73" t="s">
        <v>6424</v>
      </c>
      <c r="J63" s="79"/>
      <c r="K63" s="25"/>
      <c r="L63" s="26"/>
      <c r="M63" s="43"/>
      <c r="N63" s="27"/>
      <c r="O63" s="25"/>
      <c r="P63" s="50" t="s">
        <v>140</v>
      </c>
      <c r="Q63" s="50" t="s">
        <v>140</v>
      </c>
      <c r="R63" s="25" t="s">
        <v>296</v>
      </c>
      <c r="S63" s="50"/>
      <c r="T63" s="65"/>
      <c r="U63" s="65"/>
      <c r="V63" s="65"/>
      <c r="W63" s="65"/>
      <c r="X63" s="65"/>
      <c r="Y63" s="65"/>
      <c r="Z63" s="65"/>
      <c r="AA63" s="65"/>
    </row>
    <row r="64" spans="1:27" ht="15.75" customHeight="1">
      <c r="A64" s="352"/>
      <c r="B64" s="352"/>
      <c r="C64" s="86">
        <v>2</v>
      </c>
      <c r="D64" s="352"/>
      <c r="E64" s="181" t="s">
        <v>6425</v>
      </c>
      <c r="F64" s="86" t="s">
        <v>326</v>
      </c>
      <c r="G64" s="86" t="s">
        <v>327</v>
      </c>
      <c r="H64" s="175" t="s">
        <v>6423</v>
      </c>
      <c r="I64" s="73" t="s">
        <v>6426</v>
      </c>
      <c r="J64" s="79"/>
      <c r="K64" s="25"/>
      <c r="L64" s="26"/>
      <c r="M64" s="43"/>
      <c r="N64" s="27"/>
      <c r="O64" s="25"/>
      <c r="P64" s="50" t="s">
        <v>140</v>
      </c>
      <c r="Q64" s="50" t="s">
        <v>140</v>
      </c>
      <c r="R64" s="25" t="s">
        <v>296</v>
      </c>
      <c r="S64" s="50"/>
      <c r="T64" s="65"/>
      <c r="U64" s="65"/>
      <c r="V64" s="65"/>
      <c r="W64" s="65"/>
      <c r="X64" s="65"/>
      <c r="Y64" s="65"/>
      <c r="Z64" s="65"/>
      <c r="AA64" s="65"/>
    </row>
    <row r="65" spans="1:27" ht="15.75" customHeight="1">
      <c r="A65" s="352"/>
      <c r="B65" s="352"/>
      <c r="C65" s="86">
        <v>3</v>
      </c>
      <c r="D65" s="352"/>
      <c r="E65" s="181" t="s">
        <v>6427</v>
      </c>
      <c r="F65" s="86" t="s">
        <v>326</v>
      </c>
      <c r="G65" s="86" t="s">
        <v>327</v>
      </c>
      <c r="H65" s="175" t="s">
        <v>6423</v>
      </c>
      <c r="I65" s="73" t="s">
        <v>6428</v>
      </c>
      <c r="J65" s="79"/>
      <c r="K65" s="25"/>
      <c r="L65" s="26"/>
      <c r="M65" s="43"/>
      <c r="N65" s="27"/>
      <c r="O65" s="25"/>
      <c r="P65" s="50" t="s">
        <v>140</v>
      </c>
      <c r="Q65" s="50" t="s">
        <v>140</v>
      </c>
      <c r="R65" s="25" t="s">
        <v>296</v>
      </c>
      <c r="S65" s="50"/>
      <c r="T65" s="65"/>
      <c r="U65" s="65"/>
      <c r="V65" s="65"/>
      <c r="W65" s="65"/>
      <c r="X65" s="65"/>
      <c r="Y65" s="65"/>
      <c r="Z65" s="65"/>
      <c r="AA65" s="65"/>
    </row>
    <row r="66" spans="1:27" ht="15.75" customHeight="1">
      <c r="A66" s="352"/>
      <c r="B66" s="352"/>
      <c r="C66" s="86">
        <v>4</v>
      </c>
      <c r="D66" s="352"/>
      <c r="E66" s="181" t="s">
        <v>6429</v>
      </c>
      <c r="F66" s="86" t="s">
        <v>326</v>
      </c>
      <c r="G66" s="86" t="s">
        <v>327</v>
      </c>
      <c r="H66" s="175" t="s">
        <v>6423</v>
      </c>
      <c r="I66" s="73" t="s">
        <v>6430</v>
      </c>
      <c r="J66" s="79"/>
      <c r="K66" s="25"/>
      <c r="L66" s="26"/>
      <c r="M66" s="43"/>
      <c r="N66" s="27"/>
      <c r="O66" s="25"/>
      <c r="P66" s="50" t="s">
        <v>140</v>
      </c>
      <c r="Q66" s="50" t="s">
        <v>140</v>
      </c>
      <c r="R66" s="25" t="s">
        <v>296</v>
      </c>
      <c r="S66" s="50"/>
      <c r="T66" s="65"/>
      <c r="U66" s="65"/>
      <c r="V66" s="65"/>
      <c r="W66" s="65"/>
      <c r="X66" s="65"/>
      <c r="Y66" s="65"/>
      <c r="Z66" s="65"/>
      <c r="AA66" s="65"/>
    </row>
    <row r="67" spans="1:27" ht="15.75" customHeight="1">
      <c r="A67" s="353"/>
      <c r="B67" s="353"/>
      <c r="C67" s="86">
        <v>5</v>
      </c>
      <c r="D67" s="353"/>
      <c r="E67" s="181" t="s">
        <v>6431</v>
      </c>
      <c r="F67" s="86" t="s">
        <v>326</v>
      </c>
      <c r="G67" s="86" t="s">
        <v>327</v>
      </c>
      <c r="H67" s="175" t="s">
        <v>6423</v>
      </c>
      <c r="I67" s="73" t="s">
        <v>6432</v>
      </c>
      <c r="J67" s="79"/>
      <c r="K67" s="25"/>
      <c r="L67" s="26"/>
      <c r="M67" s="43"/>
      <c r="N67" s="27"/>
      <c r="O67" s="25"/>
      <c r="P67" s="50" t="s">
        <v>140</v>
      </c>
      <c r="Q67" s="50" t="s">
        <v>140</v>
      </c>
      <c r="R67" s="25" t="s">
        <v>296</v>
      </c>
      <c r="S67" s="50"/>
      <c r="T67" s="65"/>
      <c r="U67" s="65"/>
      <c r="V67" s="65"/>
      <c r="W67" s="65"/>
      <c r="X67" s="65"/>
      <c r="Y67" s="65"/>
      <c r="Z67" s="65"/>
      <c r="AA67" s="65"/>
    </row>
    <row r="68" spans="1:27" ht="16.5" customHeight="1">
      <c r="A68" s="351" t="s">
        <v>6433</v>
      </c>
      <c r="B68" s="354" t="s">
        <v>178</v>
      </c>
      <c r="C68" s="86">
        <v>1</v>
      </c>
      <c r="D68" s="351" t="s">
        <v>6434</v>
      </c>
      <c r="E68" s="181" t="s">
        <v>6435</v>
      </c>
      <c r="F68" s="86" t="s">
        <v>326</v>
      </c>
      <c r="G68" s="86" t="s">
        <v>327</v>
      </c>
      <c r="H68" s="175" t="s">
        <v>6423</v>
      </c>
      <c r="I68" s="73" t="s">
        <v>6436</v>
      </c>
      <c r="J68" s="79"/>
      <c r="K68" s="25"/>
      <c r="L68" s="26"/>
      <c r="M68" s="43"/>
      <c r="N68" s="27"/>
      <c r="O68" s="25"/>
      <c r="P68" s="50" t="s">
        <v>140</v>
      </c>
      <c r="Q68" s="50" t="s">
        <v>140</v>
      </c>
      <c r="R68" s="25" t="s">
        <v>296</v>
      </c>
      <c r="S68" s="50"/>
      <c r="T68" s="65"/>
      <c r="U68" s="65"/>
      <c r="V68" s="65"/>
      <c r="W68" s="65"/>
      <c r="X68" s="65"/>
      <c r="Y68" s="65"/>
      <c r="Z68" s="65"/>
      <c r="AA68" s="65"/>
    </row>
    <row r="69" spans="1:27" ht="16.5" customHeight="1">
      <c r="A69" s="352"/>
      <c r="B69" s="352"/>
      <c r="C69" s="86">
        <v>2</v>
      </c>
      <c r="D69" s="352"/>
      <c r="E69" s="181" t="s">
        <v>6437</v>
      </c>
      <c r="F69" s="86" t="s">
        <v>326</v>
      </c>
      <c r="G69" s="86" t="s">
        <v>327</v>
      </c>
      <c r="H69" s="175" t="s">
        <v>6423</v>
      </c>
      <c r="I69" s="73" t="s">
        <v>6438</v>
      </c>
      <c r="J69" s="79"/>
      <c r="K69" s="25"/>
      <c r="L69" s="26"/>
      <c r="M69" s="43"/>
      <c r="N69" s="27"/>
      <c r="O69" s="25"/>
      <c r="P69" s="50" t="s">
        <v>140</v>
      </c>
      <c r="Q69" s="50" t="s">
        <v>140</v>
      </c>
      <c r="R69" s="25" t="s">
        <v>296</v>
      </c>
      <c r="S69" s="50"/>
      <c r="T69" s="65"/>
      <c r="U69" s="65"/>
      <c r="V69" s="65"/>
      <c r="W69" s="65"/>
      <c r="X69" s="65"/>
      <c r="Y69" s="65"/>
      <c r="Z69" s="65"/>
      <c r="AA69" s="65"/>
    </row>
    <row r="70" spans="1:27" ht="16.5" customHeight="1">
      <c r="A70" s="352"/>
      <c r="B70" s="352"/>
      <c r="C70" s="86">
        <v>3</v>
      </c>
      <c r="D70" s="352"/>
      <c r="E70" s="181" t="s">
        <v>6439</v>
      </c>
      <c r="F70" s="86" t="s">
        <v>326</v>
      </c>
      <c r="G70" s="86" t="s">
        <v>327</v>
      </c>
      <c r="H70" s="175" t="s">
        <v>6423</v>
      </c>
      <c r="I70" s="73" t="s">
        <v>6440</v>
      </c>
      <c r="J70" s="79"/>
      <c r="K70" s="25"/>
      <c r="L70" s="26"/>
      <c r="M70" s="43"/>
      <c r="N70" s="27"/>
      <c r="O70" s="25"/>
      <c r="P70" s="50" t="s">
        <v>140</v>
      </c>
      <c r="Q70" s="50" t="s">
        <v>140</v>
      </c>
      <c r="R70" s="25" t="s">
        <v>296</v>
      </c>
      <c r="S70" s="50"/>
      <c r="T70" s="65"/>
      <c r="U70" s="65"/>
      <c r="V70" s="65"/>
      <c r="W70" s="65"/>
      <c r="X70" s="65"/>
      <c r="Y70" s="65"/>
      <c r="Z70" s="65"/>
      <c r="AA70" s="65"/>
    </row>
    <row r="71" spans="1:27" ht="16.5" customHeight="1">
      <c r="A71" s="352"/>
      <c r="B71" s="352"/>
      <c r="C71" s="86">
        <v>4</v>
      </c>
      <c r="D71" s="352"/>
      <c r="E71" s="181" t="s">
        <v>6441</v>
      </c>
      <c r="F71" s="86" t="s">
        <v>326</v>
      </c>
      <c r="G71" s="86" t="s">
        <v>327</v>
      </c>
      <c r="H71" s="175" t="s">
        <v>6423</v>
      </c>
      <c r="I71" s="73" t="s">
        <v>6442</v>
      </c>
      <c r="J71" s="79"/>
      <c r="K71" s="25"/>
      <c r="L71" s="26"/>
      <c r="M71" s="43"/>
      <c r="N71" s="27"/>
      <c r="O71" s="25"/>
      <c r="P71" s="50" t="s">
        <v>140</v>
      </c>
      <c r="Q71" s="50" t="s">
        <v>140</v>
      </c>
      <c r="R71" s="25" t="s">
        <v>296</v>
      </c>
      <c r="S71" s="50"/>
      <c r="T71" s="65"/>
      <c r="U71" s="65"/>
      <c r="V71" s="65"/>
      <c r="W71" s="65"/>
      <c r="X71" s="65"/>
      <c r="Y71" s="65"/>
      <c r="Z71" s="65"/>
      <c r="AA71" s="65"/>
    </row>
    <row r="72" spans="1:27" ht="16.5" customHeight="1">
      <c r="A72" s="352"/>
      <c r="B72" s="352"/>
      <c r="C72" s="86">
        <v>5</v>
      </c>
      <c r="D72" s="352"/>
      <c r="E72" s="181" t="s">
        <v>6443</v>
      </c>
      <c r="F72" s="86" t="s">
        <v>326</v>
      </c>
      <c r="G72" s="86" t="s">
        <v>327</v>
      </c>
      <c r="H72" s="175" t="s">
        <v>6423</v>
      </c>
      <c r="I72" s="73" t="s">
        <v>6444</v>
      </c>
      <c r="J72" s="79"/>
      <c r="K72" s="25"/>
      <c r="L72" s="26"/>
      <c r="M72" s="43"/>
      <c r="N72" s="27"/>
      <c r="O72" s="25"/>
      <c r="P72" s="50" t="s">
        <v>140</v>
      </c>
      <c r="Q72" s="50" t="s">
        <v>140</v>
      </c>
      <c r="R72" s="25" t="s">
        <v>296</v>
      </c>
      <c r="S72" s="50"/>
      <c r="T72" s="65"/>
      <c r="U72" s="65"/>
      <c r="V72" s="65"/>
      <c r="W72" s="65"/>
      <c r="X72" s="65"/>
      <c r="Y72" s="65"/>
      <c r="Z72" s="65"/>
      <c r="AA72" s="65"/>
    </row>
    <row r="73" spans="1:27" ht="16.5" customHeight="1">
      <c r="A73" s="352"/>
      <c r="B73" s="352"/>
      <c r="C73" s="86">
        <v>6</v>
      </c>
      <c r="D73" s="352"/>
      <c r="E73" s="181" t="s">
        <v>6445</v>
      </c>
      <c r="F73" s="86" t="s">
        <v>326</v>
      </c>
      <c r="G73" s="86" t="s">
        <v>327</v>
      </c>
      <c r="H73" s="175" t="s">
        <v>6423</v>
      </c>
      <c r="I73" s="73" t="s">
        <v>6446</v>
      </c>
      <c r="J73" s="79"/>
      <c r="K73" s="25"/>
      <c r="L73" s="26"/>
      <c r="M73" s="43"/>
      <c r="N73" s="27"/>
      <c r="O73" s="25"/>
      <c r="P73" s="50" t="s">
        <v>140</v>
      </c>
      <c r="Q73" s="50" t="s">
        <v>140</v>
      </c>
      <c r="R73" s="25" t="s">
        <v>296</v>
      </c>
      <c r="S73" s="50"/>
      <c r="T73" s="65"/>
      <c r="U73" s="65"/>
      <c r="V73" s="65"/>
      <c r="W73" s="65"/>
      <c r="X73" s="65"/>
      <c r="Y73" s="65"/>
      <c r="Z73" s="65"/>
      <c r="AA73" s="65"/>
    </row>
    <row r="74" spans="1:27" ht="16.5" customHeight="1">
      <c r="A74" s="352"/>
      <c r="B74" s="352"/>
      <c r="C74" s="86">
        <v>7</v>
      </c>
      <c r="D74" s="352"/>
      <c r="E74" s="181" t="s">
        <v>6447</v>
      </c>
      <c r="F74" s="86" t="s">
        <v>326</v>
      </c>
      <c r="G74" s="86" t="s">
        <v>327</v>
      </c>
      <c r="H74" s="175" t="s">
        <v>6423</v>
      </c>
      <c r="I74" s="73" t="s">
        <v>6448</v>
      </c>
      <c r="J74" s="79"/>
      <c r="K74" s="25"/>
      <c r="L74" s="26"/>
      <c r="M74" s="43"/>
      <c r="N74" s="27"/>
      <c r="O74" s="25"/>
      <c r="P74" s="50" t="s">
        <v>140</v>
      </c>
      <c r="Q74" s="50" t="s">
        <v>140</v>
      </c>
      <c r="R74" s="25" t="s">
        <v>296</v>
      </c>
      <c r="S74" s="50"/>
      <c r="T74" s="65"/>
      <c r="U74" s="65"/>
      <c r="V74" s="65"/>
      <c r="W74" s="65"/>
      <c r="X74" s="65"/>
      <c r="Y74" s="65"/>
      <c r="Z74" s="65"/>
      <c r="AA74" s="65"/>
    </row>
    <row r="75" spans="1:27" ht="16.5" customHeight="1">
      <c r="A75" s="352"/>
      <c r="B75" s="352"/>
      <c r="C75" s="86">
        <v>8</v>
      </c>
      <c r="D75" s="352"/>
      <c r="E75" s="181" t="s">
        <v>6449</v>
      </c>
      <c r="F75" s="86" t="s">
        <v>326</v>
      </c>
      <c r="G75" s="86" t="s">
        <v>327</v>
      </c>
      <c r="H75" s="175" t="s">
        <v>6423</v>
      </c>
      <c r="I75" s="73" t="s">
        <v>6450</v>
      </c>
      <c r="J75" s="79"/>
      <c r="K75" s="25"/>
      <c r="L75" s="26"/>
      <c r="M75" s="43"/>
      <c r="N75" s="27"/>
      <c r="O75" s="25"/>
      <c r="P75" s="50" t="s">
        <v>140</v>
      </c>
      <c r="Q75" s="50" t="s">
        <v>140</v>
      </c>
      <c r="R75" s="25" t="s">
        <v>296</v>
      </c>
      <c r="S75" s="50"/>
      <c r="T75" s="65"/>
      <c r="U75" s="65"/>
      <c r="V75" s="65"/>
      <c r="W75" s="65"/>
      <c r="X75" s="65"/>
      <c r="Y75" s="65"/>
      <c r="Z75" s="65"/>
      <c r="AA75" s="65"/>
    </row>
    <row r="76" spans="1:27" ht="15.75" customHeight="1">
      <c r="A76" s="352"/>
      <c r="B76" s="352"/>
      <c r="C76" s="86">
        <v>9</v>
      </c>
      <c r="D76" s="352"/>
      <c r="E76" s="181" t="s">
        <v>6451</v>
      </c>
      <c r="F76" s="86" t="s">
        <v>326</v>
      </c>
      <c r="G76" s="86" t="s">
        <v>327</v>
      </c>
      <c r="H76" s="175" t="s">
        <v>6423</v>
      </c>
      <c r="I76" s="73" t="s">
        <v>6452</v>
      </c>
      <c r="J76" s="79"/>
      <c r="K76" s="25"/>
      <c r="L76" s="26"/>
      <c r="M76" s="43"/>
      <c r="N76" s="27"/>
      <c r="O76" s="25"/>
      <c r="P76" s="50" t="s">
        <v>140</v>
      </c>
      <c r="Q76" s="50" t="s">
        <v>140</v>
      </c>
      <c r="R76" s="25" t="s">
        <v>296</v>
      </c>
      <c r="S76" s="50"/>
      <c r="T76" s="65"/>
      <c r="U76" s="65"/>
      <c r="V76" s="65"/>
      <c r="W76" s="65"/>
      <c r="X76" s="65"/>
      <c r="Y76" s="65"/>
      <c r="Z76" s="65"/>
      <c r="AA76" s="65"/>
    </row>
    <row r="77" spans="1:27" ht="15.75" customHeight="1">
      <c r="A77" s="352"/>
      <c r="B77" s="352"/>
      <c r="C77" s="86">
        <v>10</v>
      </c>
      <c r="D77" s="352"/>
      <c r="E77" s="175" t="s">
        <v>6453</v>
      </c>
      <c r="F77" s="175" t="s">
        <v>326</v>
      </c>
      <c r="G77" s="175" t="s">
        <v>327</v>
      </c>
      <c r="H77" s="175" t="s">
        <v>6423</v>
      </c>
      <c r="I77" s="35" t="s">
        <v>6454</v>
      </c>
      <c r="J77" s="172"/>
      <c r="K77" s="25"/>
      <c r="L77" s="26"/>
      <c r="M77" s="43"/>
      <c r="N77" s="27"/>
      <c r="O77" s="25"/>
      <c r="P77" s="50" t="s">
        <v>140</v>
      </c>
      <c r="Q77" s="50" t="s">
        <v>140</v>
      </c>
      <c r="R77" s="25" t="s">
        <v>296</v>
      </c>
      <c r="S77" s="50"/>
      <c r="T77" s="65"/>
      <c r="U77" s="65"/>
      <c r="V77" s="65"/>
      <c r="W77" s="65"/>
      <c r="X77" s="65"/>
      <c r="Y77" s="65"/>
      <c r="Z77" s="65"/>
      <c r="AA77" s="65"/>
    </row>
    <row r="78" spans="1:27" ht="15.75" customHeight="1">
      <c r="A78" s="352"/>
      <c r="B78" s="352"/>
      <c r="C78" s="86">
        <v>11</v>
      </c>
      <c r="D78" s="352"/>
      <c r="E78" s="175" t="s">
        <v>6455</v>
      </c>
      <c r="F78" s="175" t="s">
        <v>326</v>
      </c>
      <c r="G78" s="175" t="s">
        <v>327</v>
      </c>
      <c r="H78" s="175" t="s">
        <v>6423</v>
      </c>
      <c r="I78" s="35" t="s">
        <v>6456</v>
      </c>
      <c r="J78" s="172"/>
      <c r="K78" s="25"/>
      <c r="L78" s="26"/>
      <c r="M78" s="43"/>
      <c r="N78" s="27"/>
      <c r="O78" s="25"/>
      <c r="P78" s="50" t="s">
        <v>140</v>
      </c>
      <c r="Q78" s="50" t="s">
        <v>140</v>
      </c>
      <c r="R78" s="25" t="s">
        <v>296</v>
      </c>
      <c r="S78" s="50"/>
      <c r="T78" s="65"/>
      <c r="U78" s="65"/>
      <c r="V78" s="65"/>
      <c r="W78" s="65"/>
      <c r="X78" s="65"/>
      <c r="Y78" s="65"/>
      <c r="Z78" s="65"/>
      <c r="AA78" s="65"/>
    </row>
    <row r="79" spans="1:27" ht="15.75" customHeight="1">
      <c r="A79" s="353"/>
      <c r="B79" s="353"/>
      <c r="C79" s="86">
        <v>12</v>
      </c>
      <c r="D79" s="353"/>
      <c r="E79" s="175" t="s">
        <v>6457</v>
      </c>
      <c r="F79" s="175" t="s">
        <v>326</v>
      </c>
      <c r="G79" s="175" t="s">
        <v>327</v>
      </c>
      <c r="H79" s="175" t="s">
        <v>6423</v>
      </c>
      <c r="I79" s="35" t="s">
        <v>6458</v>
      </c>
      <c r="J79" s="172"/>
      <c r="K79" s="25"/>
      <c r="L79" s="26"/>
      <c r="M79" s="43"/>
      <c r="N79" s="27"/>
      <c r="O79" s="25"/>
      <c r="P79" s="50" t="s">
        <v>140</v>
      </c>
      <c r="Q79" s="50" t="s">
        <v>140</v>
      </c>
      <c r="R79" s="25" t="s">
        <v>296</v>
      </c>
      <c r="S79" s="50"/>
      <c r="T79" s="65"/>
      <c r="U79" s="65"/>
      <c r="V79" s="65"/>
      <c r="W79" s="65"/>
      <c r="X79" s="65"/>
      <c r="Y79" s="65"/>
      <c r="Z79" s="65"/>
      <c r="AA79" s="65"/>
    </row>
    <row r="80" spans="1:27" ht="16.5" customHeight="1">
      <c r="A80" s="351" t="s">
        <v>6459</v>
      </c>
      <c r="B80" s="354" t="s">
        <v>179</v>
      </c>
      <c r="C80" s="86">
        <v>1</v>
      </c>
      <c r="D80" s="351" t="s">
        <v>6460</v>
      </c>
      <c r="E80" s="181" t="s">
        <v>6461</v>
      </c>
      <c r="F80" s="86" t="s">
        <v>326</v>
      </c>
      <c r="G80" s="86" t="s">
        <v>327</v>
      </c>
      <c r="H80" s="175" t="s">
        <v>6423</v>
      </c>
      <c r="I80" s="73" t="s">
        <v>6462</v>
      </c>
      <c r="J80" s="79"/>
      <c r="K80" s="25"/>
      <c r="L80" s="26"/>
      <c r="M80" s="43"/>
      <c r="N80" s="27"/>
      <c r="O80" s="25"/>
      <c r="P80" s="50" t="s">
        <v>140</v>
      </c>
      <c r="Q80" s="50" t="s">
        <v>140</v>
      </c>
      <c r="R80" s="25" t="s">
        <v>296</v>
      </c>
      <c r="S80" s="50"/>
      <c r="T80" s="65"/>
      <c r="U80" s="65"/>
      <c r="V80" s="65"/>
      <c r="W80" s="65"/>
      <c r="X80" s="65"/>
      <c r="Y80" s="65"/>
      <c r="Z80" s="65"/>
      <c r="AA80" s="65"/>
    </row>
    <row r="81" spans="1:27" ht="15.75" customHeight="1">
      <c r="A81" s="352"/>
      <c r="B81" s="352"/>
      <c r="C81" s="86">
        <v>2</v>
      </c>
      <c r="D81" s="352"/>
      <c r="E81" s="181" t="s">
        <v>6463</v>
      </c>
      <c r="F81" s="86" t="s">
        <v>326</v>
      </c>
      <c r="G81" s="86" t="s">
        <v>327</v>
      </c>
      <c r="H81" s="175" t="s">
        <v>6423</v>
      </c>
      <c r="I81" s="73" t="s">
        <v>6464</v>
      </c>
      <c r="J81" s="79"/>
      <c r="K81" s="25"/>
      <c r="L81" s="26"/>
      <c r="M81" s="43"/>
      <c r="N81" s="27"/>
      <c r="O81" s="25"/>
      <c r="P81" s="50" t="s">
        <v>140</v>
      </c>
      <c r="Q81" s="50" t="s">
        <v>140</v>
      </c>
      <c r="R81" s="25" t="s">
        <v>296</v>
      </c>
      <c r="S81" s="50"/>
      <c r="T81" s="65"/>
      <c r="U81" s="65"/>
      <c r="V81" s="65"/>
      <c r="W81" s="65"/>
      <c r="X81" s="65"/>
      <c r="Y81" s="65"/>
      <c r="Z81" s="65"/>
      <c r="AA81" s="65"/>
    </row>
    <row r="82" spans="1:27" ht="15.75" customHeight="1">
      <c r="A82" s="352"/>
      <c r="B82" s="352"/>
      <c r="C82" s="86">
        <v>3</v>
      </c>
      <c r="D82" s="352"/>
      <c r="E82" s="181" t="s">
        <v>6465</v>
      </c>
      <c r="F82" s="86" t="s">
        <v>326</v>
      </c>
      <c r="G82" s="86" t="s">
        <v>327</v>
      </c>
      <c r="H82" s="175" t="s">
        <v>6423</v>
      </c>
      <c r="I82" s="73" t="s">
        <v>6466</v>
      </c>
      <c r="J82" s="79"/>
      <c r="K82" s="25"/>
      <c r="L82" s="26"/>
      <c r="M82" s="43"/>
      <c r="N82" s="27"/>
      <c r="O82" s="25"/>
      <c r="P82" s="50" t="s">
        <v>140</v>
      </c>
      <c r="Q82" s="50" t="s">
        <v>140</v>
      </c>
      <c r="R82" s="25" t="s">
        <v>296</v>
      </c>
      <c r="S82" s="50"/>
      <c r="T82" s="65"/>
      <c r="U82" s="65"/>
      <c r="V82" s="65"/>
      <c r="W82" s="65"/>
      <c r="X82" s="65"/>
      <c r="Y82" s="65"/>
      <c r="Z82" s="65"/>
      <c r="AA82" s="65"/>
    </row>
    <row r="83" spans="1:27" ht="15.75" customHeight="1">
      <c r="A83" s="352"/>
      <c r="B83" s="352"/>
      <c r="C83" s="86">
        <v>4</v>
      </c>
      <c r="D83" s="352"/>
      <c r="E83" s="181" t="s">
        <v>6467</v>
      </c>
      <c r="F83" s="86" t="s">
        <v>326</v>
      </c>
      <c r="G83" s="86" t="s">
        <v>327</v>
      </c>
      <c r="H83" s="175" t="s">
        <v>6423</v>
      </c>
      <c r="I83" s="73" t="s">
        <v>6468</v>
      </c>
      <c r="J83" s="79"/>
      <c r="K83" s="25"/>
      <c r="L83" s="26"/>
      <c r="M83" s="43"/>
      <c r="N83" s="27"/>
      <c r="O83" s="25"/>
      <c r="P83" s="50" t="s">
        <v>140</v>
      </c>
      <c r="Q83" s="50" t="s">
        <v>140</v>
      </c>
      <c r="R83" s="25" t="s">
        <v>296</v>
      </c>
      <c r="S83" s="50"/>
      <c r="T83" s="65"/>
      <c r="U83" s="65"/>
      <c r="V83" s="65"/>
      <c r="W83" s="65"/>
      <c r="X83" s="65"/>
      <c r="Y83" s="65"/>
      <c r="Z83" s="65"/>
      <c r="AA83" s="65"/>
    </row>
    <row r="84" spans="1:27" ht="15.75" customHeight="1">
      <c r="A84" s="352"/>
      <c r="B84" s="352"/>
      <c r="C84" s="86">
        <v>5</v>
      </c>
      <c r="D84" s="352"/>
      <c r="E84" s="181" t="s">
        <v>6469</v>
      </c>
      <c r="F84" s="86" t="s">
        <v>326</v>
      </c>
      <c r="G84" s="86" t="s">
        <v>327</v>
      </c>
      <c r="H84" s="175" t="s">
        <v>6423</v>
      </c>
      <c r="I84" s="73" t="s">
        <v>6470</v>
      </c>
      <c r="J84" s="79"/>
      <c r="K84" s="25"/>
      <c r="L84" s="26"/>
      <c r="M84" s="43"/>
      <c r="N84" s="27"/>
      <c r="O84" s="25"/>
      <c r="P84" s="50" t="s">
        <v>140</v>
      </c>
      <c r="Q84" s="50" t="s">
        <v>140</v>
      </c>
      <c r="R84" s="25" t="s">
        <v>296</v>
      </c>
      <c r="S84" s="50"/>
      <c r="T84" s="65"/>
      <c r="U84" s="65"/>
      <c r="V84" s="65"/>
      <c r="W84" s="65"/>
      <c r="X84" s="65"/>
      <c r="Y84" s="65"/>
      <c r="Z84" s="65"/>
      <c r="AA84" s="65"/>
    </row>
    <row r="85" spans="1:27" ht="15.75" customHeight="1">
      <c r="A85" s="352"/>
      <c r="B85" s="352"/>
      <c r="C85" s="86">
        <v>6</v>
      </c>
      <c r="D85" s="352"/>
      <c r="E85" s="181" t="s">
        <v>6471</v>
      </c>
      <c r="F85" s="86" t="s">
        <v>326</v>
      </c>
      <c r="G85" s="86" t="s">
        <v>327</v>
      </c>
      <c r="H85" s="175" t="s">
        <v>6423</v>
      </c>
      <c r="I85" s="73" t="s">
        <v>6472</v>
      </c>
      <c r="J85" s="79"/>
      <c r="K85" s="25"/>
      <c r="L85" s="26"/>
      <c r="M85" s="43"/>
      <c r="N85" s="27"/>
      <c r="O85" s="25"/>
      <c r="P85" s="50" t="s">
        <v>140</v>
      </c>
      <c r="Q85" s="50" t="s">
        <v>140</v>
      </c>
      <c r="R85" s="25" t="s">
        <v>296</v>
      </c>
      <c r="S85" s="50"/>
      <c r="T85" s="65"/>
      <c r="U85" s="65"/>
      <c r="V85" s="65"/>
      <c r="W85" s="65"/>
      <c r="X85" s="65"/>
      <c r="Y85" s="65"/>
      <c r="Z85" s="65"/>
      <c r="AA85" s="65"/>
    </row>
    <row r="86" spans="1:27" ht="15.75" customHeight="1">
      <c r="A86" s="352"/>
      <c r="B86" s="352"/>
      <c r="C86" s="86">
        <v>7</v>
      </c>
      <c r="D86" s="352"/>
      <c r="E86" s="181" t="s">
        <v>6473</v>
      </c>
      <c r="F86" s="86" t="s">
        <v>326</v>
      </c>
      <c r="G86" s="86" t="s">
        <v>327</v>
      </c>
      <c r="H86" s="175" t="s">
        <v>6423</v>
      </c>
      <c r="I86" s="73" t="s">
        <v>6474</v>
      </c>
      <c r="J86" s="79"/>
      <c r="K86" s="25"/>
      <c r="L86" s="26"/>
      <c r="M86" s="43"/>
      <c r="N86" s="27"/>
      <c r="O86" s="25"/>
      <c r="P86" s="50" t="s">
        <v>140</v>
      </c>
      <c r="Q86" s="50" t="s">
        <v>140</v>
      </c>
      <c r="R86" s="25" t="s">
        <v>296</v>
      </c>
      <c r="S86" s="50"/>
      <c r="T86" s="65"/>
      <c r="U86" s="65"/>
      <c r="V86" s="65"/>
      <c r="W86" s="65"/>
      <c r="X86" s="65"/>
      <c r="Y86" s="65"/>
      <c r="Z86" s="65"/>
      <c r="AA86" s="65"/>
    </row>
    <row r="87" spans="1:27" ht="15.75" customHeight="1">
      <c r="A87" s="352"/>
      <c r="B87" s="352"/>
      <c r="C87" s="86">
        <v>8</v>
      </c>
      <c r="D87" s="352"/>
      <c r="E87" s="181" t="s">
        <v>6475</v>
      </c>
      <c r="F87" s="86" t="s">
        <v>326</v>
      </c>
      <c r="G87" s="86" t="s">
        <v>327</v>
      </c>
      <c r="H87" s="175" t="s">
        <v>6423</v>
      </c>
      <c r="I87" s="73" t="s">
        <v>6476</v>
      </c>
      <c r="J87" s="79"/>
      <c r="K87" s="25"/>
      <c r="L87" s="26"/>
      <c r="M87" s="43"/>
      <c r="N87" s="27"/>
      <c r="O87" s="25"/>
      <c r="P87" s="50" t="s">
        <v>140</v>
      </c>
      <c r="Q87" s="50" t="s">
        <v>140</v>
      </c>
      <c r="R87" s="25" t="s">
        <v>296</v>
      </c>
      <c r="S87" s="50"/>
      <c r="T87" s="65"/>
      <c r="U87" s="65"/>
      <c r="V87" s="65"/>
      <c r="W87" s="65"/>
      <c r="X87" s="65"/>
      <c r="Y87" s="65"/>
      <c r="Z87" s="65"/>
      <c r="AA87" s="65"/>
    </row>
    <row r="88" spans="1:27" ht="15.75" customHeight="1">
      <c r="A88" s="352"/>
      <c r="B88" s="352"/>
      <c r="C88" s="86">
        <v>9</v>
      </c>
      <c r="D88" s="352"/>
      <c r="E88" s="181" t="s">
        <v>6477</v>
      </c>
      <c r="F88" s="86" t="s">
        <v>326</v>
      </c>
      <c r="G88" s="86" t="s">
        <v>327</v>
      </c>
      <c r="H88" s="175" t="s">
        <v>6423</v>
      </c>
      <c r="I88" s="73" t="s">
        <v>6478</v>
      </c>
      <c r="J88" s="79"/>
      <c r="K88" s="25"/>
      <c r="L88" s="26"/>
      <c r="M88" s="43"/>
      <c r="N88" s="27"/>
      <c r="O88" s="25"/>
      <c r="P88" s="50" t="s">
        <v>140</v>
      </c>
      <c r="Q88" s="50" t="s">
        <v>140</v>
      </c>
      <c r="R88" s="25" t="s">
        <v>296</v>
      </c>
      <c r="S88" s="50"/>
      <c r="T88" s="65"/>
      <c r="U88" s="65"/>
      <c r="V88" s="65"/>
      <c r="W88" s="65"/>
      <c r="X88" s="65"/>
      <c r="Y88" s="65"/>
      <c r="Z88" s="65"/>
      <c r="AA88" s="65"/>
    </row>
    <row r="89" spans="1:27" ht="15.75" customHeight="1">
      <c r="A89" s="352"/>
      <c r="B89" s="352"/>
      <c r="C89" s="86">
        <v>10</v>
      </c>
      <c r="D89" s="352"/>
      <c r="E89" s="181" t="s">
        <v>6479</v>
      </c>
      <c r="F89" s="86" t="s">
        <v>326</v>
      </c>
      <c r="G89" s="86" t="s">
        <v>327</v>
      </c>
      <c r="H89" s="175" t="s">
        <v>6423</v>
      </c>
      <c r="I89" s="73" t="s">
        <v>6480</v>
      </c>
      <c r="J89" s="79"/>
      <c r="K89" s="25"/>
      <c r="L89" s="26"/>
      <c r="M89" s="43"/>
      <c r="N89" s="27"/>
      <c r="O89" s="25"/>
      <c r="P89" s="50" t="s">
        <v>140</v>
      </c>
      <c r="Q89" s="50" t="s">
        <v>140</v>
      </c>
      <c r="R89" s="25" t="s">
        <v>296</v>
      </c>
      <c r="S89" s="50"/>
      <c r="T89" s="65"/>
      <c r="U89" s="65"/>
      <c r="V89" s="65"/>
      <c r="W89" s="65"/>
      <c r="X89" s="65"/>
      <c r="Y89" s="65"/>
      <c r="Z89" s="65"/>
      <c r="AA89" s="65"/>
    </row>
    <row r="90" spans="1:27" ht="15.75" customHeight="1">
      <c r="A90" s="352"/>
      <c r="B90" s="352"/>
      <c r="C90" s="86">
        <v>11</v>
      </c>
      <c r="D90" s="352"/>
      <c r="E90" s="181" t="s">
        <v>6481</v>
      </c>
      <c r="F90" s="86" t="s">
        <v>326</v>
      </c>
      <c r="G90" s="86" t="s">
        <v>327</v>
      </c>
      <c r="H90" s="175" t="s">
        <v>6423</v>
      </c>
      <c r="I90" s="73" t="s">
        <v>6482</v>
      </c>
      <c r="J90" s="79"/>
      <c r="K90" s="25"/>
      <c r="L90" s="26"/>
      <c r="M90" s="43"/>
      <c r="N90" s="27"/>
      <c r="O90" s="25"/>
      <c r="P90" s="50" t="s">
        <v>140</v>
      </c>
      <c r="Q90" s="50" t="s">
        <v>140</v>
      </c>
      <c r="R90" s="25" t="s">
        <v>296</v>
      </c>
      <c r="S90" s="50"/>
      <c r="T90" s="65"/>
      <c r="U90" s="65"/>
      <c r="V90" s="65"/>
      <c r="W90" s="65"/>
      <c r="X90" s="65"/>
      <c r="Y90" s="65"/>
      <c r="Z90" s="65"/>
      <c r="AA90" s="65"/>
    </row>
    <row r="91" spans="1:27" ht="15.75" customHeight="1">
      <c r="A91" s="352"/>
      <c r="B91" s="352"/>
      <c r="C91" s="86">
        <v>12</v>
      </c>
      <c r="D91" s="352"/>
      <c r="E91" s="181" t="s">
        <v>6483</v>
      </c>
      <c r="F91" s="86" t="s">
        <v>326</v>
      </c>
      <c r="G91" s="86" t="s">
        <v>327</v>
      </c>
      <c r="H91" s="175" t="s">
        <v>6423</v>
      </c>
      <c r="I91" s="73" t="s">
        <v>6484</v>
      </c>
      <c r="J91" s="79"/>
      <c r="K91" s="25"/>
      <c r="L91" s="26"/>
      <c r="M91" s="43"/>
      <c r="N91" s="27"/>
      <c r="O91" s="25"/>
      <c r="P91" s="50" t="s">
        <v>140</v>
      </c>
      <c r="Q91" s="50" t="s">
        <v>140</v>
      </c>
      <c r="R91" s="25" t="s">
        <v>296</v>
      </c>
      <c r="S91" s="50"/>
      <c r="T91" s="65"/>
      <c r="U91" s="65"/>
      <c r="V91" s="65"/>
      <c r="W91" s="65"/>
      <c r="X91" s="65"/>
      <c r="Y91" s="65"/>
      <c r="Z91" s="65"/>
      <c r="AA91" s="65"/>
    </row>
    <row r="92" spans="1:27" ht="15.75" customHeight="1">
      <c r="A92" s="352"/>
      <c r="B92" s="352"/>
      <c r="C92" s="86">
        <v>13</v>
      </c>
      <c r="D92" s="352"/>
      <c r="E92" s="181" t="s">
        <v>6485</v>
      </c>
      <c r="F92" s="86" t="s">
        <v>326</v>
      </c>
      <c r="G92" s="86" t="s">
        <v>327</v>
      </c>
      <c r="H92" s="175" t="s">
        <v>6423</v>
      </c>
      <c r="I92" s="73" t="s">
        <v>6486</v>
      </c>
      <c r="J92" s="79"/>
      <c r="K92" s="25"/>
      <c r="L92" s="26"/>
      <c r="M92" s="43"/>
      <c r="N92" s="27"/>
      <c r="O92" s="25"/>
      <c r="P92" s="50" t="s">
        <v>140</v>
      </c>
      <c r="Q92" s="50" t="s">
        <v>140</v>
      </c>
      <c r="R92" s="25" t="s">
        <v>296</v>
      </c>
      <c r="S92" s="50"/>
      <c r="T92" s="65"/>
      <c r="U92" s="65"/>
      <c r="V92" s="65"/>
      <c r="W92" s="65"/>
      <c r="X92" s="65"/>
      <c r="Y92" s="65"/>
      <c r="Z92" s="65"/>
      <c r="AA92" s="65"/>
    </row>
    <row r="93" spans="1:27" ht="15.75" customHeight="1">
      <c r="A93" s="352"/>
      <c r="B93" s="352"/>
      <c r="C93" s="86">
        <v>14</v>
      </c>
      <c r="D93" s="352"/>
      <c r="E93" s="181" t="s">
        <v>6487</v>
      </c>
      <c r="F93" s="86" t="s">
        <v>326</v>
      </c>
      <c r="G93" s="86" t="s">
        <v>327</v>
      </c>
      <c r="H93" s="175" t="s">
        <v>6423</v>
      </c>
      <c r="I93" s="73" t="s">
        <v>6488</v>
      </c>
      <c r="J93" s="79"/>
      <c r="K93" s="25"/>
      <c r="L93" s="26"/>
      <c r="M93" s="43"/>
      <c r="N93" s="27"/>
      <c r="O93" s="25"/>
      <c r="P93" s="50" t="s">
        <v>140</v>
      </c>
      <c r="Q93" s="50" t="s">
        <v>140</v>
      </c>
      <c r="R93" s="25" t="s">
        <v>296</v>
      </c>
      <c r="S93" s="50"/>
      <c r="T93" s="65"/>
      <c r="U93" s="65"/>
      <c r="V93" s="65"/>
      <c r="W93" s="65"/>
      <c r="X93" s="65"/>
      <c r="Y93" s="65"/>
      <c r="Z93" s="65"/>
      <c r="AA93" s="65"/>
    </row>
    <row r="94" spans="1:27" ht="15.75" customHeight="1">
      <c r="A94" s="352"/>
      <c r="B94" s="352"/>
      <c r="C94" s="86">
        <v>15</v>
      </c>
      <c r="D94" s="352"/>
      <c r="E94" s="181" t="s">
        <v>6489</v>
      </c>
      <c r="F94" s="86" t="s">
        <v>326</v>
      </c>
      <c r="G94" s="86" t="s">
        <v>327</v>
      </c>
      <c r="H94" s="175" t="s">
        <v>6423</v>
      </c>
      <c r="I94" s="73" t="s">
        <v>6490</v>
      </c>
      <c r="J94" s="79"/>
      <c r="K94" s="25"/>
      <c r="L94" s="26"/>
      <c r="M94" s="43"/>
      <c r="N94" s="27"/>
      <c r="O94" s="25"/>
      <c r="P94" s="50" t="s">
        <v>140</v>
      </c>
      <c r="Q94" s="50" t="s">
        <v>140</v>
      </c>
      <c r="R94" s="25" t="s">
        <v>296</v>
      </c>
      <c r="S94" s="50"/>
      <c r="T94" s="65"/>
      <c r="U94" s="65"/>
      <c r="V94" s="65"/>
      <c r="W94" s="65"/>
      <c r="X94" s="65"/>
      <c r="Y94" s="65"/>
      <c r="Z94" s="65"/>
      <c r="AA94" s="65"/>
    </row>
    <row r="95" spans="1:27" ht="15.75" customHeight="1">
      <c r="A95" s="352"/>
      <c r="B95" s="352"/>
      <c r="C95" s="86">
        <v>16</v>
      </c>
      <c r="D95" s="352"/>
      <c r="E95" s="181" t="s">
        <v>6491</v>
      </c>
      <c r="F95" s="86" t="s">
        <v>326</v>
      </c>
      <c r="G95" s="86" t="s">
        <v>327</v>
      </c>
      <c r="H95" s="175" t="s">
        <v>6423</v>
      </c>
      <c r="I95" s="73" t="s">
        <v>6492</v>
      </c>
      <c r="J95" s="79"/>
      <c r="K95" s="25"/>
      <c r="L95" s="26"/>
      <c r="M95" s="43"/>
      <c r="N95" s="27"/>
      <c r="O95" s="25"/>
      <c r="P95" s="50" t="s">
        <v>140</v>
      </c>
      <c r="Q95" s="50" t="s">
        <v>140</v>
      </c>
      <c r="R95" s="25" t="s">
        <v>296</v>
      </c>
      <c r="S95" s="50"/>
      <c r="T95" s="65"/>
      <c r="U95" s="65"/>
      <c r="V95" s="65"/>
      <c r="W95" s="65"/>
      <c r="X95" s="65"/>
      <c r="Y95" s="65"/>
      <c r="Z95" s="65"/>
      <c r="AA95" s="65"/>
    </row>
    <row r="96" spans="1:27" ht="15.75" customHeight="1">
      <c r="A96" s="352"/>
      <c r="B96" s="352"/>
      <c r="C96" s="86">
        <v>17</v>
      </c>
      <c r="D96" s="352"/>
      <c r="E96" s="181" t="s">
        <v>6493</v>
      </c>
      <c r="F96" s="86" t="s">
        <v>326</v>
      </c>
      <c r="G96" s="86" t="s">
        <v>327</v>
      </c>
      <c r="H96" s="175" t="s">
        <v>6423</v>
      </c>
      <c r="I96" s="73" t="s">
        <v>6494</v>
      </c>
      <c r="J96" s="79"/>
      <c r="K96" s="25"/>
      <c r="L96" s="26"/>
      <c r="M96" s="43"/>
      <c r="N96" s="27"/>
      <c r="O96" s="25"/>
      <c r="P96" s="50" t="s">
        <v>140</v>
      </c>
      <c r="Q96" s="50" t="s">
        <v>140</v>
      </c>
      <c r="R96" s="25" t="s">
        <v>296</v>
      </c>
      <c r="S96" s="50"/>
      <c r="T96" s="65"/>
      <c r="U96" s="65"/>
      <c r="V96" s="65"/>
      <c r="W96" s="65"/>
      <c r="X96" s="65"/>
      <c r="Y96" s="65"/>
      <c r="Z96" s="65"/>
      <c r="AA96" s="65"/>
    </row>
    <row r="97" spans="1:27" ht="15.75" customHeight="1">
      <c r="A97" s="352"/>
      <c r="B97" s="352"/>
      <c r="C97" s="86">
        <v>18</v>
      </c>
      <c r="D97" s="352"/>
      <c r="E97" s="181" t="s">
        <v>6495</v>
      </c>
      <c r="F97" s="86" t="s">
        <v>326</v>
      </c>
      <c r="G97" s="86" t="s">
        <v>327</v>
      </c>
      <c r="H97" s="175" t="s">
        <v>6423</v>
      </c>
      <c r="I97" s="73" t="s">
        <v>6496</v>
      </c>
      <c r="J97" s="79"/>
      <c r="K97" s="25"/>
      <c r="L97" s="26"/>
      <c r="M97" s="43"/>
      <c r="N97" s="27"/>
      <c r="O97" s="25"/>
      <c r="P97" s="50" t="s">
        <v>140</v>
      </c>
      <c r="Q97" s="50" t="s">
        <v>140</v>
      </c>
      <c r="R97" s="25" t="s">
        <v>296</v>
      </c>
      <c r="S97" s="50"/>
      <c r="T97" s="65"/>
      <c r="U97" s="65"/>
      <c r="V97" s="65"/>
      <c r="W97" s="65"/>
      <c r="X97" s="65"/>
      <c r="Y97" s="65"/>
      <c r="Z97" s="65"/>
      <c r="AA97" s="65"/>
    </row>
    <row r="98" spans="1:27" ht="15.75" customHeight="1">
      <c r="A98" s="352"/>
      <c r="B98" s="352"/>
      <c r="C98" s="86">
        <v>19</v>
      </c>
      <c r="D98" s="352"/>
      <c r="E98" s="181" t="s">
        <v>6497</v>
      </c>
      <c r="F98" s="86" t="s">
        <v>326</v>
      </c>
      <c r="G98" s="86" t="s">
        <v>327</v>
      </c>
      <c r="H98" s="175" t="s">
        <v>6423</v>
      </c>
      <c r="I98" s="73" t="s">
        <v>6498</v>
      </c>
      <c r="J98" s="79"/>
      <c r="K98" s="25"/>
      <c r="L98" s="26"/>
      <c r="M98" s="43"/>
      <c r="N98" s="27"/>
      <c r="O98" s="25"/>
      <c r="P98" s="50" t="s">
        <v>140</v>
      </c>
      <c r="Q98" s="50" t="s">
        <v>140</v>
      </c>
      <c r="R98" s="25" t="s">
        <v>296</v>
      </c>
      <c r="S98" s="50"/>
      <c r="T98" s="65"/>
      <c r="U98" s="65"/>
      <c r="V98" s="65"/>
      <c r="W98" s="65"/>
      <c r="X98" s="65"/>
      <c r="Y98" s="65"/>
      <c r="Z98" s="65"/>
      <c r="AA98" s="65"/>
    </row>
    <row r="99" spans="1:27" ht="15.75" customHeight="1">
      <c r="A99" s="352"/>
      <c r="B99" s="352"/>
      <c r="C99" s="86">
        <v>20</v>
      </c>
      <c r="D99" s="352"/>
      <c r="E99" s="181" t="s">
        <v>6499</v>
      </c>
      <c r="F99" s="86" t="s">
        <v>326</v>
      </c>
      <c r="G99" s="86" t="s">
        <v>327</v>
      </c>
      <c r="H99" s="175" t="s">
        <v>6423</v>
      </c>
      <c r="I99" s="73" t="s">
        <v>6500</v>
      </c>
      <c r="J99" s="79"/>
      <c r="K99" s="25"/>
      <c r="L99" s="26"/>
      <c r="M99" s="43"/>
      <c r="N99" s="27"/>
      <c r="O99" s="25"/>
      <c r="P99" s="50" t="s">
        <v>140</v>
      </c>
      <c r="Q99" s="50" t="s">
        <v>140</v>
      </c>
      <c r="R99" s="25" t="s">
        <v>296</v>
      </c>
      <c r="S99" s="50"/>
      <c r="T99" s="65"/>
      <c r="U99" s="65"/>
      <c r="V99" s="65"/>
      <c r="W99" s="65"/>
      <c r="X99" s="65"/>
      <c r="Y99" s="65"/>
      <c r="Z99" s="65"/>
      <c r="AA99" s="65"/>
    </row>
    <row r="100" spans="1:27" ht="15.75" customHeight="1">
      <c r="A100" s="353"/>
      <c r="B100" s="353"/>
      <c r="C100" s="86">
        <v>21</v>
      </c>
      <c r="D100" s="353"/>
      <c r="E100" s="181" t="s">
        <v>6501</v>
      </c>
      <c r="F100" s="86" t="s">
        <v>326</v>
      </c>
      <c r="G100" s="86" t="s">
        <v>327</v>
      </c>
      <c r="H100" s="175" t="s">
        <v>6423</v>
      </c>
      <c r="I100" s="73" t="s">
        <v>6502</v>
      </c>
      <c r="J100" s="79"/>
      <c r="K100" s="25"/>
      <c r="L100" s="26"/>
      <c r="M100" s="43"/>
      <c r="N100" s="27"/>
      <c r="O100" s="25"/>
      <c r="P100" s="50" t="s">
        <v>140</v>
      </c>
      <c r="Q100" s="50" t="s">
        <v>140</v>
      </c>
      <c r="R100" s="25" t="s">
        <v>296</v>
      </c>
      <c r="S100" s="50"/>
      <c r="T100" s="65"/>
      <c r="U100" s="65"/>
      <c r="V100" s="65"/>
      <c r="W100" s="65"/>
      <c r="X100" s="65"/>
      <c r="Y100" s="65"/>
      <c r="Z100" s="65"/>
      <c r="AA100" s="65"/>
    </row>
    <row r="101" spans="1:27" ht="16.5" customHeight="1">
      <c r="A101" s="351" t="s">
        <v>6503</v>
      </c>
      <c r="B101" s="354" t="s">
        <v>271</v>
      </c>
      <c r="C101" s="86">
        <v>1</v>
      </c>
      <c r="D101" s="351" t="s">
        <v>6504</v>
      </c>
      <c r="E101" s="181" t="s">
        <v>6505</v>
      </c>
      <c r="F101" s="86" t="s">
        <v>326</v>
      </c>
      <c r="G101" s="86" t="s">
        <v>327</v>
      </c>
      <c r="H101" s="175" t="s">
        <v>6423</v>
      </c>
      <c r="I101" s="73" t="s">
        <v>6506</v>
      </c>
      <c r="J101" s="79"/>
      <c r="K101" s="25"/>
      <c r="L101" s="26"/>
      <c r="M101" s="43"/>
      <c r="N101" s="27"/>
      <c r="O101" s="25"/>
      <c r="P101" s="50" t="s">
        <v>140</v>
      </c>
      <c r="Q101" s="50" t="s">
        <v>140</v>
      </c>
      <c r="R101" s="25" t="s">
        <v>296</v>
      </c>
      <c r="S101" s="50"/>
      <c r="T101" s="65"/>
      <c r="U101" s="65"/>
      <c r="V101" s="65"/>
      <c r="W101" s="65"/>
      <c r="X101" s="65"/>
      <c r="Y101" s="65"/>
      <c r="Z101" s="65"/>
      <c r="AA101" s="65"/>
    </row>
    <row r="102" spans="1:27" ht="15.75" customHeight="1">
      <c r="A102" s="352"/>
      <c r="B102" s="352"/>
      <c r="C102" s="86">
        <v>2</v>
      </c>
      <c r="D102" s="352"/>
      <c r="E102" s="181" t="s">
        <v>6507</v>
      </c>
      <c r="F102" s="86" t="s">
        <v>326</v>
      </c>
      <c r="G102" s="86" t="s">
        <v>327</v>
      </c>
      <c r="H102" s="175" t="s">
        <v>6423</v>
      </c>
      <c r="I102" s="73" t="s">
        <v>6508</v>
      </c>
      <c r="J102" s="79"/>
      <c r="K102" s="25"/>
      <c r="L102" s="26"/>
      <c r="M102" s="43"/>
      <c r="N102" s="27"/>
      <c r="O102" s="25"/>
      <c r="P102" s="50" t="s">
        <v>140</v>
      </c>
      <c r="Q102" s="50" t="s">
        <v>140</v>
      </c>
      <c r="R102" s="25" t="s">
        <v>296</v>
      </c>
      <c r="S102" s="50"/>
      <c r="T102" s="65"/>
      <c r="U102" s="65"/>
      <c r="V102" s="65"/>
      <c r="W102" s="65"/>
      <c r="X102" s="65"/>
      <c r="Y102" s="65"/>
      <c r="Z102" s="65"/>
      <c r="AA102" s="65"/>
    </row>
    <row r="103" spans="1:27" ht="15.75" customHeight="1">
      <c r="A103" s="352"/>
      <c r="B103" s="352"/>
      <c r="C103" s="86">
        <v>3</v>
      </c>
      <c r="D103" s="352"/>
      <c r="E103" s="181" t="s">
        <v>6509</v>
      </c>
      <c r="F103" s="86" t="s">
        <v>326</v>
      </c>
      <c r="G103" s="86" t="s">
        <v>327</v>
      </c>
      <c r="H103" s="175" t="s">
        <v>6423</v>
      </c>
      <c r="I103" s="73" t="s">
        <v>6510</v>
      </c>
      <c r="J103" s="79"/>
      <c r="K103" s="25"/>
      <c r="L103" s="26"/>
      <c r="M103" s="43"/>
      <c r="N103" s="27"/>
      <c r="O103" s="25"/>
      <c r="P103" s="50" t="s">
        <v>140</v>
      </c>
      <c r="Q103" s="50" t="s">
        <v>140</v>
      </c>
      <c r="R103" s="25" t="s">
        <v>296</v>
      </c>
      <c r="S103" s="50"/>
      <c r="T103" s="65"/>
      <c r="U103" s="65"/>
      <c r="V103" s="65"/>
      <c r="W103" s="65"/>
      <c r="X103" s="65"/>
      <c r="Y103" s="65"/>
      <c r="Z103" s="65"/>
      <c r="AA103" s="65"/>
    </row>
    <row r="104" spans="1:27" ht="15.75" customHeight="1">
      <c r="A104" s="352"/>
      <c r="B104" s="352"/>
      <c r="C104" s="86">
        <v>4</v>
      </c>
      <c r="D104" s="352"/>
      <c r="E104" s="181" t="s">
        <v>6511</v>
      </c>
      <c r="F104" s="86" t="s">
        <v>326</v>
      </c>
      <c r="G104" s="86" t="s">
        <v>327</v>
      </c>
      <c r="H104" s="175" t="s">
        <v>6423</v>
      </c>
      <c r="I104" s="73" t="s">
        <v>6512</v>
      </c>
      <c r="J104" s="79"/>
      <c r="K104" s="25"/>
      <c r="L104" s="26"/>
      <c r="M104" s="43"/>
      <c r="N104" s="27"/>
      <c r="O104" s="25"/>
      <c r="P104" s="50" t="s">
        <v>140</v>
      </c>
      <c r="Q104" s="50" t="s">
        <v>140</v>
      </c>
      <c r="R104" s="25" t="s">
        <v>296</v>
      </c>
      <c r="S104" s="50"/>
      <c r="T104" s="65"/>
      <c r="U104" s="65"/>
      <c r="V104" s="65"/>
      <c r="W104" s="65"/>
      <c r="X104" s="65"/>
      <c r="Y104" s="65"/>
      <c r="Z104" s="65"/>
      <c r="AA104" s="65"/>
    </row>
    <row r="105" spans="1:27" ht="15.75" customHeight="1">
      <c r="A105" s="352"/>
      <c r="B105" s="352"/>
      <c r="C105" s="86">
        <v>5</v>
      </c>
      <c r="D105" s="352"/>
      <c r="E105" s="181" t="s">
        <v>6513</v>
      </c>
      <c r="F105" s="86" t="s">
        <v>326</v>
      </c>
      <c r="G105" s="86" t="s">
        <v>327</v>
      </c>
      <c r="H105" s="175" t="s">
        <v>6423</v>
      </c>
      <c r="I105" s="73" t="s">
        <v>6514</v>
      </c>
      <c r="J105" s="79"/>
      <c r="K105" s="25"/>
      <c r="L105" s="26"/>
      <c r="M105" s="43"/>
      <c r="N105" s="27"/>
      <c r="O105" s="25"/>
      <c r="P105" s="50" t="s">
        <v>140</v>
      </c>
      <c r="Q105" s="50" t="s">
        <v>140</v>
      </c>
      <c r="R105" s="25" t="s">
        <v>296</v>
      </c>
      <c r="S105" s="50"/>
      <c r="T105" s="65"/>
      <c r="U105" s="65"/>
      <c r="V105" s="65"/>
      <c r="W105" s="65"/>
      <c r="X105" s="65"/>
      <c r="Y105" s="65"/>
      <c r="Z105" s="65"/>
      <c r="AA105" s="65"/>
    </row>
    <row r="106" spans="1:27" ht="15.75" customHeight="1">
      <c r="A106" s="352"/>
      <c r="B106" s="352"/>
      <c r="C106" s="86">
        <v>6</v>
      </c>
      <c r="D106" s="352"/>
      <c r="E106" s="181" t="s">
        <v>6515</v>
      </c>
      <c r="F106" s="86" t="s">
        <v>326</v>
      </c>
      <c r="G106" s="86" t="s">
        <v>327</v>
      </c>
      <c r="H106" s="175" t="s">
        <v>6423</v>
      </c>
      <c r="I106" s="73" t="s">
        <v>6516</v>
      </c>
      <c r="J106" s="79"/>
      <c r="K106" s="25"/>
      <c r="L106" s="26"/>
      <c r="M106" s="43"/>
      <c r="N106" s="27"/>
      <c r="O106" s="25"/>
      <c r="P106" s="50" t="s">
        <v>140</v>
      </c>
      <c r="Q106" s="50" t="s">
        <v>140</v>
      </c>
      <c r="R106" s="25" t="s">
        <v>296</v>
      </c>
      <c r="S106" s="50"/>
      <c r="T106" s="65"/>
      <c r="U106" s="65"/>
      <c r="V106" s="65"/>
      <c r="W106" s="65"/>
      <c r="X106" s="65"/>
      <c r="Y106" s="65"/>
      <c r="Z106" s="65"/>
      <c r="AA106" s="65"/>
    </row>
    <row r="107" spans="1:27" ht="15.75" customHeight="1">
      <c r="A107" s="352"/>
      <c r="B107" s="352"/>
      <c r="C107" s="86">
        <v>7</v>
      </c>
      <c r="D107" s="352"/>
      <c r="E107" s="181" t="s">
        <v>6517</v>
      </c>
      <c r="F107" s="86" t="s">
        <v>326</v>
      </c>
      <c r="G107" s="86" t="s">
        <v>327</v>
      </c>
      <c r="H107" s="175" t="s">
        <v>6423</v>
      </c>
      <c r="I107" s="73" t="s">
        <v>6518</v>
      </c>
      <c r="J107" s="79"/>
      <c r="K107" s="25"/>
      <c r="L107" s="26"/>
      <c r="M107" s="43"/>
      <c r="N107" s="27"/>
      <c r="O107" s="25"/>
      <c r="P107" s="50" t="s">
        <v>140</v>
      </c>
      <c r="Q107" s="50" t="s">
        <v>140</v>
      </c>
      <c r="R107" s="25" t="s">
        <v>296</v>
      </c>
      <c r="S107" s="50"/>
      <c r="T107" s="65"/>
      <c r="U107" s="65"/>
      <c r="V107" s="65"/>
      <c r="W107" s="65"/>
      <c r="X107" s="65"/>
      <c r="Y107" s="65"/>
      <c r="Z107" s="65"/>
      <c r="AA107" s="65"/>
    </row>
    <row r="108" spans="1:27" ht="15.75" customHeight="1">
      <c r="A108" s="352"/>
      <c r="B108" s="352"/>
      <c r="C108" s="86">
        <v>8</v>
      </c>
      <c r="D108" s="352"/>
      <c r="E108" s="181" t="s">
        <v>6519</v>
      </c>
      <c r="F108" s="86" t="s">
        <v>326</v>
      </c>
      <c r="G108" s="86" t="s">
        <v>327</v>
      </c>
      <c r="H108" s="175" t="s">
        <v>6423</v>
      </c>
      <c r="I108" s="73" t="s">
        <v>6520</v>
      </c>
      <c r="J108" s="79"/>
      <c r="K108" s="25"/>
      <c r="L108" s="26"/>
      <c r="M108" s="43"/>
      <c r="N108" s="27"/>
      <c r="O108" s="25"/>
      <c r="P108" s="50" t="s">
        <v>140</v>
      </c>
      <c r="Q108" s="50" t="s">
        <v>140</v>
      </c>
      <c r="R108" s="25" t="s">
        <v>296</v>
      </c>
      <c r="S108" s="50"/>
      <c r="T108" s="65"/>
      <c r="U108" s="65"/>
      <c r="V108" s="65"/>
      <c r="W108" s="65"/>
      <c r="X108" s="65"/>
      <c r="Y108" s="65"/>
      <c r="Z108" s="65"/>
      <c r="AA108" s="65"/>
    </row>
    <row r="109" spans="1:27" ht="15.75" customHeight="1">
      <c r="A109" s="353"/>
      <c r="B109" s="353"/>
      <c r="C109" s="86">
        <v>9</v>
      </c>
      <c r="D109" s="353"/>
      <c r="E109" s="181" t="s">
        <v>6521</v>
      </c>
      <c r="F109" s="86" t="s">
        <v>326</v>
      </c>
      <c r="G109" s="86" t="s">
        <v>327</v>
      </c>
      <c r="H109" s="175" t="s">
        <v>6423</v>
      </c>
      <c r="I109" s="73" t="s">
        <v>6522</v>
      </c>
      <c r="J109" s="79"/>
      <c r="K109" s="25"/>
      <c r="L109" s="26"/>
      <c r="M109" s="43" t="s">
        <v>6523</v>
      </c>
      <c r="N109" s="27"/>
      <c r="O109" s="25"/>
      <c r="P109" s="50" t="s">
        <v>282</v>
      </c>
      <c r="Q109" s="50" t="s">
        <v>282</v>
      </c>
      <c r="R109" s="25" t="s">
        <v>296</v>
      </c>
      <c r="S109" s="50"/>
      <c r="T109" s="65"/>
      <c r="U109" s="65"/>
      <c r="V109" s="65"/>
      <c r="W109" s="65"/>
      <c r="X109" s="65"/>
      <c r="Y109" s="65"/>
      <c r="Z109" s="65"/>
      <c r="AA109" s="65"/>
    </row>
    <row r="110" spans="1:27" ht="16.5" customHeight="1">
      <c r="A110" s="351" t="s">
        <v>6524</v>
      </c>
      <c r="B110" s="354" t="s">
        <v>6525</v>
      </c>
      <c r="C110" s="86">
        <v>1</v>
      </c>
      <c r="D110" s="351" t="s">
        <v>6526</v>
      </c>
      <c r="E110" s="181" t="s">
        <v>6527</v>
      </c>
      <c r="F110" s="86" t="s">
        <v>326</v>
      </c>
      <c r="G110" s="86" t="s">
        <v>327</v>
      </c>
      <c r="H110" s="175" t="s">
        <v>6423</v>
      </c>
      <c r="I110" s="73" t="s">
        <v>6528</v>
      </c>
      <c r="J110" s="79"/>
      <c r="K110" s="25"/>
      <c r="L110" s="26"/>
      <c r="M110" s="43"/>
      <c r="N110" s="27"/>
      <c r="O110" s="25"/>
      <c r="P110" s="50" t="s">
        <v>140</v>
      </c>
      <c r="Q110" s="50" t="s">
        <v>140</v>
      </c>
      <c r="R110" s="25" t="s">
        <v>296</v>
      </c>
      <c r="S110" s="50"/>
      <c r="T110" s="65"/>
      <c r="U110" s="65"/>
      <c r="V110" s="65"/>
      <c r="W110" s="65"/>
      <c r="X110" s="65"/>
      <c r="Y110" s="65"/>
      <c r="Z110" s="65"/>
      <c r="AA110" s="65"/>
    </row>
    <row r="111" spans="1:27" ht="15.75" customHeight="1">
      <c r="A111" s="352"/>
      <c r="B111" s="352"/>
      <c r="C111" s="86">
        <v>2</v>
      </c>
      <c r="D111" s="352"/>
      <c r="E111" s="181" t="s">
        <v>6529</v>
      </c>
      <c r="F111" s="86" t="s">
        <v>326</v>
      </c>
      <c r="G111" s="86" t="s">
        <v>327</v>
      </c>
      <c r="H111" s="175" t="s">
        <v>6423</v>
      </c>
      <c r="I111" s="73" t="s">
        <v>6530</v>
      </c>
      <c r="J111" s="79"/>
      <c r="K111" s="25"/>
      <c r="L111" s="26"/>
      <c r="M111" s="43"/>
      <c r="N111" s="27"/>
      <c r="O111" s="25"/>
      <c r="P111" s="50" t="s">
        <v>140</v>
      </c>
      <c r="Q111" s="50" t="s">
        <v>140</v>
      </c>
      <c r="R111" s="25" t="s">
        <v>296</v>
      </c>
      <c r="S111" s="50"/>
      <c r="T111" s="65"/>
      <c r="U111" s="65"/>
      <c r="V111" s="65"/>
      <c r="W111" s="65"/>
      <c r="X111" s="65"/>
      <c r="Y111" s="65"/>
      <c r="Z111" s="65"/>
      <c r="AA111" s="65"/>
    </row>
    <row r="112" spans="1:27" ht="15.75" customHeight="1">
      <c r="A112" s="352"/>
      <c r="B112" s="352"/>
      <c r="C112" s="86">
        <v>3</v>
      </c>
      <c r="D112" s="352"/>
      <c r="E112" s="181" t="s">
        <v>6531</v>
      </c>
      <c r="F112" s="86" t="s">
        <v>326</v>
      </c>
      <c r="G112" s="86" t="s">
        <v>327</v>
      </c>
      <c r="H112" s="175" t="s">
        <v>6423</v>
      </c>
      <c r="I112" s="73" t="s">
        <v>6532</v>
      </c>
      <c r="J112" s="79"/>
      <c r="K112" s="25"/>
      <c r="L112" s="26"/>
      <c r="M112" s="43"/>
      <c r="N112" s="27"/>
      <c r="O112" s="25"/>
      <c r="P112" s="50" t="s">
        <v>140</v>
      </c>
      <c r="Q112" s="50" t="s">
        <v>140</v>
      </c>
      <c r="R112" s="25" t="s">
        <v>296</v>
      </c>
      <c r="S112" s="50"/>
      <c r="T112" s="65"/>
      <c r="U112" s="65"/>
      <c r="V112" s="65"/>
      <c r="W112" s="65"/>
      <c r="X112" s="65"/>
      <c r="Y112" s="65"/>
      <c r="Z112" s="65"/>
      <c r="AA112" s="65"/>
    </row>
    <row r="113" spans="1:27" ht="16.5" customHeight="1">
      <c r="A113" s="352"/>
      <c r="B113" s="352"/>
      <c r="C113" s="86">
        <v>4</v>
      </c>
      <c r="D113" s="352"/>
      <c r="E113" s="181" t="s">
        <v>6533</v>
      </c>
      <c r="F113" s="86" t="s">
        <v>326</v>
      </c>
      <c r="G113" s="86" t="s">
        <v>327</v>
      </c>
      <c r="H113" s="175" t="s">
        <v>6423</v>
      </c>
      <c r="I113" s="73" t="s">
        <v>6534</v>
      </c>
      <c r="J113" s="79"/>
      <c r="K113" s="25"/>
      <c r="L113" s="26"/>
      <c r="M113" s="43"/>
      <c r="N113" s="27"/>
      <c r="O113" s="25"/>
      <c r="P113" s="50" t="s">
        <v>140</v>
      </c>
      <c r="Q113" s="50" t="s">
        <v>140</v>
      </c>
      <c r="R113" s="25" t="s">
        <v>296</v>
      </c>
      <c r="S113" s="50"/>
      <c r="T113" s="65"/>
      <c r="U113" s="65"/>
      <c r="V113" s="65"/>
      <c r="W113" s="65"/>
      <c r="X113" s="65"/>
      <c r="Y113" s="65"/>
      <c r="Z113" s="65"/>
      <c r="AA113" s="65"/>
    </row>
    <row r="114" spans="1:27" ht="15.75" customHeight="1">
      <c r="A114" s="352"/>
      <c r="B114" s="352"/>
      <c r="C114" s="86">
        <v>5</v>
      </c>
      <c r="D114" s="352"/>
      <c r="E114" s="181" t="s">
        <v>6535</v>
      </c>
      <c r="F114" s="86" t="s">
        <v>326</v>
      </c>
      <c r="G114" s="86" t="s">
        <v>327</v>
      </c>
      <c r="H114" s="175" t="s">
        <v>6423</v>
      </c>
      <c r="I114" s="73" t="s">
        <v>6536</v>
      </c>
      <c r="J114" s="79"/>
      <c r="K114" s="25"/>
      <c r="L114" s="26"/>
      <c r="M114" s="43"/>
      <c r="N114" s="27"/>
      <c r="O114" s="25"/>
      <c r="P114" s="50" t="s">
        <v>140</v>
      </c>
      <c r="Q114" s="50" t="s">
        <v>140</v>
      </c>
      <c r="R114" s="25" t="s">
        <v>296</v>
      </c>
      <c r="S114" s="50"/>
      <c r="T114" s="65"/>
      <c r="U114" s="65"/>
      <c r="V114" s="65"/>
      <c r="W114" s="65"/>
      <c r="X114" s="65"/>
      <c r="Y114" s="65"/>
      <c r="Z114" s="65"/>
      <c r="AA114" s="65"/>
    </row>
    <row r="115" spans="1:27" ht="15.75" customHeight="1">
      <c r="A115" s="352"/>
      <c r="B115" s="352"/>
      <c r="C115" s="86">
        <v>6</v>
      </c>
      <c r="D115" s="352"/>
      <c r="E115" s="181" t="s">
        <v>6537</v>
      </c>
      <c r="F115" s="86" t="s">
        <v>326</v>
      </c>
      <c r="G115" s="86" t="s">
        <v>327</v>
      </c>
      <c r="H115" s="175" t="s">
        <v>6423</v>
      </c>
      <c r="I115" s="73" t="s">
        <v>6538</v>
      </c>
      <c r="J115" s="79"/>
      <c r="K115" s="25"/>
      <c r="L115" s="26"/>
      <c r="M115" s="43"/>
      <c r="N115" s="27"/>
      <c r="O115" s="25"/>
      <c r="P115" s="50" t="s">
        <v>140</v>
      </c>
      <c r="Q115" s="50" t="s">
        <v>140</v>
      </c>
      <c r="R115" s="25" t="s">
        <v>296</v>
      </c>
      <c r="S115" s="50"/>
      <c r="T115" s="65"/>
      <c r="U115" s="65"/>
      <c r="V115" s="65"/>
      <c r="W115" s="65"/>
      <c r="X115" s="65"/>
      <c r="Y115" s="65"/>
      <c r="Z115" s="65"/>
      <c r="AA115" s="65"/>
    </row>
    <row r="116" spans="1:27" ht="15.75" customHeight="1">
      <c r="A116" s="352"/>
      <c r="B116" s="352"/>
      <c r="C116" s="86">
        <v>7</v>
      </c>
      <c r="D116" s="352"/>
      <c r="E116" s="181" t="s">
        <v>6539</v>
      </c>
      <c r="F116" s="86" t="s">
        <v>326</v>
      </c>
      <c r="G116" s="86" t="s">
        <v>327</v>
      </c>
      <c r="H116" s="175" t="s">
        <v>6423</v>
      </c>
      <c r="I116" s="73" t="s">
        <v>6540</v>
      </c>
      <c r="J116" s="79"/>
      <c r="K116" s="25"/>
      <c r="L116" s="26"/>
      <c r="M116" s="43"/>
      <c r="N116" s="27"/>
      <c r="O116" s="25"/>
      <c r="P116" s="50" t="s">
        <v>140</v>
      </c>
      <c r="Q116" s="50" t="s">
        <v>140</v>
      </c>
      <c r="R116" s="25" t="s">
        <v>296</v>
      </c>
      <c r="S116" s="50"/>
      <c r="T116" s="65"/>
      <c r="U116" s="65"/>
      <c r="V116" s="65"/>
      <c r="W116" s="65"/>
      <c r="X116" s="65"/>
      <c r="Y116" s="65"/>
      <c r="Z116" s="65"/>
      <c r="AA116" s="65"/>
    </row>
    <row r="117" spans="1:27" ht="15.75" customHeight="1">
      <c r="A117" s="352"/>
      <c r="B117" s="352"/>
      <c r="C117" s="86">
        <v>8</v>
      </c>
      <c r="D117" s="352"/>
      <c r="E117" s="181" t="s">
        <v>6541</v>
      </c>
      <c r="F117" s="86" t="s">
        <v>326</v>
      </c>
      <c r="G117" s="86" t="s">
        <v>327</v>
      </c>
      <c r="H117" s="175" t="s">
        <v>6423</v>
      </c>
      <c r="I117" s="73" t="s">
        <v>6542</v>
      </c>
      <c r="J117" s="79"/>
      <c r="K117" s="25"/>
      <c r="L117" s="26"/>
      <c r="M117" s="43"/>
      <c r="N117" s="27"/>
      <c r="O117" s="25"/>
      <c r="P117" s="50" t="s">
        <v>140</v>
      </c>
      <c r="Q117" s="50" t="s">
        <v>140</v>
      </c>
      <c r="R117" s="25" t="s">
        <v>296</v>
      </c>
      <c r="S117" s="50"/>
      <c r="T117" s="65"/>
      <c r="U117" s="65"/>
      <c r="V117" s="65"/>
      <c r="W117" s="65"/>
      <c r="X117" s="65"/>
      <c r="Y117" s="65"/>
      <c r="Z117" s="65"/>
      <c r="AA117" s="65"/>
    </row>
    <row r="118" spans="1:27" ht="15.75" customHeight="1">
      <c r="A118" s="352"/>
      <c r="B118" s="352"/>
      <c r="C118" s="86">
        <v>9</v>
      </c>
      <c r="D118" s="352"/>
      <c r="E118" s="181" t="s">
        <v>6543</v>
      </c>
      <c r="F118" s="86" t="s">
        <v>326</v>
      </c>
      <c r="G118" s="86" t="s">
        <v>327</v>
      </c>
      <c r="H118" s="175" t="s">
        <v>6423</v>
      </c>
      <c r="I118" s="73" t="s">
        <v>6544</v>
      </c>
      <c r="J118" s="79"/>
      <c r="K118" s="25"/>
      <c r="L118" s="26"/>
      <c r="M118" s="43"/>
      <c r="N118" s="27"/>
      <c r="O118" s="25"/>
      <c r="P118" s="50" t="s">
        <v>140</v>
      </c>
      <c r="Q118" s="50" t="s">
        <v>140</v>
      </c>
      <c r="R118" s="25" t="s">
        <v>296</v>
      </c>
      <c r="S118" s="50"/>
      <c r="T118" s="65"/>
      <c r="U118" s="65"/>
      <c r="V118" s="65"/>
      <c r="W118" s="65"/>
      <c r="X118" s="65"/>
      <c r="Y118" s="65"/>
      <c r="Z118" s="65"/>
      <c r="AA118" s="65"/>
    </row>
    <row r="119" spans="1:27" ht="15.75" customHeight="1">
      <c r="A119" s="352"/>
      <c r="B119" s="352"/>
      <c r="C119" s="86">
        <v>10</v>
      </c>
      <c r="D119" s="352"/>
      <c r="E119" s="181" t="s">
        <v>6545</v>
      </c>
      <c r="F119" s="86" t="s">
        <v>326</v>
      </c>
      <c r="G119" s="86" t="s">
        <v>327</v>
      </c>
      <c r="H119" s="175" t="s">
        <v>6423</v>
      </c>
      <c r="I119" s="73" t="s">
        <v>6546</v>
      </c>
      <c r="J119" s="79"/>
      <c r="K119" s="25"/>
      <c r="L119" s="26"/>
      <c r="M119" s="43"/>
      <c r="N119" s="27"/>
      <c r="O119" s="25"/>
      <c r="P119" s="50" t="s">
        <v>140</v>
      </c>
      <c r="Q119" s="50" t="s">
        <v>140</v>
      </c>
      <c r="R119" s="25" t="s">
        <v>296</v>
      </c>
      <c r="S119" s="50"/>
      <c r="T119" s="65"/>
      <c r="U119" s="65"/>
      <c r="V119" s="65"/>
      <c r="W119" s="65"/>
      <c r="X119" s="65"/>
      <c r="Y119" s="65"/>
      <c r="Z119" s="65"/>
      <c r="AA119" s="65"/>
    </row>
    <row r="120" spans="1:27" ht="15.75" customHeight="1">
      <c r="A120" s="352"/>
      <c r="B120" s="352"/>
      <c r="C120" s="86">
        <v>11</v>
      </c>
      <c r="D120" s="352"/>
      <c r="E120" s="181" t="s">
        <v>6547</v>
      </c>
      <c r="F120" s="86" t="s">
        <v>326</v>
      </c>
      <c r="G120" s="86" t="s">
        <v>327</v>
      </c>
      <c r="H120" s="175" t="s">
        <v>6423</v>
      </c>
      <c r="I120" s="73" t="s">
        <v>6548</v>
      </c>
      <c r="J120" s="79"/>
      <c r="K120" s="25"/>
      <c r="L120" s="26"/>
      <c r="M120" s="43"/>
      <c r="N120" s="27"/>
      <c r="O120" s="25"/>
      <c r="P120" s="50" t="s">
        <v>140</v>
      </c>
      <c r="Q120" s="50" t="s">
        <v>140</v>
      </c>
      <c r="R120" s="25" t="s">
        <v>296</v>
      </c>
      <c r="S120" s="50"/>
      <c r="T120" s="65"/>
      <c r="U120" s="65"/>
      <c r="V120" s="65"/>
      <c r="W120" s="65"/>
      <c r="X120" s="65"/>
      <c r="Y120" s="65"/>
      <c r="Z120" s="65"/>
      <c r="AA120" s="65"/>
    </row>
    <row r="121" spans="1:27" ht="15.75" customHeight="1">
      <c r="A121" s="352"/>
      <c r="B121" s="352"/>
      <c r="C121" s="86">
        <v>12</v>
      </c>
      <c r="D121" s="352"/>
      <c r="E121" s="181" t="s">
        <v>6549</v>
      </c>
      <c r="F121" s="86" t="s">
        <v>326</v>
      </c>
      <c r="G121" s="86" t="s">
        <v>327</v>
      </c>
      <c r="H121" s="175" t="s">
        <v>6423</v>
      </c>
      <c r="I121" s="73" t="s">
        <v>6550</v>
      </c>
      <c r="J121" s="79"/>
      <c r="K121" s="25"/>
      <c r="L121" s="26"/>
      <c r="M121" s="43"/>
      <c r="N121" s="27"/>
      <c r="O121" s="25"/>
      <c r="P121" s="50" t="s">
        <v>140</v>
      </c>
      <c r="Q121" s="50" t="s">
        <v>140</v>
      </c>
      <c r="R121" s="25" t="s">
        <v>296</v>
      </c>
      <c r="S121" s="50"/>
      <c r="T121" s="65"/>
      <c r="U121" s="65"/>
      <c r="V121" s="65"/>
      <c r="W121" s="65"/>
      <c r="X121" s="65"/>
      <c r="Y121" s="65"/>
      <c r="Z121" s="65"/>
      <c r="AA121" s="65"/>
    </row>
    <row r="122" spans="1:27" ht="15.75" customHeight="1">
      <c r="A122" s="352"/>
      <c r="B122" s="352"/>
      <c r="C122" s="86">
        <v>13</v>
      </c>
      <c r="D122" s="352"/>
      <c r="E122" s="181" t="s">
        <v>6551</v>
      </c>
      <c r="F122" s="86" t="s">
        <v>326</v>
      </c>
      <c r="G122" s="86" t="s">
        <v>327</v>
      </c>
      <c r="H122" s="175" t="s">
        <v>6423</v>
      </c>
      <c r="I122" s="73" t="s">
        <v>6552</v>
      </c>
      <c r="J122" s="79"/>
      <c r="K122" s="25"/>
      <c r="L122" s="26"/>
      <c r="M122" s="43"/>
      <c r="N122" s="27"/>
      <c r="O122" s="25"/>
      <c r="P122" s="50" t="s">
        <v>140</v>
      </c>
      <c r="Q122" s="50" t="s">
        <v>140</v>
      </c>
      <c r="R122" s="25" t="s">
        <v>296</v>
      </c>
      <c r="S122" s="50"/>
      <c r="T122" s="65"/>
      <c r="U122" s="65"/>
      <c r="V122" s="65"/>
      <c r="W122" s="65"/>
      <c r="X122" s="65"/>
      <c r="Y122" s="65"/>
      <c r="Z122" s="65"/>
      <c r="AA122" s="65"/>
    </row>
    <row r="123" spans="1:27" ht="15.75" customHeight="1">
      <c r="A123" s="353"/>
      <c r="B123" s="353"/>
      <c r="C123" s="86">
        <v>14</v>
      </c>
      <c r="D123" s="353"/>
      <c r="E123" s="181" t="s">
        <v>6553</v>
      </c>
      <c r="F123" s="86" t="s">
        <v>326</v>
      </c>
      <c r="G123" s="86" t="s">
        <v>327</v>
      </c>
      <c r="H123" s="175" t="s">
        <v>6423</v>
      </c>
      <c r="I123" s="73" t="s">
        <v>6554</v>
      </c>
      <c r="J123" s="79"/>
      <c r="K123" s="25"/>
      <c r="L123" s="26"/>
      <c r="M123" s="43"/>
      <c r="N123" s="27"/>
      <c r="O123" s="25"/>
      <c r="P123" s="50" t="s">
        <v>140</v>
      </c>
      <c r="Q123" s="50" t="s">
        <v>140</v>
      </c>
      <c r="R123" s="25" t="s">
        <v>296</v>
      </c>
      <c r="S123" s="50"/>
      <c r="T123" s="65"/>
      <c r="U123" s="65"/>
      <c r="V123" s="65"/>
      <c r="W123" s="65"/>
      <c r="X123" s="65"/>
      <c r="Y123" s="65"/>
      <c r="Z123" s="65"/>
      <c r="AA123" s="65"/>
    </row>
    <row r="124" spans="1:27" ht="15.75" customHeight="1">
      <c r="A124" s="351" t="s">
        <v>6555</v>
      </c>
      <c r="B124" s="354" t="s">
        <v>6556</v>
      </c>
      <c r="C124" s="86">
        <v>1</v>
      </c>
      <c r="D124" s="361" t="s">
        <v>6557</v>
      </c>
      <c r="E124" s="181" t="s">
        <v>6558</v>
      </c>
      <c r="F124" s="86" t="s">
        <v>326</v>
      </c>
      <c r="G124" s="86" t="s">
        <v>327</v>
      </c>
      <c r="H124" s="175" t="s">
        <v>6423</v>
      </c>
      <c r="I124" s="35" t="s">
        <v>6559</v>
      </c>
      <c r="J124" s="172"/>
      <c r="K124" s="25"/>
      <c r="L124" s="26"/>
      <c r="M124" s="43"/>
      <c r="N124" s="27"/>
      <c r="O124" s="25"/>
      <c r="P124" s="50" t="s">
        <v>140</v>
      </c>
      <c r="Q124" s="50" t="s">
        <v>140</v>
      </c>
      <c r="R124" s="25" t="s">
        <v>296</v>
      </c>
      <c r="S124" s="50"/>
      <c r="T124" s="65"/>
      <c r="U124" s="65"/>
      <c r="V124" s="65"/>
      <c r="W124" s="65"/>
      <c r="X124" s="65"/>
      <c r="Y124" s="65"/>
      <c r="Z124" s="65"/>
      <c r="AA124" s="65"/>
    </row>
    <row r="125" spans="1:27" ht="15.75" customHeight="1">
      <c r="A125" s="352"/>
      <c r="B125" s="352"/>
      <c r="C125" s="86">
        <v>2</v>
      </c>
      <c r="D125" s="352"/>
      <c r="E125" s="181" t="s">
        <v>6560</v>
      </c>
      <c r="F125" s="86" t="s">
        <v>326</v>
      </c>
      <c r="G125" s="86" t="s">
        <v>327</v>
      </c>
      <c r="H125" s="175" t="s">
        <v>6423</v>
      </c>
      <c r="I125" s="35" t="s">
        <v>6559</v>
      </c>
      <c r="J125" s="172"/>
      <c r="K125" s="25"/>
      <c r="L125" s="26"/>
      <c r="M125" s="43"/>
      <c r="N125" s="27"/>
      <c r="O125" s="25"/>
      <c r="P125" s="50" t="s">
        <v>140</v>
      </c>
      <c r="Q125" s="50" t="s">
        <v>140</v>
      </c>
      <c r="R125" s="25" t="s">
        <v>296</v>
      </c>
      <c r="S125" s="50"/>
      <c r="T125" s="65"/>
      <c r="U125" s="65"/>
      <c r="V125" s="65"/>
      <c r="W125" s="65"/>
      <c r="X125" s="65"/>
      <c r="Y125" s="65"/>
      <c r="Z125" s="65"/>
      <c r="AA125" s="65"/>
    </row>
    <row r="126" spans="1:27" ht="15.75" customHeight="1">
      <c r="A126" s="353"/>
      <c r="B126" s="353"/>
      <c r="C126" s="86">
        <v>3</v>
      </c>
      <c r="D126" s="353"/>
      <c r="E126" s="181" t="s">
        <v>6561</v>
      </c>
      <c r="F126" s="86" t="s">
        <v>326</v>
      </c>
      <c r="G126" s="86" t="s">
        <v>327</v>
      </c>
      <c r="H126" s="175" t="s">
        <v>6423</v>
      </c>
      <c r="I126" s="35" t="s">
        <v>6559</v>
      </c>
      <c r="J126" s="172"/>
      <c r="K126" s="25"/>
      <c r="L126" s="26"/>
      <c r="M126" s="43"/>
      <c r="N126" s="27"/>
      <c r="O126" s="25"/>
      <c r="P126" s="50" t="s">
        <v>140</v>
      </c>
      <c r="Q126" s="50" t="s">
        <v>140</v>
      </c>
      <c r="R126" s="25" t="s">
        <v>296</v>
      </c>
      <c r="S126" s="50"/>
      <c r="T126" s="65"/>
      <c r="U126" s="65"/>
      <c r="V126" s="65"/>
      <c r="W126" s="65"/>
      <c r="X126" s="65"/>
      <c r="Y126" s="65"/>
      <c r="Z126" s="65"/>
      <c r="AA126" s="65"/>
    </row>
    <row r="127" spans="1:27" ht="15.75" customHeight="1">
      <c r="A127" s="355" t="s">
        <v>6562</v>
      </c>
      <c r="B127" s="350" t="s">
        <v>158</v>
      </c>
      <c r="C127" s="41">
        <v>1</v>
      </c>
      <c r="D127" s="355" t="s">
        <v>6562</v>
      </c>
      <c r="E127" s="39" t="s">
        <v>6563</v>
      </c>
      <c r="F127" s="31" t="s">
        <v>326</v>
      </c>
      <c r="G127" s="31" t="s">
        <v>327</v>
      </c>
      <c r="H127" s="23" t="s">
        <v>6072</v>
      </c>
      <c r="I127" s="146" t="s">
        <v>6564</v>
      </c>
      <c r="J127" s="146"/>
      <c r="K127" s="25"/>
      <c r="L127" s="66"/>
      <c r="M127" s="66"/>
      <c r="N127" s="4"/>
      <c r="O127" s="25"/>
      <c r="P127" s="25"/>
      <c r="Q127" s="50" t="s">
        <v>282</v>
      </c>
      <c r="R127" s="25" t="s">
        <v>297</v>
      </c>
      <c r="S127" s="50"/>
      <c r="T127" s="5"/>
      <c r="U127" s="5"/>
      <c r="V127" s="5"/>
      <c r="W127" s="5"/>
      <c r="X127" s="5"/>
      <c r="Y127" s="5"/>
      <c r="Z127" s="5"/>
      <c r="AA127" s="5"/>
    </row>
    <row r="128" spans="1:27" ht="15.75" customHeight="1">
      <c r="A128" s="344"/>
      <c r="B128" s="344"/>
      <c r="C128" s="41">
        <v>2</v>
      </c>
      <c r="D128" s="344"/>
      <c r="E128" s="39" t="s">
        <v>6565</v>
      </c>
      <c r="F128" s="31" t="s">
        <v>326</v>
      </c>
      <c r="G128" s="31" t="s">
        <v>327</v>
      </c>
      <c r="H128" s="23" t="s">
        <v>6072</v>
      </c>
      <c r="I128" s="146" t="s">
        <v>6566</v>
      </c>
      <c r="J128" s="146"/>
      <c r="K128" s="25"/>
      <c r="L128" s="66"/>
      <c r="M128" s="66"/>
      <c r="N128" s="4"/>
      <c r="O128" s="25"/>
      <c r="P128" s="25"/>
      <c r="Q128" s="50" t="s">
        <v>282</v>
      </c>
      <c r="R128" s="25" t="s">
        <v>297</v>
      </c>
      <c r="S128" s="50"/>
      <c r="T128" s="5"/>
      <c r="U128" s="5"/>
      <c r="V128" s="5"/>
      <c r="W128" s="5"/>
      <c r="X128" s="5"/>
      <c r="Y128" s="5"/>
      <c r="Z128" s="5"/>
      <c r="AA128" s="5"/>
    </row>
    <row r="129" spans="1:27" ht="15.75" customHeight="1">
      <c r="A129" s="344"/>
      <c r="B129" s="344"/>
      <c r="C129" s="41">
        <v>3</v>
      </c>
      <c r="D129" s="344"/>
      <c r="E129" s="39" t="s">
        <v>6567</v>
      </c>
      <c r="F129" s="31" t="s">
        <v>326</v>
      </c>
      <c r="G129" s="31" t="s">
        <v>327</v>
      </c>
      <c r="H129" s="23" t="s">
        <v>6072</v>
      </c>
      <c r="I129" s="146" t="s">
        <v>6568</v>
      </c>
      <c r="J129" s="146"/>
      <c r="K129" s="25"/>
      <c r="L129" s="66"/>
      <c r="M129" s="66"/>
      <c r="N129" s="4"/>
      <c r="O129" s="25"/>
      <c r="P129" s="25"/>
      <c r="Q129" s="50" t="s">
        <v>282</v>
      </c>
      <c r="R129" s="25" t="s">
        <v>297</v>
      </c>
      <c r="S129" s="50"/>
      <c r="T129" s="5"/>
      <c r="U129" s="5"/>
      <c r="V129" s="5"/>
      <c r="W129" s="5"/>
      <c r="X129" s="5"/>
      <c r="Y129" s="5"/>
      <c r="Z129" s="5"/>
      <c r="AA129" s="5"/>
    </row>
    <row r="130" spans="1:27" ht="15.75" customHeight="1">
      <c r="A130" s="344"/>
      <c r="B130" s="344"/>
      <c r="C130" s="41">
        <v>4</v>
      </c>
      <c r="D130" s="344"/>
      <c r="E130" s="39" t="s">
        <v>6569</v>
      </c>
      <c r="F130" s="31" t="s">
        <v>326</v>
      </c>
      <c r="G130" s="31" t="s">
        <v>327</v>
      </c>
      <c r="H130" s="23" t="s">
        <v>6072</v>
      </c>
      <c r="I130" s="146" t="s">
        <v>6570</v>
      </c>
      <c r="J130" s="146"/>
      <c r="K130" s="25"/>
      <c r="L130" s="66"/>
      <c r="M130" s="66"/>
      <c r="N130" s="4"/>
      <c r="O130" s="25"/>
      <c r="P130" s="25"/>
      <c r="Q130" s="50" t="s">
        <v>282</v>
      </c>
      <c r="R130" s="25" t="s">
        <v>297</v>
      </c>
      <c r="S130" s="50"/>
      <c r="T130" s="5"/>
      <c r="U130" s="5"/>
      <c r="V130" s="5"/>
      <c r="W130" s="5"/>
      <c r="X130" s="5"/>
      <c r="Y130" s="5"/>
      <c r="Z130" s="5"/>
      <c r="AA130" s="5"/>
    </row>
    <row r="131" spans="1:27" ht="15.75" customHeight="1">
      <c r="A131" s="345"/>
      <c r="B131" s="345"/>
      <c r="C131" s="41">
        <v>5</v>
      </c>
      <c r="D131" s="345"/>
      <c r="E131" s="39" t="s">
        <v>6571</v>
      </c>
      <c r="F131" s="31" t="s">
        <v>326</v>
      </c>
      <c r="G131" s="31" t="s">
        <v>327</v>
      </c>
      <c r="H131" s="23" t="s">
        <v>6072</v>
      </c>
      <c r="I131" s="146" t="s">
        <v>6572</v>
      </c>
      <c r="J131" s="146"/>
      <c r="K131" s="25"/>
      <c r="L131" s="66"/>
      <c r="M131" s="66"/>
      <c r="N131" s="4"/>
      <c r="O131" s="25"/>
      <c r="P131" s="25"/>
      <c r="Q131" s="50" t="s">
        <v>282</v>
      </c>
      <c r="R131" s="25" t="s">
        <v>297</v>
      </c>
      <c r="S131" s="50"/>
      <c r="T131" s="5"/>
      <c r="U131" s="5"/>
      <c r="V131" s="5"/>
      <c r="W131" s="5"/>
      <c r="X131" s="5"/>
      <c r="Y131" s="5"/>
      <c r="Z131" s="5"/>
      <c r="AA131" s="5"/>
    </row>
    <row r="132" spans="1:27" ht="15.75" customHeight="1">
      <c r="A132" s="355" t="s">
        <v>6573</v>
      </c>
      <c r="B132" s="350" t="s">
        <v>6574</v>
      </c>
      <c r="C132" s="41">
        <v>1</v>
      </c>
      <c r="D132" s="355" t="s">
        <v>6575</v>
      </c>
      <c r="E132" s="146" t="s">
        <v>6576</v>
      </c>
      <c r="F132" s="31" t="s">
        <v>326</v>
      </c>
      <c r="G132" s="31" t="s">
        <v>327</v>
      </c>
      <c r="H132" s="23" t="s">
        <v>6423</v>
      </c>
      <c r="I132" s="146" t="s">
        <v>6577</v>
      </c>
      <c r="J132" s="146"/>
      <c r="K132" s="25" t="s">
        <v>294</v>
      </c>
      <c r="L132" s="66"/>
      <c r="M132" s="66"/>
      <c r="N132" s="11"/>
      <c r="O132" s="25"/>
      <c r="P132" s="50" t="s">
        <v>140</v>
      </c>
      <c r="Q132" s="50" t="s">
        <v>140</v>
      </c>
      <c r="R132" s="25" t="s">
        <v>297</v>
      </c>
      <c r="S132" s="50"/>
      <c r="T132" s="5"/>
      <c r="U132" s="5"/>
      <c r="V132" s="5"/>
      <c r="W132" s="5"/>
      <c r="X132" s="5"/>
      <c r="Y132" s="5"/>
      <c r="Z132" s="5"/>
      <c r="AA132" s="5"/>
    </row>
    <row r="133" spans="1:27" ht="15.75" customHeight="1">
      <c r="A133" s="344"/>
      <c r="B133" s="344"/>
      <c r="C133" s="41">
        <v>2</v>
      </c>
      <c r="D133" s="344"/>
      <c r="E133" s="146" t="s">
        <v>6578</v>
      </c>
      <c r="F133" s="31" t="s">
        <v>326</v>
      </c>
      <c r="G133" s="31" t="s">
        <v>327</v>
      </c>
      <c r="H133" s="23" t="s">
        <v>6423</v>
      </c>
      <c r="I133" s="146" t="s">
        <v>6579</v>
      </c>
      <c r="J133" s="146"/>
      <c r="K133" s="25" t="s">
        <v>294</v>
      </c>
      <c r="L133" s="66"/>
      <c r="M133" s="66"/>
      <c r="N133" s="11"/>
      <c r="O133" s="25"/>
      <c r="P133" s="50" t="s">
        <v>140</v>
      </c>
      <c r="Q133" s="50" t="s">
        <v>140</v>
      </c>
      <c r="R133" s="25" t="s">
        <v>297</v>
      </c>
      <c r="S133" s="50"/>
      <c r="T133" s="5"/>
      <c r="U133" s="5"/>
      <c r="V133" s="5"/>
      <c r="W133" s="5"/>
      <c r="X133" s="5"/>
      <c r="Y133" s="5"/>
      <c r="Z133" s="5"/>
      <c r="AA133" s="5"/>
    </row>
    <row r="134" spans="1:27" ht="15.75" customHeight="1">
      <c r="A134" s="344"/>
      <c r="B134" s="344"/>
      <c r="C134" s="41">
        <v>3</v>
      </c>
      <c r="D134" s="344"/>
      <c r="E134" s="146" t="s">
        <v>6580</v>
      </c>
      <c r="F134" s="31" t="s">
        <v>326</v>
      </c>
      <c r="G134" s="31" t="s">
        <v>327</v>
      </c>
      <c r="H134" s="23" t="s">
        <v>6423</v>
      </c>
      <c r="I134" s="146" t="s">
        <v>6581</v>
      </c>
      <c r="J134" s="146"/>
      <c r="K134" s="25" t="s">
        <v>294</v>
      </c>
      <c r="L134" s="66"/>
      <c r="M134" s="66"/>
      <c r="N134" s="4"/>
      <c r="O134" s="25"/>
      <c r="P134" s="50" t="s">
        <v>140</v>
      </c>
      <c r="Q134" s="50" t="s">
        <v>140</v>
      </c>
      <c r="R134" s="25" t="s">
        <v>297</v>
      </c>
      <c r="S134" s="50"/>
      <c r="T134" s="5"/>
      <c r="U134" s="5"/>
      <c r="V134" s="5"/>
      <c r="W134" s="5"/>
      <c r="X134" s="5"/>
      <c r="Y134" s="5"/>
      <c r="Z134" s="5"/>
      <c r="AA134" s="5"/>
    </row>
    <row r="135" spans="1:27" ht="15.75" customHeight="1">
      <c r="A135" s="344"/>
      <c r="B135" s="344"/>
      <c r="C135" s="41">
        <v>4</v>
      </c>
      <c r="D135" s="344"/>
      <c r="E135" s="146" t="s">
        <v>6582</v>
      </c>
      <c r="F135" s="31" t="s">
        <v>326</v>
      </c>
      <c r="G135" s="31" t="s">
        <v>327</v>
      </c>
      <c r="H135" s="23" t="s">
        <v>6423</v>
      </c>
      <c r="I135" s="146" t="s">
        <v>6583</v>
      </c>
      <c r="J135" s="146"/>
      <c r="K135" s="25" t="s">
        <v>294</v>
      </c>
      <c r="L135" s="66"/>
      <c r="M135" s="66"/>
      <c r="N135" s="4"/>
      <c r="O135" s="25"/>
      <c r="P135" s="50" t="s">
        <v>140</v>
      </c>
      <c r="Q135" s="50" t="s">
        <v>140</v>
      </c>
      <c r="R135" s="25" t="s">
        <v>297</v>
      </c>
      <c r="S135" s="50"/>
      <c r="T135" s="5"/>
      <c r="U135" s="5"/>
      <c r="V135" s="5"/>
      <c r="W135" s="5"/>
      <c r="X135" s="5"/>
      <c r="Y135" s="5"/>
      <c r="Z135" s="5"/>
      <c r="AA135" s="5"/>
    </row>
    <row r="136" spans="1:27" ht="15.75" customHeight="1">
      <c r="A136" s="344"/>
      <c r="B136" s="344"/>
      <c r="C136" s="41">
        <v>5</v>
      </c>
      <c r="D136" s="344"/>
      <c r="E136" s="146" t="s">
        <v>6584</v>
      </c>
      <c r="F136" s="31" t="s">
        <v>326</v>
      </c>
      <c r="G136" s="31" t="s">
        <v>327</v>
      </c>
      <c r="H136" s="23" t="s">
        <v>6423</v>
      </c>
      <c r="I136" s="146" t="s">
        <v>6585</v>
      </c>
      <c r="J136" s="146"/>
      <c r="K136" s="25" t="s">
        <v>294</v>
      </c>
      <c r="L136" s="66"/>
      <c r="M136" s="66"/>
      <c r="N136" s="4"/>
      <c r="O136" s="25"/>
      <c r="P136" s="50" t="s">
        <v>140</v>
      </c>
      <c r="Q136" s="50" t="s">
        <v>140</v>
      </c>
      <c r="R136" s="25" t="s">
        <v>297</v>
      </c>
      <c r="S136" s="50"/>
      <c r="T136" s="5"/>
      <c r="U136" s="5"/>
      <c r="V136" s="5"/>
      <c r="W136" s="5"/>
      <c r="X136" s="5"/>
      <c r="Y136" s="5"/>
      <c r="Z136" s="5"/>
      <c r="AA136" s="5"/>
    </row>
    <row r="137" spans="1:27" ht="15.75" customHeight="1">
      <c r="A137" s="344"/>
      <c r="B137" s="344"/>
      <c r="C137" s="41">
        <v>6</v>
      </c>
      <c r="D137" s="344"/>
      <c r="E137" s="146" t="s">
        <v>6586</v>
      </c>
      <c r="F137" s="31" t="s">
        <v>326</v>
      </c>
      <c r="G137" s="31" t="s">
        <v>327</v>
      </c>
      <c r="H137" s="23" t="s">
        <v>6423</v>
      </c>
      <c r="I137" s="146" t="s">
        <v>6587</v>
      </c>
      <c r="J137" s="146"/>
      <c r="K137" s="25" t="s">
        <v>294</v>
      </c>
      <c r="L137" s="66"/>
      <c r="M137" s="66"/>
      <c r="N137" s="4"/>
      <c r="O137" s="25"/>
      <c r="P137" s="50" t="s">
        <v>140</v>
      </c>
      <c r="Q137" s="50" t="s">
        <v>140</v>
      </c>
      <c r="R137" s="25" t="s">
        <v>297</v>
      </c>
      <c r="S137" s="50"/>
      <c r="T137" s="5"/>
      <c r="U137" s="5"/>
      <c r="V137" s="5"/>
      <c r="W137" s="5"/>
      <c r="X137" s="5"/>
      <c r="Y137" s="5"/>
      <c r="Z137" s="5"/>
      <c r="AA137" s="5"/>
    </row>
    <row r="138" spans="1:27" ht="15.75" customHeight="1">
      <c r="A138" s="345"/>
      <c r="B138" s="345"/>
      <c r="C138" s="41">
        <v>7</v>
      </c>
      <c r="D138" s="345"/>
      <c r="E138" s="146" t="s">
        <v>6588</v>
      </c>
      <c r="F138" s="31" t="s">
        <v>326</v>
      </c>
      <c r="G138" s="31" t="s">
        <v>327</v>
      </c>
      <c r="H138" s="23" t="s">
        <v>6423</v>
      </c>
      <c r="I138" s="146" t="s">
        <v>6589</v>
      </c>
      <c r="J138" s="146"/>
      <c r="K138" s="25" t="s">
        <v>294</v>
      </c>
      <c r="L138" s="66"/>
      <c r="M138" s="66"/>
      <c r="N138" s="4"/>
      <c r="O138" s="25"/>
      <c r="P138" s="50" t="s">
        <v>140</v>
      </c>
      <c r="Q138" s="50" t="s">
        <v>140</v>
      </c>
      <c r="R138" s="25" t="s">
        <v>297</v>
      </c>
      <c r="S138" s="50"/>
      <c r="T138" s="5"/>
      <c r="U138" s="5"/>
      <c r="V138" s="5"/>
      <c r="W138" s="5"/>
      <c r="X138" s="5"/>
      <c r="Y138" s="5"/>
      <c r="Z138" s="5"/>
      <c r="AA138" s="5"/>
    </row>
    <row r="139" spans="1:27" ht="16.5" customHeight="1">
      <c r="A139" s="355" t="s">
        <v>6590</v>
      </c>
      <c r="B139" s="350" t="s">
        <v>40</v>
      </c>
      <c r="C139" s="41">
        <v>1</v>
      </c>
      <c r="D139" s="355" t="s">
        <v>6591</v>
      </c>
      <c r="E139" s="146" t="s">
        <v>6592</v>
      </c>
      <c r="F139" s="31" t="s">
        <v>326</v>
      </c>
      <c r="G139" s="31" t="s">
        <v>327</v>
      </c>
      <c r="H139" s="23" t="s">
        <v>6423</v>
      </c>
      <c r="I139" s="146" t="s">
        <v>6593</v>
      </c>
      <c r="J139" s="146"/>
      <c r="K139" s="25" t="s">
        <v>294</v>
      </c>
      <c r="L139" s="66"/>
      <c r="M139" s="66"/>
      <c r="N139" s="4"/>
      <c r="O139" s="25"/>
      <c r="P139" s="50" t="s">
        <v>140</v>
      </c>
      <c r="Q139" s="50" t="s">
        <v>140</v>
      </c>
      <c r="R139" s="25" t="s">
        <v>297</v>
      </c>
      <c r="S139" s="50"/>
      <c r="T139" s="5"/>
      <c r="U139" s="5"/>
      <c r="V139" s="5"/>
      <c r="W139" s="5"/>
      <c r="X139" s="5"/>
      <c r="Y139" s="5"/>
      <c r="Z139" s="5"/>
      <c r="AA139" s="5"/>
    </row>
    <row r="140" spans="1:27" ht="15.75" customHeight="1">
      <c r="A140" s="344"/>
      <c r="B140" s="344"/>
      <c r="C140" s="41">
        <v>2</v>
      </c>
      <c r="D140" s="344"/>
      <c r="E140" s="146" t="s">
        <v>6594</v>
      </c>
      <c r="F140" s="31" t="s">
        <v>326</v>
      </c>
      <c r="G140" s="31" t="s">
        <v>327</v>
      </c>
      <c r="H140" s="23" t="s">
        <v>6423</v>
      </c>
      <c r="I140" s="146" t="s">
        <v>6595</v>
      </c>
      <c r="J140" s="146"/>
      <c r="K140" s="25" t="s">
        <v>294</v>
      </c>
      <c r="L140" s="66"/>
      <c r="M140" s="66"/>
      <c r="N140" s="4"/>
      <c r="O140" s="25"/>
      <c r="P140" s="50" t="s">
        <v>140</v>
      </c>
      <c r="Q140" s="50" t="s">
        <v>140</v>
      </c>
      <c r="R140" s="25" t="s">
        <v>297</v>
      </c>
      <c r="S140" s="50"/>
      <c r="T140" s="5"/>
      <c r="U140" s="5"/>
      <c r="V140" s="5"/>
      <c r="W140" s="5"/>
      <c r="X140" s="5"/>
      <c r="Y140" s="5"/>
      <c r="Z140" s="5"/>
      <c r="AA140" s="5"/>
    </row>
    <row r="141" spans="1:27" ht="15.75" customHeight="1">
      <c r="A141" s="344"/>
      <c r="B141" s="344"/>
      <c r="C141" s="41">
        <v>3</v>
      </c>
      <c r="D141" s="344"/>
      <c r="E141" s="146" t="s">
        <v>6596</v>
      </c>
      <c r="F141" s="31" t="s">
        <v>326</v>
      </c>
      <c r="G141" s="31" t="s">
        <v>327</v>
      </c>
      <c r="H141" s="23" t="s">
        <v>6423</v>
      </c>
      <c r="I141" s="146" t="s">
        <v>6597</v>
      </c>
      <c r="J141" s="146"/>
      <c r="K141" s="25" t="s">
        <v>294</v>
      </c>
      <c r="L141" s="66"/>
      <c r="M141" s="66"/>
      <c r="N141" s="4"/>
      <c r="O141" s="25"/>
      <c r="P141" s="50" t="s">
        <v>140</v>
      </c>
      <c r="Q141" s="50" t="s">
        <v>140</v>
      </c>
      <c r="R141" s="25" t="s">
        <v>297</v>
      </c>
      <c r="S141" s="50"/>
      <c r="T141" s="5"/>
      <c r="U141" s="5"/>
      <c r="V141" s="5"/>
      <c r="W141" s="5"/>
      <c r="X141" s="5"/>
      <c r="Y141" s="5"/>
      <c r="Z141" s="5"/>
      <c r="AA141" s="5"/>
    </row>
    <row r="142" spans="1:27" ht="15.75" customHeight="1">
      <c r="A142" s="344"/>
      <c r="B142" s="344"/>
      <c r="C142" s="41">
        <v>4</v>
      </c>
      <c r="D142" s="344"/>
      <c r="E142" s="146" t="s">
        <v>6598</v>
      </c>
      <c r="F142" s="31" t="s">
        <v>326</v>
      </c>
      <c r="G142" s="31" t="s">
        <v>327</v>
      </c>
      <c r="H142" s="23" t="s">
        <v>6423</v>
      </c>
      <c r="I142" s="146" t="s">
        <v>6599</v>
      </c>
      <c r="J142" s="146"/>
      <c r="K142" s="25" t="s">
        <v>294</v>
      </c>
      <c r="L142" s="66"/>
      <c r="M142" s="66"/>
      <c r="N142" s="4"/>
      <c r="O142" s="25"/>
      <c r="P142" s="50" t="s">
        <v>140</v>
      </c>
      <c r="Q142" s="50" t="s">
        <v>140</v>
      </c>
      <c r="R142" s="25" t="s">
        <v>297</v>
      </c>
      <c r="S142" s="50"/>
      <c r="T142" s="5"/>
      <c r="U142" s="5"/>
      <c r="V142" s="5"/>
      <c r="W142" s="5"/>
      <c r="X142" s="5"/>
      <c r="Y142" s="5"/>
      <c r="Z142" s="5"/>
      <c r="AA142" s="5"/>
    </row>
    <row r="143" spans="1:27" ht="15.75" customHeight="1">
      <c r="A143" s="344"/>
      <c r="B143" s="344"/>
      <c r="C143" s="41">
        <v>5</v>
      </c>
      <c r="D143" s="344"/>
      <c r="E143" s="146" t="s">
        <v>6600</v>
      </c>
      <c r="F143" s="31" t="s">
        <v>326</v>
      </c>
      <c r="G143" s="31" t="s">
        <v>327</v>
      </c>
      <c r="H143" s="23" t="s">
        <v>6423</v>
      </c>
      <c r="I143" s="146" t="s">
        <v>6601</v>
      </c>
      <c r="J143" s="146"/>
      <c r="K143" s="25" t="s">
        <v>294</v>
      </c>
      <c r="L143" s="66"/>
      <c r="M143" s="66"/>
      <c r="N143" s="4"/>
      <c r="O143" s="25"/>
      <c r="P143" s="50" t="s">
        <v>140</v>
      </c>
      <c r="Q143" s="50" t="s">
        <v>140</v>
      </c>
      <c r="R143" s="25" t="s">
        <v>297</v>
      </c>
      <c r="S143" s="50"/>
      <c r="T143" s="5"/>
      <c r="U143" s="5"/>
      <c r="V143" s="5"/>
      <c r="W143" s="5"/>
      <c r="X143" s="5"/>
      <c r="Y143" s="5"/>
      <c r="Z143" s="5"/>
      <c r="AA143" s="5"/>
    </row>
    <row r="144" spans="1:27" ht="15.75" customHeight="1">
      <c r="A144" s="344"/>
      <c r="B144" s="344"/>
      <c r="C144" s="41">
        <v>6</v>
      </c>
      <c r="D144" s="344"/>
      <c r="E144" s="146" t="s">
        <v>6602</v>
      </c>
      <c r="F144" s="31" t="s">
        <v>326</v>
      </c>
      <c r="G144" s="31" t="s">
        <v>327</v>
      </c>
      <c r="H144" s="23" t="s">
        <v>6423</v>
      </c>
      <c r="I144" s="146" t="s">
        <v>6603</v>
      </c>
      <c r="J144" s="146"/>
      <c r="K144" s="25" t="s">
        <v>294</v>
      </c>
      <c r="L144" s="66"/>
      <c r="M144" s="66"/>
      <c r="N144" s="4"/>
      <c r="O144" s="25"/>
      <c r="P144" s="50" t="s">
        <v>140</v>
      </c>
      <c r="Q144" s="50" t="s">
        <v>140</v>
      </c>
      <c r="R144" s="25" t="s">
        <v>297</v>
      </c>
      <c r="S144" s="50"/>
      <c r="T144" s="5"/>
      <c r="U144" s="5"/>
      <c r="V144" s="5"/>
      <c r="W144" s="5"/>
      <c r="X144" s="5"/>
      <c r="Y144" s="5"/>
      <c r="Z144" s="5"/>
      <c r="AA144" s="5"/>
    </row>
    <row r="145" spans="1:27" ht="15.75" customHeight="1">
      <c r="A145" s="344"/>
      <c r="B145" s="344"/>
      <c r="C145" s="41">
        <v>7</v>
      </c>
      <c r="D145" s="344"/>
      <c r="E145" s="146" t="s">
        <v>6604</v>
      </c>
      <c r="F145" s="31" t="s">
        <v>326</v>
      </c>
      <c r="G145" s="31" t="s">
        <v>327</v>
      </c>
      <c r="H145" s="23" t="s">
        <v>6423</v>
      </c>
      <c r="I145" s="146" t="s">
        <v>6605</v>
      </c>
      <c r="J145" s="146"/>
      <c r="K145" s="25" t="s">
        <v>294</v>
      </c>
      <c r="L145" s="66"/>
      <c r="M145" s="66"/>
      <c r="N145" s="4"/>
      <c r="O145" s="25"/>
      <c r="P145" s="50" t="s">
        <v>140</v>
      </c>
      <c r="Q145" s="50" t="s">
        <v>140</v>
      </c>
      <c r="R145" s="25" t="s">
        <v>297</v>
      </c>
      <c r="S145" s="50"/>
      <c r="T145" s="5"/>
      <c r="U145" s="5"/>
      <c r="V145" s="5"/>
      <c r="W145" s="5"/>
      <c r="X145" s="5"/>
      <c r="Y145" s="5"/>
      <c r="Z145" s="5"/>
      <c r="AA145" s="5"/>
    </row>
    <row r="146" spans="1:27" ht="15.75" customHeight="1">
      <c r="A146" s="344"/>
      <c r="B146" s="344"/>
      <c r="C146" s="41">
        <v>8</v>
      </c>
      <c r="D146" s="344"/>
      <c r="E146" s="146" t="s">
        <v>6606</v>
      </c>
      <c r="F146" s="31" t="s">
        <v>326</v>
      </c>
      <c r="G146" s="31" t="s">
        <v>327</v>
      </c>
      <c r="H146" s="23" t="s">
        <v>6423</v>
      </c>
      <c r="I146" s="146" t="s">
        <v>6607</v>
      </c>
      <c r="J146" s="146"/>
      <c r="K146" s="25" t="s">
        <v>294</v>
      </c>
      <c r="L146" s="66"/>
      <c r="M146" s="66"/>
      <c r="N146" s="4"/>
      <c r="O146" s="25"/>
      <c r="P146" s="50" t="s">
        <v>140</v>
      </c>
      <c r="Q146" s="50" t="s">
        <v>140</v>
      </c>
      <c r="R146" s="25" t="s">
        <v>297</v>
      </c>
      <c r="S146" s="50"/>
      <c r="T146" s="5"/>
      <c r="U146" s="5"/>
      <c r="V146" s="5"/>
      <c r="W146" s="5"/>
      <c r="X146" s="5"/>
      <c r="Y146" s="5"/>
      <c r="Z146" s="5"/>
      <c r="AA146" s="5"/>
    </row>
    <row r="147" spans="1:27" ht="15.75" customHeight="1">
      <c r="A147" s="344"/>
      <c r="B147" s="344"/>
      <c r="C147" s="41">
        <v>9</v>
      </c>
      <c r="D147" s="344"/>
      <c r="E147" s="146" t="s">
        <v>6608</v>
      </c>
      <c r="F147" s="31" t="s">
        <v>326</v>
      </c>
      <c r="G147" s="31" t="s">
        <v>327</v>
      </c>
      <c r="H147" s="23" t="s">
        <v>6423</v>
      </c>
      <c r="I147" s="146" t="s">
        <v>6609</v>
      </c>
      <c r="J147" s="146"/>
      <c r="K147" s="25" t="s">
        <v>294</v>
      </c>
      <c r="L147" s="66"/>
      <c r="M147" s="66"/>
      <c r="N147" s="4"/>
      <c r="O147" s="25"/>
      <c r="P147" s="50" t="s">
        <v>140</v>
      </c>
      <c r="Q147" s="50" t="s">
        <v>140</v>
      </c>
      <c r="R147" s="25" t="s">
        <v>297</v>
      </c>
      <c r="S147" s="50"/>
      <c r="T147" s="5"/>
      <c r="U147" s="5"/>
      <c r="V147" s="5"/>
      <c r="W147" s="5"/>
      <c r="X147" s="5"/>
      <c r="Y147" s="5"/>
      <c r="Z147" s="5"/>
      <c r="AA147" s="5"/>
    </row>
    <row r="148" spans="1:27" ht="15.75" customHeight="1">
      <c r="A148" s="344"/>
      <c r="B148" s="344"/>
      <c r="C148" s="41">
        <v>10</v>
      </c>
      <c r="D148" s="344"/>
      <c r="E148" s="146" t="s">
        <v>6610</v>
      </c>
      <c r="F148" s="31" t="s">
        <v>326</v>
      </c>
      <c r="G148" s="31" t="s">
        <v>327</v>
      </c>
      <c r="H148" s="23" t="s">
        <v>6423</v>
      </c>
      <c r="I148" s="146" t="s">
        <v>6611</v>
      </c>
      <c r="J148" s="146"/>
      <c r="K148" s="25" t="s">
        <v>294</v>
      </c>
      <c r="L148" s="66"/>
      <c r="M148" s="66"/>
      <c r="N148" s="4"/>
      <c r="O148" s="25"/>
      <c r="P148" s="50" t="s">
        <v>140</v>
      </c>
      <c r="Q148" s="50" t="s">
        <v>140</v>
      </c>
      <c r="R148" s="25" t="s">
        <v>297</v>
      </c>
      <c r="S148" s="50"/>
      <c r="T148" s="5"/>
      <c r="U148" s="5"/>
      <c r="V148" s="5"/>
      <c r="W148" s="5"/>
      <c r="X148" s="5"/>
      <c r="Y148" s="5"/>
      <c r="Z148" s="5"/>
      <c r="AA148" s="5"/>
    </row>
    <row r="149" spans="1:27" ht="15.75" customHeight="1">
      <c r="A149" s="344"/>
      <c r="B149" s="344"/>
      <c r="C149" s="41">
        <v>11</v>
      </c>
      <c r="D149" s="344"/>
      <c r="E149" s="146" t="s">
        <v>6612</v>
      </c>
      <c r="F149" s="31" t="s">
        <v>326</v>
      </c>
      <c r="G149" s="31" t="s">
        <v>327</v>
      </c>
      <c r="H149" s="23" t="s">
        <v>6423</v>
      </c>
      <c r="I149" s="146" t="s">
        <v>6613</v>
      </c>
      <c r="J149" s="146"/>
      <c r="K149" s="25" t="s">
        <v>294</v>
      </c>
      <c r="L149" s="66"/>
      <c r="M149" s="66"/>
      <c r="N149" s="4"/>
      <c r="O149" s="25"/>
      <c r="P149" s="50" t="s">
        <v>140</v>
      </c>
      <c r="Q149" s="50" t="s">
        <v>140</v>
      </c>
      <c r="R149" s="25" t="s">
        <v>297</v>
      </c>
      <c r="S149" s="50"/>
      <c r="T149" s="5"/>
      <c r="U149" s="5"/>
      <c r="V149" s="5"/>
      <c r="W149" s="5"/>
      <c r="X149" s="5"/>
      <c r="Y149" s="5"/>
      <c r="Z149" s="5"/>
      <c r="AA149" s="5"/>
    </row>
    <row r="150" spans="1:27" ht="15.75" customHeight="1">
      <c r="A150" s="344"/>
      <c r="B150" s="344"/>
      <c r="C150" s="41">
        <v>12</v>
      </c>
      <c r="D150" s="344"/>
      <c r="E150" s="146" t="s">
        <v>6614</v>
      </c>
      <c r="F150" s="31" t="s">
        <v>326</v>
      </c>
      <c r="G150" s="31" t="s">
        <v>327</v>
      </c>
      <c r="H150" s="23" t="s">
        <v>6423</v>
      </c>
      <c r="I150" s="146" t="s">
        <v>6615</v>
      </c>
      <c r="J150" s="146"/>
      <c r="K150" s="25" t="s">
        <v>294</v>
      </c>
      <c r="L150" s="66"/>
      <c r="M150" s="66"/>
      <c r="N150" s="4"/>
      <c r="O150" s="25"/>
      <c r="P150" s="50" t="s">
        <v>140</v>
      </c>
      <c r="Q150" s="50" t="s">
        <v>140</v>
      </c>
      <c r="R150" s="25" t="s">
        <v>297</v>
      </c>
      <c r="S150" s="50"/>
      <c r="T150" s="5"/>
      <c r="U150" s="5"/>
      <c r="V150" s="5"/>
      <c r="W150" s="5"/>
      <c r="X150" s="5"/>
      <c r="Y150" s="5"/>
      <c r="Z150" s="5"/>
      <c r="AA150" s="5"/>
    </row>
    <row r="151" spans="1:27" ht="15.75" customHeight="1">
      <c r="A151" s="344"/>
      <c r="B151" s="344"/>
      <c r="C151" s="41">
        <v>13</v>
      </c>
      <c r="D151" s="344"/>
      <c r="E151" s="146" t="s">
        <v>6616</v>
      </c>
      <c r="F151" s="31" t="s">
        <v>326</v>
      </c>
      <c r="G151" s="31" t="s">
        <v>327</v>
      </c>
      <c r="H151" s="23" t="s">
        <v>6423</v>
      </c>
      <c r="I151" s="146" t="s">
        <v>6617</v>
      </c>
      <c r="J151" s="146"/>
      <c r="K151" s="25" t="s">
        <v>294</v>
      </c>
      <c r="L151" s="66"/>
      <c r="M151" s="66"/>
      <c r="N151" s="4"/>
      <c r="O151" s="25"/>
      <c r="P151" s="50" t="s">
        <v>140</v>
      </c>
      <c r="Q151" s="50" t="s">
        <v>140</v>
      </c>
      <c r="R151" s="25" t="s">
        <v>297</v>
      </c>
      <c r="S151" s="50"/>
      <c r="T151" s="5"/>
      <c r="U151" s="5"/>
      <c r="V151" s="5"/>
      <c r="W151" s="5"/>
      <c r="X151" s="5"/>
      <c r="Y151" s="5"/>
      <c r="Z151" s="5"/>
      <c r="AA151" s="5"/>
    </row>
    <row r="152" spans="1:27" ht="15.75" customHeight="1">
      <c r="A152" s="344"/>
      <c r="B152" s="344"/>
      <c r="C152" s="41">
        <v>14</v>
      </c>
      <c r="D152" s="344"/>
      <c r="E152" s="146" t="s">
        <v>6618</v>
      </c>
      <c r="F152" s="31" t="s">
        <v>326</v>
      </c>
      <c r="G152" s="31" t="s">
        <v>327</v>
      </c>
      <c r="H152" s="23" t="s">
        <v>6423</v>
      </c>
      <c r="I152" s="146" t="s">
        <v>6619</v>
      </c>
      <c r="J152" s="146"/>
      <c r="K152" s="25" t="s">
        <v>294</v>
      </c>
      <c r="L152" s="66"/>
      <c r="M152" s="66"/>
      <c r="N152" s="4"/>
      <c r="O152" s="25"/>
      <c r="P152" s="50" t="s">
        <v>140</v>
      </c>
      <c r="Q152" s="50" t="s">
        <v>140</v>
      </c>
      <c r="R152" s="25" t="s">
        <v>297</v>
      </c>
      <c r="S152" s="50"/>
      <c r="T152" s="5"/>
      <c r="U152" s="5"/>
      <c r="V152" s="5"/>
      <c r="W152" s="5"/>
      <c r="X152" s="5"/>
      <c r="Y152" s="5"/>
      <c r="Z152" s="5"/>
      <c r="AA152" s="5"/>
    </row>
    <row r="153" spans="1:27" ht="15.75" customHeight="1">
      <c r="A153" s="344"/>
      <c r="B153" s="344"/>
      <c r="C153" s="41">
        <v>15</v>
      </c>
      <c r="D153" s="344"/>
      <c r="E153" s="146" t="s">
        <v>6620</v>
      </c>
      <c r="F153" s="31" t="s">
        <v>326</v>
      </c>
      <c r="G153" s="31" t="s">
        <v>327</v>
      </c>
      <c r="H153" s="23" t="s">
        <v>6423</v>
      </c>
      <c r="I153" s="146" t="s">
        <v>6621</v>
      </c>
      <c r="J153" s="146"/>
      <c r="K153" s="25" t="s">
        <v>294</v>
      </c>
      <c r="L153" s="66"/>
      <c r="M153" s="66"/>
      <c r="N153" s="4"/>
      <c r="O153" s="25"/>
      <c r="P153" s="50" t="s">
        <v>140</v>
      </c>
      <c r="Q153" s="50" t="s">
        <v>140</v>
      </c>
      <c r="R153" s="25" t="s">
        <v>297</v>
      </c>
      <c r="S153" s="50"/>
      <c r="T153" s="5"/>
      <c r="U153" s="5"/>
      <c r="V153" s="5"/>
      <c r="W153" s="5"/>
      <c r="X153" s="5"/>
      <c r="Y153" s="5"/>
      <c r="Z153" s="5"/>
      <c r="AA153" s="5"/>
    </row>
    <row r="154" spans="1:27" ht="15.75" customHeight="1">
      <c r="A154" s="344"/>
      <c r="B154" s="344"/>
      <c r="C154" s="41">
        <v>16</v>
      </c>
      <c r="D154" s="344"/>
      <c r="E154" s="146" t="s">
        <v>6622</v>
      </c>
      <c r="F154" s="31" t="s">
        <v>326</v>
      </c>
      <c r="G154" s="31" t="s">
        <v>327</v>
      </c>
      <c r="H154" s="23" t="s">
        <v>6423</v>
      </c>
      <c r="I154" s="146" t="s">
        <v>6623</v>
      </c>
      <c r="J154" s="146"/>
      <c r="K154" s="25" t="s">
        <v>294</v>
      </c>
      <c r="L154" s="66"/>
      <c r="M154" s="66"/>
      <c r="N154" s="4"/>
      <c r="O154" s="25"/>
      <c r="P154" s="50" t="s">
        <v>140</v>
      </c>
      <c r="Q154" s="50" t="s">
        <v>140</v>
      </c>
      <c r="R154" s="25" t="s">
        <v>297</v>
      </c>
      <c r="S154" s="50"/>
      <c r="T154" s="5"/>
      <c r="U154" s="5"/>
      <c r="V154" s="5"/>
      <c r="W154" s="5"/>
      <c r="X154" s="5"/>
      <c r="Y154" s="5"/>
      <c r="Z154" s="5"/>
      <c r="AA154" s="5"/>
    </row>
    <row r="155" spans="1:27" ht="15.75" customHeight="1">
      <c r="A155" s="344"/>
      <c r="B155" s="344"/>
      <c r="C155" s="41">
        <v>17</v>
      </c>
      <c r="D155" s="344"/>
      <c r="E155" s="146" t="s">
        <v>6624</v>
      </c>
      <c r="F155" s="31" t="s">
        <v>326</v>
      </c>
      <c r="G155" s="31" t="s">
        <v>327</v>
      </c>
      <c r="H155" s="23" t="s">
        <v>6423</v>
      </c>
      <c r="I155" s="146" t="s">
        <v>6625</v>
      </c>
      <c r="J155" s="146"/>
      <c r="K155" s="25" t="s">
        <v>294</v>
      </c>
      <c r="L155" s="66"/>
      <c r="M155" s="66"/>
      <c r="N155" s="4"/>
      <c r="O155" s="25"/>
      <c r="P155" s="50" t="s">
        <v>140</v>
      </c>
      <c r="Q155" s="50" t="s">
        <v>140</v>
      </c>
      <c r="R155" s="25" t="s">
        <v>297</v>
      </c>
      <c r="S155" s="50"/>
      <c r="T155" s="5"/>
      <c r="U155" s="5"/>
      <c r="V155" s="5"/>
      <c r="W155" s="5"/>
      <c r="X155" s="5"/>
      <c r="Y155" s="5"/>
      <c r="Z155" s="5"/>
      <c r="AA155" s="5"/>
    </row>
    <row r="156" spans="1:27" ht="15.75" customHeight="1">
      <c r="A156" s="344"/>
      <c r="B156" s="344"/>
      <c r="C156" s="41">
        <v>18</v>
      </c>
      <c r="D156" s="344"/>
      <c r="E156" s="146" t="s">
        <v>6626</v>
      </c>
      <c r="F156" s="31" t="s">
        <v>326</v>
      </c>
      <c r="G156" s="31" t="s">
        <v>327</v>
      </c>
      <c r="H156" s="23" t="s">
        <v>6423</v>
      </c>
      <c r="I156" s="146" t="s">
        <v>6627</v>
      </c>
      <c r="J156" s="146"/>
      <c r="K156" s="25" t="s">
        <v>294</v>
      </c>
      <c r="L156" s="66"/>
      <c r="M156" s="66"/>
      <c r="N156" s="4"/>
      <c r="O156" s="25"/>
      <c r="P156" s="50" t="s">
        <v>140</v>
      </c>
      <c r="Q156" s="50" t="s">
        <v>140</v>
      </c>
      <c r="R156" s="25" t="s">
        <v>297</v>
      </c>
      <c r="S156" s="50"/>
      <c r="T156" s="5"/>
      <c r="U156" s="5"/>
      <c r="V156" s="5"/>
      <c r="W156" s="5"/>
      <c r="X156" s="5"/>
      <c r="Y156" s="5"/>
      <c r="Z156" s="5"/>
      <c r="AA156" s="5"/>
    </row>
    <row r="157" spans="1:27" ht="15.75" customHeight="1">
      <c r="A157" s="344"/>
      <c r="B157" s="344"/>
      <c r="C157" s="41">
        <v>19</v>
      </c>
      <c r="D157" s="344"/>
      <c r="E157" s="146" t="s">
        <v>6628</v>
      </c>
      <c r="F157" s="31" t="s">
        <v>326</v>
      </c>
      <c r="G157" s="31" t="s">
        <v>327</v>
      </c>
      <c r="H157" s="23" t="s">
        <v>6423</v>
      </c>
      <c r="I157" s="146" t="s">
        <v>6629</v>
      </c>
      <c r="J157" s="146"/>
      <c r="K157" s="25" t="s">
        <v>294</v>
      </c>
      <c r="L157" s="66"/>
      <c r="M157" s="66"/>
      <c r="N157" s="4"/>
      <c r="O157" s="25"/>
      <c r="P157" s="50" t="s">
        <v>140</v>
      </c>
      <c r="Q157" s="50" t="s">
        <v>140</v>
      </c>
      <c r="R157" s="25" t="s">
        <v>297</v>
      </c>
      <c r="S157" s="50"/>
      <c r="T157" s="5"/>
      <c r="U157" s="5"/>
      <c r="V157" s="5"/>
      <c r="W157" s="5"/>
      <c r="X157" s="5"/>
      <c r="Y157" s="5"/>
      <c r="Z157" s="5"/>
      <c r="AA157" s="5"/>
    </row>
    <row r="158" spans="1:27" ht="15.75" customHeight="1">
      <c r="A158" s="344"/>
      <c r="B158" s="344"/>
      <c r="C158" s="41">
        <v>20</v>
      </c>
      <c r="D158" s="344"/>
      <c r="E158" s="146" t="s">
        <v>6630</v>
      </c>
      <c r="F158" s="31" t="s">
        <v>326</v>
      </c>
      <c r="G158" s="31" t="s">
        <v>327</v>
      </c>
      <c r="H158" s="23" t="s">
        <v>6423</v>
      </c>
      <c r="I158" s="146" t="s">
        <v>6631</v>
      </c>
      <c r="J158" s="146"/>
      <c r="K158" s="25" t="s">
        <v>294</v>
      </c>
      <c r="L158" s="66"/>
      <c r="M158" s="66"/>
      <c r="N158" s="4"/>
      <c r="O158" s="25"/>
      <c r="P158" s="50" t="s">
        <v>140</v>
      </c>
      <c r="Q158" s="50" t="s">
        <v>140</v>
      </c>
      <c r="R158" s="25" t="s">
        <v>297</v>
      </c>
      <c r="S158" s="50"/>
      <c r="T158" s="5"/>
      <c r="U158" s="5"/>
      <c r="V158" s="5"/>
      <c r="W158" s="5"/>
      <c r="X158" s="5"/>
      <c r="Y158" s="5"/>
      <c r="Z158" s="5"/>
      <c r="AA158" s="5"/>
    </row>
    <row r="159" spans="1:27" ht="15.75" customHeight="1">
      <c r="A159" s="344"/>
      <c r="B159" s="344"/>
      <c r="C159" s="41">
        <v>21</v>
      </c>
      <c r="D159" s="344"/>
      <c r="E159" s="146" t="s">
        <v>6632</v>
      </c>
      <c r="F159" s="31" t="s">
        <v>326</v>
      </c>
      <c r="G159" s="31" t="s">
        <v>327</v>
      </c>
      <c r="H159" s="23" t="s">
        <v>6423</v>
      </c>
      <c r="I159" s="146" t="s">
        <v>6633</v>
      </c>
      <c r="J159" s="146"/>
      <c r="K159" s="25" t="s">
        <v>294</v>
      </c>
      <c r="L159" s="66"/>
      <c r="M159" s="66"/>
      <c r="N159" s="4"/>
      <c r="O159" s="25"/>
      <c r="P159" s="50" t="s">
        <v>140</v>
      </c>
      <c r="Q159" s="50" t="s">
        <v>140</v>
      </c>
      <c r="R159" s="25" t="s">
        <v>297</v>
      </c>
      <c r="S159" s="50"/>
      <c r="T159" s="5"/>
      <c r="U159" s="5"/>
      <c r="V159" s="5"/>
      <c r="W159" s="5"/>
      <c r="X159" s="5"/>
      <c r="Y159" s="5"/>
      <c r="Z159" s="5"/>
      <c r="AA159" s="5"/>
    </row>
    <row r="160" spans="1:27" ht="15.75" customHeight="1">
      <c r="A160" s="344"/>
      <c r="B160" s="344"/>
      <c r="C160" s="41">
        <v>22</v>
      </c>
      <c r="D160" s="344"/>
      <c r="E160" s="146" t="s">
        <v>6634</v>
      </c>
      <c r="F160" s="31" t="s">
        <v>326</v>
      </c>
      <c r="G160" s="31" t="s">
        <v>327</v>
      </c>
      <c r="H160" s="23" t="s">
        <v>6423</v>
      </c>
      <c r="I160" s="146" t="s">
        <v>6635</v>
      </c>
      <c r="J160" s="146"/>
      <c r="K160" s="25" t="s">
        <v>294</v>
      </c>
      <c r="L160" s="66"/>
      <c r="M160" s="66"/>
      <c r="N160" s="4"/>
      <c r="O160" s="25"/>
      <c r="P160" s="50" t="s">
        <v>140</v>
      </c>
      <c r="Q160" s="50" t="s">
        <v>140</v>
      </c>
      <c r="R160" s="25" t="s">
        <v>297</v>
      </c>
      <c r="S160" s="50"/>
      <c r="T160" s="5"/>
      <c r="U160" s="5"/>
      <c r="V160" s="5"/>
      <c r="W160" s="5"/>
      <c r="X160" s="5"/>
      <c r="Y160" s="5"/>
      <c r="Z160" s="5"/>
      <c r="AA160" s="5"/>
    </row>
    <row r="161" spans="1:27" ht="15.75" customHeight="1">
      <c r="A161" s="344"/>
      <c r="B161" s="344"/>
      <c r="C161" s="41">
        <v>23</v>
      </c>
      <c r="D161" s="344"/>
      <c r="E161" s="146" t="s">
        <v>6636</v>
      </c>
      <c r="F161" s="31" t="s">
        <v>326</v>
      </c>
      <c r="G161" s="31" t="s">
        <v>327</v>
      </c>
      <c r="H161" s="23" t="s">
        <v>6423</v>
      </c>
      <c r="I161" s="146" t="s">
        <v>6637</v>
      </c>
      <c r="J161" s="146"/>
      <c r="K161" s="25" t="s">
        <v>294</v>
      </c>
      <c r="L161" s="66"/>
      <c r="M161" s="66"/>
      <c r="N161" s="4"/>
      <c r="O161" s="25"/>
      <c r="P161" s="50" t="s">
        <v>140</v>
      </c>
      <c r="Q161" s="50" t="s">
        <v>140</v>
      </c>
      <c r="R161" s="25" t="s">
        <v>297</v>
      </c>
      <c r="S161" s="50"/>
      <c r="T161" s="5"/>
      <c r="U161" s="5"/>
      <c r="V161" s="5"/>
      <c r="W161" s="5"/>
      <c r="X161" s="5"/>
      <c r="Y161" s="5"/>
      <c r="Z161" s="5"/>
      <c r="AA161" s="5"/>
    </row>
    <row r="162" spans="1:27" ht="15.75" customHeight="1">
      <c r="A162" s="344"/>
      <c r="B162" s="344"/>
      <c r="C162" s="41">
        <v>24</v>
      </c>
      <c r="D162" s="344"/>
      <c r="E162" s="146" t="s">
        <v>6638</v>
      </c>
      <c r="F162" s="31" t="s">
        <v>326</v>
      </c>
      <c r="G162" s="31" t="s">
        <v>327</v>
      </c>
      <c r="H162" s="23" t="s">
        <v>6423</v>
      </c>
      <c r="I162" s="146" t="s">
        <v>6639</v>
      </c>
      <c r="J162" s="146"/>
      <c r="K162" s="25" t="s">
        <v>294</v>
      </c>
      <c r="L162" s="66"/>
      <c r="M162" s="66"/>
      <c r="N162" s="4"/>
      <c r="O162" s="25"/>
      <c r="P162" s="50" t="s">
        <v>140</v>
      </c>
      <c r="Q162" s="50" t="s">
        <v>140</v>
      </c>
      <c r="R162" s="25" t="s">
        <v>297</v>
      </c>
      <c r="S162" s="50"/>
      <c r="T162" s="5"/>
      <c r="U162" s="5"/>
      <c r="V162" s="5"/>
      <c r="W162" s="5"/>
      <c r="X162" s="5"/>
      <c r="Y162" s="5"/>
      <c r="Z162" s="5"/>
      <c r="AA162" s="5"/>
    </row>
    <row r="163" spans="1:27" ht="15.75" customHeight="1">
      <c r="A163" s="344"/>
      <c r="B163" s="344"/>
      <c r="C163" s="41">
        <v>25</v>
      </c>
      <c r="D163" s="344"/>
      <c r="E163" s="83" t="s">
        <v>6640</v>
      </c>
      <c r="F163" s="61" t="s">
        <v>326</v>
      </c>
      <c r="G163" s="61" t="s">
        <v>327</v>
      </c>
      <c r="H163" s="63" t="s">
        <v>6423</v>
      </c>
      <c r="I163" s="83" t="s">
        <v>6641</v>
      </c>
      <c r="J163" s="271"/>
      <c r="K163" s="25" t="s">
        <v>294</v>
      </c>
      <c r="L163" s="66"/>
      <c r="M163" s="66"/>
      <c r="N163" s="4"/>
      <c r="O163" s="25"/>
      <c r="P163" s="50" t="s">
        <v>140</v>
      </c>
      <c r="Q163" s="50" t="s">
        <v>140</v>
      </c>
      <c r="R163" s="25" t="s">
        <v>297</v>
      </c>
      <c r="S163" s="50"/>
      <c r="T163" s="5"/>
      <c r="U163" s="5"/>
      <c r="V163" s="5"/>
      <c r="W163" s="5"/>
      <c r="X163" s="5"/>
      <c r="Y163" s="5"/>
      <c r="Z163" s="5"/>
      <c r="AA163" s="5"/>
    </row>
    <row r="164" spans="1:27" ht="15.75" customHeight="1">
      <c r="A164" s="344"/>
      <c r="B164" s="344"/>
      <c r="C164" s="41">
        <v>26</v>
      </c>
      <c r="D164" s="344"/>
      <c r="E164" s="83" t="s">
        <v>6642</v>
      </c>
      <c r="F164" s="61" t="s">
        <v>326</v>
      </c>
      <c r="G164" s="61" t="s">
        <v>327</v>
      </c>
      <c r="H164" s="63" t="s">
        <v>6423</v>
      </c>
      <c r="I164" s="83" t="s">
        <v>6643</v>
      </c>
      <c r="J164" s="271"/>
      <c r="K164" s="25" t="s">
        <v>294</v>
      </c>
      <c r="L164" s="66"/>
      <c r="M164" s="66"/>
      <c r="N164" s="4"/>
      <c r="O164" s="25"/>
      <c r="P164" s="50" t="s">
        <v>140</v>
      </c>
      <c r="Q164" s="50" t="s">
        <v>140</v>
      </c>
      <c r="R164" s="25" t="s">
        <v>297</v>
      </c>
      <c r="S164" s="50"/>
      <c r="T164" s="5"/>
      <c r="U164" s="5"/>
      <c r="V164" s="5"/>
      <c r="W164" s="5"/>
      <c r="X164" s="5"/>
      <c r="Y164" s="5"/>
      <c r="Z164" s="5"/>
      <c r="AA164" s="5"/>
    </row>
    <row r="165" spans="1:27" ht="15.75" customHeight="1">
      <c r="A165" s="344"/>
      <c r="B165" s="344"/>
      <c r="C165" s="111">
        <v>27</v>
      </c>
      <c r="D165" s="344"/>
      <c r="E165" s="83" t="s">
        <v>6644</v>
      </c>
      <c r="F165" s="61" t="s">
        <v>326</v>
      </c>
      <c r="G165" s="61" t="s">
        <v>327</v>
      </c>
      <c r="H165" s="63" t="s">
        <v>6423</v>
      </c>
      <c r="I165" s="83" t="s">
        <v>6645</v>
      </c>
      <c r="J165" s="271"/>
      <c r="K165" s="25" t="s">
        <v>294</v>
      </c>
      <c r="L165" s="66"/>
      <c r="M165" s="66"/>
      <c r="N165" s="4"/>
      <c r="O165" s="25"/>
      <c r="P165" s="50" t="s">
        <v>140</v>
      </c>
      <c r="Q165" s="50" t="s">
        <v>140</v>
      </c>
      <c r="R165" s="25" t="s">
        <v>297</v>
      </c>
      <c r="S165" s="50"/>
      <c r="T165" s="5"/>
      <c r="U165" s="5"/>
      <c r="V165" s="5"/>
      <c r="W165" s="5"/>
      <c r="X165" s="5"/>
      <c r="Y165" s="5"/>
      <c r="Z165" s="5"/>
      <c r="AA165" s="5"/>
    </row>
    <row r="166" spans="1:27" ht="15.75" customHeight="1">
      <c r="A166" s="344"/>
      <c r="B166" s="344"/>
      <c r="C166" s="41">
        <v>28</v>
      </c>
      <c r="D166" s="344"/>
      <c r="E166" s="83" t="s">
        <v>6646</v>
      </c>
      <c r="F166" s="61" t="s">
        <v>326</v>
      </c>
      <c r="G166" s="61" t="s">
        <v>327</v>
      </c>
      <c r="H166" s="63" t="s">
        <v>6423</v>
      </c>
      <c r="I166" s="83" t="s">
        <v>6647</v>
      </c>
      <c r="J166" s="271"/>
      <c r="K166" s="25" t="s">
        <v>294</v>
      </c>
      <c r="L166" s="66"/>
      <c r="M166" s="66"/>
      <c r="N166" s="4"/>
      <c r="O166" s="25"/>
      <c r="P166" s="50" t="s">
        <v>140</v>
      </c>
      <c r="Q166" s="50" t="s">
        <v>140</v>
      </c>
      <c r="R166" s="25" t="s">
        <v>297</v>
      </c>
      <c r="S166" s="50"/>
      <c r="T166" s="5"/>
      <c r="U166" s="5"/>
      <c r="V166" s="5"/>
      <c r="W166" s="5"/>
      <c r="X166" s="5"/>
      <c r="Y166" s="5"/>
      <c r="Z166" s="5"/>
      <c r="AA166" s="5"/>
    </row>
    <row r="167" spans="1:27" ht="15.75" customHeight="1">
      <c r="A167" s="344"/>
      <c r="B167" s="344"/>
      <c r="C167" s="41">
        <v>29</v>
      </c>
      <c r="D167" s="344"/>
      <c r="E167" s="83" t="s">
        <v>6648</v>
      </c>
      <c r="F167" s="61" t="s">
        <v>326</v>
      </c>
      <c r="G167" s="61" t="s">
        <v>327</v>
      </c>
      <c r="H167" s="63" t="s">
        <v>6423</v>
      </c>
      <c r="I167" s="83" t="s">
        <v>6649</v>
      </c>
      <c r="J167" s="271"/>
      <c r="K167" s="25" t="s">
        <v>294</v>
      </c>
      <c r="L167" s="66"/>
      <c r="M167" s="66"/>
      <c r="N167" s="4"/>
      <c r="O167" s="25"/>
      <c r="P167" s="50" t="s">
        <v>140</v>
      </c>
      <c r="Q167" s="50" t="s">
        <v>140</v>
      </c>
      <c r="R167" s="25" t="s">
        <v>297</v>
      </c>
      <c r="S167" s="50"/>
      <c r="T167" s="5"/>
      <c r="U167" s="5"/>
      <c r="V167" s="5"/>
      <c r="W167" s="5"/>
      <c r="X167" s="5"/>
      <c r="Y167" s="5"/>
      <c r="Z167" s="5"/>
      <c r="AA167" s="5"/>
    </row>
    <row r="168" spans="1:27" ht="15.75" customHeight="1">
      <c r="A168" s="344"/>
      <c r="B168" s="344"/>
      <c r="C168" s="41">
        <v>30</v>
      </c>
      <c r="D168" s="344"/>
      <c r="E168" s="83" t="s">
        <v>6650</v>
      </c>
      <c r="F168" s="61" t="s">
        <v>326</v>
      </c>
      <c r="G168" s="61" t="s">
        <v>327</v>
      </c>
      <c r="H168" s="63" t="s">
        <v>6423</v>
      </c>
      <c r="I168" s="83" t="s">
        <v>6651</v>
      </c>
      <c r="J168" s="271"/>
      <c r="K168" s="25" t="s">
        <v>294</v>
      </c>
      <c r="L168" s="66"/>
      <c r="M168" s="66"/>
      <c r="N168" s="4"/>
      <c r="O168" s="25"/>
      <c r="P168" s="50" t="s">
        <v>140</v>
      </c>
      <c r="Q168" s="50" t="s">
        <v>140</v>
      </c>
      <c r="R168" s="25" t="s">
        <v>297</v>
      </c>
      <c r="S168" s="50"/>
      <c r="T168" s="5"/>
      <c r="U168" s="5"/>
      <c r="V168" s="5"/>
      <c r="W168" s="5"/>
      <c r="X168" s="5"/>
      <c r="Y168" s="5"/>
      <c r="Z168" s="5"/>
      <c r="AA168" s="5"/>
    </row>
    <row r="169" spans="1:27" ht="15.75" customHeight="1">
      <c r="A169" s="344"/>
      <c r="B169" s="344"/>
      <c r="C169" s="41">
        <v>31</v>
      </c>
      <c r="D169" s="344"/>
      <c r="E169" s="83" t="s">
        <v>6652</v>
      </c>
      <c r="F169" s="61" t="s">
        <v>326</v>
      </c>
      <c r="G169" s="61" t="s">
        <v>327</v>
      </c>
      <c r="H169" s="63" t="s">
        <v>6423</v>
      </c>
      <c r="I169" s="83" t="s">
        <v>6653</v>
      </c>
      <c r="J169" s="271"/>
      <c r="K169" s="25" t="s">
        <v>294</v>
      </c>
      <c r="L169" s="66"/>
      <c r="M169" s="66"/>
      <c r="N169" s="4"/>
      <c r="O169" s="25"/>
      <c r="P169" s="50" t="s">
        <v>140</v>
      </c>
      <c r="Q169" s="50" t="s">
        <v>140</v>
      </c>
      <c r="R169" s="25" t="s">
        <v>297</v>
      </c>
      <c r="S169" s="50"/>
      <c r="T169" s="5"/>
      <c r="U169" s="5"/>
      <c r="V169" s="5"/>
      <c r="W169" s="5"/>
      <c r="X169" s="5"/>
      <c r="Y169" s="5"/>
      <c r="Z169" s="5"/>
      <c r="AA169" s="5"/>
    </row>
    <row r="170" spans="1:27" ht="15.75" customHeight="1">
      <c r="A170" s="344"/>
      <c r="B170" s="344"/>
      <c r="C170" s="41">
        <v>32</v>
      </c>
      <c r="D170" s="344"/>
      <c r="E170" s="80" t="s">
        <v>6654</v>
      </c>
      <c r="F170" s="46" t="s">
        <v>326</v>
      </c>
      <c r="G170" s="46" t="s">
        <v>327</v>
      </c>
      <c r="H170" s="35" t="s">
        <v>6423</v>
      </c>
      <c r="I170" s="80" t="s">
        <v>6655</v>
      </c>
      <c r="J170" s="84"/>
      <c r="K170" s="25" t="s">
        <v>294</v>
      </c>
      <c r="L170" s="66"/>
      <c r="M170" s="66"/>
      <c r="N170" s="4"/>
      <c r="O170" s="25"/>
      <c r="P170" s="50" t="s">
        <v>140</v>
      </c>
      <c r="Q170" s="50" t="s">
        <v>140</v>
      </c>
      <c r="R170" s="25" t="s">
        <v>297</v>
      </c>
      <c r="S170" s="50"/>
      <c r="T170" s="5"/>
      <c r="U170" s="5"/>
      <c r="V170" s="5"/>
      <c r="W170" s="5"/>
      <c r="X170" s="5"/>
      <c r="Y170" s="5"/>
      <c r="Z170" s="5"/>
      <c r="AA170" s="5"/>
    </row>
    <row r="171" spans="1:27" ht="15.75" customHeight="1">
      <c r="A171" s="344"/>
      <c r="B171" s="344"/>
      <c r="C171" s="41">
        <v>33</v>
      </c>
      <c r="D171" s="344"/>
      <c r="E171" s="80" t="s">
        <v>6656</v>
      </c>
      <c r="F171" s="46" t="s">
        <v>326</v>
      </c>
      <c r="G171" s="46" t="s">
        <v>327</v>
      </c>
      <c r="H171" s="35" t="s">
        <v>6423</v>
      </c>
      <c r="I171" s="80" t="s">
        <v>6657</v>
      </c>
      <c r="J171" s="84"/>
      <c r="K171" s="25" t="s">
        <v>294</v>
      </c>
      <c r="L171" s="66"/>
      <c r="M171" s="66"/>
      <c r="N171" s="4"/>
      <c r="O171" s="25"/>
      <c r="P171" s="50" t="s">
        <v>140</v>
      </c>
      <c r="Q171" s="50" t="s">
        <v>140</v>
      </c>
      <c r="R171" s="25" t="s">
        <v>297</v>
      </c>
      <c r="S171" s="50"/>
      <c r="T171" s="5"/>
      <c r="U171" s="5"/>
      <c r="V171" s="5"/>
      <c r="W171" s="5"/>
      <c r="X171" s="5"/>
      <c r="Y171" s="5"/>
      <c r="Z171" s="5"/>
      <c r="AA171" s="5"/>
    </row>
    <row r="172" spans="1:27" ht="15.75" customHeight="1">
      <c r="A172" s="344"/>
      <c r="B172" s="344"/>
      <c r="C172" s="41">
        <v>34</v>
      </c>
      <c r="D172" s="344"/>
      <c r="E172" s="80" t="s">
        <v>6658</v>
      </c>
      <c r="F172" s="46" t="s">
        <v>326</v>
      </c>
      <c r="G172" s="46" t="s">
        <v>327</v>
      </c>
      <c r="H172" s="35" t="s">
        <v>6423</v>
      </c>
      <c r="I172" s="80" t="s">
        <v>6659</v>
      </c>
      <c r="J172" s="84"/>
      <c r="K172" s="25" t="s">
        <v>294</v>
      </c>
      <c r="L172" s="66"/>
      <c r="M172" s="66"/>
      <c r="N172" s="4"/>
      <c r="O172" s="25"/>
      <c r="P172" s="50" t="s">
        <v>140</v>
      </c>
      <c r="Q172" s="50" t="s">
        <v>140</v>
      </c>
      <c r="R172" s="25" t="s">
        <v>297</v>
      </c>
      <c r="S172" s="50"/>
      <c r="T172" s="5"/>
      <c r="U172" s="5"/>
      <c r="V172" s="5"/>
      <c r="W172" s="5"/>
      <c r="X172" s="5"/>
      <c r="Y172" s="5"/>
      <c r="Z172" s="5"/>
      <c r="AA172" s="5"/>
    </row>
    <row r="173" spans="1:27" ht="16.5" customHeight="1">
      <c r="A173" s="344"/>
      <c r="B173" s="344"/>
      <c r="C173" s="111">
        <v>35</v>
      </c>
      <c r="D173" s="344"/>
      <c r="E173" s="83" t="s">
        <v>6660</v>
      </c>
      <c r="F173" s="61" t="s">
        <v>326</v>
      </c>
      <c r="G173" s="61" t="s">
        <v>327</v>
      </c>
      <c r="H173" s="63" t="s">
        <v>6423</v>
      </c>
      <c r="I173" s="83" t="s">
        <v>6661</v>
      </c>
      <c r="J173" s="271"/>
      <c r="K173" s="25" t="s">
        <v>294</v>
      </c>
      <c r="L173" s="66"/>
      <c r="M173" s="66"/>
      <c r="N173" s="4"/>
      <c r="O173" s="25"/>
      <c r="P173" s="50" t="s">
        <v>140</v>
      </c>
      <c r="Q173" s="50" t="s">
        <v>140</v>
      </c>
      <c r="R173" s="25" t="s">
        <v>297</v>
      </c>
      <c r="S173" s="50"/>
      <c r="T173" s="5"/>
      <c r="U173" s="5"/>
      <c r="V173" s="5"/>
      <c r="W173" s="5"/>
      <c r="X173" s="5"/>
      <c r="Y173" s="5"/>
      <c r="Z173" s="5"/>
      <c r="AA173" s="5"/>
    </row>
    <row r="174" spans="1:27" ht="15.75" customHeight="1">
      <c r="A174" s="344"/>
      <c r="B174" s="344"/>
      <c r="C174" s="111">
        <v>36</v>
      </c>
      <c r="D174" s="344"/>
      <c r="E174" s="83" t="s">
        <v>6662</v>
      </c>
      <c r="F174" s="61" t="s">
        <v>326</v>
      </c>
      <c r="G174" s="61" t="s">
        <v>327</v>
      </c>
      <c r="H174" s="63" t="s">
        <v>6423</v>
      </c>
      <c r="I174" s="83" t="s">
        <v>6663</v>
      </c>
      <c r="J174" s="271"/>
      <c r="K174" s="25" t="s">
        <v>294</v>
      </c>
      <c r="L174" s="66"/>
      <c r="M174" s="66"/>
      <c r="N174" s="4"/>
      <c r="O174" s="25"/>
      <c r="P174" s="50" t="s">
        <v>140</v>
      </c>
      <c r="Q174" s="50" t="s">
        <v>140</v>
      </c>
      <c r="R174" s="25" t="s">
        <v>297</v>
      </c>
      <c r="S174" s="50"/>
      <c r="T174" s="5"/>
      <c r="U174" s="5"/>
      <c r="V174" s="5"/>
      <c r="W174" s="5"/>
      <c r="X174" s="5"/>
      <c r="Y174" s="5"/>
      <c r="Z174" s="5"/>
      <c r="AA174" s="5"/>
    </row>
    <row r="175" spans="1:27" ht="15.75" customHeight="1">
      <c r="A175" s="344"/>
      <c r="B175" s="344"/>
      <c r="C175" s="74">
        <v>37</v>
      </c>
      <c r="D175" s="344"/>
      <c r="E175" s="83" t="s">
        <v>6664</v>
      </c>
      <c r="F175" s="61" t="s">
        <v>326</v>
      </c>
      <c r="G175" s="61" t="s">
        <v>327</v>
      </c>
      <c r="H175" s="63" t="s">
        <v>6423</v>
      </c>
      <c r="I175" s="83" t="s">
        <v>6665</v>
      </c>
      <c r="J175" s="271"/>
      <c r="K175" s="25" t="s">
        <v>294</v>
      </c>
      <c r="L175" s="66"/>
      <c r="M175" s="66"/>
      <c r="N175" s="4"/>
      <c r="O175" s="25"/>
      <c r="P175" s="50" t="s">
        <v>140</v>
      </c>
      <c r="Q175" s="50" t="s">
        <v>140</v>
      </c>
      <c r="R175" s="25" t="s">
        <v>297</v>
      </c>
      <c r="S175" s="50"/>
      <c r="T175" s="5"/>
      <c r="U175" s="5"/>
      <c r="V175" s="5"/>
      <c r="W175" s="5"/>
      <c r="X175" s="5"/>
      <c r="Y175" s="5"/>
      <c r="Z175" s="5"/>
      <c r="AA175" s="5"/>
    </row>
    <row r="176" spans="1:27" ht="15.75" customHeight="1">
      <c r="A176" s="344"/>
      <c r="B176" s="344"/>
      <c r="C176" s="74">
        <v>38</v>
      </c>
      <c r="D176" s="344"/>
      <c r="E176" s="83" t="s">
        <v>6666</v>
      </c>
      <c r="F176" s="61" t="s">
        <v>326</v>
      </c>
      <c r="G176" s="61" t="s">
        <v>327</v>
      </c>
      <c r="H176" s="63" t="s">
        <v>6423</v>
      </c>
      <c r="I176" s="83" t="s">
        <v>6667</v>
      </c>
      <c r="J176" s="271"/>
      <c r="K176" s="25" t="s">
        <v>294</v>
      </c>
      <c r="L176" s="66"/>
      <c r="M176" s="66"/>
      <c r="N176" s="4"/>
      <c r="O176" s="25"/>
      <c r="P176" s="50" t="s">
        <v>140</v>
      </c>
      <c r="Q176" s="50" t="s">
        <v>140</v>
      </c>
      <c r="R176" s="25" t="s">
        <v>297</v>
      </c>
      <c r="S176" s="50"/>
      <c r="T176" s="5"/>
      <c r="U176" s="5"/>
      <c r="V176" s="5"/>
      <c r="W176" s="5"/>
      <c r="X176" s="5"/>
      <c r="Y176" s="5"/>
      <c r="Z176" s="5"/>
      <c r="AA176" s="5"/>
    </row>
    <row r="177" spans="1:27" ht="16.5" customHeight="1">
      <c r="A177" s="352"/>
      <c r="B177" s="352"/>
      <c r="C177" s="86">
        <v>39</v>
      </c>
      <c r="D177" s="352"/>
      <c r="E177" s="181" t="s">
        <v>6668</v>
      </c>
      <c r="F177" s="86" t="s">
        <v>326</v>
      </c>
      <c r="G177" s="86" t="s">
        <v>327</v>
      </c>
      <c r="H177" s="175" t="s">
        <v>6423</v>
      </c>
      <c r="I177" s="80" t="s">
        <v>6669</v>
      </c>
      <c r="J177" s="84"/>
      <c r="K177" s="25"/>
      <c r="L177" s="66"/>
      <c r="M177" s="66"/>
      <c r="N177" s="4"/>
      <c r="O177" s="25"/>
      <c r="P177" s="50" t="s">
        <v>140</v>
      </c>
      <c r="Q177" s="50" t="s">
        <v>140</v>
      </c>
      <c r="R177" s="25" t="s">
        <v>308</v>
      </c>
      <c r="S177" s="50"/>
      <c r="T177" s="5"/>
      <c r="U177" s="5"/>
      <c r="V177" s="5"/>
      <c r="W177" s="5"/>
      <c r="X177" s="5"/>
      <c r="Y177" s="5"/>
      <c r="Z177" s="5"/>
      <c r="AA177" s="5"/>
    </row>
    <row r="178" spans="1:27" ht="15.75" customHeight="1">
      <c r="A178" s="352"/>
      <c r="B178" s="352"/>
      <c r="C178" s="86">
        <v>40</v>
      </c>
      <c r="D178" s="352"/>
      <c r="E178" s="181" t="s">
        <v>6670</v>
      </c>
      <c r="F178" s="86" t="s">
        <v>326</v>
      </c>
      <c r="G178" s="86" t="s">
        <v>327</v>
      </c>
      <c r="H178" s="175" t="s">
        <v>6423</v>
      </c>
      <c r="I178" s="80" t="s">
        <v>6671</v>
      </c>
      <c r="J178" s="84"/>
      <c r="K178" s="25"/>
      <c r="L178" s="66"/>
      <c r="M178" s="66"/>
      <c r="N178" s="4"/>
      <c r="O178" s="25"/>
      <c r="P178" s="50" t="s">
        <v>140</v>
      </c>
      <c r="Q178" s="50" t="s">
        <v>140</v>
      </c>
      <c r="R178" s="25" t="s">
        <v>308</v>
      </c>
      <c r="S178" s="50"/>
      <c r="T178" s="5"/>
      <c r="U178" s="5"/>
      <c r="V178" s="5"/>
      <c r="W178" s="5"/>
      <c r="X178" s="5"/>
      <c r="Y178" s="5"/>
      <c r="Z178" s="5"/>
      <c r="AA178" s="5"/>
    </row>
    <row r="179" spans="1:27" ht="15.75" customHeight="1">
      <c r="A179" s="352"/>
      <c r="B179" s="352"/>
      <c r="C179" s="86">
        <v>41</v>
      </c>
      <c r="D179" s="352"/>
      <c r="E179" s="181" t="s">
        <v>6672</v>
      </c>
      <c r="F179" s="86" t="s">
        <v>326</v>
      </c>
      <c r="G179" s="86" t="s">
        <v>327</v>
      </c>
      <c r="H179" s="175" t="s">
        <v>6423</v>
      </c>
      <c r="I179" s="80" t="s">
        <v>6673</v>
      </c>
      <c r="J179" s="84"/>
      <c r="K179" s="25"/>
      <c r="L179" s="66"/>
      <c r="M179" s="66"/>
      <c r="N179" s="4"/>
      <c r="O179" s="25"/>
      <c r="P179" s="50" t="s">
        <v>140</v>
      </c>
      <c r="Q179" s="50" t="s">
        <v>140</v>
      </c>
      <c r="R179" s="25" t="s">
        <v>308</v>
      </c>
      <c r="S179" s="50"/>
      <c r="T179" s="5"/>
      <c r="U179" s="5"/>
      <c r="V179" s="5"/>
      <c r="W179" s="5"/>
      <c r="X179" s="5"/>
      <c r="Y179" s="5"/>
      <c r="Z179" s="5"/>
      <c r="AA179" s="5"/>
    </row>
    <row r="180" spans="1:27" ht="15.75" customHeight="1">
      <c r="A180" s="352"/>
      <c r="B180" s="352"/>
      <c r="C180" s="86">
        <v>42</v>
      </c>
      <c r="D180" s="352"/>
      <c r="E180" s="181" t="s">
        <v>6674</v>
      </c>
      <c r="F180" s="86" t="s">
        <v>326</v>
      </c>
      <c r="G180" s="86" t="s">
        <v>327</v>
      </c>
      <c r="H180" s="175" t="s">
        <v>6423</v>
      </c>
      <c r="I180" s="80" t="s">
        <v>6675</v>
      </c>
      <c r="J180" s="84"/>
      <c r="K180" s="25"/>
      <c r="L180" s="66"/>
      <c r="M180" s="66"/>
      <c r="N180" s="4"/>
      <c r="O180" s="25"/>
      <c r="P180" s="50" t="s">
        <v>140</v>
      </c>
      <c r="Q180" s="50" t="s">
        <v>140</v>
      </c>
      <c r="R180" s="25" t="s">
        <v>308</v>
      </c>
      <c r="S180" s="50"/>
      <c r="T180" s="5"/>
      <c r="U180" s="5"/>
      <c r="V180" s="5"/>
      <c r="W180" s="5"/>
      <c r="X180" s="5"/>
      <c r="Y180" s="5"/>
      <c r="Z180" s="5"/>
      <c r="AA180" s="5"/>
    </row>
    <row r="181" spans="1:27" ht="15.75" customHeight="1">
      <c r="A181" s="352"/>
      <c r="B181" s="352"/>
      <c r="C181" s="86">
        <v>43</v>
      </c>
      <c r="D181" s="352"/>
      <c r="E181" s="181" t="s">
        <v>6676</v>
      </c>
      <c r="F181" s="86" t="s">
        <v>326</v>
      </c>
      <c r="G181" s="86" t="s">
        <v>327</v>
      </c>
      <c r="H181" s="175" t="s">
        <v>6423</v>
      </c>
      <c r="I181" s="80" t="s">
        <v>6677</v>
      </c>
      <c r="J181" s="84"/>
      <c r="K181" s="25"/>
      <c r="L181" s="66"/>
      <c r="M181" s="66"/>
      <c r="N181" s="4"/>
      <c r="O181" s="25"/>
      <c r="P181" s="50" t="s">
        <v>140</v>
      </c>
      <c r="Q181" s="50" t="s">
        <v>140</v>
      </c>
      <c r="R181" s="25" t="s">
        <v>308</v>
      </c>
      <c r="S181" s="50"/>
      <c r="T181" s="5"/>
      <c r="U181" s="5"/>
      <c r="V181" s="5"/>
      <c r="W181" s="5"/>
      <c r="X181" s="5"/>
      <c r="Y181" s="5"/>
      <c r="Z181" s="5"/>
      <c r="AA181" s="5"/>
    </row>
    <row r="182" spans="1:27" ht="15.75" customHeight="1">
      <c r="A182" s="344"/>
      <c r="B182" s="344"/>
      <c r="C182" s="74">
        <v>44</v>
      </c>
      <c r="D182" s="344"/>
      <c r="E182" s="75" t="s">
        <v>6678</v>
      </c>
      <c r="F182" s="46" t="s">
        <v>326</v>
      </c>
      <c r="G182" s="46" t="s">
        <v>327</v>
      </c>
      <c r="H182" s="56" t="s">
        <v>6423</v>
      </c>
      <c r="I182" s="75" t="s">
        <v>6679</v>
      </c>
      <c r="J182" s="435"/>
      <c r="K182" s="25" t="s">
        <v>294</v>
      </c>
      <c r="L182" s="66"/>
      <c r="M182" s="66"/>
      <c r="N182" s="4"/>
      <c r="O182" s="25"/>
      <c r="P182" s="50" t="s">
        <v>140</v>
      </c>
      <c r="Q182" s="50" t="s">
        <v>140</v>
      </c>
      <c r="R182" s="25" t="s">
        <v>297</v>
      </c>
      <c r="S182" s="50"/>
      <c r="T182" s="5"/>
      <c r="U182" s="5"/>
      <c r="V182" s="5"/>
      <c r="W182" s="5"/>
      <c r="X182" s="5"/>
      <c r="Y182" s="5"/>
      <c r="Z182" s="5"/>
      <c r="AA182" s="5"/>
    </row>
    <row r="183" spans="1:27" ht="15.75" customHeight="1">
      <c r="A183" s="344"/>
      <c r="B183" s="344"/>
      <c r="C183" s="74">
        <v>45</v>
      </c>
      <c r="D183" s="344"/>
      <c r="E183" s="75" t="s">
        <v>6680</v>
      </c>
      <c r="F183" s="46" t="s">
        <v>326</v>
      </c>
      <c r="G183" s="46" t="s">
        <v>327</v>
      </c>
      <c r="H183" s="56" t="s">
        <v>6423</v>
      </c>
      <c r="I183" s="75" t="s">
        <v>6681</v>
      </c>
      <c r="J183" s="435"/>
      <c r="K183" s="25" t="s">
        <v>294</v>
      </c>
      <c r="L183" s="66"/>
      <c r="M183" s="66"/>
      <c r="N183" s="4"/>
      <c r="O183" s="25"/>
      <c r="P183" s="50" t="s">
        <v>140</v>
      </c>
      <c r="Q183" s="50" t="s">
        <v>140</v>
      </c>
      <c r="R183" s="25" t="s">
        <v>297</v>
      </c>
      <c r="S183" s="50"/>
      <c r="T183" s="5"/>
      <c r="U183" s="5"/>
      <c r="V183" s="5"/>
      <c r="W183" s="5"/>
      <c r="X183" s="5"/>
      <c r="Y183" s="5"/>
      <c r="Z183" s="5"/>
      <c r="AA183" s="5"/>
    </row>
    <row r="184" spans="1:27" ht="15.75" customHeight="1">
      <c r="A184" s="345"/>
      <c r="B184" s="345"/>
      <c r="C184" s="74">
        <v>46</v>
      </c>
      <c r="D184" s="345"/>
      <c r="E184" s="80" t="s">
        <v>6521</v>
      </c>
      <c r="F184" s="46" t="s">
        <v>326</v>
      </c>
      <c r="G184" s="46" t="s">
        <v>327</v>
      </c>
      <c r="H184" s="35" t="s">
        <v>6423</v>
      </c>
      <c r="I184" s="80" t="s">
        <v>6682</v>
      </c>
      <c r="J184" s="84"/>
      <c r="K184" s="25"/>
      <c r="L184" s="66"/>
      <c r="M184" s="66"/>
      <c r="N184" s="4"/>
      <c r="O184" s="25"/>
      <c r="P184" s="50" t="s">
        <v>282</v>
      </c>
      <c r="Q184" s="50" t="s">
        <v>282</v>
      </c>
      <c r="R184" s="25" t="s">
        <v>297</v>
      </c>
      <c r="S184" s="50"/>
      <c r="T184" s="5"/>
      <c r="U184" s="5"/>
      <c r="V184" s="5"/>
      <c r="W184" s="5"/>
      <c r="X184" s="5"/>
      <c r="Y184" s="5"/>
      <c r="Z184" s="5"/>
      <c r="AA184" s="5"/>
    </row>
    <row r="185" spans="1:27" ht="16.5" customHeight="1">
      <c r="A185" s="355" t="s">
        <v>6683</v>
      </c>
      <c r="B185" s="350" t="s">
        <v>251</v>
      </c>
      <c r="C185" s="74">
        <v>1</v>
      </c>
      <c r="D185" s="355" t="s">
        <v>6684</v>
      </c>
      <c r="E185" s="80" t="s">
        <v>6685</v>
      </c>
      <c r="F185" s="46" t="s">
        <v>326</v>
      </c>
      <c r="G185" s="46" t="s">
        <v>327</v>
      </c>
      <c r="H185" s="35" t="s">
        <v>6423</v>
      </c>
      <c r="I185" s="80" t="s">
        <v>6686</v>
      </c>
      <c r="J185" s="84"/>
      <c r="K185" s="25" t="s">
        <v>294</v>
      </c>
      <c r="L185" s="66"/>
      <c r="M185" s="66"/>
      <c r="N185" s="4"/>
      <c r="O185" s="25"/>
      <c r="P185" s="50" t="s">
        <v>140</v>
      </c>
      <c r="Q185" s="50" t="s">
        <v>140</v>
      </c>
      <c r="R185" s="25" t="s">
        <v>297</v>
      </c>
      <c r="S185" s="50"/>
      <c r="T185" s="5"/>
      <c r="U185" s="5"/>
      <c r="V185" s="5"/>
      <c r="W185" s="5"/>
      <c r="X185" s="5"/>
      <c r="Y185" s="5"/>
      <c r="Z185" s="5"/>
      <c r="AA185" s="5"/>
    </row>
    <row r="186" spans="1:27" ht="15.75" customHeight="1">
      <c r="A186" s="344"/>
      <c r="B186" s="344"/>
      <c r="C186" s="74">
        <v>2</v>
      </c>
      <c r="D186" s="344"/>
      <c r="E186" s="80" t="s">
        <v>6687</v>
      </c>
      <c r="F186" s="46" t="s">
        <v>326</v>
      </c>
      <c r="G186" s="46" t="s">
        <v>327</v>
      </c>
      <c r="H186" s="35" t="s">
        <v>6423</v>
      </c>
      <c r="I186" s="80" t="s">
        <v>6688</v>
      </c>
      <c r="J186" s="84"/>
      <c r="K186" s="25" t="s">
        <v>294</v>
      </c>
      <c r="L186" s="66"/>
      <c r="M186" s="66"/>
      <c r="N186" s="4"/>
      <c r="O186" s="25"/>
      <c r="P186" s="50" t="s">
        <v>140</v>
      </c>
      <c r="Q186" s="50" t="s">
        <v>140</v>
      </c>
      <c r="R186" s="25" t="s">
        <v>297</v>
      </c>
      <c r="S186" s="50"/>
      <c r="T186" s="5"/>
      <c r="U186" s="5"/>
      <c r="V186" s="5"/>
      <c r="W186" s="5"/>
      <c r="X186" s="5"/>
      <c r="Y186" s="5"/>
      <c r="Z186" s="5"/>
      <c r="AA186" s="5"/>
    </row>
    <row r="187" spans="1:27" ht="15.75" customHeight="1">
      <c r="A187" s="344"/>
      <c r="B187" s="344"/>
      <c r="C187" s="74">
        <v>3</v>
      </c>
      <c r="D187" s="344"/>
      <c r="E187" s="80" t="s">
        <v>6689</v>
      </c>
      <c r="F187" s="46" t="s">
        <v>326</v>
      </c>
      <c r="G187" s="46" t="s">
        <v>327</v>
      </c>
      <c r="H187" s="35" t="s">
        <v>6423</v>
      </c>
      <c r="I187" s="80" t="s">
        <v>6690</v>
      </c>
      <c r="J187" s="84"/>
      <c r="K187" s="25" t="s">
        <v>294</v>
      </c>
      <c r="L187" s="66"/>
      <c r="M187" s="66"/>
      <c r="N187" s="4"/>
      <c r="O187" s="25"/>
      <c r="P187" s="50" t="s">
        <v>140</v>
      </c>
      <c r="Q187" s="50" t="s">
        <v>140</v>
      </c>
      <c r="R187" s="25" t="s">
        <v>297</v>
      </c>
      <c r="S187" s="50"/>
      <c r="T187" s="5"/>
      <c r="U187" s="5"/>
      <c r="V187" s="5"/>
      <c r="W187" s="5"/>
      <c r="X187" s="5"/>
      <c r="Y187" s="5"/>
      <c r="Z187" s="5"/>
      <c r="AA187" s="5"/>
    </row>
    <row r="188" spans="1:27" ht="15.75" customHeight="1">
      <c r="A188" s="344"/>
      <c r="B188" s="344"/>
      <c r="C188" s="74">
        <v>4</v>
      </c>
      <c r="D188" s="344"/>
      <c r="E188" s="80" t="s">
        <v>6691</v>
      </c>
      <c r="F188" s="46" t="s">
        <v>326</v>
      </c>
      <c r="G188" s="46" t="s">
        <v>327</v>
      </c>
      <c r="H188" s="35" t="s">
        <v>6423</v>
      </c>
      <c r="I188" s="80" t="s">
        <v>6692</v>
      </c>
      <c r="J188" s="84"/>
      <c r="K188" s="25" t="s">
        <v>294</v>
      </c>
      <c r="L188" s="66"/>
      <c r="M188" s="66"/>
      <c r="N188" s="4"/>
      <c r="O188" s="25"/>
      <c r="P188" s="50" t="s">
        <v>140</v>
      </c>
      <c r="Q188" s="50" t="s">
        <v>140</v>
      </c>
      <c r="R188" s="25" t="s">
        <v>297</v>
      </c>
      <c r="S188" s="50"/>
      <c r="T188" s="5"/>
      <c r="U188" s="5"/>
      <c r="V188" s="5"/>
      <c r="W188" s="5"/>
      <c r="X188" s="5"/>
      <c r="Y188" s="5"/>
      <c r="Z188" s="5"/>
      <c r="AA188" s="5"/>
    </row>
    <row r="189" spans="1:27" ht="15.75" customHeight="1">
      <c r="A189" s="344"/>
      <c r="B189" s="344"/>
      <c r="C189" s="74">
        <v>5</v>
      </c>
      <c r="D189" s="344"/>
      <c r="E189" s="146" t="s">
        <v>6693</v>
      </c>
      <c r="F189" s="31" t="s">
        <v>326</v>
      </c>
      <c r="G189" s="31" t="s">
        <v>327</v>
      </c>
      <c r="H189" s="23" t="s">
        <v>6423</v>
      </c>
      <c r="I189" s="146" t="s">
        <v>6694</v>
      </c>
      <c r="J189" s="146"/>
      <c r="K189" s="25" t="s">
        <v>294</v>
      </c>
      <c r="L189" s="66"/>
      <c r="M189" s="66"/>
      <c r="N189" s="4"/>
      <c r="O189" s="25"/>
      <c r="P189" s="50" t="s">
        <v>140</v>
      </c>
      <c r="Q189" s="50" t="s">
        <v>140</v>
      </c>
      <c r="R189" s="25" t="s">
        <v>297</v>
      </c>
      <c r="S189" s="50"/>
      <c r="T189" s="5"/>
      <c r="U189" s="5"/>
      <c r="V189" s="5"/>
      <c r="W189" s="5"/>
      <c r="X189" s="5"/>
      <c r="Y189" s="5"/>
      <c r="Z189" s="5"/>
      <c r="AA189" s="5"/>
    </row>
    <row r="190" spans="1:27" ht="15.75" customHeight="1">
      <c r="A190" s="344"/>
      <c r="B190" s="344"/>
      <c r="C190" s="74">
        <v>6</v>
      </c>
      <c r="D190" s="344"/>
      <c r="E190" s="146" t="s">
        <v>6695</v>
      </c>
      <c r="F190" s="31" t="s">
        <v>326</v>
      </c>
      <c r="G190" s="31" t="s">
        <v>327</v>
      </c>
      <c r="H190" s="23" t="s">
        <v>6423</v>
      </c>
      <c r="I190" s="146" t="s">
        <v>6696</v>
      </c>
      <c r="J190" s="146"/>
      <c r="K190" s="25" t="s">
        <v>294</v>
      </c>
      <c r="L190" s="66"/>
      <c r="M190" s="66"/>
      <c r="N190" s="4"/>
      <c r="O190" s="25"/>
      <c r="P190" s="50" t="s">
        <v>140</v>
      </c>
      <c r="Q190" s="50" t="s">
        <v>140</v>
      </c>
      <c r="R190" s="25" t="s">
        <v>297</v>
      </c>
      <c r="S190" s="50"/>
      <c r="T190" s="5"/>
      <c r="U190" s="5"/>
      <c r="V190" s="5"/>
      <c r="W190" s="5"/>
      <c r="X190" s="5"/>
      <c r="Y190" s="5"/>
      <c r="Z190" s="5"/>
      <c r="AA190" s="5"/>
    </row>
    <row r="191" spans="1:27" ht="15.75" customHeight="1">
      <c r="A191" s="344"/>
      <c r="B191" s="344"/>
      <c r="C191" s="74">
        <v>7</v>
      </c>
      <c r="D191" s="344"/>
      <c r="E191" s="146" t="s">
        <v>6697</v>
      </c>
      <c r="F191" s="31" t="s">
        <v>326</v>
      </c>
      <c r="G191" s="31" t="s">
        <v>327</v>
      </c>
      <c r="H191" s="23" t="s">
        <v>6423</v>
      </c>
      <c r="I191" s="146" t="s">
        <v>6698</v>
      </c>
      <c r="J191" s="146"/>
      <c r="K191" s="25" t="s">
        <v>294</v>
      </c>
      <c r="L191" s="66"/>
      <c r="M191" s="66"/>
      <c r="N191" s="4"/>
      <c r="O191" s="25"/>
      <c r="P191" s="50" t="s">
        <v>140</v>
      </c>
      <c r="Q191" s="50" t="s">
        <v>140</v>
      </c>
      <c r="R191" s="25" t="s">
        <v>297</v>
      </c>
      <c r="S191" s="50"/>
      <c r="T191" s="5"/>
      <c r="U191" s="5"/>
      <c r="V191" s="5"/>
      <c r="W191" s="5"/>
      <c r="X191" s="5"/>
      <c r="Y191" s="5"/>
      <c r="Z191" s="5"/>
      <c r="AA191" s="5"/>
    </row>
    <row r="192" spans="1:27" ht="15.75" customHeight="1">
      <c r="A192" s="344"/>
      <c r="B192" s="344"/>
      <c r="C192" s="74">
        <v>8</v>
      </c>
      <c r="D192" s="344"/>
      <c r="E192" s="146" t="s">
        <v>6699</v>
      </c>
      <c r="F192" s="31" t="s">
        <v>326</v>
      </c>
      <c r="G192" s="31" t="s">
        <v>327</v>
      </c>
      <c r="H192" s="23" t="s">
        <v>6423</v>
      </c>
      <c r="I192" s="146" t="s">
        <v>6700</v>
      </c>
      <c r="J192" s="146"/>
      <c r="K192" s="25" t="s">
        <v>294</v>
      </c>
      <c r="L192" s="66"/>
      <c r="M192" s="66"/>
      <c r="N192" s="4"/>
      <c r="O192" s="25"/>
      <c r="P192" s="50" t="s">
        <v>140</v>
      </c>
      <c r="Q192" s="50" t="s">
        <v>140</v>
      </c>
      <c r="R192" s="25" t="s">
        <v>297</v>
      </c>
      <c r="S192" s="50"/>
      <c r="T192" s="5"/>
      <c r="U192" s="5"/>
      <c r="V192" s="5"/>
      <c r="W192" s="5"/>
      <c r="X192" s="5"/>
      <c r="Y192" s="5"/>
      <c r="Z192" s="5"/>
      <c r="AA192" s="5"/>
    </row>
    <row r="193" spans="1:27" ht="15.75" customHeight="1">
      <c r="A193" s="344"/>
      <c r="B193" s="344"/>
      <c r="C193" s="74">
        <v>9</v>
      </c>
      <c r="D193" s="344"/>
      <c r="E193" s="83" t="s">
        <v>6701</v>
      </c>
      <c r="F193" s="61" t="s">
        <v>326</v>
      </c>
      <c r="G193" s="61" t="s">
        <v>327</v>
      </c>
      <c r="H193" s="63" t="s">
        <v>6423</v>
      </c>
      <c r="I193" s="83" t="s">
        <v>6702</v>
      </c>
      <c r="J193" s="271"/>
      <c r="K193" s="25" t="s">
        <v>294</v>
      </c>
      <c r="L193" s="66"/>
      <c r="M193" s="66"/>
      <c r="N193" s="4"/>
      <c r="O193" s="25"/>
      <c r="P193" s="50" t="s">
        <v>140</v>
      </c>
      <c r="Q193" s="50" t="s">
        <v>140</v>
      </c>
      <c r="R193" s="25" t="s">
        <v>297</v>
      </c>
      <c r="S193" s="50"/>
      <c r="T193" s="5"/>
      <c r="U193" s="5"/>
      <c r="V193" s="5"/>
      <c r="W193" s="5"/>
      <c r="X193" s="5"/>
      <c r="Y193" s="5"/>
      <c r="Z193" s="5"/>
      <c r="AA193" s="5"/>
    </row>
    <row r="194" spans="1:27" ht="15.75" customHeight="1">
      <c r="A194" s="344"/>
      <c r="B194" s="344"/>
      <c r="C194" s="74">
        <v>10</v>
      </c>
      <c r="D194" s="344"/>
      <c r="E194" s="83" t="s">
        <v>6703</v>
      </c>
      <c r="F194" s="61" t="s">
        <v>326</v>
      </c>
      <c r="G194" s="61" t="s">
        <v>327</v>
      </c>
      <c r="H194" s="63" t="s">
        <v>6423</v>
      </c>
      <c r="I194" s="83" t="s">
        <v>6704</v>
      </c>
      <c r="J194" s="271"/>
      <c r="K194" s="25" t="s">
        <v>294</v>
      </c>
      <c r="L194" s="66"/>
      <c r="M194" s="66"/>
      <c r="N194" s="4"/>
      <c r="O194" s="25"/>
      <c r="P194" s="50" t="s">
        <v>140</v>
      </c>
      <c r="Q194" s="50" t="s">
        <v>140</v>
      </c>
      <c r="R194" s="25" t="s">
        <v>297</v>
      </c>
      <c r="S194" s="50"/>
      <c r="T194" s="5"/>
      <c r="U194" s="5"/>
      <c r="V194" s="5"/>
      <c r="W194" s="5"/>
      <c r="X194" s="5"/>
      <c r="Y194" s="5"/>
      <c r="Z194" s="5"/>
      <c r="AA194" s="5"/>
    </row>
    <row r="195" spans="1:27" ht="15.75" customHeight="1">
      <c r="A195" s="344"/>
      <c r="B195" s="344"/>
      <c r="C195" s="74">
        <v>11</v>
      </c>
      <c r="D195" s="344"/>
      <c r="E195" s="83" t="s">
        <v>6705</v>
      </c>
      <c r="F195" s="61" t="s">
        <v>326</v>
      </c>
      <c r="G195" s="61" t="s">
        <v>327</v>
      </c>
      <c r="H195" s="63" t="s">
        <v>6423</v>
      </c>
      <c r="I195" s="83" t="s">
        <v>6706</v>
      </c>
      <c r="J195" s="271"/>
      <c r="K195" s="25" t="s">
        <v>294</v>
      </c>
      <c r="L195" s="66"/>
      <c r="M195" s="66"/>
      <c r="N195" s="4"/>
      <c r="O195" s="25"/>
      <c r="P195" s="50" t="s">
        <v>140</v>
      </c>
      <c r="Q195" s="50" t="s">
        <v>140</v>
      </c>
      <c r="R195" s="25" t="s">
        <v>297</v>
      </c>
      <c r="S195" s="50"/>
      <c r="T195" s="5"/>
      <c r="U195" s="5"/>
      <c r="V195" s="5"/>
      <c r="W195" s="5"/>
      <c r="X195" s="5"/>
      <c r="Y195" s="5"/>
      <c r="Z195" s="5"/>
      <c r="AA195" s="5"/>
    </row>
    <row r="196" spans="1:27" ht="15.75" customHeight="1">
      <c r="A196" s="344"/>
      <c r="B196" s="344"/>
      <c r="C196" s="74">
        <v>12</v>
      </c>
      <c r="D196" s="344"/>
      <c r="E196" s="83" t="s">
        <v>6707</v>
      </c>
      <c r="F196" s="61" t="s">
        <v>326</v>
      </c>
      <c r="G196" s="61" t="s">
        <v>327</v>
      </c>
      <c r="H196" s="63" t="s">
        <v>6423</v>
      </c>
      <c r="I196" s="83" t="s">
        <v>6708</v>
      </c>
      <c r="J196" s="271"/>
      <c r="K196" s="25" t="s">
        <v>294</v>
      </c>
      <c r="L196" s="66"/>
      <c r="M196" s="66"/>
      <c r="N196" s="4"/>
      <c r="O196" s="25"/>
      <c r="P196" s="50" t="s">
        <v>140</v>
      </c>
      <c r="Q196" s="50" t="s">
        <v>140</v>
      </c>
      <c r="R196" s="25" t="s">
        <v>297</v>
      </c>
      <c r="S196" s="50"/>
      <c r="T196" s="5"/>
      <c r="U196" s="5"/>
      <c r="V196" s="5"/>
      <c r="W196" s="5"/>
      <c r="X196" s="5"/>
      <c r="Y196" s="5"/>
      <c r="Z196" s="5"/>
      <c r="AA196" s="5"/>
    </row>
    <row r="197" spans="1:27" ht="16.5" customHeight="1">
      <c r="A197" s="352"/>
      <c r="B197" s="352"/>
      <c r="C197" s="86">
        <v>13</v>
      </c>
      <c r="D197" s="352"/>
      <c r="E197" s="181" t="s">
        <v>6709</v>
      </c>
      <c r="F197" s="86" t="s">
        <v>326</v>
      </c>
      <c r="G197" s="86" t="s">
        <v>327</v>
      </c>
      <c r="H197" s="175" t="s">
        <v>6423</v>
      </c>
      <c r="I197" s="80" t="s">
        <v>6710</v>
      </c>
      <c r="J197" s="84"/>
      <c r="K197" s="25"/>
      <c r="L197" s="66"/>
      <c r="M197" s="66"/>
      <c r="N197" s="271"/>
      <c r="O197" s="25"/>
      <c r="P197" s="50" t="s">
        <v>140</v>
      </c>
      <c r="Q197" s="50" t="s">
        <v>140</v>
      </c>
      <c r="R197" s="25" t="s">
        <v>308</v>
      </c>
      <c r="S197" s="50"/>
      <c r="T197" s="180"/>
      <c r="U197" s="180"/>
      <c r="V197" s="180"/>
      <c r="W197" s="180"/>
      <c r="X197" s="180"/>
      <c r="Y197" s="180"/>
      <c r="Z197" s="180"/>
      <c r="AA197" s="180"/>
    </row>
    <row r="198" spans="1:27" ht="15.75" customHeight="1">
      <c r="A198" s="352"/>
      <c r="B198" s="352"/>
      <c r="C198" s="86">
        <v>14</v>
      </c>
      <c r="D198" s="352"/>
      <c r="E198" s="181" t="s">
        <v>6711</v>
      </c>
      <c r="F198" s="86" t="s">
        <v>326</v>
      </c>
      <c r="G198" s="86" t="s">
        <v>327</v>
      </c>
      <c r="H198" s="175" t="s">
        <v>6423</v>
      </c>
      <c r="I198" s="80" t="s">
        <v>6712</v>
      </c>
      <c r="J198" s="84"/>
      <c r="K198" s="25"/>
      <c r="L198" s="66"/>
      <c r="M198" s="66"/>
      <c r="N198" s="4"/>
      <c r="O198" s="25"/>
      <c r="P198" s="50" t="s">
        <v>140</v>
      </c>
      <c r="Q198" s="50" t="s">
        <v>140</v>
      </c>
      <c r="R198" s="25" t="s">
        <v>308</v>
      </c>
      <c r="S198" s="50"/>
      <c r="T198" s="5"/>
      <c r="U198" s="5"/>
      <c r="V198" s="5"/>
      <c r="W198" s="5"/>
      <c r="X198" s="5"/>
      <c r="Y198" s="5"/>
      <c r="Z198" s="5"/>
      <c r="AA198" s="5"/>
    </row>
    <row r="199" spans="1:27" ht="15.75" customHeight="1">
      <c r="A199" s="352"/>
      <c r="B199" s="352"/>
      <c r="C199" s="86">
        <v>15</v>
      </c>
      <c r="D199" s="352"/>
      <c r="E199" s="181" t="s">
        <v>6713</v>
      </c>
      <c r="F199" s="86" t="s">
        <v>326</v>
      </c>
      <c r="G199" s="86" t="s">
        <v>327</v>
      </c>
      <c r="H199" s="175" t="s">
        <v>6423</v>
      </c>
      <c r="I199" s="80" t="s">
        <v>6714</v>
      </c>
      <c r="J199" s="84"/>
      <c r="K199" s="25"/>
      <c r="L199" s="66"/>
      <c r="M199" s="66"/>
      <c r="N199" s="4"/>
      <c r="O199" s="25"/>
      <c r="P199" s="50" t="s">
        <v>140</v>
      </c>
      <c r="Q199" s="50" t="s">
        <v>140</v>
      </c>
      <c r="R199" s="25" t="s">
        <v>308</v>
      </c>
      <c r="S199" s="50"/>
      <c r="T199" s="5"/>
      <c r="U199" s="5"/>
      <c r="V199" s="5"/>
      <c r="W199" s="5"/>
      <c r="X199" s="5"/>
      <c r="Y199" s="5"/>
      <c r="Z199" s="5"/>
      <c r="AA199" s="5"/>
    </row>
    <row r="200" spans="1:27" ht="15.75" customHeight="1">
      <c r="A200" s="352"/>
      <c r="B200" s="352"/>
      <c r="C200" s="86">
        <v>16</v>
      </c>
      <c r="D200" s="352"/>
      <c r="E200" s="181" t="s">
        <v>6715</v>
      </c>
      <c r="F200" s="86" t="s">
        <v>326</v>
      </c>
      <c r="G200" s="86" t="s">
        <v>327</v>
      </c>
      <c r="H200" s="175" t="s">
        <v>6423</v>
      </c>
      <c r="I200" s="80" t="s">
        <v>6715</v>
      </c>
      <c r="J200" s="84"/>
      <c r="K200" s="25"/>
      <c r="L200" s="66"/>
      <c r="M200" s="66"/>
      <c r="N200" s="4"/>
      <c r="O200" s="25"/>
      <c r="P200" s="50" t="s">
        <v>140</v>
      </c>
      <c r="Q200" s="50" t="s">
        <v>140</v>
      </c>
      <c r="R200" s="25" t="s">
        <v>308</v>
      </c>
      <c r="S200" s="50"/>
      <c r="T200" s="5"/>
      <c r="U200" s="5"/>
      <c r="V200" s="5"/>
      <c r="W200" s="5"/>
      <c r="X200" s="5"/>
      <c r="Y200" s="5"/>
      <c r="Z200" s="5"/>
      <c r="AA200" s="5"/>
    </row>
    <row r="201" spans="1:27" ht="15.75" customHeight="1">
      <c r="A201" s="344"/>
      <c r="B201" s="344"/>
      <c r="C201" s="74">
        <v>17</v>
      </c>
      <c r="D201" s="344"/>
      <c r="E201" s="75" t="s">
        <v>6716</v>
      </c>
      <c r="F201" s="46" t="s">
        <v>326</v>
      </c>
      <c r="G201" s="46" t="s">
        <v>327</v>
      </c>
      <c r="H201" s="56" t="s">
        <v>6423</v>
      </c>
      <c r="I201" s="75" t="s">
        <v>6717</v>
      </c>
      <c r="J201" s="435"/>
      <c r="K201" s="25" t="s">
        <v>294</v>
      </c>
      <c r="L201" s="66"/>
      <c r="M201" s="66"/>
      <c r="N201" s="4"/>
      <c r="O201" s="25"/>
      <c r="P201" s="50" t="s">
        <v>140</v>
      </c>
      <c r="Q201" s="50" t="s">
        <v>140</v>
      </c>
      <c r="R201" s="25" t="s">
        <v>297</v>
      </c>
      <c r="S201" s="50"/>
      <c r="T201" s="5"/>
      <c r="U201" s="5"/>
      <c r="V201" s="5"/>
      <c r="W201" s="5"/>
      <c r="X201" s="5"/>
      <c r="Y201" s="5"/>
      <c r="Z201" s="5"/>
      <c r="AA201" s="5"/>
    </row>
    <row r="202" spans="1:27" ht="15.75" customHeight="1">
      <c r="A202" s="344"/>
      <c r="B202" s="344"/>
      <c r="C202" s="74">
        <v>18</v>
      </c>
      <c r="D202" s="344"/>
      <c r="E202" s="75" t="s">
        <v>6718</v>
      </c>
      <c r="F202" s="46" t="s">
        <v>326</v>
      </c>
      <c r="G202" s="46" t="s">
        <v>327</v>
      </c>
      <c r="H202" s="56" t="s">
        <v>6423</v>
      </c>
      <c r="I202" s="75" t="s">
        <v>6719</v>
      </c>
      <c r="J202" s="435"/>
      <c r="K202" s="25" t="s">
        <v>294</v>
      </c>
      <c r="L202" s="66"/>
      <c r="M202" s="66"/>
      <c r="N202" s="4"/>
      <c r="O202" s="25"/>
      <c r="P202" s="50" t="s">
        <v>140</v>
      </c>
      <c r="Q202" s="50" t="s">
        <v>140</v>
      </c>
      <c r="R202" s="25" t="s">
        <v>297</v>
      </c>
      <c r="S202" s="50"/>
      <c r="T202" s="5"/>
      <c r="U202" s="5"/>
      <c r="V202" s="5"/>
      <c r="W202" s="5"/>
      <c r="X202" s="5"/>
      <c r="Y202" s="5"/>
      <c r="Z202" s="5"/>
      <c r="AA202" s="5"/>
    </row>
    <row r="203" spans="1:27" ht="15.75" customHeight="1">
      <c r="A203" s="344"/>
      <c r="B203" s="344"/>
      <c r="C203" s="74">
        <v>19</v>
      </c>
      <c r="D203" s="344"/>
      <c r="E203" s="75" t="s">
        <v>6720</v>
      </c>
      <c r="F203" s="46" t="s">
        <v>326</v>
      </c>
      <c r="G203" s="46" t="s">
        <v>327</v>
      </c>
      <c r="H203" s="56" t="s">
        <v>6423</v>
      </c>
      <c r="I203" s="75" t="s">
        <v>6721</v>
      </c>
      <c r="J203" s="435"/>
      <c r="K203" s="25" t="s">
        <v>294</v>
      </c>
      <c r="L203" s="66"/>
      <c r="M203" s="66"/>
      <c r="N203" s="4"/>
      <c r="O203" s="25"/>
      <c r="P203" s="50" t="s">
        <v>140</v>
      </c>
      <c r="Q203" s="50" t="s">
        <v>140</v>
      </c>
      <c r="R203" s="25" t="s">
        <v>297</v>
      </c>
      <c r="S203" s="50"/>
      <c r="T203" s="5"/>
      <c r="U203" s="5"/>
      <c r="V203" s="5"/>
      <c r="W203" s="5"/>
      <c r="X203" s="5"/>
      <c r="Y203" s="5"/>
      <c r="Z203" s="5"/>
      <c r="AA203" s="5"/>
    </row>
    <row r="204" spans="1:27" ht="15.75" customHeight="1">
      <c r="A204" s="344"/>
      <c r="B204" s="344"/>
      <c r="C204" s="74">
        <v>20</v>
      </c>
      <c r="D204" s="344"/>
      <c r="E204" s="75" t="s">
        <v>6722</v>
      </c>
      <c r="F204" s="46" t="s">
        <v>326</v>
      </c>
      <c r="G204" s="46" t="s">
        <v>327</v>
      </c>
      <c r="H204" s="56" t="s">
        <v>6423</v>
      </c>
      <c r="I204" s="75" t="s">
        <v>6723</v>
      </c>
      <c r="J204" s="435"/>
      <c r="K204" s="25" t="s">
        <v>294</v>
      </c>
      <c r="L204" s="66"/>
      <c r="M204" s="66"/>
      <c r="N204" s="4"/>
      <c r="O204" s="25"/>
      <c r="P204" s="50" t="s">
        <v>140</v>
      </c>
      <c r="Q204" s="50" t="s">
        <v>140</v>
      </c>
      <c r="R204" s="25" t="s">
        <v>297</v>
      </c>
      <c r="S204" s="50"/>
      <c r="T204" s="5"/>
      <c r="U204" s="5"/>
      <c r="V204" s="5"/>
      <c r="W204" s="5"/>
      <c r="X204" s="5"/>
      <c r="Y204" s="5"/>
      <c r="Z204" s="5"/>
      <c r="AA204" s="5"/>
    </row>
    <row r="205" spans="1:27" ht="15.75" customHeight="1">
      <c r="A205" s="344"/>
      <c r="B205" s="344"/>
      <c r="C205" s="74">
        <v>21</v>
      </c>
      <c r="D205" s="344"/>
      <c r="E205" s="75" t="s">
        <v>6724</v>
      </c>
      <c r="F205" s="46" t="s">
        <v>326</v>
      </c>
      <c r="G205" s="46" t="s">
        <v>327</v>
      </c>
      <c r="H205" s="56" t="s">
        <v>6423</v>
      </c>
      <c r="I205" s="75" t="s">
        <v>6725</v>
      </c>
      <c r="J205" s="435"/>
      <c r="K205" s="25" t="s">
        <v>294</v>
      </c>
      <c r="L205" s="66"/>
      <c r="M205" s="66"/>
      <c r="N205" s="4"/>
      <c r="O205" s="25"/>
      <c r="P205" s="50" t="s">
        <v>140</v>
      </c>
      <c r="Q205" s="50" t="s">
        <v>140</v>
      </c>
      <c r="R205" s="25" t="s">
        <v>297</v>
      </c>
      <c r="S205" s="50"/>
      <c r="T205" s="5"/>
      <c r="U205" s="5"/>
      <c r="V205" s="5"/>
      <c r="W205" s="5"/>
      <c r="X205" s="5"/>
      <c r="Y205" s="5"/>
      <c r="Z205" s="5"/>
      <c r="AA205" s="5"/>
    </row>
    <row r="206" spans="1:27" ht="15.75" customHeight="1">
      <c r="A206" s="344"/>
      <c r="B206" s="344"/>
      <c r="C206" s="74">
        <v>22</v>
      </c>
      <c r="D206" s="344"/>
      <c r="E206" s="75" t="s">
        <v>6685</v>
      </c>
      <c r="F206" s="46" t="s">
        <v>326</v>
      </c>
      <c r="G206" s="46" t="s">
        <v>327</v>
      </c>
      <c r="H206" s="56" t="s">
        <v>6423</v>
      </c>
      <c r="I206" s="75" t="s">
        <v>6686</v>
      </c>
      <c r="J206" s="435"/>
      <c r="K206" s="25" t="s">
        <v>294</v>
      </c>
      <c r="L206" s="66"/>
      <c r="M206" s="66"/>
      <c r="N206" s="4"/>
      <c r="O206" s="25"/>
      <c r="P206" s="50" t="s">
        <v>140</v>
      </c>
      <c r="Q206" s="50" t="s">
        <v>140</v>
      </c>
      <c r="R206" s="25" t="s">
        <v>297</v>
      </c>
      <c r="S206" s="50"/>
      <c r="T206" s="5"/>
      <c r="U206" s="5"/>
      <c r="V206" s="5"/>
      <c r="W206" s="5"/>
      <c r="X206" s="5"/>
      <c r="Y206" s="5"/>
      <c r="Z206" s="5"/>
      <c r="AA206" s="5"/>
    </row>
    <row r="207" spans="1:27" ht="15.75" customHeight="1">
      <c r="A207" s="344"/>
      <c r="B207" s="344"/>
      <c r="C207" s="74">
        <v>23</v>
      </c>
      <c r="D207" s="344"/>
      <c r="E207" s="75" t="s">
        <v>6726</v>
      </c>
      <c r="F207" s="46" t="s">
        <v>326</v>
      </c>
      <c r="G207" s="46" t="s">
        <v>327</v>
      </c>
      <c r="H207" s="56" t="s">
        <v>6423</v>
      </c>
      <c r="I207" s="75" t="s">
        <v>6727</v>
      </c>
      <c r="J207" s="435"/>
      <c r="K207" s="25" t="s">
        <v>294</v>
      </c>
      <c r="L207" s="66"/>
      <c r="M207" s="66"/>
      <c r="N207" s="4"/>
      <c r="O207" s="25"/>
      <c r="P207" s="50" t="s">
        <v>140</v>
      </c>
      <c r="Q207" s="50" t="s">
        <v>140</v>
      </c>
      <c r="R207" s="25" t="s">
        <v>297</v>
      </c>
      <c r="S207" s="50"/>
      <c r="T207" s="5"/>
      <c r="U207" s="5"/>
      <c r="V207" s="5"/>
      <c r="W207" s="5"/>
      <c r="X207" s="5"/>
      <c r="Y207" s="5"/>
      <c r="Z207" s="5"/>
      <c r="AA207" s="5"/>
    </row>
    <row r="208" spans="1:27" ht="15.75" customHeight="1">
      <c r="A208" s="344"/>
      <c r="B208" s="344"/>
      <c r="C208" s="74">
        <v>24</v>
      </c>
      <c r="D208" s="344"/>
      <c r="E208" s="75" t="s">
        <v>6728</v>
      </c>
      <c r="F208" s="46" t="s">
        <v>326</v>
      </c>
      <c r="G208" s="46" t="s">
        <v>327</v>
      </c>
      <c r="H208" s="56" t="s">
        <v>6423</v>
      </c>
      <c r="I208" s="75" t="s">
        <v>6729</v>
      </c>
      <c r="J208" s="435"/>
      <c r="K208" s="25" t="s">
        <v>294</v>
      </c>
      <c r="L208" s="66"/>
      <c r="M208" s="66"/>
      <c r="N208" s="4"/>
      <c r="O208" s="25"/>
      <c r="P208" s="50" t="s">
        <v>140</v>
      </c>
      <c r="Q208" s="50" t="s">
        <v>140</v>
      </c>
      <c r="R208" s="25" t="s">
        <v>297</v>
      </c>
      <c r="S208" s="50"/>
      <c r="T208" s="5"/>
      <c r="U208" s="5"/>
      <c r="V208" s="5"/>
      <c r="W208" s="5"/>
      <c r="X208" s="5"/>
      <c r="Y208" s="5"/>
      <c r="Z208" s="5"/>
      <c r="AA208" s="5"/>
    </row>
    <row r="209" spans="1:27" ht="15.75" customHeight="1">
      <c r="A209" s="344"/>
      <c r="B209" s="344"/>
      <c r="C209" s="74">
        <v>25</v>
      </c>
      <c r="D209" s="344"/>
      <c r="E209" s="75" t="s">
        <v>2094</v>
      </c>
      <c r="F209" s="46" t="s">
        <v>326</v>
      </c>
      <c r="G209" s="46" t="s">
        <v>327</v>
      </c>
      <c r="H209" s="56" t="s">
        <v>6423</v>
      </c>
      <c r="I209" s="75" t="s">
        <v>6730</v>
      </c>
      <c r="J209" s="435"/>
      <c r="K209" s="25" t="s">
        <v>294</v>
      </c>
      <c r="L209" s="66"/>
      <c r="M209" s="66"/>
      <c r="N209" s="4"/>
      <c r="O209" s="25"/>
      <c r="P209" s="50" t="s">
        <v>140</v>
      </c>
      <c r="Q209" s="50" t="s">
        <v>140</v>
      </c>
      <c r="R209" s="25" t="s">
        <v>297</v>
      </c>
      <c r="S209" s="50"/>
      <c r="T209" s="5"/>
      <c r="U209" s="5"/>
      <c r="V209" s="5"/>
      <c r="W209" s="5"/>
      <c r="X209" s="5"/>
      <c r="Y209" s="5"/>
      <c r="Z209" s="5"/>
      <c r="AA209" s="5"/>
    </row>
    <row r="210" spans="1:27" ht="15.75" customHeight="1">
      <c r="A210" s="352"/>
      <c r="B210" s="352"/>
      <c r="C210" s="86">
        <v>26</v>
      </c>
      <c r="D210" s="352"/>
      <c r="E210" s="181" t="s">
        <v>6731</v>
      </c>
      <c r="F210" s="86" t="s">
        <v>326</v>
      </c>
      <c r="G210" s="86" t="s">
        <v>327</v>
      </c>
      <c r="H210" s="175" t="s">
        <v>6423</v>
      </c>
      <c r="I210" s="80" t="s">
        <v>6732</v>
      </c>
      <c r="J210" s="84"/>
      <c r="K210" s="25"/>
      <c r="L210" s="66"/>
      <c r="M210" s="66"/>
      <c r="N210" s="113"/>
      <c r="O210" s="25"/>
      <c r="P210" s="50" t="s">
        <v>140</v>
      </c>
      <c r="Q210" s="50" t="s">
        <v>140</v>
      </c>
      <c r="R210" s="25" t="s">
        <v>308</v>
      </c>
      <c r="S210" s="50"/>
      <c r="T210" s="180"/>
      <c r="U210" s="180"/>
      <c r="V210" s="180"/>
      <c r="W210" s="180"/>
      <c r="X210" s="180"/>
      <c r="Y210" s="180"/>
      <c r="Z210" s="180"/>
      <c r="AA210" s="180"/>
    </row>
    <row r="211" spans="1:27" ht="15.75" customHeight="1">
      <c r="A211" s="352"/>
      <c r="B211" s="352"/>
      <c r="C211" s="86">
        <v>27</v>
      </c>
      <c r="D211" s="352"/>
      <c r="E211" s="272" t="s">
        <v>6733</v>
      </c>
      <c r="F211" s="86" t="s">
        <v>326</v>
      </c>
      <c r="G211" s="86" t="s">
        <v>327</v>
      </c>
      <c r="H211" s="273" t="s">
        <v>6423</v>
      </c>
      <c r="I211" s="274" t="s">
        <v>6734</v>
      </c>
      <c r="J211" s="274"/>
      <c r="K211" s="25"/>
      <c r="L211" s="66"/>
      <c r="M211" s="66"/>
      <c r="N211" s="113"/>
      <c r="O211" s="25"/>
      <c r="P211" s="50" t="s">
        <v>140</v>
      </c>
      <c r="Q211" s="50" t="s">
        <v>140</v>
      </c>
      <c r="R211" s="25" t="s">
        <v>308</v>
      </c>
      <c r="S211" s="50"/>
      <c r="T211" s="180"/>
      <c r="U211" s="180"/>
      <c r="V211" s="180"/>
      <c r="W211" s="180"/>
      <c r="X211" s="180"/>
      <c r="Y211" s="180"/>
      <c r="Z211" s="180"/>
      <c r="AA211" s="180"/>
    </row>
    <row r="212" spans="1:27" ht="15.75" customHeight="1">
      <c r="A212" s="353"/>
      <c r="B212" s="353"/>
      <c r="C212" s="86">
        <v>28</v>
      </c>
      <c r="D212" s="353"/>
      <c r="E212" s="181" t="s">
        <v>6735</v>
      </c>
      <c r="F212" s="86" t="s">
        <v>326</v>
      </c>
      <c r="G212" s="86" t="s">
        <v>327</v>
      </c>
      <c r="H212" s="175" t="s">
        <v>6423</v>
      </c>
      <c r="I212" s="80" t="s">
        <v>6736</v>
      </c>
      <c r="J212" s="84"/>
      <c r="K212" s="25"/>
      <c r="L212" s="66"/>
      <c r="M212" s="66"/>
      <c r="N212" s="113"/>
      <c r="O212" s="25"/>
      <c r="P212" s="50" t="s">
        <v>140</v>
      </c>
      <c r="Q212" s="50" t="s">
        <v>140</v>
      </c>
      <c r="R212" s="25" t="s">
        <v>308</v>
      </c>
      <c r="S212" s="50"/>
      <c r="T212" s="180"/>
      <c r="U212" s="180"/>
      <c r="V212" s="180"/>
      <c r="W212" s="180"/>
      <c r="X212" s="180"/>
      <c r="Y212" s="180"/>
      <c r="Z212" s="180"/>
      <c r="AA212" s="180"/>
    </row>
    <row r="213" spans="1:27" ht="16.5" customHeight="1">
      <c r="A213" s="355" t="s">
        <v>6737</v>
      </c>
      <c r="B213" s="350" t="s">
        <v>93</v>
      </c>
      <c r="C213" s="111">
        <v>1</v>
      </c>
      <c r="D213" s="366" t="s">
        <v>6738</v>
      </c>
      <c r="E213" s="80" t="s">
        <v>6739</v>
      </c>
      <c r="F213" s="46" t="s">
        <v>326</v>
      </c>
      <c r="G213" s="46" t="s">
        <v>327</v>
      </c>
      <c r="H213" s="35" t="s">
        <v>6423</v>
      </c>
      <c r="I213" s="80" t="s">
        <v>6740</v>
      </c>
      <c r="J213" s="84"/>
      <c r="K213" s="25" t="s">
        <v>294</v>
      </c>
      <c r="L213" s="66"/>
      <c r="M213" s="66"/>
      <c r="N213" s="4"/>
      <c r="O213" s="25"/>
      <c r="P213" s="50" t="s">
        <v>140</v>
      </c>
      <c r="Q213" s="50" t="s">
        <v>140</v>
      </c>
      <c r="R213" s="25" t="s">
        <v>297</v>
      </c>
      <c r="S213" s="50"/>
      <c r="T213" s="5"/>
      <c r="U213" s="5"/>
      <c r="V213" s="5"/>
      <c r="W213" s="5"/>
      <c r="X213" s="5"/>
      <c r="Y213" s="5"/>
      <c r="Z213" s="5"/>
      <c r="AA213" s="5"/>
    </row>
    <row r="214" spans="1:27" ht="15.75" customHeight="1">
      <c r="A214" s="344"/>
      <c r="B214" s="344"/>
      <c r="C214" s="111">
        <v>2</v>
      </c>
      <c r="D214" s="344"/>
      <c r="E214" s="80" t="s">
        <v>6741</v>
      </c>
      <c r="F214" s="46" t="s">
        <v>326</v>
      </c>
      <c r="G214" s="46" t="s">
        <v>327</v>
      </c>
      <c r="H214" s="35" t="s">
        <v>6423</v>
      </c>
      <c r="I214" s="80" t="s">
        <v>6742</v>
      </c>
      <c r="J214" s="84"/>
      <c r="K214" s="25" t="s">
        <v>294</v>
      </c>
      <c r="L214" s="66"/>
      <c r="M214" s="66"/>
      <c r="N214" s="4"/>
      <c r="O214" s="25"/>
      <c r="P214" s="50" t="s">
        <v>140</v>
      </c>
      <c r="Q214" s="50" t="s">
        <v>140</v>
      </c>
      <c r="R214" s="25" t="s">
        <v>297</v>
      </c>
      <c r="S214" s="50"/>
      <c r="T214" s="5"/>
      <c r="U214" s="5"/>
      <c r="V214" s="5"/>
      <c r="W214" s="5"/>
      <c r="X214" s="5"/>
      <c r="Y214" s="5"/>
      <c r="Z214" s="5"/>
      <c r="AA214" s="5"/>
    </row>
    <row r="215" spans="1:27" ht="15.75" customHeight="1">
      <c r="A215" s="344"/>
      <c r="B215" s="344"/>
      <c r="C215" s="111">
        <v>3</v>
      </c>
      <c r="D215" s="344"/>
      <c r="E215" s="80" t="s">
        <v>6743</v>
      </c>
      <c r="F215" s="46" t="s">
        <v>326</v>
      </c>
      <c r="G215" s="46" t="s">
        <v>327</v>
      </c>
      <c r="H215" s="35" t="s">
        <v>6423</v>
      </c>
      <c r="I215" s="80" t="s">
        <v>6744</v>
      </c>
      <c r="J215" s="84"/>
      <c r="K215" s="25" t="s">
        <v>294</v>
      </c>
      <c r="L215" s="66"/>
      <c r="M215" s="66"/>
      <c r="N215" s="4"/>
      <c r="O215" s="25"/>
      <c r="P215" s="50" t="s">
        <v>140</v>
      </c>
      <c r="Q215" s="50" t="s">
        <v>140</v>
      </c>
      <c r="R215" s="25" t="s">
        <v>297</v>
      </c>
      <c r="S215" s="50"/>
      <c r="T215" s="5"/>
      <c r="U215" s="5"/>
      <c r="V215" s="5"/>
      <c r="W215" s="5"/>
      <c r="X215" s="5"/>
      <c r="Y215" s="5"/>
      <c r="Z215" s="5"/>
      <c r="AA215" s="5"/>
    </row>
    <row r="216" spans="1:27" ht="15.75" customHeight="1">
      <c r="A216" s="344"/>
      <c r="B216" s="344"/>
      <c r="C216" s="111">
        <v>4</v>
      </c>
      <c r="D216" s="344"/>
      <c r="E216" s="146" t="s">
        <v>6745</v>
      </c>
      <c r="F216" s="31" t="s">
        <v>326</v>
      </c>
      <c r="G216" s="31" t="s">
        <v>327</v>
      </c>
      <c r="H216" s="23" t="s">
        <v>6423</v>
      </c>
      <c r="I216" s="146" t="s">
        <v>6746</v>
      </c>
      <c r="J216" s="146"/>
      <c r="K216" s="25" t="s">
        <v>294</v>
      </c>
      <c r="L216" s="66"/>
      <c r="M216" s="66"/>
      <c r="N216" s="4"/>
      <c r="O216" s="25"/>
      <c r="P216" s="50" t="s">
        <v>140</v>
      </c>
      <c r="Q216" s="50" t="s">
        <v>140</v>
      </c>
      <c r="R216" s="25" t="s">
        <v>297</v>
      </c>
      <c r="S216" s="50"/>
      <c r="T216" s="5"/>
      <c r="U216" s="5"/>
      <c r="V216" s="5"/>
      <c r="W216" s="5"/>
      <c r="X216" s="5"/>
      <c r="Y216" s="5"/>
      <c r="Z216" s="5"/>
      <c r="AA216" s="5"/>
    </row>
    <row r="217" spans="1:27" ht="15.75" customHeight="1">
      <c r="A217" s="344"/>
      <c r="B217" s="344"/>
      <c r="C217" s="111">
        <v>5</v>
      </c>
      <c r="D217" s="344"/>
      <c r="E217" s="146" t="s">
        <v>6747</v>
      </c>
      <c r="F217" s="31" t="s">
        <v>326</v>
      </c>
      <c r="G217" s="31" t="s">
        <v>327</v>
      </c>
      <c r="H217" s="23" t="s">
        <v>6423</v>
      </c>
      <c r="I217" s="146" t="s">
        <v>6748</v>
      </c>
      <c r="J217" s="146"/>
      <c r="K217" s="25" t="s">
        <v>294</v>
      </c>
      <c r="L217" s="66"/>
      <c r="M217" s="66"/>
      <c r="N217" s="4"/>
      <c r="O217" s="25"/>
      <c r="P217" s="50" t="s">
        <v>140</v>
      </c>
      <c r="Q217" s="50" t="s">
        <v>140</v>
      </c>
      <c r="R217" s="25" t="s">
        <v>297</v>
      </c>
      <c r="S217" s="50"/>
      <c r="T217" s="5"/>
      <c r="U217" s="5"/>
      <c r="V217" s="5"/>
      <c r="W217" s="5"/>
      <c r="X217" s="5"/>
      <c r="Y217" s="5"/>
      <c r="Z217" s="5"/>
      <c r="AA217" s="5"/>
    </row>
    <row r="218" spans="1:27" ht="15.75" customHeight="1">
      <c r="A218" s="344"/>
      <c r="B218" s="344"/>
      <c r="C218" s="111">
        <v>6</v>
      </c>
      <c r="D218" s="344"/>
      <c r="E218" s="146" t="s">
        <v>6749</v>
      </c>
      <c r="F218" s="31" t="s">
        <v>326</v>
      </c>
      <c r="G218" s="31" t="s">
        <v>327</v>
      </c>
      <c r="H218" s="23" t="s">
        <v>6423</v>
      </c>
      <c r="I218" s="146" t="s">
        <v>6750</v>
      </c>
      <c r="J218" s="146"/>
      <c r="K218" s="25" t="s">
        <v>294</v>
      </c>
      <c r="L218" s="66"/>
      <c r="M218" s="66"/>
      <c r="N218" s="4"/>
      <c r="O218" s="25"/>
      <c r="P218" s="50" t="s">
        <v>140</v>
      </c>
      <c r="Q218" s="50" t="s">
        <v>140</v>
      </c>
      <c r="R218" s="25" t="s">
        <v>297</v>
      </c>
      <c r="S218" s="50"/>
      <c r="T218" s="5"/>
      <c r="U218" s="5"/>
      <c r="V218" s="5"/>
      <c r="W218" s="5"/>
      <c r="X218" s="5"/>
      <c r="Y218" s="5"/>
      <c r="Z218" s="5"/>
      <c r="AA218" s="5"/>
    </row>
    <row r="219" spans="1:27" ht="15.75" customHeight="1">
      <c r="A219" s="344"/>
      <c r="B219" s="344"/>
      <c r="C219" s="111">
        <v>7</v>
      </c>
      <c r="D219" s="344"/>
      <c r="E219" s="146" t="s">
        <v>6751</v>
      </c>
      <c r="F219" s="31" t="s">
        <v>326</v>
      </c>
      <c r="G219" s="31" t="s">
        <v>327</v>
      </c>
      <c r="H219" s="23" t="s">
        <v>6423</v>
      </c>
      <c r="I219" s="146" t="s">
        <v>6752</v>
      </c>
      <c r="J219" s="146"/>
      <c r="K219" s="25" t="s">
        <v>294</v>
      </c>
      <c r="L219" s="66"/>
      <c r="M219" s="66"/>
      <c r="N219" s="4"/>
      <c r="O219" s="25"/>
      <c r="P219" s="50" t="s">
        <v>140</v>
      </c>
      <c r="Q219" s="50" t="s">
        <v>140</v>
      </c>
      <c r="R219" s="25" t="s">
        <v>297</v>
      </c>
      <c r="S219" s="50"/>
      <c r="T219" s="5"/>
      <c r="U219" s="5"/>
      <c r="V219" s="5"/>
      <c r="W219" s="5"/>
      <c r="X219" s="5"/>
      <c r="Y219" s="5"/>
      <c r="Z219" s="5"/>
      <c r="AA219" s="5"/>
    </row>
    <row r="220" spans="1:27" ht="15.75" customHeight="1">
      <c r="A220" s="344"/>
      <c r="B220" s="344"/>
      <c r="C220" s="111">
        <v>8</v>
      </c>
      <c r="D220" s="344"/>
      <c r="E220" s="146" t="s">
        <v>6753</v>
      </c>
      <c r="F220" s="31" t="s">
        <v>326</v>
      </c>
      <c r="G220" s="31" t="s">
        <v>327</v>
      </c>
      <c r="H220" s="23" t="s">
        <v>6423</v>
      </c>
      <c r="I220" s="146" t="s">
        <v>6754</v>
      </c>
      <c r="J220" s="146"/>
      <c r="K220" s="25" t="s">
        <v>294</v>
      </c>
      <c r="L220" s="66"/>
      <c r="M220" s="66"/>
      <c r="N220" s="4"/>
      <c r="O220" s="25"/>
      <c r="P220" s="50" t="s">
        <v>140</v>
      </c>
      <c r="Q220" s="50" t="s">
        <v>140</v>
      </c>
      <c r="R220" s="25" t="s">
        <v>297</v>
      </c>
      <c r="S220" s="50"/>
      <c r="T220" s="5"/>
      <c r="U220" s="5"/>
      <c r="V220" s="5"/>
      <c r="W220" s="5"/>
      <c r="X220" s="5"/>
      <c r="Y220" s="5"/>
      <c r="Z220" s="5"/>
      <c r="AA220" s="5"/>
    </row>
    <row r="221" spans="1:27" ht="15.75" customHeight="1">
      <c r="A221" s="344"/>
      <c r="B221" s="344"/>
      <c r="C221" s="111">
        <v>9</v>
      </c>
      <c r="D221" s="344"/>
      <c r="E221" s="146" t="s">
        <v>6755</v>
      </c>
      <c r="F221" s="31" t="s">
        <v>326</v>
      </c>
      <c r="G221" s="31" t="s">
        <v>327</v>
      </c>
      <c r="H221" s="23" t="s">
        <v>6423</v>
      </c>
      <c r="I221" s="146" t="s">
        <v>6756</v>
      </c>
      <c r="J221" s="146"/>
      <c r="K221" s="25" t="s">
        <v>294</v>
      </c>
      <c r="L221" s="66"/>
      <c r="M221" s="66"/>
      <c r="N221" s="4"/>
      <c r="O221" s="25"/>
      <c r="P221" s="50" t="s">
        <v>140</v>
      </c>
      <c r="Q221" s="50" t="s">
        <v>140</v>
      </c>
      <c r="R221" s="25" t="s">
        <v>297</v>
      </c>
      <c r="S221" s="50"/>
      <c r="T221" s="5"/>
      <c r="U221" s="5"/>
      <c r="V221" s="5"/>
      <c r="W221" s="5"/>
      <c r="X221" s="5"/>
      <c r="Y221" s="5"/>
      <c r="Z221" s="5"/>
      <c r="AA221" s="5"/>
    </row>
    <row r="222" spans="1:27" ht="15.75" customHeight="1">
      <c r="A222" s="344"/>
      <c r="B222" s="344"/>
      <c r="C222" s="111">
        <v>10</v>
      </c>
      <c r="D222" s="344"/>
      <c r="E222" s="146" t="s">
        <v>6757</v>
      </c>
      <c r="F222" s="31" t="s">
        <v>326</v>
      </c>
      <c r="G222" s="31" t="s">
        <v>327</v>
      </c>
      <c r="H222" s="23" t="s">
        <v>6423</v>
      </c>
      <c r="I222" s="146" t="s">
        <v>6758</v>
      </c>
      <c r="J222" s="146"/>
      <c r="K222" s="25" t="s">
        <v>294</v>
      </c>
      <c r="L222" s="66"/>
      <c r="M222" s="66"/>
      <c r="N222" s="4"/>
      <c r="O222" s="25"/>
      <c r="P222" s="50" t="s">
        <v>140</v>
      </c>
      <c r="Q222" s="50" t="s">
        <v>140</v>
      </c>
      <c r="R222" s="25" t="s">
        <v>297</v>
      </c>
      <c r="S222" s="50"/>
      <c r="T222" s="5"/>
      <c r="U222" s="5"/>
      <c r="V222" s="5"/>
      <c r="W222" s="5"/>
      <c r="X222" s="5"/>
      <c r="Y222" s="5"/>
      <c r="Z222" s="5"/>
      <c r="AA222" s="5"/>
    </row>
    <row r="223" spans="1:27" ht="15.75" customHeight="1">
      <c r="A223" s="344"/>
      <c r="B223" s="344"/>
      <c r="C223" s="111">
        <v>11</v>
      </c>
      <c r="D223" s="344"/>
      <c r="E223" s="146" t="s">
        <v>6759</v>
      </c>
      <c r="F223" s="31" t="s">
        <v>326</v>
      </c>
      <c r="G223" s="31" t="s">
        <v>327</v>
      </c>
      <c r="H223" s="23" t="s">
        <v>6423</v>
      </c>
      <c r="I223" s="146" t="s">
        <v>6760</v>
      </c>
      <c r="J223" s="146"/>
      <c r="K223" s="25" t="s">
        <v>294</v>
      </c>
      <c r="L223" s="66"/>
      <c r="M223" s="66"/>
      <c r="N223" s="4"/>
      <c r="O223" s="25"/>
      <c r="P223" s="50" t="s">
        <v>140</v>
      </c>
      <c r="Q223" s="50" t="s">
        <v>140</v>
      </c>
      <c r="R223" s="25" t="s">
        <v>297</v>
      </c>
      <c r="S223" s="50"/>
      <c r="T223" s="5"/>
      <c r="U223" s="5"/>
      <c r="V223" s="5"/>
      <c r="W223" s="5"/>
      <c r="X223" s="5"/>
      <c r="Y223" s="5"/>
      <c r="Z223" s="5"/>
      <c r="AA223" s="5"/>
    </row>
    <row r="224" spans="1:27" ht="15.75" customHeight="1">
      <c r="A224" s="344"/>
      <c r="B224" s="344"/>
      <c r="C224" s="111">
        <v>12</v>
      </c>
      <c r="D224" s="344"/>
      <c r="E224" s="146" t="s">
        <v>6761</v>
      </c>
      <c r="F224" s="31" t="s">
        <v>326</v>
      </c>
      <c r="G224" s="31" t="s">
        <v>327</v>
      </c>
      <c r="H224" s="23" t="s">
        <v>6423</v>
      </c>
      <c r="I224" s="146" t="s">
        <v>6762</v>
      </c>
      <c r="J224" s="146"/>
      <c r="K224" s="25" t="s">
        <v>294</v>
      </c>
      <c r="L224" s="66"/>
      <c r="M224" s="66"/>
      <c r="N224" s="4"/>
      <c r="O224" s="25"/>
      <c r="P224" s="50" t="s">
        <v>140</v>
      </c>
      <c r="Q224" s="50" t="s">
        <v>140</v>
      </c>
      <c r="R224" s="25" t="s">
        <v>297</v>
      </c>
      <c r="S224" s="50"/>
      <c r="T224" s="5"/>
      <c r="U224" s="5"/>
      <c r="V224" s="5"/>
      <c r="W224" s="5"/>
      <c r="X224" s="5"/>
      <c r="Y224" s="5"/>
      <c r="Z224" s="5"/>
      <c r="AA224" s="5"/>
    </row>
    <row r="225" spans="1:27" ht="15.75" customHeight="1">
      <c r="A225" s="344"/>
      <c r="B225" s="344"/>
      <c r="C225" s="111">
        <v>13</v>
      </c>
      <c r="D225" s="344"/>
      <c r="E225" s="146" t="s">
        <v>6763</v>
      </c>
      <c r="F225" s="31" t="s">
        <v>326</v>
      </c>
      <c r="G225" s="31" t="s">
        <v>327</v>
      </c>
      <c r="H225" s="23" t="s">
        <v>6423</v>
      </c>
      <c r="I225" s="146" t="s">
        <v>6764</v>
      </c>
      <c r="J225" s="146"/>
      <c r="K225" s="25" t="s">
        <v>294</v>
      </c>
      <c r="L225" s="66"/>
      <c r="M225" s="66"/>
      <c r="N225" s="4"/>
      <c r="O225" s="25"/>
      <c r="P225" s="50" t="s">
        <v>140</v>
      </c>
      <c r="Q225" s="50" t="s">
        <v>140</v>
      </c>
      <c r="R225" s="25" t="s">
        <v>297</v>
      </c>
      <c r="S225" s="50"/>
      <c r="T225" s="5"/>
      <c r="U225" s="5"/>
      <c r="V225" s="5"/>
      <c r="W225" s="5"/>
      <c r="X225" s="5"/>
      <c r="Y225" s="5"/>
      <c r="Z225" s="5"/>
      <c r="AA225" s="5"/>
    </row>
    <row r="226" spans="1:27" ht="15.75" customHeight="1">
      <c r="A226" s="344"/>
      <c r="B226" s="344"/>
      <c r="C226" s="111">
        <v>14</v>
      </c>
      <c r="D226" s="344"/>
      <c r="E226" s="146" t="s">
        <v>6765</v>
      </c>
      <c r="F226" s="31" t="s">
        <v>326</v>
      </c>
      <c r="G226" s="31" t="s">
        <v>327</v>
      </c>
      <c r="H226" s="23" t="s">
        <v>6423</v>
      </c>
      <c r="I226" s="146" t="s">
        <v>6766</v>
      </c>
      <c r="J226" s="146"/>
      <c r="K226" s="25" t="s">
        <v>294</v>
      </c>
      <c r="L226" s="66"/>
      <c r="M226" s="66"/>
      <c r="N226" s="4"/>
      <c r="O226" s="25"/>
      <c r="P226" s="50" t="s">
        <v>140</v>
      </c>
      <c r="Q226" s="50" t="s">
        <v>140</v>
      </c>
      <c r="R226" s="25" t="s">
        <v>297</v>
      </c>
      <c r="S226" s="50"/>
      <c r="T226" s="5"/>
      <c r="U226" s="5"/>
      <c r="V226" s="5"/>
      <c r="W226" s="5"/>
      <c r="X226" s="5"/>
      <c r="Y226" s="5"/>
      <c r="Z226" s="5"/>
      <c r="AA226" s="5"/>
    </row>
    <row r="227" spans="1:27" ht="15.75" customHeight="1">
      <c r="A227" s="344"/>
      <c r="B227" s="344"/>
      <c r="C227" s="111">
        <v>15</v>
      </c>
      <c r="D227" s="344"/>
      <c r="E227" s="146" t="s">
        <v>6767</v>
      </c>
      <c r="F227" s="31" t="s">
        <v>326</v>
      </c>
      <c r="G227" s="31" t="s">
        <v>327</v>
      </c>
      <c r="H227" s="23" t="s">
        <v>6423</v>
      </c>
      <c r="I227" s="146" t="s">
        <v>6768</v>
      </c>
      <c r="J227" s="146"/>
      <c r="K227" s="25" t="s">
        <v>294</v>
      </c>
      <c r="L227" s="26"/>
      <c r="M227" s="66"/>
      <c r="N227" s="4"/>
      <c r="O227" s="25"/>
      <c r="P227" s="50" t="s">
        <v>140</v>
      </c>
      <c r="Q227" s="50" t="s">
        <v>140</v>
      </c>
      <c r="R227" s="25" t="s">
        <v>297</v>
      </c>
      <c r="S227" s="50"/>
      <c r="T227" s="5"/>
      <c r="U227" s="5"/>
      <c r="V227" s="5"/>
      <c r="W227" s="5"/>
      <c r="X227" s="5"/>
      <c r="Y227" s="5"/>
      <c r="Z227" s="5"/>
      <c r="AA227" s="5"/>
    </row>
    <row r="228" spans="1:27" ht="15.75" customHeight="1">
      <c r="A228" s="344"/>
      <c r="B228" s="344"/>
      <c r="C228" s="111">
        <v>16</v>
      </c>
      <c r="D228" s="344"/>
      <c r="E228" s="146" t="s">
        <v>6769</v>
      </c>
      <c r="F228" s="31" t="s">
        <v>326</v>
      </c>
      <c r="G228" s="31" t="s">
        <v>327</v>
      </c>
      <c r="H228" s="23" t="s">
        <v>6423</v>
      </c>
      <c r="I228" s="146" t="s">
        <v>6770</v>
      </c>
      <c r="J228" s="146"/>
      <c r="K228" s="25" t="s">
        <v>294</v>
      </c>
      <c r="L228" s="26"/>
      <c r="M228" s="66"/>
      <c r="N228" s="4"/>
      <c r="O228" s="25"/>
      <c r="P228" s="50" t="s">
        <v>140</v>
      </c>
      <c r="Q228" s="50" t="s">
        <v>140</v>
      </c>
      <c r="R228" s="25" t="s">
        <v>297</v>
      </c>
      <c r="S228" s="50"/>
      <c r="T228" s="5"/>
      <c r="U228" s="5"/>
      <c r="V228" s="5"/>
      <c r="W228" s="5"/>
      <c r="X228" s="5"/>
      <c r="Y228" s="5"/>
      <c r="Z228" s="5"/>
      <c r="AA228" s="5"/>
    </row>
    <row r="229" spans="1:27" ht="15.75" customHeight="1">
      <c r="A229" s="344"/>
      <c r="B229" s="344"/>
      <c r="C229" s="111">
        <v>17</v>
      </c>
      <c r="D229" s="344"/>
      <c r="E229" s="146" t="s">
        <v>6771</v>
      </c>
      <c r="F229" s="31" t="s">
        <v>326</v>
      </c>
      <c r="G229" s="31" t="s">
        <v>327</v>
      </c>
      <c r="H229" s="23" t="s">
        <v>6423</v>
      </c>
      <c r="I229" s="146" t="s">
        <v>6772</v>
      </c>
      <c r="J229" s="146"/>
      <c r="K229" s="25" t="s">
        <v>294</v>
      </c>
      <c r="L229" s="66"/>
      <c r="M229" s="66"/>
      <c r="N229" s="4"/>
      <c r="O229" s="25"/>
      <c r="P229" s="50" t="s">
        <v>140</v>
      </c>
      <c r="Q229" s="50" t="s">
        <v>140</v>
      </c>
      <c r="R229" s="25" t="s">
        <v>297</v>
      </c>
      <c r="S229" s="50"/>
      <c r="T229" s="5"/>
      <c r="U229" s="5"/>
      <c r="V229" s="5"/>
      <c r="W229" s="5"/>
      <c r="X229" s="5"/>
      <c r="Y229" s="5"/>
      <c r="Z229" s="5"/>
      <c r="AA229" s="5"/>
    </row>
    <row r="230" spans="1:27" ht="15.75" customHeight="1">
      <c r="A230" s="344"/>
      <c r="B230" s="344"/>
      <c r="C230" s="111">
        <v>18</v>
      </c>
      <c r="D230" s="344"/>
      <c r="E230" s="146" t="s">
        <v>6773</v>
      </c>
      <c r="F230" s="31" t="s">
        <v>326</v>
      </c>
      <c r="G230" s="31" t="s">
        <v>327</v>
      </c>
      <c r="H230" s="23" t="s">
        <v>6423</v>
      </c>
      <c r="I230" s="146" t="s">
        <v>6774</v>
      </c>
      <c r="J230" s="146"/>
      <c r="K230" s="25" t="s">
        <v>294</v>
      </c>
      <c r="L230" s="66"/>
      <c r="M230" s="66"/>
      <c r="N230" s="4"/>
      <c r="O230" s="25"/>
      <c r="P230" s="50" t="s">
        <v>140</v>
      </c>
      <c r="Q230" s="50" t="s">
        <v>140</v>
      </c>
      <c r="R230" s="25" t="s">
        <v>297</v>
      </c>
      <c r="S230" s="50"/>
      <c r="T230" s="5"/>
      <c r="U230" s="5"/>
      <c r="V230" s="5"/>
      <c r="W230" s="5"/>
      <c r="X230" s="5"/>
      <c r="Y230" s="5"/>
      <c r="Z230" s="5"/>
      <c r="AA230" s="5"/>
    </row>
    <row r="231" spans="1:27" ht="15.75" customHeight="1">
      <c r="A231" s="344"/>
      <c r="B231" s="344"/>
      <c r="C231" s="111">
        <v>19</v>
      </c>
      <c r="D231" s="344"/>
      <c r="E231" s="146" t="s">
        <v>6775</v>
      </c>
      <c r="F231" s="31" t="s">
        <v>326</v>
      </c>
      <c r="G231" s="31" t="s">
        <v>327</v>
      </c>
      <c r="H231" s="23" t="s">
        <v>6423</v>
      </c>
      <c r="I231" s="146" t="s">
        <v>6776</v>
      </c>
      <c r="J231" s="146"/>
      <c r="K231" s="25" t="s">
        <v>294</v>
      </c>
      <c r="L231" s="26"/>
      <c r="M231" s="66"/>
      <c r="N231" s="4"/>
      <c r="O231" s="25"/>
      <c r="P231" s="50" t="s">
        <v>140</v>
      </c>
      <c r="Q231" s="50" t="s">
        <v>140</v>
      </c>
      <c r="R231" s="25" t="s">
        <v>297</v>
      </c>
      <c r="S231" s="50"/>
      <c r="T231" s="5"/>
      <c r="U231" s="5"/>
      <c r="V231" s="5"/>
      <c r="W231" s="5"/>
      <c r="X231" s="5"/>
      <c r="Y231" s="5"/>
      <c r="Z231" s="5"/>
      <c r="AA231" s="5"/>
    </row>
    <row r="232" spans="1:27" ht="15.75" customHeight="1">
      <c r="A232" s="344"/>
      <c r="B232" s="344"/>
      <c r="C232" s="111">
        <v>20</v>
      </c>
      <c r="D232" s="344"/>
      <c r="E232" s="146" t="s">
        <v>6777</v>
      </c>
      <c r="F232" s="31" t="s">
        <v>326</v>
      </c>
      <c r="G232" s="31" t="s">
        <v>327</v>
      </c>
      <c r="H232" s="23" t="s">
        <v>6423</v>
      </c>
      <c r="I232" s="146" t="s">
        <v>6778</v>
      </c>
      <c r="J232" s="146"/>
      <c r="K232" s="25" t="s">
        <v>294</v>
      </c>
      <c r="L232" s="26"/>
      <c r="M232" s="66"/>
      <c r="N232" s="4"/>
      <c r="O232" s="25"/>
      <c r="P232" s="50" t="s">
        <v>140</v>
      </c>
      <c r="Q232" s="50" t="s">
        <v>140</v>
      </c>
      <c r="R232" s="25" t="s">
        <v>297</v>
      </c>
      <c r="S232" s="50"/>
      <c r="T232" s="5"/>
      <c r="U232" s="5"/>
      <c r="V232" s="5"/>
      <c r="W232" s="5"/>
      <c r="X232" s="5"/>
      <c r="Y232" s="5"/>
      <c r="Z232" s="5"/>
      <c r="AA232" s="5"/>
    </row>
    <row r="233" spans="1:27" ht="15.75" customHeight="1">
      <c r="A233" s="344"/>
      <c r="B233" s="344"/>
      <c r="C233" s="111">
        <v>21</v>
      </c>
      <c r="D233" s="344"/>
      <c r="E233" s="83" t="s">
        <v>6779</v>
      </c>
      <c r="F233" s="61" t="s">
        <v>326</v>
      </c>
      <c r="G233" s="61" t="s">
        <v>327</v>
      </c>
      <c r="H233" s="63" t="s">
        <v>6423</v>
      </c>
      <c r="I233" s="83" t="s">
        <v>6780</v>
      </c>
      <c r="J233" s="271"/>
      <c r="K233" s="25" t="s">
        <v>294</v>
      </c>
      <c r="L233" s="26"/>
      <c r="M233" s="66"/>
      <c r="N233" s="4"/>
      <c r="O233" s="25"/>
      <c r="P233" s="50" t="s">
        <v>140</v>
      </c>
      <c r="Q233" s="50" t="s">
        <v>140</v>
      </c>
      <c r="R233" s="25" t="s">
        <v>297</v>
      </c>
      <c r="S233" s="50"/>
      <c r="T233" s="5"/>
      <c r="U233" s="5"/>
      <c r="V233" s="5"/>
      <c r="W233" s="5"/>
      <c r="X233" s="5"/>
      <c r="Y233" s="5"/>
      <c r="Z233" s="5"/>
      <c r="AA233" s="5"/>
    </row>
    <row r="234" spans="1:27" ht="15.75" customHeight="1">
      <c r="A234" s="344"/>
      <c r="B234" s="344"/>
      <c r="C234" s="111">
        <v>22</v>
      </c>
      <c r="D234" s="344"/>
      <c r="E234" s="83" t="s">
        <v>6781</v>
      </c>
      <c r="F234" s="61" t="s">
        <v>326</v>
      </c>
      <c r="G234" s="61" t="s">
        <v>327</v>
      </c>
      <c r="H234" s="63" t="s">
        <v>6423</v>
      </c>
      <c r="I234" s="83" t="s">
        <v>6782</v>
      </c>
      <c r="J234" s="271"/>
      <c r="K234" s="25" t="s">
        <v>294</v>
      </c>
      <c r="L234" s="26"/>
      <c r="M234" s="66"/>
      <c r="N234" s="4"/>
      <c r="O234" s="25"/>
      <c r="P234" s="50" t="s">
        <v>140</v>
      </c>
      <c r="Q234" s="50" t="s">
        <v>140</v>
      </c>
      <c r="R234" s="25" t="s">
        <v>297</v>
      </c>
      <c r="S234" s="50"/>
      <c r="T234" s="5"/>
      <c r="U234" s="5"/>
      <c r="V234" s="5"/>
      <c r="W234" s="5"/>
      <c r="X234" s="5"/>
      <c r="Y234" s="5"/>
      <c r="Z234" s="5"/>
      <c r="AA234" s="5"/>
    </row>
    <row r="235" spans="1:27" ht="15.75" customHeight="1">
      <c r="A235" s="344"/>
      <c r="B235" s="344"/>
      <c r="C235" s="111">
        <v>23</v>
      </c>
      <c r="D235" s="344"/>
      <c r="E235" s="83" t="s">
        <v>6783</v>
      </c>
      <c r="F235" s="61" t="s">
        <v>326</v>
      </c>
      <c r="G235" s="61" t="s">
        <v>327</v>
      </c>
      <c r="H235" s="63" t="s">
        <v>6423</v>
      </c>
      <c r="I235" s="83" t="s">
        <v>6784</v>
      </c>
      <c r="J235" s="271"/>
      <c r="K235" s="25" t="s">
        <v>294</v>
      </c>
      <c r="L235" s="26"/>
      <c r="M235" s="66"/>
      <c r="N235" s="4"/>
      <c r="O235" s="25"/>
      <c r="P235" s="50" t="s">
        <v>140</v>
      </c>
      <c r="Q235" s="50" t="s">
        <v>140</v>
      </c>
      <c r="R235" s="25" t="s">
        <v>297</v>
      </c>
      <c r="S235" s="50"/>
      <c r="T235" s="5"/>
      <c r="U235" s="5"/>
      <c r="V235" s="5"/>
      <c r="W235" s="5"/>
      <c r="X235" s="5"/>
      <c r="Y235" s="5"/>
      <c r="Z235" s="5"/>
      <c r="AA235" s="5"/>
    </row>
    <row r="236" spans="1:27" ht="15.75" customHeight="1">
      <c r="A236" s="344"/>
      <c r="B236" s="344"/>
      <c r="C236" s="111">
        <v>24</v>
      </c>
      <c r="D236" s="344"/>
      <c r="E236" s="83" t="s">
        <v>6785</v>
      </c>
      <c r="F236" s="61" t="s">
        <v>326</v>
      </c>
      <c r="G236" s="61" t="s">
        <v>327</v>
      </c>
      <c r="H236" s="63" t="s">
        <v>6423</v>
      </c>
      <c r="I236" s="83" t="s">
        <v>6786</v>
      </c>
      <c r="J236" s="271"/>
      <c r="K236" s="25" t="s">
        <v>294</v>
      </c>
      <c r="L236" s="26"/>
      <c r="M236" s="66"/>
      <c r="N236" s="4"/>
      <c r="O236" s="25"/>
      <c r="P236" s="50" t="s">
        <v>140</v>
      </c>
      <c r="Q236" s="50" t="s">
        <v>140</v>
      </c>
      <c r="R236" s="25" t="s">
        <v>297</v>
      </c>
      <c r="S236" s="50"/>
      <c r="T236" s="5"/>
      <c r="U236" s="5"/>
      <c r="V236" s="5"/>
      <c r="W236" s="5"/>
      <c r="X236" s="5"/>
      <c r="Y236" s="5"/>
      <c r="Z236" s="5"/>
      <c r="AA236" s="5"/>
    </row>
    <row r="237" spans="1:27" ht="15.75" customHeight="1">
      <c r="A237" s="344"/>
      <c r="B237" s="344"/>
      <c r="C237" s="111">
        <v>25</v>
      </c>
      <c r="D237" s="344"/>
      <c r="E237" s="83" t="s">
        <v>6787</v>
      </c>
      <c r="F237" s="61" t="s">
        <v>326</v>
      </c>
      <c r="G237" s="61" t="s">
        <v>327</v>
      </c>
      <c r="H237" s="63" t="s">
        <v>6423</v>
      </c>
      <c r="I237" s="83" t="s">
        <v>6788</v>
      </c>
      <c r="J237" s="271"/>
      <c r="K237" s="25" t="s">
        <v>294</v>
      </c>
      <c r="L237" s="26"/>
      <c r="M237" s="66"/>
      <c r="N237" s="4"/>
      <c r="O237" s="25"/>
      <c r="P237" s="50" t="s">
        <v>140</v>
      </c>
      <c r="Q237" s="50" t="s">
        <v>140</v>
      </c>
      <c r="R237" s="25" t="s">
        <v>297</v>
      </c>
      <c r="S237" s="50"/>
      <c r="T237" s="5"/>
      <c r="U237" s="5"/>
      <c r="V237" s="5"/>
      <c r="W237" s="5"/>
      <c r="X237" s="5"/>
      <c r="Y237" s="5"/>
      <c r="Z237" s="5"/>
      <c r="AA237" s="5"/>
    </row>
    <row r="238" spans="1:27" ht="15.75" customHeight="1">
      <c r="A238" s="344"/>
      <c r="B238" s="344"/>
      <c r="C238" s="111">
        <v>26</v>
      </c>
      <c r="D238" s="344"/>
      <c r="E238" s="83" t="s">
        <v>6789</v>
      </c>
      <c r="F238" s="61" t="s">
        <v>326</v>
      </c>
      <c r="G238" s="61" t="s">
        <v>327</v>
      </c>
      <c r="H238" s="63" t="s">
        <v>6423</v>
      </c>
      <c r="I238" s="83" t="s">
        <v>6790</v>
      </c>
      <c r="J238" s="271"/>
      <c r="K238" s="25" t="s">
        <v>294</v>
      </c>
      <c r="L238" s="26"/>
      <c r="M238" s="275"/>
      <c r="N238" s="4"/>
      <c r="O238" s="25"/>
      <c r="P238" s="50" t="s">
        <v>140</v>
      </c>
      <c r="Q238" s="50" t="s">
        <v>140</v>
      </c>
      <c r="R238" s="25" t="s">
        <v>297</v>
      </c>
      <c r="S238" s="50"/>
      <c r="T238" s="5"/>
      <c r="U238" s="5"/>
      <c r="V238" s="5"/>
      <c r="W238" s="5"/>
      <c r="X238" s="5"/>
      <c r="Y238" s="5"/>
      <c r="Z238" s="5"/>
      <c r="AA238" s="5"/>
    </row>
    <row r="239" spans="1:27" ht="15.75" customHeight="1">
      <c r="A239" s="344"/>
      <c r="B239" s="344"/>
      <c r="C239" s="111">
        <v>27</v>
      </c>
      <c r="D239" s="344"/>
      <c r="E239" s="83" t="s">
        <v>6791</v>
      </c>
      <c r="F239" s="61" t="s">
        <v>326</v>
      </c>
      <c r="G239" s="61" t="s">
        <v>327</v>
      </c>
      <c r="H239" s="63" t="s">
        <v>6423</v>
      </c>
      <c r="I239" s="83" t="s">
        <v>6792</v>
      </c>
      <c r="J239" s="271"/>
      <c r="K239" s="25" t="s">
        <v>294</v>
      </c>
      <c r="L239" s="26"/>
      <c r="M239" s="276"/>
      <c r="N239" s="4"/>
      <c r="O239" s="25"/>
      <c r="P239" s="50" t="s">
        <v>140</v>
      </c>
      <c r="Q239" s="50" t="s">
        <v>140</v>
      </c>
      <c r="R239" s="25" t="s">
        <v>297</v>
      </c>
      <c r="S239" s="50"/>
      <c r="T239" s="5"/>
      <c r="U239" s="5"/>
      <c r="V239" s="5"/>
      <c r="W239" s="5"/>
      <c r="X239" s="5"/>
      <c r="Y239" s="5"/>
      <c r="Z239" s="5"/>
      <c r="AA239" s="5"/>
    </row>
    <row r="240" spans="1:27" ht="15.75" customHeight="1">
      <c r="A240" s="344"/>
      <c r="B240" s="344"/>
      <c r="C240" s="111">
        <v>28</v>
      </c>
      <c r="D240" s="344"/>
      <c r="E240" s="83" t="s">
        <v>6793</v>
      </c>
      <c r="F240" s="61" t="s">
        <v>326</v>
      </c>
      <c r="G240" s="61" t="s">
        <v>327</v>
      </c>
      <c r="H240" s="63" t="s">
        <v>6423</v>
      </c>
      <c r="I240" s="83" t="s">
        <v>6794</v>
      </c>
      <c r="J240" s="271"/>
      <c r="K240" s="25" t="s">
        <v>294</v>
      </c>
      <c r="L240" s="26"/>
      <c r="M240" s="276"/>
      <c r="N240" s="4"/>
      <c r="O240" s="25"/>
      <c r="P240" s="50" t="s">
        <v>140</v>
      </c>
      <c r="Q240" s="50" t="s">
        <v>140</v>
      </c>
      <c r="R240" s="25" t="s">
        <v>297</v>
      </c>
      <c r="S240" s="50"/>
      <c r="T240" s="5"/>
      <c r="U240" s="5"/>
      <c r="V240" s="5"/>
      <c r="W240" s="5"/>
      <c r="X240" s="5"/>
      <c r="Y240" s="5"/>
      <c r="Z240" s="5"/>
      <c r="AA240" s="5"/>
    </row>
    <row r="241" spans="1:27" ht="16.5" customHeight="1">
      <c r="A241" s="352"/>
      <c r="B241" s="352"/>
      <c r="C241" s="86">
        <v>29</v>
      </c>
      <c r="D241" s="352"/>
      <c r="E241" s="181" t="s">
        <v>6795</v>
      </c>
      <c r="F241" s="86" t="s">
        <v>326</v>
      </c>
      <c r="G241" s="86" t="s">
        <v>327</v>
      </c>
      <c r="H241" s="175" t="s">
        <v>6423</v>
      </c>
      <c r="I241" s="80" t="s">
        <v>6796</v>
      </c>
      <c r="J241" s="84"/>
      <c r="K241" s="25"/>
      <c r="L241" s="26"/>
      <c r="M241" s="276"/>
      <c r="N241" s="4"/>
      <c r="O241" s="25"/>
      <c r="P241" s="50" t="s">
        <v>140</v>
      </c>
      <c r="Q241" s="50" t="s">
        <v>140</v>
      </c>
      <c r="R241" s="25" t="s">
        <v>308</v>
      </c>
      <c r="S241" s="50"/>
      <c r="T241" s="5"/>
      <c r="U241" s="5"/>
      <c r="V241" s="5"/>
      <c r="W241" s="5"/>
      <c r="X241" s="5"/>
      <c r="Y241" s="5"/>
      <c r="Z241" s="5"/>
      <c r="AA241" s="5"/>
    </row>
    <row r="242" spans="1:27" ht="16.5" customHeight="1">
      <c r="A242" s="344"/>
      <c r="B242" s="344"/>
      <c r="C242" s="111">
        <v>30</v>
      </c>
      <c r="D242" s="344"/>
      <c r="E242" s="80" t="s">
        <v>2133</v>
      </c>
      <c r="F242" s="46" t="s">
        <v>326</v>
      </c>
      <c r="G242" s="46" t="s">
        <v>327</v>
      </c>
      <c r="H242" s="35" t="s">
        <v>6423</v>
      </c>
      <c r="I242" s="80" t="s">
        <v>6797</v>
      </c>
      <c r="J242" s="84"/>
      <c r="K242" s="25" t="s">
        <v>294</v>
      </c>
      <c r="L242" s="26"/>
      <c r="M242" s="276"/>
      <c r="N242" s="4"/>
      <c r="O242" s="25"/>
      <c r="P242" s="50" t="s">
        <v>140</v>
      </c>
      <c r="Q242" s="50" t="s">
        <v>140</v>
      </c>
      <c r="R242" s="25" t="s">
        <v>297</v>
      </c>
      <c r="S242" s="50"/>
      <c r="T242" s="5"/>
      <c r="U242" s="5"/>
      <c r="V242" s="5"/>
      <c r="W242" s="5"/>
      <c r="X242" s="5"/>
      <c r="Y242" s="5"/>
      <c r="Z242" s="5"/>
      <c r="AA242" s="5"/>
    </row>
    <row r="243" spans="1:27" ht="16.5" customHeight="1">
      <c r="A243" s="352"/>
      <c r="B243" s="352"/>
      <c r="C243" s="86">
        <v>31</v>
      </c>
      <c r="D243" s="352"/>
      <c r="E243" s="325" t="s">
        <v>6798</v>
      </c>
      <c r="F243" s="86" t="s">
        <v>326</v>
      </c>
      <c r="G243" s="86" t="s">
        <v>327</v>
      </c>
      <c r="H243" s="324" t="s">
        <v>6423</v>
      </c>
      <c r="I243" s="75" t="s">
        <v>6799</v>
      </c>
      <c r="J243" s="435"/>
      <c r="K243" s="25"/>
      <c r="L243" s="26"/>
      <c r="M243" s="276"/>
      <c r="N243" s="4"/>
      <c r="O243" s="25"/>
      <c r="P243" s="50" t="s">
        <v>140</v>
      </c>
      <c r="Q243" s="50" t="s">
        <v>140</v>
      </c>
      <c r="R243" s="25" t="s">
        <v>308</v>
      </c>
      <c r="S243" s="50"/>
      <c r="T243" s="5"/>
      <c r="U243" s="5"/>
      <c r="V243" s="5"/>
      <c r="W243" s="5"/>
      <c r="X243" s="5"/>
      <c r="Y243" s="5"/>
      <c r="Z243" s="5"/>
      <c r="AA243" s="5"/>
    </row>
    <row r="244" spans="1:27" ht="16.5" customHeight="1">
      <c r="A244" s="352"/>
      <c r="B244" s="352"/>
      <c r="C244" s="86">
        <v>32</v>
      </c>
      <c r="D244" s="352"/>
      <c r="E244" s="181" t="s">
        <v>6800</v>
      </c>
      <c r="F244" s="86" t="s">
        <v>326</v>
      </c>
      <c r="G244" s="86" t="s">
        <v>327</v>
      </c>
      <c r="H244" s="175" t="s">
        <v>6423</v>
      </c>
      <c r="I244" s="80" t="s">
        <v>6801</v>
      </c>
      <c r="J244" s="84"/>
      <c r="K244" s="25"/>
      <c r="L244" s="26"/>
      <c r="M244" s="276"/>
      <c r="N244" s="4"/>
      <c r="O244" s="25"/>
      <c r="P244" s="50" t="s">
        <v>140</v>
      </c>
      <c r="Q244" s="50" t="s">
        <v>140</v>
      </c>
      <c r="R244" s="25" t="s">
        <v>308</v>
      </c>
      <c r="S244" s="50"/>
      <c r="T244" s="5"/>
      <c r="U244" s="5"/>
      <c r="V244" s="5"/>
      <c r="W244" s="5"/>
      <c r="X244" s="5"/>
      <c r="Y244" s="5"/>
      <c r="Z244" s="5"/>
      <c r="AA244" s="5"/>
    </row>
    <row r="245" spans="1:27" ht="16.5" customHeight="1">
      <c r="A245" s="352"/>
      <c r="B245" s="352"/>
      <c r="C245" s="86">
        <v>33</v>
      </c>
      <c r="D245" s="352"/>
      <c r="E245" s="181" t="s">
        <v>6802</v>
      </c>
      <c r="F245" s="86" t="s">
        <v>326</v>
      </c>
      <c r="G245" s="86" t="s">
        <v>327</v>
      </c>
      <c r="H245" s="175" t="s">
        <v>6423</v>
      </c>
      <c r="I245" s="80" t="s">
        <v>6803</v>
      </c>
      <c r="J245" s="84"/>
      <c r="K245" s="25"/>
      <c r="L245" s="26"/>
      <c r="M245" s="276"/>
      <c r="N245" s="4"/>
      <c r="O245" s="25"/>
      <c r="P245" s="50" t="s">
        <v>140</v>
      </c>
      <c r="Q245" s="50" t="s">
        <v>140</v>
      </c>
      <c r="R245" s="25" t="s">
        <v>308</v>
      </c>
      <c r="S245" s="50"/>
      <c r="T245" s="5"/>
      <c r="U245" s="5"/>
      <c r="V245" s="5"/>
      <c r="W245" s="5"/>
      <c r="X245" s="5"/>
      <c r="Y245" s="5"/>
      <c r="Z245" s="5"/>
      <c r="AA245" s="5"/>
    </row>
    <row r="246" spans="1:27" ht="16.5" customHeight="1">
      <c r="A246" s="352"/>
      <c r="B246" s="352"/>
      <c r="C246" s="86">
        <v>34</v>
      </c>
      <c r="D246" s="352"/>
      <c r="E246" s="181" t="s">
        <v>6804</v>
      </c>
      <c r="F246" s="86" t="s">
        <v>326</v>
      </c>
      <c r="G246" s="86" t="s">
        <v>327</v>
      </c>
      <c r="H246" s="175" t="s">
        <v>6423</v>
      </c>
      <c r="I246" s="80" t="s">
        <v>6805</v>
      </c>
      <c r="J246" s="84"/>
      <c r="K246" s="25"/>
      <c r="L246" s="26"/>
      <c r="M246" s="276"/>
      <c r="N246" s="4"/>
      <c r="O246" s="25"/>
      <c r="P246" s="50" t="s">
        <v>140</v>
      </c>
      <c r="Q246" s="50" t="s">
        <v>140</v>
      </c>
      <c r="R246" s="25" t="s">
        <v>308</v>
      </c>
      <c r="S246" s="50"/>
      <c r="T246" s="5"/>
      <c r="U246" s="5"/>
      <c r="V246" s="5"/>
      <c r="W246" s="5"/>
      <c r="X246" s="5"/>
      <c r="Y246" s="5"/>
      <c r="Z246" s="5"/>
      <c r="AA246" s="5"/>
    </row>
    <row r="247" spans="1:27" ht="16.5" customHeight="1">
      <c r="A247" s="352"/>
      <c r="B247" s="352"/>
      <c r="C247" s="86">
        <v>35</v>
      </c>
      <c r="D247" s="352"/>
      <c r="E247" s="181" t="s">
        <v>6806</v>
      </c>
      <c r="F247" s="86" t="s">
        <v>326</v>
      </c>
      <c r="G247" s="86" t="s">
        <v>327</v>
      </c>
      <c r="H247" s="175" t="s">
        <v>6423</v>
      </c>
      <c r="I247" s="80" t="s">
        <v>6807</v>
      </c>
      <c r="J247" s="84"/>
      <c r="K247" s="25"/>
      <c r="L247" s="26"/>
      <c r="M247" s="276"/>
      <c r="N247" s="4"/>
      <c r="O247" s="25"/>
      <c r="P247" s="50" t="s">
        <v>140</v>
      </c>
      <c r="Q247" s="50" t="s">
        <v>140</v>
      </c>
      <c r="R247" s="25" t="s">
        <v>308</v>
      </c>
      <c r="S247" s="50"/>
      <c r="T247" s="5"/>
      <c r="U247" s="5"/>
      <c r="V247" s="5"/>
      <c r="W247" s="5"/>
      <c r="X247" s="5"/>
      <c r="Y247" s="5"/>
      <c r="Z247" s="5"/>
      <c r="AA247" s="5"/>
    </row>
    <row r="248" spans="1:27" ht="16.5" customHeight="1">
      <c r="A248" s="352"/>
      <c r="B248" s="352"/>
      <c r="C248" s="86">
        <v>36</v>
      </c>
      <c r="D248" s="352"/>
      <c r="E248" s="181" t="s">
        <v>6808</v>
      </c>
      <c r="F248" s="86" t="s">
        <v>326</v>
      </c>
      <c r="G248" s="86" t="s">
        <v>327</v>
      </c>
      <c r="H248" s="175" t="s">
        <v>6423</v>
      </c>
      <c r="I248" s="80" t="s">
        <v>6809</v>
      </c>
      <c r="J248" s="84"/>
      <c r="K248" s="25"/>
      <c r="L248" s="26"/>
      <c r="M248" s="276"/>
      <c r="N248" s="4"/>
      <c r="O248" s="25"/>
      <c r="P248" s="50" t="s">
        <v>140</v>
      </c>
      <c r="Q248" s="50" t="s">
        <v>140</v>
      </c>
      <c r="R248" s="25" t="s">
        <v>308</v>
      </c>
      <c r="S248" s="50"/>
      <c r="T248" s="5"/>
      <c r="U248" s="5"/>
      <c r="V248" s="5"/>
      <c r="W248" s="5"/>
      <c r="X248" s="5"/>
      <c r="Y248" s="5"/>
      <c r="Z248" s="5"/>
      <c r="AA248" s="5"/>
    </row>
    <row r="249" spans="1:27" ht="16.5" customHeight="1">
      <c r="A249" s="352"/>
      <c r="B249" s="352"/>
      <c r="C249" s="86">
        <v>37</v>
      </c>
      <c r="D249" s="352"/>
      <c r="E249" s="181" t="s">
        <v>6810</v>
      </c>
      <c r="F249" s="86" t="s">
        <v>326</v>
      </c>
      <c r="G249" s="86" t="s">
        <v>327</v>
      </c>
      <c r="H249" s="175" t="s">
        <v>6423</v>
      </c>
      <c r="I249" s="80" t="s">
        <v>6811</v>
      </c>
      <c r="J249" s="84"/>
      <c r="K249" s="25"/>
      <c r="L249" s="26"/>
      <c r="M249" s="276"/>
      <c r="N249" s="4"/>
      <c r="O249" s="25"/>
      <c r="P249" s="50" t="s">
        <v>140</v>
      </c>
      <c r="Q249" s="50" t="s">
        <v>140</v>
      </c>
      <c r="R249" s="25" t="s">
        <v>308</v>
      </c>
      <c r="S249" s="50"/>
      <c r="T249" s="5"/>
      <c r="U249" s="5"/>
      <c r="V249" s="5"/>
      <c r="W249" s="5"/>
      <c r="X249" s="5"/>
      <c r="Y249" s="5"/>
      <c r="Z249" s="5"/>
      <c r="AA249" s="5"/>
    </row>
    <row r="250" spans="1:27" ht="16.5" customHeight="1">
      <c r="A250" s="352"/>
      <c r="B250" s="352"/>
      <c r="C250" s="86">
        <v>38</v>
      </c>
      <c r="D250" s="352"/>
      <c r="E250" s="181" t="s">
        <v>6812</v>
      </c>
      <c r="F250" s="86" t="s">
        <v>326</v>
      </c>
      <c r="G250" s="86" t="s">
        <v>327</v>
      </c>
      <c r="H250" s="175" t="s">
        <v>6423</v>
      </c>
      <c r="I250" s="80" t="s">
        <v>6813</v>
      </c>
      <c r="J250" s="84"/>
      <c r="K250" s="25"/>
      <c r="L250" s="26"/>
      <c r="M250" s="276"/>
      <c r="N250" s="4"/>
      <c r="O250" s="25"/>
      <c r="P250" s="50" t="s">
        <v>140</v>
      </c>
      <c r="Q250" s="50" t="s">
        <v>140</v>
      </c>
      <c r="R250" s="25" t="s">
        <v>308</v>
      </c>
      <c r="S250" s="50"/>
      <c r="T250" s="5"/>
      <c r="U250" s="5"/>
      <c r="V250" s="5"/>
      <c r="W250" s="5"/>
      <c r="X250" s="5"/>
      <c r="Y250" s="5"/>
      <c r="Z250" s="5"/>
      <c r="AA250" s="5"/>
    </row>
    <row r="251" spans="1:27" ht="16.5" customHeight="1">
      <c r="A251" s="352"/>
      <c r="B251" s="352"/>
      <c r="C251" s="86">
        <v>39</v>
      </c>
      <c r="D251" s="352"/>
      <c r="E251" s="181" t="s">
        <v>6814</v>
      </c>
      <c r="F251" s="86" t="s">
        <v>326</v>
      </c>
      <c r="G251" s="86" t="s">
        <v>327</v>
      </c>
      <c r="H251" s="175" t="s">
        <v>6423</v>
      </c>
      <c r="I251" s="80" t="s">
        <v>6815</v>
      </c>
      <c r="J251" s="84"/>
      <c r="K251" s="25"/>
      <c r="L251" s="26"/>
      <c r="M251" s="276"/>
      <c r="N251" s="4"/>
      <c r="O251" s="25"/>
      <c r="P251" s="50" t="s">
        <v>140</v>
      </c>
      <c r="Q251" s="50" t="s">
        <v>140</v>
      </c>
      <c r="R251" s="25" t="s">
        <v>308</v>
      </c>
      <c r="S251" s="50"/>
      <c r="T251" s="5"/>
      <c r="U251" s="5"/>
      <c r="V251" s="5"/>
      <c r="W251" s="5"/>
      <c r="X251" s="5"/>
      <c r="Y251" s="5"/>
      <c r="Z251" s="5"/>
      <c r="AA251" s="5"/>
    </row>
    <row r="252" spans="1:27" ht="16.5" customHeight="1">
      <c r="A252" s="345"/>
      <c r="B252" s="345"/>
      <c r="C252" s="111">
        <v>40</v>
      </c>
      <c r="D252" s="345"/>
      <c r="E252" s="75" t="s">
        <v>6816</v>
      </c>
      <c r="F252" s="46" t="s">
        <v>326</v>
      </c>
      <c r="G252" s="46" t="s">
        <v>327</v>
      </c>
      <c r="H252" s="56" t="s">
        <v>6423</v>
      </c>
      <c r="I252" s="75" t="s">
        <v>6817</v>
      </c>
      <c r="J252" s="435"/>
      <c r="K252" s="25" t="s">
        <v>294</v>
      </c>
      <c r="L252" s="26"/>
      <c r="M252" s="276"/>
      <c r="N252" s="113"/>
      <c r="O252" s="25"/>
      <c r="P252" s="50" t="s">
        <v>140</v>
      </c>
      <c r="Q252" s="50" t="s">
        <v>140</v>
      </c>
      <c r="R252" s="25" t="s">
        <v>297</v>
      </c>
      <c r="S252" s="50"/>
      <c r="T252" s="180"/>
      <c r="U252" s="180"/>
      <c r="V252" s="180"/>
      <c r="W252" s="180"/>
      <c r="X252" s="180"/>
      <c r="Y252" s="180"/>
      <c r="Z252" s="180"/>
      <c r="AA252" s="180"/>
    </row>
    <row r="253" spans="1:27" ht="15.75" customHeight="1">
      <c r="A253" s="355" t="s">
        <v>6818</v>
      </c>
      <c r="B253" s="350" t="s">
        <v>6819</v>
      </c>
      <c r="C253" s="111">
        <v>1</v>
      </c>
      <c r="D253" s="366" t="s">
        <v>6820</v>
      </c>
      <c r="E253" s="146" t="s">
        <v>6821</v>
      </c>
      <c r="F253" s="31" t="s">
        <v>326</v>
      </c>
      <c r="G253" s="31" t="s">
        <v>327</v>
      </c>
      <c r="H253" s="23" t="s">
        <v>6423</v>
      </c>
      <c r="I253" s="146" t="s">
        <v>6822</v>
      </c>
      <c r="J253" s="146"/>
      <c r="K253" s="25" t="s">
        <v>294</v>
      </c>
      <c r="L253" s="26"/>
      <c r="M253" s="276"/>
      <c r="N253" s="4"/>
      <c r="O253" s="25"/>
      <c r="P253" s="50" t="s">
        <v>140</v>
      </c>
      <c r="Q253" s="50" t="s">
        <v>140</v>
      </c>
      <c r="R253" s="25" t="s">
        <v>297</v>
      </c>
      <c r="S253" s="50"/>
      <c r="T253" s="5"/>
      <c r="U253" s="5"/>
      <c r="V253" s="5"/>
      <c r="W253" s="5"/>
      <c r="X253" s="5"/>
      <c r="Y253" s="5"/>
      <c r="Z253" s="5"/>
      <c r="AA253" s="5"/>
    </row>
    <row r="254" spans="1:27" ht="15.75" customHeight="1">
      <c r="A254" s="344"/>
      <c r="B254" s="344"/>
      <c r="C254" s="111">
        <v>2</v>
      </c>
      <c r="D254" s="344"/>
      <c r="E254" s="146" t="s">
        <v>6823</v>
      </c>
      <c r="F254" s="31" t="s">
        <v>326</v>
      </c>
      <c r="G254" s="31" t="s">
        <v>327</v>
      </c>
      <c r="H254" s="23" t="s">
        <v>6423</v>
      </c>
      <c r="I254" s="146" t="s">
        <v>6824</v>
      </c>
      <c r="J254" s="146"/>
      <c r="K254" s="25" t="s">
        <v>294</v>
      </c>
      <c r="L254" s="26"/>
      <c r="M254" s="276"/>
      <c r="N254" s="4"/>
      <c r="O254" s="25"/>
      <c r="P254" s="50" t="s">
        <v>140</v>
      </c>
      <c r="Q254" s="50" t="s">
        <v>140</v>
      </c>
      <c r="R254" s="25" t="s">
        <v>297</v>
      </c>
      <c r="S254" s="50"/>
      <c r="T254" s="5"/>
      <c r="U254" s="5"/>
      <c r="V254" s="5"/>
      <c r="W254" s="5"/>
      <c r="X254" s="5"/>
      <c r="Y254" s="5"/>
      <c r="Z254" s="5"/>
      <c r="AA254" s="5"/>
    </row>
    <row r="255" spans="1:27" ht="15.75" customHeight="1">
      <c r="A255" s="344"/>
      <c r="B255" s="344"/>
      <c r="C255" s="111">
        <v>3</v>
      </c>
      <c r="D255" s="344"/>
      <c r="E255" s="146" t="s">
        <v>6825</v>
      </c>
      <c r="F255" s="31" t="s">
        <v>326</v>
      </c>
      <c r="G255" s="31" t="s">
        <v>327</v>
      </c>
      <c r="H255" s="23" t="s">
        <v>6423</v>
      </c>
      <c r="I255" s="146" t="s">
        <v>6826</v>
      </c>
      <c r="J255" s="146"/>
      <c r="K255" s="25" t="s">
        <v>294</v>
      </c>
      <c r="L255" s="26"/>
      <c r="M255" s="276"/>
      <c r="N255" s="4"/>
      <c r="O255" s="25"/>
      <c r="P255" s="50" t="s">
        <v>140</v>
      </c>
      <c r="Q255" s="50" t="s">
        <v>140</v>
      </c>
      <c r="R255" s="25" t="s">
        <v>297</v>
      </c>
      <c r="S255" s="50"/>
      <c r="T255" s="5"/>
      <c r="U255" s="5"/>
      <c r="V255" s="5"/>
      <c r="W255" s="5"/>
      <c r="X255" s="5"/>
      <c r="Y255" s="5"/>
      <c r="Z255" s="5"/>
      <c r="AA255" s="5"/>
    </row>
    <row r="256" spans="1:27" ht="15.75" customHeight="1">
      <c r="A256" s="344"/>
      <c r="B256" s="344"/>
      <c r="C256" s="111">
        <v>4</v>
      </c>
      <c r="D256" s="344"/>
      <c r="E256" s="146" t="s">
        <v>6827</v>
      </c>
      <c r="F256" s="31" t="s">
        <v>326</v>
      </c>
      <c r="G256" s="31" t="s">
        <v>327</v>
      </c>
      <c r="H256" s="23" t="s">
        <v>6423</v>
      </c>
      <c r="I256" s="146" t="s">
        <v>6828</v>
      </c>
      <c r="J256" s="146"/>
      <c r="K256" s="25" t="s">
        <v>294</v>
      </c>
      <c r="L256" s="66"/>
      <c r="M256" s="276"/>
      <c r="N256" s="4"/>
      <c r="O256" s="25"/>
      <c r="P256" s="50" t="s">
        <v>140</v>
      </c>
      <c r="Q256" s="50" t="s">
        <v>140</v>
      </c>
      <c r="R256" s="25" t="s">
        <v>297</v>
      </c>
      <c r="S256" s="50"/>
      <c r="T256" s="5"/>
      <c r="U256" s="5"/>
      <c r="V256" s="5"/>
      <c r="W256" s="5"/>
      <c r="X256" s="5"/>
      <c r="Y256" s="5"/>
      <c r="Z256" s="5"/>
      <c r="AA256" s="5"/>
    </row>
    <row r="257" spans="1:27" ht="15.75" customHeight="1">
      <c r="A257" s="344"/>
      <c r="B257" s="344"/>
      <c r="C257" s="111">
        <v>5</v>
      </c>
      <c r="D257" s="344"/>
      <c r="E257" s="146" t="s">
        <v>6829</v>
      </c>
      <c r="F257" s="31" t="s">
        <v>326</v>
      </c>
      <c r="G257" s="31" t="s">
        <v>327</v>
      </c>
      <c r="H257" s="23" t="s">
        <v>6423</v>
      </c>
      <c r="I257" s="146" t="s">
        <v>6830</v>
      </c>
      <c r="J257" s="146"/>
      <c r="K257" s="25" t="s">
        <v>294</v>
      </c>
      <c r="L257" s="66"/>
      <c r="M257" s="276"/>
      <c r="N257" s="4"/>
      <c r="O257" s="25"/>
      <c r="P257" s="50" t="s">
        <v>140</v>
      </c>
      <c r="Q257" s="50" t="s">
        <v>140</v>
      </c>
      <c r="R257" s="25" t="s">
        <v>297</v>
      </c>
      <c r="S257" s="50"/>
      <c r="T257" s="5"/>
      <c r="U257" s="5"/>
      <c r="V257" s="5"/>
      <c r="W257" s="5"/>
      <c r="X257" s="5"/>
      <c r="Y257" s="5"/>
      <c r="Z257" s="5"/>
      <c r="AA257" s="5"/>
    </row>
    <row r="258" spans="1:27" ht="15.75" customHeight="1">
      <c r="A258" s="344"/>
      <c r="B258" s="344"/>
      <c r="C258" s="111">
        <v>6</v>
      </c>
      <c r="D258" s="344"/>
      <c r="E258" s="146" t="s">
        <v>6831</v>
      </c>
      <c r="F258" s="31" t="s">
        <v>326</v>
      </c>
      <c r="G258" s="31" t="s">
        <v>327</v>
      </c>
      <c r="H258" s="23" t="s">
        <v>6423</v>
      </c>
      <c r="I258" s="146" t="s">
        <v>6832</v>
      </c>
      <c r="J258" s="146"/>
      <c r="K258" s="25" t="s">
        <v>294</v>
      </c>
      <c r="L258" s="66"/>
      <c r="M258" s="276"/>
      <c r="N258" s="4"/>
      <c r="O258" s="25"/>
      <c r="P258" s="50" t="s">
        <v>140</v>
      </c>
      <c r="Q258" s="50" t="s">
        <v>140</v>
      </c>
      <c r="R258" s="25" t="s">
        <v>297</v>
      </c>
      <c r="S258" s="50"/>
      <c r="T258" s="5"/>
      <c r="U258" s="5"/>
      <c r="V258" s="5"/>
      <c r="W258" s="5"/>
      <c r="X258" s="5"/>
      <c r="Y258" s="5"/>
      <c r="Z258" s="5"/>
      <c r="AA258" s="5"/>
    </row>
    <row r="259" spans="1:27" ht="15.75" customHeight="1">
      <c r="A259" s="344"/>
      <c r="B259" s="344"/>
      <c r="C259" s="111">
        <v>7</v>
      </c>
      <c r="D259" s="344"/>
      <c r="E259" s="146" t="s">
        <v>6833</v>
      </c>
      <c r="F259" s="31" t="s">
        <v>326</v>
      </c>
      <c r="G259" s="31" t="s">
        <v>327</v>
      </c>
      <c r="H259" s="23" t="s">
        <v>6423</v>
      </c>
      <c r="I259" s="146" t="s">
        <v>6834</v>
      </c>
      <c r="J259" s="146"/>
      <c r="K259" s="25" t="s">
        <v>294</v>
      </c>
      <c r="L259" s="66"/>
      <c r="M259" s="276"/>
      <c r="N259" s="4"/>
      <c r="O259" s="25"/>
      <c r="P259" s="50" t="s">
        <v>140</v>
      </c>
      <c r="Q259" s="50" t="s">
        <v>140</v>
      </c>
      <c r="R259" s="25" t="s">
        <v>297</v>
      </c>
      <c r="S259" s="50"/>
      <c r="T259" s="5"/>
      <c r="U259" s="5"/>
      <c r="V259" s="5"/>
      <c r="W259" s="5"/>
      <c r="X259" s="5"/>
      <c r="Y259" s="5"/>
      <c r="Z259" s="5"/>
      <c r="AA259" s="5"/>
    </row>
    <row r="260" spans="1:27" ht="15.75" customHeight="1">
      <c r="A260" s="344"/>
      <c r="B260" s="344"/>
      <c r="C260" s="111">
        <v>8</v>
      </c>
      <c r="D260" s="344"/>
      <c r="E260" s="146" t="s">
        <v>6835</v>
      </c>
      <c r="F260" s="31" t="s">
        <v>326</v>
      </c>
      <c r="G260" s="31" t="s">
        <v>327</v>
      </c>
      <c r="H260" s="23" t="s">
        <v>6423</v>
      </c>
      <c r="I260" s="146" t="s">
        <v>6836</v>
      </c>
      <c r="J260" s="146"/>
      <c r="K260" s="25" t="s">
        <v>294</v>
      </c>
      <c r="L260" s="66"/>
      <c r="M260" s="276"/>
      <c r="N260" s="4"/>
      <c r="O260" s="25"/>
      <c r="P260" s="50" t="s">
        <v>140</v>
      </c>
      <c r="Q260" s="50" t="s">
        <v>140</v>
      </c>
      <c r="R260" s="25" t="s">
        <v>297</v>
      </c>
      <c r="S260" s="50"/>
      <c r="T260" s="5"/>
      <c r="U260" s="5"/>
      <c r="V260" s="5"/>
      <c r="W260" s="5"/>
      <c r="X260" s="5"/>
      <c r="Y260" s="5"/>
      <c r="Z260" s="5"/>
      <c r="AA260" s="5"/>
    </row>
    <row r="261" spans="1:27" ht="15.75" customHeight="1">
      <c r="A261" s="344"/>
      <c r="B261" s="344"/>
      <c r="C261" s="111">
        <v>9</v>
      </c>
      <c r="D261" s="344"/>
      <c r="E261" s="146" t="s">
        <v>6837</v>
      </c>
      <c r="F261" s="31" t="s">
        <v>326</v>
      </c>
      <c r="G261" s="31" t="s">
        <v>327</v>
      </c>
      <c r="H261" s="23" t="s">
        <v>6423</v>
      </c>
      <c r="I261" s="146" t="s">
        <v>6838</v>
      </c>
      <c r="J261" s="146"/>
      <c r="K261" s="25" t="s">
        <v>294</v>
      </c>
      <c r="L261" s="66"/>
      <c r="M261" s="276"/>
      <c r="N261" s="4"/>
      <c r="O261" s="25"/>
      <c r="P261" s="50" t="s">
        <v>140</v>
      </c>
      <c r="Q261" s="50" t="s">
        <v>140</v>
      </c>
      <c r="R261" s="25" t="s">
        <v>297</v>
      </c>
      <c r="S261" s="50"/>
      <c r="T261" s="5"/>
      <c r="U261" s="5"/>
      <c r="V261" s="5"/>
      <c r="W261" s="5"/>
      <c r="X261" s="5"/>
      <c r="Y261" s="5"/>
      <c r="Z261" s="5"/>
      <c r="AA261" s="5"/>
    </row>
    <row r="262" spans="1:27" ht="15.75" customHeight="1">
      <c r="A262" s="344"/>
      <c r="B262" s="344"/>
      <c r="C262" s="111">
        <v>10</v>
      </c>
      <c r="D262" s="344"/>
      <c r="E262" s="146" t="s">
        <v>6839</v>
      </c>
      <c r="F262" s="31" t="s">
        <v>326</v>
      </c>
      <c r="G262" s="31" t="s">
        <v>327</v>
      </c>
      <c r="H262" s="23" t="s">
        <v>6423</v>
      </c>
      <c r="I262" s="146" t="s">
        <v>6840</v>
      </c>
      <c r="J262" s="146"/>
      <c r="K262" s="25" t="s">
        <v>294</v>
      </c>
      <c r="L262" s="66"/>
      <c r="M262" s="276"/>
      <c r="N262" s="4"/>
      <c r="O262" s="25"/>
      <c r="P262" s="50" t="s">
        <v>140</v>
      </c>
      <c r="Q262" s="50" t="s">
        <v>140</v>
      </c>
      <c r="R262" s="25" t="s">
        <v>297</v>
      </c>
      <c r="S262" s="50"/>
      <c r="T262" s="5"/>
      <c r="U262" s="5"/>
      <c r="V262" s="5"/>
      <c r="W262" s="5"/>
      <c r="X262" s="5"/>
      <c r="Y262" s="5"/>
      <c r="Z262" s="5"/>
      <c r="AA262" s="5"/>
    </row>
    <row r="263" spans="1:27" ht="15.75" customHeight="1">
      <c r="A263" s="344"/>
      <c r="B263" s="344"/>
      <c r="C263" s="111">
        <v>11</v>
      </c>
      <c r="D263" s="344"/>
      <c r="E263" s="146" t="s">
        <v>6841</v>
      </c>
      <c r="F263" s="31" t="s">
        <v>326</v>
      </c>
      <c r="G263" s="31" t="s">
        <v>327</v>
      </c>
      <c r="H263" s="23" t="s">
        <v>6423</v>
      </c>
      <c r="I263" s="146" t="s">
        <v>6842</v>
      </c>
      <c r="J263" s="146"/>
      <c r="K263" s="25" t="s">
        <v>294</v>
      </c>
      <c r="L263" s="66"/>
      <c r="M263" s="276"/>
      <c r="N263" s="4"/>
      <c r="O263" s="25"/>
      <c r="P263" s="50" t="s">
        <v>140</v>
      </c>
      <c r="Q263" s="50" t="s">
        <v>140</v>
      </c>
      <c r="R263" s="25" t="s">
        <v>297</v>
      </c>
      <c r="S263" s="50"/>
      <c r="T263" s="5"/>
      <c r="U263" s="5"/>
      <c r="V263" s="5"/>
      <c r="W263" s="5"/>
      <c r="X263" s="5"/>
      <c r="Y263" s="5"/>
      <c r="Z263" s="5"/>
      <c r="AA263" s="5"/>
    </row>
    <row r="264" spans="1:27" ht="15.75" customHeight="1">
      <c r="A264" s="345"/>
      <c r="B264" s="345"/>
      <c r="C264" s="111">
        <v>12</v>
      </c>
      <c r="D264" s="345"/>
      <c r="E264" s="146" t="s">
        <v>6843</v>
      </c>
      <c r="F264" s="31" t="s">
        <v>326</v>
      </c>
      <c r="G264" s="31" t="s">
        <v>327</v>
      </c>
      <c r="H264" s="23" t="s">
        <v>6423</v>
      </c>
      <c r="I264" s="146" t="s">
        <v>6844</v>
      </c>
      <c r="J264" s="146"/>
      <c r="K264" s="25" t="s">
        <v>294</v>
      </c>
      <c r="L264" s="66"/>
      <c r="M264" s="276"/>
      <c r="N264" s="4"/>
      <c r="O264" s="25"/>
      <c r="P264" s="50" t="s">
        <v>140</v>
      </c>
      <c r="Q264" s="50" t="s">
        <v>140</v>
      </c>
      <c r="R264" s="25" t="s">
        <v>297</v>
      </c>
      <c r="S264" s="50"/>
      <c r="T264" s="5"/>
      <c r="U264" s="5"/>
      <c r="V264" s="5"/>
      <c r="W264" s="5"/>
      <c r="X264" s="5"/>
      <c r="Y264" s="5"/>
      <c r="Z264" s="5"/>
      <c r="AA264" s="5"/>
    </row>
    <row r="265" spans="1:27" ht="15.75" customHeight="1">
      <c r="A265" s="351" t="s">
        <v>6845</v>
      </c>
      <c r="B265" s="354" t="s">
        <v>252</v>
      </c>
      <c r="C265" s="86">
        <v>1</v>
      </c>
      <c r="D265" s="351" t="s">
        <v>6846</v>
      </c>
      <c r="E265" s="181" t="s">
        <v>6847</v>
      </c>
      <c r="F265" s="86" t="s">
        <v>326</v>
      </c>
      <c r="G265" s="86" t="s">
        <v>327</v>
      </c>
      <c r="H265" s="175" t="s">
        <v>6423</v>
      </c>
      <c r="I265" s="80" t="s">
        <v>6848</v>
      </c>
      <c r="J265" s="84"/>
      <c r="K265" s="25"/>
      <c r="L265" s="66"/>
      <c r="M265" s="276"/>
      <c r="N265" s="4"/>
      <c r="O265" s="25"/>
      <c r="P265" s="50" t="s">
        <v>282</v>
      </c>
      <c r="Q265" s="50" t="s">
        <v>282</v>
      </c>
      <c r="R265" s="25" t="s">
        <v>308</v>
      </c>
      <c r="S265" s="50"/>
    </row>
    <row r="266" spans="1:27" ht="15.75" customHeight="1">
      <c r="A266" s="352"/>
      <c r="B266" s="352"/>
      <c r="C266" s="86">
        <v>2</v>
      </c>
      <c r="D266" s="352"/>
      <c r="E266" s="181" t="s">
        <v>6849</v>
      </c>
      <c r="F266" s="86" t="s">
        <v>326</v>
      </c>
      <c r="G266" s="86" t="s">
        <v>327</v>
      </c>
      <c r="H266" s="175" t="s">
        <v>6423</v>
      </c>
      <c r="I266" s="80" t="s">
        <v>6850</v>
      </c>
      <c r="J266" s="84"/>
      <c r="K266" s="25"/>
      <c r="L266" s="66"/>
      <c r="M266" s="276"/>
      <c r="N266" s="4"/>
      <c r="O266" s="25"/>
      <c r="P266" s="50" t="s">
        <v>282</v>
      </c>
      <c r="Q266" s="50" t="s">
        <v>282</v>
      </c>
      <c r="R266" s="25" t="s">
        <v>308</v>
      </c>
      <c r="S266" s="50"/>
    </row>
    <row r="267" spans="1:27" ht="15.75" customHeight="1">
      <c r="A267" s="352"/>
      <c r="B267" s="352"/>
      <c r="C267" s="86">
        <v>3</v>
      </c>
      <c r="D267" s="352"/>
      <c r="E267" s="181" t="s">
        <v>6851</v>
      </c>
      <c r="F267" s="86" t="s">
        <v>326</v>
      </c>
      <c r="G267" s="86" t="s">
        <v>327</v>
      </c>
      <c r="H267" s="175" t="s">
        <v>6423</v>
      </c>
      <c r="I267" s="80" t="s">
        <v>6852</v>
      </c>
      <c r="J267" s="84"/>
      <c r="K267" s="25"/>
      <c r="L267" s="66"/>
      <c r="M267" s="276"/>
      <c r="N267" s="4"/>
      <c r="O267" s="25"/>
      <c r="P267" s="50" t="s">
        <v>282</v>
      </c>
      <c r="Q267" s="50" t="s">
        <v>282</v>
      </c>
      <c r="R267" s="25" t="s">
        <v>308</v>
      </c>
      <c r="S267" s="50"/>
    </row>
    <row r="268" spans="1:27" ht="15.75" customHeight="1">
      <c r="A268" s="352"/>
      <c r="B268" s="352"/>
      <c r="C268" s="86">
        <v>4</v>
      </c>
      <c r="D268" s="352"/>
      <c r="E268" s="181" t="s">
        <v>6853</v>
      </c>
      <c r="F268" s="86" t="s">
        <v>326</v>
      </c>
      <c r="G268" s="86" t="s">
        <v>327</v>
      </c>
      <c r="H268" s="175" t="s">
        <v>6423</v>
      </c>
      <c r="I268" s="80" t="s">
        <v>6854</v>
      </c>
      <c r="J268" s="84"/>
      <c r="K268" s="25"/>
      <c r="L268" s="66"/>
      <c r="M268" s="276"/>
      <c r="N268" s="4"/>
      <c r="O268" s="25"/>
      <c r="P268" s="50" t="s">
        <v>282</v>
      </c>
      <c r="Q268" s="50" t="s">
        <v>282</v>
      </c>
      <c r="R268" s="25" t="s">
        <v>308</v>
      </c>
      <c r="S268" s="50"/>
    </row>
    <row r="269" spans="1:27" ht="15.75" customHeight="1">
      <c r="A269" s="352"/>
      <c r="B269" s="352"/>
      <c r="C269" s="86">
        <v>5</v>
      </c>
      <c r="D269" s="352"/>
      <c r="E269" s="181" t="s">
        <v>6855</v>
      </c>
      <c r="F269" s="86" t="s">
        <v>326</v>
      </c>
      <c r="G269" s="86" t="s">
        <v>327</v>
      </c>
      <c r="H269" s="175" t="s">
        <v>6423</v>
      </c>
      <c r="I269" s="80" t="s">
        <v>6856</v>
      </c>
      <c r="J269" s="84"/>
      <c r="K269" s="25"/>
      <c r="L269" s="66"/>
      <c r="M269" s="276"/>
      <c r="N269" s="4"/>
      <c r="O269" s="25"/>
      <c r="P269" s="50" t="s">
        <v>282</v>
      </c>
      <c r="Q269" s="50" t="s">
        <v>282</v>
      </c>
      <c r="R269" s="25" t="s">
        <v>308</v>
      </c>
      <c r="S269" s="50"/>
    </row>
    <row r="270" spans="1:27" ht="15.75" customHeight="1">
      <c r="A270" s="352"/>
      <c r="B270" s="352"/>
      <c r="C270" s="86">
        <v>6</v>
      </c>
      <c r="D270" s="352"/>
      <c r="E270" s="181" t="s">
        <v>6857</v>
      </c>
      <c r="F270" s="86" t="s">
        <v>326</v>
      </c>
      <c r="G270" s="86" t="s">
        <v>327</v>
      </c>
      <c r="H270" s="175" t="s">
        <v>6423</v>
      </c>
      <c r="I270" s="80" t="s">
        <v>6858</v>
      </c>
      <c r="J270" s="84"/>
      <c r="K270" s="25"/>
      <c r="L270" s="66"/>
      <c r="M270" s="276"/>
      <c r="N270" s="4"/>
      <c r="O270" s="25"/>
      <c r="P270" s="50" t="s">
        <v>282</v>
      </c>
      <c r="Q270" s="50" t="s">
        <v>282</v>
      </c>
      <c r="R270" s="25" t="s">
        <v>308</v>
      </c>
      <c r="S270" s="50"/>
    </row>
    <row r="271" spans="1:27" ht="15.75" customHeight="1">
      <c r="A271" s="352"/>
      <c r="B271" s="352"/>
      <c r="C271" s="86">
        <v>7</v>
      </c>
      <c r="D271" s="352"/>
      <c r="E271" s="181" t="s">
        <v>6859</v>
      </c>
      <c r="F271" s="86" t="s">
        <v>326</v>
      </c>
      <c r="G271" s="86" t="s">
        <v>327</v>
      </c>
      <c r="H271" s="175" t="s">
        <v>6423</v>
      </c>
      <c r="I271" s="80" t="s">
        <v>6860</v>
      </c>
      <c r="J271" s="84"/>
      <c r="K271" s="25"/>
      <c r="L271" s="66"/>
      <c r="M271" s="276"/>
      <c r="N271" s="4"/>
      <c r="O271" s="25"/>
      <c r="P271" s="50" t="s">
        <v>282</v>
      </c>
      <c r="Q271" s="50" t="s">
        <v>282</v>
      </c>
      <c r="R271" s="25" t="s">
        <v>308</v>
      </c>
      <c r="S271" s="50"/>
    </row>
    <row r="272" spans="1:27" ht="15.75" customHeight="1">
      <c r="A272" s="352"/>
      <c r="B272" s="352"/>
      <c r="C272" s="86">
        <v>8</v>
      </c>
      <c r="D272" s="352"/>
      <c r="E272" s="181" t="s">
        <v>6861</v>
      </c>
      <c r="F272" s="86" t="s">
        <v>326</v>
      </c>
      <c r="G272" s="86" t="s">
        <v>327</v>
      </c>
      <c r="H272" s="175" t="s">
        <v>6423</v>
      </c>
      <c r="I272" s="80" t="s">
        <v>6862</v>
      </c>
      <c r="J272" s="84"/>
      <c r="K272" s="25"/>
      <c r="L272" s="66"/>
      <c r="M272" s="276"/>
      <c r="N272" s="4"/>
      <c r="O272" s="25"/>
      <c r="P272" s="50" t="s">
        <v>282</v>
      </c>
      <c r="Q272" s="50" t="s">
        <v>282</v>
      </c>
      <c r="R272" s="25" t="s">
        <v>308</v>
      </c>
      <c r="S272" s="50"/>
    </row>
    <row r="273" spans="1:19" ht="15.75" customHeight="1">
      <c r="A273" s="353"/>
      <c r="B273" s="353"/>
      <c r="C273" s="86">
        <v>9</v>
      </c>
      <c r="D273" s="353"/>
      <c r="E273" s="181" t="s">
        <v>6863</v>
      </c>
      <c r="F273" s="86" t="s">
        <v>326</v>
      </c>
      <c r="G273" s="86" t="s">
        <v>327</v>
      </c>
      <c r="H273" s="175" t="s">
        <v>6423</v>
      </c>
      <c r="I273" s="80" t="s">
        <v>6864</v>
      </c>
      <c r="J273" s="84"/>
      <c r="K273" s="25"/>
      <c r="L273" s="66"/>
      <c r="M273" s="276"/>
      <c r="N273" s="4"/>
      <c r="O273" s="25"/>
      <c r="P273" s="50" t="s">
        <v>282</v>
      </c>
      <c r="Q273" s="50" t="s">
        <v>282</v>
      </c>
      <c r="R273" s="25" t="s">
        <v>308</v>
      </c>
      <c r="S273" s="50"/>
    </row>
    <row r="274" spans="1:19" ht="15.75" customHeight="1">
      <c r="A274" s="410" t="s">
        <v>6865</v>
      </c>
      <c r="B274" s="367" t="s">
        <v>253</v>
      </c>
      <c r="C274" s="111">
        <v>1</v>
      </c>
      <c r="D274" s="367" t="s">
        <v>6866</v>
      </c>
      <c r="E274" s="56" t="s">
        <v>6867</v>
      </c>
      <c r="F274" s="46" t="s">
        <v>326</v>
      </c>
      <c r="G274" s="46" t="s">
        <v>327</v>
      </c>
      <c r="H274" s="35" t="s">
        <v>6868</v>
      </c>
      <c r="I274" s="80" t="s">
        <v>6559</v>
      </c>
      <c r="J274" s="84"/>
      <c r="K274" s="25" t="s">
        <v>294</v>
      </c>
      <c r="L274" s="66"/>
      <c r="M274" s="276"/>
      <c r="N274" s="4"/>
      <c r="O274" s="25"/>
      <c r="P274" s="25"/>
      <c r="Q274" s="50" t="s">
        <v>140</v>
      </c>
      <c r="R274" s="25" t="s">
        <v>297</v>
      </c>
      <c r="S274" s="50"/>
    </row>
    <row r="275" spans="1:19" ht="15.75" customHeight="1">
      <c r="A275" s="344"/>
      <c r="B275" s="344"/>
      <c r="C275" s="111">
        <v>2</v>
      </c>
      <c r="D275" s="344"/>
      <c r="E275" s="56" t="s">
        <v>6869</v>
      </c>
      <c r="F275" s="46" t="s">
        <v>326</v>
      </c>
      <c r="G275" s="46" t="s">
        <v>327</v>
      </c>
      <c r="H275" s="35" t="s">
        <v>6868</v>
      </c>
      <c r="I275" s="80" t="s">
        <v>6559</v>
      </c>
      <c r="J275" s="84"/>
      <c r="K275" s="25" t="s">
        <v>294</v>
      </c>
      <c r="L275" s="66"/>
      <c r="M275" s="276"/>
      <c r="N275" s="4"/>
      <c r="O275" s="25"/>
      <c r="P275" s="25"/>
      <c r="Q275" s="50" t="s">
        <v>140</v>
      </c>
      <c r="R275" s="25" t="s">
        <v>297</v>
      </c>
      <c r="S275" s="50"/>
    </row>
    <row r="276" spans="1:19" ht="15.75" customHeight="1">
      <c r="A276" s="344"/>
      <c r="B276" s="344"/>
      <c r="C276" s="111">
        <v>3</v>
      </c>
      <c r="D276" s="344"/>
      <c r="E276" s="277" t="s">
        <v>6870</v>
      </c>
      <c r="F276" s="46" t="s">
        <v>326</v>
      </c>
      <c r="G276" s="46" t="s">
        <v>327</v>
      </c>
      <c r="H276" s="35" t="s">
        <v>6868</v>
      </c>
      <c r="I276" s="80" t="s">
        <v>6559</v>
      </c>
      <c r="J276" s="84"/>
      <c r="K276" s="25" t="s">
        <v>294</v>
      </c>
      <c r="L276" s="66"/>
      <c r="M276" s="66"/>
      <c r="N276" s="4"/>
      <c r="O276" s="25"/>
      <c r="P276" s="25"/>
      <c r="Q276" s="50" t="s">
        <v>140</v>
      </c>
      <c r="R276" s="25" t="s">
        <v>297</v>
      </c>
      <c r="S276" s="50"/>
    </row>
    <row r="277" spans="1:19" ht="15.75" customHeight="1">
      <c r="A277" s="344"/>
      <c r="B277" s="344"/>
      <c r="C277" s="111">
        <v>4</v>
      </c>
      <c r="D277" s="344"/>
      <c r="E277" s="277" t="s">
        <v>6871</v>
      </c>
      <c r="F277" s="46" t="s">
        <v>326</v>
      </c>
      <c r="G277" s="46" t="s">
        <v>327</v>
      </c>
      <c r="H277" s="35" t="s">
        <v>6868</v>
      </c>
      <c r="I277" s="80" t="s">
        <v>6559</v>
      </c>
      <c r="J277" s="84"/>
      <c r="K277" s="25" t="s">
        <v>294</v>
      </c>
      <c r="L277" s="66"/>
      <c r="M277" s="66"/>
      <c r="N277" s="4"/>
      <c r="O277" s="25"/>
      <c r="P277" s="25"/>
      <c r="Q277" s="50" t="s">
        <v>140</v>
      </c>
      <c r="R277" s="25" t="s">
        <v>297</v>
      </c>
      <c r="S277" s="50"/>
    </row>
    <row r="278" spans="1:19" ht="15.75" customHeight="1">
      <c r="A278" s="344"/>
      <c r="B278" s="344"/>
      <c r="C278" s="111">
        <v>5</v>
      </c>
      <c r="D278" s="344"/>
      <c r="E278" s="277" t="s">
        <v>6872</v>
      </c>
      <c r="F278" s="46" t="s">
        <v>326</v>
      </c>
      <c r="G278" s="46" t="s">
        <v>327</v>
      </c>
      <c r="H278" s="35" t="s">
        <v>6868</v>
      </c>
      <c r="I278" s="80" t="s">
        <v>6559</v>
      </c>
      <c r="J278" s="84"/>
      <c r="K278" s="25" t="s">
        <v>294</v>
      </c>
      <c r="L278" s="66"/>
      <c r="M278" s="66"/>
      <c r="N278" s="4"/>
      <c r="O278" s="25"/>
      <c r="P278" s="25"/>
      <c r="Q278" s="50" t="s">
        <v>140</v>
      </c>
      <c r="R278" s="25" t="s">
        <v>297</v>
      </c>
      <c r="S278" s="50"/>
    </row>
    <row r="279" spans="1:19" ht="15.75" customHeight="1">
      <c r="A279" s="344"/>
      <c r="B279" s="344"/>
      <c r="C279" s="111">
        <v>6</v>
      </c>
      <c r="D279" s="344"/>
      <c r="E279" s="277" t="s">
        <v>6873</v>
      </c>
      <c r="F279" s="46" t="s">
        <v>326</v>
      </c>
      <c r="G279" s="46" t="s">
        <v>327</v>
      </c>
      <c r="H279" s="35" t="s">
        <v>6868</v>
      </c>
      <c r="I279" s="80" t="s">
        <v>6559</v>
      </c>
      <c r="J279" s="84"/>
      <c r="K279" s="25" t="s">
        <v>294</v>
      </c>
      <c r="L279" s="66"/>
      <c r="M279" s="66"/>
      <c r="N279" s="4"/>
      <c r="O279" s="25"/>
      <c r="P279" s="25"/>
      <c r="Q279" s="50" t="s">
        <v>140</v>
      </c>
      <c r="R279" s="25" t="s">
        <v>297</v>
      </c>
      <c r="S279" s="50"/>
    </row>
    <row r="280" spans="1:19" ht="15.75" customHeight="1">
      <c r="A280" s="344"/>
      <c r="B280" s="344"/>
      <c r="C280" s="111">
        <v>7</v>
      </c>
      <c r="D280" s="344"/>
      <c r="E280" s="277" t="s">
        <v>6874</v>
      </c>
      <c r="F280" s="46" t="s">
        <v>326</v>
      </c>
      <c r="G280" s="46" t="s">
        <v>327</v>
      </c>
      <c r="H280" s="35" t="s">
        <v>6868</v>
      </c>
      <c r="I280" s="80" t="s">
        <v>6559</v>
      </c>
      <c r="J280" s="84"/>
      <c r="K280" s="25" t="s">
        <v>294</v>
      </c>
      <c r="L280" s="66"/>
      <c r="M280" s="66"/>
      <c r="N280" s="4"/>
      <c r="O280" s="25"/>
      <c r="P280" s="25"/>
      <c r="Q280" s="50" t="s">
        <v>140</v>
      </c>
      <c r="R280" s="25" t="s">
        <v>297</v>
      </c>
      <c r="S280" s="50"/>
    </row>
    <row r="281" spans="1:19" ht="15.75" customHeight="1">
      <c r="A281" s="344"/>
      <c r="B281" s="344"/>
      <c r="C281" s="111">
        <v>8</v>
      </c>
      <c r="D281" s="344"/>
      <c r="E281" s="277" t="s">
        <v>6875</v>
      </c>
      <c r="F281" s="46" t="s">
        <v>326</v>
      </c>
      <c r="G281" s="46" t="s">
        <v>327</v>
      </c>
      <c r="H281" s="35" t="s">
        <v>6868</v>
      </c>
      <c r="I281" s="80" t="s">
        <v>6559</v>
      </c>
      <c r="J281" s="84"/>
      <c r="K281" s="25" t="s">
        <v>294</v>
      </c>
      <c r="L281" s="66"/>
      <c r="M281" s="66"/>
      <c r="N281" s="4"/>
      <c r="O281" s="25"/>
      <c r="P281" s="25"/>
      <c r="Q281" s="50" t="s">
        <v>140</v>
      </c>
      <c r="R281" s="25" t="s">
        <v>297</v>
      </c>
      <c r="S281" s="50"/>
    </row>
    <row r="282" spans="1:19" ht="15.75" customHeight="1">
      <c r="A282" s="344"/>
      <c r="B282" s="344"/>
      <c r="C282" s="111">
        <v>9</v>
      </c>
      <c r="D282" s="344"/>
      <c r="E282" s="277" t="s">
        <v>6876</v>
      </c>
      <c r="F282" s="46" t="s">
        <v>326</v>
      </c>
      <c r="G282" s="46" t="s">
        <v>327</v>
      </c>
      <c r="H282" s="35" t="s">
        <v>6868</v>
      </c>
      <c r="I282" s="80" t="s">
        <v>6559</v>
      </c>
      <c r="J282" s="84"/>
      <c r="K282" s="25" t="s">
        <v>294</v>
      </c>
      <c r="L282" s="66"/>
      <c r="M282" s="66"/>
      <c r="N282" s="4"/>
      <c r="O282" s="25"/>
      <c r="P282" s="25"/>
      <c r="Q282" s="50" t="s">
        <v>140</v>
      </c>
      <c r="R282" s="25" t="s">
        <v>297</v>
      </c>
      <c r="S282" s="50"/>
    </row>
    <row r="283" spans="1:19" ht="15.75" customHeight="1">
      <c r="A283" s="344"/>
      <c r="B283" s="344"/>
      <c r="C283" s="111">
        <v>10</v>
      </c>
      <c r="D283" s="344"/>
      <c r="E283" s="277" t="s">
        <v>6877</v>
      </c>
      <c r="F283" s="46" t="s">
        <v>326</v>
      </c>
      <c r="G283" s="46" t="s">
        <v>327</v>
      </c>
      <c r="H283" s="35" t="s">
        <v>6868</v>
      </c>
      <c r="I283" s="80" t="s">
        <v>6559</v>
      </c>
      <c r="J283" s="84"/>
      <c r="K283" s="25" t="s">
        <v>294</v>
      </c>
      <c r="L283" s="66"/>
      <c r="M283" s="66"/>
      <c r="N283" s="4"/>
      <c r="O283" s="25"/>
      <c r="P283" s="25"/>
      <c r="Q283" s="50" t="s">
        <v>140</v>
      </c>
      <c r="R283" s="25" t="s">
        <v>297</v>
      </c>
      <c r="S283" s="50"/>
    </row>
    <row r="284" spans="1:19" ht="15.75" customHeight="1">
      <c r="A284" s="344"/>
      <c r="B284" s="344"/>
      <c r="C284" s="111">
        <v>11</v>
      </c>
      <c r="D284" s="344"/>
      <c r="E284" s="277" t="s">
        <v>6878</v>
      </c>
      <c r="F284" s="46" t="s">
        <v>326</v>
      </c>
      <c r="G284" s="46" t="s">
        <v>327</v>
      </c>
      <c r="H284" s="35" t="s">
        <v>6868</v>
      </c>
      <c r="I284" s="80" t="s">
        <v>6559</v>
      </c>
      <c r="J284" s="84"/>
      <c r="K284" s="25" t="s">
        <v>294</v>
      </c>
      <c r="L284" s="66"/>
      <c r="M284" s="66"/>
      <c r="N284" s="4"/>
      <c r="O284" s="25"/>
      <c r="P284" s="25"/>
      <c r="Q284" s="50" t="s">
        <v>140</v>
      </c>
      <c r="R284" s="25" t="s">
        <v>297</v>
      </c>
      <c r="S284" s="50"/>
    </row>
    <row r="285" spans="1:19" ht="15.75" customHeight="1">
      <c r="A285" s="345"/>
      <c r="B285" s="345"/>
      <c r="C285" s="111">
        <v>12</v>
      </c>
      <c r="D285" s="344"/>
      <c r="E285" s="277" t="s">
        <v>6879</v>
      </c>
      <c r="F285" s="46" t="s">
        <v>326</v>
      </c>
      <c r="G285" s="46" t="s">
        <v>327</v>
      </c>
      <c r="H285" s="35" t="s">
        <v>6868</v>
      </c>
      <c r="I285" s="80" t="s">
        <v>6559</v>
      </c>
      <c r="J285" s="84"/>
      <c r="K285" s="25" t="s">
        <v>294</v>
      </c>
      <c r="L285" s="66"/>
      <c r="M285" s="66"/>
      <c r="N285" s="4"/>
      <c r="O285" s="25"/>
      <c r="P285" s="25"/>
      <c r="Q285" s="50" t="s">
        <v>140</v>
      </c>
      <c r="R285" s="25" t="s">
        <v>297</v>
      </c>
      <c r="S285" s="50"/>
    </row>
    <row r="286" spans="1:19" ht="15.75" customHeight="1">
      <c r="A286" s="410" t="s">
        <v>6880</v>
      </c>
      <c r="B286" s="367" t="s">
        <v>254</v>
      </c>
      <c r="C286" s="111">
        <v>1</v>
      </c>
      <c r="D286" s="366" t="s">
        <v>6881</v>
      </c>
      <c r="E286" s="80" t="s">
        <v>6882</v>
      </c>
      <c r="F286" s="46" t="s">
        <v>326</v>
      </c>
      <c r="G286" s="46" t="s">
        <v>327</v>
      </c>
      <c r="H286" s="35" t="s">
        <v>6868</v>
      </c>
      <c r="I286" s="80" t="s">
        <v>6559</v>
      </c>
      <c r="J286" s="84"/>
      <c r="K286" s="25" t="s">
        <v>294</v>
      </c>
      <c r="L286" s="66"/>
      <c r="M286" s="66"/>
      <c r="N286" s="4"/>
      <c r="O286" s="25"/>
      <c r="P286" s="25"/>
      <c r="Q286" s="50" t="s">
        <v>140</v>
      </c>
      <c r="R286" s="25" t="s">
        <v>297</v>
      </c>
      <c r="S286" s="50"/>
    </row>
    <row r="287" spans="1:19" ht="15.75" customHeight="1">
      <c r="A287" s="344"/>
      <c r="B287" s="344"/>
      <c r="C287" s="111">
        <v>2</v>
      </c>
      <c r="D287" s="344"/>
      <c r="E287" s="80" t="s">
        <v>6883</v>
      </c>
      <c r="F287" s="46" t="s">
        <v>326</v>
      </c>
      <c r="G287" s="46" t="s">
        <v>327</v>
      </c>
      <c r="H287" s="35" t="s">
        <v>6868</v>
      </c>
      <c r="I287" s="80" t="s">
        <v>6559</v>
      </c>
      <c r="J287" s="84"/>
      <c r="K287" s="25" t="s">
        <v>294</v>
      </c>
      <c r="L287" s="66"/>
      <c r="M287" s="66"/>
      <c r="N287" s="4"/>
      <c r="O287" s="25"/>
      <c r="P287" s="25"/>
      <c r="Q287" s="50" t="s">
        <v>140</v>
      </c>
      <c r="R287" s="25" t="s">
        <v>297</v>
      </c>
      <c r="S287" s="50"/>
    </row>
    <row r="288" spans="1:19" ht="15.75" customHeight="1">
      <c r="A288" s="344"/>
      <c r="B288" s="344"/>
      <c r="C288" s="111">
        <v>3</v>
      </c>
      <c r="D288" s="344"/>
      <c r="E288" s="80" t="s">
        <v>6884</v>
      </c>
      <c r="F288" s="46" t="s">
        <v>326</v>
      </c>
      <c r="G288" s="46" t="s">
        <v>327</v>
      </c>
      <c r="H288" s="35" t="s">
        <v>6868</v>
      </c>
      <c r="I288" s="80" t="s">
        <v>6559</v>
      </c>
      <c r="J288" s="84"/>
      <c r="K288" s="25" t="s">
        <v>294</v>
      </c>
      <c r="L288" s="66"/>
      <c r="M288" s="66"/>
      <c r="N288" s="4"/>
      <c r="O288" s="25"/>
      <c r="P288" s="25"/>
      <c r="Q288" s="50" t="s">
        <v>140</v>
      </c>
      <c r="R288" s="25" t="s">
        <v>297</v>
      </c>
      <c r="S288" s="50"/>
    </row>
    <row r="289" spans="1:19" ht="39" customHeight="1">
      <c r="A289" s="344"/>
      <c r="B289" s="344"/>
      <c r="C289" s="111">
        <v>4</v>
      </c>
      <c r="D289" s="344"/>
      <c r="E289" s="80" t="s">
        <v>6885</v>
      </c>
      <c r="F289" s="46" t="s">
        <v>326</v>
      </c>
      <c r="G289" s="46" t="s">
        <v>327</v>
      </c>
      <c r="H289" s="35" t="s">
        <v>6868</v>
      </c>
      <c r="I289" s="80" t="s">
        <v>6559</v>
      </c>
      <c r="J289" s="84"/>
      <c r="K289" s="25" t="s">
        <v>294</v>
      </c>
      <c r="L289" s="66"/>
      <c r="M289" s="66"/>
      <c r="N289" s="4"/>
      <c r="O289" s="25"/>
      <c r="P289" s="25"/>
      <c r="Q289" s="50" t="s">
        <v>140</v>
      </c>
      <c r="R289" s="25" t="s">
        <v>297</v>
      </c>
      <c r="S289" s="50"/>
    </row>
    <row r="290" spans="1:19" ht="36" customHeight="1">
      <c r="A290" s="344"/>
      <c r="B290" s="344"/>
      <c r="C290" s="111">
        <v>5</v>
      </c>
      <c r="D290" s="344"/>
      <c r="E290" s="80" t="s">
        <v>6886</v>
      </c>
      <c r="F290" s="46" t="s">
        <v>326</v>
      </c>
      <c r="G290" s="46" t="s">
        <v>327</v>
      </c>
      <c r="H290" s="35" t="s">
        <v>6868</v>
      </c>
      <c r="I290" s="80" t="s">
        <v>6559</v>
      </c>
      <c r="J290" s="84"/>
      <c r="K290" s="25" t="s">
        <v>294</v>
      </c>
      <c r="L290" s="66"/>
      <c r="M290" s="66"/>
      <c r="N290" s="4"/>
      <c r="O290" s="25"/>
      <c r="P290" s="25"/>
      <c r="Q290" s="50" t="s">
        <v>140</v>
      </c>
      <c r="R290" s="25" t="s">
        <v>297</v>
      </c>
      <c r="S290" s="50"/>
    </row>
    <row r="291" spans="1:19" ht="15.75" customHeight="1">
      <c r="A291" s="345"/>
      <c r="B291" s="345"/>
      <c r="C291" s="111">
        <v>6</v>
      </c>
      <c r="D291" s="345"/>
      <c r="E291" s="80" t="s">
        <v>6887</v>
      </c>
      <c r="F291" s="46" t="s">
        <v>326</v>
      </c>
      <c r="G291" s="46" t="s">
        <v>327</v>
      </c>
      <c r="H291" s="35" t="s">
        <v>6868</v>
      </c>
      <c r="I291" s="80" t="s">
        <v>6559</v>
      </c>
      <c r="J291" s="84"/>
      <c r="K291" s="25" t="s">
        <v>294</v>
      </c>
      <c r="L291" s="66"/>
      <c r="M291" s="66"/>
      <c r="N291" s="4"/>
      <c r="O291" s="25"/>
      <c r="P291" s="25"/>
      <c r="Q291" s="50" t="s">
        <v>140</v>
      </c>
      <c r="R291" s="25" t="s">
        <v>297</v>
      </c>
      <c r="S291" s="50"/>
    </row>
    <row r="292" spans="1:19" ht="33" customHeight="1">
      <c r="A292" s="410" t="s">
        <v>6888</v>
      </c>
      <c r="B292" s="367" t="s">
        <v>255</v>
      </c>
      <c r="C292" s="111">
        <v>1</v>
      </c>
      <c r="D292" s="367" t="s">
        <v>6889</v>
      </c>
      <c r="E292" s="80" t="s">
        <v>6890</v>
      </c>
      <c r="F292" s="46" t="s">
        <v>326</v>
      </c>
      <c r="G292" s="46" t="s">
        <v>327</v>
      </c>
      <c r="H292" s="35" t="s">
        <v>6423</v>
      </c>
      <c r="I292" s="80" t="s">
        <v>6559</v>
      </c>
      <c r="J292" s="84"/>
      <c r="K292" s="25" t="s">
        <v>294</v>
      </c>
      <c r="L292" s="66"/>
      <c r="M292" s="66"/>
      <c r="N292" s="4"/>
      <c r="O292" s="25"/>
      <c r="P292" s="25"/>
      <c r="Q292" s="50" t="s">
        <v>140</v>
      </c>
      <c r="R292" s="25" t="s">
        <v>297</v>
      </c>
      <c r="S292" s="50"/>
    </row>
    <row r="293" spans="1:19" ht="15.75" customHeight="1">
      <c r="A293" s="344"/>
      <c r="B293" s="344"/>
      <c r="C293" s="111">
        <v>2</v>
      </c>
      <c r="D293" s="344"/>
      <c r="E293" s="80" t="s">
        <v>6891</v>
      </c>
      <c r="F293" s="46" t="s">
        <v>326</v>
      </c>
      <c r="G293" s="46" t="s">
        <v>327</v>
      </c>
      <c r="H293" s="35" t="s">
        <v>6423</v>
      </c>
      <c r="I293" s="80" t="s">
        <v>6559</v>
      </c>
      <c r="J293" s="84"/>
      <c r="K293" s="25" t="s">
        <v>294</v>
      </c>
      <c r="L293" s="66"/>
      <c r="M293" s="66"/>
      <c r="N293" s="4"/>
      <c r="O293" s="25"/>
      <c r="P293" s="25"/>
      <c r="Q293" s="50" t="s">
        <v>140</v>
      </c>
      <c r="R293" s="25" t="s">
        <v>297</v>
      </c>
      <c r="S293" s="50"/>
    </row>
    <row r="294" spans="1:19" ht="15.75" customHeight="1">
      <c r="A294" s="344"/>
      <c r="B294" s="344"/>
      <c r="C294" s="111">
        <v>3</v>
      </c>
      <c r="D294" s="344"/>
      <c r="E294" s="80" t="s">
        <v>6892</v>
      </c>
      <c r="F294" s="46" t="s">
        <v>326</v>
      </c>
      <c r="G294" s="46" t="s">
        <v>327</v>
      </c>
      <c r="H294" s="35" t="s">
        <v>6423</v>
      </c>
      <c r="I294" s="80" t="s">
        <v>6559</v>
      </c>
      <c r="J294" s="84"/>
      <c r="K294" s="25" t="s">
        <v>294</v>
      </c>
      <c r="L294" s="66"/>
      <c r="M294" s="66"/>
      <c r="N294" s="4"/>
      <c r="O294" s="25"/>
      <c r="P294" s="25"/>
      <c r="Q294" s="50" t="s">
        <v>140</v>
      </c>
      <c r="R294" s="25" t="s">
        <v>297</v>
      </c>
      <c r="S294" s="50"/>
    </row>
    <row r="295" spans="1:19" ht="15.75" customHeight="1">
      <c r="A295" s="344"/>
      <c r="B295" s="344"/>
      <c r="C295" s="111">
        <v>4</v>
      </c>
      <c r="D295" s="344"/>
      <c r="E295" s="80" t="s">
        <v>6893</v>
      </c>
      <c r="F295" s="46" t="s">
        <v>326</v>
      </c>
      <c r="G295" s="46" t="s">
        <v>327</v>
      </c>
      <c r="H295" s="35" t="s">
        <v>6423</v>
      </c>
      <c r="I295" s="80" t="s">
        <v>6559</v>
      </c>
      <c r="J295" s="84"/>
      <c r="K295" s="25" t="s">
        <v>294</v>
      </c>
      <c r="L295" s="66"/>
      <c r="M295" s="66"/>
      <c r="N295" s="4"/>
      <c r="O295" s="25"/>
      <c r="P295" s="25"/>
      <c r="Q295" s="50" t="s">
        <v>140</v>
      </c>
      <c r="R295" s="25" t="s">
        <v>297</v>
      </c>
      <c r="S295" s="50"/>
    </row>
    <row r="296" spans="1:19" ht="15.75" customHeight="1">
      <c r="A296" s="344"/>
      <c r="B296" s="344"/>
      <c r="C296" s="111">
        <v>5</v>
      </c>
      <c r="D296" s="344"/>
      <c r="E296" s="80" t="s">
        <v>3209</v>
      </c>
      <c r="F296" s="46" t="s">
        <v>326</v>
      </c>
      <c r="G296" s="46" t="s">
        <v>327</v>
      </c>
      <c r="H296" s="35" t="s">
        <v>6423</v>
      </c>
      <c r="I296" s="80" t="s">
        <v>6559</v>
      </c>
      <c r="J296" s="84"/>
      <c r="K296" s="25" t="s">
        <v>294</v>
      </c>
      <c r="L296" s="66"/>
      <c r="M296" s="66"/>
      <c r="N296" s="4"/>
      <c r="O296" s="25"/>
      <c r="P296" s="25"/>
      <c r="Q296" s="50" t="s">
        <v>140</v>
      </c>
      <c r="R296" s="25" t="s">
        <v>297</v>
      </c>
      <c r="S296" s="50"/>
    </row>
    <row r="297" spans="1:19" ht="15.75" customHeight="1">
      <c r="A297" s="344"/>
      <c r="B297" s="344"/>
      <c r="C297" s="111">
        <v>6</v>
      </c>
      <c r="D297" s="344"/>
      <c r="E297" s="80" t="s">
        <v>3210</v>
      </c>
      <c r="F297" s="46" t="s">
        <v>326</v>
      </c>
      <c r="G297" s="46" t="s">
        <v>327</v>
      </c>
      <c r="H297" s="35" t="s">
        <v>6423</v>
      </c>
      <c r="I297" s="80" t="s">
        <v>6559</v>
      </c>
      <c r="J297" s="84"/>
      <c r="K297" s="25" t="s">
        <v>294</v>
      </c>
      <c r="L297" s="66"/>
      <c r="M297" s="66"/>
      <c r="N297" s="4"/>
      <c r="O297" s="25"/>
      <c r="P297" s="25"/>
      <c r="Q297" s="50" t="s">
        <v>140</v>
      </c>
      <c r="R297" s="25" t="s">
        <v>297</v>
      </c>
      <c r="S297" s="50"/>
    </row>
    <row r="298" spans="1:19" ht="15.75" customHeight="1">
      <c r="A298" s="344"/>
      <c r="B298" s="344"/>
      <c r="C298" s="111">
        <v>7</v>
      </c>
      <c r="D298" s="344"/>
      <c r="E298" s="80" t="s">
        <v>3207</v>
      </c>
      <c r="F298" s="46" t="s">
        <v>326</v>
      </c>
      <c r="G298" s="46" t="s">
        <v>327</v>
      </c>
      <c r="H298" s="35" t="s">
        <v>6423</v>
      </c>
      <c r="I298" s="80" t="s">
        <v>6559</v>
      </c>
      <c r="J298" s="84"/>
      <c r="K298" s="25" t="s">
        <v>294</v>
      </c>
      <c r="L298" s="66"/>
      <c r="M298" s="66"/>
      <c r="N298" s="4"/>
      <c r="O298" s="25"/>
      <c r="P298" s="25"/>
      <c r="Q298" s="50" t="s">
        <v>140</v>
      </c>
      <c r="R298" s="25" t="s">
        <v>297</v>
      </c>
      <c r="S298" s="50"/>
    </row>
    <row r="299" spans="1:19" ht="15.75" customHeight="1">
      <c r="A299" s="344"/>
      <c r="B299" s="344"/>
      <c r="C299" s="111">
        <v>8</v>
      </c>
      <c r="D299" s="344"/>
      <c r="E299" s="80" t="s">
        <v>3208</v>
      </c>
      <c r="F299" s="46" t="s">
        <v>326</v>
      </c>
      <c r="G299" s="46" t="s">
        <v>327</v>
      </c>
      <c r="H299" s="35" t="s">
        <v>6423</v>
      </c>
      <c r="I299" s="80" t="s">
        <v>6559</v>
      </c>
      <c r="J299" s="84"/>
      <c r="K299" s="25" t="s">
        <v>294</v>
      </c>
      <c r="L299" s="66"/>
      <c r="M299" s="66"/>
      <c r="N299" s="4"/>
      <c r="O299" s="25"/>
      <c r="P299" s="25"/>
      <c r="Q299" s="50" t="s">
        <v>140</v>
      </c>
      <c r="R299" s="25" t="s">
        <v>297</v>
      </c>
      <c r="S299" s="50"/>
    </row>
    <row r="300" spans="1:19" ht="15.75" customHeight="1">
      <c r="A300" s="344"/>
      <c r="B300" s="344"/>
      <c r="C300" s="111">
        <v>9</v>
      </c>
      <c r="D300" s="344"/>
      <c r="E300" s="80" t="s">
        <v>6894</v>
      </c>
      <c r="F300" s="46" t="s">
        <v>326</v>
      </c>
      <c r="G300" s="46" t="s">
        <v>327</v>
      </c>
      <c r="H300" s="35" t="s">
        <v>6423</v>
      </c>
      <c r="I300" s="80" t="s">
        <v>6559</v>
      </c>
      <c r="J300" s="84"/>
      <c r="K300" s="278" t="s">
        <v>294</v>
      </c>
      <c r="L300" s="279"/>
      <c r="M300" s="66"/>
      <c r="N300" s="4"/>
      <c r="O300" s="25"/>
      <c r="P300" s="25"/>
      <c r="Q300" s="50" t="s">
        <v>140</v>
      </c>
      <c r="R300" s="25" t="s">
        <v>297</v>
      </c>
      <c r="S300" s="50"/>
    </row>
    <row r="301" spans="1:19" ht="15.75" customHeight="1">
      <c r="A301" s="344"/>
      <c r="B301" s="344"/>
      <c r="C301" s="111">
        <v>10</v>
      </c>
      <c r="D301" s="344"/>
      <c r="E301" s="80" t="s">
        <v>6895</v>
      </c>
      <c r="F301" s="46" t="s">
        <v>326</v>
      </c>
      <c r="G301" s="46" t="s">
        <v>327</v>
      </c>
      <c r="H301" s="35" t="s">
        <v>6423</v>
      </c>
      <c r="I301" s="80" t="s">
        <v>6559</v>
      </c>
      <c r="J301" s="84"/>
      <c r="K301" s="278" t="s">
        <v>294</v>
      </c>
      <c r="L301" s="279"/>
      <c r="M301" s="66"/>
      <c r="N301" s="4"/>
      <c r="O301" s="25"/>
      <c r="P301" s="25"/>
      <c r="Q301" s="50" t="s">
        <v>140</v>
      </c>
      <c r="R301" s="25" t="s">
        <v>297</v>
      </c>
      <c r="S301" s="50"/>
    </row>
    <row r="302" spans="1:19" ht="15.75" customHeight="1">
      <c r="A302" s="344"/>
      <c r="B302" s="344"/>
      <c r="C302" s="111">
        <v>11</v>
      </c>
      <c r="D302" s="344"/>
      <c r="E302" s="80" t="s">
        <v>6896</v>
      </c>
      <c r="F302" s="46" t="s">
        <v>326</v>
      </c>
      <c r="G302" s="46" t="s">
        <v>327</v>
      </c>
      <c r="H302" s="35" t="s">
        <v>6423</v>
      </c>
      <c r="I302" s="80" t="s">
        <v>6559</v>
      </c>
      <c r="J302" s="84"/>
      <c r="K302" s="278" t="s">
        <v>294</v>
      </c>
      <c r="L302" s="279"/>
      <c r="M302" s="66"/>
      <c r="N302" s="4"/>
      <c r="O302" s="25"/>
      <c r="P302" s="25"/>
      <c r="Q302" s="50" t="s">
        <v>140</v>
      </c>
      <c r="R302" s="25" t="s">
        <v>297</v>
      </c>
      <c r="S302" s="50"/>
    </row>
    <row r="303" spans="1:19" ht="15.75" customHeight="1">
      <c r="A303" s="344"/>
      <c r="B303" s="344"/>
      <c r="C303" s="280">
        <v>12</v>
      </c>
      <c r="D303" s="344"/>
      <c r="E303" s="75" t="s">
        <v>6897</v>
      </c>
      <c r="F303" s="72" t="s">
        <v>326</v>
      </c>
      <c r="G303" s="72" t="s">
        <v>327</v>
      </c>
      <c r="H303" s="56" t="s">
        <v>6423</v>
      </c>
      <c r="I303" s="80" t="s">
        <v>6559</v>
      </c>
      <c r="J303" s="84"/>
      <c r="K303" s="278" t="s">
        <v>294</v>
      </c>
      <c r="L303" s="281"/>
      <c r="M303" s="66"/>
      <c r="N303" s="3"/>
      <c r="O303" s="25"/>
      <c r="P303" s="25"/>
      <c r="Q303" s="50" t="s">
        <v>140</v>
      </c>
      <c r="R303" s="25" t="s">
        <v>297</v>
      </c>
      <c r="S303" s="50"/>
    </row>
    <row r="304" spans="1:19" ht="15.75" customHeight="1">
      <c r="A304" s="345"/>
      <c r="B304" s="345"/>
      <c r="C304" s="280">
        <v>13</v>
      </c>
      <c r="D304" s="345"/>
      <c r="E304" s="75" t="s">
        <v>6898</v>
      </c>
      <c r="F304" s="72" t="s">
        <v>326</v>
      </c>
      <c r="G304" s="72" t="s">
        <v>327</v>
      </c>
      <c r="H304" s="56" t="s">
        <v>6423</v>
      </c>
      <c r="I304" s="80" t="s">
        <v>6559</v>
      </c>
      <c r="J304" s="84"/>
      <c r="K304" s="278" t="s">
        <v>294</v>
      </c>
      <c r="L304" s="176"/>
      <c r="M304" s="66"/>
      <c r="N304" s="3"/>
      <c r="O304" s="25"/>
      <c r="P304" s="25"/>
      <c r="Q304" s="50" t="s">
        <v>140</v>
      </c>
      <c r="R304" s="25" t="s">
        <v>297</v>
      </c>
      <c r="S304" s="50"/>
    </row>
    <row r="305" spans="1:27" ht="15.75" customHeight="1">
      <c r="A305" s="410" t="s">
        <v>6899</v>
      </c>
      <c r="B305" s="367" t="s">
        <v>256</v>
      </c>
      <c r="C305" s="111">
        <v>1</v>
      </c>
      <c r="D305" s="366" t="s">
        <v>6900</v>
      </c>
      <c r="E305" s="80" t="s">
        <v>6901</v>
      </c>
      <c r="F305" s="46" t="s">
        <v>326</v>
      </c>
      <c r="G305" s="46" t="s">
        <v>327</v>
      </c>
      <c r="H305" s="35" t="s">
        <v>6868</v>
      </c>
      <c r="I305" s="80" t="s">
        <v>6559</v>
      </c>
      <c r="J305" s="84"/>
      <c r="K305" s="278" t="s">
        <v>294</v>
      </c>
      <c r="L305" s="66"/>
      <c r="M305" s="66"/>
      <c r="N305" s="4"/>
      <c r="O305" s="25"/>
      <c r="P305" s="25"/>
      <c r="Q305" s="50" t="s">
        <v>140</v>
      </c>
      <c r="R305" s="25" t="s">
        <v>297</v>
      </c>
      <c r="S305" s="50"/>
    </row>
    <row r="306" spans="1:27" ht="15.75" customHeight="1">
      <c r="A306" s="344"/>
      <c r="B306" s="344"/>
      <c r="C306" s="111">
        <v>2</v>
      </c>
      <c r="D306" s="344"/>
      <c r="E306" s="80" t="s">
        <v>6902</v>
      </c>
      <c r="F306" s="46" t="s">
        <v>326</v>
      </c>
      <c r="G306" s="46" t="s">
        <v>327</v>
      </c>
      <c r="H306" s="35" t="s">
        <v>6868</v>
      </c>
      <c r="I306" s="80" t="s">
        <v>6559</v>
      </c>
      <c r="J306" s="84"/>
      <c r="K306" s="278" t="s">
        <v>294</v>
      </c>
      <c r="L306" s="66"/>
      <c r="M306" s="66"/>
      <c r="N306" s="4"/>
      <c r="O306" s="25"/>
      <c r="P306" s="25"/>
      <c r="Q306" s="50" t="s">
        <v>140</v>
      </c>
      <c r="R306" s="25" t="s">
        <v>297</v>
      </c>
      <c r="S306" s="50"/>
    </row>
    <row r="307" spans="1:27" ht="15.75" customHeight="1">
      <c r="A307" s="344"/>
      <c r="B307" s="344"/>
      <c r="C307" s="111">
        <v>3</v>
      </c>
      <c r="D307" s="344"/>
      <c r="E307" s="80" t="s">
        <v>6903</v>
      </c>
      <c r="F307" s="46" t="s">
        <v>326</v>
      </c>
      <c r="G307" s="46" t="s">
        <v>327</v>
      </c>
      <c r="H307" s="35" t="s">
        <v>6868</v>
      </c>
      <c r="I307" s="80" t="s">
        <v>6559</v>
      </c>
      <c r="J307" s="84"/>
      <c r="K307" s="278" t="s">
        <v>294</v>
      </c>
      <c r="L307" s="66"/>
      <c r="M307" s="66"/>
      <c r="N307" s="4"/>
      <c r="O307" s="25"/>
      <c r="P307" s="25"/>
      <c r="Q307" s="50" t="s">
        <v>140</v>
      </c>
      <c r="R307" s="25" t="s">
        <v>297</v>
      </c>
      <c r="S307" s="50"/>
    </row>
    <row r="308" spans="1:27" ht="15.75" customHeight="1">
      <c r="A308" s="344"/>
      <c r="B308" s="344"/>
      <c r="C308" s="111">
        <v>4</v>
      </c>
      <c r="D308" s="344"/>
      <c r="E308" s="80" t="s">
        <v>6904</v>
      </c>
      <c r="F308" s="46" t="s">
        <v>326</v>
      </c>
      <c r="G308" s="46" t="s">
        <v>327</v>
      </c>
      <c r="H308" s="35" t="s">
        <v>6868</v>
      </c>
      <c r="I308" s="80" t="s">
        <v>6559</v>
      </c>
      <c r="J308" s="84"/>
      <c r="K308" s="278" t="s">
        <v>294</v>
      </c>
      <c r="L308" s="66"/>
      <c r="M308" s="66"/>
      <c r="N308" s="4"/>
      <c r="O308" s="25"/>
      <c r="P308" s="25"/>
      <c r="Q308" s="50" t="s">
        <v>140</v>
      </c>
      <c r="R308" s="25" t="s">
        <v>297</v>
      </c>
      <c r="S308" s="50"/>
    </row>
    <row r="309" spans="1:27" ht="15.75" customHeight="1">
      <c r="A309" s="344"/>
      <c r="B309" s="344"/>
      <c r="C309" s="111">
        <v>5</v>
      </c>
      <c r="D309" s="344"/>
      <c r="E309" s="80" t="s">
        <v>6905</v>
      </c>
      <c r="F309" s="46" t="s">
        <v>326</v>
      </c>
      <c r="G309" s="46" t="s">
        <v>327</v>
      </c>
      <c r="H309" s="35" t="s">
        <v>6868</v>
      </c>
      <c r="I309" s="80" t="s">
        <v>6559</v>
      </c>
      <c r="J309" s="84"/>
      <c r="K309" s="278" t="s">
        <v>294</v>
      </c>
      <c r="L309" s="66"/>
      <c r="M309" s="66"/>
      <c r="N309" s="4"/>
      <c r="O309" s="25"/>
      <c r="P309" s="25"/>
      <c r="Q309" s="50" t="s">
        <v>140</v>
      </c>
      <c r="R309" s="25" t="s">
        <v>297</v>
      </c>
      <c r="S309" s="50"/>
    </row>
    <row r="310" spans="1:27" ht="15.75" customHeight="1">
      <c r="A310" s="345"/>
      <c r="B310" s="345"/>
      <c r="C310" s="111">
        <v>6</v>
      </c>
      <c r="D310" s="345"/>
      <c r="E310" s="80" t="s">
        <v>6906</v>
      </c>
      <c r="F310" s="46" t="s">
        <v>326</v>
      </c>
      <c r="G310" s="46" t="s">
        <v>327</v>
      </c>
      <c r="H310" s="35" t="s">
        <v>6868</v>
      </c>
      <c r="I310" s="80" t="s">
        <v>6559</v>
      </c>
      <c r="J310" s="84"/>
      <c r="K310" s="278" t="s">
        <v>294</v>
      </c>
      <c r="L310" s="66"/>
      <c r="M310" s="66"/>
      <c r="N310" s="4"/>
      <c r="O310" s="25"/>
      <c r="P310" s="25"/>
      <c r="Q310" s="50" t="s">
        <v>140</v>
      </c>
      <c r="R310" s="25" t="s">
        <v>297</v>
      </c>
      <c r="S310" s="50"/>
    </row>
    <row r="311" spans="1:27" ht="46.5" customHeight="1">
      <c r="A311" s="364" t="s">
        <v>6907</v>
      </c>
      <c r="B311" s="363" t="s">
        <v>272</v>
      </c>
      <c r="C311" s="74">
        <v>1</v>
      </c>
      <c r="D311" s="363" t="s">
        <v>6900</v>
      </c>
      <c r="E311" s="67" t="s">
        <v>6908</v>
      </c>
      <c r="F311" s="61" t="s">
        <v>326</v>
      </c>
      <c r="G311" s="61" t="s">
        <v>327</v>
      </c>
      <c r="H311" s="63" t="s">
        <v>6423</v>
      </c>
      <c r="I311" s="67" t="s">
        <v>6909</v>
      </c>
      <c r="J311" s="67"/>
      <c r="K311" s="25"/>
      <c r="L311" s="66"/>
      <c r="M311" s="66"/>
      <c r="N311" s="4"/>
      <c r="O311" s="25"/>
      <c r="P311" s="25"/>
      <c r="Q311" s="50" t="s">
        <v>282</v>
      </c>
      <c r="R311" s="25" t="s">
        <v>297</v>
      </c>
      <c r="S311" s="50"/>
      <c r="T311" s="5"/>
      <c r="U311" s="5"/>
      <c r="V311" s="5"/>
      <c r="W311" s="5"/>
      <c r="X311" s="5"/>
      <c r="Y311" s="5"/>
      <c r="Z311" s="5"/>
      <c r="AA311" s="5"/>
    </row>
    <row r="312" spans="1:27" ht="15.75" customHeight="1">
      <c r="A312" s="344"/>
      <c r="B312" s="344"/>
      <c r="C312" s="74">
        <v>2</v>
      </c>
      <c r="D312" s="344"/>
      <c r="E312" s="67" t="s">
        <v>6910</v>
      </c>
      <c r="F312" s="61" t="s">
        <v>326</v>
      </c>
      <c r="G312" s="61" t="s">
        <v>327</v>
      </c>
      <c r="H312" s="63" t="s">
        <v>6423</v>
      </c>
      <c r="I312" s="67" t="s">
        <v>6911</v>
      </c>
      <c r="J312" s="67"/>
      <c r="K312" s="25"/>
      <c r="L312" s="66"/>
      <c r="M312" s="66"/>
      <c r="N312" s="4"/>
      <c r="O312" s="25"/>
      <c r="P312" s="25"/>
      <c r="Q312" s="50" t="s">
        <v>282</v>
      </c>
      <c r="R312" s="25" t="s">
        <v>297</v>
      </c>
      <c r="S312" s="50"/>
      <c r="T312" s="5"/>
      <c r="U312" s="5"/>
      <c r="V312" s="5"/>
      <c r="W312" s="5"/>
      <c r="X312" s="5"/>
      <c r="Y312" s="5"/>
      <c r="Z312" s="5"/>
      <c r="AA312" s="5"/>
    </row>
    <row r="313" spans="1:27" ht="15.75" customHeight="1">
      <c r="A313" s="344"/>
      <c r="B313" s="344"/>
      <c r="C313" s="74">
        <v>3</v>
      </c>
      <c r="D313" s="344"/>
      <c r="E313" s="67" t="s">
        <v>6709</v>
      </c>
      <c r="F313" s="61" t="s">
        <v>326</v>
      </c>
      <c r="G313" s="61" t="s">
        <v>327</v>
      </c>
      <c r="H313" s="63" t="s">
        <v>6423</v>
      </c>
      <c r="I313" s="67" t="s">
        <v>6710</v>
      </c>
      <c r="J313" s="67"/>
      <c r="K313" s="25"/>
      <c r="L313" s="66"/>
      <c r="M313" s="66"/>
      <c r="N313" s="4"/>
      <c r="O313" s="25"/>
      <c r="P313" s="25"/>
      <c r="Q313" s="50" t="s">
        <v>282</v>
      </c>
      <c r="R313" s="25" t="s">
        <v>297</v>
      </c>
      <c r="S313" s="50"/>
      <c r="T313" s="5"/>
      <c r="U313" s="5"/>
      <c r="V313" s="5"/>
      <c r="W313" s="5"/>
      <c r="X313" s="5"/>
      <c r="Y313" s="5"/>
      <c r="Z313" s="5"/>
      <c r="AA313" s="5"/>
    </row>
    <row r="314" spans="1:27" ht="15.75" customHeight="1">
      <c r="A314" s="344"/>
      <c r="B314" s="344"/>
      <c r="C314" s="74">
        <v>4</v>
      </c>
      <c r="D314" s="344"/>
      <c r="E314" s="67" t="s">
        <v>6711</v>
      </c>
      <c r="F314" s="61" t="s">
        <v>326</v>
      </c>
      <c r="G314" s="61" t="s">
        <v>327</v>
      </c>
      <c r="H314" s="63" t="s">
        <v>6423</v>
      </c>
      <c r="I314" s="67" t="s">
        <v>6712</v>
      </c>
      <c r="J314" s="67"/>
      <c r="K314" s="25"/>
      <c r="L314" s="66"/>
      <c r="M314" s="66"/>
      <c r="N314" s="4"/>
      <c r="O314" s="25"/>
      <c r="P314" s="25"/>
      <c r="Q314" s="50" t="s">
        <v>282</v>
      </c>
      <c r="R314" s="25" t="s">
        <v>297</v>
      </c>
      <c r="S314" s="50"/>
      <c r="T314" s="5"/>
      <c r="U314" s="5"/>
      <c r="V314" s="5"/>
      <c r="W314" s="5"/>
      <c r="X314" s="5"/>
      <c r="Y314" s="5"/>
      <c r="Z314" s="5"/>
      <c r="AA314" s="5"/>
    </row>
    <row r="315" spans="1:27" ht="15.75" customHeight="1">
      <c r="A315" s="344"/>
      <c r="B315" s="344"/>
      <c r="C315" s="74">
        <v>5</v>
      </c>
      <c r="D315" s="344"/>
      <c r="E315" s="67" t="s">
        <v>6713</v>
      </c>
      <c r="F315" s="61" t="s">
        <v>326</v>
      </c>
      <c r="G315" s="61" t="s">
        <v>327</v>
      </c>
      <c r="H315" s="63" t="s">
        <v>6423</v>
      </c>
      <c r="I315" s="67" t="s">
        <v>6714</v>
      </c>
      <c r="J315" s="67"/>
      <c r="K315" s="25"/>
      <c r="L315" s="66"/>
      <c r="M315" s="66"/>
      <c r="N315" s="4"/>
      <c r="O315" s="25"/>
      <c r="P315" s="25"/>
      <c r="Q315" s="50" t="s">
        <v>282</v>
      </c>
      <c r="R315" s="25" t="s">
        <v>297</v>
      </c>
      <c r="S315" s="50"/>
      <c r="T315" s="5"/>
      <c r="U315" s="5"/>
      <c r="V315" s="5"/>
      <c r="W315" s="5"/>
      <c r="X315" s="5"/>
      <c r="Y315" s="5"/>
      <c r="Z315" s="5"/>
      <c r="AA315" s="5"/>
    </row>
    <row r="316" spans="1:27" ht="15.75" customHeight="1">
      <c r="A316" s="345"/>
      <c r="B316" s="345"/>
      <c r="C316" s="74">
        <v>6</v>
      </c>
      <c r="D316" s="345"/>
      <c r="E316" s="256" t="s">
        <v>6715</v>
      </c>
      <c r="F316" s="61" t="s">
        <v>326</v>
      </c>
      <c r="G316" s="61" t="s">
        <v>327</v>
      </c>
      <c r="H316" s="63" t="s">
        <v>6423</v>
      </c>
      <c r="I316" s="256" t="s">
        <v>6912</v>
      </c>
      <c r="J316" s="256"/>
      <c r="K316" s="25"/>
      <c r="L316" s="66"/>
      <c r="M316" s="66"/>
      <c r="N316" s="4"/>
      <c r="O316" s="25"/>
      <c r="P316" s="25"/>
      <c r="Q316" s="50" t="s">
        <v>282</v>
      </c>
      <c r="R316" s="25" t="s">
        <v>297</v>
      </c>
      <c r="S316" s="50"/>
      <c r="T316" s="5"/>
      <c r="U316" s="5"/>
      <c r="V316" s="5"/>
      <c r="W316" s="5"/>
      <c r="X316" s="5"/>
      <c r="Y316" s="5"/>
      <c r="Z316" s="5"/>
      <c r="AA316" s="5"/>
    </row>
    <row r="317" spans="1:27" ht="15.75" customHeight="1">
      <c r="A317" s="69"/>
      <c r="B317" s="68"/>
      <c r="D317" s="68"/>
      <c r="E317" s="69"/>
      <c r="K317" s="282"/>
      <c r="L317" s="195"/>
      <c r="M317" s="282"/>
      <c r="O317" s="68"/>
      <c r="P317" s="68"/>
      <c r="Q317" s="68"/>
      <c r="R317" s="68"/>
      <c r="S317" s="68"/>
    </row>
    <row r="318" spans="1:27" ht="15.75" customHeight="1">
      <c r="A318" s="69"/>
      <c r="B318" s="68"/>
      <c r="D318" s="68"/>
      <c r="E318" s="69"/>
      <c r="K318" s="282"/>
      <c r="L318" s="195"/>
      <c r="M318" s="282"/>
      <c r="O318" s="68"/>
      <c r="P318" s="68"/>
      <c r="Q318" s="68"/>
      <c r="R318" s="68"/>
      <c r="S318" s="68"/>
    </row>
    <row r="319" spans="1:27" ht="15.75" customHeight="1">
      <c r="A319" s="69"/>
      <c r="B319" s="68"/>
      <c r="D319" s="68"/>
      <c r="E319" s="69"/>
      <c r="K319" s="282"/>
      <c r="L319" s="195"/>
      <c r="M319" s="282"/>
      <c r="O319" s="68"/>
      <c r="P319" s="68"/>
      <c r="Q319" s="68"/>
      <c r="R319" s="68"/>
      <c r="S319" s="68"/>
    </row>
    <row r="320" spans="1:27" ht="15.75" customHeight="1">
      <c r="A320" s="69"/>
      <c r="B320" s="68"/>
      <c r="D320" s="68"/>
      <c r="E320" s="69"/>
      <c r="K320" s="282"/>
      <c r="L320" s="195"/>
      <c r="M320" s="282"/>
      <c r="O320" s="68"/>
      <c r="P320" s="68"/>
      <c r="Q320" s="68"/>
      <c r="R320" s="68"/>
      <c r="S320" s="68"/>
    </row>
    <row r="321" spans="1:19" ht="15.75" customHeight="1">
      <c r="A321" s="69"/>
      <c r="B321" s="68"/>
      <c r="D321" s="68"/>
      <c r="E321" s="69"/>
      <c r="K321" s="282"/>
      <c r="L321" s="195"/>
      <c r="M321" s="282"/>
      <c r="O321" s="68"/>
      <c r="P321" s="68"/>
      <c r="Q321" s="68"/>
      <c r="R321" s="68"/>
      <c r="S321" s="68"/>
    </row>
    <row r="322" spans="1:19" ht="15.75" customHeight="1">
      <c r="A322" s="69"/>
      <c r="B322" s="68"/>
      <c r="D322" s="68"/>
      <c r="E322" s="69"/>
      <c r="K322" s="282"/>
      <c r="L322" s="195"/>
      <c r="M322" s="282"/>
      <c r="O322" s="68"/>
      <c r="P322" s="68"/>
      <c r="Q322" s="68"/>
      <c r="R322" s="68"/>
      <c r="S322" s="68"/>
    </row>
    <row r="323" spans="1:19" ht="15.75" customHeight="1">
      <c r="A323" s="69"/>
      <c r="B323" s="68"/>
      <c r="D323" s="68"/>
      <c r="E323" s="69"/>
      <c r="K323" s="282"/>
      <c r="L323" s="195"/>
      <c r="M323" s="282"/>
      <c r="O323" s="68"/>
      <c r="P323" s="68"/>
      <c r="Q323" s="68"/>
      <c r="R323" s="68"/>
      <c r="S323" s="68"/>
    </row>
    <row r="324" spans="1:19" ht="15.75" customHeight="1">
      <c r="A324" s="69"/>
      <c r="B324" s="68"/>
      <c r="D324" s="68"/>
      <c r="E324" s="283"/>
      <c r="K324" s="282"/>
      <c r="L324" s="195"/>
      <c r="M324" s="282"/>
      <c r="O324" s="68"/>
      <c r="P324" s="68"/>
      <c r="Q324" s="68"/>
      <c r="R324" s="68"/>
      <c r="S324" s="68"/>
    </row>
    <row r="325" spans="1:19" ht="15.75" customHeight="1">
      <c r="A325" s="69"/>
      <c r="B325" s="68"/>
      <c r="D325" s="68"/>
      <c r="E325" s="69"/>
      <c r="K325" s="282"/>
      <c r="L325" s="195"/>
      <c r="M325" s="282"/>
      <c r="O325" s="68"/>
      <c r="P325" s="68"/>
      <c r="Q325" s="68"/>
      <c r="R325" s="68"/>
      <c r="S325" s="68"/>
    </row>
    <row r="326" spans="1:19" ht="15.75" customHeight="1">
      <c r="A326" s="69"/>
      <c r="B326" s="68"/>
      <c r="D326" s="68"/>
      <c r="E326" s="69"/>
      <c r="K326" s="282"/>
      <c r="L326" s="195"/>
      <c r="M326" s="282"/>
      <c r="O326" s="68"/>
      <c r="P326" s="68"/>
      <c r="Q326" s="68"/>
      <c r="R326" s="68"/>
      <c r="S326" s="68"/>
    </row>
    <row r="327" spans="1:19" ht="15.75" customHeight="1">
      <c r="A327" s="69"/>
      <c r="B327" s="68"/>
      <c r="D327" s="68"/>
      <c r="E327" s="69"/>
      <c r="K327" s="282"/>
      <c r="L327" s="195"/>
      <c r="M327" s="282"/>
      <c r="O327" s="68"/>
      <c r="P327" s="68"/>
      <c r="Q327" s="68"/>
      <c r="R327" s="68"/>
      <c r="S327" s="68"/>
    </row>
    <row r="328" spans="1:19" ht="15.75" customHeight="1">
      <c r="A328" s="69"/>
      <c r="B328" s="68"/>
      <c r="D328" s="68"/>
      <c r="E328" s="69"/>
      <c r="K328" s="282"/>
      <c r="L328" s="195"/>
      <c r="M328" s="282"/>
      <c r="O328" s="68"/>
      <c r="P328" s="68"/>
      <c r="Q328" s="68"/>
      <c r="R328" s="68"/>
      <c r="S328" s="68"/>
    </row>
    <row r="329" spans="1:19" ht="15.75" customHeight="1">
      <c r="A329" s="69"/>
      <c r="B329" s="68"/>
      <c r="D329" s="68"/>
      <c r="E329" s="69"/>
      <c r="K329" s="282"/>
      <c r="L329" s="195"/>
      <c r="M329" s="282"/>
      <c r="O329" s="68"/>
      <c r="P329" s="68"/>
      <c r="Q329" s="68"/>
      <c r="R329" s="68"/>
      <c r="S329" s="68"/>
    </row>
    <row r="330" spans="1:19" ht="15.75" customHeight="1">
      <c r="A330" s="69"/>
      <c r="B330" s="68"/>
      <c r="D330" s="68"/>
      <c r="E330" s="69"/>
      <c r="K330" s="282"/>
      <c r="L330" s="195"/>
      <c r="M330" s="282"/>
      <c r="O330" s="68"/>
      <c r="P330" s="68"/>
      <c r="Q330" s="68"/>
      <c r="R330" s="68"/>
      <c r="S330" s="68"/>
    </row>
    <row r="331" spans="1:19" ht="15.75" customHeight="1">
      <c r="A331" s="69"/>
      <c r="B331" s="68"/>
      <c r="D331" s="68"/>
      <c r="E331" s="69"/>
      <c r="K331" s="282"/>
      <c r="L331" s="195"/>
      <c r="M331" s="282"/>
      <c r="O331" s="68"/>
      <c r="P331" s="68"/>
      <c r="Q331" s="68"/>
      <c r="R331" s="68"/>
      <c r="S331" s="68"/>
    </row>
    <row r="332" spans="1:19" ht="15.75" customHeight="1">
      <c r="A332" s="69"/>
      <c r="B332" s="68"/>
      <c r="D332" s="68"/>
      <c r="E332" s="69"/>
      <c r="K332" s="282"/>
      <c r="L332" s="195"/>
      <c r="M332" s="282"/>
      <c r="O332" s="68"/>
      <c r="P332" s="68"/>
      <c r="Q332" s="68"/>
      <c r="R332" s="68"/>
      <c r="S332" s="68"/>
    </row>
    <row r="333" spans="1:19" ht="15.75" customHeight="1">
      <c r="A333" s="69"/>
      <c r="B333" s="68"/>
      <c r="D333" s="68"/>
      <c r="E333" s="69"/>
      <c r="K333" s="282"/>
      <c r="L333" s="195"/>
      <c r="M333" s="282"/>
      <c r="O333" s="68"/>
      <c r="P333" s="68"/>
      <c r="Q333" s="68"/>
      <c r="R333" s="68"/>
      <c r="S333" s="68"/>
    </row>
    <row r="334" spans="1:19" ht="15.75" customHeight="1">
      <c r="A334" s="69"/>
      <c r="B334" s="68"/>
      <c r="D334" s="68"/>
      <c r="E334" s="69"/>
      <c r="K334" s="282"/>
      <c r="L334" s="195"/>
      <c r="M334" s="282"/>
      <c r="O334" s="68"/>
      <c r="P334" s="68"/>
      <c r="Q334" s="68"/>
      <c r="R334" s="68"/>
      <c r="S334" s="68"/>
    </row>
    <row r="335" spans="1:19" ht="15.75" customHeight="1">
      <c r="A335" s="69"/>
      <c r="B335" s="68"/>
      <c r="D335" s="68"/>
      <c r="E335" s="69"/>
      <c r="K335" s="282"/>
      <c r="L335" s="195"/>
      <c r="M335" s="282"/>
      <c r="O335" s="68"/>
      <c r="P335" s="68"/>
      <c r="Q335" s="68"/>
      <c r="R335" s="68"/>
      <c r="S335" s="68"/>
    </row>
    <row r="336" spans="1:19" ht="15.75" customHeight="1">
      <c r="A336" s="69"/>
      <c r="B336" s="68"/>
      <c r="D336" s="68"/>
      <c r="E336" s="69"/>
      <c r="K336" s="282"/>
      <c r="L336" s="195"/>
      <c r="M336" s="282"/>
      <c r="O336" s="68"/>
      <c r="P336" s="68"/>
      <c r="Q336" s="68"/>
      <c r="R336" s="68"/>
      <c r="S336" s="68"/>
    </row>
    <row r="337" spans="1:19" ht="15.75" customHeight="1">
      <c r="A337" s="69"/>
      <c r="B337" s="68"/>
      <c r="D337" s="68"/>
      <c r="E337" s="69"/>
      <c r="K337" s="282"/>
      <c r="L337" s="195"/>
      <c r="M337" s="282"/>
      <c r="O337" s="68"/>
      <c r="P337" s="68"/>
      <c r="Q337" s="68"/>
      <c r="R337" s="68"/>
      <c r="S337" s="68"/>
    </row>
    <row r="338" spans="1:19" ht="15.75" customHeight="1">
      <c r="A338" s="69"/>
      <c r="B338" s="68"/>
      <c r="D338" s="68"/>
      <c r="E338" s="69"/>
      <c r="K338" s="282"/>
      <c r="L338" s="195"/>
      <c r="M338" s="282"/>
      <c r="O338" s="68"/>
      <c r="P338" s="68"/>
      <c r="Q338" s="68"/>
      <c r="R338" s="68"/>
      <c r="S338" s="68"/>
    </row>
    <row r="339" spans="1:19" ht="15.75" customHeight="1">
      <c r="A339" s="69"/>
      <c r="B339" s="68"/>
      <c r="D339" s="68"/>
      <c r="E339" s="69"/>
      <c r="K339" s="282"/>
      <c r="L339" s="195"/>
      <c r="M339" s="282"/>
      <c r="O339" s="68"/>
      <c r="P339" s="68"/>
      <c r="Q339" s="68"/>
      <c r="R339" s="68"/>
      <c r="S339" s="68"/>
    </row>
    <row r="340" spans="1:19" ht="15.75" customHeight="1">
      <c r="A340" s="69"/>
      <c r="B340" s="68"/>
      <c r="D340" s="68"/>
      <c r="E340" s="69"/>
      <c r="K340" s="282"/>
      <c r="L340" s="195"/>
      <c r="M340" s="282"/>
      <c r="O340" s="68"/>
      <c r="P340" s="68"/>
      <c r="Q340" s="68"/>
      <c r="R340" s="68"/>
      <c r="S340" s="68"/>
    </row>
    <row r="341" spans="1:19" ht="15.75" customHeight="1">
      <c r="A341" s="69"/>
      <c r="B341" s="68"/>
      <c r="D341" s="68"/>
      <c r="E341" s="69"/>
      <c r="K341" s="282"/>
      <c r="L341" s="195"/>
      <c r="M341" s="282"/>
      <c r="O341" s="68"/>
      <c r="P341" s="68"/>
      <c r="Q341" s="68"/>
      <c r="R341" s="68"/>
      <c r="S341" s="68"/>
    </row>
    <row r="342" spans="1:19" ht="15.75" customHeight="1">
      <c r="A342" s="69"/>
      <c r="B342" s="68"/>
      <c r="D342" s="68"/>
      <c r="E342" s="69"/>
      <c r="K342" s="282"/>
      <c r="L342" s="195"/>
      <c r="M342" s="282"/>
      <c r="O342" s="68"/>
      <c r="P342" s="68"/>
      <c r="Q342" s="68"/>
      <c r="R342" s="68"/>
      <c r="S342" s="68"/>
    </row>
    <row r="343" spans="1:19" ht="15.75" customHeight="1">
      <c r="A343" s="69"/>
      <c r="B343" s="68"/>
      <c r="D343" s="68"/>
      <c r="E343" s="69"/>
      <c r="K343" s="282"/>
      <c r="L343" s="195"/>
      <c r="M343" s="282"/>
      <c r="O343" s="68"/>
      <c r="P343" s="68"/>
      <c r="Q343" s="68"/>
      <c r="R343" s="68"/>
      <c r="S343" s="68"/>
    </row>
    <row r="344" spans="1:19" ht="15.75" customHeight="1">
      <c r="A344" s="69"/>
      <c r="B344" s="68"/>
      <c r="D344" s="68"/>
      <c r="E344" s="69"/>
      <c r="K344" s="282"/>
      <c r="L344" s="195"/>
      <c r="M344" s="282"/>
      <c r="O344" s="68"/>
      <c r="P344" s="68"/>
      <c r="Q344" s="68"/>
      <c r="R344" s="68"/>
      <c r="S344" s="68"/>
    </row>
    <row r="345" spans="1:19" ht="15.75" customHeight="1">
      <c r="A345" s="69"/>
      <c r="B345" s="68"/>
      <c r="D345" s="68"/>
      <c r="E345" s="69"/>
      <c r="K345" s="282"/>
      <c r="L345" s="195"/>
      <c r="M345" s="282"/>
      <c r="O345" s="68"/>
      <c r="P345" s="68"/>
      <c r="Q345" s="68"/>
      <c r="R345" s="68"/>
      <c r="S345" s="68"/>
    </row>
    <row r="346" spans="1:19" ht="15.75" customHeight="1">
      <c r="A346" s="69"/>
      <c r="B346" s="68"/>
      <c r="D346" s="68"/>
      <c r="E346" s="69"/>
      <c r="K346" s="282"/>
      <c r="L346" s="195"/>
      <c r="M346" s="282"/>
      <c r="O346" s="68"/>
      <c r="P346" s="68"/>
      <c r="Q346" s="68"/>
      <c r="R346" s="68"/>
      <c r="S346" s="68"/>
    </row>
    <row r="347" spans="1:19" ht="15.75" customHeight="1">
      <c r="A347" s="69"/>
      <c r="B347" s="68"/>
      <c r="D347" s="68"/>
      <c r="E347" s="69"/>
      <c r="K347" s="282"/>
      <c r="L347" s="195"/>
      <c r="M347" s="282"/>
      <c r="O347" s="68"/>
      <c r="P347" s="68"/>
      <c r="Q347" s="68"/>
      <c r="R347" s="68"/>
      <c r="S347" s="68"/>
    </row>
    <row r="348" spans="1:19" ht="15.75" customHeight="1">
      <c r="A348" s="69"/>
      <c r="B348" s="68"/>
      <c r="D348" s="68"/>
      <c r="E348" s="69"/>
      <c r="K348" s="282"/>
      <c r="L348" s="195"/>
      <c r="M348" s="282"/>
      <c r="O348" s="68"/>
      <c r="P348" s="68"/>
      <c r="Q348" s="68"/>
      <c r="R348" s="68"/>
      <c r="S348" s="68"/>
    </row>
    <row r="349" spans="1:19" ht="15.75" customHeight="1">
      <c r="A349" s="69"/>
      <c r="B349" s="68"/>
      <c r="D349" s="68"/>
      <c r="E349" s="69"/>
      <c r="K349" s="282"/>
      <c r="L349" s="195"/>
      <c r="M349" s="282"/>
      <c r="O349" s="68"/>
      <c r="P349" s="68"/>
      <c r="Q349" s="68"/>
      <c r="R349" s="68"/>
      <c r="S349" s="68"/>
    </row>
    <row r="350" spans="1:19" ht="15.75" customHeight="1">
      <c r="A350" s="69"/>
      <c r="B350" s="68"/>
      <c r="D350" s="68"/>
      <c r="E350" s="69"/>
      <c r="K350" s="282"/>
      <c r="L350" s="195"/>
      <c r="M350" s="282"/>
      <c r="O350" s="68"/>
      <c r="P350" s="68"/>
      <c r="Q350" s="68"/>
      <c r="R350" s="68"/>
      <c r="S350" s="68"/>
    </row>
    <row r="351" spans="1:19" ht="15.75" customHeight="1">
      <c r="A351" s="69"/>
      <c r="B351" s="68"/>
      <c r="D351" s="68"/>
      <c r="E351" s="69"/>
      <c r="K351" s="282"/>
      <c r="L351" s="195"/>
      <c r="M351" s="282"/>
      <c r="O351" s="68"/>
      <c r="P351" s="68"/>
      <c r="Q351" s="68"/>
      <c r="R351" s="68"/>
      <c r="S351" s="68"/>
    </row>
    <row r="352" spans="1:19" ht="15.75" customHeight="1">
      <c r="A352" s="69"/>
      <c r="B352" s="68"/>
      <c r="D352" s="68"/>
      <c r="E352" s="69"/>
      <c r="K352" s="282"/>
      <c r="L352" s="195"/>
      <c r="M352" s="282"/>
      <c r="O352" s="68"/>
      <c r="P352" s="68"/>
      <c r="Q352" s="68"/>
      <c r="R352" s="68"/>
      <c r="S352" s="68"/>
    </row>
    <row r="353" spans="1:19" ht="15.75" customHeight="1">
      <c r="A353" s="69"/>
      <c r="B353" s="68"/>
      <c r="D353" s="68"/>
      <c r="E353" s="69"/>
      <c r="K353" s="282"/>
      <c r="L353" s="195"/>
      <c r="M353" s="282"/>
      <c r="O353" s="68"/>
      <c r="P353" s="68"/>
      <c r="Q353" s="68"/>
      <c r="R353" s="68"/>
      <c r="S353" s="68"/>
    </row>
    <row r="354" spans="1:19" ht="15.75" customHeight="1">
      <c r="A354" s="69"/>
      <c r="B354" s="68"/>
      <c r="D354" s="68"/>
      <c r="E354" s="69"/>
      <c r="K354" s="282"/>
      <c r="L354" s="195"/>
      <c r="M354" s="282"/>
      <c r="O354" s="68"/>
      <c r="P354" s="68"/>
      <c r="Q354" s="68"/>
      <c r="R354" s="68"/>
      <c r="S354" s="68"/>
    </row>
    <row r="355" spans="1:19" ht="15.75" customHeight="1">
      <c r="A355" s="69"/>
      <c r="B355" s="68"/>
      <c r="D355" s="68"/>
      <c r="E355" s="69"/>
      <c r="K355" s="282"/>
      <c r="L355" s="195"/>
      <c r="M355" s="282"/>
      <c r="O355" s="68"/>
      <c r="P355" s="68"/>
      <c r="Q355" s="68"/>
      <c r="R355" s="68"/>
      <c r="S355" s="68"/>
    </row>
    <row r="356" spans="1:19" ht="15.75" customHeight="1">
      <c r="A356" s="69"/>
      <c r="B356" s="68"/>
      <c r="D356" s="68"/>
      <c r="E356" s="69"/>
      <c r="K356" s="282"/>
      <c r="L356" s="195"/>
      <c r="M356" s="282"/>
      <c r="O356" s="68"/>
      <c r="P356" s="68"/>
      <c r="Q356" s="68"/>
      <c r="R356" s="68"/>
      <c r="S356" s="68"/>
    </row>
    <row r="357" spans="1:19" ht="15.75" customHeight="1">
      <c r="A357" s="69"/>
      <c r="B357" s="68"/>
      <c r="D357" s="68"/>
      <c r="E357" s="69"/>
      <c r="K357" s="282"/>
      <c r="L357" s="195"/>
      <c r="M357" s="282"/>
      <c r="O357" s="68"/>
      <c r="P357" s="68"/>
      <c r="Q357" s="68"/>
      <c r="R357" s="68"/>
      <c r="S357" s="68"/>
    </row>
    <row r="358" spans="1:19" ht="15.75" customHeight="1">
      <c r="A358" s="69"/>
      <c r="B358" s="68"/>
      <c r="D358" s="68"/>
      <c r="E358" s="69"/>
      <c r="K358" s="282"/>
      <c r="L358" s="195"/>
      <c r="M358" s="282"/>
      <c r="O358" s="68"/>
      <c r="P358" s="68"/>
      <c r="Q358" s="68"/>
      <c r="R358" s="68"/>
      <c r="S358" s="68"/>
    </row>
    <row r="359" spans="1:19" ht="15.75" customHeight="1">
      <c r="A359" s="69"/>
      <c r="B359" s="68"/>
      <c r="D359" s="68"/>
      <c r="E359" s="69"/>
      <c r="K359" s="282"/>
      <c r="L359" s="195"/>
      <c r="M359" s="282"/>
      <c r="O359" s="68"/>
      <c r="P359" s="68"/>
      <c r="Q359" s="68"/>
      <c r="R359" s="68"/>
      <c r="S359" s="68"/>
    </row>
    <row r="360" spans="1:19" ht="15.75" customHeight="1">
      <c r="A360" s="69"/>
      <c r="B360" s="68"/>
      <c r="D360" s="68"/>
      <c r="E360" s="69"/>
      <c r="K360" s="282"/>
      <c r="L360" s="195"/>
      <c r="M360" s="282"/>
      <c r="O360" s="68"/>
      <c r="P360" s="68"/>
      <c r="Q360" s="68"/>
      <c r="R360" s="68"/>
      <c r="S360" s="68"/>
    </row>
    <row r="361" spans="1:19" ht="15.75" customHeight="1">
      <c r="A361" s="69"/>
      <c r="B361" s="68"/>
      <c r="D361" s="68"/>
      <c r="E361" s="69"/>
      <c r="K361" s="282"/>
      <c r="L361" s="195"/>
      <c r="M361" s="282"/>
      <c r="O361" s="68"/>
      <c r="P361" s="68"/>
      <c r="Q361" s="68"/>
      <c r="R361" s="68"/>
      <c r="S361" s="68"/>
    </row>
    <row r="362" spans="1:19" ht="15.75" customHeight="1">
      <c r="A362" s="69"/>
      <c r="B362" s="68"/>
      <c r="D362" s="68"/>
      <c r="E362" s="69"/>
      <c r="K362" s="282"/>
      <c r="L362" s="195"/>
      <c r="M362" s="282"/>
      <c r="O362" s="68"/>
      <c r="P362" s="68"/>
      <c r="Q362" s="68"/>
      <c r="R362" s="68"/>
      <c r="S362" s="68"/>
    </row>
    <row r="363" spans="1:19" ht="15.75" customHeight="1">
      <c r="A363" s="69"/>
      <c r="B363" s="68"/>
      <c r="D363" s="68"/>
      <c r="E363" s="69"/>
      <c r="K363" s="282"/>
      <c r="L363" s="195"/>
      <c r="M363" s="282"/>
      <c r="O363" s="68"/>
      <c r="P363" s="68"/>
      <c r="Q363" s="68"/>
      <c r="R363" s="68"/>
      <c r="S363" s="68"/>
    </row>
    <row r="364" spans="1:19" ht="15.75" customHeight="1">
      <c r="A364" s="69"/>
      <c r="K364" s="282"/>
      <c r="L364" s="195"/>
    </row>
    <row r="365" spans="1:19" ht="15.75" customHeight="1">
      <c r="A365" s="69"/>
      <c r="K365" s="282"/>
      <c r="L365" s="195"/>
    </row>
    <row r="366" spans="1:19" ht="15.75" customHeight="1">
      <c r="A366" s="69"/>
      <c r="K366" s="282"/>
      <c r="L366" s="195"/>
    </row>
    <row r="367" spans="1:19" ht="15.75" customHeight="1">
      <c r="A367" s="69"/>
      <c r="K367" s="282"/>
      <c r="L367" s="195"/>
    </row>
    <row r="368" spans="1:19" ht="15.75" customHeight="1">
      <c r="A368" s="69"/>
      <c r="K368" s="282"/>
      <c r="L368" s="195"/>
    </row>
    <row r="369" spans="1:19" ht="15.75" customHeight="1">
      <c r="A369" s="69"/>
      <c r="B369" s="68"/>
      <c r="D369" s="68"/>
      <c r="E369" s="69"/>
      <c r="K369" s="282"/>
      <c r="L369" s="195"/>
      <c r="M369" s="282"/>
      <c r="O369" s="68"/>
      <c r="P369" s="68"/>
      <c r="Q369" s="68"/>
      <c r="R369" s="68"/>
      <c r="S369" s="68"/>
    </row>
    <row r="370" spans="1:19" ht="15.75" customHeight="1">
      <c r="A370" s="69"/>
      <c r="K370" s="282"/>
      <c r="L370" s="195"/>
    </row>
    <row r="371" spans="1:19" ht="15.75" customHeight="1">
      <c r="A371" s="69"/>
      <c r="K371" s="282"/>
      <c r="L371" s="195"/>
    </row>
    <row r="372" spans="1:19" ht="15.75" customHeight="1">
      <c r="A372" s="69"/>
      <c r="K372" s="282"/>
      <c r="L372" s="195"/>
    </row>
    <row r="373" spans="1:19" ht="15.75" customHeight="1">
      <c r="A373" s="69"/>
      <c r="K373" s="282"/>
      <c r="L373" s="195"/>
    </row>
    <row r="374" spans="1:19" ht="15.75" customHeight="1">
      <c r="A374" s="69"/>
      <c r="K374" s="282"/>
      <c r="L374" s="195"/>
    </row>
    <row r="375" spans="1:19" ht="15.75" customHeight="1">
      <c r="A375" s="69"/>
      <c r="K375" s="282"/>
      <c r="L375" s="195"/>
    </row>
    <row r="376" spans="1:19" ht="15.75" customHeight="1">
      <c r="A376" s="69"/>
      <c r="B376" s="68"/>
      <c r="D376" s="68"/>
      <c r="E376" s="69"/>
      <c r="K376" s="282"/>
      <c r="L376" s="195"/>
      <c r="M376" s="282"/>
      <c r="O376" s="68"/>
      <c r="P376" s="68"/>
      <c r="Q376" s="68"/>
      <c r="R376" s="68"/>
      <c r="S376" s="68"/>
    </row>
    <row r="377" spans="1:19" ht="15.75" customHeight="1">
      <c r="A377" s="69"/>
      <c r="B377" s="68"/>
      <c r="D377" s="68"/>
      <c r="E377" s="69"/>
      <c r="K377" s="282"/>
      <c r="L377" s="195"/>
      <c r="M377" s="282"/>
      <c r="O377" s="68"/>
      <c r="P377" s="68"/>
      <c r="Q377" s="68"/>
      <c r="R377" s="68"/>
      <c r="S377" s="68"/>
    </row>
    <row r="378" spans="1:19" ht="15.75" customHeight="1">
      <c r="A378" s="69"/>
      <c r="K378" s="282"/>
      <c r="L378" s="195"/>
    </row>
    <row r="379" spans="1:19" ht="15.75" customHeight="1">
      <c r="A379" s="69"/>
      <c r="K379" s="282"/>
      <c r="L379" s="195"/>
    </row>
    <row r="380" spans="1:19" ht="15.75" customHeight="1">
      <c r="A380" s="69"/>
      <c r="K380" s="282"/>
      <c r="L380" s="195"/>
    </row>
    <row r="381" spans="1:19" ht="15.75" customHeight="1">
      <c r="A381" s="69"/>
      <c r="K381" s="282"/>
      <c r="L381" s="195"/>
    </row>
    <row r="382" spans="1:19" ht="15.75" customHeight="1">
      <c r="A382" s="69"/>
      <c r="K382" s="282"/>
      <c r="L382" s="195"/>
    </row>
    <row r="383" spans="1:19" ht="15.75" customHeight="1">
      <c r="A383" s="69"/>
      <c r="K383" s="282"/>
      <c r="L383" s="195"/>
    </row>
    <row r="384" spans="1:19" ht="15.75" customHeight="1">
      <c r="A384" s="69"/>
      <c r="K384" s="282"/>
      <c r="L384" s="195"/>
    </row>
    <row r="385" spans="1:19" ht="15.75" customHeight="1">
      <c r="A385" s="69"/>
      <c r="B385" s="68"/>
      <c r="D385" s="68"/>
      <c r="E385" s="69"/>
      <c r="K385" s="282"/>
      <c r="L385" s="195"/>
      <c r="M385" s="282"/>
      <c r="O385" s="68"/>
      <c r="P385" s="68"/>
      <c r="Q385" s="68"/>
      <c r="R385" s="68"/>
      <c r="S385" s="68"/>
    </row>
    <row r="386" spans="1:19" ht="15.75" customHeight="1">
      <c r="A386" s="69"/>
      <c r="K386" s="282"/>
      <c r="L386" s="195"/>
    </row>
    <row r="387" spans="1:19" ht="15.75" customHeight="1">
      <c r="A387" s="69"/>
      <c r="K387" s="282"/>
      <c r="L387" s="195"/>
    </row>
    <row r="388" spans="1:19" ht="15.75" customHeight="1">
      <c r="A388" s="69"/>
      <c r="K388" s="282"/>
      <c r="L388" s="195"/>
    </row>
    <row r="389" spans="1:19" ht="15.75" customHeight="1">
      <c r="A389" s="69"/>
      <c r="K389" s="282"/>
      <c r="L389" s="195"/>
    </row>
    <row r="390" spans="1:19" ht="15.75" customHeight="1">
      <c r="A390" s="69"/>
      <c r="K390" s="282"/>
      <c r="L390" s="195"/>
    </row>
    <row r="391" spans="1:19" ht="15.75" customHeight="1">
      <c r="A391" s="69"/>
      <c r="K391" s="282"/>
      <c r="L391" s="195"/>
    </row>
    <row r="392" spans="1:19" ht="15.75" customHeight="1">
      <c r="A392" s="69"/>
      <c r="K392" s="282"/>
      <c r="L392" s="195"/>
    </row>
    <row r="393" spans="1:19" ht="15.75" customHeight="1">
      <c r="A393" s="69"/>
      <c r="B393" s="68"/>
      <c r="D393" s="68"/>
      <c r="E393" s="69"/>
      <c r="K393" s="282"/>
      <c r="L393" s="195"/>
      <c r="M393" s="282"/>
      <c r="O393" s="68"/>
      <c r="P393" s="68"/>
      <c r="Q393" s="68"/>
      <c r="R393" s="68"/>
      <c r="S393" s="68"/>
    </row>
    <row r="394" spans="1:19" ht="15.75" customHeight="1">
      <c r="A394" s="69"/>
      <c r="K394" s="282"/>
      <c r="L394" s="195"/>
    </row>
    <row r="395" spans="1:19" ht="15.75" customHeight="1">
      <c r="A395" s="69"/>
      <c r="K395" s="282"/>
      <c r="L395" s="195"/>
    </row>
    <row r="396" spans="1:19" ht="15.75" customHeight="1">
      <c r="A396" s="69"/>
      <c r="K396" s="282"/>
      <c r="L396" s="195"/>
    </row>
    <row r="397" spans="1:19" ht="15.75" customHeight="1">
      <c r="A397" s="69"/>
      <c r="K397" s="282"/>
      <c r="L397" s="195"/>
    </row>
    <row r="398" spans="1:19" ht="15.75" customHeight="1">
      <c r="A398" s="69"/>
      <c r="B398" s="68"/>
      <c r="D398" s="68"/>
      <c r="E398" s="69"/>
      <c r="K398" s="282"/>
      <c r="L398" s="195"/>
      <c r="M398" s="282"/>
      <c r="O398" s="68"/>
      <c r="P398" s="68"/>
      <c r="Q398" s="68"/>
      <c r="R398" s="68"/>
      <c r="S398" s="68"/>
    </row>
    <row r="399" spans="1:19" ht="15.75" customHeight="1">
      <c r="A399" s="69"/>
      <c r="K399" s="282"/>
      <c r="L399" s="195"/>
    </row>
    <row r="400" spans="1:19" ht="15.75" customHeight="1">
      <c r="A400" s="69"/>
      <c r="K400" s="282"/>
      <c r="L400" s="195"/>
    </row>
    <row r="401" spans="1:19" ht="15.75" customHeight="1">
      <c r="A401" s="69"/>
      <c r="K401" s="282"/>
      <c r="L401" s="195"/>
    </row>
    <row r="402" spans="1:19" ht="15.75" customHeight="1">
      <c r="A402" s="69"/>
      <c r="K402" s="282"/>
      <c r="L402" s="195"/>
    </row>
    <row r="403" spans="1:19" ht="15.75" customHeight="1">
      <c r="A403" s="69"/>
      <c r="K403" s="282"/>
      <c r="L403" s="195"/>
    </row>
    <row r="404" spans="1:19" ht="15.75" customHeight="1">
      <c r="A404" s="69"/>
      <c r="K404" s="282"/>
      <c r="L404" s="195"/>
    </row>
    <row r="405" spans="1:19" ht="15.75" customHeight="1">
      <c r="A405" s="69"/>
      <c r="B405" s="68"/>
      <c r="D405" s="68"/>
      <c r="E405" s="69"/>
      <c r="K405" s="282"/>
      <c r="L405" s="195"/>
      <c r="M405" s="282"/>
      <c r="O405" s="68"/>
      <c r="P405" s="68"/>
      <c r="Q405" s="68"/>
      <c r="R405" s="68"/>
      <c r="S405" s="68"/>
    </row>
    <row r="406" spans="1:19" ht="15.75" customHeight="1">
      <c r="A406" s="69"/>
      <c r="B406" s="68"/>
      <c r="D406" s="68"/>
      <c r="E406" s="69"/>
      <c r="K406" s="282"/>
      <c r="L406" s="195"/>
      <c r="M406" s="282"/>
      <c r="O406" s="68"/>
      <c r="P406" s="68"/>
      <c r="Q406" s="68"/>
      <c r="R406" s="68"/>
      <c r="S406" s="68"/>
    </row>
    <row r="407" spans="1:19" ht="15.75" customHeight="1">
      <c r="A407" s="69"/>
      <c r="K407" s="282"/>
      <c r="L407" s="195"/>
    </row>
    <row r="408" spans="1:19" ht="15.75" customHeight="1">
      <c r="A408" s="69"/>
      <c r="K408" s="282"/>
      <c r="L408" s="195"/>
    </row>
    <row r="409" spans="1:19" ht="15.75" customHeight="1">
      <c r="A409" s="69"/>
      <c r="K409" s="282"/>
      <c r="L409" s="195"/>
    </row>
    <row r="410" spans="1:19" ht="15.75" customHeight="1">
      <c r="A410" s="69"/>
      <c r="K410" s="282"/>
      <c r="L410" s="195"/>
    </row>
    <row r="411" spans="1:19" ht="15.75" customHeight="1">
      <c r="A411" s="69"/>
      <c r="K411" s="282"/>
      <c r="L411" s="195"/>
    </row>
    <row r="412" spans="1:19" ht="15.75" customHeight="1">
      <c r="A412" s="69"/>
      <c r="B412" s="68"/>
      <c r="D412" s="68"/>
      <c r="E412" s="69"/>
      <c r="K412" s="282"/>
      <c r="L412" s="195"/>
      <c r="M412" s="282"/>
      <c r="O412" s="68"/>
      <c r="P412" s="68"/>
      <c r="Q412" s="68"/>
      <c r="R412" s="68"/>
      <c r="S412" s="68"/>
    </row>
    <row r="413" spans="1:19" ht="15.75" customHeight="1">
      <c r="A413" s="69"/>
      <c r="K413" s="282"/>
      <c r="L413" s="195"/>
    </row>
    <row r="414" spans="1:19" ht="15.75" customHeight="1">
      <c r="A414" s="69"/>
      <c r="K414" s="282"/>
      <c r="L414" s="195"/>
    </row>
    <row r="415" spans="1:19" ht="15.75" customHeight="1">
      <c r="A415" s="69"/>
      <c r="K415" s="282"/>
      <c r="L415" s="195"/>
    </row>
    <row r="416" spans="1:19" ht="15.75" customHeight="1">
      <c r="A416" s="69"/>
      <c r="K416" s="282"/>
      <c r="L416" s="195"/>
    </row>
    <row r="417" spans="1:19" ht="15.75" customHeight="1">
      <c r="A417" s="69"/>
      <c r="K417" s="282"/>
      <c r="L417" s="195"/>
    </row>
    <row r="418" spans="1:19" ht="15.75" customHeight="1">
      <c r="A418" s="69"/>
      <c r="K418" s="282"/>
      <c r="L418" s="195"/>
    </row>
    <row r="419" spans="1:19" ht="15.75" customHeight="1">
      <c r="A419" s="69"/>
      <c r="B419" s="68"/>
      <c r="D419" s="68"/>
      <c r="E419" s="69"/>
      <c r="K419" s="282"/>
      <c r="L419" s="195"/>
      <c r="M419" s="282"/>
      <c r="O419" s="68"/>
      <c r="P419" s="68"/>
      <c r="Q419" s="68"/>
      <c r="R419" s="68"/>
      <c r="S419" s="68"/>
    </row>
    <row r="420" spans="1:19" ht="15.75" customHeight="1">
      <c r="A420" s="69"/>
      <c r="B420" s="68"/>
      <c r="D420" s="68"/>
      <c r="E420" s="69"/>
      <c r="K420" s="282"/>
      <c r="L420" s="195"/>
      <c r="M420" s="282"/>
      <c r="O420" s="68"/>
      <c r="P420" s="68"/>
      <c r="Q420" s="68"/>
      <c r="R420" s="68"/>
      <c r="S420" s="68"/>
    </row>
    <row r="421" spans="1:19" ht="15.75" customHeight="1">
      <c r="A421" s="69"/>
      <c r="K421" s="282"/>
      <c r="L421" s="195"/>
    </row>
    <row r="422" spans="1:19" ht="15.75" customHeight="1">
      <c r="A422" s="69"/>
      <c r="K422" s="282"/>
      <c r="L422" s="195"/>
    </row>
    <row r="423" spans="1:19" ht="15.75" customHeight="1">
      <c r="A423" s="69"/>
      <c r="K423" s="282"/>
      <c r="L423" s="195"/>
    </row>
    <row r="424" spans="1:19" ht="15.75" customHeight="1">
      <c r="A424" s="69"/>
      <c r="K424" s="282"/>
      <c r="L424" s="195"/>
    </row>
    <row r="425" spans="1:19" ht="15.75" customHeight="1">
      <c r="A425" s="69"/>
      <c r="K425" s="282"/>
      <c r="L425" s="195"/>
    </row>
    <row r="426" spans="1:19" ht="15.75" customHeight="1">
      <c r="A426" s="69"/>
      <c r="K426" s="282"/>
      <c r="L426" s="195"/>
    </row>
    <row r="427" spans="1:19" ht="15.75" customHeight="1">
      <c r="A427" s="69"/>
      <c r="K427" s="282"/>
      <c r="L427" s="195"/>
    </row>
    <row r="428" spans="1:19" ht="15.75" customHeight="1">
      <c r="A428" s="69"/>
      <c r="K428" s="282"/>
      <c r="L428" s="195"/>
    </row>
    <row r="429" spans="1:19" ht="15.75" customHeight="1">
      <c r="A429" s="69"/>
      <c r="B429" s="68"/>
      <c r="D429" s="68"/>
      <c r="E429" s="69"/>
      <c r="K429" s="282"/>
      <c r="L429" s="195"/>
      <c r="M429" s="282"/>
      <c r="O429" s="68"/>
      <c r="P429" s="68"/>
      <c r="Q429" s="68"/>
      <c r="R429" s="68"/>
      <c r="S429" s="68"/>
    </row>
    <row r="430" spans="1:19" ht="15.75" customHeight="1">
      <c r="A430" s="69"/>
      <c r="B430" s="68"/>
      <c r="D430" s="68"/>
      <c r="E430" s="69"/>
      <c r="K430" s="282"/>
      <c r="L430" s="195"/>
      <c r="M430" s="282"/>
      <c r="O430" s="68"/>
      <c r="P430" s="68"/>
      <c r="Q430" s="68"/>
      <c r="R430" s="68"/>
      <c r="S430" s="68"/>
    </row>
    <row r="431" spans="1:19" ht="15.75" customHeight="1">
      <c r="A431" s="69"/>
      <c r="K431" s="282"/>
      <c r="L431" s="195"/>
    </row>
    <row r="432" spans="1:19" ht="15.75" customHeight="1">
      <c r="A432" s="69"/>
      <c r="K432" s="282"/>
      <c r="L432" s="195"/>
    </row>
    <row r="433" spans="1:19" ht="15.75" customHeight="1">
      <c r="A433" s="69"/>
      <c r="K433" s="282"/>
      <c r="L433" s="195"/>
    </row>
    <row r="434" spans="1:19" ht="15.75" customHeight="1">
      <c r="A434" s="69"/>
      <c r="K434" s="282"/>
      <c r="L434" s="195"/>
    </row>
    <row r="435" spans="1:19" ht="15.75" customHeight="1">
      <c r="A435" s="69"/>
      <c r="K435" s="282"/>
      <c r="L435" s="195"/>
    </row>
    <row r="436" spans="1:19" ht="15.75" customHeight="1">
      <c r="A436" s="69"/>
      <c r="B436" s="68"/>
      <c r="D436" s="68"/>
      <c r="E436" s="69"/>
      <c r="K436" s="282"/>
      <c r="L436" s="195"/>
      <c r="M436" s="282"/>
      <c r="O436" s="68"/>
      <c r="P436" s="68"/>
      <c r="Q436" s="68"/>
      <c r="R436" s="68"/>
      <c r="S436" s="68"/>
    </row>
    <row r="437" spans="1:19" ht="15.75" customHeight="1">
      <c r="A437" s="69"/>
      <c r="K437" s="282"/>
      <c r="L437" s="195"/>
    </row>
    <row r="438" spans="1:19" ht="15.75" customHeight="1">
      <c r="A438" s="69"/>
      <c r="K438" s="282"/>
      <c r="L438" s="195"/>
    </row>
    <row r="439" spans="1:19" ht="15.75" customHeight="1">
      <c r="A439" s="69"/>
      <c r="K439" s="282"/>
      <c r="L439" s="195"/>
    </row>
    <row r="440" spans="1:19" ht="15.75" customHeight="1">
      <c r="A440" s="69"/>
      <c r="K440" s="282"/>
      <c r="L440" s="195"/>
    </row>
    <row r="441" spans="1:19" ht="15.75" customHeight="1">
      <c r="A441" s="69"/>
      <c r="K441" s="282"/>
      <c r="L441" s="195"/>
    </row>
    <row r="442" spans="1:19" ht="15.75" customHeight="1">
      <c r="A442" s="69"/>
      <c r="K442" s="282"/>
      <c r="L442" s="195"/>
    </row>
    <row r="443" spans="1:19" ht="15.75" customHeight="1">
      <c r="A443" s="69"/>
      <c r="B443" s="68"/>
      <c r="D443" s="68"/>
      <c r="E443" s="69"/>
      <c r="K443" s="282"/>
      <c r="L443" s="195"/>
      <c r="M443" s="282"/>
      <c r="O443" s="68"/>
      <c r="P443" s="68"/>
      <c r="Q443" s="68"/>
      <c r="R443" s="68"/>
      <c r="S443" s="68"/>
    </row>
    <row r="444" spans="1:19" ht="15.75" customHeight="1">
      <c r="A444" s="69"/>
      <c r="B444" s="68"/>
      <c r="D444" s="68"/>
      <c r="E444" s="69"/>
      <c r="K444" s="282"/>
      <c r="L444" s="195"/>
      <c r="M444" s="282"/>
      <c r="O444" s="68"/>
      <c r="P444" s="68"/>
      <c r="Q444" s="68"/>
      <c r="R444" s="68"/>
      <c r="S444" s="68"/>
    </row>
    <row r="445" spans="1:19" ht="15.75" customHeight="1">
      <c r="A445" s="69"/>
      <c r="K445" s="282"/>
      <c r="L445" s="195"/>
    </row>
    <row r="446" spans="1:19" ht="15.75" customHeight="1">
      <c r="A446" s="69"/>
      <c r="K446" s="282"/>
      <c r="L446" s="195"/>
    </row>
    <row r="447" spans="1:19" ht="15.75" customHeight="1">
      <c r="A447" s="69"/>
      <c r="K447" s="282"/>
      <c r="L447" s="195"/>
    </row>
    <row r="448" spans="1:19" ht="15.75" customHeight="1">
      <c r="A448" s="69"/>
      <c r="K448" s="282"/>
      <c r="L448" s="195"/>
    </row>
    <row r="449" spans="1:19" ht="15.75" customHeight="1">
      <c r="A449" s="69"/>
      <c r="K449" s="282"/>
      <c r="L449" s="195"/>
    </row>
    <row r="450" spans="1:19" ht="15.75" customHeight="1">
      <c r="A450" s="69"/>
      <c r="K450" s="282"/>
      <c r="L450" s="195"/>
    </row>
    <row r="451" spans="1:19" ht="15.75" customHeight="1">
      <c r="A451" s="69"/>
      <c r="K451" s="282"/>
      <c r="L451" s="195"/>
    </row>
    <row r="452" spans="1:19" ht="15.75" customHeight="1">
      <c r="A452" s="69"/>
      <c r="B452" s="68"/>
      <c r="D452" s="68"/>
      <c r="E452" s="69"/>
      <c r="K452" s="282"/>
      <c r="L452" s="195"/>
      <c r="M452" s="282"/>
      <c r="O452" s="68"/>
      <c r="P452" s="68"/>
      <c r="Q452" s="68"/>
      <c r="R452" s="68"/>
      <c r="S452" s="68"/>
    </row>
    <row r="453" spans="1:19" ht="15.75" customHeight="1">
      <c r="A453" s="69"/>
      <c r="K453" s="282"/>
      <c r="L453" s="195"/>
    </row>
    <row r="454" spans="1:19" ht="15.75" customHeight="1">
      <c r="A454" s="69"/>
      <c r="K454" s="282"/>
      <c r="L454" s="195"/>
    </row>
    <row r="455" spans="1:19" ht="15.75" customHeight="1">
      <c r="A455" s="69"/>
      <c r="K455" s="282"/>
      <c r="L455" s="195"/>
    </row>
    <row r="456" spans="1:19" ht="15.75" customHeight="1">
      <c r="A456" s="69"/>
      <c r="K456" s="282"/>
      <c r="L456" s="195"/>
    </row>
    <row r="457" spans="1:19" ht="15.75" customHeight="1">
      <c r="A457" s="69"/>
      <c r="K457" s="282"/>
      <c r="L457" s="195"/>
    </row>
    <row r="458" spans="1:19" ht="15.75" customHeight="1">
      <c r="A458" s="69"/>
      <c r="K458" s="282"/>
      <c r="L458" s="195"/>
    </row>
    <row r="459" spans="1:19" ht="15.75" customHeight="1">
      <c r="A459" s="69"/>
      <c r="K459" s="282"/>
      <c r="L459" s="195"/>
    </row>
    <row r="460" spans="1:19" ht="15.75" customHeight="1">
      <c r="A460" s="69"/>
      <c r="B460" s="68"/>
      <c r="D460" s="68"/>
      <c r="E460" s="69"/>
      <c r="K460" s="282"/>
      <c r="L460" s="195"/>
      <c r="M460" s="282"/>
      <c r="O460" s="68"/>
      <c r="P460" s="68"/>
      <c r="Q460" s="68"/>
      <c r="R460" s="68"/>
      <c r="S460" s="68"/>
    </row>
    <row r="461" spans="1:19" ht="15.75" customHeight="1">
      <c r="A461" s="69"/>
      <c r="K461" s="282"/>
      <c r="L461" s="195"/>
    </row>
    <row r="462" spans="1:19" ht="15.75" customHeight="1">
      <c r="A462" s="69"/>
      <c r="K462" s="282"/>
      <c r="L462" s="195"/>
    </row>
    <row r="463" spans="1:19" ht="15.75" customHeight="1">
      <c r="A463" s="69"/>
      <c r="K463" s="282"/>
      <c r="L463" s="195"/>
    </row>
    <row r="464" spans="1:19" ht="15.75" customHeight="1">
      <c r="A464" s="69"/>
      <c r="K464" s="282"/>
      <c r="L464" s="195"/>
    </row>
    <row r="465" spans="1:19" ht="15.75" customHeight="1">
      <c r="A465" s="69"/>
      <c r="K465" s="282"/>
      <c r="L465" s="195"/>
    </row>
    <row r="466" spans="1:19" ht="15.75" customHeight="1">
      <c r="A466" s="69"/>
      <c r="K466" s="282"/>
      <c r="L466" s="195"/>
    </row>
    <row r="467" spans="1:19" ht="15.75" customHeight="1">
      <c r="A467" s="69"/>
      <c r="K467" s="282"/>
      <c r="L467" s="195"/>
    </row>
    <row r="468" spans="1:19" ht="15.75" customHeight="1">
      <c r="A468" s="69"/>
      <c r="K468" s="282"/>
      <c r="L468" s="195"/>
    </row>
    <row r="469" spans="1:19" ht="15.75" customHeight="1">
      <c r="A469" s="69"/>
      <c r="B469" s="68"/>
      <c r="D469" s="68"/>
      <c r="E469" s="69"/>
      <c r="K469" s="282"/>
      <c r="L469" s="195"/>
      <c r="M469" s="282"/>
      <c r="O469" s="68"/>
      <c r="P469" s="68"/>
      <c r="Q469" s="68"/>
      <c r="R469" s="68"/>
      <c r="S469" s="68"/>
    </row>
    <row r="470" spans="1:19" ht="15.75" customHeight="1">
      <c r="A470" s="69"/>
      <c r="K470" s="282"/>
      <c r="L470" s="195"/>
    </row>
    <row r="471" spans="1:19" ht="15.75" customHeight="1">
      <c r="A471" s="69"/>
      <c r="K471" s="282"/>
      <c r="L471" s="195"/>
    </row>
    <row r="472" spans="1:19" ht="15.75" customHeight="1">
      <c r="A472" s="69"/>
      <c r="K472" s="282"/>
      <c r="L472" s="195"/>
    </row>
    <row r="473" spans="1:19" ht="15.75" customHeight="1">
      <c r="A473" s="69"/>
      <c r="K473" s="282"/>
      <c r="L473" s="195"/>
    </row>
    <row r="474" spans="1:19" ht="15.75" customHeight="1">
      <c r="A474" s="69"/>
      <c r="K474" s="282"/>
      <c r="L474" s="195"/>
    </row>
    <row r="475" spans="1:19" ht="15.75" customHeight="1">
      <c r="A475" s="69"/>
      <c r="K475" s="282"/>
      <c r="L475" s="195"/>
    </row>
    <row r="476" spans="1:19" ht="15.75" customHeight="1">
      <c r="A476" s="69"/>
      <c r="B476" s="68"/>
      <c r="D476" s="68"/>
      <c r="E476" s="69"/>
      <c r="K476" s="282"/>
      <c r="L476" s="195"/>
      <c r="M476" s="282"/>
      <c r="O476" s="68"/>
      <c r="P476" s="68"/>
      <c r="Q476" s="68"/>
      <c r="R476" s="68"/>
      <c r="S476" s="68"/>
    </row>
    <row r="477" spans="1:19" ht="15.75" customHeight="1">
      <c r="A477" s="69"/>
      <c r="B477" s="68"/>
      <c r="D477" s="68"/>
      <c r="E477" s="69"/>
      <c r="K477" s="282"/>
      <c r="L477" s="195"/>
      <c r="M477" s="282"/>
      <c r="O477" s="68"/>
      <c r="P477" s="68"/>
      <c r="Q477" s="68"/>
      <c r="R477" s="68"/>
      <c r="S477" s="68"/>
    </row>
    <row r="478" spans="1:19" ht="15.75" customHeight="1">
      <c r="A478" s="69"/>
      <c r="K478" s="282"/>
      <c r="L478" s="195"/>
    </row>
    <row r="479" spans="1:19" ht="15.75" customHeight="1">
      <c r="A479" s="69"/>
      <c r="K479" s="282"/>
      <c r="L479" s="195"/>
    </row>
    <row r="480" spans="1:19" ht="15.75" customHeight="1">
      <c r="A480" s="69"/>
      <c r="K480" s="282"/>
      <c r="L480" s="195"/>
    </row>
    <row r="481" spans="1:19" ht="15.75" customHeight="1">
      <c r="A481" s="69"/>
      <c r="K481" s="282"/>
      <c r="L481" s="195"/>
    </row>
    <row r="482" spans="1:19" ht="15.75" customHeight="1">
      <c r="A482" s="69"/>
      <c r="K482" s="282"/>
      <c r="L482" s="195"/>
    </row>
    <row r="483" spans="1:19" ht="15.75" customHeight="1">
      <c r="A483" s="69"/>
      <c r="K483" s="282"/>
      <c r="L483" s="195"/>
    </row>
    <row r="484" spans="1:19" ht="15.75" customHeight="1">
      <c r="A484" s="69"/>
      <c r="K484" s="282"/>
      <c r="L484" s="195"/>
    </row>
    <row r="485" spans="1:19" ht="15.75" customHeight="1">
      <c r="A485" s="69"/>
      <c r="K485" s="282"/>
      <c r="L485" s="195"/>
    </row>
    <row r="486" spans="1:19" ht="15.75" customHeight="1">
      <c r="A486" s="69"/>
      <c r="B486" s="68"/>
      <c r="D486" s="68"/>
      <c r="E486" s="69"/>
      <c r="K486" s="282"/>
      <c r="L486" s="195"/>
      <c r="M486" s="282"/>
      <c r="O486" s="68"/>
      <c r="P486" s="68"/>
      <c r="Q486" s="68"/>
      <c r="R486" s="68"/>
      <c r="S486" s="68"/>
    </row>
    <row r="487" spans="1:19" ht="15.75" customHeight="1">
      <c r="A487" s="69"/>
      <c r="B487" s="68"/>
      <c r="D487" s="68"/>
      <c r="E487" s="69"/>
      <c r="K487" s="282"/>
      <c r="L487" s="195"/>
      <c r="M487" s="282"/>
      <c r="O487" s="68"/>
      <c r="P487" s="68"/>
      <c r="Q487" s="68"/>
      <c r="R487" s="68"/>
      <c r="S487" s="68"/>
    </row>
    <row r="488" spans="1:19" ht="15.75" customHeight="1">
      <c r="A488" s="69"/>
      <c r="K488" s="282"/>
      <c r="L488" s="195"/>
    </row>
    <row r="489" spans="1:19" ht="15.75" customHeight="1">
      <c r="A489" s="69"/>
      <c r="K489" s="282"/>
      <c r="L489" s="195"/>
    </row>
    <row r="490" spans="1:19" ht="15.75" customHeight="1">
      <c r="A490" s="69"/>
      <c r="K490" s="282"/>
      <c r="L490" s="195"/>
    </row>
    <row r="491" spans="1:19" ht="15.75" customHeight="1">
      <c r="A491" s="69"/>
      <c r="K491" s="282"/>
      <c r="L491" s="195"/>
    </row>
    <row r="492" spans="1:19" ht="15.75" customHeight="1">
      <c r="A492" s="69"/>
      <c r="K492" s="282"/>
      <c r="L492" s="195"/>
    </row>
    <row r="493" spans="1:19" ht="15.75" customHeight="1">
      <c r="A493" s="69"/>
      <c r="B493" s="68"/>
      <c r="D493" s="68"/>
      <c r="E493" s="69"/>
      <c r="K493" s="282"/>
      <c r="L493" s="195"/>
      <c r="M493" s="282"/>
      <c r="O493" s="68"/>
      <c r="P493" s="68"/>
      <c r="Q493" s="68"/>
      <c r="R493" s="68"/>
      <c r="S493" s="68"/>
    </row>
    <row r="494" spans="1:19" ht="15.75" customHeight="1">
      <c r="A494" s="69"/>
      <c r="K494" s="282"/>
      <c r="L494" s="195"/>
    </row>
    <row r="495" spans="1:19" ht="15.75" customHeight="1">
      <c r="A495" s="69"/>
      <c r="K495" s="282"/>
      <c r="L495" s="195"/>
    </row>
    <row r="496" spans="1:19" ht="15.75" customHeight="1">
      <c r="A496" s="69"/>
      <c r="K496" s="282"/>
      <c r="L496" s="195"/>
    </row>
    <row r="497" spans="1:19" ht="15.75" customHeight="1">
      <c r="A497" s="69"/>
      <c r="K497" s="282"/>
      <c r="L497" s="195"/>
    </row>
    <row r="498" spans="1:19" ht="15.75" customHeight="1">
      <c r="A498" s="69"/>
      <c r="K498" s="282"/>
      <c r="L498" s="195"/>
    </row>
    <row r="499" spans="1:19" ht="15.75" customHeight="1">
      <c r="A499" s="69"/>
      <c r="K499" s="282"/>
      <c r="L499" s="195"/>
    </row>
    <row r="500" spans="1:19" ht="15.75" customHeight="1">
      <c r="A500" s="69"/>
      <c r="B500" s="68"/>
      <c r="D500" s="68"/>
      <c r="E500" s="69"/>
      <c r="K500" s="282"/>
      <c r="L500" s="195"/>
      <c r="M500" s="282"/>
      <c r="O500" s="68"/>
      <c r="P500" s="68"/>
      <c r="Q500" s="68"/>
      <c r="R500" s="68"/>
      <c r="S500" s="68"/>
    </row>
    <row r="501" spans="1:19" ht="15.75" customHeight="1">
      <c r="A501" s="69"/>
      <c r="B501" s="68"/>
      <c r="D501" s="68"/>
      <c r="E501" s="69"/>
      <c r="K501" s="282"/>
      <c r="L501" s="195"/>
      <c r="M501" s="282"/>
      <c r="O501" s="68"/>
      <c r="P501" s="68"/>
      <c r="Q501" s="68"/>
      <c r="R501" s="68"/>
      <c r="S501" s="68"/>
    </row>
    <row r="502" spans="1:19" ht="15.75" customHeight="1">
      <c r="A502" s="69"/>
      <c r="K502" s="282"/>
      <c r="L502" s="195"/>
    </row>
    <row r="503" spans="1:19" ht="15.75" customHeight="1">
      <c r="A503" s="69"/>
      <c r="K503" s="282"/>
      <c r="L503" s="195"/>
    </row>
    <row r="504" spans="1:19" ht="15.75" customHeight="1">
      <c r="A504" s="69"/>
      <c r="K504" s="282"/>
      <c r="L504" s="195"/>
    </row>
    <row r="505" spans="1:19" ht="15.75" customHeight="1">
      <c r="A505" s="69"/>
      <c r="K505" s="282"/>
      <c r="L505" s="195"/>
    </row>
    <row r="506" spans="1:19" ht="15.75" customHeight="1">
      <c r="A506" s="69"/>
      <c r="K506" s="282"/>
      <c r="L506" s="195"/>
    </row>
    <row r="507" spans="1:19" ht="15.75" customHeight="1">
      <c r="A507" s="69"/>
      <c r="K507" s="282"/>
      <c r="L507" s="195"/>
    </row>
    <row r="508" spans="1:19" ht="15.75" customHeight="1">
      <c r="A508" s="69"/>
      <c r="K508" s="282"/>
      <c r="L508" s="195"/>
    </row>
    <row r="509" spans="1:19" ht="15.75" customHeight="1">
      <c r="A509" s="69"/>
      <c r="B509" s="68"/>
      <c r="D509" s="68"/>
      <c r="E509" s="69"/>
      <c r="K509" s="282"/>
      <c r="L509" s="195"/>
      <c r="M509" s="282"/>
      <c r="O509" s="68"/>
      <c r="P509" s="68"/>
      <c r="Q509" s="68"/>
      <c r="R509" s="68"/>
      <c r="S509" s="68"/>
    </row>
    <row r="510" spans="1:19" ht="15.75" customHeight="1">
      <c r="A510" s="69"/>
      <c r="K510" s="282"/>
      <c r="L510" s="195"/>
    </row>
    <row r="511" spans="1:19" ht="15.75" customHeight="1">
      <c r="A511" s="69"/>
      <c r="K511" s="282"/>
      <c r="L511" s="195"/>
    </row>
    <row r="512" spans="1:19" ht="15.75" customHeight="1">
      <c r="A512" s="69"/>
      <c r="K512" s="282"/>
      <c r="L512" s="195"/>
    </row>
    <row r="513" spans="1:19" ht="15.75" customHeight="1">
      <c r="A513" s="69"/>
      <c r="K513" s="282"/>
      <c r="L513" s="195"/>
    </row>
    <row r="514" spans="1:19" ht="15.75" customHeight="1">
      <c r="A514" s="69"/>
      <c r="K514" s="282"/>
      <c r="L514" s="195"/>
    </row>
    <row r="515" spans="1:19" ht="15.75" customHeight="1">
      <c r="A515" s="69"/>
      <c r="K515" s="282"/>
      <c r="L515" s="195"/>
    </row>
    <row r="516" spans="1:19" ht="15.75" customHeight="1">
      <c r="A516" s="69"/>
      <c r="K516" s="282"/>
      <c r="L516" s="195"/>
    </row>
    <row r="517" spans="1:19" ht="15.75" customHeight="1">
      <c r="A517" s="69"/>
      <c r="B517" s="68"/>
      <c r="D517" s="68"/>
      <c r="E517" s="69"/>
      <c r="K517" s="282"/>
      <c r="L517" s="195"/>
      <c r="M517" s="282"/>
      <c r="O517" s="68"/>
      <c r="P517" s="68"/>
      <c r="Q517" s="68"/>
      <c r="R517" s="68"/>
      <c r="S517" s="68"/>
    </row>
    <row r="518" spans="1:19" ht="15.75" customHeight="1">
      <c r="A518" s="69"/>
      <c r="B518" s="68"/>
      <c r="D518" s="68"/>
      <c r="E518" s="69"/>
      <c r="K518" s="282"/>
      <c r="L518" s="195"/>
      <c r="M518" s="282"/>
      <c r="O518" s="68"/>
      <c r="P518" s="68"/>
      <c r="Q518" s="68"/>
      <c r="R518" s="68"/>
      <c r="S518" s="68"/>
    </row>
    <row r="519" spans="1:19" ht="15.75" customHeight="1">
      <c r="A519" s="69"/>
      <c r="B519" s="68"/>
      <c r="D519" s="68"/>
      <c r="E519" s="69"/>
      <c r="K519" s="282"/>
      <c r="L519" s="195"/>
      <c r="M519" s="282"/>
      <c r="O519" s="68"/>
      <c r="P519" s="68"/>
      <c r="Q519" s="68"/>
      <c r="R519" s="68"/>
      <c r="S519" s="68"/>
    </row>
    <row r="520" spans="1:19" ht="15.75" customHeight="1">
      <c r="A520" s="69"/>
      <c r="B520" s="68"/>
      <c r="D520" s="68"/>
      <c r="E520" s="69"/>
      <c r="K520" s="282"/>
      <c r="L520" s="195"/>
      <c r="M520" s="282"/>
      <c r="O520" s="68"/>
      <c r="P520" s="68"/>
      <c r="Q520" s="68"/>
      <c r="R520" s="68"/>
      <c r="S520" s="68"/>
    </row>
    <row r="521" spans="1:19" ht="15.75" customHeight="1">
      <c r="A521" s="69"/>
      <c r="B521" s="68"/>
      <c r="D521" s="68"/>
      <c r="E521" s="69"/>
      <c r="K521" s="282"/>
      <c r="L521" s="195"/>
      <c r="M521" s="282"/>
      <c r="O521" s="68"/>
      <c r="P521" s="68"/>
      <c r="Q521" s="68"/>
      <c r="R521" s="68"/>
      <c r="S521" s="68"/>
    </row>
    <row r="522" spans="1:19" ht="15.75" customHeight="1">
      <c r="A522" s="69"/>
      <c r="B522" s="68"/>
      <c r="D522" s="68"/>
      <c r="E522" s="69"/>
      <c r="K522" s="282"/>
      <c r="L522" s="195"/>
      <c r="M522" s="282"/>
      <c r="O522" s="68"/>
      <c r="P522" s="68"/>
      <c r="Q522" s="68"/>
      <c r="R522" s="68"/>
      <c r="S522" s="68"/>
    </row>
    <row r="523" spans="1:19" ht="15.75" customHeight="1">
      <c r="A523" s="69"/>
      <c r="B523" s="68"/>
      <c r="D523" s="68"/>
      <c r="E523" s="69"/>
      <c r="K523" s="282"/>
      <c r="L523" s="195"/>
      <c r="M523" s="282"/>
      <c r="O523" s="68"/>
      <c r="P523" s="68"/>
      <c r="Q523" s="68"/>
      <c r="R523" s="68"/>
      <c r="S523" s="68"/>
    </row>
    <row r="524" spans="1:19" ht="15.75" customHeight="1">
      <c r="A524" s="69"/>
      <c r="B524" s="68"/>
      <c r="D524" s="68"/>
      <c r="E524" s="69"/>
      <c r="K524" s="282"/>
      <c r="L524" s="195"/>
      <c r="M524" s="282"/>
      <c r="O524" s="68"/>
      <c r="P524" s="68"/>
      <c r="Q524" s="68"/>
      <c r="R524" s="68"/>
      <c r="S524" s="68"/>
    </row>
    <row r="525" spans="1:19" ht="15.75" customHeight="1">
      <c r="A525" s="69"/>
      <c r="B525" s="68"/>
      <c r="D525" s="68"/>
      <c r="E525" s="69"/>
      <c r="K525" s="282"/>
      <c r="L525" s="195"/>
      <c r="M525" s="282"/>
      <c r="O525" s="68"/>
      <c r="P525" s="68"/>
      <c r="Q525" s="68"/>
      <c r="R525" s="68"/>
      <c r="S525" s="68"/>
    </row>
    <row r="526" spans="1:19" ht="15.75" customHeight="1">
      <c r="A526" s="69"/>
      <c r="B526" s="68"/>
      <c r="D526" s="68"/>
      <c r="E526" s="69"/>
      <c r="K526" s="282"/>
      <c r="L526" s="195"/>
      <c r="M526" s="282"/>
      <c r="O526" s="68"/>
      <c r="P526" s="68"/>
      <c r="Q526" s="68"/>
      <c r="R526" s="68"/>
      <c r="S526" s="68"/>
    </row>
    <row r="527" spans="1:19" ht="15.75" customHeight="1">
      <c r="A527" s="69"/>
      <c r="B527" s="68"/>
      <c r="D527" s="68"/>
      <c r="E527" s="69"/>
      <c r="K527" s="282"/>
      <c r="L527" s="195"/>
      <c r="M527" s="282"/>
      <c r="O527" s="68"/>
      <c r="P527" s="68"/>
      <c r="Q527" s="68"/>
      <c r="R527" s="68"/>
      <c r="S527" s="68"/>
    </row>
    <row r="528" spans="1:19" ht="15.75" customHeight="1">
      <c r="A528" s="69"/>
      <c r="B528" s="68"/>
      <c r="D528" s="68"/>
      <c r="E528" s="69"/>
      <c r="K528" s="282"/>
      <c r="L528" s="195"/>
      <c r="M528" s="282"/>
      <c r="O528" s="68"/>
      <c r="P528" s="68"/>
      <c r="Q528" s="68"/>
      <c r="R528" s="68"/>
      <c r="S528" s="68"/>
    </row>
    <row r="529" spans="1:19" ht="15.75" customHeight="1">
      <c r="A529" s="69"/>
      <c r="B529" s="68"/>
      <c r="D529" s="68"/>
      <c r="E529" s="69"/>
      <c r="K529" s="282"/>
      <c r="L529" s="195"/>
      <c r="M529" s="282"/>
      <c r="O529" s="68"/>
      <c r="P529" s="68"/>
      <c r="Q529" s="68"/>
      <c r="R529" s="68"/>
      <c r="S529" s="68"/>
    </row>
    <row r="530" spans="1:19" ht="15.75" customHeight="1">
      <c r="A530" s="69"/>
      <c r="B530" s="68"/>
      <c r="D530" s="68"/>
      <c r="E530" s="69"/>
      <c r="K530" s="282"/>
      <c r="L530" s="195"/>
      <c r="M530" s="282"/>
      <c r="O530" s="68"/>
      <c r="P530" s="68"/>
      <c r="Q530" s="68"/>
      <c r="R530" s="68"/>
      <c r="S530" s="68"/>
    </row>
    <row r="531" spans="1:19" ht="15.75" customHeight="1">
      <c r="A531" s="69"/>
      <c r="B531" s="68"/>
      <c r="D531" s="68"/>
      <c r="E531" s="69"/>
      <c r="K531" s="282"/>
      <c r="L531" s="195"/>
      <c r="M531" s="282"/>
      <c r="O531" s="68"/>
      <c r="P531" s="68"/>
      <c r="Q531" s="68"/>
      <c r="R531" s="68"/>
      <c r="S531" s="68"/>
    </row>
    <row r="532" spans="1:19" ht="15.75" customHeight="1">
      <c r="A532" s="69"/>
      <c r="B532" s="68"/>
      <c r="D532" s="68"/>
      <c r="E532" s="69"/>
      <c r="K532" s="282"/>
      <c r="L532" s="195"/>
      <c r="M532" s="282"/>
      <c r="O532" s="68"/>
      <c r="P532" s="68"/>
      <c r="Q532" s="68"/>
      <c r="R532" s="68"/>
      <c r="S532" s="68"/>
    </row>
    <row r="533" spans="1:19" ht="15.75" customHeight="1">
      <c r="A533" s="69"/>
      <c r="B533" s="68"/>
      <c r="D533" s="68"/>
      <c r="E533" s="69"/>
      <c r="K533" s="282"/>
      <c r="L533" s="195"/>
      <c r="M533" s="282"/>
      <c r="O533" s="68"/>
      <c r="P533" s="68"/>
      <c r="Q533" s="68"/>
      <c r="R533" s="68"/>
      <c r="S533" s="68"/>
    </row>
    <row r="534" spans="1:19" ht="15.75" customHeight="1">
      <c r="A534" s="69"/>
      <c r="B534" s="68"/>
      <c r="D534" s="68"/>
      <c r="E534" s="69"/>
      <c r="K534" s="282"/>
      <c r="L534" s="195"/>
      <c r="M534" s="282"/>
      <c r="O534" s="68"/>
      <c r="P534" s="68"/>
      <c r="Q534" s="68"/>
      <c r="R534" s="68"/>
      <c r="S534" s="68"/>
    </row>
    <row r="535" spans="1:19" ht="15.75" customHeight="1">
      <c r="A535" s="69"/>
      <c r="B535" s="68"/>
      <c r="D535" s="68"/>
      <c r="E535" s="69"/>
      <c r="K535" s="282"/>
      <c r="L535" s="195"/>
      <c r="M535" s="282"/>
      <c r="O535" s="68"/>
      <c r="P535" s="68"/>
      <c r="Q535" s="68"/>
      <c r="R535" s="68"/>
      <c r="S535" s="68"/>
    </row>
    <row r="536" spans="1:19" ht="15.75" customHeight="1">
      <c r="A536" s="69"/>
      <c r="B536" s="68"/>
      <c r="D536" s="68"/>
      <c r="E536" s="69"/>
      <c r="K536" s="282"/>
      <c r="L536" s="195"/>
      <c r="M536" s="282"/>
      <c r="O536" s="68"/>
      <c r="P536" s="68"/>
      <c r="Q536" s="68"/>
      <c r="R536" s="68"/>
      <c r="S536" s="68"/>
    </row>
    <row r="537" spans="1:19" ht="15.75" customHeight="1">
      <c r="A537" s="69"/>
      <c r="B537" s="68"/>
      <c r="D537" s="68"/>
      <c r="E537" s="69"/>
      <c r="K537" s="282"/>
      <c r="L537" s="195"/>
      <c r="M537" s="282"/>
      <c r="O537" s="68"/>
      <c r="P537" s="68"/>
      <c r="Q537" s="68"/>
      <c r="R537" s="68"/>
      <c r="S537" s="68"/>
    </row>
    <row r="538" spans="1:19" ht="15.75" customHeight="1">
      <c r="A538" s="69"/>
      <c r="B538" s="68"/>
      <c r="D538" s="68"/>
      <c r="E538" s="69"/>
      <c r="K538" s="282"/>
      <c r="L538" s="195"/>
      <c r="M538" s="282"/>
      <c r="O538" s="68"/>
      <c r="P538" s="68"/>
      <c r="Q538" s="68"/>
      <c r="R538" s="68"/>
      <c r="S538" s="68"/>
    </row>
    <row r="539" spans="1:19" ht="15.75" customHeight="1">
      <c r="A539" s="69"/>
      <c r="B539" s="68"/>
      <c r="D539" s="68"/>
      <c r="E539" s="69"/>
      <c r="K539" s="282"/>
      <c r="L539" s="195"/>
      <c r="M539" s="282"/>
      <c r="O539" s="68"/>
      <c r="P539" s="68"/>
      <c r="Q539" s="68"/>
      <c r="R539" s="68"/>
      <c r="S539" s="68"/>
    </row>
    <row r="540" spans="1:19" ht="15.75" customHeight="1">
      <c r="A540" s="69"/>
      <c r="B540" s="68"/>
      <c r="D540" s="68"/>
      <c r="E540" s="69"/>
      <c r="K540" s="282"/>
      <c r="L540" s="195"/>
      <c r="M540" s="282"/>
      <c r="O540" s="68"/>
      <c r="P540" s="68"/>
      <c r="Q540" s="68"/>
      <c r="R540" s="68"/>
      <c r="S540" s="68"/>
    </row>
    <row r="541" spans="1:19" ht="15.75" customHeight="1">
      <c r="A541" s="69"/>
      <c r="B541" s="68"/>
      <c r="D541" s="68"/>
      <c r="E541" s="69"/>
      <c r="K541" s="282"/>
      <c r="L541" s="195"/>
      <c r="M541" s="282"/>
      <c r="O541" s="68"/>
      <c r="P541" s="68"/>
      <c r="Q541" s="68"/>
      <c r="R541" s="68"/>
      <c r="S541" s="68"/>
    </row>
    <row r="542" spans="1:19" ht="15.75" customHeight="1">
      <c r="A542" s="69"/>
      <c r="B542" s="68"/>
      <c r="D542" s="68"/>
      <c r="E542" s="69"/>
      <c r="K542" s="282"/>
      <c r="L542" s="195"/>
      <c r="M542" s="282"/>
      <c r="O542" s="68"/>
      <c r="P542" s="68"/>
      <c r="Q542" s="68"/>
      <c r="R542" s="68"/>
      <c r="S542" s="68"/>
    </row>
    <row r="543" spans="1:19" ht="15.75" customHeight="1">
      <c r="A543" s="69"/>
      <c r="B543" s="68"/>
      <c r="D543" s="68"/>
      <c r="E543" s="69"/>
      <c r="K543" s="282"/>
      <c r="L543" s="195"/>
      <c r="M543" s="282"/>
      <c r="O543" s="68"/>
      <c r="P543" s="68"/>
      <c r="Q543" s="68"/>
      <c r="R543" s="68"/>
      <c r="S543" s="68"/>
    </row>
    <row r="544" spans="1:19" ht="15.75" customHeight="1">
      <c r="A544" s="69"/>
      <c r="B544" s="68"/>
      <c r="D544" s="68"/>
      <c r="E544" s="69"/>
      <c r="K544" s="282"/>
      <c r="L544" s="195"/>
      <c r="M544" s="282"/>
      <c r="O544" s="68"/>
      <c r="P544" s="68"/>
      <c r="Q544" s="68"/>
      <c r="R544" s="68"/>
      <c r="S544" s="68"/>
    </row>
    <row r="545" spans="1:19" ht="15.75" customHeight="1">
      <c r="A545" s="69"/>
      <c r="B545" s="68"/>
      <c r="D545" s="68"/>
      <c r="E545" s="69"/>
      <c r="K545" s="282"/>
      <c r="L545" s="195"/>
      <c r="M545" s="282"/>
      <c r="O545" s="68"/>
      <c r="P545" s="68"/>
      <c r="Q545" s="68"/>
      <c r="R545" s="68"/>
      <c r="S545" s="68"/>
    </row>
    <row r="546" spans="1:19" ht="15.75" customHeight="1">
      <c r="A546" s="69"/>
      <c r="B546" s="68"/>
      <c r="D546" s="68"/>
      <c r="E546" s="69"/>
      <c r="K546" s="282"/>
      <c r="L546" s="195"/>
      <c r="M546" s="282"/>
      <c r="O546" s="68"/>
      <c r="P546" s="68"/>
      <c r="Q546" s="68"/>
      <c r="R546" s="68"/>
      <c r="S546" s="68"/>
    </row>
    <row r="547" spans="1:19" ht="15.75" customHeight="1">
      <c r="A547" s="69"/>
      <c r="B547" s="68"/>
      <c r="D547" s="68"/>
      <c r="E547" s="69"/>
      <c r="K547" s="282"/>
      <c r="L547" s="195"/>
      <c r="M547" s="282"/>
      <c r="O547" s="68"/>
      <c r="P547" s="68"/>
      <c r="Q547" s="68"/>
      <c r="R547" s="68"/>
      <c r="S547" s="68"/>
    </row>
    <row r="548" spans="1:19" ht="15.75" customHeight="1">
      <c r="A548" s="69"/>
      <c r="B548" s="68"/>
      <c r="D548" s="68"/>
      <c r="E548" s="69"/>
      <c r="K548" s="282"/>
      <c r="L548" s="195"/>
      <c r="M548" s="282"/>
      <c r="O548" s="68"/>
      <c r="P548" s="68"/>
      <c r="Q548" s="68"/>
      <c r="R548" s="68"/>
      <c r="S548" s="68"/>
    </row>
    <row r="549" spans="1:19" ht="15.75" customHeight="1">
      <c r="A549" s="69"/>
      <c r="B549" s="68"/>
      <c r="D549" s="68"/>
      <c r="E549" s="69"/>
      <c r="K549" s="282"/>
      <c r="L549" s="195"/>
      <c r="M549" s="282"/>
      <c r="O549" s="68"/>
      <c r="P549" s="68"/>
      <c r="Q549" s="68"/>
      <c r="R549" s="68"/>
      <c r="S549" s="68"/>
    </row>
    <row r="550" spans="1:19" ht="15.75" customHeight="1">
      <c r="A550" s="69"/>
      <c r="B550" s="68"/>
      <c r="D550" s="68"/>
      <c r="E550" s="69"/>
      <c r="K550" s="282"/>
      <c r="L550" s="195"/>
      <c r="M550" s="282"/>
      <c r="O550" s="68"/>
      <c r="P550" s="68"/>
      <c r="Q550" s="68"/>
      <c r="R550" s="68"/>
      <c r="S550" s="68"/>
    </row>
    <row r="551" spans="1:19" ht="15.75" customHeight="1">
      <c r="A551" s="69"/>
      <c r="B551" s="68"/>
      <c r="D551" s="68"/>
      <c r="E551" s="69"/>
      <c r="K551" s="282"/>
      <c r="L551" s="195"/>
      <c r="M551" s="282"/>
      <c r="O551" s="68"/>
      <c r="P551" s="68"/>
      <c r="Q551" s="68"/>
      <c r="R551" s="68"/>
      <c r="S551" s="68"/>
    </row>
    <row r="552" spans="1:19" ht="15.75" customHeight="1">
      <c r="A552" s="69"/>
      <c r="B552" s="68"/>
      <c r="D552" s="68"/>
      <c r="E552" s="69"/>
      <c r="K552" s="282"/>
      <c r="L552" s="195"/>
      <c r="M552" s="282"/>
      <c r="O552" s="68"/>
      <c r="P552" s="68"/>
      <c r="Q552" s="68"/>
      <c r="R552" s="68"/>
      <c r="S552" s="68"/>
    </row>
    <row r="553" spans="1:19" ht="15.75" customHeight="1">
      <c r="A553" s="69"/>
      <c r="B553" s="68"/>
      <c r="D553" s="68"/>
      <c r="E553" s="69"/>
      <c r="K553" s="282"/>
      <c r="L553" s="195"/>
      <c r="M553" s="282"/>
      <c r="O553" s="68"/>
      <c r="P553" s="68"/>
      <c r="Q553" s="68"/>
      <c r="R553" s="68"/>
      <c r="S553" s="68"/>
    </row>
    <row r="554" spans="1:19" ht="15.75" customHeight="1">
      <c r="A554" s="69"/>
      <c r="B554" s="68"/>
      <c r="D554" s="68"/>
      <c r="E554" s="69"/>
      <c r="K554" s="282"/>
      <c r="L554" s="195"/>
      <c r="M554" s="282"/>
      <c r="O554" s="68"/>
      <c r="P554" s="68"/>
      <c r="Q554" s="68"/>
      <c r="R554" s="68"/>
      <c r="S554" s="68"/>
    </row>
    <row r="555" spans="1:19" ht="15.75" customHeight="1">
      <c r="A555" s="69"/>
      <c r="B555" s="68"/>
      <c r="D555" s="68"/>
      <c r="E555" s="69"/>
      <c r="K555" s="282"/>
      <c r="L555" s="195"/>
      <c r="M555" s="282"/>
      <c r="O555" s="68"/>
      <c r="P555" s="68"/>
      <c r="Q555" s="68"/>
      <c r="R555" s="68"/>
      <c r="S555" s="68"/>
    </row>
    <row r="556" spans="1:19" ht="15.75" customHeight="1">
      <c r="A556" s="69"/>
      <c r="B556" s="68"/>
      <c r="D556" s="68"/>
      <c r="E556" s="69"/>
      <c r="K556" s="282"/>
      <c r="L556" s="195"/>
      <c r="M556" s="282"/>
      <c r="O556" s="68"/>
      <c r="P556" s="68"/>
      <c r="Q556" s="68"/>
      <c r="R556" s="68"/>
      <c r="S556" s="68"/>
    </row>
    <row r="557" spans="1:19" ht="15.75" customHeight="1">
      <c r="A557" s="69"/>
      <c r="B557" s="68"/>
      <c r="D557" s="68"/>
      <c r="E557" s="69"/>
      <c r="K557" s="282"/>
      <c r="L557" s="195"/>
      <c r="M557" s="282"/>
      <c r="O557" s="68"/>
      <c r="P557" s="68"/>
      <c r="Q557" s="68"/>
      <c r="R557" s="68"/>
      <c r="S557" s="68"/>
    </row>
    <row r="558" spans="1:19" ht="15.75" customHeight="1">
      <c r="A558" s="69"/>
      <c r="B558" s="68"/>
      <c r="D558" s="68"/>
      <c r="E558" s="69"/>
      <c r="K558" s="282"/>
      <c r="L558" s="195"/>
      <c r="M558" s="282"/>
      <c r="O558" s="68"/>
      <c r="P558" s="68"/>
      <c r="Q558" s="68"/>
      <c r="R558" s="68"/>
      <c r="S558" s="68"/>
    </row>
    <row r="559" spans="1:19" ht="15.75" customHeight="1">
      <c r="A559" s="69"/>
      <c r="B559" s="68"/>
      <c r="D559" s="68"/>
      <c r="E559" s="69"/>
      <c r="K559" s="282"/>
      <c r="L559" s="195"/>
      <c r="M559" s="282"/>
      <c r="O559" s="68"/>
      <c r="P559" s="68"/>
      <c r="Q559" s="68"/>
      <c r="R559" s="68"/>
      <c r="S559" s="68"/>
    </row>
    <row r="560" spans="1:19" ht="15.75" customHeight="1">
      <c r="A560" s="69"/>
      <c r="B560" s="68"/>
      <c r="D560" s="68"/>
      <c r="E560" s="69"/>
      <c r="K560" s="282"/>
      <c r="L560" s="195"/>
      <c r="M560" s="282"/>
      <c r="O560" s="68"/>
      <c r="P560" s="68"/>
      <c r="Q560" s="68"/>
      <c r="R560" s="68"/>
      <c r="S560" s="68"/>
    </row>
    <row r="561" spans="1:19" ht="15.75" customHeight="1">
      <c r="A561" s="69"/>
      <c r="B561" s="68"/>
      <c r="D561" s="68"/>
      <c r="E561" s="69"/>
      <c r="K561" s="282"/>
      <c r="L561" s="195"/>
      <c r="M561" s="282"/>
      <c r="O561" s="68"/>
      <c r="P561" s="68"/>
      <c r="Q561" s="68"/>
      <c r="R561" s="68"/>
      <c r="S561" s="68"/>
    </row>
    <row r="562" spans="1:19" ht="15.75" customHeight="1">
      <c r="A562" s="69"/>
      <c r="B562" s="68"/>
      <c r="D562" s="68"/>
      <c r="E562" s="69"/>
      <c r="K562" s="282"/>
      <c r="L562" s="195"/>
      <c r="M562" s="282"/>
      <c r="O562" s="68"/>
      <c r="P562" s="68"/>
      <c r="Q562" s="68"/>
      <c r="R562" s="68"/>
      <c r="S562" s="68"/>
    </row>
    <row r="563" spans="1:19" ht="15.75" customHeight="1">
      <c r="A563" s="69"/>
      <c r="B563" s="68"/>
      <c r="D563" s="68"/>
      <c r="E563" s="69"/>
      <c r="K563" s="282"/>
      <c r="L563" s="195"/>
      <c r="M563" s="282"/>
      <c r="O563" s="68"/>
      <c r="P563" s="68"/>
      <c r="Q563" s="68"/>
      <c r="R563" s="68"/>
      <c r="S563" s="68"/>
    </row>
    <row r="564" spans="1:19" ht="15.75" customHeight="1">
      <c r="A564" s="69"/>
      <c r="B564" s="68"/>
      <c r="D564" s="68"/>
      <c r="E564" s="69"/>
      <c r="K564" s="282"/>
      <c r="L564" s="195"/>
      <c r="M564" s="282"/>
      <c r="O564" s="68"/>
      <c r="P564" s="68"/>
      <c r="Q564" s="68"/>
      <c r="R564" s="68"/>
      <c r="S564" s="68"/>
    </row>
    <row r="565" spans="1:19" ht="15.75" customHeight="1">
      <c r="A565" s="69"/>
      <c r="B565" s="68"/>
      <c r="D565" s="68"/>
      <c r="E565" s="69"/>
      <c r="K565" s="282"/>
      <c r="L565" s="195"/>
      <c r="M565" s="282"/>
      <c r="O565" s="68"/>
      <c r="P565" s="68"/>
      <c r="Q565" s="68"/>
      <c r="R565" s="68"/>
      <c r="S565" s="68"/>
    </row>
    <row r="566" spans="1:19" ht="15.75" customHeight="1">
      <c r="A566" s="69"/>
      <c r="B566" s="68"/>
      <c r="D566" s="68"/>
      <c r="E566" s="69"/>
      <c r="K566" s="282"/>
      <c r="L566" s="195"/>
      <c r="M566" s="282"/>
      <c r="O566" s="68"/>
      <c r="P566" s="68"/>
      <c r="Q566" s="68"/>
      <c r="R566" s="68"/>
      <c r="S566" s="68"/>
    </row>
    <row r="567" spans="1:19" ht="15.75" customHeight="1">
      <c r="A567" s="69"/>
      <c r="B567" s="68"/>
      <c r="D567" s="68"/>
      <c r="E567" s="69"/>
      <c r="K567" s="282"/>
      <c r="L567" s="195"/>
      <c r="M567" s="282"/>
      <c r="O567" s="68"/>
      <c r="P567" s="68"/>
      <c r="Q567" s="68"/>
      <c r="R567" s="68"/>
      <c r="S567" s="68"/>
    </row>
    <row r="568" spans="1:19" ht="15.75" customHeight="1">
      <c r="A568" s="69"/>
      <c r="B568" s="68"/>
      <c r="D568" s="68"/>
      <c r="E568" s="69"/>
      <c r="K568" s="282"/>
      <c r="L568" s="195"/>
      <c r="M568" s="282"/>
      <c r="O568" s="68"/>
      <c r="P568" s="68"/>
      <c r="Q568" s="68"/>
      <c r="R568" s="68"/>
      <c r="S568" s="68"/>
    </row>
    <row r="569" spans="1:19" ht="15.75" customHeight="1">
      <c r="A569" s="69"/>
      <c r="B569" s="68"/>
      <c r="D569" s="68"/>
      <c r="E569" s="69"/>
      <c r="K569" s="282"/>
      <c r="L569" s="195"/>
      <c r="M569" s="282"/>
      <c r="O569" s="68"/>
      <c r="P569" s="68"/>
      <c r="Q569" s="68"/>
      <c r="R569" s="68"/>
      <c r="S569" s="68"/>
    </row>
    <row r="570" spans="1:19" ht="15.75" customHeight="1">
      <c r="A570" s="69"/>
      <c r="B570" s="68"/>
      <c r="D570" s="68"/>
      <c r="E570" s="69"/>
      <c r="K570" s="282"/>
      <c r="L570" s="195"/>
      <c r="M570" s="282"/>
      <c r="O570" s="68"/>
      <c r="P570" s="68"/>
      <c r="Q570" s="68"/>
      <c r="R570" s="68"/>
      <c r="S570" s="68"/>
    </row>
    <row r="571" spans="1:19" ht="15.75" customHeight="1">
      <c r="A571" s="69"/>
      <c r="B571" s="68"/>
      <c r="D571" s="68"/>
      <c r="E571" s="69"/>
      <c r="K571" s="282"/>
      <c r="L571" s="195"/>
      <c r="M571" s="282"/>
      <c r="O571" s="68"/>
      <c r="P571" s="68"/>
      <c r="Q571" s="68"/>
      <c r="R571" s="68"/>
      <c r="S571" s="68"/>
    </row>
    <row r="572" spans="1:19" ht="15.75" customHeight="1">
      <c r="A572" s="69"/>
      <c r="B572" s="68"/>
      <c r="D572" s="68"/>
      <c r="E572" s="69"/>
      <c r="K572" s="282"/>
      <c r="L572" s="195"/>
      <c r="M572" s="282"/>
      <c r="O572" s="68"/>
      <c r="P572" s="68"/>
      <c r="Q572" s="68"/>
      <c r="R572" s="68"/>
      <c r="S572" s="68"/>
    </row>
    <row r="573" spans="1:19" ht="15.75" customHeight="1">
      <c r="A573" s="69"/>
      <c r="B573" s="68"/>
      <c r="D573" s="68"/>
      <c r="E573" s="69"/>
      <c r="K573" s="282"/>
      <c r="L573" s="195"/>
      <c r="M573" s="282"/>
      <c r="O573" s="68"/>
      <c r="P573" s="68"/>
      <c r="Q573" s="68"/>
      <c r="R573" s="68"/>
      <c r="S573" s="68"/>
    </row>
    <row r="574" spans="1:19" ht="15.75" customHeight="1">
      <c r="A574" s="69"/>
      <c r="B574" s="68"/>
      <c r="D574" s="68"/>
      <c r="E574" s="69"/>
      <c r="K574" s="282"/>
      <c r="L574" s="195"/>
      <c r="M574" s="282"/>
      <c r="O574" s="68"/>
      <c r="P574" s="68"/>
      <c r="Q574" s="68"/>
      <c r="R574" s="68"/>
      <c r="S574" s="68"/>
    </row>
    <row r="575" spans="1:19" ht="15.75" customHeight="1">
      <c r="A575" s="69"/>
      <c r="B575" s="68"/>
      <c r="D575" s="68"/>
      <c r="E575" s="69"/>
      <c r="K575" s="282"/>
      <c r="L575" s="195"/>
      <c r="M575" s="282"/>
      <c r="O575" s="68"/>
      <c r="P575" s="68"/>
      <c r="Q575" s="68"/>
      <c r="R575" s="68"/>
      <c r="S575" s="68"/>
    </row>
    <row r="576" spans="1:19" ht="15.75" customHeight="1">
      <c r="A576" s="69"/>
      <c r="B576" s="68"/>
      <c r="D576" s="68"/>
      <c r="E576" s="69"/>
      <c r="K576" s="282"/>
      <c r="L576" s="195"/>
      <c r="M576" s="282"/>
      <c r="O576" s="68"/>
      <c r="P576" s="68"/>
      <c r="Q576" s="68"/>
      <c r="R576" s="68"/>
      <c r="S576" s="68"/>
    </row>
    <row r="577" spans="1:19" ht="15.75" customHeight="1">
      <c r="A577" s="69"/>
      <c r="B577" s="68"/>
      <c r="D577" s="68"/>
      <c r="E577" s="69"/>
      <c r="K577" s="282"/>
      <c r="L577" s="195"/>
      <c r="M577" s="282"/>
      <c r="O577" s="68"/>
      <c r="P577" s="68"/>
      <c r="Q577" s="68"/>
      <c r="R577" s="68"/>
      <c r="S577" s="68"/>
    </row>
    <row r="578" spans="1:19" ht="15.75" customHeight="1">
      <c r="A578" s="69"/>
      <c r="B578" s="68"/>
      <c r="D578" s="68"/>
      <c r="E578" s="69"/>
      <c r="K578" s="282"/>
      <c r="L578" s="195"/>
      <c r="M578" s="282"/>
      <c r="O578" s="68"/>
      <c r="P578" s="68"/>
      <c r="Q578" s="68"/>
      <c r="R578" s="68"/>
      <c r="S578" s="68"/>
    </row>
    <row r="579" spans="1:19" ht="15.75" customHeight="1">
      <c r="A579" s="69"/>
      <c r="B579" s="68"/>
      <c r="D579" s="68"/>
      <c r="E579" s="69"/>
      <c r="K579" s="282"/>
      <c r="L579" s="195"/>
      <c r="M579" s="282"/>
      <c r="O579" s="68"/>
      <c r="P579" s="68"/>
      <c r="Q579" s="68"/>
      <c r="R579" s="68"/>
      <c r="S579" s="68"/>
    </row>
    <row r="580" spans="1:19" ht="15.75" customHeight="1">
      <c r="A580" s="69"/>
      <c r="B580" s="68"/>
      <c r="D580" s="68"/>
      <c r="E580" s="69"/>
      <c r="K580" s="282"/>
      <c r="L580" s="195"/>
      <c r="M580" s="282"/>
      <c r="O580" s="68"/>
      <c r="P580" s="68"/>
      <c r="Q580" s="68"/>
      <c r="R580" s="68"/>
      <c r="S580" s="68"/>
    </row>
    <row r="581" spans="1:19" ht="15.75" customHeight="1">
      <c r="A581" s="69"/>
      <c r="B581" s="68"/>
      <c r="D581" s="68"/>
      <c r="E581" s="69"/>
      <c r="K581" s="282"/>
      <c r="L581" s="195"/>
      <c r="M581" s="282"/>
      <c r="O581" s="68"/>
      <c r="P581" s="68"/>
      <c r="Q581" s="68"/>
      <c r="R581" s="68"/>
      <c r="S581" s="68"/>
    </row>
    <row r="582" spans="1:19" ht="15.75" customHeight="1">
      <c r="A582" s="69"/>
      <c r="B582" s="68"/>
      <c r="D582" s="68"/>
      <c r="E582" s="69"/>
      <c r="K582" s="282"/>
      <c r="L582" s="195"/>
      <c r="M582" s="282"/>
      <c r="O582" s="68"/>
      <c r="P582" s="68"/>
      <c r="Q582" s="68"/>
      <c r="R582" s="68"/>
      <c r="S582" s="68"/>
    </row>
    <row r="583" spans="1:19" ht="15.75" customHeight="1">
      <c r="A583" s="69"/>
      <c r="B583" s="68"/>
      <c r="D583" s="68"/>
      <c r="E583" s="69"/>
      <c r="K583" s="282"/>
      <c r="L583" s="195"/>
      <c r="M583" s="282"/>
      <c r="O583" s="68"/>
      <c r="P583" s="68"/>
      <c r="Q583" s="68"/>
      <c r="R583" s="68"/>
      <c r="S583" s="68"/>
    </row>
    <row r="584" spans="1:19" ht="15.75" customHeight="1">
      <c r="A584" s="69"/>
      <c r="B584" s="68"/>
      <c r="D584" s="68"/>
      <c r="E584" s="69"/>
      <c r="K584" s="282"/>
      <c r="L584" s="195"/>
      <c r="M584" s="282"/>
      <c r="O584" s="68"/>
      <c r="P584" s="68"/>
      <c r="Q584" s="68"/>
      <c r="R584" s="68"/>
      <c r="S584" s="68"/>
    </row>
    <row r="585" spans="1:19" ht="15.75" customHeight="1">
      <c r="A585" s="69"/>
      <c r="B585" s="68"/>
      <c r="D585" s="68"/>
      <c r="E585" s="69"/>
      <c r="K585" s="282"/>
      <c r="L585" s="195"/>
      <c r="M585" s="282"/>
      <c r="O585" s="68"/>
      <c r="P585" s="68"/>
      <c r="Q585" s="68"/>
      <c r="R585" s="68"/>
      <c r="S585" s="68"/>
    </row>
    <row r="586" spans="1:19" ht="15.75" customHeight="1">
      <c r="A586" s="69"/>
      <c r="B586" s="68"/>
      <c r="D586" s="68"/>
      <c r="E586" s="69"/>
      <c r="K586" s="282"/>
      <c r="L586" s="195"/>
      <c r="M586" s="282"/>
      <c r="O586" s="68"/>
      <c r="P586" s="68"/>
      <c r="Q586" s="68"/>
      <c r="R586" s="68"/>
      <c r="S586" s="68"/>
    </row>
    <row r="587" spans="1:19" ht="15.75" customHeight="1">
      <c r="A587" s="69"/>
      <c r="B587" s="68"/>
      <c r="D587" s="68"/>
      <c r="E587" s="69"/>
      <c r="K587" s="282"/>
      <c r="L587" s="195"/>
      <c r="M587" s="282"/>
      <c r="O587" s="68"/>
      <c r="P587" s="68"/>
      <c r="Q587" s="68"/>
      <c r="R587" s="68"/>
      <c r="S587" s="68"/>
    </row>
    <row r="588" spans="1:19" ht="15.75" customHeight="1">
      <c r="A588" s="69"/>
      <c r="B588" s="68"/>
      <c r="D588" s="68"/>
      <c r="E588" s="69"/>
      <c r="K588" s="282"/>
      <c r="L588" s="195"/>
      <c r="M588" s="282"/>
      <c r="O588" s="68"/>
      <c r="P588" s="68"/>
      <c r="Q588" s="68"/>
      <c r="R588" s="68"/>
      <c r="S588" s="68"/>
    </row>
    <row r="589" spans="1:19" ht="15.75" customHeight="1">
      <c r="A589" s="69"/>
      <c r="B589" s="68"/>
      <c r="D589" s="68"/>
      <c r="E589" s="69"/>
      <c r="K589" s="282"/>
      <c r="L589" s="195"/>
      <c r="M589" s="282"/>
      <c r="O589" s="68"/>
      <c r="P589" s="68"/>
      <c r="Q589" s="68"/>
      <c r="R589" s="68"/>
      <c r="S589" s="68"/>
    </row>
    <row r="590" spans="1:19" ht="15.75" customHeight="1">
      <c r="A590" s="69"/>
      <c r="B590" s="68"/>
      <c r="D590" s="68"/>
      <c r="E590" s="69"/>
      <c r="K590" s="282"/>
      <c r="L590" s="195"/>
      <c r="M590" s="282"/>
      <c r="O590" s="68"/>
      <c r="P590" s="68"/>
      <c r="Q590" s="68"/>
      <c r="R590" s="68"/>
      <c r="S590" s="68"/>
    </row>
    <row r="591" spans="1:19" ht="15.75" customHeight="1">
      <c r="A591" s="69"/>
      <c r="B591" s="68"/>
      <c r="D591" s="68"/>
      <c r="E591" s="69"/>
      <c r="K591" s="282"/>
      <c r="L591" s="195"/>
      <c r="M591" s="282"/>
      <c r="O591" s="68"/>
      <c r="P591" s="68"/>
      <c r="Q591" s="68"/>
      <c r="R591" s="68"/>
      <c r="S591" s="68"/>
    </row>
    <row r="592" spans="1:19" ht="15.75" customHeight="1">
      <c r="A592" s="69"/>
      <c r="B592" s="68"/>
      <c r="D592" s="68"/>
      <c r="E592" s="69"/>
      <c r="K592" s="282"/>
      <c r="L592" s="195"/>
      <c r="M592" s="282"/>
      <c r="O592" s="68"/>
      <c r="P592" s="68"/>
      <c r="Q592" s="68"/>
      <c r="R592" s="68"/>
      <c r="S592" s="68"/>
    </row>
    <row r="593" spans="1:19" ht="15.75" customHeight="1">
      <c r="A593" s="69"/>
      <c r="B593" s="68"/>
      <c r="D593" s="68"/>
      <c r="E593" s="69"/>
      <c r="K593" s="282"/>
      <c r="L593" s="195"/>
      <c r="M593" s="282"/>
      <c r="O593" s="68"/>
      <c r="P593" s="68"/>
      <c r="Q593" s="68"/>
      <c r="R593" s="68"/>
      <c r="S593" s="68"/>
    </row>
    <row r="594" spans="1:19" ht="15.75" customHeight="1">
      <c r="A594" s="69"/>
      <c r="B594" s="68"/>
      <c r="D594" s="68"/>
      <c r="E594" s="69"/>
      <c r="K594" s="282"/>
      <c r="L594" s="195"/>
      <c r="M594" s="282"/>
      <c r="O594" s="68"/>
      <c r="P594" s="68"/>
      <c r="Q594" s="68"/>
      <c r="R594" s="68"/>
      <c r="S594" s="68"/>
    </row>
    <row r="595" spans="1:19" ht="15.75" customHeight="1">
      <c r="A595" s="69"/>
      <c r="B595" s="68"/>
      <c r="D595" s="68"/>
      <c r="E595" s="69"/>
      <c r="K595" s="282"/>
      <c r="L595" s="195"/>
      <c r="M595" s="282"/>
      <c r="O595" s="68"/>
      <c r="P595" s="68"/>
      <c r="Q595" s="68"/>
      <c r="R595" s="68"/>
      <c r="S595" s="68"/>
    </row>
    <row r="596" spans="1:19" ht="15.75" customHeight="1">
      <c r="A596" s="69"/>
      <c r="B596" s="68"/>
      <c r="D596" s="68"/>
      <c r="E596" s="69"/>
      <c r="K596" s="282"/>
      <c r="L596" s="195"/>
      <c r="M596" s="282"/>
      <c r="O596" s="68"/>
      <c r="P596" s="68"/>
      <c r="Q596" s="68"/>
      <c r="R596" s="68"/>
      <c r="S596" s="68"/>
    </row>
    <row r="597" spans="1:19" ht="15.75" customHeight="1">
      <c r="A597" s="69"/>
      <c r="B597" s="68"/>
      <c r="D597" s="68"/>
      <c r="E597" s="69"/>
      <c r="K597" s="282"/>
      <c r="L597" s="195"/>
      <c r="M597" s="282"/>
      <c r="O597" s="68"/>
      <c r="P597" s="68"/>
      <c r="Q597" s="68"/>
      <c r="R597" s="68"/>
      <c r="S597" s="68"/>
    </row>
    <row r="598" spans="1:19" ht="15.75" customHeight="1">
      <c r="A598" s="69"/>
      <c r="B598" s="68"/>
      <c r="D598" s="68"/>
      <c r="E598" s="69"/>
      <c r="K598" s="282"/>
      <c r="L598" s="195"/>
      <c r="M598" s="282"/>
      <c r="O598" s="68"/>
      <c r="P598" s="68"/>
      <c r="Q598" s="68"/>
      <c r="R598" s="68"/>
      <c r="S598" s="68"/>
    </row>
    <row r="599" spans="1:19" ht="15.75" customHeight="1">
      <c r="A599" s="69"/>
      <c r="B599" s="68"/>
      <c r="D599" s="68"/>
      <c r="E599" s="69"/>
      <c r="K599" s="282"/>
      <c r="L599" s="195"/>
      <c r="M599" s="282"/>
      <c r="O599" s="68"/>
      <c r="P599" s="68"/>
      <c r="Q599" s="68"/>
      <c r="R599" s="68"/>
      <c r="S599" s="68"/>
    </row>
    <row r="600" spans="1:19" ht="15.75" customHeight="1">
      <c r="A600" s="69"/>
      <c r="B600" s="68"/>
      <c r="D600" s="68"/>
      <c r="E600" s="69"/>
      <c r="K600" s="282"/>
      <c r="L600" s="195"/>
      <c r="M600" s="282"/>
      <c r="O600" s="68"/>
      <c r="P600" s="68"/>
      <c r="Q600" s="68"/>
      <c r="R600" s="68"/>
      <c r="S600" s="68"/>
    </row>
    <row r="601" spans="1:19" ht="15.75" customHeight="1">
      <c r="A601" s="69"/>
      <c r="B601" s="68"/>
      <c r="D601" s="68"/>
      <c r="E601" s="69"/>
      <c r="K601" s="282"/>
      <c r="L601" s="195"/>
      <c r="M601" s="282"/>
      <c r="O601" s="68"/>
      <c r="P601" s="68"/>
      <c r="Q601" s="68"/>
      <c r="R601" s="68"/>
      <c r="S601" s="68"/>
    </row>
    <row r="602" spans="1:19" ht="15.75" customHeight="1">
      <c r="A602" s="69"/>
      <c r="B602" s="68"/>
      <c r="D602" s="68"/>
      <c r="E602" s="69"/>
      <c r="K602" s="282"/>
      <c r="L602" s="195"/>
      <c r="M602" s="282"/>
      <c r="O602" s="68"/>
      <c r="P602" s="68"/>
      <c r="Q602" s="68"/>
      <c r="R602" s="68"/>
      <c r="S602" s="68"/>
    </row>
    <row r="603" spans="1:19" ht="15.75" customHeight="1">
      <c r="A603" s="69"/>
      <c r="B603" s="68"/>
      <c r="D603" s="68"/>
      <c r="E603" s="69"/>
      <c r="K603" s="282"/>
      <c r="L603" s="195"/>
      <c r="M603" s="282"/>
      <c r="O603" s="68"/>
      <c r="P603" s="68"/>
      <c r="Q603" s="68"/>
      <c r="R603" s="68"/>
      <c r="S603" s="68"/>
    </row>
    <row r="604" spans="1:19" ht="15.75" customHeight="1">
      <c r="A604" s="69"/>
      <c r="B604" s="68"/>
      <c r="D604" s="68"/>
      <c r="E604" s="69"/>
      <c r="K604" s="282"/>
      <c r="L604" s="195"/>
      <c r="M604" s="282"/>
      <c r="O604" s="68"/>
      <c r="P604" s="68"/>
      <c r="Q604" s="68"/>
      <c r="R604" s="68"/>
      <c r="S604" s="68"/>
    </row>
    <row r="605" spans="1:19" ht="15.75" customHeight="1">
      <c r="A605" s="69"/>
      <c r="B605" s="68"/>
      <c r="D605" s="68"/>
      <c r="E605" s="69"/>
      <c r="K605" s="282"/>
      <c r="L605" s="195"/>
      <c r="M605" s="282"/>
      <c r="O605" s="68"/>
      <c r="P605" s="68"/>
      <c r="Q605" s="68"/>
      <c r="R605" s="68"/>
      <c r="S605" s="68"/>
    </row>
    <row r="606" spans="1:19" ht="15.75" customHeight="1">
      <c r="A606" s="69"/>
      <c r="B606" s="68"/>
      <c r="D606" s="68"/>
      <c r="E606" s="69"/>
      <c r="K606" s="282"/>
      <c r="L606" s="195"/>
      <c r="M606" s="282"/>
      <c r="O606" s="68"/>
      <c r="P606" s="68"/>
      <c r="Q606" s="68"/>
      <c r="R606" s="68"/>
      <c r="S606" s="68"/>
    </row>
    <row r="607" spans="1:19" ht="15.75" customHeight="1">
      <c r="A607" s="69"/>
      <c r="B607" s="68"/>
      <c r="D607" s="68"/>
      <c r="E607" s="69"/>
      <c r="K607" s="282"/>
      <c r="L607" s="195"/>
      <c r="M607" s="282"/>
      <c r="O607" s="68"/>
      <c r="P607" s="68"/>
      <c r="Q607" s="68"/>
      <c r="R607" s="68"/>
      <c r="S607" s="68"/>
    </row>
    <row r="608" spans="1:19" ht="15.75" customHeight="1">
      <c r="A608" s="69"/>
      <c r="B608" s="68"/>
      <c r="D608" s="68"/>
      <c r="E608" s="69"/>
      <c r="K608" s="282"/>
      <c r="L608" s="195"/>
      <c r="M608" s="282"/>
      <c r="O608" s="68"/>
      <c r="P608" s="68"/>
      <c r="Q608" s="68"/>
      <c r="R608" s="68"/>
      <c r="S608" s="68"/>
    </row>
    <row r="609" spans="1:19" ht="15.75" customHeight="1">
      <c r="A609" s="69"/>
      <c r="B609" s="68"/>
      <c r="D609" s="68"/>
      <c r="E609" s="69"/>
      <c r="K609" s="282"/>
      <c r="L609" s="195"/>
      <c r="M609" s="282"/>
      <c r="O609" s="68"/>
      <c r="P609" s="68"/>
      <c r="Q609" s="68"/>
      <c r="R609" s="68"/>
      <c r="S609" s="68"/>
    </row>
    <row r="610" spans="1:19" ht="15.75" customHeight="1">
      <c r="A610" s="69"/>
      <c r="B610" s="68"/>
      <c r="D610" s="68"/>
      <c r="E610" s="69"/>
      <c r="K610" s="282"/>
      <c r="L610" s="195"/>
      <c r="M610" s="282"/>
      <c r="O610" s="68"/>
      <c r="P610" s="68"/>
      <c r="Q610" s="68"/>
      <c r="R610" s="68"/>
      <c r="S610" s="68"/>
    </row>
    <row r="611" spans="1:19" ht="15.75" customHeight="1">
      <c r="A611" s="69"/>
      <c r="B611" s="68"/>
      <c r="D611" s="68"/>
      <c r="E611" s="69"/>
      <c r="K611" s="282"/>
      <c r="L611" s="195"/>
      <c r="M611" s="282"/>
      <c r="O611" s="68"/>
      <c r="P611" s="68"/>
      <c r="Q611" s="68"/>
      <c r="R611" s="68"/>
      <c r="S611" s="68"/>
    </row>
    <row r="612" spans="1:19" ht="15.75" customHeight="1">
      <c r="A612" s="69"/>
      <c r="B612" s="68"/>
      <c r="D612" s="68"/>
      <c r="E612" s="69"/>
      <c r="K612" s="282"/>
      <c r="L612" s="195"/>
      <c r="M612" s="282"/>
      <c r="O612" s="68"/>
      <c r="P612" s="68"/>
      <c r="Q612" s="68"/>
      <c r="R612" s="68"/>
      <c r="S612" s="68"/>
    </row>
    <row r="613" spans="1:19" ht="15.75" customHeight="1">
      <c r="A613" s="69"/>
      <c r="B613" s="68"/>
      <c r="D613" s="68"/>
      <c r="E613" s="69"/>
      <c r="K613" s="282"/>
      <c r="L613" s="195"/>
      <c r="M613" s="282"/>
      <c r="O613" s="68"/>
      <c r="P613" s="68"/>
      <c r="Q613" s="68"/>
      <c r="R613" s="68"/>
      <c r="S613" s="68"/>
    </row>
    <row r="614" spans="1:19" ht="15.75" customHeight="1">
      <c r="A614" s="69"/>
      <c r="B614" s="68"/>
      <c r="D614" s="68"/>
      <c r="E614" s="69"/>
      <c r="K614" s="282"/>
      <c r="L614" s="195"/>
      <c r="M614" s="282"/>
      <c r="O614" s="68"/>
      <c r="P614" s="68"/>
      <c r="Q614" s="68"/>
      <c r="R614" s="68"/>
      <c r="S614" s="68"/>
    </row>
    <row r="615" spans="1:19" ht="15.75" customHeight="1">
      <c r="A615" s="69"/>
      <c r="B615" s="68"/>
      <c r="D615" s="68"/>
      <c r="E615" s="69"/>
      <c r="K615" s="282"/>
      <c r="L615" s="195"/>
      <c r="M615" s="282"/>
      <c r="O615" s="68"/>
      <c r="P615" s="68"/>
      <c r="Q615" s="68"/>
      <c r="R615" s="68"/>
      <c r="S615" s="68"/>
    </row>
    <row r="616" spans="1:19" ht="15.75" customHeight="1">
      <c r="A616" s="69"/>
      <c r="B616" s="68"/>
      <c r="D616" s="68"/>
      <c r="E616" s="69"/>
      <c r="K616" s="282"/>
      <c r="L616" s="195"/>
      <c r="M616" s="282"/>
      <c r="O616" s="68"/>
      <c r="P616" s="68"/>
      <c r="Q616" s="68"/>
      <c r="R616" s="68"/>
      <c r="S616" s="68"/>
    </row>
    <row r="617" spans="1:19" ht="15.75" customHeight="1">
      <c r="A617" s="69"/>
      <c r="B617" s="68"/>
      <c r="D617" s="68"/>
      <c r="E617" s="69"/>
      <c r="K617" s="282"/>
      <c r="L617" s="195"/>
      <c r="M617" s="282"/>
      <c r="O617" s="68"/>
      <c r="P617" s="68"/>
      <c r="Q617" s="68"/>
      <c r="R617" s="68"/>
      <c r="S617" s="68"/>
    </row>
    <row r="618" spans="1:19" ht="15.75" customHeight="1">
      <c r="A618" s="69"/>
      <c r="B618" s="68"/>
      <c r="D618" s="68"/>
      <c r="E618" s="69"/>
      <c r="K618" s="282"/>
      <c r="L618" s="195"/>
      <c r="M618" s="282"/>
      <c r="O618" s="68"/>
      <c r="P618" s="68"/>
      <c r="Q618" s="68"/>
      <c r="R618" s="68"/>
      <c r="S618" s="68"/>
    </row>
    <row r="619" spans="1:19" ht="15.75" customHeight="1">
      <c r="A619" s="69"/>
      <c r="B619" s="68"/>
      <c r="D619" s="68"/>
      <c r="E619" s="69"/>
      <c r="K619" s="282"/>
      <c r="L619" s="195"/>
      <c r="M619" s="282"/>
      <c r="O619" s="68"/>
      <c r="P619" s="68"/>
      <c r="Q619" s="68"/>
      <c r="R619" s="68"/>
      <c r="S619" s="68"/>
    </row>
    <row r="620" spans="1:19" ht="15.75" customHeight="1">
      <c r="A620" s="69"/>
      <c r="B620" s="68"/>
      <c r="D620" s="68"/>
      <c r="E620" s="69"/>
      <c r="K620" s="282"/>
      <c r="L620" s="195"/>
      <c r="M620" s="282"/>
      <c r="O620" s="68"/>
      <c r="P620" s="68"/>
      <c r="Q620" s="68"/>
      <c r="R620" s="68"/>
      <c r="S620" s="68"/>
    </row>
    <row r="621" spans="1:19" ht="15.75" customHeight="1">
      <c r="A621" s="69"/>
      <c r="B621" s="68"/>
      <c r="D621" s="68"/>
      <c r="E621" s="69"/>
      <c r="K621" s="282"/>
      <c r="L621" s="195"/>
      <c r="M621" s="282"/>
      <c r="O621" s="68"/>
      <c r="P621" s="68"/>
      <c r="Q621" s="68"/>
      <c r="R621" s="68"/>
      <c r="S621" s="68"/>
    </row>
    <row r="622" spans="1:19" ht="15.75" customHeight="1">
      <c r="A622" s="69"/>
      <c r="B622" s="68"/>
      <c r="D622" s="68"/>
      <c r="E622" s="69"/>
      <c r="K622" s="282"/>
      <c r="L622" s="195"/>
      <c r="M622" s="282"/>
      <c r="O622" s="68"/>
      <c r="P622" s="68"/>
      <c r="Q622" s="68"/>
      <c r="R622" s="68"/>
      <c r="S622" s="68"/>
    </row>
    <row r="623" spans="1:19" ht="15.75" customHeight="1">
      <c r="A623" s="69"/>
      <c r="B623" s="68"/>
      <c r="D623" s="68"/>
      <c r="E623" s="69"/>
      <c r="K623" s="282"/>
      <c r="L623" s="195"/>
      <c r="M623" s="282"/>
      <c r="O623" s="68"/>
      <c r="P623" s="68"/>
      <c r="Q623" s="68"/>
      <c r="R623" s="68"/>
      <c r="S623" s="68"/>
    </row>
    <row r="624" spans="1:19" ht="15.75" customHeight="1">
      <c r="A624" s="69"/>
      <c r="B624" s="68"/>
      <c r="D624" s="68"/>
      <c r="E624" s="69"/>
      <c r="K624" s="282"/>
      <c r="L624" s="195"/>
      <c r="M624" s="282"/>
      <c r="O624" s="68"/>
      <c r="P624" s="68"/>
      <c r="Q624" s="68"/>
      <c r="R624" s="68"/>
      <c r="S624" s="68"/>
    </row>
    <row r="625" spans="1:19" ht="15.75" customHeight="1">
      <c r="A625" s="69"/>
      <c r="B625" s="68"/>
      <c r="D625" s="68"/>
      <c r="E625" s="69"/>
      <c r="K625" s="282"/>
      <c r="L625" s="195"/>
      <c r="M625" s="282"/>
      <c r="O625" s="68"/>
      <c r="P625" s="68"/>
      <c r="Q625" s="68"/>
      <c r="R625" s="68"/>
      <c r="S625" s="68"/>
    </row>
    <row r="626" spans="1:19" ht="15.75" customHeight="1">
      <c r="A626" s="69"/>
      <c r="B626" s="68"/>
      <c r="D626" s="68"/>
      <c r="E626" s="69"/>
      <c r="K626" s="282"/>
      <c r="L626" s="195"/>
      <c r="M626" s="282"/>
      <c r="O626" s="68"/>
      <c r="P626" s="68"/>
      <c r="Q626" s="68"/>
      <c r="R626" s="68"/>
      <c r="S626" s="68"/>
    </row>
    <row r="627" spans="1:19" ht="15.75" customHeight="1">
      <c r="A627" s="69"/>
      <c r="B627" s="68"/>
      <c r="D627" s="68"/>
      <c r="E627" s="69"/>
      <c r="K627" s="282"/>
      <c r="L627" s="195"/>
      <c r="M627" s="282"/>
      <c r="O627" s="68"/>
      <c r="P627" s="68"/>
      <c r="Q627" s="68"/>
      <c r="R627" s="68"/>
      <c r="S627" s="68"/>
    </row>
    <row r="628" spans="1:19" ht="15.75" customHeight="1">
      <c r="A628" s="69"/>
      <c r="B628" s="68"/>
      <c r="D628" s="68"/>
      <c r="E628" s="69"/>
      <c r="K628" s="282"/>
      <c r="L628" s="195"/>
      <c r="M628" s="282"/>
      <c r="O628" s="68"/>
      <c r="P628" s="68"/>
      <c r="Q628" s="68"/>
      <c r="R628" s="68"/>
      <c r="S628" s="68"/>
    </row>
    <row r="629" spans="1:19" ht="15.75" customHeight="1">
      <c r="A629" s="69"/>
      <c r="B629" s="68"/>
      <c r="D629" s="68"/>
      <c r="E629" s="69"/>
      <c r="K629" s="282"/>
      <c r="L629" s="195"/>
      <c r="M629" s="282"/>
      <c r="O629" s="68"/>
      <c r="P629" s="68"/>
      <c r="Q629" s="68"/>
      <c r="R629" s="68"/>
      <c r="S629" s="68"/>
    </row>
    <row r="630" spans="1:19" ht="15.75" customHeight="1">
      <c r="A630" s="69"/>
      <c r="B630" s="68"/>
      <c r="D630" s="68"/>
      <c r="E630" s="69"/>
      <c r="K630" s="282"/>
      <c r="L630" s="195"/>
      <c r="M630" s="282"/>
      <c r="O630" s="68"/>
      <c r="P630" s="68"/>
      <c r="Q630" s="68"/>
      <c r="R630" s="68"/>
      <c r="S630" s="68"/>
    </row>
    <row r="631" spans="1:19" ht="15.75" customHeight="1">
      <c r="A631" s="69"/>
      <c r="B631" s="68"/>
      <c r="D631" s="68"/>
      <c r="E631" s="69"/>
      <c r="K631" s="282"/>
      <c r="L631" s="195"/>
      <c r="M631" s="282"/>
      <c r="O631" s="68"/>
      <c r="P631" s="68"/>
      <c r="Q631" s="68"/>
      <c r="R631" s="68"/>
      <c r="S631" s="68"/>
    </row>
    <row r="632" spans="1:19" ht="15.75" customHeight="1">
      <c r="A632" s="69"/>
      <c r="B632" s="68"/>
      <c r="D632" s="68"/>
      <c r="E632" s="69"/>
      <c r="K632" s="282"/>
      <c r="L632" s="195"/>
      <c r="M632" s="282"/>
      <c r="O632" s="68"/>
      <c r="P632" s="68"/>
      <c r="Q632" s="68"/>
      <c r="R632" s="68"/>
      <c r="S632" s="68"/>
    </row>
    <row r="633" spans="1:19" ht="15.75" customHeight="1">
      <c r="A633" s="69"/>
      <c r="B633" s="68"/>
      <c r="D633" s="68"/>
      <c r="E633" s="69"/>
      <c r="K633" s="282"/>
      <c r="L633" s="195"/>
      <c r="M633" s="282"/>
      <c r="O633" s="68"/>
      <c r="P633" s="68"/>
      <c r="Q633" s="68"/>
      <c r="R633" s="68"/>
      <c r="S633" s="68"/>
    </row>
    <row r="634" spans="1:19" ht="15.75" customHeight="1">
      <c r="A634" s="69"/>
      <c r="B634" s="68"/>
      <c r="D634" s="68"/>
      <c r="E634" s="69"/>
      <c r="K634" s="282"/>
      <c r="L634" s="195"/>
      <c r="M634" s="282"/>
      <c r="O634" s="68"/>
      <c r="P634" s="68"/>
      <c r="Q634" s="68"/>
      <c r="R634" s="68"/>
      <c r="S634" s="68"/>
    </row>
    <row r="635" spans="1:19" ht="15.75" customHeight="1">
      <c r="A635" s="69"/>
      <c r="B635" s="68"/>
      <c r="D635" s="68"/>
      <c r="E635" s="69"/>
      <c r="K635" s="282"/>
      <c r="L635" s="195"/>
      <c r="M635" s="282"/>
      <c r="O635" s="68"/>
      <c r="P635" s="68"/>
      <c r="Q635" s="68"/>
      <c r="R635" s="68"/>
      <c r="S635" s="68"/>
    </row>
    <row r="636" spans="1:19" ht="15.75" customHeight="1">
      <c r="A636" s="69"/>
      <c r="B636" s="68"/>
      <c r="D636" s="68"/>
      <c r="E636" s="69"/>
      <c r="K636" s="282"/>
      <c r="L636" s="195"/>
      <c r="M636" s="282"/>
      <c r="O636" s="68"/>
      <c r="P636" s="68"/>
      <c r="Q636" s="68"/>
      <c r="R636" s="68"/>
      <c r="S636" s="68"/>
    </row>
    <row r="637" spans="1:19" ht="15.75" customHeight="1">
      <c r="A637" s="69"/>
      <c r="B637" s="68"/>
      <c r="D637" s="68"/>
      <c r="E637" s="69"/>
      <c r="K637" s="282"/>
      <c r="L637" s="195"/>
      <c r="M637" s="282"/>
      <c r="O637" s="68"/>
      <c r="P637" s="68"/>
      <c r="Q637" s="68"/>
      <c r="R637" s="68"/>
      <c r="S637" s="68"/>
    </row>
    <row r="638" spans="1:19" ht="15.75" customHeight="1">
      <c r="A638" s="69"/>
      <c r="B638" s="68"/>
      <c r="D638" s="68"/>
      <c r="E638" s="69"/>
      <c r="K638" s="282"/>
      <c r="L638" s="195"/>
      <c r="M638" s="282"/>
      <c r="O638" s="68"/>
      <c r="P638" s="68"/>
      <c r="Q638" s="68"/>
      <c r="R638" s="68"/>
      <c r="S638" s="68"/>
    </row>
    <row r="639" spans="1:19" ht="15.75" customHeight="1">
      <c r="A639" s="69"/>
      <c r="B639" s="68"/>
      <c r="D639" s="68"/>
      <c r="E639" s="69"/>
      <c r="K639" s="282"/>
      <c r="L639" s="195"/>
      <c r="M639" s="282"/>
      <c r="O639" s="68"/>
      <c r="P639" s="68"/>
      <c r="Q639" s="68"/>
      <c r="R639" s="68"/>
      <c r="S639" s="68"/>
    </row>
    <row r="640" spans="1:19" ht="15.75" customHeight="1">
      <c r="A640" s="69"/>
      <c r="B640" s="68"/>
      <c r="D640" s="68"/>
      <c r="E640" s="69"/>
      <c r="K640" s="282"/>
      <c r="L640" s="195"/>
      <c r="M640" s="282"/>
      <c r="O640" s="68"/>
      <c r="P640" s="68"/>
      <c r="Q640" s="68"/>
      <c r="R640" s="68"/>
      <c r="S640" s="68"/>
    </row>
    <row r="641" spans="1:19" ht="15.75" customHeight="1">
      <c r="A641" s="69"/>
      <c r="B641" s="68"/>
      <c r="D641" s="68"/>
      <c r="E641" s="69"/>
      <c r="K641" s="282"/>
      <c r="L641" s="195"/>
      <c r="M641" s="282"/>
      <c r="O641" s="68"/>
      <c r="P641" s="68"/>
      <c r="Q641" s="68"/>
      <c r="R641" s="68"/>
      <c r="S641" s="68"/>
    </row>
    <row r="642" spans="1:19" ht="15.75" customHeight="1">
      <c r="A642" s="69"/>
      <c r="B642" s="68"/>
      <c r="D642" s="68"/>
      <c r="E642" s="69"/>
      <c r="K642" s="282"/>
      <c r="L642" s="195"/>
      <c r="M642" s="282"/>
      <c r="O642" s="68"/>
      <c r="P642" s="68"/>
      <c r="Q642" s="68"/>
      <c r="R642" s="68"/>
      <c r="S642" s="68"/>
    </row>
    <row r="643" spans="1:19" ht="15.75" customHeight="1">
      <c r="A643" s="69"/>
      <c r="B643" s="68"/>
      <c r="D643" s="68"/>
      <c r="E643" s="69"/>
      <c r="K643" s="282"/>
      <c r="L643" s="195"/>
      <c r="M643" s="282"/>
      <c r="O643" s="68"/>
      <c r="P643" s="68"/>
      <c r="Q643" s="68"/>
      <c r="R643" s="68"/>
      <c r="S643" s="68"/>
    </row>
    <row r="644" spans="1:19" ht="15.75" customHeight="1">
      <c r="A644" s="69"/>
      <c r="B644" s="68"/>
      <c r="D644" s="68"/>
      <c r="E644" s="69"/>
      <c r="K644" s="282"/>
      <c r="L644" s="195"/>
      <c r="M644" s="282"/>
      <c r="O644" s="68"/>
      <c r="P644" s="68"/>
      <c r="Q644" s="68"/>
      <c r="R644" s="68"/>
      <c r="S644" s="68"/>
    </row>
    <row r="645" spans="1:19" ht="15.75" customHeight="1">
      <c r="A645" s="69"/>
      <c r="B645" s="68"/>
      <c r="D645" s="68"/>
      <c r="E645" s="69"/>
      <c r="K645" s="282"/>
      <c r="L645" s="195"/>
      <c r="M645" s="282"/>
      <c r="O645" s="68"/>
      <c r="P645" s="68"/>
      <c r="Q645" s="68"/>
      <c r="R645" s="68"/>
      <c r="S645" s="68"/>
    </row>
    <row r="646" spans="1:19" ht="15.75" customHeight="1">
      <c r="A646" s="69"/>
      <c r="B646" s="68"/>
      <c r="D646" s="68"/>
      <c r="E646" s="69"/>
      <c r="K646" s="282"/>
      <c r="L646" s="195"/>
      <c r="M646" s="282"/>
      <c r="O646" s="68"/>
      <c r="P646" s="68"/>
      <c r="Q646" s="68"/>
      <c r="R646" s="68"/>
      <c r="S646" s="68"/>
    </row>
    <row r="647" spans="1:19" ht="15.75" customHeight="1">
      <c r="A647" s="69"/>
      <c r="B647" s="68"/>
      <c r="D647" s="68"/>
      <c r="E647" s="69"/>
      <c r="K647" s="282"/>
      <c r="L647" s="195"/>
      <c r="M647" s="282"/>
      <c r="O647" s="68"/>
      <c r="P647" s="68"/>
      <c r="Q647" s="68"/>
      <c r="R647" s="68"/>
      <c r="S647" s="68"/>
    </row>
    <row r="648" spans="1:19" ht="15.75" customHeight="1">
      <c r="A648" s="69"/>
      <c r="B648" s="68"/>
      <c r="D648" s="68"/>
      <c r="E648" s="69"/>
      <c r="K648" s="282"/>
      <c r="L648" s="195"/>
      <c r="M648" s="282"/>
      <c r="O648" s="68"/>
      <c r="P648" s="68"/>
      <c r="Q648" s="68"/>
      <c r="R648" s="68"/>
      <c r="S648" s="68"/>
    </row>
    <row r="649" spans="1:19" ht="15.75" customHeight="1">
      <c r="A649" s="69"/>
      <c r="B649" s="68"/>
      <c r="D649" s="68"/>
      <c r="E649" s="69"/>
      <c r="K649" s="282"/>
      <c r="L649" s="195"/>
      <c r="M649" s="282"/>
      <c r="O649" s="68"/>
      <c r="P649" s="68"/>
      <c r="Q649" s="68"/>
      <c r="R649" s="68"/>
      <c r="S649" s="68"/>
    </row>
    <row r="650" spans="1:19" ht="15.75" customHeight="1">
      <c r="A650" s="69"/>
      <c r="B650" s="68"/>
      <c r="D650" s="68"/>
      <c r="E650" s="69"/>
      <c r="K650" s="282"/>
      <c r="L650" s="195"/>
      <c r="M650" s="282"/>
      <c r="O650" s="68"/>
      <c r="P650" s="68"/>
      <c r="Q650" s="68"/>
      <c r="R650" s="68"/>
      <c r="S650" s="68"/>
    </row>
    <row r="651" spans="1:19" ht="15.75" customHeight="1">
      <c r="A651" s="69"/>
      <c r="B651" s="68"/>
      <c r="D651" s="68"/>
      <c r="E651" s="69"/>
      <c r="K651" s="282"/>
      <c r="L651" s="195"/>
      <c r="M651" s="282"/>
      <c r="O651" s="68"/>
      <c r="P651" s="68"/>
      <c r="Q651" s="68"/>
      <c r="R651" s="68"/>
      <c r="S651" s="68"/>
    </row>
    <row r="652" spans="1:19" ht="15.75" customHeight="1">
      <c r="A652" s="69"/>
      <c r="B652" s="68"/>
      <c r="D652" s="68"/>
      <c r="E652" s="69"/>
      <c r="K652" s="282"/>
      <c r="L652" s="195"/>
      <c r="M652" s="282"/>
      <c r="O652" s="68"/>
      <c r="P652" s="68"/>
      <c r="Q652" s="68"/>
      <c r="R652" s="68"/>
      <c r="S652" s="68"/>
    </row>
    <row r="653" spans="1:19" ht="15.75" customHeight="1">
      <c r="A653" s="69"/>
      <c r="B653" s="68"/>
      <c r="D653" s="68"/>
      <c r="E653" s="69"/>
      <c r="K653" s="282"/>
      <c r="L653" s="195"/>
      <c r="M653" s="282"/>
      <c r="O653" s="68"/>
      <c r="P653" s="68"/>
      <c r="Q653" s="68"/>
      <c r="R653" s="68"/>
      <c r="S653" s="68"/>
    </row>
    <row r="654" spans="1:19" ht="15.75" customHeight="1">
      <c r="A654" s="69"/>
      <c r="B654" s="68"/>
      <c r="D654" s="68"/>
      <c r="E654" s="69"/>
      <c r="K654" s="282"/>
      <c r="L654" s="195"/>
      <c r="M654" s="282"/>
      <c r="O654" s="68"/>
      <c r="P654" s="68"/>
      <c r="Q654" s="68"/>
      <c r="R654" s="68"/>
      <c r="S654" s="68"/>
    </row>
    <row r="655" spans="1:19" ht="15.75" customHeight="1">
      <c r="A655" s="69"/>
      <c r="B655" s="68"/>
      <c r="D655" s="68"/>
      <c r="E655" s="69"/>
      <c r="K655" s="282"/>
      <c r="L655" s="195"/>
      <c r="M655" s="282"/>
      <c r="O655" s="68"/>
      <c r="P655" s="68"/>
      <c r="Q655" s="68"/>
      <c r="R655" s="68"/>
      <c r="S655" s="68"/>
    </row>
    <row r="656" spans="1:19" ht="15.75" customHeight="1">
      <c r="A656" s="69"/>
      <c r="B656" s="68"/>
      <c r="D656" s="68"/>
      <c r="E656" s="69"/>
      <c r="K656" s="282"/>
      <c r="L656" s="195"/>
      <c r="M656" s="282"/>
      <c r="O656" s="68"/>
      <c r="P656" s="68"/>
      <c r="Q656" s="68"/>
      <c r="R656" s="68"/>
      <c r="S656" s="68"/>
    </row>
    <row r="657" spans="1:19" ht="15.75" customHeight="1">
      <c r="A657" s="69"/>
      <c r="B657" s="68"/>
      <c r="D657" s="68"/>
      <c r="E657" s="69"/>
      <c r="K657" s="282"/>
      <c r="L657" s="195"/>
      <c r="M657" s="282"/>
      <c r="O657" s="68"/>
      <c r="P657" s="68"/>
      <c r="Q657" s="68"/>
      <c r="R657" s="68"/>
      <c r="S657" s="68"/>
    </row>
    <row r="658" spans="1:19" ht="15.75" customHeight="1">
      <c r="A658" s="69"/>
      <c r="B658" s="68"/>
      <c r="D658" s="68"/>
      <c r="E658" s="69"/>
      <c r="K658" s="282"/>
      <c r="L658" s="195"/>
      <c r="M658" s="282"/>
      <c r="O658" s="68"/>
      <c r="P658" s="68"/>
      <c r="Q658" s="68"/>
      <c r="R658" s="68"/>
      <c r="S658" s="68"/>
    </row>
    <row r="659" spans="1:19" ht="15.75" customHeight="1">
      <c r="A659" s="69"/>
      <c r="B659" s="68"/>
      <c r="D659" s="68"/>
      <c r="E659" s="69"/>
      <c r="K659" s="282"/>
      <c r="L659" s="195"/>
      <c r="M659" s="282"/>
      <c r="O659" s="68"/>
      <c r="P659" s="68"/>
      <c r="Q659" s="68"/>
      <c r="R659" s="68"/>
      <c r="S659" s="68"/>
    </row>
    <row r="660" spans="1:19" ht="15.75" customHeight="1">
      <c r="A660" s="69"/>
      <c r="B660" s="68"/>
      <c r="D660" s="68"/>
      <c r="E660" s="69"/>
      <c r="K660" s="282"/>
      <c r="L660" s="195"/>
      <c r="M660" s="282"/>
      <c r="O660" s="68"/>
      <c r="P660" s="68"/>
      <c r="Q660" s="68"/>
      <c r="R660" s="68"/>
      <c r="S660" s="68"/>
    </row>
    <row r="661" spans="1:19" ht="15.75" customHeight="1">
      <c r="A661" s="69"/>
      <c r="B661" s="68"/>
      <c r="D661" s="68"/>
      <c r="E661" s="69"/>
      <c r="K661" s="282"/>
      <c r="L661" s="195"/>
      <c r="M661" s="282"/>
      <c r="O661" s="68"/>
      <c r="P661" s="68"/>
      <c r="Q661" s="68"/>
      <c r="R661" s="68"/>
      <c r="S661" s="68"/>
    </row>
    <row r="662" spans="1:19" ht="15.75" customHeight="1">
      <c r="A662" s="69"/>
      <c r="B662" s="68"/>
      <c r="D662" s="68"/>
      <c r="E662" s="69"/>
      <c r="K662" s="282"/>
      <c r="L662" s="195"/>
      <c r="M662" s="282"/>
      <c r="O662" s="68"/>
      <c r="P662" s="68"/>
      <c r="Q662" s="68"/>
      <c r="R662" s="68"/>
      <c r="S662" s="68"/>
    </row>
    <row r="663" spans="1:19" ht="15.75" customHeight="1">
      <c r="A663" s="69"/>
      <c r="B663" s="68"/>
      <c r="D663" s="68"/>
      <c r="E663" s="69"/>
      <c r="K663" s="282"/>
      <c r="L663" s="195"/>
      <c r="M663" s="282"/>
      <c r="O663" s="68"/>
      <c r="P663" s="68"/>
      <c r="Q663" s="68"/>
      <c r="R663" s="68"/>
      <c r="S663" s="68"/>
    </row>
    <row r="664" spans="1:19" ht="15.75" customHeight="1">
      <c r="A664" s="69"/>
      <c r="B664" s="68"/>
      <c r="D664" s="68"/>
      <c r="E664" s="69"/>
      <c r="K664" s="282"/>
      <c r="L664" s="195"/>
      <c r="M664" s="282"/>
      <c r="O664" s="68"/>
      <c r="P664" s="68"/>
      <c r="Q664" s="68"/>
      <c r="R664" s="68"/>
      <c r="S664" s="68"/>
    </row>
    <row r="665" spans="1:19" ht="15.75" customHeight="1">
      <c r="A665" s="69"/>
      <c r="B665" s="68"/>
      <c r="D665" s="68"/>
      <c r="E665" s="69"/>
      <c r="K665" s="282"/>
      <c r="L665" s="195"/>
      <c r="M665" s="282"/>
      <c r="O665" s="68"/>
      <c r="P665" s="68"/>
      <c r="Q665" s="68"/>
      <c r="R665" s="68"/>
      <c r="S665" s="68"/>
    </row>
    <row r="666" spans="1:19" ht="15.75" customHeight="1">
      <c r="A666" s="69"/>
      <c r="B666" s="68"/>
      <c r="D666" s="68"/>
      <c r="E666" s="69"/>
      <c r="K666" s="282"/>
      <c r="L666" s="195"/>
      <c r="M666" s="282"/>
      <c r="O666" s="68"/>
      <c r="P666" s="68"/>
      <c r="Q666" s="68"/>
      <c r="R666" s="68"/>
      <c r="S666" s="68"/>
    </row>
    <row r="667" spans="1:19" ht="15.75" customHeight="1">
      <c r="A667" s="69"/>
      <c r="B667" s="68"/>
      <c r="D667" s="68"/>
      <c r="E667" s="69"/>
      <c r="K667" s="282"/>
      <c r="L667" s="195"/>
      <c r="M667" s="282"/>
      <c r="O667" s="68"/>
      <c r="P667" s="68"/>
      <c r="Q667" s="68"/>
      <c r="R667" s="68"/>
      <c r="S667" s="68"/>
    </row>
    <row r="668" spans="1:19" ht="15.75" customHeight="1">
      <c r="A668" s="69"/>
      <c r="B668" s="68"/>
      <c r="D668" s="68"/>
      <c r="E668" s="69"/>
      <c r="K668" s="282"/>
      <c r="L668" s="195"/>
      <c r="M668" s="282"/>
      <c r="O668" s="68"/>
      <c r="P668" s="68"/>
      <c r="Q668" s="68"/>
      <c r="R668" s="68"/>
      <c r="S668" s="68"/>
    </row>
    <row r="669" spans="1:19" ht="15.75" customHeight="1">
      <c r="A669" s="69"/>
      <c r="B669" s="68"/>
      <c r="D669" s="68"/>
      <c r="E669" s="69"/>
      <c r="K669" s="282"/>
      <c r="L669" s="195"/>
      <c r="M669" s="282"/>
      <c r="O669" s="68"/>
      <c r="P669" s="68"/>
      <c r="Q669" s="68"/>
      <c r="R669" s="68"/>
      <c r="S669" s="68"/>
    </row>
    <row r="670" spans="1:19" ht="15.75" customHeight="1">
      <c r="A670" s="69"/>
      <c r="B670" s="68"/>
      <c r="D670" s="68"/>
      <c r="E670" s="69"/>
      <c r="K670" s="282"/>
      <c r="L670" s="195"/>
      <c r="M670" s="282"/>
      <c r="O670" s="68"/>
      <c r="P670" s="68"/>
      <c r="Q670" s="68"/>
      <c r="R670" s="68"/>
      <c r="S670" s="68"/>
    </row>
    <row r="671" spans="1:19" ht="15.75" customHeight="1">
      <c r="A671" s="69"/>
      <c r="B671" s="68"/>
      <c r="D671" s="68"/>
      <c r="E671" s="69"/>
      <c r="K671" s="282"/>
      <c r="L671" s="195"/>
      <c r="M671" s="282"/>
      <c r="O671" s="68"/>
      <c r="P671" s="68"/>
      <c r="Q671" s="68"/>
      <c r="R671" s="68"/>
      <c r="S671" s="68"/>
    </row>
    <row r="672" spans="1:19" ht="15.75" customHeight="1">
      <c r="A672" s="69"/>
      <c r="B672" s="68"/>
      <c r="D672" s="68"/>
      <c r="E672" s="69"/>
      <c r="K672" s="282"/>
      <c r="L672" s="195"/>
      <c r="M672" s="282"/>
      <c r="O672" s="68"/>
      <c r="P672" s="68"/>
      <c r="Q672" s="68"/>
      <c r="R672" s="68"/>
      <c r="S672" s="68"/>
    </row>
    <row r="673" spans="1:19" ht="15.75" customHeight="1">
      <c r="A673" s="69"/>
      <c r="B673" s="68"/>
      <c r="D673" s="68"/>
      <c r="E673" s="69"/>
      <c r="K673" s="282"/>
      <c r="L673" s="195"/>
      <c r="M673" s="282"/>
      <c r="O673" s="68"/>
      <c r="P673" s="68"/>
      <c r="Q673" s="68"/>
      <c r="R673" s="68"/>
      <c r="S673" s="68"/>
    </row>
    <row r="674" spans="1:19" ht="15.75" customHeight="1">
      <c r="A674" s="69"/>
      <c r="B674" s="68"/>
      <c r="D674" s="68"/>
      <c r="E674" s="69"/>
      <c r="K674" s="282"/>
      <c r="L674" s="195"/>
      <c r="M674" s="282"/>
      <c r="O674" s="68"/>
      <c r="P674" s="68"/>
      <c r="Q674" s="68"/>
      <c r="R674" s="68"/>
      <c r="S674" s="68"/>
    </row>
    <row r="675" spans="1:19" ht="15.75" customHeight="1">
      <c r="A675" s="69"/>
      <c r="B675" s="68"/>
      <c r="D675" s="68"/>
      <c r="E675" s="69"/>
      <c r="K675" s="282"/>
      <c r="L675" s="195"/>
      <c r="M675" s="282"/>
      <c r="O675" s="68"/>
      <c r="P675" s="68"/>
      <c r="Q675" s="68"/>
      <c r="R675" s="68"/>
      <c r="S675" s="68"/>
    </row>
    <row r="676" spans="1:19" ht="15.75" customHeight="1">
      <c r="A676" s="69"/>
      <c r="B676" s="68"/>
      <c r="D676" s="68"/>
      <c r="E676" s="69"/>
      <c r="K676" s="282"/>
      <c r="L676" s="195"/>
      <c r="M676" s="282"/>
      <c r="O676" s="68"/>
      <c r="P676" s="68"/>
      <c r="Q676" s="68"/>
      <c r="R676" s="68"/>
      <c r="S676" s="68"/>
    </row>
    <row r="677" spans="1:19" ht="15.75" customHeight="1">
      <c r="A677" s="69"/>
      <c r="B677" s="68"/>
      <c r="D677" s="68"/>
      <c r="E677" s="69"/>
      <c r="K677" s="282"/>
      <c r="L677" s="195"/>
      <c r="M677" s="282"/>
      <c r="O677" s="68"/>
      <c r="P677" s="68"/>
      <c r="Q677" s="68"/>
      <c r="R677" s="68"/>
      <c r="S677" s="68"/>
    </row>
    <row r="678" spans="1:19" ht="15.75" customHeight="1">
      <c r="A678" s="69"/>
      <c r="B678" s="68"/>
      <c r="D678" s="68"/>
      <c r="E678" s="69"/>
      <c r="K678" s="282"/>
      <c r="L678" s="195"/>
      <c r="M678" s="282"/>
      <c r="O678" s="68"/>
      <c r="P678" s="68"/>
      <c r="Q678" s="68"/>
      <c r="R678" s="68"/>
      <c r="S678" s="68"/>
    </row>
    <row r="679" spans="1:19" ht="15.75" customHeight="1">
      <c r="A679" s="69"/>
      <c r="B679" s="68"/>
      <c r="D679" s="68"/>
      <c r="E679" s="69"/>
      <c r="K679" s="282"/>
      <c r="L679" s="195"/>
      <c r="M679" s="282"/>
      <c r="O679" s="68"/>
      <c r="P679" s="68"/>
      <c r="Q679" s="68"/>
      <c r="R679" s="68"/>
      <c r="S679" s="68"/>
    </row>
    <row r="680" spans="1:19" ht="15.75" customHeight="1">
      <c r="A680" s="69"/>
      <c r="B680" s="68"/>
      <c r="D680" s="68"/>
      <c r="E680" s="69"/>
      <c r="K680" s="282"/>
      <c r="L680" s="195"/>
      <c r="M680" s="282"/>
      <c r="O680" s="68"/>
      <c r="P680" s="68"/>
      <c r="Q680" s="68"/>
      <c r="R680" s="68"/>
      <c r="S680" s="68"/>
    </row>
    <row r="681" spans="1:19" ht="15.75" customHeight="1">
      <c r="A681" s="69"/>
      <c r="B681" s="68"/>
      <c r="D681" s="68"/>
      <c r="E681" s="69"/>
      <c r="K681" s="282"/>
      <c r="L681" s="195"/>
      <c r="M681" s="282"/>
      <c r="O681" s="68"/>
      <c r="P681" s="68"/>
      <c r="Q681" s="68"/>
      <c r="R681" s="68"/>
      <c r="S681" s="68"/>
    </row>
    <row r="682" spans="1:19" ht="15.75" customHeight="1">
      <c r="A682" s="69"/>
      <c r="B682" s="68"/>
      <c r="D682" s="68"/>
      <c r="E682" s="69"/>
      <c r="K682" s="282"/>
      <c r="L682" s="195"/>
      <c r="M682" s="282"/>
      <c r="O682" s="68"/>
      <c r="P682" s="68"/>
      <c r="Q682" s="68"/>
      <c r="R682" s="68"/>
      <c r="S682" s="68"/>
    </row>
    <row r="683" spans="1:19" ht="15.75" customHeight="1">
      <c r="A683" s="69"/>
      <c r="B683" s="68"/>
      <c r="D683" s="68"/>
      <c r="E683" s="69"/>
      <c r="K683" s="282"/>
      <c r="L683" s="195"/>
      <c r="M683" s="282"/>
      <c r="O683" s="68"/>
      <c r="P683" s="68"/>
      <c r="Q683" s="68"/>
      <c r="R683" s="68"/>
      <c r="S683" s="68"/>
    </row>
    <row r="684" spans="1:19" ht="15.75" customHeight="1">
      <c r="A684" s="69"/>
      <c r="B684" s="68"/>
      <c r="D684" s="68"/>
      <c r="E684" s="69"/>
      <c r="K684" s="282"/>
      <c r="L684" s="195"/>
      <c r="M684" s="282"/>
      <c r="O684" s="68"/>
      <c r="P684" s="68"/>
      <c r="Q684" s="68"/>
      <c r="R684" s="68"/>
      <c r="S684" s="68"/>
    </row>
    <row r="685" spans="1:19" ht="15.75" customHeight="1">
      <c r="A685" s="69"/>
      <c r="B685" s="68"/>
      <c r="D685" s="68"/>
      <c r="E685" s="69"/>
      <c r="K685" s="282"/>
      <c r="L685" s="195"/>
      <c r="M685" s="282"/>
      <c r="O685" s="68"/>
      <c r="P685" s="68"/>
      <c r="Q685" s="68"/>
      <c r="R685" s="68"/>
      <c r="S685" s="68"/>
    </row>
    <row r="686" spans="1:19" ht="15.75" customHeight="1">
      <c r="A686" s="69"/>
      <c r="B686" s="68"/>
      <c r="D686" s="68"/>
      <c r="E686" s="69"/>
      <c r="K686" s="282"/>
      <c r="L686" s="195"/>
      <c r="M686" s="282"/>
      <c r="O686" s="68"/>
      <c r="P686" s="68"/>
      <c r="Q686" s="68"/>
      <c r="R686" s="68"/>
      <c r="S686" s="68"/>
    </row>
    <row r="687" spans="1:19" ht="15.75" customHeight="1">
      <c r="A687" s="69"/>
      <c r="B687" s="68"/>
      <c r="D687" s="68"/>
      <c r="E687" s="69"/>
      <c r="K687" s="282"/>
      <c r="L687" s="195"/>
      <c r="M687" s="282"/>
      <c r="O687" s="68"/>
      <c r="P687" s="68"/>
      <c r="Q687" s="68"/>
      <c r="R687" s="68"/>
      <c r="S687" s="68"/>
    </row>
    <row r="688" spans="1:19" ht="15.75" customHeight="1">
      <c r="A688" s="69"/>
      <c r="B688" s="68"/>
      <c r="D688" s="68"/>
      <c r="E688" s="69"/>
      <c r="K688" s="282"/>
      <c r="L688" s="195"/>
      <c r="M688" s="282"/>
      <c r="O688" s="68"/>
      <c r="P688" s="68"/>
      <c r="Q688" s="68"/>
      <c r="R688" s="68"/>
      <c r="S688" s="68"/>
    </row>
    <row r="689" spans="1:19" ht="15.75" customHeight="1">
      <c r="A689" s="69"/>
      <c r="B689" s="68"/>
      <c r="D689" s="68"/>
      <c r="E689" s="69"/>
      <c r="K689" s="282"/>
      <c r="L689" s="195"/>
      <c r="M689" s="282"/>
      <c r="O689" s="68"/>
      <c r="P689" s="68"/>
      <c r="Q689" s="68"/>
      <c r="R689" s="68"/>
      <c r="S689" s="68"/>
    </row>
    <row r="690" spans="1:19" ht="15.75" customHeight="1">
      <c r="A690" s="69"/>
      <c r="B690" s="68"/>
      <c r="D690" s="68"/>
      <c r="E690" s="69"/>
      <c r="K690" s="282"/>
      <c r="L690" s="195"/>
      <c r="M690" s="282"/>
      <c r="O690" s="68"/>
      <c r="P690" s="68"/>
      <c r="Q690" s="68"/>
      <c r="R690" s="68"/>
      <c r="S690" s="68"/>
    </row>
    <row r="691" spans="1:19" ht="15.75" customHeight="1">
      <c r="A691" s="69"/>
      <c r="B691" s="68"/>
      <c r="D691" s="68"/>
      <c r="E691" s="69"/>
      <c r="K691" s="282"/>
      <c r="L691" s="195"/>
      <c r="M691" s="282"/>
      <c r="O691" s="68"/>
      <c r="P691" s="68"/>
      <c r="Q691" s="68"/>
      <c r="R691" s="68"/>
      <c r="S691" s="68"/>
    </row>
    <row r="692" spans="1:19" ht="15.75" customHeight="1">
      <c r="A692" s="69"/>
      <c r="B692" s="68"/>
      <c r="D692" s="68"/>
      <c r="E692" s="69"/>
      <c r="K692" s="282"/>
      <c r="L692" s="195"/>
      <c r="M692" s="282"/>
      <c r="O692" s="68"/>
      <c r="P692" s="68"/>
      <c r="Q692" s="68"/>
      <c r="R692" s="68"/>
      <c r="S692" s="68"/>
    </row>
    <row r="693" spans="1:19" ht="15.75" customHeight="1">
      <c r="A693" s="69"/>
      <c r="B693" s="68"/>
      <c r="D693" s="68"/>
      <c r="E693" s="69"/>
      <c r="K693" s="282"/>
      <c r="L693" s="195"/>
      <c r="M693" s="282"/>
      <c r="O693" s="68"/>
      <c r="P693" s="68"/>
      <c r="Q693" s="68"/>
      <c r="R693" s="68"/>
      <c r="S693" s="68"/>
    </row>
    <row r="694" spans="1:19" ht="15.75" customHeight="1">
      <c r="A694" s="69"/>
      <c r="B694" s="68"/>
      <c r="D694" s="68"/>
      <c r="E694" s="69"/>
      <c r="K694" s="282"/>
      <c r="L694" s="195"/>
      <c r="M694" s="282"/>
      <c r="O694" s="68"/>
      <c r="P694" s="68"/>
      <c r="Q694" s="68"/>
      <c r="R694" s="68"/>
      <c r="S694" s="68"/>
    </row>
    <row r="695" spans="1:19" ht="15.75" customHeight="1">
      <c r="A695" s="69"/>
      <c r="B695" s="68"/>
      <c r="D695" s="68"/>
      <c r="E695" s="69"/>
      <c r="K695" s="282"/>
      <c r="L695" s="195"/>
      <c r="M695" s="282"/>
      <c r="O695" s="68"/>
      <c r="P695" s="68"/>
      <c r="Q695" s="68"/>
      <c r="R695" s="68"/>
      <c r="S695" s="68"/>
    </row>
    <row r="696" spans="1:19" ht="15.75" customHeight="1">
      <c r="A696" s="69"/>
      <c r="B696" s="68"/>
      <c r="D696" s="68"/>
      <c r="E696" s="69"/>
      <c r="K696" s="282"/>
      <c r="L696" s="195"/>
      <c r="M696" s="282"/>
      <c r="O696" s="68"/>
      <c r="P696" s="68"/>
      <c r="Q696" s="68"/>
      <c r="R696" s="68"/>
      <c r="S696" s="68"/>
    </row>
    <row r="697" spans="1:19" ht="15.75" customHeight="1">
      <c r="A697" s="69"/>
      <c r="B697" s="68"/>
      <c r="D697" s="68"/>
      <c r="E697" s="69"/>
      <c r="K697" s="282"/>
      <c r="L697" s="195"/>
      <c r="M697" s="282"/>
      <c r="O697" s="68"/>
      <c r="P697" s="68"/>
      <c r="Q697" s="68"/>
      <c r="R697" s="68"/>
      <c r="S697" s="68"/>
    </row>
    <row r="698" spans="1:19" ht="15.75" customHeight="1">
      <c r="A698" s="69"/>
      <c r="B698" s="68"/>
      <c r="D698" s="68"/>
      <c r="E698" s="69"/>
      <c r="K698" s="282"/>
      <c r="L698" s="195"/>
      <c r="M698" s="282"/>
      <c r="O698" s="68"/>
      <c r="P698" s="68"/>
      <c r="Q698" s="68"/>
      <c r="R698" s="68"/>
      <c r="S698" s="68"/>
    </row>
    <row r="699" spans="1:19" ht="15.75" customHeight="1">
      <c r="A699" s="69"/>
      <c r="B699" s="68"/>
      <c r="D699" s="68"/>
      <c r="E699" s="69"/>
      <c r="K699" s="282"/>
      <c r="L699" s="195"/>
      <c r="M699" s="282"/>
      <c r="O699" s="68"/>
      <c r="P699" s="68"/>
      <c r="Q699" s="68"/>
      <c r="R699" s="68"/>
      <c r="S699" s="68"/>
    </row>
    <row r="700" spans="1:19" ht="15.75" customHeight="1">
      <c r="A700" s="69"/>
      <c r="B700" s="68"/>
      <c r="D700" s="68"/>
      <c r="E700" s="69"/>
      <c r="K700" s="282"/>
      <c r="L700" s="195"/>
      <c r="M700" s="282"/>
      <c r="O700" s="68"/>
      <c r="P700" s="68"/>
      <c r="Q700" s="68"/>
      <c r="R700" s="68"/>
      <c r="S700" s="68"/>
    </row>
    <row r="701" spans="1:19" ht="15.75" customHeight="1">
      <c r="A701" s="69"/>
      <c r="B701" s="68"/>
      <c r="D701" s="68"/>
      <c r="E701" s="69"/>
      <c r="K701" s="282"/>
      <c r="L701" s="195"/>
      <c r="M701" s="282"/>
      <c r="O701" s="68"/>
      <c r="P701" s="68"/>
      <c r="Q701" s="68"/>
      <c r="R701" s="68"/>
      <c r="S701" s="68"/>
    </row>
    <row r="702" spans="1:19" ht="15.75" customHeight="1">
      <c r="A702" s="69"/>
      <c r="B702" s="68"/>
      <c r="D702" s="68"/>
      <c r="E702" s="69"/>
      <c r="K702" s="282"/>
      <c r="L702" s="195"/>
      <c r="M702" s="282"/>
      <c r="O702" s="68"/>
      <c r="P702" s="68"/>
      <c r="Q702" s="68"/>
      <c r="R702" s="68"/>
      <c r="S702" s="68"/>
    </row>
    <row r="703" spans="1:19" ht="15.75" customHeight="1">
      <c r="A703" s="69"/>
      <c r="B703" s="68"/>
      <c r="D703" s="68"/>
      <c r="E703" s="69"/>
      <c r="K703" s="282"/>
      <c r="L703" s="195"/>
      <c r="M703" s="282"/>
      <c r="O703" s="68"/>
      <c r="P703" s="68"/>
      <c r="Q703" s="68"/>
      <c r="R703" s="68"/>
      <c r="S703" s="68"/>
    </row>
    <row r="704" spans="1:19" ht="15.75" customHeight="1">
      <c r="A704" s="69"/>
      <c r="B704" s="68"/>
      <c r="D704" s="68"/>
      <c r="E704" s="69"/>
      <c r="K704" s="282"/>
      <c r="L704" s="195"/>
      <c r="M704" s="282"/>
      <c r="O704" s="68"/>
      <c r="P704" s="68"/>
      <c r="Q704" s="68"/>
      <c r="R704" s="68"/>
      <c r="S704" s="68"/>
    </row>
    <row r="705" spans="1:19" ht="15.75" customHeight="1">
      <c r="A705" s="69"/>
      <c r="B705" s="68"/>
      <c r="D705" s="68"/>
      <c r="E705" s="69"/>
      <c r="K705" s="282"/>
      <c r="L705" s="195"/>
      <c r="M705" s="282"/>
      <c r="O705" s="68"/>
      <c r="P705" s="68"/>
      <c r="Q705" s="68"/>
      <c r="R705" s="68"/>
      <c r="S705" s="68"/>
    </row>
    <row r="706" spans="1:19" ht="15.75" customHeight="1">
      <c r="A706" s="69"/>
      <c r="B706" s="68"/>
      <c r="D706" s="68"/>
      <c r="E706" s="69"/>
      <c r="K706" s="282"/>
      <c r="L706" s="195"/>
      <c r="M706" s="282"/>
      <c r="O706" s="68"/>
      <c r="P706" s="68"/>
      <c r="Q706" s="68"/>
      <c r="R706" s="68"/>
      <c r="S706" s="68"/>
    </row>
    <row r="707" spans="1:19" ht="15.75" customHeight="1">
      <c r="A707" s="69"/>
      <c r="B707" s="68"/>
      <c r="D707" s="68"/>
      <c r="E707" s="69"/>
      <c r="K707" s="282"/>
      <c r="L707" s="195"/>
      <c r="M707" s="282"/>
      <c r="O707" s="68"/>
      <c r="P707" s="68"/>
      <c r="Q707" s="68"/>
      <c r="R707" s="68"/>
      <c r="S707" s="68"/>
    </row>
    <row r="708" spans="1:19" ht="15.75" customHeight="1">
      <c r="A708" s="69"/>
      <c r="B708" s="68"/>
      <c r="D708" s="68"/>
      <c r="E708" s="69"/>
      <c r="K708" s="282"/>
      <c r="L708" s="195"/>
      <c r="M708" s="282"/>
      <c r="O708" s="68"/>
      <c r="P708" s="68"/>
      <c r="Q708" s="68"/>
      <c r="R708" s="68"/>
      <c r="S708" s="68"/>
    </row>
    <row r="709" spans="1:19" ht="15.75" customHeight="1">
      <c r="A709" s="69"/>
      <c r="B709" s="68"/>
      <c r="D709" s="68"/>
      <c r="E709" s="69"/>
      <c r="K709" s="282"/>
      <c r="L709" s="195"/>
      <c r="M709" s="282"/>
      <c r="O709" s="68"/>
      <c r="P709" s="68"/>
      <c r="Q709" s="68"/>
      <c r="R709" s="68"/>
      <c r="S709" s="68"/>
    </row>
    <row r="710" spans="1:19" ht="15.75" customHeight="1">
      <c r="A710" s="69"/>
      <c r="B710" s="68"/>
      <c r="D710" s="68"/>
      <c r="E710" s="69"/>
      <c r="K710" s="282"/>
      <c r="L710" s="195"/>
      <c r="M710" s="282"/>
      <c r="O710" s="68"/>
      <c r="P710" s="68"/>
      <c r="Q710" s="68"/>
      <c r="R710" s="68"/>
      <c r="S710" s="68"/>
    </row>
    <row r="711" spans="1:19" ht="15.75" customHeight="1">
      <c r="A711" s="69"/>
      <c r="B711" s="68"/>
      <c r="D711" s="68"/>
      <c r="E711" s="69"/>
      <c r="K711" s="282"/>
      <c r="L711" s="195"/>
      <c r="M711" s="282"/>
      <c r="O711" s="68"/>
      <c r="P711" s="68"/>
      <c r="Q711" s="68"/>
      <c r="R711" s="68"/>
      <c r="S711" s="68"/>
    </row>
    <row r="712" spans="1:19" ht="15.75" customHeight="1">
      <c r="A712" s="69"/>
      <c r="B712" s="68"/>
      <c r="D712" s="68"/>
      <c r="E712" s="69"/>
      <c r="K712" s="282"/>
      <c r="L712" s="195"/>
      <c r="M712" s="282"/>
      <c r="O712" s="68"/>
      <c r="P712" s="68"/>
      <c r="Q712" s="68"/>
      <c r="R712" s="68"/>
      <c r="S712" s="68"/>
    </row>
    <row r="713" spans="1:19" ht="15.75" customHeight="1">
      <c r="A713" s="69"/>
      <c r="B713" s="68"/>
      <c r="D713" s="68"/>
      <c r="E713" s="69"/>
      <c r="K713" s="282"/>
      <c r="L713" s="195"/>
      <c r="M713" s="282"/>
      <c r="O713" s="68"/>
      <c r="P713" s="68"/>
      <c r="Q713" s="68"/>
      <c r="R713" s="68"/>
      <c r="S713" s="68"/>
    </row>
    <row r="714" spans="1:19" ht="15.75" customHeight="1">
      <c r="A714" s="69"/>
      <c r="B714" s="68"/>
      <c r="D714" s="68"/>
      <c r="E714" s="69"/>
      <c r="K714" s="282"/>
      <c r="L714" s="195"/>
      <c r="M714" s="282"/>
      <c r="O714" s="68"/>
      <c r="P714" s="68"/>
      <c r="Q714" s="68"/>
      <c r="R714" s="68"/>
      <c r="S714" s="68"/>
    </row>
    <row r="715" spans="1:19" ht="15.75" customHeight="1">
      <c r="A715" s="69"/>
      <c r="B715" s="68"/>
      <c r="D715" s="68"/>
      <c r="E715" s="69"/>
      <c r="K715" s="282"/>
      <c r="L715" s="195"/>
      <c r="M715" s="282"/>
      <c r="O715" s="68"/>
      <c r="P715" s="68"/>
      <c r="Q715" s="68"/>
      <c r="R715" s="68"/>
      <c r="S715" s="68"/>
    </row>
    <row r="716" spans="1:19" ht="15.75" customHeight="1">
      <c r="A716" s="69"/>
      <c r="B716" s="68"/>
      <c r="D716" s="68"/>
      <c r="E716" s="69"/>
      <c r="K716" s="282"/>
      <c r="L716" s="195"/>
      <c r="M716" s="282"/>
      <c r="O716" s="68"/>
      <c r="P716" s="68"/>
      <c r="Q716" s="68"/>
      <c r="R716" s="68"/>
      <c r="S716" s="68"/>
    </row>
    <row r="717" spans="1:19" ht="15.75" customHeight="1">
      <c r="A717" s="69"/>
      <c r="B717" s="68"/>
      <c r="D717" s="68"/>
      <c r="E717" s="69"/>
      <c r="K717" s="282"/>
      <c r="L717" s="195"/>
      <c r="M717" s="282"/>
      <c r="O717" s="68"/>
      <c r="P717" s="68"/>
      <c r="Q717" s="68"/>
      <c r="R717" s="68"/>
      <c r="S717" s="68"/>
    </row>
    <row r="718" spans="1:19" ht="15.75" customHeight="1">
      <c r="A718" s="69"/>
      <c r="B718" s="68"/>
      <c r="D718" s="68"/>
      <c r="E718" s="69"/>
      <c r="K718" s="282"/>
      <c r="L718" s="195"/>
      <c r="M718" s="282"/>
      <c r="O718" s="68"/>
      <c r="P718" s="68"/>
      <c r="Q718" s="68"/>
      <c r="R718" s="68"/>
      <c r="S718" s="68"/>
    </row>
    <row r="719" spans="1:19" ht="15.75" customHeight="1">
      <c r="A719" s="69"/>
      <c r="B719" s="68"/>
      <c r="D719" s="68"/>
      <c r="E719" s="69"/>
      <c r="K719" s="282"/>
      <c r="L719" s="195"/>
      <c r="M719" s="282"/>
      <c r="O719" s="68"/>
      <c r="P719" s="68"/>
      <c r="Q719" s="68"/>
      <c r="R719" s="68"/>
      <c r="S719" s="68"/>
    </row>
    <row r="720" spans="1:19" ht="15.75" customHeight="1">
      <c r="A720" s="69"/>
      <c r="B720" s="68"/>
      <c r="D720" s="68"/>
      <c r="E720" s="69"/>
      <c r="K720" s="282"/>
      <c r="L720" s="195"/>
      <c r="M720" s="282"/>
      <c r="O720" s="68"/>
      <c r="P720" s="68"/>
      <c r="Q720" s="68"/>
      <c r="R720" s="68"/>
      <c r="S720" s="68"/>
    </row>
    <row r="721" spans="1:19" ht="15.75" customHeight="1">
      <c r="A721" s="69"/>
      <c r="B721" s="68"/>
      <c r="D721" s="68"/>
      <c r="E721" s="69"/>
      <c r="K721" s="282"/>
      <c r="L721" s="195"/>
      <c r="M721" s="282"/>
      <c r="O721" s="68"/>
      <c r="P721" s="68"/>
      <c r="Q721" s="68"/>
      <c r="R721" s="68"/>
      <c r="S721" s="68"/>
    </row>
    <row r="722" spans="1:19" ht="15.75" customHeight="1">
      <c r="A722" s="69"/>
      <c r="B722" s="68"/>
      <c r="D722" s="68"/>
      <c r="E722" s="69"/>
      <c r="K722" s="282"/>
      <c r="L722" s="195"/>
      <c r="M722" s="282"/>
      <c r="O722" s="68"/>
      <c r="P722" s="68"/>
      <c r="Q722" s="68"/>
      <c r="R722" s="68"/>
      <c r="S722" s="68"/>
    </row>
    <row r="723" spans="1:19" ht="15.75" customHeight="1">
      <c r="A723" s="69"/>
      <c r="B723" s="68"/>
      <c r="D723" s="68"/>
      <c r="E723" s="69"/>
      <c r="K723" s="282"/>
      <c r="L723" s="195"/>
      <c r="M723" s="282"/>
      <c r="O723" s="68"/>
      <c r="P723" s="68"/>
      <c r="Q723" s="68"/>
      <c r="R723" s="68"/>
      <c r="S723" s="68"/>
    </row>
    <row r="724" spans="1:19" ht="15.75" customHeight="1">
      <c r="A724" s="69"/>
      <c r="B724" s="68"/>
      <c r="D724" s="68"/>
      <c r="E724" s="69"/>
      <c r="K724" s="282"/>
      <c r="L724" s="195"/>
      <c r="M724" s="282"/>
      <c r="O724" s="68"/>
      <c r="P724" s="68"/>
      <c r="Q724" s="68"/>
      <c r="R724" s="68"/>
      <c r="S724" s="68"/>
    </row>
    <row r="725" spans="1:19" ht="15.75" customHeight="1">
      <c r="A725" s="69"/>
      <c r="B725" s="68"/>
      <c r="D725" s="68"/>
      <c r="E725" s="69"/>
      <c r="K725" s="282"/>
      <c r="L725" s="195"/>
      <c r="M725" s="282"/>
      <c r="O725" s="68"/>
      <c r="P725" s="68"/>
      <c r="Q725" s="68"/>
      <c r="R725" s="68"/>
      <c r="S725" s="68"/>
    </row>
    <row r="726" spans="1:19" ht="15.75" customHeight="1">
      <c r="A726" s="69"/>
      <c r="B726" s="68"/>
      <c r="D726" s="68"/>
      <c r="E726" s="69"/>
      <c r="K726" s="282"/>
      <c r="L726" s="195"/>
      <c r="M726" s="282"/>
      <c r="O726" s="68"/>
      <c r="P726" s="68"/>
      <c r="Q726" s="68"/>
      <c r="R726" s="68"/>
      <c r="S726" s="68"/>
    </row>
    <row r="727" spans="1:19" ht="15.75" customHeight="1">
      <c r="A727" s="69"/>
      <c r="B727" s="68"/>
      <c r="D727" s="68"/>
      <c r="E727" s="69"/>
      <c r="K727" s="282"/>
      <c r="L727" s="195"/>
      <c r="M727" s="282"/>
      <c r="O727" s="68"/>
      <c r="P727" s="68"/>
      <c r="Q727" s="68"/>
      <c r="R727" s="68"/>
      <c r="S727" s="68"/>
    </row>
    <row r="728" spans="1:19" ht="15.75" customHeight="1">
      <c r="A728" s="69"/>
      <c r="B728" s="68"/>
      <c r="D728" s="68"/>
      <c r="E728" s="69"/>
      <c r="K728" s="282"/>
      <c r="L728" s="195"/>
      <c r="M728" s="282"/>
      <c r="O728" s="68"/>
      <c r="P728" s="68"/>
      <c r="Q728" s="68"/>
      <c r="R728" s="68"/>
      <c r="S728" s="68"/>
    </row>
    <row r="729" spans="1:19" ht="15.75" customHeight="1">
      <c r="A729" s="69"/>
      <c r="B729" s="68"/>
      <c r="D729" s="68"/>
      <c r="E729" s="69"/>
      <c r="K729" s="282"/>
      <c r="L729" s="195"/>
      <c r="M729" s="282"/>
      <c r="O729" s="68"/>
      <c r="P729" s="68"/>
      <c r="Q729" s="68"/>
      <c r="R729" s="68"/>
      <c r="S729" s="68"/>
    </row>
    <row r="730" spans="1:19" ht="15.75" customHeight="1">
      <c r="A730" s="69"/>
      <c r="B730" s="68"/>
      <c r="D730" s="68"/>
      <c r="E730" s="69"/>
      <c r="K730" s="282"/>
      <c r="L730" s="195"/>
      <c r="M730" s="282"/>
      <c r="O730" s="68"/>
      <c r="P730" s="68"/>
      <c r="Q730" s="68"/>
      <c r="R730" s="68"/>
      <c r="S730" s="68"/>
    </row>
    <row r="731" spans="1:19" ht="15.75" customHeight="1">
      <c r="A731" s="69"/>
      <c r="B731" s="68"/>
      <c r="D731" s="68"/>
      <c r="E731" s="69"/>
      <c r="K731" s="282"/>
      <c r="L731" s="195"/>
      <c r="M731" s="282"/>
      <c r="O731" s="68"/>
      <c r="P731" s="68"/>
      <c r="Q731" s="68"/>
      <c r="R731" s="68"/>
      <c r="S731" s="68"/>
    </row>
    <row r="732" spans="1:19" ht="15.75" customHeight="1">
      <c r="A732" s="69"/>
      <c r="B732" s="68"/>
      <c r="D732" s="68"/>
      <c r="E732" s="69"/>
      <c r="K732" s="282"/>
      <c r="L732" s="195"/>
      <c r="M732" s="282"/>
      <c r="O732" s="68"/>
      <c r="P732" s="68"/>
      <c r="Q732" s="68"/>
      <c r="R732" s="68"/>
      <c r="S732" s="68"/>
    </row>
    <row r="733" spans="1:19" ht="15.75" customHeight="1">
      <c r="A733" s="69"/>
      <c r="B733" s="68"/>
      <c r="D733" s="68"/>
      <c r="E733" s="69"/>
      <c r="K733" s="282"/>
      <c r="L733" s="195"/>
      <c r="M733" s="282"/>
      <c r="O733" s="68"/>
      <c r="P733" s="68"/>
      <c r="Q733" s="68"/>
      <c r="R733" s="68"/>
      <c r="S733" s="68"/>
    </row>
    <row r="734" spans="1:19" ht="15.75" customHeight="1">
      <c r="A734" s="69"/>
      <c r="B734" s="68"/>
      <c r="D734" s="68"/>
      <c r="E734" s="69"/>
      <c r="K734" s="282"/>
      <c r="L734" s="195"/>
      <c r="M734" s="282"/>
      <c r="O734" s="68"/>
      <c r="P734" s="68"/>
      <c r="Q734" s="68"/>
      <c r="R734" s="68"/>
      <c r="S734" s="68"/>
    </row>
    <row r="735" spans="1:19" ht="15.75" customHeight="1">
      <c r="A735" s="69"/>
      <c r="B735" s="68"/>
      <c r="D735" s="68"/>
      <c r="E735" s="69"/>
      <c r="K735" s="282"/>
      <c r="L735" s="195"/>
      <c r="M735" s="282"/>
      <c r="O735" s="68"/>
      <c r="P735" s="68"/>
      <c r="Q735" s="68"/>
      <c r="R735" s="68"/>
      <c r="S735" s="68"/>
    </row>
    <row r="736" spans="1:19" ht="15.75" customHeight="1">
      <c r="A736" s="69"/>
      <c r="B736" s="68"/>
      <c r="D736" s="68"/>
      <c r="E736" s="69"/>
      <c r="K736" s="282"/>
      <c r="L736" s="195"/>
      <c r="M736" s="282"/>
      <c r="O736" s="68"/>
      <c r="P736" s="68"/>
      <c r="Q736" s="68"/>
      <c r="R736" s="68"/>
      <c r="S736" s="68"/>
    </row>
    <row r="737" spans="1:19" ht="15.75" customHeight="1">
      <c r="A737" s="69"/>
      <c r="B737" s="68"/>
      <c r="D737" s="68"/>
      <c r="E737" s="69"/>
      <c r="K737" s="282"/>
      <c r="L737" s="195"/>
      <c r="M737" s="282"/>
      <c r="O737" s="68"/>
      <c r="P737" s="68"/>
      <c r="Q737" s="68"/>
      <c r="R737" s="68"/>
      <c r="S737" s="68"/>
    </row>
    <row r="738" spans="1:19" ht="15.75" customHeight="1">
      <c r="A738" s="69"/>
      <c r="B738" s="68"/>
      <c r="D738" s="68"/>
      <c r="E738" s="69"/>
      <c r="K738" s="282"/>
      <c r="L738" s="195"/>
      <c r="M738" s="282"/>
      <c r="O738" s="68"/>
      <c r="P738" s="68"/>
      <c r="Q738" s="68"/>
      <c r="R738" s="68"/>
      <c r="S738" s="68"/>
    </row>
    <row r="739" spans="1:19" ht="15.75" customHeight="1">
      <c r="A739" s="69"/>
      <c r="B739" s="68"/>
      <c r="D739" s="68"/>
      <c r="E739" s="69"/>
      <c r="K739" s="282"/>
      <c r="L739" s="195"/>
      <c r="M739" s="282"/>
      <c r="O739" s="68"/>
      <c r="P739" s="68"/>
      <c r="Q739" s="68"/>
      <c r="R739" s="68"/>
      <c r="S739" s="68"/>
    </row>
    <row r="740" spans="1:19" ht="15.75" customHeight="1">
      <c r="A740" s="69"/>
      <c r="B740" s="68"/>
      <c r="D740" s="68"/>
      <c r="E740" s="69"/>
      <c r="K740" s="282"/>
      <c r="L740" s="195"/>
      <c r="M740" s="282"/>
      <c r="O740" s="68"/>
      <c r="P740" s="68"/>
      <c r="Q740" s="68"/>
      <c r="R740" s="68"/>
      <c r="S740" s="68"/>
    </row>
    <row r="741" spans="1:19" ht="15.75" customHeight="1">
      <c r="A741" s="69"/>
      <c r="B741" s="68"/>
      <c r="D741" s="68"/>
      <c r="E741" s="69"/>
      <c r="K741" s="282"/>
      <c r="L741" s="195"/>
      <c r="M741" s="282"/>
      <c r="O741" s="68"/>
      <c r="P741" s="68"/>
      <c r="Q741" s="68"/>
      <c r="R741" s="68"/>
      <c r="S741" s="68"/>
    </row>
    <row r="742" spans="1:19" ht="15.75" customHeight="1">
      <c r="A742" s="69"/>
      <c r="B742" s="68"/>
      <c r="D742" s="68"/>
      <c r="E742" s="69"/>
      <c r="K742" s="282"/>
      <c r="L742" s="195"/>
      <c r="M742" s="282"/>
      <c r="O742" s="68"/>
      <c r="P742" s="68"/>
      <c r="Q742" s="68"/>
      <c r="R742" s="68"/>
      <c r="S742" s="68"/>
    </row>
    <row r="743" spans="1:19" ht="15.75" customHeight="1">
      <c r="A743" s="69"/>
      <c r="B743" s="68"/>
      <c r="D743" s="68"/>
      <c r="E743" s="69"/>
      <c r="K743" s="282"/>
      <c r="L743" s="195"/>
      <c r="M743" s="282"/>
      <c r="O743" s="68"/>
      <c r="P743" s="68"/>
      <c r="Q743" s="68"/>
      <c r="R743" s="68"/>
      <c r="S743" s="68"/>
    </row>
    <row r="744" spans="1:19" ht="15.75" customHeight="1">
      <c r="A744" s="69"/>
      <c r="B744" s="68"/>
      <c r="D744" s="68"/>
      <c r="E744" s="69"/>
      <c r="K744" s="282"/>
      <c r="L744" s="195"/>
      <c r="M744" s="282"/>
      <c r="O744" s="68"/>
      <c r="P744" s="68"/>
      <c r="Q744" s="68"/>
      <c r="R744" s="68"/>
      <c r="S744" s="68"/>
    </row>
    <row r="745" spans="1:19" ht="15.75" customHeight="1">
      <c r="A745" s="69"/>
      <c r="B745" s="68"/>
      <c r="D745" s="68"/>
      <c r="E745" s="69"/>
      <c r="K745" s="282"/>
      <c r="L745" s="195"/>
      <c r="M745" s="282"/>
      <c r="O745" s="68"/>
      <c r="P745" s="68"/>
      <c r="Q745" s="68"/>
      <c r="R745" s="68"/>
      <c r="S745" s="68"/>
    </row>
    <row r="746" spans="1:19" ht="15.75" customHeight="1">
      <c r="A746" s="69"/>
      <c r="B746" s="68"/>
      <c r="D746" s="68"/>
      <c r="E746" s="69"/>
      <c r="K746" s="282"/>
      <c r="L746" s="195"/>
      <c r="M746" s="282"/>
      <c r="O746" s="68"/>
      <c r="P746" s="68"/>
      <c r="Q746" s="68"/>
      <c r="R746" s="68"/>
      <c r="S746" s="68"/>
    </row>
    <row r="747" spans="1:19" ht="15.75" customHeight="1">
      <c r="A747" s="69"/>
      <c r="B747" s="68"/>
      <c r="D747" s="68"/>
      <c r="E747" s="69"/>
      <c r="K747" s="282"/>
      <c r="L747" s="195"/>
      <c r="M747" s="282"/>
      <c r="O747" s="68"/>
      <c r="P747" s="68"/>
      <c r="Q747" s="68"/>
      <c r="R747" s="68"/>
      <c r="S747" s="68"/>
    </row>
    <row r="748" spans="1:19" ht="15.75" customHeight="1">
      <c r="A748" s="69"/>
      <c r="B748" s="68"/>
      <c r="D748" s="68"/>
      <c r="E748" s="69"/>
      <c r="K748" s="282"/>
      <c r="L748" s="195"/>
      <c r="M748" s="282"/>
      <c r="O748" s="68"/>
      <c r="P748" s="68"/>
      <c r="Q748" s="68"/>
      <c r="R748" s="68"/>
      <c r="S748" s="68"/>
    </row>
    <row r="749" spans="1:19" ht="15.75" customHeight="1">
      <c r="A749" s="69"/>
      <c r="B749" s="68"/>
      <c r="D749" s="68"/>
      <c r="E749" s="69"/>
      <c r="K749" s="282"/>
      <c r="L749" s="195"/>
      <c r="M749" s="282"/>
      <c r="O749" s="68"/>
      <c r="P749" s="68"/>
      <c r="Q749" s="68"/>
      <c r="R749" s="68"/>
      <c r="S749" s="68"/>
    </row>
    <row r="750" spans="1:19" ht="15.75" customHeight="1">
      <c r="A750" s="69"/>
      <c r="B750" s="68"/>
      <c r="D750" s="68"/>
      <c r="E750" s="69"/>
      <c r="K750" s="282"/>
      <c r="L750" s="195"/>
      <c r="M750" s="282"/>
      <c r="O750" s="68"/>
      <c r="P750" s="68"/>
      <c r="Q750" s="68"/>
      <c r="R750" s="68"/>
      <c r="S750" s="68"/>
    </row>
    <row r="751" spans="1:19" ht="15.75" customHeight="1">
      <c r="A751" s="69"/>
      <c r="B751" s="68"/>
      <c r="D751" s="68"/>
      <c r="E751" s="69"/>
      <c r="K751" s="282"/>
      <c r="L751" s="195"/>
      <c r="M751" s="282"/>
      <c r="O751" s="68"/>
      <c r="P751" s="68"/>
      <c r="Q751" s="68"/>
      <c r="R751" s="68"/>
      <c r="S751" s="68"/>
    </row>
    <row r="752" spans="1:19" ht="15.75" customHeight="1">
      <c r="A752" s="69"/>
      <c r="B752" s="68"/>
      <c r="D752" s="68"/>
      <c r="E752" s="69"/>
      <c r="K752" s="282"/>
      <c r="L752" s="195"/>
      <c r="M752" s="282"/>
      <c r="O752" s="68"/>
      <c r="P752" s="68"/>
      <c r="Q752" s="68"/>
      <c r="R752" s="68"/>
      <c r="S752" s="68"/>
    </row>
    <row r="753" spans="1:19" ht="15.75" customHeight="1">
      <c r="A753" s="69"/>
      <c r="B753" s="68"/>
      <c r="D753" s="68"/>
      <c r="E753" s="69"/>
      <c r="K753" s="282"/>
      <c r="L753" s="195"/>
      <c r="M753" s="282"/>
      <c r="O753" s="68"/>
      <c r="P753" s="68"/>
      <c r="Q753" s="68"/>
      <c r="R753" s="68"/>
      <c r="S753" s="68"/>
    </row>
    <row r="754" spans="1:19" ht="15.75" customHeight="1">
      <c r="A754" s="69"/>
      <c r="B754" s="68"/>
      <c r="D754" s="68"/>
      <c r="E754" s="69"/>
      <c r="K754" s="282"/>
      <c r="L754" s="195"/>
      <c r="M754" s="282"/>
      <c r="O754" s="68"/>
      <c r="P754" s="68"/>
      <c r="Q754" s="68"/>
      <c r="R754" s="68"/>
      <c r="S754" s="68"/>
    </row>
    <row r="755" spans="1:19" ht="15.75" customHeight="1">
      <c r="A755" s="69"/>
      <c r="B755" s="68"/>
      <c r="D755" s="68"/>
      <c r="E755" s="69"/>
      <c r="K755" s="282"/>
      <c r="L755" s="195"/>
      <c r="M755" s="282"/>
      <c r="O755" s="68"/>
      <c r="P755" s="68"/>
      <c r="Q755" s="68"/>
      <c r="R755" s="68"/>
      <c r="S755" s="68"/>
    </row>
    <row r="756" spans="1:19" ht="15.75" customHeight="1">
      <c r="A756" s="69"/>
      <c r="B756" s="68"/>
      <c r="D756" s="68"/>
      <c r="E756" s="69"/>
      <c r="K756" s="282"/>
      <c r="L756" s="195"/>
      <c r="M756" s="282"/>
      <c r="O756" s="68"/>
      <c r="P756" s="68"/>
      <c r="Q756" s="68"/>
      <c r="R756" s="68"/>
      <c r="S756" s="68"/>
    </row>
    <row r="757" spans="1:19" ht="15.75" customHeight="1">
      <c r="A757" s="69"/>
      <c r="B757" s="68"/>
      <c r="D757" s="68"/>
      <c r="E757" s="69"/>
      <c r="K757" s="282"/>
      <c r="L757" s="195"/>
      <c r="M757" s="282"/>
      <c r="O757" s="68"/>
      <c r="P757" s="68"/>
      <c r="Q757" s="68"/>
      <c r="R757" s="68"/>
      <c r="S757" s="68"/>
    </row>
    <row r="758" spans="1:19" ht="15.75" customHeight="1">
      <c r="A758" s="69"/>
      <c r="B758" s="68"/>
      <c r="D758" s="68"/>
      <c r="E758" s="69"/>
      <c r="K758" s="282"/>
      <c r="L758" s="195"/>
      <c r="M758" s="282"/>
      <c r="O758" s="68"/>
      <c r="P758" s="68"/>
      <c r="Q758" s="68"/>
      <c r="R758" s="68"/>
      <c r="S758" s="68"/>
    </row>
    <row r="759" spans="1:19" ht="15.75" customHeight="1">
      <c r="A759" s="69"/>
      <c r="B759" s="68"/>
      <c r="D759" s="68"/>
      <c r="E759" s="69"/>
      <c r="K759" s="282"/>
      <c r="L759" s="195"/>
      <c r="M759" s="282"/>
      <c r="O759" s="68"/>
      <c r="P759" s="68"/>
      <c r="Q759" s="68"/>
      <c r="R759" s="68"/>
      <c r="S759" s="68"/>
    </row>
    <row r="760" spans="1:19" ht="15.75" customHeight="1">
      <c r="A760" s="69"/>
      <c r="B760" s="68"/>
      <c r="D760" s="68"/>
      <c r="E760" s="69"/>
      <c r="K760" s="282"/>
      <c r="L760" s="195"/>
      <c r="M760" s="282"/>
      <c r="O760" s="68"/>
      <c r="P760" s="68"/>
      <c r="Q760" s="68"/>
      <c r="R760" s="68"/>
      <c r="S760" s="68"/>
    </row>
    <row r="761" spans="1:19" ht="15.75" customHeight="1">
      <c r="A761" s="69"/>
      <c r="B761" s="68"/>
      <c r="D761" s="68"/>
      <c r="E761" s="69"/>
      <c r="K761" s="282"/>
      <c r="L761" s="195"/>
      <c r="M761" s="282"/>
      <c r="O761" s="68"/>
      <c r="P761" s="68"/>
      <c r="Q761" s="68"/>
      <c r="R761" s="68"/>
      <c r="S761" s="68"/>
    </row>
    <row r="762" spans="1:19" ht="15.75" customHeight="1">
      <c r="A762" s="69"/>
      <c r="B762" s="68"/>
      <c r="D762" s="68"/>
      <c r="E762" s="69"/>
      <c r="K762" s="282"/>
      <c r="L762" s="195"/>
      <c r="M762" s="282"/>
      <c r="O762" s="68"/>
      <c r="P762" s="68"/>
      <c r="Q762" s="68"/>
      <c r="R762" s="68"/>
      <c r="S762" s="68"/>
    </row>
    <row r="763" spans="1:19" ht="15.75" customHeight="1">
      <c r="A763" s="69"/>
      <c r="B763" s="68"/>
      <c r="D763" s="68"/>
      <c r="E763" s="69"/>
      <c r="K763" s="282"/>
      <c r="L763" s="195"/>
      <c r="M763" s="282"/>
      <c r="O763" s="68"/>
      <c r="P763" s="68"/>
      <c r="Q763" s="68"/>
      <c r="R763" s="68"/>
      <c r="S763" s="68"/>
    </row>
    <row r="764" spans="1:19" ht="15.75" customHeight="1">
      <c r="A764" s="69"/>
      <c r="B764" s="68"/>
      <c r="D764" s="68"/>
      <c r="E764" s="69"/>
      <c r="K764" s="282"/>
      <c r="L764" s="195"/>
      <c r="M764" s="282"/>
      <c r="O764" s="68"/>
      <c r="P764" s="68"/>
      <c r="Q764" s="68"/>
      <c r="R764" s="68"/>
      <c r="S764" s="68"/>
    </row>
    <row r="765" spans="1:19" ht="15.75" customHeight="1">
      <c r="A765" s="69"/>
      <c r="B765" s="68"/>
      <c r="D765" s="68"/>
      <c r="E765" s="69"/>
      <c r="K765" s="282"/>
      <c r="L765" s="195"/>
      <c r="M765" s="282"/>
      <c r="O765" s="68"/>
      <c r="P765" s="68"/>
      <c r="Q765" s="68"/>
      <c r="R765" s="68"/>
      <c r="S765" s="68"/>
    </row>
    <row r="766" spans="1:19" ht="15.75" customHeight="1">
      <c r="A766" s="69"/>
      <c r="B766" s="68"/>
      <c r="D766" s="68"/>
      <c r="E766" s="69"/>
      <c r="K766" s="282"/>
      <c r="L766" s="195"/>
      <c r="M766" s="282"/>
      <c r="O766" s="68"/>
      <c r="P766" s="68"/>
      <c r="Q766" s="68"/>
      <c r="R766" s="68"/>
      <c r="S766" s="68"/>
    </row>
    <row r="767" spans="1:19" ht="15.75" customHeight="1">
      <c r="A767" s="69"/>
      <c r="B767" s="68"/>
      <c r="D767" s="68"/>
      <c r="E767" s="69"/>
      <c r="K767" s="282"/>
      <c r="L767" s="195"/>
      <c r="M767" s="282"/>
      <c r="O767" s="68"/>
      <c r="P767" s="68"/>
      <c r="Q767" s="68"/>
      <c r="R767" s="68"/>
      <c r="S767" s="68"/>
    </row>
    <row r="768" spans="1:19" ht="15.75" customHeight="1">
      <c r="A768" s="69"/>
      <c r="B768" s="68"/>
      <c r="D768" s="68"/>
      <c r="E768" s="69"/>
      <c r="K768" s="282"/>
      <c r="L768" s="195"/>
      <c r="M768" s="282"/>
      <c r="O768" s="68"/>
      <c r="P768" s="68"/>
      <c r="Q768" s="68"/>
      <c r="R768" s="68"/>
      <c r="S768" s="68"/>
    </row>
    <row r="769" spans="1:19" ht="15.75" customHeight="1">
      <c r="A769" s="69"/>
      <c r="B769" s="68"/>
      <c r="D769" s="68"/>
      <c r="E769" s="69"/>
      <c r="K769" s="282"/>
      <c r="L769" s="195"/>
      <c r="M769" s="282"/>
      <c r="O769" s="68"/>
      <c r="P769" s="68"/>
      <c r="Q769" s="68"/>
      <c r="R769" s="68"/>
      <c r="S769" s="68"/>
    </row>
    <row r="770" spans="1:19" ht="15.75" customHeight="1">
      <c r="A770" s="69"/>
      <c r="B770" s="68"/>
      <c r="D770" s="68"/>
      <c r="E770" s="69"/>
      <c r="K770" s="282"/>
      <c r="L770" s="195"/>
      <c r="M770" s="282"/>
      <c r="O770" s="68"/>
      <c r="P770" s="68"/>
      <c r="Q770" s="68"/>
      <c r="R770" s="68"/>
      <c r="S770" s="68"/>
    </row>
    <row r="771" spans="1:19" ht="15.75" customHeight="1">
      <c r="A771" s="69"/>
      <c r="B771" s="68"/>
      <c r="D771" s="68"/>
      <c r="E771" s="69"/>
      <c r="K771" s="282"/>
      <c r="L771" s="195"/>
      <c r="M771" s="282"/>
      <c r="O771" s="68"/>
      <c r="P771" s="68"/>
      <c r="Q771" s="68"/>
      <c r="R771" s="68"/>
      <c r="S771" s="68"/>
    </row>
    <row r="772" spans="1:19" ht="15.75" customHeight="1">
      <c r="A772" s="69"/>
      <c r="B772" s="68"/>
      <c r="D772" s="68"/>
      <c r="E772" s="69"/>
      <c r="K772" s="282"/>
      <c r="L772" s="195"/>
      <c r="M772" s="282"/>
      <c r="O772" s="68"/>
      <c r="P772" s="68"/>
      <c r="Q772" s="68"/>
      <c r="R772" s="68"/>
      <c r="S772" s="68"/>
    </row>
    <row r="773" spans="1:19" ht="15.75" customHeight="1">
      <c r="A773" s="69"/>
      <c r="B773" s="68"/>
      <c r="D773" s="68"/>
      <c r="E773" s="69"/>
      <c r="K773" s="282"/>
      <c r="L773" s="195"/>
      <c r="M773" s="282"/>
      <c r="O773" s="68"/>
      <c r="P773" s="68"/>
      <c r="Q773" s="68"/>
      <c r="R773" s="68"/>
      <c r="S773" s="68"/>
    </row>
    <row r="774" spans="1:19" ht="15.75" customHeight="1">
      <c r="A774" s="69"/>
      <c r="B774" s="68"/>
      <c r="D774" s="68"/>
      <c r="E774" s="69"/>
      <c r="K774" s="282"/>
      <c r="L774" s="195"/>
      <c r="M774" s="282"/>
      <c r="O774" s="68"/>
      <c r="P774" s="68"/>
      <c r="Q774" s="68"/>
      <c r="R774" s="68"/>
      <c r="S774" s="68"/>
    </row>
    <row r="775" spans="1:19" ht="15.75" customHeight="1">
      <c r="A775" s="69"/>
      <c r="B775" s="68"/>
      <c r="D775" s="68"/>
      <c r="E775" s="69"/>
      <c r="K775" s="282"/>
      <c r="L775" s="195"/>
      <c r="M775" s="282"/>
      <c r="O775" s="68"/>
      <c r="P775" s="68"/>
      <c r="Q775" s="68"/>
      <c r="R775" s="68"/>
      <c r="S775" s="68"/>
    </row>
    <row r="776" spans="1:19" ht="15.75" customHeight="1">
      <c r="A776" s="69"/>
      <c r="B776" s="68"/>
      <c r="D776" s="68"/>
      <c r="E776" s="69"/>
      <c r="K776" s="282"/>
      <c r="L776" s="195"/>
      <c r="M776" s="282"/>
      <c r="O776" s="68"/>
      <c r="P776" s="68"/>
      <c r="Q776" s="68"/>
      <c r="R776" s="68"/>
      <c r="S776" s="68"/>
    </row>
    <row r="777" spans="1:19" ht="15.75" customHeight="1">
      <c r="A777" s="69"/>
      <c r="B777" s="68"/>
      <c r="D777" s="68"/>
      <c r="E777" s="69"/>
      <c r="K777" s="282"/>
      <c r="L777" s="195"/>
      <c r="M777" s="282"/>
      <c r="O777" s="68"/>
      <c r="P777" s="68"/>
      <c r="Q777" s="68"/>
      <c r="R777" s="68"/>
      <c r="S777" s="68"/>
    </row>
    <row r="778" spans="1:19" ht="15.75" customHeight="1">
      <c r="A778" s="69"/>
      <c r="B778" s="68"/>
      <c r="D778" s="68"/>
      <c r="E778" s="69"/>
      <c r="K778" s="282"/>
      <c r="L778" s="195"/>
      <c r="M778" s="282"/>
      <c r="O778" s="68"/>
      <c r="P778" s="68"/>
      <c r="Q778" s="68"/>
      <c r="R778" s="68"/>
      <c r="S778" s="68"/>
    </row>
    <row r="779" spans="1:19" ht="15.75" customHeight="1">
      <c r="A779" s="69"/>
      <c r="B779" s="68"/>
      <c r="D779" s="68"/>
      <c r="E779" s="69"/>
      <c r="K779" s="282"/>
      <c r="L779" s="195"/>
      <c r="M779" s="282"/>
      <c r="O779" s="68"/>
      <c r="P779" s="68"/>
      <c r="Q779" s="68"/>
      <c r="R779" s="68"/>
      <c r="S779" s="68"/>
    </row>
    <row r="780" spans="1:19" ht="15.75" customHeight="1">
      <c r="A780" s="69"/>
      <c r="B780" s="68"/>
      <c r="D780" s="68"/>
      <c r="E780" s="69"/>
      <c r="K780" s="282"/>
      <c r="L780" s="195"/>
      <c r="M780" s="282"/>
      <c r="O780" s="68"/>
      <c r="P780" s="68"/>
      <c r="Q780" s="68"/>
      <c r="R780" s="68"/>
      <c r="S780" s="68"/>
    </row>
    <row r="781" spans="1:19" ht="15.75" customHeight="1">
      <c r="A781" s="69"/>
      <c r="B781" s="68"/>
      <c r="D781" s="68"/>
      <c r="E781" s="69"/>
      <c r="K781" s="282"/>
      <c r="L781" s="195"/>
      <c r="M781" s="282"/>
      <c r="O781" s="68"/>
      <c r="P781" s="68"/>
      <c r="Q781" s="68"/>
      <c r="R781" s="68"/>
      <c r="S781" s="68"/>
    </row>
    <row r="782" spans="1:19" ht="15.75" customHeight="1">
      <c r="A782" s="69"/>
      <c r="B782" s="68"/>
      <c r="D782" s="68"/>
      <c r="E782" s="69"/>
      <c r="K782" s="282"/>
      <c r="L782" s="195"/>
      <c r="M782" s="282"/>
      <c r="O782" s="68"/>
      <c r="P782" s="68"/>
      <c r="Q782" s="68"/>
      <c r="R782" s="68"/>
      <c r="S782" s="68"/>
    </row>
    <row r="783" spans="1:19" ht="15.75" customHeight="1">
      <c r="A783" s="69"/>
      <c r="B783" s="68"/>
      <c r="D783" s="68"/>
      <c r="E783" s="69"/>
      <c r="K783" s="282"/>
      <c r="L783" s="195"/>
      <c r="M783" s="282"/>
      <c r="O783" s="68"/>
      <c r="P783" s="68"/>
      <c r="Q783" s="68"/>
      <c r="R783" s="68"/>
      <c r="S783" s="68"/>
    </row>
    <row r="784" spans="1:19" ht="15.75" customHeight="1">
      <c r="A784" s="69"/>
      <c r="B784" s="68"/>
      <c r="D784" s="68"/>
      <c r="E784" s="69"/>
      <c r="K784" s="282"/>
      <c r="L784" s="195"/>
      <c r="M784" s="282"/>
      <c r="O784" s="68"/>
      <c r="P784" s="68"/>
      <c r="Q784" s="68"/>
      <c r="R784" s="68"/>
      <c r="S784" s="68"/>
    </row>
    <row r="785" spans="1:19" ht="15.75" customHeight="1">
      <c r="A785" s="69"/>
      <c r="B785" s="68"/>
      <c r="D785" s="68"/>
      <c r="E785" s="69"/>
      <c r="K785" s="282"/>
      <c r="L785" s="195"/>
      <c r="M785" s="282"/>
      <c r="O785" s="68"/>
      <c r="P785" s="68"/>
      <c r="Q785" s="68"/>
      <c r="R785" s="68"/>
      <c r="S785" s="68"/>
    </row>
    <row r="786" spans="1:19" ht="15.75" customHeight="1">
      <c r="A786" s="69"/>
      <c r="B786" s="68"/>
      <c r="D786" s="68"/>
      <c r="E786" s="69"/>
      <c r="K786" s="282"/>
      <c r="L786" s="195"/>
      <c r="M786" s="282"/>
      <c r="O786" s="68"/>
      <c r="P786" s="68"/>
      <c r="Q786" s="68"/>
      <c r="R786" s="68"/>
      <c r="S786" s="68"/>
    </row>
    <row r="787" spans="1:19" ht="15.75" customHeight="1">
      <c r="A787" s="69"/>
      <c r="B787" s="68"/>
      <c r="D787" s="68"/>
      <c r="E787" s="69"/>
      <c r="K787" s="282"/>
      <c r="L787" s="195"/>
      <c r="M787" s="282"/>
      <c r="O787" s="68"/>
      <c r="P787" s="68"/>
      <c r="Q787" s="68"/>
      <c r="R787" s="68"/>
      <c r="S787" s="68"/>
    </row>
    <row r="788" spans="1:19" ht="15.75" customHeight="1">
      <c r="A788" s="69"/>
      <c r="B788" s="68"/>
      <c r="D788" s="68"/>
      <c r="E788" s="69"/>
      <c r="K788" s="282"/>
      <c r="L788" s="195"/>
      <c r="M788" s="282"/>
      <c r="O788" s="68"/>
      <c r="P788" s="68"/>
      <c r="Q788" s="68"/>
      <c r="R788" s="68"/>
      <c r="S788" s="68"/>
    </row>
    <row r="789" spans="1:19" ht="15.75" customHeight="1">
      <c r="A789" s="69"/>
      <c r="B789" s="68"/>
      <c r="D789" s="68"/>
      <c r="E789" s="69"/>
      <c r="K789" s="282"/>
      <c r="L789" s="195"/>
      <c r="M789" s="282"/>
      <c r="O789" s="68"/>
      <c r="P789" s="68"/>
      <c r="Q789" s="68"/>
      <c r="R789" s="68"/>
      <c r="S789" s="68"/>
    </row>
    <row r="790" spans="1:19" ht="15.75" customHeight="1">
      <c r="A790" s="69"/>
      <c r="B790" s="68"/>
      <c r="D790" s="68"/>
      <c r="E790" s="69"/>
      <c r="K790" s="282"/>
      <c r="L790" s="195"/>
      <c r="M790" s="282"/>
      <c r="O790" s="68"/>
      <c r="P790" s="68"/>
      <c r="Q790" s="68"/>
      <c r="R790" s="68"/>
      <c r="S790" s="68"/>
    </row>
    <row r="791" spans="1:19" ht="15.75" customHeight="1">
      <c r="A791" s="69"/>
      <c r="B791" s="68"/>
      <c r="D791" s="68"/>
      <c r="E791" s="69"/>
      <c r="K791" s="282"/>
      <c r="L791" s="195"/>
      <c r="M791" s="282"/>
      <c r="O791" s="68"/>
      <c r="P791" s="68"/>
      <c r="Q791" s="68"/>
      <c r="R791" s="68"/>
      <c r="S791" s="68"/>
    </row>
    <row r="792" spans="1:19" ht="15.75" customHeight="1">
      <c r="A792" s="69"/>
      <c r="B792" s="68"/>
      <c r="D792" s="68"/>
      <c r="E792" s="69"/>
      <c r="K792" s="282"/>
      <c r="L792" s="195"/>
      <c r="M792" s="282"/>
      <c r="O792" s="68"/>
      <c r="P792" s="68"/>
      <c r="Q792" s="68"/>
      <c r="R792" s="68"/>
      <c r="S792" s="68"/>
    </row>
    <row r="793" spans="1:19" ht="15.75" customHeight="1">
      <c r="A793" s="69"/>
      <c r="B793" s="68"/>
      <c r="D793" s="68"/>
      <c r="E793" s="69"/>
      <c r="K793" s="282"/>
      <c r="L793" s="195"/>
      <c r="M793" s="282"/>
      <c r="O793" s="68"/>
      <c r="P793" s="68"/>
      <c r="Q793" s="68"/>
      <c r="R793" s="68"/>
      <c r="S793" s="68"/>
    </row>
    <row r="794" spans="1:19" ht="15.75" customHeight="1">
      <c r="A794" s="69"/>
      <c r="B794" s="68"/>
      <c r="D794" s="68"/>
      <c r="E794" s="69"/>
      <c r="K794" s="282"/>
      <c r="L794" s="195"/>
      <c r="M794" s="282"/>
      <c r="O794" s="68"/>
      <c r="P794" s="68"/>
      <c r="Q794" s="68"/>
      <c r="R794" s="68"/>
      <c r="S794" s="68"/>
    </row>
    <row r="795" spans="1:19" ht="15.75" customHeight="1">
      <c r="A795" s="69"/>
      <c r="B795" s="68"/>
      <c r="D795" s="68"/>
      <c r="E795" s="69"/>
      <c r="K795" s="282"/>
      <c r="L795" s="195"/>
      <c r="M795" s="282"/>
      <c r="O795" s="68"/>
      <c r="P795" s="68"/>
      <c r="Q795" s="68"/>
      <c r="R795" s="68"/>
      <c r="S795" s="68"/>
    </row>
    <row r="796" spans="1:19" ht="15.75" customHeight="1">
      <c r="A796" s="69"/>
      <c r="B796" s="68"/>
      <c r="D796" s="68"/>
      <c r="E796" s="69"/>
      <c r="K796" s="282"/>
      <c r="L796" s="195"/>
      <c r="M796" s="282"/>
      <c r="O796" s="68"/>
      <c r="P796" s="68"/>
      <c r="Q796" s="68"/>
      <c r="R796" s="68"/>
      <c r="S796" s="68"/>
    </row>
    <row r="797" spans="1:19" ht="15.75" customHeight="1">
      <c r="A797" s="69"/>
      <c r="B797" s="68"/>
      <c r="D797" s="68"/>
      <c r="E797" s="69"/>
      <c r="K797" s="282"/>
      <c r="L797" s="195"/>
      <c r="M797" s="282"/>
      <c r="O797" s="68"/>
      <c r="P797" s="68"/>
      <c r="Q797" s="68"/>
      <c r="R797" s="68"/>
      <c r="S797" s="68"/>
    </row>
    <row r="798" spans="1:19" ht="15.75" customHeight="1">
      <c r="A798" s="69"/>
      <c r="B798" s="68"/>
      <c r="D798" s="68"/>
      <c r="E798" s="69"/>
      <c r="K798" s="282"/>
      <c r="L798" s="195"/>
      <c r="M798" s="282"/>
      <c r="O798" s="68"/>
      <c r="P798" s="68"/>
      <c r="Q798" s="68"/>
      <c r="R798" s="68"/>
      <c r="S798" s="68"/>
    </row>
    <row r="799" spans="1:19" ht="15.75" customHeight="1">
      <c r="A799" s="69"/>
      <c r="B799" s="68"/>
      <c r="D799" s="68"/>
      <c r="E799" s="69"/>
      <c r="K799" s="282"/>
      <c r="L799" s="195"/>
      <c r="M799" s="282"/>
      <c r="O799" s="68"/>
      <c r="P799" s="68"/>
      <c r="Q799" s="68"/>
      <c r="R799" s="68"/>
      <c r="S799" s="68"/>
    </row>
    <row r="800" spans="1:19" ht="15.75" customHeight="1">
      <c r="A800" s="69"/>
      <c r="B800" s="68"/>
      <c r="D800" s="68"/>
      <c r="E800" s="69"/>
      <c r="K800" s="282"/>
      <c r="L800" s="195"/>
      <c r="M800" s="282"/>
      <c r="O800" s="68"/>
      <c r="P800" s="68"/>
      <c r="Q800" s="68"/>
      <c r="R800" s="68"/>
      <c r="S800" s="68"/>
    </row>
    <row r="801" spans="1:19" ht="15.75" customHeight="1">
      <c r="A801" s="69"/>
      <c r="B801" s="68"/>
      <c r="D801" s="68"/>
      <c r="E801" s="69"/>
      <c r="K801" s="282"/>
      <c r="L801" s="195"/>
      <c r="M801" s="282"/>
      <c r="O801" s="68"/>
      <c r="P801" s="68"/>
      <c r="Q801" s="68"/>
      <c r="R801" s="68"/>
      <c r="S801" s="68"/>
    </row>
    <row r="802" spans="1:19" ht="15.75" customHeight="1">
      <c r="A802" s="69"/>
      <c r="B802" s="68"/>
      <c r="D802" s="68"/>
      <c r="E802" s="69"/>
      <c r="K802" s="282"/>
      <c r="L802" s="195"/>
      <c r="M802" s="282"/>
      <c r="O802" s="68"/>
      <c r="P802" s="68"/>
      <c r="Q802" s="68"/>
      <c r="R802" s="68"/>
      <c r="S802" s="68"/>
    </row>
    <row r="803" spans="1:19" ht="15.75" customHeight="1">
      <c r="A803" s="69"/>
      <c r="B803" s="68"/>
      <c r="D803" s="68"/>
      <c r="E803" s="69"/>
      <c r="K803" s="282"/>
      <c r="L803" s="195"/>
      <c r="M803" s="282"/>
      <c r="O803" s="68"/>
      <c r="P803" s="68"/>
      <c r="Q803" s="68"/>
      <c r="R803" s="68"/>
      <c r="S803" s="68"/>
    </row>
    <row r="804" spans="1:19" ht="15.75" customHeight="1">
      <c r="A804" s="69"/>
      <c r="B804" s="68"/>
      <c r="D804" s="68"/>
      <c r="E804" s="69"/>
      <c r="K804" s="282"/>
      <c r="L804" s="195"/>
      <c r="M804" s="282"/>
      <c r="O804" s="68"/>
      <c r="P804" s="68"/>
      <c r="Q804" s="68"/>
      <c r="R804" s="68"/>
      <c r="S804" s="68"/>
    </row>
    <row r="805" spans="1:19" ht="15.75" customHeight="1">
      <c r="A805" s="69"/>
      <c r="B805" s="68"/>
      <c r="D805" s="68"/>
      <c r="E805" s="69"/>
      <c r="K805" s="282"/>
      <c r="L805" s="195"/>
      <c r="M805" s="282"/>
      <c r="O805" s="68"/>
      <c r="P805" s="68"/>
      <c r="Q805" s="68"/>
      <c r="R805" s="68"/>
      <c r="S805" s="68"/>
    </row>
    <row r="806" spans="1:19" ht="15.75" customHeight="1">
      <c r="A806" s="69"/>
      <c r="B806" s="68"/>
      <c r="D806" s="68"/>
      <c r="E806" s="69"/>
      <c r="K806" s="282"/>
      <c r="L806" s="195"/>
      <c r="M806" s="282"/>
      <c r="O806" s="68"/>
      <c r="P806" s="68"/>
      <c r="Q806" s="68"/>
      <c r="R806" s="68"/>
      <c r="S806" s="68"/>
    </row>
    <row r="807" spans="1:19" ht="15.75" customHeight="1">
      <c r="A807" s="69"/>
      <c r="B807" s="68"/>
      <c r="D807" s="68"/>
      <c r="E807" s="69"/>
      <c r="K807" s="282"/>
      <c r="L807" s="195"/>
      <c r="M807" s="282"/>
      <c r="O807" s="68"/>
      <c r="P807" s="68"/>
      <c r="Q807" s="68"/>
      <c r="R807" s="68"/>
      <c r="S807" s="68"/>
    </row>
    <row r="808" spans="1:19" ht="15.75" customHeight="1">
      <c r="A808" s="69"/>
      <c r="B808" s="68"/>
      <c r="D808" s="68"/>
      <c r="E808" s="69"/>
      <c r="K808" s="282"/>
      <c r="L808" s="195"/>
      <c r="M808" s="282"/>
      <c r="O808" s="68"/>
      <c r="P808" s="68"/>
      <c r="Q808" s="68"/>
      <c r="R808" s="68"/>
      <c r="S808" s="68"/>
    </row>
    <row r="809" spans="1:19" ht="15.75" customHeight="1">
      <c r="A809" s="69"/>
      <c r="B809" s="68"/>
      <c r="D809" s="68"/>
      <c r="E809" s="69"/>
      <c r="K809" s="282"/>
      <c r="L809" s="195"/>
      <c r="M809" s="282"/>
      <c r="O809" s="68"/>
      <c r="P809" s="68"/>
      <c r="Q809" s="68"/>
      <c r="R809" s="68"/>
      <c r="S809" s="68"/>
    </row>
    <row r="810" spans="1:19" ht="15.75" customHeight="1">
      <c r="A810" s="69"/>
      <c r="B810" s="68"/>
      <c r="D810" s="68"/>
      <c r="E810" s="69"/>
      <c r="K810" s="282"/>
      <c r="L810" s="195"/>
      <c r="M810" s="282"/>
      <c r="O810" s="68"/>
      <c r="P810" s="68"/>
      <c r="Q810" s="68"/>
      <c r="R810" s="68"/>
      <c r="S810" s="68"/>
    </row>
    <row r="811" spans="1:19" ht="15.75" customHeight="1">
      <c r="A811" s="69"/>
      <c r="B811" s="68"/>
      <c r="D811" s="68"/>
      <c r="E811" s="69"/>
      <c r="K811" s="282"/>
      <c r="L811" s="195"/>
      <c r="M811" s="282"/>
      <c r="O811" s="68"/>
      <c r="P811" s="68"/>
      <c r="Q811" s="68"/>
      <c r="R811" s="68"/>
      <c r="S811" s="68"/>
    </row>
    <row r="812" spans="1:19" ht="15.75" customHeight="1">
      <c r="A812" s="69"/>
      <c r="B812" s="68"/>
      <c r="D812" s="68"/>
      <c r="E812" s="69"/>
      <c r="K812" s="282"/>
      <c r="L812" s="195"/>
      <c r="M812" s="282"/>
      <c r="O812" s="68"/>
      <c r="P812" s="68"/>
      <c r="Q812" s="68"/>
      <c r="R812" s="68"/>
      <c r="S812" s="68"/>
    </row>
    <row r="813" spans="1:19" ht="15.75" customHeight="1">
      <c r="A813" s="69"/>
      <c r="B813" s="68"/>
      <c r="D813" s="68"/>
      <c r="E813" s="69"/>
      <c r="K813" s="282"/>
      <c r="L813" s="195"/>
      <c r="M813" s="282"/>
      <c r="O813" s="68"/>
      <c r="P813" s="68"/>
      <c r="Q813" s="68"/>
      <c r="R813" s="68"/>
      <c r="S813" s="68"/>
    </row>
    <row r="814" spans="1:19" ht="15.75" customHeight="1">
      <c r="A814" s="69"/>
      <c r="B814" s="68"/>
      <c r="D814" s="68"/>
      <c r="E814" s="69"/>
      <c r="K814" s="282"/>
      <c r="L814" s="195"/>
      <c r="M814" s="282"/>
      <c r="O814" s="68"/>
      <c r="P814" s="68"/>
      <c r="Q814" s="68"/>
      <c r="R814" s="68"/>
      <c r="S814" s="68"/>
    </row>
    <row r="815" spans="1:19" ht="15.75" customHeight="1">
      <c r="A815" s="69"/>
      <c r="B815" s="68"/>
      <c r="D815" s="68"/>
      <c r="E815" s="69"/>
      <c r="K815" s="282"/>
      <c r="L815" s="195"/>
      <c r="M815" s="282"/>
      <c r="O815" s="68"/>
      <c r="P815" s="68"/>
      <c r="Q815" s="68"/>
      <c r="R815" s="68"/>
      <c r="S815" s="68"/>
    </row>
    <row r="816" spans="1:19" ht="15.75" customHeight="1">
      <c r="A816" s="69"/>
      <c r="B816" s="68"/>
      <c r="D816" s="68"/>
      <c r="E816" s="69"/>
      <c r="K816" s="282"/>
      <c r="L816" s="195"/>
      <c r="M816" s="282"/>
      <c r="O816" s="68"/>
      <c r="P816" s="68"/>
      <c r="Q816" s="68"/>
      <c r="R816" s="68"/>
      <c r="S816" s="68"/>
    </row>
    <row r="817" spans="1:19" ht="15.75" customHeight="1">
      <c r="A817" s="69"/>
      <c r="B817" s="68"/>
      <c r="D817" s="68"/>
      <c r="E817" s="69"/>
      <c r="K817" s="282"/>
      <c r="L817" s="195"/>
      <c r="M817" s="282"/>
      <c r="O817" s="68"/>
      <c r="P817" s="68"/>
      <c r="Q817" s="68"/>
      <c r="R817" s="68"/>
      <c r="S817" s="68"/>
    </row>
    <row r="818" spans="1:19" ht="15.75" customHeight="1">
      <c r="A818" s="69"/>
      <c r="B818" s="68"/>
      <c r="D818" s="68"/>
      <c r="E818" s="69"/>
      <c r="K818" s="282"/>
      <c r="L818" s="195"/>
      <c r="M818" s="282"/>
      <c r="O818" s="68"/>
      <c r="P818" s="68"/>
      <c r="Q818" s="68"/>
      <c r="R818" s="68"/>
      <c r="S818" s="68"/>
    </row>
    <row r="819" spans="1:19" ht="15.75" customHeight="1">
      <c r="A819" s="69"/>
      <c r="B819" s="68"/>
      <c r="D819" s="68"/>
      <c r="E819" s="69"/>
      <c r="K819" s="282"/>
      <c r="L819" s="195"/>
      <c r="M819" s="282"/>
      <c r="O819" s="68"/>
      <c r="P819" s="68"/>
      <c r="Q819" s="68"/>
      <c r="R819" s="68"/>
      <c r="S819" s="68"/>
    </row>
    <row r="820" spans="1:19" ht="15.75" customHeight="1">
      <c r="A820" s="69"/>
      <c r="B820" s="68"/>
      <c r="D820" s="68"/>
      <c r="E820" s="69"/>
      <c r="K820" s="282"/>
      <c r="L820" s="195"/>
      <c r="M820" s="282"/>
      <c r="O820" s="68"/>
      <c r="P820" s="68"/>
      <c r="Q820" s="68"/>
      <c r="R820" s="68"/>
      <c r="S820" s="68"/>
    </row>
    <row r="821" spans="1:19" ht="15.75" customHeight="1">
      <c r="A821" s="69"/>
      <c r="B821" s="68"/>
      <c r="D821" s="68"/>
      <c r="E821" s="69"/>
      <c r="K821" s="282"/>
      <c r="L821" s="195"/>
      <c r="M821" s="282"/>
      <c r="O821" s="68"/>
      <c r="P821" s="68"/>
      <c r="Q821" s="68"/>
      <c r="R821" s="68"/>
      <c r="S821" s="68"/>
    </row>
    <row r="822" spans="1:19" ht="15.75" customHeight="1">
      <c r="A822" s="69"/>
      <c r="B822" s="68"/>
      <c r="D822" s="68"/>
      <c r="E822" s="69"/>
      <c r="K822" s="282"/>
      <c r="L822" s="195"/>
      <c r="M822" s="282"/>
      <c r="O822" s="68"/>
      <c r="P822" s="68"/>
      <c r="Q822" s="68"/>
      <c r="R822" s="68"/>
      <c r="S822" s="68"/>
    </row>
    <row r="823" spans="1:19" ht="15.75" customHeight="1">
      <c r="A823" s="69"/>
      <c r="B823" s="68"/>
      <c r="D823" s="68"/>
      <c r="E823" s="69"/>
      <c r="K823" s="282"/>
      <c r="L823" s="195"/>
      <c r="M823" s="282"/>
      <c r="O823" s="68"/>
      <c r="P823" s="68"/>
      <c r="Q823" s="68"/>
      <c r="R823" s="68"/>
      <c r="S823" s="68"/>
    </row>
    <row r="824" spans="1:19" ht="15.75" customHeight="1">
      <c r="A824" s="69"/>
      <c r="B824" s="68"/>
      <c r="D824" s="68"/>
      <c r="E824" s="69"/>
      <c r="K824" s="282"/>
      <c r="L824" s="195"/>
      <c r="M824" s="282"/>
      <c r="O824" s="68"/>
      <c r="P824" s="68"/>
      <c r="Q824" s="68"/>
      <c r="R824" s="68"/>
      <c r="S824" s="68"/>
    </row>
    <row r="825" spans="1:19" ht="15.75" customHeight="1">
      <c r="A825" s="69"/>
      <c r="B825" s="68"/>
      <c r="D825" s="68"/>
      <c r="E825" s="69"/>
      <c r="K825" s="282"/>
      <c r="L825" s="195"/>
      <c r="M825" s="282"/>
      <c r="O825" s="68"/>
      <c r="P825" s="68"/>
      <c r="Q825" s="68"/>
      <c r="R825" s="68"/>
      <c r="S825" s="68"/>
    </row>
    <row r="826" spans="1:19" ht="15.75" customHeight="1">
      <c r="A826" s="69"/>
      <c r="B826" s="68"/>
      <c r="D826" s="68"/>
      <c r="E826" s="69"/>
      <c r="K826" s="282"/>
      <c r="L826" s="195"/>
      <c r="M826" s="282"/>
      <c r="O826" s="68"/>
      <c r="P826" s="68"/>
      <c r="Q826" s="68"/>
      <c r="R826" s="68"/>
      <c r="S826" s="68"/>
    </row>
    <row r="827" spans="1:19" ht="15.75" customHeight="1">
      <c r="A827" s="69"/>
      <c r="B827" s="68"/>
      <c r="D827" s="68"/>
      <c r="E827" s="69"/>
      <c r="K827" s="282"/>
      <c r="L827" s="195"/>
      <c r="M827" s="282"/>
      <c r="O827" s="68"/>
      <c r="P827" s="68"/>
      <c r="Q827" s="68"/>
      <c r="R827" s="68"/>
      <c r="S827" s="68"/>
    </row>
    <row r="828" spans="1:19" ht="15.75" customHeight="1">
      <c r="A828" s="69"/>
      <c r="B828" s="68"/>
      <c r="D828" s="68"/>
      <c r="E828" s="69"/>
      <c r="K828" s="282"/>
      <c r="L828" s="195"/>
      <c r="M828" s="282"/>
      <c r="O828" s="68"/>
      <c r="P828" s="68"/>
      <c r="Q828" s="68"/>
      <c r="R828" s="68"/>
      <c r="S828" s="68"/>
    </row>
    <row r="829" spans="1:19" ht="15.75" customHeight="1">
      <c r="A829" s="69"/>
      <c r="B829" s="68"/>
      <c r="D829" s="68"/>
      <c r="E829" s="69"/>
      <c r="K829" s="282"/>
      <c r="L829" s="195"/>
      <c r="M829" s="282"/>
      <c r="O829" s="68"/>
      <c r="P829" s="68"/>
      <c r="Q829" s="68"/>
      <c r="R829" s="68"/>
      <c r="S829" s="68"/>
    </row>
    <row r="830" spans="1:19" ht="15.75" customHeight="1">
      <c r="A830" s="69"/>
      <c r="B830" s="68"/>
      <c r="D830" s="68"/>
      <c r="E830" s="69"/>
      <c r="K830" s="282"/>
      <c r="L830" s="195"/>
      <c r="M830" s="282"/>
      <c r="O830" s="68"/>
      <c r="P830" s="68"/>
      <c r="Q830" s="68"/>
      <c r="R830" s="68"/>
      <c r="S830" s="68"/>
    </row>
    <row r="831" spans="1:19" ht="15.75" customHeight="1">
      <c r="A831" s="69"/>
      <c r="B831" s="68"/>
      <c r="D831" s="68"/>
      <c r="E831" s="69"/>
      <c r="K831" s="282"/>
      <c r="L831" s="195"/>
      <c r="M831" s="282"/>
      <c r="O831" s="68"/>
      <c r="P831" s="68"/>
      <c r="Q831" s="68"/>
      <c r="R831" s="68"/>
      <c r="S831" s="68"/>
    </row>
    <row r="832" spans="1:19" ht="15.75" customHeight="1">
      <c r="A832" s="69"/>
      <c r="B832" s="68"/>
      <c r="D832" s="68"/>
      <c r="E832" s="69"/>
      <c r="K832" s="282"/>
      <c r="L832" s="195"/>
      <c r="M832" s="282"/>
      <c r="O832" s="68"/>
      <c r="P832" s="68"/>
      <c r="Q832" s="68"/>
      <c r="R832" s="68"/>
      <c r="S832" s="68"/>
    </row>
    <row r="833" spans="1:19" ht="15.75" customHeight="1">
      <c r="A833" s="69"/>
      <c r="B833" s="68"/>
      <c r="D833" s="68"/>
      <c r="E833" s="69"/>
      <c r="K833" s="282"/>
      <c r="L833" s="195"/>
      <c r="M833" s="282"/>
      <c r="O833" s="68"/>
      <c r="P833" s="68"/>
      <c r="Q833" s="68"/>
      <c r="R833" s="68"/>
      <c r="S833" s="68"/>
    </row>
    <row r="834" spans="1:19" ht="15.75" customHeight="1">
      <c r="A834" s="69"/>
      <c r="B834" s="68"/>
      <c r="D834" s="68"/>
      <c r="E834" s="69"/>
      <c r="K834" s="282"/>
      <c r="L834" s="195"/>
      <c r="M834" s="282"/>
      <c r="O834" s="68"/>
      <c r="P834" s="68"/>
      <c r="Q834" s="68"/>
      <c r="R834" s="68"/>
      <c r="S834" s="68"/>
    </row>
    <row r="835" spans="1:19" ht="15.75" customHeight="1">
      <c r="A835" s="69"/>
      <c r="B835" s="68"/>
      <c r="D835" s="68"/>
      <c r="E835" s="69"/>
      <c r="K835" s="282"/>
      <c r="L835" s="195"/>
      <c r="M835" s="282"/>
      <c r="O835" s="68"/>
      <c r="P835" s="68"/>
      <c r="Q835" s="68"/>
      <c r="R835" s="68"/>
      <c r="S835" s="68"/>
    </row>
    <row r="836" spans="1:19" ht="15.75" customHeight="1">
      <c r="A836" s="69"/>
      <c r="B836" s="68"/>
      <c r="D836" s="68"/>
      <c r="E836" s="69"/>
      <c r="K836" s="282"/>
      <c r="L836" s="195"/>
      <c r="M836" s="282"/>
      <c r="O836" s="68"/>
      <c r="P836" s="68"/>
      <c r="Q836" s="68"/>
      <c r="R836" s="68"/>
      <c r="S836" s="68"/>
    </row>
    <row r="837" spans="1:19" ht="15.75" customHeight="1">
      <c r="A837" s="69"/>
      <c r="B837" s="68"/>
      <c r="D837" s="68"/>
      <c r="E837" s="69"/>
      <c r="K837" s="282"/>
      <c r="L837" s="195"/>
      <c r="M837" s="282"/>
      <c r="O837" s="68"/>
      <c r="P837" s="68"/>
      <c r="Q837" s="68"/>
      <c r="R837" s="68"/>
      <c r="S837" s="68"/>
    </row>
    <row r="838" spans="1:19" ht="15.75" customHeight="1">
      <c r="A838" s="69"/>
      <c r="B838" s="68"/>
      <c r="D838" s="68"/>
      <c r="E838" s="69"/>
      <c r="K838" s="282"/>
      <c r="L838" s="195"/>
      <c r="M838" s="282"/>
      <c r="O838" s="68"/>
      <c r="P838" s="68"/>
      <c r="Q838" s="68"/>
      <c r="R838" s="68"/>
      <c r="S838" s="68"/>
    </row>
    <row r="839" spans="1:19" ht="15.75" customHeight="1">
      <c r="A839" s="69"/>
      <c r="B839" s="68"/>
      <c r="D839" s="68"/>
      <c r="E839" s="69"/>
      <c r="K839" s="282"/>
      <c r="L839" s="195"/>
      <c r="M839" s="282"/>
      <c r="O839" s="68"/>
      <c r="P839" s="68"/>
      <c r="Q839" s="68"/>
      <c r="R839" s="68"/>
      <c r="S839" s="68"/>
    </row>
    <row r="840" spans="1:19" ht="15.75" customHeight="1">
      <c r="A840" s="69"/>
      <c r="B840" s="68"/>
      <c r="D840" s="68"/>
      <c r="E840" s="69"/>
      <c r="K840" s="282"/>
      <c r="L840" s="195"/>
      <c r="M840" s="282"/>
      <c r="O840" s="68"/>
      <c r="P840" s="68"/>
      <c r="Q840" s="68"/>
      <c r="R840" s="68"/>
      <c r="S840" s="68"/>
    </row>
    <row r="841" spans="1:19" ht="15.75" customHeight="1">
      <c r="A841" s="69"/>
      <c r="B841" s="68"/>
      <c r="D841" s="68"/>
      <c r="E841" s="69"/>
      <c r="K841" s="282"/>
      <c r="L841" s="195"/>
      <c r="M841" s="282"/>
      <c r="O841" s="68"/>
      <c r="P841" s="68"/>
      <c r="Q841" s="68"/>
      <c r="R841" s="68"/>
      <c r="S841" s="68"/>
    </row>
    <row r="842" spans="1:19" ht="15.75" customHeight="1">
      <c r="A842" s="69"/>
      <c r="B842" s="68"/>
      <c r="D842" s="68"/>
      <c r="E842" s="69"/>
      <c r="K842" s="282"/>
      <c r="L842" s="195"/>
      <c r="M842" s="282"/>
      <c r="O842" s="68"/>
      <c r="P842" s="68"/>
      <c r="Q842" s="68"/>
      <c r="R842" s="68"/>
      <c r="S842" s="68"/>
    </row>
    <row r="843" spans="1:19" ht="15.75" customHeight="1">
      <c r="A843" s="69"/>
      <c r="B843" s="68"/>
      <c r="D843" s="68"/>
      <c r="E843" s="69"/>
      <c r="K843" s="282"/>
      <c r="L843" s="195"/>
      <c r="M843" s="282"/>
      <c r="O843" s="68"/>
      <c r="P843" s="68"/>
      <c r="Q843" s="68"/>
      <c r="R843" s="68"/>
      <c r="S843" s="68"/>
    </row>
    <row r="844" spans="1:19" ht="15.75" customHeight="1">
      <c r="A844" s="69"/>
      <c r="B844" s="68"/>
      <c r="D844" s="68"/>
      <c r="E844" s="69"/>
      <c r="K844" s="282"/>
      <c r="L844" s="195"/>
      <c r="M844" s="282"/>
      <c r="O844" s="68"/>
      <c r="P844" s="68"/>
      <c r="Q844" s="68"/>
      <c r="R844" s="68"/>
      <c r="S844" s="68"/>
    </row>
    <row r="845" spans="1:19" ht="15.75" customHeight="1">
      <c r="A845" s="69"/>
      <c r="B845" s="68"/>
      <c r="D845" s="68"/>
      <c r="E845" s="69"/>
      <c r="K845" s="282"/>
      <c r="L845" s="195"/>
      <c r="M845" s="282"/>
      <c r="O845" s="68"/>
      <c r="P845" s="68"/>
      <c r="Q845" s="68"/>
      <c r="R845" s="68"/>
      <c r="S845" s="68"/>
    </row>
    <row r="846" spans="1:19" ht="15.75" customHeight="1">
      <c r="A846" s="69"/>
      <c r="B846" s="68"/>
      <c r="D846" s="68"/>
      <c r="E846" s="69"/>
      <c r="K846" s="282"/>
      <c r="L846" s="195"/>
      <c r="M846" s="282"/>
      <c r="O846" s="68"/>
      <c r="P846" s="68"/>
      <c r="Q846" s="68"/>
      <c r="R846" s="68"/>
      <c r="S846" s="68"/>
    </row>
    <row r="847" spans="1:19" ht="15.75" customHeight="1">
      <c r="A847" s="69"/>
      <c r="B847" s="68"/>
      <c r="D847" s="68"/>
      <c r="E847" s="69"/>
      <c r="K847" s="282"/>
      <c r="L847" s="195"/>
      <c r="M847" s="282"/>
      <c r="O847" s="68"/>
      <c r="P847" s="68"/>
      <c r="Q847" s="68"/>
      <c r="R847" s="68"/>
      <c r="S847" s="68"/>
    </row>
    <row r="848" spans="1:19" ht="15.75" customHeight="1">
      <c r="A848" s="69"/>
      <c r="B848" s="68"/>
      <c r="D848" s="68"/>
      <c r="E848" s="69"/>
      <c r="K848" s="282"/>
      <c r="L848" s="195"/>
      <c r="M848" s="282"/>
      <c r="O848" s="68"/>
      <c r="P848" s="68"/>
      <c r="Q848" s="68"/>
      <c r="R848" s="68"/>
      <c r="S848" s="68"/>
    </row>
    <row r="849" spans="1:19" ht="15.75" customHeight="1">
      <c r="A849" s="69"/>
      <c r="B849" s="68"/>
      <c r="D849" s="68"/>
      <c r="E849" s="69"/>
      <c r="K849" s="282"/>
      <c r="L849" s="195"/>
      <c r="M849" s="282"/>
      <c r="O849" s="68"/>
      <c r="P849" s="68"/>
      <c r="Q849" s="68"/>
      <c r="R849" s="68"/>
      <c r="S849" s="68"/>
    </row>
    <row r="850" spans="1:19" ht="15.75" customHeight="1">
      <c r="A850" s="69"/>
      <c r="B850" s="68"/>
      <c r="D850" s="68"/>
      <c r="E850" s="69"/>
      <c r="K850" s="282"/>
      <c r="L850" s="195"/>
      <c r="M850" s="282"/>
      <c r="O850" s="68"/>
      <c r="P850" s="68"/>
      <c r="Q850" s="68"/>
      <c r="R850" s="68"/>
      <c r="S850" s="68"/>
    </row>
    <row r="851" spans="1:19" ht="15.75" customHeight="1">
      <c r="A851" s="69"/>
      <c r="B851" s="68"/>
      <c r="D851" s="68"/>
      <c r="E851" s="69"/>
      <c r="K851" s="282"/>
      <c r="L851" s="195"/>
      <c r="M851" s="282"/>
      <c r="O851" s="68"/>
      <c r="P851" s="68"/>
      <c r="Q851" s="68"/>
      <c r="R851" s="68"/>
      <c r="S851" s="68"/>
    </row>
    <row r="852" spans="1:19" ht="15.75" customHeight="1">
      <c r="A852" s="69"/>
      <c r="B852" s="68"/>
      <c r="D852" s="68"/>
      <c r="E852" s="69"/>
      <c r="K852" s="282"/>
      <c r="L852" s="195"/>
      <c r="M852" s="282"/>
      <c r="O852" s="68"/>
      <c r="P852" s="68"/>
      <c r="Q852" s="68"/>
      <c r="R852" s="68"/>
      <c r="S852" s="68"/>
    </row>
    <row r="853" spans="1:19" ht="15.75" customHeight="1">
      <c r="A853" s="69"/>
      <c r="B853" s="68"/>
      <c r="D853" s="68"/>
      <c r="E853" s="69"/>
      <c r="K853" s="282"/>
      <c r="L853" s="195"/>
      <c r="M853" s="282"/>
      <c r="O853" s="68"/>
      <c r="P853" s="68"/>
      <c r="Q853" s="68"/>
      <c r="R853" s="68"/>
      <c r="S853" s="68"/>
    </row>
    <row r="854" spans="1:19" ht="15.75" customHeight="1">
      <c r="A854" s="69"/>
      <c r="B854" s="68"/>
      <c r="D854" s="68"/>
      <c r="E854" s="69"/>
      <c r="K854" s="282"/>
      <c r="L854" s="195"/>
      <c r="M854" s="282"/>
      <c r="O854" s="68"/>
      <c r="P854" s="68"/>
      <c r="Q854" s="68"/>
      <c r="R854" s="68"/>
      <c r="S854" s="68"/>
    </row>
    <row r="855" spans="1:19" ht="15.75" customHeight="1">
      <c r="A855" s="69"/>
      <c r="B855" s="68"/>
      <c r="D855" s="68"/>
      <c r="E855" s="69"/>
      <c r="K855" s="282"/>
      <c r="L855" s="195"/>
      <c r="M855" s="282"/>
      <c r="O855" s="68"/>
      <c r="P855" s="68"/>
      <c r="Q855" s="68"/>
      <c r="R855" s="68"/>
      <c r="S855" s="68"/>
    </row>
    <row r="856" spans="1:19" ht="15.75" customHeight="1">
      <c r="A856" s="69"/>
      <c r="B856" s="68"/>
      <c r="D856" s="68"/>
      <c r="E856" s="69"/>
      <c r="K856" s="282"/>
      <c r="L856" s="195"/>
      <c r="M856" s="282"/>
      <c r="O856" s="68"/>
      <c r="P856" s="68"/>
      <c r="Q856" s="68"/>
      <c r="R856" s="68"/>
      <c r="S856" s="68"/>
    </row>
    <row r="857" spans="1:19" ht="15.75" customHeight="1">
      <c r="A857" s="69"/>
      <c r="B857" s="68"/>
      <c r="D857" s="68"/>
      <c r="E857" s="69"/>
      <c r="K857" s="282"/>
      <c r="L857" s="195"/>
      <c r="M857" s="282"/>
      <c r="O857" s="68"/>
      <c r="P857" s="68"/>
      <c r="Q857" s="68"/>
      <c r="R857" s="68"/>
      <c r="S857" s="68"/>
    </row>
    <row r="858" spans="1:19" ht="15.75" customHeight="1">
      <c r="A858" s="69"/>
      <c r="B858" s="68"/>
      <c r="D858" s="68"/>
      <c r="E858" s="69"/>
      <c r="K858" s="282"/>
      <c r="L858" s="195"/>
      <c r="M858" s="282"/>
      <c r="O858" s="68"/>
      <c r="P858" s="68"/>
      <c r="Q858" s="68"/>
      <c r="R858" s="68"/>
      <c r="S858" s="68"/>
    </row>
    <row r="859" spans="1:19" ht="15.75" customHeight="1">
      <c r="A859" s="69"/>
      <c r="B859" s="68"/>
      <c r="D859" s="68"/>
      <c r="E859" s="69"/>
      <c r="K859" s="282"/>
      <c r="L859" s="195"/>
      <c r="M859" s="282"/>
      <c r="O859" s="68"/>
      <c r="P859" s="68"/>
      <c r="Q859" s="68"/>
      <c r="R859" s="68"/>
      <c r="S859" s="68"/>
    </row>
    <row r="860" spans="1:19" ht="15.75" customHeight="1">
      <c r="A860" s="69"/>
      <c r="B860" s="68"/>
      <c r="D860" s="68"/>
      <c r="E860" s="69"/>
      <c r="K860" s="282"/>
      <c r="L860" s="195"/>
      <c r="M860" s="282"/>
      <c r="O860" s="68"/>
      <c r="P860" s="68"/>
      <c r="Q860" s="68"/>
      <c r="R860" s="68"/>
      <c r="S860" s="68"/>
    </row>
    <row r="861" spans="1:19" ht="15.75" customHeight="1">
      <c r="A861" s="69"/>
      <c r="B861" s="68"/>
      <c r="D861" s="68"/>
      <c r="E861" s="69"/>
      <c r="K861" s="282"/>
      <c r="L861" s="195"/>
      <c r="M861" s="282"/>
      <c r="O861" s="68"/>
      <c r="P861" s="68"/>
      <c r="Q861" s="68"/>
      <c r="R861" s="68"/>
      <c r="S861" s="68"/>
    </row>
    <row r="862" spans="1:19" ht="15.75" customHeight="1">
      <c r="A862" s="69"/>
      <c r="B862" s="68"/>
      <c r="D862" s="68"/>
      <c r="E862" s="69"/>
      <c r="K862" s="282"/>
      <c r="L862" s="195"/>
      <c r="M862" s="282"/>
      <c r="O862" s="68"/>
      <c r="P862" s="68"/>
      <c r="Q862" s="68"/>
      <c r="R862" s="68"/>
      <c r="S862" s="68"/>
    </row>
    <row r="863" spans="1:19" ht="15.75" customHeight="1">
      <c r="A863" s="69"/>
      <c r="B863" s="68"/>
      <c r="D863" s="68"/>
      <c r="E863" s="69"/>
      <c r="K863" s="282"/>
      <c r="L863" s="195"/>
      <c r="M863" s="282"/>
      <c r="O863" s="68"/>
      <c r="P863" s="68"/>
      <c r="Q863" s="68"/>
      <c r="R863" s="68"/>
      <c r="S863" s="68"/>
    </row>
    <row r="864" spans="1:19" ht="15.75" customHeight="1">
      <c r="A864" s="69"/>
      <c r="B864" s="68"/>
      <c r="D864" s="68"/>
      <c r="E864" s="69"/>
      <c r="K864" s="282"/>
      <c r="L864" s="195"/>
      <c r="M864" s="282"/>
      <c r="O864" s="68"/>
      <c r="P864" s="68"/>
      <c r="Q864" s="68"/>
      <c r="R864" s="68"/>
      <c r="S864" s="68"/>
    </row>
    <row r="865" spans="1:19" ht="15.75" customHeight="1">
      <c r="A865" s="69"/>
      <c r="B865" s="68"/>
      <c r="D865" s="68"/>
      <c r="E865" s="69"/>
      <c r="K865" s="282"/>
      <c r="L865" s="195"/>
      <c r="M865" s="282"/>
      <c r="O865" s="68"/>
      <c r="P865" s="68"/>
      <c r="Q865" s="68"/>
      <c r="R865" s="68"/>
      <c r="S865" s="68"/>
    </row>
    <row r="866" spans="1:19" ht="15.75" customHeight="1">
      <c r="A866" s="69"/>
      <c r="B866" s="68"/>
      <c r="D866" s="68"/>
      <c r="E866" s="69"/>
      <c r="K866" s="282"/>
      <c r="L866" s="195"/>
      <c r="M866" s="282"/>
      <c r="O866" s="68"/>
      <c r="P866" s="68"/>
      <c r="Q866" s="68"/>
      <c r="R866" s="68"/>
      <c r="S866" s="68"/>
    </row>
    <row r="867" spans="1:19" ht="15.75" customHeight="1">
      <c r="A867" s="69"/>
      <c r="B867" s="68"/>
      <c r="D867" s="68"/>
      <c r="E867" s="69"/>
      <c r="K867" s="282"/>
      <c r="L867" s="195"/>
      <c r="M867" s="282"/>
      <c r="O867" s="68"/>
      <c r="P867" s="68"/>
      <c r="Q867" s="68"/>
      <c r="R867" s="68"/>
      <c r="S867" s="68"/>
    </row>
    <row r="868" spans="1:19" ht="15.75" customHeight="1">
      <c r="A868" s="69"/>
      <c r="B868" s="68"/>
      <c r="D868" s="68"/>
      <c r="E868" s="69"/>
      <c r="K868" s="282"/>
      <c r="L868" s="195"/>
      <c r="M868" s="282"/>
      <c r="O868" s="68"/>
      <c r="P868" s="68"/>
      <c r="Q868" s="68"/>
      <c r="R868" s="68"/>
      <c r="S868" s="68"/>
    </row>
    <row r="869" spans="1:19" ht="15.75" customHeight="1">
      <c r="A869" s="69"/>
      <c r="B869" s="68"/>
      <c r="D869" s="68"/>
      <c r="E869" s="69"/>
      <c r="K869" s="282"/>
      <c r="L869" s="195"/>
      <c r="M869" s="282"/>
      <c r="O869" s="68"/>
      <c r="P869" s="68"/>
      <c r="Q869" s="68"/>
      <c r="R869" s="68"/>
      <c r="S869" s="68"/>
    </row>
    <row r="870" spans="1:19" ht="15.75" customHeight="1">
      <c r="A870" s="69"/>
      <c r="B870" s="68"/>
      <c r="D870" s="68"/>
      <c r="E870" s="69"/>
      <c r="K870" s="282"/>
      <c r="L870" s="195"/>
      <c r="M870" s="282"/>
      <c r="O870" s="68"/>
      <c r="P870" s="68"/>
      <c r="Q870" s="68"/>
      <c r="R870" s="68"/>
      <c r="S870" s="68"/>
    </row>
    <row r="871" spans="1:19" ht="15.75" customHeight="1">
      <c r="A871" s="69"/>
      <c r="B871" s="68"/>
      <c r="D871" s="68"/>
      <c r="E871" s="69"/>
      <c r="K871" s="282"/>
      <c r="L871" s="195"/>
      <c r="M871" s="282"/>
      <c r="O871" s="68"/>
      <c r="P871" s="68"/>
      <c r="Q871" s="68"/>
      <c r="R871" s="68"/>
      <c r="S871" s="68"/>
    </row>
    <row r="872" spans="1:19" ht="15.75" customHeight="1">
      <c r="A872" s="69"/>
      <c r="B872" s="68"/>
      <c r="D872" s="68"/>
      <c r="E872" s="69"/>
      <c r="K872" s="282"/>
      <c r="L872" s="195"/>
      <c r="M872" s="282"/>
      <c r="O872" s="68"/>
      <c r="P872" s="68"/>
      <c r="Q872" s="68"/>
      <c r="R872" s="68"/>
      <c r="S872" s="68"/>
    </row>
    <row r="873" spans="1:19" ht="15.75" customHeight="1">
      <c r="A873" s="69"/>
      <c r="B873" s="68"/>
      <c r="D873" s="68"/>
      <c r="E873" s="69"/>
      <c r="K873" s="282"/>
      <c r="L873" s="195"/>
      <c r="M873" s="282"/>
      <c r="O873" s="68"/>
      <c r="P873" s="68"/>
      <c r="Q873" s="68"/>
      <c r="R873" s="68"/>
      <c r="S873" s="68"/>
    </row>
    <row r="874" spans="1:19" ht="15.75" customHeight="1">
      <c r="A874" s="69"/>
      <c r="B874" s="68"/>
      <c r="D874" s="68"/>
      <c r="E874" s="69"/>
      <c r="K874" s="282"/>
      <c r="L874" s="195"/>
      <c r="M874" s="282"/>
      <c r="O874" s="68"/>
      <c r="P874" s="68"/>
      <c r="Q874" s="68"/>
      <c r="R874" s="68"/>
      <c r="S874" s="68"/>
    </row>
    <row r="875" spans="1:19" ht="15.75" customHeight="1">
      <c r="A875" s="69"/>
      <c r="B875" s="68"/>
      <c r="D875" s="68"/>
      <c r="E875" s="69"/>
      <c r="K875" s="282"/>
      <c r="L875" s="195"/>
      <c r="M875" s="282"/>
      <c r="O875" s="68"/>
      <c r="P875" s="68"/>
      <c r="Q875" s="68"/>
      <c r="R875" s="68"/>
      <c r="S875" s="68"/>
    </row>
    <row r="876" spans="1:19" ht="15.75" customHeight="1">
      <c r="A876" s="69"/>
      <c r="B876" s="68"/>
      <c r="D876" s="68"/>
      <c r="E876" s="69"/>
      <c r="K876" s="282"/>
      <c r="L876" s="195"/>
      <c r="M876" s="282"/>
      <c r="O876" s="68"/>
      <c r="P876" s="68"/>
      <c r="Q876" s="68"/>
      <c r="R876" s="68"/>
      <c r="S876" s="68"/>
    </row>
    <row r="877" spans="1:19" ht="15.75" customHeight="1">
      <c r="A877" s="69"/>
      <c r="B877" s="68"/>
      <c r="D877" s="68"/>
      <c r="E877" s="69"/>
      <c r="K877" s="282"/>
      <c r="L877" s="195"/>
      <c r="M877" s="282"/>
      <c r="O877" s="68"/>
      <c r="P877" s="68"/>
      <c r="Q877" s="68"/>
      <c r="R877" s="68"/>
      <c r="S877" s="68"/>
    </row>
    <row r="878" spans="1:19" ht="15.75" customHeight="1">
      <c r="A878" s="69"/>
      <c r="B878" s="68"/>
      <c r="D878" s="68"/>
      <c r="E878" s="69"/>
      <c r="K878" s="282"/>
      <c r="L878" s="195"/>
      <c r="M878" s="282"/>
      <c r="O878" s="68"/>
      <c r="P878" s="68"/>
      <c r="Q878" s="68"/>
      <c r="R878" s="68"/>
      <c r="S878" s="68"/>
    </row>
    <row r="879" spans="1:19" ht="15.75" customHeight="1">
      <c r="A879" s="69"/>
      <c r="B879" s="68"/>
      <c r="D879" s="68"/>
      <c r="E879" s="69"/>
      <c r="K879" s="282"/>
      <c r="L879" s="195"/>
      <c r="M879" s="282"/>
      <c r="O879" s="68"/>
      <c r="P879" s="68"/>
      <c r="Q879" s="68"/>
      <c r="R879" s="68"/>
      <c r="S879" s="68"/>
    </row>
    <row r="880" spans="1:19" ht="15.75" customHeight="1">
      <c r="A880" s="69"/>
      <c r="B880" s="68"/>
      <c r="D880" s="68"/>
      <c r="E880" s="69"/>
      <c r="K880" s="282"/>
      <c r="L880" s="195"/>
      <c r="M880" s="282"/>
      <c r="O880" s="68"/>
      <c r="P880" s="68"/>
      <c r="Q880" s="68"/>
      <c r="R880" s="68"/>
      <c r="S880" s="68"/>
    </row>
    <row r="881" spans="1:19" ht="15.75" customHeight="1">
      <c r="A881" s="69"/>
      <c r="B881" s="68"/>
      <c r="D881" s="68"/>
      <c r="E881" s="69"/>
      <c r="K881" s="282"/>
      <c r="L881" s="195"/>
      <c r="M881" s="282"/>
      <c r="O881" s="68"/>
      <c r="P881" s="68"/>
      <c r="Q881" s="68"/>
      <c r="R881" s="68"/>
      <c r="S881" s="68"/>
    </row>
    <row r="882" spans="1:19" ht="15.75" customHeight="1">
      <c r="A882" s="69"/>
      <c r="B882" s="68"/>
      <c r="D882" s="68"/>
      <c r="E882" s="69"/>
      <c r="K882" s="282"/>
      <c r="L882" s="195"/>
      <c r="M882" s="282"/>
      <c r="O882" s="68"/>
      <c r="P882" s="68"/>
      <c r="Q882" s="68"/>
      <c r="R882" s="68"/>
      <c r="S882" s="68"/>
    </row>
    <row r="883" spans="1:19" ht="15.75" customHeight="1">
      <c r="A883" s="69"/>
      <c r="B883" s="68"/>
      <c r="D883" s="68"/>
      <c r="E883" s="69"/>
      <c r="K883" s="282"/>
      <c r="L883" s="195"/>
      <c r="M883" s="282"/>
      <c r="O883" s="68"/>
      <c r="P883" s="68"/>
      <c r="Q883" s="68"/>
      <c r="R883" s="68"/>
      <c r="S883" s="68"/>
    </row>
    <row r="884" spans="1:19" ht="15.75" customHeight="1">
      <c r="A884" s="69"/>
      <c r="B884" s="68"/>
      <c r="D884" s="68"/>
      <c r="E884" s="69"/>
      <c r="K884" s="282"/>
      <c r="L884" s="195"/>
      <c r="M884" s="282"/>
      <c r="O884" s="68"/>
      <c r="P884" s="68"/>
      <c r="Q884" s="68"/>
      <c r="R884" s="68"/>
      <c r="S884" s="68"/>
    </row>
    <row r="885" spans="1:19" ht="15.75" customHeight="1">
      <c r="A885" s="69"/>
      <c r="B885" s="68"/>
      <c r="D885" s="68"/>
      <c r="E885" s="69"/>
      <c r="K885" s="282"/>
      <c r="L885" s="195"/>
      <c r="M885" s="282"/>
      <c r="O885" s="68"/>
      <c r="P885" s="68"/>
      <c r="Q885" s="68"/>
      <c r="R885" s="68"/>
      <c r="S885" s="68"/>
    </row>
    <row r="886" spans="1:19" ht="15.75" customHeight="1">
      <c r="A886" s="69"/>
      <c r="B886" s="68"/>
      <c r="D886" s="68"/>
      <c r="E886" s="69"/>
      <c r="K886" s="282"/>
      <c r="L886" s="195"/>
      <c r="M886" s="282"/>
      <c r="O886" s="68"/>
      <c r="P886" s="68"/>
      <c r="Q886" s="68"/>
      <c r="R886" s="68"/>
      <c r="S886" s="68"/>
    </row>
    <row r="887" spans="1:19" ht="15.75" customHeight="1">
      <c r="A887" s="69"/>
      <c r="B887" s="68"/>
      <c r="D887" s="68"/>
      <c r="E887" s="69"/>
      <c r="K887" s="282"/>
      <c r="L887" s="195"/>
      <c r="M887" s="282"/>
      <c r="O887" s="68"/>
      <c r="P887" s="68"/>
      <c r="Q887" s="68"/>
      <c r="R887" s="68"/>
      <c r="S887" s="68"/>
    </row>
    <row r="888" spans="1:19" ht="15.75" customHeight="1">
      <c r="A888" s="69"/>
      <c r="B888" s="68"/>
      <c r="D888" s="68"/>
      <c r="E888" s="69"/>
      <c r="K888" s="282"/>
      <c r="L888" s="195"/>
      <c r="M888" s="282"/>
      <c r="O888" s="68"/>
      <c r="P888" s="68"/>
      <c r="Q888" s="68"/>
      <c r="R888" s="68"/>
      <c r="S888" s="68"/>
    </row>
    <row r="889" spans="1:19" ht="15.75" customHeight="1">
      <c r="A889" s="69"/>
      <c r="B889" s="68"/>
      <c r="D889" s="68"/>
      <c r="E889" s="69"/>
      <c r="K889" s="282"/>
      <c r="L889" s="195"/>
      <c r="M889" s="282"/>
      <c r="O889" s="68"/>
      <c r="P889" s="68"/>
      <c r="Q889" s="68"/>
      <c r="R889" s="68"/>
      <c r="S889" s="68"/>
    </row>
    <row r="890" spans="1:19" ht="15.75" customHeight="1">
      <c r="A890" s="69"/>
      <c r="B890" s="68"/>
      <c r="D890" s="68"/>
      <c r="E890" s="69"/>
      <c r="K890" s="282"/>
      <c r="L890" s="195"/>
      <c r="M890" s="282"/>
      <c r="O890" s="68"/>
      <c r="P890" s="68"/>
      <c r="Q890" s="68"/>
      <c r="R890" s="68"/>
      <c r="S890" s="68"/>
    </row>
    <row r="891" spans="1:19" ht="15.75" customHeight="1">
      <c r="A891" s="69"/>
      <c r="B891" s="68"/>
      <c r="D891" s="68"/>
      <c r="E891" s="69"/>
      <c r="K891" s="282"/>
      <c r="L891" s="195"/>
      <c r="M891" s="282"/>
      <c r="O891" s="68"/>
      <c r="P891" s="68"/>
      <c r="Q891" s="68"/>
      <c r="R891" s="68"/>
      <c r="S891" s="68"/>
    </row>
    <row r="892" spans="1:19" ht="15.75" customHeight="1">
      <c r="A892" s="69"/>
      <c r="B892" s="68"/>
      <c r="D892" s="68"/>
      <c r="E892" s="69"/>
      <c r="K892" s="282"/>
      <c r="L892" s="195"/>
      <c r="M892" s="282"/>
      <c r="O892" s="68"/>
      <c r="P892" s="68"/>
      <c r="Q892" s="68"/>
      <c r="R892" s="68"/>
      <c r="S892" s="68"/>
    </row>
    <row r="893" spans="1:19" ht="15.75" customHeight="1">
      <c r="A893" s="69"/>
      <c r="B893" s="68"/>
      <c r="D893" s="68"/>
      <c r="E893" s="69"/>
      <c r="K893" s="282"/>
      <c r="L893" s="195"/>
      <c r="M893" s="282"/>
      <c r="O893" s="68"/>
      <c r="P893" s="68"/>
      <c r="Q893" s="68"/>
      <c r="R893" s="68"/>
      <c r="S893" s="68"/>
    </row>
    <row r="894" spans="1:19" ht="15.75" customHeight="1">
      <c r="A894" s="69"/>
      <c r="B894" s="68"/>
      <c r="D894" s="68"/>
      <c r="E894" s="69"/>
      <c r="K894" s="282"/>
      <c r="L894" s="195"/>
      <c r="M894" s="282"/>
      <c r="O894" s="68"/>
      <c r="P894" s="68"/>
      <c r="Q894" s="68"/>
      <c r="R894" s="68"/>
      <c r="S894" s="68"/>
    </row>
    <row r="895" spans="1:19" ht="15.75" customHeight="1">
      <c r="A895" s="69"/>
      <c r="B895" s="68"/>
      <c r="D895" s="68"/>
      <c r="E895" s="69"/>
      <c r="K895" s="282"/>
      <c r="L895" s="195"/>
      <c r="M895" s="282"/>
      <c r="O895" s="68"/>
      <c r="P895" s="68"/>
      <c r="Q895" s="68"/>
      <c r="R895" s="68"/>
      <c r="S895" s="68"/>
    </row>
    <row r="896" spans="1:19" ht="15.75" customHeight="1">
      <c r="A896" s="69"/>
      <c r="B896" s="68"/>
      <c r="D896" s="68"/>
      <c r="E896" s="69"/>
      <c r="K896" s="282"/>
      <c r="L896" s="195"/>
      <c r="M896" s="282"/>
      <c r="O896" s="68"/>
      <c r="P896" s="68"/>
      <c r="Q896" s="68"/>
      <c r="R896" s="68"/>
      <c r="S896" s="68"/>
    </row>
    <row r="897" spans="1:19" ht="15.75" customHeight="1">
      <c r="A897" s="69"/>
      <c r="B897" s="68"/>
      <c r="D897" s="68"/>
      <c r="E897" s="69"/>
      <c r="K897" s="282"/>
      <c r="L897" s="195"/>
      <c r="M897" s="282"/>
      <c r="O897" s="68"/>
      <c r="P897" s="68"/>
      <c r="Q897" s="68"/>
      <c r="R897" s="68"/>
      <c r="S897" s="68"/>
    </row>
    <row r="898" spans="1:19" ht="15.75" customHeight="1">
      <c r="A898" s="69"/>
      <c r="B898" s="68"/>
      <c r="D898" s="68"/>
      <c r="E898" s="69"/>
      <c r="K898" s="282"/>
      <c r="L898" s="195"/>
      <c r="M898" s="282"/>
      <c r="O898" s="68"/>
      <c r="P898" s="68"/>
      <c r="Q898" s="68"/>
      <c r="R898" s="68"/>
      <c r="S898" s="68"/>
    </row>
    <row r="899" spans="1:19" ht="15.75" customHeight="1">
      <c r="A899" s="69"/>
      <c r="B899" s="68"/>
      <c r="D899" s="68"/>
      <c r="E899" s="69"/>
      <c r="K899" s="282"/>
      <c r="L899" s="195"/>
      <c r="M899" s="282"/>
      <c r="O899" s="68"/>
      <c r="P899" s="68"/>
      <c r="Q899" s="68"/>
      <c r="R899" s="68"/>
      <c r="S899" s="68"/>
    </row>
    <row r="900" spans="1:19" ht="15.75" customHeight="1">
      <c r="A900" s="69"/>
      <c r="B900" s="68"/>
      <c r="D900" s="68"/>
      <c r="E900" s="69"/>
      <c r="K900" s="282"/>
      <c r="L900" s="195"/>
      <c r="M900" s="282"/>
      <c r="O900" s="68"/>
      <c r="P900" s="68"/>
      <c r="Q900" s="68"/>
      <c r="R900" s="68"/>
      <c r="S900" s="68"/>
    </row>
    <row r="901" spans="1:19" ht="15.75" customHeight="1">
      <c r="A901" s="69"/>
      <c r="B901" s="68"/>
      <c r="D901" s="68"/>
      <c r="E901" s="69"/>
      <c r="K901" s="282"/>
      <c r="L901" s="195"/>
      <c r="M901" s="282"/>
      <c r="O901" s="68"/>
      <c r="P901" s="68"/>
      <c r="Q901" s="68"/>
      <c r="R901" s="68"/>
      <c r="S901" s="68"/>
    </row>
    <row r="902" spans="1:19" ht="15.75" customHeight="1">
      <c r="A902" s="69"/>
      <c r="B902" s="68"/>
      <c r="D902" s="68"/>
      <c r="E902" s="69"/>
      <c r="K902" s="282"/>
      <c r="L902" s="195"/>
      <c r="M902" s="282"/>
      <c r="O902" s="68"/>
      <c r="P902" s="68"/>
      <c r="Q902" s="68"/>
      <c r="R902" s="68"/>
      <c r="S902" s="68"/>
    </row>
    <row r="903" spans="1:19" ht="15.75" customHeight="1">
      <c r="A903" s="69"/>
      <c r="B903" s="68"/>
      <c r="D903" s="68"/>
      <c r="E903" s="69"/>
      <c r="K903" s="282"/>
      <c r="L903" s="195"/>
      <c r="M903" s="282"/>
      <c r="O903" s="68"/>
      <c r="P903" s="68"/>
      <c r="Q903" s="68"/>
      <c r="R903" s="68"/>
      <c r="S903" s="68"/>
    </row>
    <row r="904" spans="1:19" ht="15.75" customHeight="1">
      <c r="A904" s="69"/>
      <c r="B904" s="68"/>
      <c r="D904" s="68"/>
      <c r="E904" s="69"/>
      <c r="K904" s="282"/>
      <c r="L904" s="195"/>
      <c r="M904" s="282"/>
      <c r="O904" s="68"/>
      <c r="P904" s="68"/>
      <c r="Q904" s="68"/>
      <c r="R904" s="68"/>
      <c r="S904" s="68"/>
    </row>
    <row r="905" spans="1:19" ht="15.75" customHeight="1">
      <c r="A905" s="69"/>
      <c r="B905" s="68"/>
      <c r="D905" s="68"/>
      <c r="E905" s="69"/>
      <c r="K905" s="282"/>
      <c r="L905" s="195"/>
      <c r="M905" s="282"/>
      <c r="O905" s="68"/>
      <c r="P905" s="68"/>
      <c r="Q905" s="68"/>
      <c r="R905" s="68"/>
      <c r="S905" s="68"/>
    </row>
    <row r="906" spans="1:19" ht="15.75" customHeight="1">
      <c r="A906" s="69"/>
      <c r="B906" s="68"/>
      <c r="D906" s="68"/>
      <c r="E906" s="69"/>
      <c r="K906" s="282"/>
      <c r="L906" s="195"/>
      <c r="M906" s="282"/>
      <c r="O906" s="68"/>
      <c r="P906" s="68"/>
      <c r="Q906" s="68"/>
      <c r="R906" s="68"/>
      <c r="S906" s="68"/>
    </row>
    <row r="907" spans="1:19" ht="15.75" customHeight="1">
      <c r="A907" s="69"/>
      <c r="B907" s="68"/>
      <c r="D907" s="68"/>
      <c r="E907" s="69"/>
      <c r="K907" s="282"/>
      <c r="L907" s="195"/>
      <c r="M907" s="282"/>
      <c r="O907" s="68"/>
      <c r="P907" s="68"/>
      <c r="Q907" s="68"/>
      <c r="R907" s="68"/>
      <c r="S907" s="68"/>
    </row>
    <row r="908" spans="1:19" ht="15.75" customHeight="1">
      <c r="A908" s="69"/>
      <c r="B908" s="68"/>
      <c r="D908" s="68"/>
      <c r="E908" s="69"/>
      <c r="K908" s="282"/>
      <c r="L908" s="195"/>
      <c r="M908" s="282"/>
      <c r="O908" s="68"/>
      <c r="P908" s="68"/>
      <c r="Q908" s="68"/>
      <c r="R908" s="68"/>
      <c r="S908" s="68"/>
    </row>
    <row r="909" spans="1:19" ht="15.75" customHeight="1">
      <c r="A909" s="69"/>
      <c r="B909" s="68"/>
      <c r="D909" s="68"/>
      <c r="E909" s="69"/>
      <c r="K909" s="282"/>
      <c r="L909" s="195"/>
      <c r="M909" s="282"/>
      <c r="O909" s="68"/>
      <c r="P909" s="68"/>
      <c r="Q909" s="68"/>
      <c r="R909" s="68"/>
      <c r="S909" s="68"/>
    </row>
    <row r="910" spans="1:19" ht="15.75" customHeight="1">
      <c r="A910" s="69"/>
      <c r="B910" s="68"/>
      <c r="D910" s="68"/>
      <c r="E910" s="69"/>
      <c r="K910" s="282"/>
      <c r="L910" s="195"/>
      <c r="M910" s="282"/>
      <c r="O910" s="68"/>
      <c r="P910" s="68"/>
      <c r="Q910" s="68"/>
      <c r="R910" s="68"/>
      <c r="S910" s="68"/>
    </row>
    <row r="911" spans="1:19" ht="15.75" customHeight="1">
      <c r="A911" s="69"/>
      <c r="B911" s="68"/>
      <c r="D911" s="68"/>
      <c r="E911" s="69"/>
      <c r="K911" s="282"/>
      <c r="L911" s="195"/>
      <c r="M911" s="282"/>
      <c r="O911" s="68"/>
      <c r="P911" s="68"/>
      <c r="Q911" s="68"/>
      <c r="R911" s="68"/>
      <c r="S911" s="68"/>
    </row>
    <row r="912" spans="1:19" ht="15.75" customHeight="1">
      <c r="A912" s="69"/>
      <c r="B912" s="68"/>
      <c r="D912" s="68"/>
      <c r="E912" s="69"/>
      <c r="K912" s="282"/>
      <c r="L912" s="195"/>
      <c r="M912" s="282"/>
      <c r="O912" s="68"/>
      <c r="P912" s="68"/>
      <c r="Q912" s="68"/>
      <c r="R912" s="68"/>
      <c r="S912" s="68"/>
    </row>
    <row r="913" spans="1:19" ht="15.75" customHeight="1">
      <c r="A913" s="69"/>
      <c r="B913" s="68"/>
      <c r="D913" s="68"/>
      <c r="E913" s="69"/>
      <c r="K913" s="282"/>
      <c r="L913" s="195"/>
      <c r="M913" s="282"/>
      <c r="O913" s="68"/>
      <c r="P913" s="68"/>
      <c r="Q913" s="68"/>
      <c r="R913" s="68"/>
      <c r="S913" s="68"/>
    </row>
    <row r="914" spans="1:19" ht="15.75" customHeight="1">
      <c r="A914" s="69"/>
      <c r="B914" s="68"/>
      <c r="D914" s="68"/>
      <c r="E914" s="69"/>
      <c r="K914" s="282"/>
      <c r="L914" s="195"/>
      <c r="M914" s="282"/>
      <c r="O914" s="68"/>
      <c r="P914" s="68"/>
      <c r="Q914" s="68"/>
      <c r="R914" s="68"/>
      <c r="S914" s="68"/>
    </row>
    <row r="915" spans="1:19" ht="15.75" customHeight="1">
      <c r="A915" s="69"/>
      <c r="B915" s="68"/>
      <c r="D915" s="68"/>
      <c r="E915" s="69"/>
      <c r="K915" s="282"/>
      <c r="L915" s="195"/>
      <c r="M915" s="282"/>
      <c r="O915" s="68"/>
      <c r="P915" s="68"/>
      <c r="Q915" s="68"/>
      <c r="R915" s="68"/>
      <c r="S915" s="68"/>
    </row>
    <row r="916" spans="1:19" ht="15.75" customHeight="1">
      <c r="A916" s="69"/>
      <c r="B916" s="68"/>
      <c r="D916" s="68"/>
      <c r="E916" s="69"/>
      <c r="K916" s="282"/>
      <c r="L916" s="195"/>
      <c r="M916" s="282"/>
      <c r="O916" s="68"/>
      <c r="P916" s="68"/>
      <c r="Q916" s="68"/>
      <c r="R916" s="68"/>
      <c r="S916" s="68"/>
    </row>
    <row r="917" spans="1:19" ht="15.75" customHeight="1">
      <c r="A917" s="69"/>
      <c r="B917" s="68"/>
      <c r="D917" s="68"/>
      <c r="E917" s="69"/>
      <c r="K917" s="282"/>
      <c r="L917" s="195"/>
      <c r="M917" s="282"/>
      <c r="O917" s="68"/>
      <c r="P917" s="68"/>
      <c r="Q917" s="68"/>
      <c r="R917" s="68"/>
      <c r="S917" s="68"/>
    </row>
    <row r="918" spans="1:19" ht="15.75" customHeight="1">
      <c r="A918" s="69"/>
      <c r="B918" s="68"/>
      <c r="D918" s="68"/>
      <c r="E918" s="69"/>
      <c r="K918" s="282"/>
      <c r="L918" s="195"/>
      <c r="M918" s="282"/>
      <c r="O918" s="68"/>
      <c r="P918" s="68"/>
      <c r="Q918" s="68"/>
      <c r="R918" s="68"/>
      <c r="S918" s="68"/>
    </row>
    <row r="919" spans="1:19" ht="15.75" customHeight="1">
      <c r="A919" s="69"/>
      <c r="B919" s="68"/>
      <c r="D919" s="68"/>
      <c r="E919" s="69"/>
      <c r="K919" s="282"/>
      <c r="L919" s="195"/>
      <c r="M919" s="282"/>
      <c r="O919" s="68"/>
      <c r="P919" s="68"/>
      <c r="Q919" s="68"/>
      <c r="R919" s="68"/>
      <c r="S919" s="68"/>
    </row>
    <row r="920" spans="1:19" ht="15.75" customHeight="1">
      <c r="A920" s="69"/>
      <c r="B920" s="68"/>
      <c r="D920" s="68"/>
      <c r="E920" s="69"/>
      <c r="K920" s="282"/>
      <c r="L920" s="195"/>
      <c r="M920" s="282"/>
      <c r="O920" s="68"/>
      <c r="P920" s="68"/>
      <c r="Q920" s="68"/>
      <c r="R920" s="68"/>
      <c r="S920" s="68"/>
    </row>
    <row r="921" spans="1:19" ht="15.75" customHeight="1">
      <c r="A921" s="69"/>
      <c r="B921" s="68"/>
      <c r="D921" s="68"/>
      <c r="E921" s="69"/>
      <c r="K921" s="282"/>
      <c r="L921" s="195"/>
      <c r="M921" s="282"/>
      <c r="O921" s="68"/>
      <c r="P921" s="68"/>
      <c r="Q921" s="68"/>
      <c r="R921" s="68"/>
      <c r="S921" s="68"/>
    </row>
    <row r="922" spans="1:19" ht="15.75" customHeight="1">
      <c r="A922" s="69"/>
      <c r="B922" s="68"/>
      <c r="D922" s="68"/>
      <c r="E922" s="69"/>
      <c r="K922" s="282"/>
      <c r="L922" s="195"/>
      <c r="M922" s="282"/>
      <c r="O922" s="68"/>
      <c r="P922" s="68"/>
      <c r="Q922" s="68"/>
      <c r="R922" s="68"/>
      <c r="S922" s="68"/>
    </row>
    <row r="923" spans="1:19" ht="15.75" customHeight="1">
      <c r="A923" s="69"/>
      <c r="B923" s="68"/>
      <c r="D923" s="68"/>
      <c r="E923" s="69"/>
      <c r="K923" s="282"/>
      <c r="L923" s="195"/>
      <c r="M923" s="282"/>
      <c r="O923" s="68"/>
      <c r="P923" s="68"/>
      <c r="Q923" s="68"/>
      <c r="R923" s="68"/>
      <c r="S923" s="68"/>
    </row>
    <row r="924" spans="1:19" ht="15.75" customHeight="1">
      <c r="A924" s="69"/>
      <c r="B924" s="68"/>
      <c r="D924" s="68"/>
      <c r="E924" s="69"/>
      <c r="K924" s="282"/>
      <c r="L924" s="195"/>
      <c r="M924" s="282"/>
      <c r="O924" s="68"/>
      <c r="P924" s="68"/>
      <c r="Q924" s="68"/>
      <c r="R924" s="68"/>
      <c r="S924" s="68"/>
    </row>
    <row r="925" spans="1:19" ht="15.75" customHeight="1">
      <c r="A925" s="69"/>
      <c r="B925" s="68"/>
      <c r="D925" s="68"/>
      <c r="E925" s="69"/>
      <c r="K925" s="282"/>
      <c r="L925" s="195"/>
      <c r="M925" s="282"/>
      <c r="O925" s="68"/>
      <c r="P925" s="68"/>
      <c r="Q925" s="68"/>
      <c r="R925" s="68"/>
      <c r="S925" s="68"/>
    </row>
    <row r="926" spans="1:19" ht="15.75" customHeight="1">
      <c r="A926" s="69"/>
      <c r="B926" s="68"/>
      <c r="D926" s="68"/>
      <c r="E926" s="69"/>
      <c r="K926" s="282"/>
      <c r="L926" s="195"/>
      <c r="M926" s="282"/>
      <c r="O926" s="68"/>
      <c r="P926" s="68"/>
      <c r="Q926" s="68"/>
      <c r="R926" s="68"/>
      <c r="S926" s="68"/>
    </row>
    <row r="927" spans="1:19" ht="15.75" customHeight="1">
      <c r="A927" s="69"/>
      <c r="B927" s="68"/>
      <c r="D927" s="68"/>
      <c r="E927" s="69"/>
      <c r="K927" s="282"/>
      <c r="L927" s="195"/>
      <c r="M927" s="282"/>
      <c r="O927" s="68"/>
      <c r="P927" s="68"/>
      <c r="Q927" s="68"/>
      <c r="R927" s="68"/>
      <c r="S927" s="68"/>
    </row>
    <row r="928" spans="1:19" ht="15.75" customHeight="1">
      <c r="A928" s="69"/>
      <c r="B928" s="68"/>
      <c r="D928" s="68"/>
      <c r="E928" s="69"/>
      <c r="K928" s="282"/>
      <c r="L928" s="195"/>
      <c r="M928" s="282"/>
      <c r="O928" s="68"/>
      <c r="P928" s="68"/>
      <c r="Q928" s="68"/>
      <c r="R928" s="68"/>
      <c r="S928" s="68"/>
    </row>
    <row r="929" spans="1:19" ht="15.75" customHeight="1">
      <c r="A929" s="69"/>
      <c r="B929" s="68"/>
      <c r="D929" s="68"/>
      <c r="E929" s="69"/>
      <c r="K929" s="282"/>
      <c r="L929" s="195"/>
      <c r="M929" s="282"/>
      <c r="O929" s="68"/>
      <c r="P929" s="68"/>
      <c r="Q929" s="68"/>
      <c r="R929" s="68"/>
      <c r="S929" s="68"/>
    </row>
    <row r="930" spans="1:19" ht="15.75" customHeight="1">
      <c r="A930" s="69"/>
      <c r="B930" s="68"/>
      <c r="D930" s="68"/>
      <c r="E930" s="69"/>
      <c r="K930" s="282"/>
      <c r="L930" s="195"/>
      <c r="M930" s="282"/>
      <c r="O930" s="68"/>
      <c r="P930" s="68"/>
      <c r="Q930" s="68"/>
      <c r="R930" s="68"/>
      <c r="S930" s="68"/>
    </row>
    <row r="931" spans="1:19" ht="15.75" customHeight="1">
      <c r="A931" s="69"/>
      <c r="B931" s="68"/>
      <c r="D931" s="68"/>
      <c r="E931" s="69"/>
      <c r="K931" s="282"/>
      <c r="L931" s="195"/>
      <c r="M931" s="282"/>
      <c r="O931" s="68"/>
      <c r="P931" s="68"/>
      <c r="Q931" s="68"/>
      <c r="R931" s="68"/>
      <c r="S931" s="68"/>
    </row>
    <row r="932" spans="1:19" ht="15.75" customHeight="1">
      <c r="A932" s="69"/>
      <c r="B932" s="68"/>
      <c r="D932" s="68"/>
      <c r="E932" s="69"/>
      <c r="K932" s="282"/>
      <c r="L932" s="195"/>
      <c r="M932" s="282"/>
      <c r="O932" s="68"/>
      <c r="P932" s="68"/>
      <c r="Q932" s="68"/>
      <c r="R932" s="68"/>
      <c r="S932" s="68"/>
    </row>
    <row r="933" spans="1:19" ht="15.75" customHeight="1">
      <c r="A933" s="69"/>
      <c r="B933" s="68"/>
      <c r="D933" s="68"/>
      <c r="E933" s="69"/>
      <c r="K933" s="282"/>
      <c r="L933" s="195"/>
      <c r="M933" s="282"/>
      <c r="O933" s="68"/>
      <c r="P933" s="68"/>
      <c r="Q933" s="68"/>
      <c r="R933" s="68"/>
      <c r="S933" s="68"/>
    </row>
    <row r="934" spans="1:19" ht="15.75" customHeight="1">
      <c r="A934" s="69"/>
      <c r="B934" s="68"/>
      <c r="D934" s="68"/>
      <c r="E934" s="69"/>
      <c r="K934" s="282"/>
      <c r="L934" s="195"/>
      <c r="M934" s="282"/>
      <c r="O934" s="68"/>
      <c r="P934" s="68"/>
      <c r="Q934" s="68"/>
      <c r="R934" s="68"/>
      <c r="S934" s="68"/>
    </row>
    <row r="935" spans="1:19" ht="15.75" customHeight="1">
      <c r="A935" s="69"/>
      <c r="B935" s="68"/>
      <c r="D935" s="68"/>
      <c r="E935" s="69"/>
      <c r="K935" s="282"/>
      <c r="L935" s="195"/>
      <c r="M935" s="282"/>
      <c r="O935" s="68"/>
      <c r="P935" s="68"/>
      <c r="Q935" s="68"/>
      <c r="R935" s="68"/>
      <c r="S935" s="68"/>
    </row>
    <row r="936" spans="1:19" ht="15.75" customHeight="1">
      <c r="A936" s="69"/>
      <c r="B936" s="68"/>
      <c r="D936" s="68"/>
      <c r="E936" s="69"/>
      <c r="K936" s="282"/>
      <c r="L936" s="195"/>
      <c r="M936" s="282"/>
      <c r="O936" s="68"/>
      <c r="P936" s="68"/>
      <c r="Q936" s="68"/>
      <c r="R936" s="68"/>
      <c r="S936" s="68"/>
    </row>
    <row r="937" spans="1:19" ht="15.75" customHeight="1">
      <c r="A937" s="69"/>
      <c r="B937" s="68"/>
      <c r="D937" s="68"/>
      <c r="E937" s="69"/>
      <c r="K937" s="282"/>
      <c r="L937" s="195"/>
      <c r="M937" s="282"/>
      <c r="O937" s="68"/>
      <c r="P937" s="68"/>
      <c r="Q937" s="68"/>
      <c r="R937" s="68"/>
      <c r="S937" s="68"/>
    </row>
    <row r="938" spans="1:19" ht="15.75" customHeight="1">
      <c r="A938" s="69"/>
      <c r="B938" s="68"/>
      <c r="D938" s="68"/>
      <c r="E938" s="69"/>
      <c r="K938" s="282"/>
      <c r="L938" s="195"/>
      <c r="M938" s="282"/>
      <c r="O938" s="68"/>
      <c r="P938" s="68"/>
      <c r="Q938" s="68"/>
      <c r="R938" s="68"/>
      <c r="S938" s="68"/>
    </row>
    <row r="939" spans="1:19" ht="15.75" customHeight="1">
      <c r="A939" s="69"/>
      <c r="B939" s="68"/>
      <c r="D939" s="68"/>
      <c r="E939" s="69"/>
      <c r="K939" s="282"/>
      <c r="L939" s="195"/>
      <c r="M939" s="282"/>
      <c r="O939" s="68"/>
      <c r="P939" s="68"/>
      <c r="Q939" s="68"/>
      <c r="R939" s="68"/>
      <c r="S939" s="68"/>
    </row>
    <row r="940" spans="1:19" ht="15.75" customHeight="1">
      <c r="A940" s="69"/>
      <c r="B940" s="68"/>
      <c r="D940" s="68"/>
      <c r="E940" s="69"/>
      <c r="K940" s="282"/>
      <c r="L940" s="195"/>
      <c r="M940" s="282"/>
      <c r="O940" s="68"/>
      <c r="P940" s="68"/>
      <c r="Q940" s="68"/>
      <c r="R940" s="68"/>
      <c r="S940" s="68"/>
    </row>
    <row r="941" spans="1:19" ht="15.75" customHeight="1">
      <c r="A941" s="69"/>
      <c r="B941" s="68"/>
      <c r="D941" s="68"/>
      <c r="E941" s="69"/>
      <c r="K941" s="282"/>
      <c r="L941" s="195"/>
      <c r="M941" s="282"/>
      <c r="O941" s="68"/>
      <c r="P941" s="68"/>
      <c r="Q941" s="68"/>
      <c r="R941" s="68"/>
      <c r="S941" s="68"/>
    </row>
    <row r="942" spans="1:19" ht="15.75" customHeight="1">
      <c r="A942" s="69"/>
      <c r="B942" s="68"/>
      <c r="D942" s="68"/>
      <c r="E942" s="69"/>
      <c r="K942" s="282"/>
      <c r="L942" s="195"/>
      <c r="M942" s="282"/>
      <c r="O942" s="68"/>
      <c r="P942" s="68"/>
      <c r="Q942" s="68"/>
      <c r="R942" s="68"/>
      <c r="S942" s="68"/>
    </row>
    <row r="943" spans="1:19" ht="15.75" customHeight="1">
      <c r="A943" s="69"/>
      <c r="B943" s="68"/>
      <c r="D943" s="68"/>
      <c r="E943" s="69"/>
      <c r="K943" s="282"/>
      <c r="L943" s="195"/>
      <c r="M943" s="282"/>
      <c r="O943" s="68"/>
      <c r="P943" s="68"/>
      <c r="Q943" s="68"/>
      <c r="R943" s="68"/>
      <c r="S943" s="68"/>
    </row>
    <row r="944" spans="1:19" ht="15.75" customHeight="1">
      <c r="A944" s="69"/>
      <c r="B944" s="68"/>
      <c r="D944" s="68"/>
      <c r="E944" s="69"/>
      <c r="K944" s="282"/>
      <c r="L944" s="195"/>
      <c r="M944" s="282"/>
      <c r="O944" s="68"/>
      <c r="P944" s="68"/>
      <c r="Q944" s="68"/>
      <c r="R944" s="68"/>
      <c r="S944" s="68"/>
    </row>
    <row r="945" spans="1:19" ht="15.75" customHeight="1">
      <c r="A945" s="69"/>
      <c r="B945" s="68"/>
      <c r="D945" s="68"/>
      <c r="E945" s="69"/>
      <c r="K945" s="282"/>
      <c r="L945" s="195"/>
      <c r="M945" s="282"/>
      <c r="O945" s="68"/>
      <c r="P945" s="68"/>
      <c r="Q945" s="68"/>
      <c r="R945" s="68"/>
      <c r="S945" s="68"/>
    </row>
    <row r="946" spans="1:19" ht="15.75" customHeight="1">
      <c r="A946" s="69"/>
      <c r="B946" s="68"/>
      <c r="D946" s="68"/>
      <c r="E946" s="69"/>
      <c r="K946" s="282"/>
      <c r="L946" s="195"/>
      <c r="M946" s="282"/>
      <c r="O946" s="68"/>
      <c r="P946" s="68"/>
      <c r="Q946" s="68"/>
      <c r="R946" s="68"/>
      <c r="S946" s="68"/>
    </row>
    <row r="947" spans="1:19" ht="15.75" customHeight="1">
      <c r="A947" s="69"/>
      <c r="B947" s="68"/>
      <c r="D947" s="68"/>
      <c r="E947" s="69"/>
      <c r="K947" s="282"/>
      <c r="L947" s="195"/>
      <c r="M947" s="282"/>
      <c r="O947" s="68"/>
      <c r="P947" s="68"/>
      <c r="Q947" s="68"/>
      <c r="R947" s="68"/>
      <c r="S947" s="68"/>
    </row>
    <row r="948" spans="1:19" ht="15.75" customHeight="1">
      <c r="A948" s="69"/>
      <c r="B948" s="68"/>
      <c r="D948" s="68"/>
      <c r="E948" s="69"/>
      <c r="K948" s="282"/>
      <c r="L948" s="195"/>
      <c r="M948" s="282"/>
      <c r="O948" s="68"/>
      <c r="P948" s="68"/>
      <c r="Q948" s="68"/>
      <c r="R948" s="68"/>
      <c r="S948" s="68"/>
    </row>
    <row r="949" spans="1:19" ht="15.75" customHeight="1">
      <c r="A949" s="69"/>
      <c r="B949" s="68"/>
      <c r="D949" s="68"/>
      <c r="E949" s="69"/>
      <c r="K949" s="282"/>
      <c r="L949" s="195"/>
      <c r="M949" s="282"/>
      <c r="O949" s="68"/>
      <c r="P949" s="68"/>
      <c r="Q949" s="68"/>
      <c r="R949" s="68"/>
      <c r="S949" s="68"/>
    </row>
    <row r="950" spans="1:19" ht="15.75" customHeight="1">
      <c r="A950" s="69"/>
      <c r="B950" s="68"/>
      <c r="D950" s="68"/>
      <c r="E950" s="69"/>
      <c r="K950" s="282"/>
      <c r="L950" s="195"/>
      <c r="M950" s="282"/>
      <c r="O950" s="68"/>
      <c r="P950" s="68"/>
      <c r="Q950" s="68"/>
      <c r="R950" s="68"/>
      <c r="S950" s="68"/>
    </row>
    <row r="951" spans="1:19" ht="15.75" customHeight="1">
      <c r="A951" s="69"/>
      <c r="B951" s="68"/>
      <c r="D951" s="68"/>
      <c r="E951" s="69"/>
      <c r="K951" s="282"/>
      <c r="L951" s="195"/>
      <c r="M951" s="282"/>
      <c r="O951" s="68"/>
      <c r="P951" s="68"/>
      <c r="Q951" s="68"/>
      <c r="R951" s="68"/>
      <c r="S951" s="68"/>
    </row>
    <row r="952" spans="1:19" ht="15.75" customHeight="1">
      <c r="A952" s="69"/>
      <c r="B952" s="68"/>
      <c r="D952" s="68"/>
      <c r="E952" s="69"/>
      <c r="K952" s="282"/>
      <c r="L952" s="195"/>
      <c r="M952" s="282"/>
      <c r="O952" s="68"/>
      <c r="P952" s="68"/>
      <c r="Q952" s="68"/>
      <c r="R952" s="68"/>
      <c r="S952" s="68"/>
    </row>
    <row r="953" spans="1:19" ht="15.75" customHeight="1">
      <c r="A953" s="69"/>
      <c r="B953" s="68"/>
      <c r="D953" s="68"/>
      <c r="E953" s="69"/>
      <c r="K953" s="282"/>
      <c r="L953" s="195"/>
      <c r="M953" s="282"/>
      <c r="O953" s="68"/>
      <c r="P953" s="68"/>
      <c r="Q953" s="68"/>
      <c r="R953" s="68"/>
      <c r="S953" s="68"/>
    </row>
    <row r="954" spans="1:19" ht="15.75" customHeight="1">
      <c r="A954" s="69"/>
      <c r="B954" s="68"/>
      <c r="D954" s="68"/>
      <c r="E954" s="69"/>
      <c r="K954" s="282"/>
      <c r="L954" s="195"/>
      <c r="M954" s="282"/>
      <c r="O954" s="68"/>
      <c r="P954" s="68"/>
      <c r="Q954" s="68"/>
      <c r="R954" s="68"/>
      <c r="S954" s="68"/>
    </row>
    <row r="955" spans="1:19" ht="15.75" customHeight="1">
      <c r="A955" s="69"/>
      <c r="B955" s="68"/>
      <c r="D955" s="68"/>
      <c r="E955" s="69"/>
      <c r="K955" s="282"/>
      <c r="L955" s="195"/>
      <c r="M955" s="282"/>
      <c r="O955" s="68"/>
      <c r="P955" s="68"/>
      <c r="Q955" s="68"/>
      <c r="R955" s="68"/>
      <c r="S955" s="68"/>
    </row>
    <row r="956" spans="1:19" ht="15.75" customHeight="1">
      <c r="A956" s="69"/>
      <c r="B956" s="68"/>
      <c r="D956" s="68"/>
      <c r="E956" s="69"/>
      <c r="K956" s="282"/>
      <c r="L956" s="195"/>
      <c r="M956" s="282"/>
      <c r="O956" s="68"/>
      <c r="P956" s="68"/>
      <c r="Q956" s="68"/>
      <c r="R956" s="68"/>
      <c r="S956" s="68"/>
    </row>
    <row r="957" spans="1:19" ht="15.75" customHeight="1">
      <c r="A957" s="69"/>
      <c r="B957" s="68"/>
      <c r="D957" s="68"/>
      <c r="E957" s="69"/>
      <c r="K957" s="282"/>
      <c r="L957" s="195"/>
      <c r="M957" s="282"/>
      <c r="O957" s="68"/>
      <c r="P957" s="68"/>
      <c r="Q957" s="68"/>
      <c r="R957" s="68"/>
      <c r="S957" s="68"/>
    </row>
    <row r="958" spans="1:19" ht="15.75" customHeight="1">
      <c r="A958" s="69"/>
      <c r="B958" s="68"/>
      <c r="D958" s="68"/>
      <c r="E958" s="69"/>
      <c r="K958" s="282"/>
      <c r="L958" s="195"/>
      <c r="M958" s="282"/>
      <c r="O958" s="68"/>
      <c r="P958" s="68"/>
      <c r="Q958" s="68"/>
      <c r="R958" s="68"/>
      <c r="S958" s="68"/>
    </row>
    <row r="959" spans="1:19" ht="15.75" customHeight="1">
      <c r="A959" s="69"/>
      <c r="B959" s="68"/>
      <c r="D959" s="68"/>
      <c r="E959" s="69"/>
      <c r="K959" s="282"/>
      <c r="L959" s="195"/>
      <c r="M959" s="282"/>
      <c r="O959" s="68"/>
      <c r="P959" s="68"/>
      <c r="Q959" s="68"/>
      <c r="R959" s="68"/>
      <c r="S959" s="68"/>
    </row>
    <row r="960" spans="1:19" ht="15.75" customHeight="1">
      <c r="A960" s="69"/>
      <c r="B960" s="68"/>
      <c r="D960" s="68"/>
      <c r="E960" s="69"/>
      <c r="K960" s="282"/>
      <c r="L960" s="195"/>
      <c r="M960" s="282"/>
      <c r="O960" s="68"/>
      <c r="P960" s="68"/>
      <c r="Q960" s="68"/>
      <c r="R960" s="68"/>
      <c r="S960" s="68"/>
    </row>
    <row r="961" spans="1:19" ht="15.75" customHeight="1">
      <c r="A961" s="69"/>
      <c r="B961" s="68"/>
      <c r="D961" s="68"/>
      <c r="E961" s="69"/>
      <c r="K961" s="282"/>
      <c r="L961" s="195"/>
      <c r="M961" s="282"/>
      <c r="O961" s="68"/>
      <c r="P961" s="68"/>
      <c r="Q961" s="68"/>
      <c r="R961" s="68"/>
      <c r="S961" s="68"/>
    </row>
    <row r="962" spans="1:19" ht="15.75" customHeight="1">
      <c r="A962" s="69"/>
      <c r="B962" s="68"/>
      <c r="D962" s="68"/>
      <c r="E962" s="69"/>
      <c r="K962" s="282"/>
      <c r="L962" s="195"/>
      <c r="M962" s="282"/>
      <c r="O962" s="68"/>
      <c r="P962" s="68"/>
      <c r="Q962" s="68"/>
      <c r="R962" s="68"/>
      <c r="S962" s="68"/>
    </row>
    <row r="963" spans="1:19" ht="15.75" customHeight="1">
      <c r="A963" s="69"/>
      <c r="B963" s="68"/>
      <c r="D963" s="68"/>
      <c r="E963" s="69"/>
      <c r="K963" s="282"/>
      <c r="L963" s="195"/>
      <c r="M963" s="282"/>
      <c r="O963" s="68"/>
      <c r="P963" s="68"/>
      <c r="Q963" s="68"/>
      <c r="R963" s="68"/>
      <c r="S963" s="68"/>
    </row>
    <row r="964" spans="1:19" ht="15.75" customHeight="1">
      <c r="A964" s="69"/>
      <c r="B964" s="68"/>
      <c r="D964" s="68"/>
      <c r="E964" s="69"/>
      <c r="K964" s="282"/>
      <c r="L964" s="195"/>
      <c r="M964" s="282"/>
      <c r="O964" s="68"/>
      <c r="P964" s="68"/>
      <c r="Q964" s="68"/>
      <c r="R964" s="68"/>
      <c r="S964" s="68"/>
    </row>
    <row r="965" spans="1:19" ht="15.75" customHeight="1">
      <c r="A965" s="69"/>
      <c r="B965" s="68"/>
      <c r="D965" s="68"/>
      <c r="E965" s="69"/>
      <c r="K965" s="282"/>
      <c r="L965" s="195"/>
      <c r="M965" s="282"/>
      <c r="O965" s="68"/>
      <c r="P965" s="68"/>
      <c r="Q965" s="68"/>
      <c r="R965" s="68"/>
      <c r="S965" s="68"/>
    </row>
    <row r="966" spans="1:19" ht="15.75" customHeight="1">
      <c r="A966" s="69"/>
      <c r="B966" s="68"/>
      <c r="D966" s="68"/>
      <c r="E966" s="69"/>
      <c r="K966" s="282"/>
      <c r="L966" s="195"/>
      <c r="M966" s="282"/>
      <c r="O966" s="68"/>
      <c r="P966" s="68"/>
      <c r="Q966" s="68"/>
      <c r="R966" s="68"/>
      <c r="S966" s="68"/>
    </row>
    <row r="967" spans="1:19" ht="15.75" customHeight="1">
      <c r="A967" s="69"/>
      <c r="B967" s="68"/>
      <c r="D967" s="68"/>
      <c r="E967" s="69"/>
      <c r="K967" s="282"/>
      <c r="L967" s="195"/>
      <c r="M967" s="282"/>
      <c r="O967" s="68"/>
      <c r="P967" s="68"/>
      <c r="Q967" s="68"/>
      <c r="R967" s="68"/>
      <c r="S967" s="68"/>
    </row>
    <row r="968" spans="1:19" ht="15.75" customHeight="1">
      <c r="A968" s="69"/>
      <c r="B968" s="68"/>
      <c r="D968" s="68"/>
      <c r="E968" s="69"/>
      <c r="K968" s="282"/>
      <c r="L968" s="195"/>
      <c r="M968" s="282"/>
      <c r="O968" s="68"/>
      <c r="P968" s="68"/>
      <c r="Q968" s="68"/>
      <c r="R968" s="68"/>
      <c r="S968" s="68"/>
    </row>
    <row r="969" spans="1:19" ht="15.75" customHeight="1">
      <c r="A969" s="69"/>
      <c r="B969" s="68"/>
      <c r="D969" s="68"/>
      <c r="E969" s="69"/>
      <c r="K969" s="282"/>
      <c r="L969" s="195"/>
      <c r="M969" s="282"/>
      <c r="O969" s="68"/>
      <c r="P969" s="68"/>
      <c r="Q969" s="68"/>
      <c r="R969" s="68"/>
      <c r="S969" s="68"/>
    </row>
    <row r="970" spans="1:19" ht="15.75" customHeight="1">
      <c r="A970" s="69"/>
      <c r="B970" s="68"/>
      <c r="D970" s="68"/>
      <c r="E970" s="69"/>
      <c r="K970" s="282"/>
      <c r="L970" s="195"/>
      <c r="M970" s="282"/>
      <c r="O970" s="68"/>
      <c r="P970" s="68"/>
      <c r="Q970" s="68"/>
      <c r="R970" s="68"/>
      <c r="S970" s="68"/>
    </row>
    <row r="971" spans="1:19" ht="15.75" customHeight="1">
      <c r="A971" s="69"/>
      <c r="B971" s="68"/>
      <c r="D971" s="68"/>
      <c r="E971" s="69"/>
      <c r="K971" s="282"/>
      <c r="L971" s="195"/>
      <c r="M971" s="282"/>
      <c r="O971" s="68"/>
      <c r="P971" s="68"/>
      <c r="Q971" s="68"/>
      <c r="R971" s="68"/>
      <c r="S971" s="68"/>
    </row>
    <row r="972" spans="1:19" ht="15.75" customHeight="1">
      <c r="A972" s="69"/>
      <c r="B972" s="68"/>
      <c r="D972" s="68"/>
      <c r="E972" s="69"/>
      <c r="K972" s="282"/>
      <c r="L972" s="195"/>
      <c r="M972" s="282"/>
      <c r="O972" s="68"/>
      <c r="P972" s="68"/>
      <c r="Q972" s="68"/>
      <c r="R972" s="68"/>
      <c r="S972" s="68"/>
    </row>
    <row r="973" spans="1:19" ht="15.75" customHeight="1">
      <c r="A973" s="69"/>
      <c r="B973" s="68"/>
      <c r="D973" s="68"/>
      <c r="E973" s="69"/>
      <c r="K973" s="282"/>
      <c r="L973" s="195"/>
      <c r="M973" s="282"/>
      <c r="O973" s="68"/>
      <c r="P973" s="68"/>
      <c r="Q973" s="68"/>
      <c r="R973" s="68"/>
      <c r="S973" s="68"/>
    </row>
    <row r="974" spans="1:19" ht="15.75" customHeight="1">
      <c r="A974" s="69"/>
      <c r="B974" s="68"/>
      <c r="D974" s="68"/>
      <c r="E974" s="69"/>
      <c r="K974" s="282"/>
      <c r="L974" s="195"/>
      <c r="M974" s="282"/>
      <c r="O974" s="68"/>
      <c r="P974" s="68"/>
      <c r="Q974" s="68"/>
      <c r="R974" s="68"/>
      <c r="S974" s="68"/>
    </row>
    <row r="975" spans="1:19" ht="15.75" customHeight="1">
      <c r="A975" s="69"/>
      <c r="B975" s="68"/>
      <c r="D975" s="68"/>
      <c r="E975" s="69"/>
      <c r="K975" s="282"/>
      <c r="L975" s="195"/>
      <c r="M975" s="282"/>
      <c r="O975" s="68"/>
      <c r="P975" s="68"/>
      <c r="Q975" s="68"/>
      <c r="R975" s="68"/>
      <c r="S975" s="68"/>
    </row>
    <row r="976" spans="1:19" ht="15.75" customHeight="1">
      <c r="A976" s="69"/>
      <c r="B976" s="68"/>
      <c r="D976" s="68"/>
      <c r="E976" s="69"/>
      <c r="K976" s="282"/>
      <c r="L976" s="195"/>
      <c r="M976" s="282"/>
      <c r="O976" s="68"/>
      <c r="P976" s="68"/>
      <c r="Q976" s="68"/>
      <c r="R976" s="68"/>
      <c r="S976" s="68"/>
    </row>
    <row r="977" spans="1:19" ht="15.75" customHeight="1">
      <c r="A977" s="69"/>
      <c r="B977" s="68"/>
      <c r="D977" s="68"/>
      <c r="E977" s="69"/>
      <c r="K977" s="282"/>
      <c r="L977" s="195"/>
      <c r="M977" s="282"/>
      <c r="O977" s="68"/>
      <c r="P977" s="68"/>
      <c r="Q977" s="68"/>
      <c r="R977" s="68"/>
      <c r="S977" s="68"/>
    </row>
    <row r="978" spans="1:19" ht="15.75" customHeight="1">
      <c r="A978" s="69"/>
      <c r="B978" s="68"/>
      <c r="D978" s="68"/>
      <c r="E978" s="69"/>
      <c r="K978" s="282"/>
      <c r="L978" s="195"/>
      <c r="M978" s="282"/>
      <c r="O978" s="68"/>
      <c r="P978" s="68"/>
      <c r="Q978" s="68"/>
      <c r="R978" s="68"/>
      <c r="S978" s="68"/>
    </row>
    <row r="979" spans="1:19" ht="15.75" customHeight="1">
      <c r="A979" s="69"/>
      <c r="B979" s="68"/>
      <c r="D979" s="68"/>
      <c r="E979" s="69"/>
      <c r="K979" s="282"/>
      <c r="L979" s="195"/>
      <c r="M979" s="282"/>
      <c r="O979" s="68"/>
      <c r="P979" s="68"/>
      <c r="Q979" s="68"/>
      <c r="R979" s="68"/>
      <c r="S979" s="68"/>
    </row>
    <row r="980" spans="1:19" ht="15.75" customHeight="1">
      <c r="A980" s="69"/>
      <c r="B980" s="68"/>
      <c r="D980" s="68"/>
      <c r="E980" s="69"/>
      <c r="K980" s="282"/>
      <c r="L980" s="195"/>
      <c r="M980" s="282"/>
      <c r="O980" s="68"/>
      <c r="P980" s="68"/>
      <c r="Q980" s="68"/>
      <c r="R980" s="68"/>
      <c r="S980" s="68"/>
    </row>
    <row r="981" spans="1:19" ht="15.75" customHeight="1">
      <c r="A981" s="69"/>
      <c r="B981" s="68"/>
      <c r="D981" s="68"/>
      <c r="E981" s="69"/>
      <c r="K981" s="282"/>
      <c r="L981" s="195"/>
      <c r="M981" s="282"/>
      <c r="O981" s="68"/>
      <c r="P981" s="68"/>
      <c r="Q981" s="68"/>
      <c r="R981" s="68"/>
      <c r="S981" s="68"/>
    </row>
    <row r="982" spans="1:19" ht="15.75" customHeight="1">
      <c r="A982" s="69"/>
      <c r="B982" s="68"/>
      <c r="D982" s="68"/>
      <c r="E982" s="69"/>
      <c r="K982" s="282"/>
      <c r="L982" s="195"/>
      <c r="M982" s="282"/>
      <c r="O982" s="68"/>
      <c r="P982" s="68"/>
      <c r="Q982" s="68"/>
      <c r="R982" s="68"/>
      <c r="S982" s="68"/>
    </row>
    <row r="983" spans="1:19" ht="15.75" customHeight="1">
      <c r="A983" s="69"/>
      <c r="B983" s="68"/>
      <c r="D983" s="68"/>
      <c r="E983" s="69"/>
      <c r="K983" s="282"/>
      <c r="L983" s="195"/>
      <c r="M983" s="282"/>
      <c r="O983" s="68"/>
      <c r="P983" s="68"/>
      <c r="Q983" s="68"/>
      <c r="R983" s="68"/>
      <c r="S983" s="68"/>
    </row>
    <row r="984" spans="1:19" ht="15.75" customHeight="1">
      <c r="A984" s="69"/>
      <c r="B984" s="68"/>
      <c r="D984" s="68"/>
      <c r="E984" s="69"/>
      <c r="K984" s="282"/>
      <c r="L984" s="195"/>
      <c r="M984" s="282"/>
      <c r="O984" s="68"/>
      <c r="P984" s="68"/>
      <c r="Q984" s="68"/>
      <c r="R984" s="68"/>
      <c r="S984" s="68"/>
    </row>
    <row r="985" spans="1:19" ht="15.75" customHeight="1">
      <c r="A985" s="69"/>
      <c r="B985" s="68"/>
      <c r="D985" s="68"/>
      <c r="E985" s="69"/>
      <c r="K985" s="282"/>
      <c r="L985" s="195"/>
      <c r="M985" s="282"/>
      <c r="O985" s="68"/>
      <c r="P985" s="68"/>
      <c r="Q985" s="68"/>
      <c r="R985" s="68"/>
      <c r="S985" s="68"/>
    </row>
    <row r="986" spans="1:19" ht="15.75" customHeight="1">
      <c r="A986" s="69"/>
      <c r="B986" s="68"/>
      <c r="D986" s="68"/>
      <c r="E986" s="69"/>
      <c r="K986" s="282"/>
      <c r="L986" s="195"/>
      <c r="M986" s="282"/>
      <c r="O986" s="68"/>
      <c r="P986" s="68"/>
      <c r="Q986" s="68"/>
      <c r="R986" s="68"/>
      <c r="S986" s="68"/>
    </row>
    <row r="987" spans="1:19" ht="15.75" customHeight="1">
      <c r="A987" s="69"/>
      <c r="B987" s="68"/>
      <c r="D987" s="68"/>
      <c r="E987" s="69"/>
      <c r="K987" s="282"/>
      <c r="L987" s="195"/>
      <c r="M987" s="282"/>
      <c r="O987" s="68"/>
      <c r="P987" s="68"/>
      <c r="Q987" s="68"/>
      <c r="R987" s="68"/>
      <c r="S987" s="68"/>
    </row>
    <row r="988" spans="1:19" ht="15.75" customHeight="1">
      <c r="A988" s="69"/>
      <c r="B988" s="68"/>
      <c r="D988" s="68"/>
      <c r="E988" s="69"/>
      <c r="K988" s="282"/>
      <c r="L988" s="195"/>
      <c r="M988" s="282"/>
      <c r="O988" s="68"/>
      <c r="P988" s="68"/>
      <c r="Q988" s="68"/>
      <c r="R988" s="68"/>
      <c r="S988" s="68"/>
    </row>
    <row r="989" spans="1:19" ht="15.75" customHeight="1">
      <c r="A989" s="69"/>
      <c r="B989" s="68"/>
      <c r="D989" s="68"/>
      <c r="E989" s="69"/>
      <c r="K989" s="282"/>
      <c r="L989" s="195"/>
      <c r="M989" s="282"/>
      <c r="O989" s="68"/>
      <c r="P989" s="68"/>
      <c r="Q989" s="68"/>
      <c r="R989" s="68"/>
      <c r="S989" s="68"/>
    </row>
    <row r="990" spans="1:19" ht="15.75" customHeight="1">
      <c r="A990" s="69"/>
      <c r="B990" s="68"/>
      <c r="D990" s="68"/>
      <c r="E990" s="69"/>
      <c r="K990" s="282"/>
      <c r="L990" s="195"/>
      <c r="M990" s="282"/>
      <c r="O990" s="68"/>
      <c r="P990" s="68"/>
      <c r="Q990" s="68"/>
      <c r="R990" s="68"/>
      <c r="S990" s="68"/>
    </row>
    <row r="991" spans="1:19" ht="15.75" customHeight="1">
      <c r="A991" s="69"/>
      <c r="B991" s="68"/>
      <c r="D991" s="68"/>
      <c r="E991" s="69"/>
      <c r="K991" s="282"/>
      <c r="L991" s="195"/>
      <c r="M991" s="282"/>
      <c r="O991" s="68"/>
      <c r="P991" s="68"/>
      <c r="Q991" s="68"/>
      <c r="R991" s="68"/>
      <c r="S991" s="68"/>
    </row>
    <row r="992" spans="1:19" ht="15.75" customHeight="1">
      <c r="A992" s="69"/>
      <c r="B992" s="68"/>
      <c r="D992" s="68"/>
      <c r="E992" s="69"/>
      <c r="K992" s="282"/>
      <c r="L992" s="195"/>
      <c r="M992" s="282"/>
      <c r="O992" s="68"/>
      <c r="P992" s="68"/>
      <c r="Q992" s="68"/>
      <c r="R992" s="68"/>
      <c r="S992" s="68"/>
    </row>
    <row r="993" spans="1:19" ht="15.75" customHeight="1">
      <c r="A993" s="69"/>
      <c r="B993" s="68"/>
      <c r="D993" s="68"/>
      <c r="E993" s="69"/>
      <c r="K993" s="282"/>
      <c r="L993" s="195"/>
      <c r="M993" s="282"/>
      <c r="O993" s="68"/>
      <c r="P993" s="68"/>
      <c r="Q993" s="68"/>
      <c r="R993" s="68"/>
      <c r="S993" s="68"/>
    </row>
    <row r="994" spans="1:19" ht="15.75" customHeight="1">
      <c r="A994" s="69"/>
      <c r="B994" s="68"/>
      <c r="D994" s="68"/>
      <c r="E994" s="69"/>
      <c r="K994" s="282"/>
      <c r="L994" s="195"/>
      <c r="M994" s="282"/>
      <c r="O994" s="68"/>
      <c r="P994" s="68"/>
      <c r="Q994" s="68"/>
      <c r="R994" s="68"/>
      <c r="S994" s="68"/>
    </row>
    <row r="995" spans="1:19" ht="15.75" customHeight="1">
      <c r="A995" s="69"/>
      <c r="B995" s="68"/>
      <c r="D995" s="68"/>
      <c r="E995" s="69"/>
      <c r="K995" s="282"/>
      <c r="L995" s="195"/>
      <c r="M995" s="282"/>
      <c r="O995" s="68"/>
      <c r="P995" s="68"/>
      <c r="Q995" s="68"/>
      <c r="R995" s="68"/>
      <c r="S995" s="68"/>
    </row>
    <row r="996" spans="1:19" ht="15.75" customHeight="1">
      <c r="A996" s="69"/>
      <c r="B996" s="68"/>
      <c r="D996" s="68"/>
      <c r="E996" s="69"/>
      <c r="K996" s="282"/>
      <c r="L996" s="195"/>
      <c r="M996" s="282"/>
      <c r="O996" s="68"/>
      <c r="P996" s="68"/>
      <c r="Q996" s="68"/>
      <c r="R996" s="68"/>
      <c r="S996" s="68"/>
    </row>
    <row r="997" spans="1:19" ht="15.75" customHeight="1">
      <c r="A997" s="69"/>
      <c r="B997" s="68"/>
      <c r="D997" s="68"/>
      <c r="E997" s="69"/>
      <c r="K997" s="282"/>
      <c r="L997" s="195"/>
      <c r="M997" s="282"/>
      <c r="O997" s="68"/>
      <c r="P997" s="68"/>
      <c r="Q997" s="68"/>
      <c r="R997" s="68"/>
      <c r="S997" s="68"/>
    </row>
    <row r="998" spans="1:19" ht="15.75" customHeight="1">
      <c r="A998" s="69"/>
      <c r="B998" s="68"/>
      <c r="D998" s="68"/>
      <c r="E998" s="69"/>
      <c r="K998" s="282"/>
      <c r="L998" s="195"/>
      <c r="M998" s="282"/>
      <c r="O998" s="68"/>
      <c r="P998" s="68"/>
      <c r="Q998" s="68"/>
      <c r="R998" s="68"/>
      <c r="S998" s="68"/>
    </row>
    <row r="999" spans="1:19" ht="15.75" customHeight="1">
      <c r="A999" s="69"/>
      <c r="B999" s="68"/>
      <c r="D999" s="68"/>
      <c r="E999" s="69"/>
      <c r="K999" s="282"/>
      <c r="L999" s="195"/>
      <c r="M999" s="282"/>
      <c r="O999" s="68"/>
      <c r="P999" s="68"/>
      <c r="Q999" s="68"/>
      <c r="R999" s="68"/>
      <c r="S999" s="68"/>
    </row>
    <row r="1000" spans="1:19" ht="15.75" customHeight="1">
      <c r="A1000" s="69"/>
      <c r="B1000" s="68"/>
      <c r="D1000" s="68"/>
      <c r="E1000" s="69"/>
      <c r="K1000" s="282"/>
      <c r="L1000" s="195"/>
      <c r="M1000" s="282"/>
      <c r="O1000" s="68"/>
      <c r="P1000" s="68"/>
      <c r="Q1000" s="68"/>
      <c r="R1000" s="68"/>
      <c r="S1000" s="68"/>
    </row>
  </sheetData>
  <mergeCells count="79">
    <mergeCell ref="A274:A285"/>
    <mergeCell ref="B274:B285"/>
    <mergeCell ref="D274:D285"/>
    <mergeCell ref="A286:A291"/>
    <mergeCell ref="B286:B291"/>
    <mergeCell ref="D286:D291"/>
    <mergeCell ref="A305:A310"/>
    <mergeCell ref="B305:B310"/>
    <mergeCell ref="A311:A316"/>
    <mergeCell ref="B311:B316"/>
    <mergeCell ref="D311:D316"/>
    <mergeCell ref="B265:B273"/>
    <mergeCell ref="D265:D273"/>
    <mergeCell ref="A213:A252"/>
    <mergeCell ref="B213:B252"/>
    <mergeCell ref="A253:A264"/>
    <mergeCell ref="B253:B264"/>
    <mergeCell ref="A292:A304"/>
    <mergeCell ref="B292:B304"/>
    <mergeCell ref="D292:D304"/>
    <mergeCell ref="D305:D310"/>
    <mergeCell ref="A132:A138"/>
    <mergeCell ref="B132:B138"/>
    <mergeCell ref="D132:D138"/>
    <mergeCell ref="D213:D252"/>
    <mergeCell ref="D253:D264"/>
    <mergeCell ref="A139:A184"/>
    <mergeCell ref="B139:B184"/>
    <mergeCell ref="D139:D184"/>
    <mergeCell ref="A185:A212"/>
    <mergeCell ref="B185:B212"/>
    <mergeCell ref="D185:D212"/>
    <mergeCell ref="A265:A273"/>
    <mergeCell ref="D127:D131"/>
    <mergeCell ref="A63:A67"/>
    <mergeCell ref="B63:B67"/>
    <mergeCell ref="D63:D67"/>
    <mergeCell ref="A68:A79"/>
    <mergeCell ref="B68:B79"/>
    <mergeCell ref="A110:A123"/>
    <mergeCell ref="B110:B123"/>
    <mergeCell ref="A80:A100"/>
    <mergeCell ref="B80:B100"/>
    <mergeCell ref="A101:A109"/>
    <mergeCell ref="B101:B109"/>
    <mergeCell ref="A124:A126"/>
    <mergeCell ref="B124:B126"/>
    <mergeCell ref="A127:A131"/>
    <mergeCell ref="B127:B131"/>
    <mergeCell ref="D68:D79"/>
    <mergeCell ref="D80:D100"/>
    <mergeCell ref="D101:D109"/>
    <mergeCell ref="D110:D123"/>
    <mergeCell ref="D124:D126"/>
    <mergeCell ref="D42:D62"/>
    <mergeCell ref="M42:M62"/>
    <mergeCell ref="A38:A41"/>
    <mergeCell ref="B38:B41"/>
    <mergeCell ref="D38:D41"/>
    <mergeCell ref="A42:A62"/>
    <mergeCell ref="B42:B62"/>
    <mergeCell ref="A27:A32"/>
    <mergeCell ref="B27:B32"/>
    <mergeCell ref="D27:D32"/>
    <mergeCell ref="A33:A37"/>
    <mergeCell ref="B33:B37"/>
    <mergeCell ref="D34:D35"/>
    <mergeCell ref="D36:D37"/>
    <mergeCell ref="B12:B19"/>
    <mergeCell ref="B20:B26"/>
    <mergeCell ref="A4:A11"/>
    <mergeCell ref="B4:B11"/>
    <mergeCell ref="D4:D11"/>
    <mergeCell ref="A12:A19"/>
    <mergeCell ref="D12:D19"/>
    <mergeCell ref="A21:A24"/>
    <mergeCell ref="D21:D24"/>
    <mergeCell ref="A25:A26"/>
    <mergeCell ref="D25:D26"/>
  </mergeCells>
  <conditionalFormatting sqref="I21:J21">
    <cfRule type="cellIs" dxfId="217" priority="1" stopIfTrue="1" operator="equal">
      <formula>"OK"</formula>
    </cfRule>
  </conditionalFormatting>
  <conditionalFormatting sqref="I21:J21">
    <cfRule type="cellIs" dxfId="216" priority="2" stopIfTrue="1" operator="equal">
      <formula>"Fail"</formula>
    </cfRule>
  </conditionalFormatting>
  <conditionalFormatting sqref="I21:J21">
    <cfRule type="cellIs" dxfId="215" priority="3" stopIfTrue="1" operator="equal">
      <formula>"OK"</formula>
    </cfRule>
  </conditionalFormatting>
  <conditionalFormatting sqref="I21:J21">
    <cfRule type="cellIs" dxfId="214" priority="4" stopIfTrue="1" operator="equal">
      <formula>"Fail"</formula>
    </cfRule>
  </conditionalFormatting>
  <conditionalFormatting sqref="K3:K31 L3 K33:K183 K185:K316">
    <cfRule type="containsText" dxfId="213" priority="5" operator="containsText" text="NG">
      <formula>NOT(ISERROR(SEARCH(("NG"),(K3))))</formula>
    </cfRule>
  </conditionalFormatting>
  <conditionalFormatting sqref="K3:K31 L3 K33:K183 K185:K316">
    <cfRule type="containsText" dxfId="212" priority="6" operator="containsText" text="OK">
      <formula>NOT(ISERROR(SEARCH(("OK"),(K3))))</formula>
    </cfRule>
  </conditionalFormatting>
  <conditionalFormatting sqref="I22:J22">
    <cfRule type="cellIs" dxfId="211" priority="7" stopIfTrue="1" operator="equal">
      <formula>"OK"</formula>
    </cfRule>
  </conditionalFormatting>
  <conditionalFormatting sqref="I22:J22">
    <cfRule type="cellIs" dxfId="210" priority="8" stopIfTrue="1" operator="equal">
      <formula>"Fail"</formula>
    </cfRule>
  </conditionalFormatting>
  <conditionalFormatting sqref="I22:J22">
    <cfRule type="cellIs" dxfId="209" priority="9" stopIfTrue="1" operator="equal">
      <formula>"OK"</formula>
    </cfRule>
  </conditionalFormatting>
  <conditionalFormatting sqref="I22:J22">
    <cfRule type="cellIs" dxfId="208" priority="10" stopIfTrue="1" operator="equal">
      <formula>"Fail"</formula>
    </cfRule>
  </conditionalFormatting>
  <conditionalFormatting sqref="I23:J23">
    <cfRule type="cellIs" dxfId="207" priority="11" stopIfTrue="1" operator="equal">
      <formula>"OK"</formula>
    </cfRule>
  </conditionalFormatting>
  <conditionalFormatting sqref="I23:J23">
    <cfRule type="cellIs" dxfId="206" priority="12" stopIfTrue="1" operator="equal">
      <formula>"Fail"</formula>
    </cfRule>
  </conditionalFormatting>
  <conditionalFormatting sqref="I23:J23">
    <cfRule type="cellIs" dxfId="205" priority="13" stopIfTrue="1" operator="equal">
      <formula>"OK"</formula>
    </cfRule>
  </conditionalFormatting>
  <conditionalFormatting sqref="I23:J23">
    <cfRule type="cellIs" dxfId="204" priority="14" stopIfTrue="1" operator="equal">
      <formula>"Fail"</formula>
    </cfRule>
  </conditionalFormatting>
  <conditionalFormatting sqref="I38:J38">
    <cfRule type="cellIs" dxfId="203" priority="15" stopIfTrue="1" operator="equal">
      <formula>"OK"</formula>
    </cfRule>
  </conditionalFormatting>
  <conditionalFormatting sqref="I38:J38">
    <cfRule type="cellIs" dxfId="202" priority="16" stopIfTrue="1" operator="equal">
      <formula>"Fail"</formula>
    </cfRule>
  </conditionalFormatting>
  <conditionalFormatting sqref="I38:J38">
    <cfRule type="cellIs" dxfId="201" priority="17" stopIfTrue="1" operator="equal">
      <formula>"OK"</formula>
    </cfRule>
  </conditionalFormatting>
  <conditionalFormatting sqref="I38:J38">
    <cfRule type="cellIs" dxfId="200" priority="18" stopIfTrue="1" operator="equal">
      <formula>"Fail"</formula>
    </cfRule>
  </conditionalFormatting>
  <conditionalFormatting sqref="I39:J39">
    <cfRule type="cellIs" dxfId="199" priority="19" stopIfTrue="1" operator="equal">
      <formula>"OK"</formula>
    </cfRule>
  </conditionalFormatting>
  <conditionalFormatting sqref="I39:J39">
    <cfRule type="cellIs" dxfId="198" priority="20" stopIfTrue="1" operator="equal">
      <formula>"Fail"</formula>
    </cfRule>
  </conditionalFormatting>
  <conditionalFormatting sqref="I39:J39">
    <cfRule type="cellIs" dxfId="197" priority="21" stopIfTrue="1" operator="equal">
      <formula>"OK"</formula>
    </cfRule>
  </conditionalFormatting>
  <conditionalFormatting sqref="I39:J39">
    <cfRule type="cellIs" dxfId="196" priority="22" stopIfTrue="1" operator="equal">
      <formula>"Fail"</formula>
    </cfRule>
  </conditionalFormatting>
  <conditionalFormatting sqref="I40:J41">
    <cfRule type="cellIs" dxfId="195" priority="23" stopIfTrue="1" operator="equal">
      <formula>"OK"</formula>
    </cfRule>
  </conditionalFormatting>
  <conditionalFormatting sqref="I40:J41">
    <cfRule type="cellIs" dxfId="194" priority="24" stopIfTrue="1" operator="equal">
      <formula>"Fail"</formula>
    </cfRule>
  </conditionalFormatting>
  <conditionalFormatting sqref="I40:J41">
    <cfRule type="cellIs" dxfId="193" priority="25" stopIfTrue="1" operator="equal">
      <formula>"OK"</formula>
    </cfRule>
  </conditionalFormatting>
  <conditionalFormatting sqref="I40:J41">
    <cfRule type="cellIs" dxfId="192" priority="26" stopIfTrue="1" operator="equal">
      <formula>"Fail"</formula>
    </cfRule>
  </conditionalFormatting>
  <conditionalFormatting sqref="I24:J24">
    <cfRule type="cellIs" dxfId="191" priority="27" stopIfTrue="1" operator="equal">
      <formula>"OK"</formula>
    </cfRule>
  </conditionalFormatting>
  <conditionalFormatting sqref="I24:J24">
    <cfRule type="cellIs" dxfId="190" priority="28" stopIfTrue="1" operator="equal">
      <formula>"Fail"</formula>
    </cfRule>
  </conditionalFormatting>
  <conditionalFormatting sqref="I24:J24">
    <cfRule type="cellIs" dxfId="189" priority="29" stopIfTrue="1" operator="equal">
      <formula>"OK"</formula>
    </cfRule>
  </conditionalFormatting>
  <conditionalFormatting sqref="I24:J24">
    <cfRule type="cellIs" dxfId="188" priority="30" stopIfTrue="1" operator="equal">
      <formula>"Fail"</formula>
    </cfRule>
  </conditionalFormatting>
  <conditionalFormatting sqref="I20:J20">
    <cfRule type="cellIs" dxfId="187" priority="31" stopIfTrue="1" operator="equal">
      <formula>"OK"</formula>
    </cfRule>
  </conditionalFormatting>
  <conditionalFormatting sqref="I20:J20">
    <cfRule type="cellIs" dxfId="186" priority="32" stopIfTrue="1" operator="equal">
      <formula>"Fail"</formula>
    </cfRule>
  </conditionalFormatting>
  <conditionalFormatting sqref="I20:J20">
    <cfRule type="cellIs" dxfId="185" priority="33" stopIfTrue="1" operator="equal">
      <formula>"OK"</formula>
    </cfRule>
  </conditionalFormatting>
  <conditionalFormatting sqref="I20:J20">
    <cfRule type="cellIs" dxfId="184" priority="34" stopIfTrue="1" operator="equal">
      <formula>"Fail"</formula>
    </cfRule>
  </conditionalFormatting>
  <conditionalFormatting sqref="I6:J8">
    <cfRule type="cellIs" dxfId="183" priority="35" stopIfTrue="1" operator="equal">
      <formula>"OK"</formula>
    </cfRule>
  </conditionalFormatting>
  <conditionalFormatting sqref="I6:J8">
    <cfRule type="cellIs" dxfId="182" priority="36" stopIfTrue="1" operator="equal">
      <formula>"Fail"</formula>
    </cfRule>
  </conditionalFormatting>
  <conditionalFormatting sqref="I6:J8">
    <cfRule type="cellIs" dxfId="181" priority="37" stopIfTrue="1" operator="equal">
      <formula>"OK"</formula>
    </cfRule>
  </conditionalFormatting>
  <conditionalFormatting sqref="I6:J8">
    <cfRule type="cellIs" dxfId="180" priority="38" stopIfTrue="1" operator="equal">
      <formula>"Fail"</formula>
    </cfRule>
  </conditionalFormatting>
  <conditionalFormatting sqref="I4:J4">
    <cfRule type="cellIs" dxfId="179" priority="39" stopIfTrue="1" operator="equal">
      <formula>"OK"</formula>
    </cfRule>
  </conditionalFormatting>
  <conditionalFormatting sqref="I4:J4">
    <cfRule type="cellIs" dxfId="178" priority="40" stopIfTrue="1" operator="equal">
      <formula>"Fail"</formula>
    </cfRule>
  </conditionalFormatting>
  <conditionalFormatting sqref="I4:J4">
    <cfRule type="cellIs" dxfId="177" priority="41" stopIfTrue="1" operator="equal">
      <formula>"OK"</formula>
    </cfRule>
  </conditionalFormatting>
  <conditionalFormatting sqref="I4:J4">
    <cfRule type="cellIs" dxfId="176" priority="42" stopIfTrue="1" operator="equal">
      <formula>"Fail"</formula>
    </cfRule>
  </conditionalFormatting>
  <conditionalFormatting sqref="I14:J15">
    <cfRule type="cellIs" dxfId="175" priority="43" stopIfTrue="1" operator="equal">
      <formula>"OK"</formula>
    </cfRule>
  </conditionalFormatting>
  <conditionalFormatting sqref="I14:J15">
    <cfRule type="cellIs" dxfId="174" priority="44" stopIfTrue="1" operator="equal">
      <formula>"Fail"</formula>
    </cfRule>
  </conditionalFormatting>
  <conditionalFormatting sqref="I14:J15">
    <cfRule type="cellIs" dxfId="173" priority="45" stopIfTrue="1" operator="equal">
      <formula>"OK"</formula>
    </cfRule>
  </conditionalFormatting>
  <conditionalFormatting sqref="I14:J15">
    <cfRule type="cellIs" dxfId="172" priority="46" stopIfTrue="1" operator="equal">
      <formula>"Fail"</formula>
    </cfRule>
  </conditionalFormatting>
  <conditionalFormatting sqref="I16:J19">
    <cfRule type="cellIs" dxfId="171" priority="47" stopIfTrue="1" operator="equal">
      <formula>"OK"</formula>
    </cfRule>
  </conditionalFormatting>
  <conditionalFormatting sqref="I16:J19">
    <cfRule type="cellIs" dxfId="170" priority="48" stopIfTrue="1" operator="equal">
      <formula>"Fail"</formula>
    </cfRule>
  </conditionalFormatting>
  <conditionalFormatting sqref="I16:J19">
    <cfRule type="cellIs" dxfId="169" priority="49" stopIfTrue="1" operator="equal">
      <formula>"OK"</formula>
    </cfRule>
  </conditionalFormatting>
  <conditionalFormatting sqref="I16:J19">
    <cfRule type="cellIs" dxfId="168" priority="50" stopIfTrue="1" operator="equal">
      <formula>"Fail"</formula>
    </cfRule>
  </conditionalFormatting>
  <conditionalFormatting sqref="L5:L6">
    <cfRule type="cellIs" dxfId="167" priority="51" stopIfTrue="1" operator="equal">
      <formula>"OK"</formula>
    </cfRule>
  </conditionalFormatting>
  <conditionalFormatting sqref="L5:L6">
    <cfRule type="cellIs" dxfId="166" priority="52" stopIfTrue="1" operator="equal">
      <formula>"Fail"</formula>
    </cfRule>
  </conditionalFormatting>
  <conditionalFormatting sqref="L8 L10:L11">
    <cfRule type="cellIs" dxfId="165" priority="53" stopIfTrue="1" operator="equal">
      <formula>"OK"</formula>
    </cfRule>
  </conditionalFormatting>
  <conditionalFormatting sqref="L8 L10:L11">
    <cfRule type="cellIs" dxfId="164" priority="54" stopIfTrue="1" operator="equal">
      <formula>"Fail"</formula>
    </cfRule>
  </conditionalFormatting>
  <conditionalFormatting sqref="L23">
    <cfRule type="cellIs" dxfId="163" priority="55" stopIfTrue="1" operator="equal">
      <formula>"OK"</formula>
    </cfRule>
  </conditionalFormatting>
  <conditionalFormatting sqref="L23">
    <cfRule type="cellIs" dxfId="162" priority="56" stopIfTrue="1" operator="equal">
      <formula>"Fail"</formula>
    </cfRule>
  </conditionalFormatting>
  <conditionalFormatting sqref="L21">
    <cfRule type="cellIs" dxfId="161" priority="57" stopIfTrue="1" operator="equal">
      <formula>"OK"</formula>
    </cfRule>
  </conditionalFormatting>
  <conditionalFormatting sqref="L21">
    <cfRule type="cellIs" dxfId="160" priority="58" stopIfTrue="1" operator="equal">
      <formula>"Fail"</formula>
    </cfRule>
  </conditionalFormatting>
  <conditionalFormatting sqref="L25">
    <cfRule type="cellIs" dxfId="159" priority="59" stopIfTrue="1" operator="equal">
      <formula>"OK"</formula>
    </cfRule>
  </conditionalFormatting>
  <conditionalFormatting sqref="L25">
    <cfRule type="cellIs" dxfId="158" priority="60" stopIfTrue="1" operator="equal">
      <formula>"Fail"</formula>
    </cfRule>
  </conditionalFormatting>
  <conditionalFormatting sqref="L26">
    <cfRule type="cellIs" dxfId="157" priority="61" stopIfTrue="1" operator="equal">
      <formula>"OK"</formula>
    </cfRule>
  </conditionalFormatting>
  <conditionalFormatting sqref="L26">
    <cfRule type="cellIs" dxfId="156" priority="62" stopIfTrue="1" operator="equal">
      <formula>"Fail"</formula>
    </cfRule>
  </conditionalFormatting>
  <conditionalFormatting sqref="L38">
    <cfRule type="cellIs" dxfId="155" priority="63" stopIfTrue="1" operator="equal">
      <formula>"OK"</formula>
    </cfRule>
  </conditionalFormatting>
  <conditionalFormatting sqref="L38">
    <cfRule type="cellIs" dxfId="154" priority="64" stopIfTrue="1" operator="equal">
      <formula>"Fail"</formula>
    </cfRule>
  </conditionalFormatting>
  <conditionalFormatting sqref="L39:L41">
    <cfRule type="cellIs" dxfId="153" priority="65" stopIfTrue="1" operator="equal">
      <formula>"OK"</formula>
    </cfRule>
  </conditionalFormatting>
  <conditionalFormatting sqref="L39:L41">
    <cfRule type="cellIs" dxfId="152" priority="66" stopIfTrue="1" operator="equal">
      <formula>"Fail"</formula>
    </cfRule>
  </conditionalFormatting>
  <conditionalFormatting sqref="L22">
    <cfRule type="cellIs" dxfId="151" priority="67" stopIfTrue="1" operator="equal">
      <formula>"OK"</formula>
    </cfRule>
  </conditionalFormatting>
  <conditionalFormatting sqref="L22">
    <cfRule type="cellIs" dxfId="150" priority="68" stopIfTrue="1" operator="equal">
      <formula>"Fail"</formula>
    </cfRule>
  </conditionalFormatting>
  <conditionalFormatting sqref="L20">
    <cfRule type="cellIs" dxfId="149" priority="69" stopIfTrue="1" operator="equal">
      <formula>"OK"</formula>
    </cfRule>
  </conditionalFormatting>
  <conditionalFormatting sqref="L20">
    <cfRule type="cellIs" dxfId="148" priority="70" stopIfTrue="1" operator="equal">
      <formula>"Fail"</formula>
    </cfRule>
  </conditionalFormatting>
  <conditionalFormatting sqref="L24">
    <cfRule type="cellIs" dxfId="147" priority="71" stopIfTrue="1" operator="equal">
      <formula>"OK"</formula>
    </cfRule>
  </conditionalFormatting>
  <conditionalFormatting sqref="L24">
    <cfRule type="cellIs" dxfId="146" priority="72" stopIfTrue="1" operator="equal">
      <formula>"Fail"</formula>
    </cfRule>
  </conditionalFormatting>
  <conditionalFormatting sqref="L7">
    <cfRule type="cellIs" dxfId="145" priority="73" stopIfTrue="1" operator="equal">
      <formula>"OK"</formula>
    </cfRule>
  </conditionalFormatting>
  <conditionalFormatting sqref="L7">
    <cfRule type="cellIs" dxfId="144" priority="74" stopIfTrue="1" operator="equal">
      <formula>"Fail"</formula>
    </cfRule>
  </conditionalFormatting>
  <conditionalFormatting sqref="L9">
    <cfRule type="cellIs" dxfId="143" priority="75" stopIfTrue="1" operator="equal">
      <formula>"OK"</formula>
    </cfRule>
  </conditionalFormatting>
  <conditionalFormatting sqref="L9">
    <cfRule type="cellIs" dxfId="142" priority="76" stopIfTrue="1" operator="equal">
      <formula>"Fail"</formula>
    </cfRule>
  </conditionalFormatting>
  <conditionalFormatting sqref="L4">
    <cfRule type="cellIs" dxfId="141" priority="77" stopIfTrue="1" operator="equal">
      <formula>"OK"</formula>
    </cfRule>
  </conditionalFormatting>
  <conditionalFormatting sqref="L4">
    <cfRule type="cellIs" dxfId="140" priority="78" stopIfTrue="1" operator="equal">
      <formula>"Fail"</formula>
    </cfRule>
  </conditionalFormatting>
  <conditionalFormatting sqref="L12:L19">
    <cfRule type="cellIs" dxfId="139" priority="79" stopIfTrue="1" operator="equal">
      <formula>"OK"</formula>
    </cfRule>
  </conditionalFormatting>
  <conditionalFormatting sqref="L12:L19">
    <cfRule type="cellIs" dxfId="138" priority="80" stopIfTrue="1" operator="equal">
      <formula>"Fail"</formula>
    </cfRule>
  </conditionalFormatting>
  <conditionalFormatting sqref="I13:J13">
    <cfRule type="cellIs" dxfId="137" priority="81" stopIfTrue="1" operator="equal">
      <formula>"OK"</formula>
    </cfRule>
  </conditionalFormatting>
  <conditionalFormatting sqref="I13:J13">
    <cfRule type="cellIs" dxfId="136" priority="82" stopIfTrue="1" operator="equal">
      <formula>"Fail"</formula>
    </cfRule>
  </conditionalFormatting>
  <conditionalFormatting sqref="I13:J13">
    <cfRule type="cellIs" dxfId="135" priority="83" stopIfTrue="1" operator="equal">
      <formula>"OK"</formula>
    </cfRule>
  </conditionalFormatting>
  <conditionalFormatting sqref="I13:J13">
    <cfRule type="cellIs" dxfId="134" priority="84" stopIfTrue="1" operator="equal">
      <formula>"Fail"</formula>
    </cfRule>
  </conditionalFormatting>
  <conditionalFormatting sqref="I5:J5">
    <cfRule type="cellIs" dxfId="133" priority="85" stopIfTrue="1" operator="equal">
      <formula>"OK"</formula>
    </cfRule>
  </conditionalFormatting>
  <conditionalFormatting sqref="I5:J5">
    <cfRule type="cellIs" dxfId="132" priority="86" stopIfTrue="1" operator="equal">
      <formula>"Fail"</formula>
    </cfRule>
  </conditionalFormatting>
  <conditionalFormatting sqref="I5:J5">
    <cfRule type="cellIs" dxfId="131" priority="87" stopIfTrue="1" operator="equal">
      <formula>"OK"</formula>
    </cfRule>
  </conditionalFormatting>
  <conditionalFormatting sqref="I5:J5">
    <cfRule type="cellIs" dxfId="130" priority="88" stopIfTrue="1" operator="equal">
      <formula>"Fail"</formula>
    </cfRule>
  </conditionalFormatting>
  <conditionalFormatting sqref="K63:K126">
    <cfRule type="containsText" dxfId="129" priority="89" operator="containsText" text="NG">
      <formula>NOT(ISERROR(SEARCH(("NG"),(K63))))</formula>
    </cfRule>
  </conditionalFormatting>
  <conditionalFormatting sqref="K63:K126">
    <cfRule type="containsText" dxfId="128" priority="90" operator="containsText" text="OK">
      <formula>NOT(ISERROR(SEARCH(("OK"),(K63))))</formula>
    </cfRule>
  </conditionalFormatting>
  <conditionalFormatting sqref="K127:K131">
    <cfRule type="containsText" dxfId="127" priority="91" operator="containsText" text="NG">
      <formula>NOT(ISERROR(SEARCH(("NG"),(K127))))</formula>
    </cfRule>
  </conditionalFormatting>
  <conditionalFormatting sqref="K127:K131">
    <cfRule type="containsText" dxfId="126" priority="92" operator="containsText" text="OK">
      <formula>NOT(ISERROR(SEARCH(("OK"),(K127))))</formula>
    </cfRule>
  </conditionalFormatting>
  <conditionalFormatting sqref="K101:K109">
    <cfRule type="containsText" dxfId="125" priority="93" operator="containsText" text="NG">
      <formula>NOT(ISERROR(SEARCH(("NG"),(K101))))</formula>
    </cfRule>
  </conditionalFormatting>
  <conditionalFormatting sqref="K101:K109">
    <cfRule type="containsText" dxfId="124" priority="94" operator="containsText" text="OK">
      <formula>NOT(ISERROR(SEARCH(("OK"),(K101))))</formula>
    </cfRule>
  </conditionalFormatting>
  <conditionalFormatting sqref="I3:J3">
    <cfRule type="cellIs" dxfId="123" priority="95" stopIfTrue="1" operator="equal">
      <formula>"OK"</formula>
    </cfRule>
  </conditionalFormatting>
  <conditionalFormatting sqref="I3:J3">
    <cfRule type="cellIs" dxfId="122" priority="96" stopIfTrue="1" operator="equal">
      <formula>"Fail"</formula>
    </cfRule>
  </conditionalFormatting>
  <conditionalFormatting sqref="I3:J3">
    <cfRule type="cellIs" dxfId="121" priority="97" stopIfTrue="1" operator="equal">
      <formula>"OK"</formula>
    </cfRule>
  </conditionalFormatting>
  <conditionalFormatting sqref="I3:J3">
    <cfRule type="cellIs" dxfId="120" priority="98" stopIfTrue="1" operator="equal">
      <formula>"Fail"</formula>
    </cfRule>
  </conditionalFormatting>
  <conditionalFormatting sqref="K32">
    <cfRule type="containsText" dxfId="119" priority="99" operator="containsText" text="NG">
      <formula>NOT(ISERROR(SEARCH(("NG"),(K32))))</formula>
    </cfRule>
  </conditionalFormatting>
  <conditionalFormatting sqref="K32">
    <cfRule type="containsText" dxfId="118" priority="100" operator="containsText" text="OK">
      <formula>NOT(ISERROR(SEARCH(("OK"),(K32))))</formula>
    </cfRule>
  </conditionalFormatting>
  <conditionalFormatting sqref="K184">
    <cfRule type="containsText" dxfId="117" priority="101" operator="containsText" text="NG">
      <formula>NOT(ISERROR(SEARCH(("NG"),(K184))))</formula>
    </cfRule>
  </conditionalFormatting>
  <conditionalFormatting sqref="K184">
    <cfRule type="containsText" dxfId="116" priority="102" operator="containsText" text="OK">
      <formula>NOT(ISERROR(SEARCH(("OK"),(K184))))</formula>
    </cfRule>
  </conditionalFormatting>
  <dataValidations count="3">
    <dataValidation type="list" allowBlank="1" showErrorMessage="1" sqref="O4:P5 O22 O24 O27:O32">
      <formula1>"필수,중요,선택"</formula1>
    </dataValidation>
    <dataValidation type="list" allowBlank="1" showErrorMessage="1" sqref="K4:L316">
      <formula1>"Pass,Fail,NA"</formula1>
    </dataValidation>
    <dataValidation type="list" allowBlank="1" showErrorMessage="1" sqref="O6:P19 O20:O21 O23 O25:P26 P27:P32 O33:P37 O38 O39:P62 O63:O126 O127:P131 O132:O273 O274:P316">
      <formula1>"Proto,M/CAR,Pilot,M,SOP"</formula1>
    </dataValidation>
  </dataValidations>
  <pageMargins left="0.7" right="0.7" top="0.75" bottom="0.75" header="0" footer="0"/>
  <pageSetup paperSize="9" scale="15"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BDD6EE"/>
  </sheetPr>
  <dimension ref="A1:AA1000"/>
  <sheetViews>
    <sheetView workbookViewId="0">
      <pane xSplit="2" ySplit="2" topLeftCell="I3" activePane="bottomRight" state="frozen"/>
      <selection pane="topRight" activeCell="C1" sqref="C1"/>
      <selection pane="bottomLeft" activeCell="A3" sqref="A3"/>
      <selection pane="bottomRight" activeCell="I17" sqref="I17"/>
    </sheetView>
  </sheetViews>
  <sheetFormatPr defaultColWidth="14.42578125" defaultRowHeight="15" customHeight="1"/>
  <cols>
    <col min="1" max="1" width="35.42578125" customWidth="1"/>
    <col min="2" max="3" width="9.42578125" customWidth="1"/>
    <col min="4" max="4" width="61" customWidth="1"/>
    <col min="5" max="5" width="61.5703125" customWidth="1"/>
    <col min="6" max="6" width="7.42578125" customWidth="1"/>
    <col min="7" max="7" width="10.28515625" customWidth="1"/>
    <col min="8" max="8" width="66.140625" customWidth="1"/>
    <col min="9" max="9" width="76.42578125" customWidth="1"/>
    <col min="10" max="10" width="52.85546875" style="326" customWidth="1"/>
    <col min="11" max="12" width="13.5703125" customWidth="1"/>
    <col min="13" max="13" width="26.42578125" customWidth="1"/>
    <col min="14" max="14" width="5.42578125" customWidth="1"/>
    <col min="15" max="15" width="12.85546875" customWidth="1"/>
    <col min="16" max="16" width="11.42578125" customWidth="1"/>
    <col min="17" max="17" width="7.5703125" customWidth="1"/>
    <col min="18" max="18" width="26.42578125" customWidth="1"/>
    <col min="19" max="19" width="7.5703125" customWidth="1"/>
    <col min="20" max="27" width="15.5703125" customWidth="1"/>
  </cols>
  <sheetData>
    <row r="1" spans="1:27" ht="39.75" customHeight="1">
      <c r="A1" s="8"/>
      <c r="B1" s="284" t="str">
        <f t="array" ref="B1">"DIA_"&amp;TEXT(MAX(IFERROR(--MID($B$2:$B$4984,5,3),0)),"000")</f>
        <v>DIA_041</v>
      </c>
      <c r="C1" s="285"/>
      <c r="D1" s="286"/>
      <c r="E1" s="287"/>
      <c r="F1" s="11"/>
      <c r="G1" s="11"/>
      <c r="H1" s="9"/>
      <c r="I1" s="9"/>
      <c r="J1" s="49"/>
      <c r="K1" s="11"/>
      <c r="L1" s="11"/>
      <c r="M1" s="49"/>
      <c r="N1" s="4"/>
      <c r="O1" s="11"/>
      <c r="P1" s="11"/>
      <c r="Q1" s="288"/>
      <c r="R1" s="11"/>
      <c r="S1" s="288"/>
    </row>
    <row r="2" spans="1:27" ht="48.75" customHeight="1">
      <c r="A2" s="12" t="s">
        <v>309</v>
      </c>
      <c r="B2" s="70" t="s">
        <v>310</v>
      </c>
      <c r="C2" s="70" t="s">
        <v>311</v>
      </c>
      <c r="D2" s="12" t="s">
        <v>6913</v>
      </c>
      <c r="E2" s="12" t="s">
        <v>313</v>
      </c>
      <c r="F2" s="70" t="s">
        <v>314</v>
      </c>
      <c r="G2" s="70" t="s">
        <v>315</v>
      </c>
      <c r="H2" s="12" t="s">
        <v>316</v>
      </c>
      <c r="I2" s="12" t="s">
        <v>317</v>
      </c>
      <c r="J2" s="70" t="s">
        <v>7999</v>
      </c>
      <c r="K2" s="70" t="s">
        <v>291</v>
      </c>
      <c r="L2" s="70" t="s">
        <v>318</v>
      </c>
      <c r="M2" s="70" t="s">
        <v>293</v>
      </c>
      <c r="N2" s="4"/>
      <c r="O2" s="70" t="s">
        <v>319</v>
      </c>
      <c r="P2" s="70" t="s">
        <v>320</v>
      </c>
      <c r="Q2" s="70" t="s">
        <v>321</v>
      </c>
      <c r="R2" s="70" t="s">
        <v>1</v>
      </c>
      <c r="S2" s="70" t="s">
        <v>322</v>
      </c>
    </row>
    <row r="3" spans="1:27" ht="15.75" customHeight="1">
      <c r="A3" s="15" t="s">
        <v>6914</v>
      </c>
      <c r="B3" s="16"/>
      <c r="C3" s="16"/>
      <c r="D3" s="17"/>
      <c r="E3" s="20"/>
      <c r="F3" s="19"/>
      <c r="G3" s="19"/>
      <c r="H3" s="17"/>
      <c r="I3" s="20"/>
      <c r="J3" s="20"/>
      <c r="K3" s="16"/>
      <c r="L3" s="16"/>
      <c r="M3" s="71"/>
      <c r="N3" s="4"/>
      <c r="O3" s="16"/>
      <c r="P3" s="16"/>
      <c r="Q3" s="16"/>
      <c r="R3" s="16"/>
      <c r="S3" s="16"/>
      <c r="T3" s="5"/>
      <c r="U3" s="5"/>
      <c r="V3" s="5"/>
      <c r="W3" s="5"/>
      <c r="X3" s="5"/>
      <c r="Y3" s="5"/>
      <c r="Z3" s="5"/>
      <c r="AA3" s="5"/>
    </row>
    <row r="4" spans="1:27" ht="15.75" customHeight="1">
      <c r="A4" s="368" t="s">
        <v>6915</v>
      </c>
      <c r="B4" s="350" t="s">
        <v>6916</v>
      </c>
      <c r="C4" s="31">
        <v>1</v>
      </c>
      <c r="D4" s="355" t="s">
        <v>6917</v>
      </c>
      <c r="E4" s="23" t="s">
        <v>6918</v>
      </c>
      <c r="F4" s="31"/>
      <c r="G4" s="31"/>
      <c r="H4" s="23" t="s">
        <v>6919</v>
      </c>
      <c r="I4" s="23" t="s">
        <v>6920</v>
      </c>
      <c r="J4" s="170"/>
      <c r="K4" s="50"/>
      <c r="L4" s="25"/>
      <c r="M4" s="66"/>
      <c r="N4" s="55"/>
      <c r="O4" s="28"/>
      <c r="P4" s="28"/>
      <c r="Q4" s="50" t="s">
        <v>282</v>
      </c>
      <c r="R4" s="25"/>
      <c r="S4" s="50"/>
      <c r="T4" s="65"/>
      <c r="U4" s="65"/>
      <c r="V4" s="65"/>
      <c r="W4" s="65"/>
      <c r="X4" s="65"/>
      <c r="Y4" s="65"/>
      <c r="Z4" s="65"/>
      <c r="AA4" s="65"/>
    </row>
    <row r="5" spans="1:27" ht="15.75" customHeight="1">
      <c r="A5" s="344"/>
      <c r="B5" s="344"/>
      <c r="C5" s="31">
        <v>2</v>
      </c>
      <c r="D5" s="344"/>
      <c r="E5" s="23" t="s">
        <v>6921</v>
      </c>
      <c r="F5" s="31"/>
      <c r="G5" s="31"/>
      <c r="H5" s="23" t="s">
        <v>6922</v>
      </c>
      <c r="I5" s="23" t="s">
        <v>6923</v>
      </c>
      <c r="J5" s="170"/>
      <c r="K5" s="25"/>
      <c r="L5" s="25"/>
      <c r="M5" s="66"/>
      <c r="N5" s="55"/>
      <c r="O5" s="28"/>
      <c r="P5" s="28"/>
      <c r="Q5" s="50" t="s">
        <v>282</v>
      </c>
      <c r="R5" s="25"/>
      <c r="S5" s="50"/>
      <c r="T5" s="65"/>
      <c r="U5" s="65"/>
      <c r="V5" s="65"/>
      <c r="W5" s="65"/>
      <c r="X5" s="65"/>
      <c r="Y5" s="65"/>
      <c r="Z5" s="65"/>
      <c r="AA5" s="65"/>
    </row>
    <row r="6" spans="1:27" ht="15.75" customHeight="1">
      <c r="A6" s="344"/>
      <c r="B6" s="344"/>
      <c r="C6" s="31">
        <v>3</v>
      </c>
      <c r="D6" s="344"/>
      <c r="E6" s="23" t="s">
        <v>6924</v>
      </c>
      <c r="F6" s="289"/>
      <c r="G6" s="289"/>
      <c r="H6" s="23" t="s">
        <v>6925</v>
      </c>
      <c r="I6" s="23" t="s">
        <v>6920</v>
      </c>
      <c r="J6" s="170"/>
      <c r="K6" s="25"/>
      <c r="L6" s="50"/>
      <c r="M6" s="66"/>
      <c r="N6" s="55"/>
      <c r="O6" s="28"/>
      <c r="P6" s="28"/>
      <c r="Q6" s="50" t="s">
        <v>282</v>
      </c>
      <c r="R6" s="25"/>
      <c r="S6" s="50"/>
      <c r="T6" s="65"/>
      <c r="U6" s="65"/>
      <c r="V6" s="65"/>
      <c r="W6" s="65"/>
      <c r="X6" s="65"/>
      <c r="Y6" s="65"/>
      <c r="Z6" s="65"/>
      <c r="AA6" s="65"/>
    </row>
    <row r="7" spans="1:27" ht="15.75" customHeight="1">
      <c r="A7" s="344"/>
      <c r="B7" s="344"/>
      <c r="C7" s="31">
        <v>4</v>
      </c>
      <c r="D7" s="344"/>
      <c r="E7" s="23" t="s">
        <v>6926</v>
      </c>
      <c r="F7" s="289"/>
      <c r="G7" s="289"/>
      <c r="H7" s="23" t="s">
        <v>6927</v>
      </c>
      <c r="I7" s="23" t="s">
        <v>6923</v>
      </c>
      <c r="J7" s="170"/>
      <c r="K7" s="25"/>
      <c r="L7" s="25"/>
      <c r="M7" s="66"/>
      <c r="N7" s="55"/>
      <c r="O7" s="28"/>
      <c r="P7" s="28"/>
      <c r="Q7" s="50" t="s">
        <v>282</v>
      </c>
      <c r="R7" s="25"/>
      <c r="S7" s="50"/>
      <c r="T7" s="65"/>
      <c r="U7" s="65"/>
      <c r="V7" s="65"/>
      <c r="W7" s="65"/>
      <c r="X7" s="65"/>
      <c r="Y7" s="65"/>
      <c r="Z7" s="65"/>
      <c r="AA7" s="65"/>
    </row>
    <row r="8" spans="1:27" ht="15.75" customHeight="1">
      <c r="A8" s="344"/>
      <c r="B8" s="344"/>
      <c r="C8" s="31">
        <v>5</v>
      </c>
      <c r="D8" s="344"/>
      <c r="E8" s="23" t="s">
        <v>6928</v>
      </c>
      <c r="F8" s="289"/>
      <c r="G8" s="289"/>
      <c r="H8" s="23" t="s">
        <v>6929</v>
      </c>
      <c r="I8" s="39" t="s">
        <v>6930</v>
      </c>
      <c r="J8" s="289"/>
      <c r="K8" s="25"/>
      <c r="L8" s="25"/>
      <c r="M8" s="66"/>
      <c r="N8" s="55"/>
      <c r="O8" s="28"/>
      <c r="P8" s="28"/>
      <c r="Q8" s="50" t="s">
        <v>282</v>
      </c>
      <c r="R8" s="25"/>
      <c r="S8" s="50"/>
      <c r="T8" s="65"/>
      <c r="U8" s="65"/>
      <c r="V8" s="65"/>
      <c r="W8" s="65"/>
      <c r="X8" s="65"/>
      <c r="Y8" s="65"/>
      <c r="Z8" s="65"/>
      <c r="AA8" s="65"/>
    </row>
    <row r="9" spans="1:27" ht="15.75" customHeight="1">
      <c r="A9" s="345"/>
      <c r="B9" s="345"/>
      <c r="C9" s="31">
        <v>6</v>
      </c>
      <c r="D9" s="345"/>
      <c r="E9" s="23" t="s">
        <v>6931</v>
      </c>
      <c r="F9" s="289"/>
      <c r="G9" s="289"/>
      <c r="H9" s="23" t="s">
        <v>6932</v>
      </c>
      <c r="I9" s="23" t="s">
        <v>6923</v>
      </c>
      <c r="J9" s="170"/>
      <c r="K9" s="25"/>
      <c r="L9" s="25"/>
      <c r="M9" s="66"/>
      <c r="N9" s="55"/>
      <c r="O9" s="28"/>
      <c r="P9" s="28"/>
      <c r="Q9" s="50" t="s">
        <v>282</v>
      </c>
      <c r="R9" s="25"/>
      <c r="S9" s="50"/>
      <c r="T9" s="65"/>
      <c r="U9" s="65"/>
      <c r="V9" s="65"/>
      <c r="W9" s="65"/>
      <c r="X9" s="65"/>
      <c r="Y9" s="65"/>
      <c r="Z9" s="65"/>
      <c r="AA9" s="65"/>
    </row>
    <row r="10" spans="1:27" ht="38.25" customHeight="1">
      <c r="A10" s="368" t="s">
        <v>6933</v>
      </c>
      <c r="B10" s="350" t="s">
        <v>285</v>
      </c>
      <c r="C10" s="31">
        <v>1</v>
      </c>
      <c r="D10" s="355" t="s">
        <v>6934</v>
      </c>
      <c r="E10" s="23" t="s">
        <v>6935</v>
      </c>
      <c r="F10" s="31" t="s">
        <v>326</v>
      </c>
      <c r="G10" s="31" t="s">
        <v>327</v>
      </c>
      <c r="H10" s="23" t="s">
        <v>6936</v>
      </c>
      <c r="I10" s="23" t="s">
        <v>6937</v>
      </c>
      <c r="J10" s="170"/>
      <c r="K10" s="25" t="s">
        <v>294</v>
      </c>
      <c r="L10" s="50"/>
      <c r="M10" s="66" t="s">
        <v>6938</v>
      </c>
      <c r="N10" s="55"/>
      <c r="O10" s="28"/>
      <c r="P10" s="50" t="s">
        <v>140</v>
      </c>
      <c r="Q10" s="50" t="s">
        <v>140</v>
      </c>
      <c r="R10" s="25"/>
      <c r="S10" s="50"/>
      <c r="T10" s="30"/>
      <c r="U10" s="30"/>
      <c r="V10" s="30"/>
      <c r="W10" s="30"/>
      <c r="X10" s="30"/>
      <c r="Y10" s="30"/>
      <c r="Z10" s="30"/>
      <c r="AA10" s="30"/>
    </row>
    <row r="11" spans="1:27" ht="38.25" customHeight="1">
      <c r="A11" s="344"/>
      <c r="B11" s="344"/>
      <c r="C11" s="31">
        <v>2</v>
      </c>
      <c r="D11" s="344"/>
      <c r="E11" s="23" t="s">
        <v>6939</v>
      </c>
      <c r="F11" s="31" t="s">
        <v>6940</v>
      </c>
      <c r="G11" s="31" t="s">
        <v>327</v>
      </c>
      <c r="H11" s="23" t="s">
        <v>5629</v>
      </c>
      <c r="I11" s="23" t="s">
        <v>6941</v>
      </c>
      <c r="J11" s="170"/>
      <c r="K11" s="25"/>
      <c r="L11" s="25"/>
      <c r="M11" s="26"/>
      <c r="N11" s="55"/>
      <c r="O11" s="28"/>
      <c r="P11" s="50" t="s">
        <v>282</v>
      </c>
      <c r="Q11" s="50" t="s">
        <v>282</v>
      </c>
      <c r="R11" s="25"/>
      <c r="S11" s="50"/>
      <c r="T11" s="30"/>
      <c r="U11" s="30"/>
      <c r="V11" s="30"/>
      <c r="W11" s="30"/>
      <c r="X11" s="30"/>
      <c r="Y11" s="30"/>
      <c r="Z11" s="30"/>
      <c r="AA11" s="30"/>
    </row>
    <row r="12" spans="1:27" ht="15.75" customHeight="1">
      <c r="A12" s="344"/>
      <c r="B12" s="344"/>
      <c r="C12" s="31">
        <v>3</v>
      </c>
      <c r="D12" s="344"/>
      <c r="E12" s="23" t="s">
        <v>6942</v>
      </c>
      <c r="F12" s="31" t="s">
        <v>361</v>
      </c>
      <c r="G12" s="31" t="s">
        <v>327</v>
      </c>
      <c r="H12" s="23" t="s">
        <v>6943</v>
      </c>
      <c r="I12" s="23" t="s">
        <v>6944</v>
      </c>
      <c r="J12" s="170"/>
      <c r="K12" s="25"/>
      <c r="L12" s="25"/>
      <c r="M12" s="26"/>
      <c r="N12" s="55"/>
      <c r="O12" s="28"/>
      <c r="P12" s="50" t="s">
        <v>282</v>
      </c>
      <c r="Q12" s="50" t="s">
        <v>282</v>
      </c>
      <c r="R12" s="25"/>
      <c r="S12" s="50"/>
      <c r="T12" s="30"/>
      <c r="U12" s="30"/>
      <c r="V12" s="30"/>
      <c r="W12" s="30"/>
      <c r="X12" s="30"/>
      <c r="Y12" s="30"/>
      <c r="Z12" s="30"/>
      <c r="AA12" s="30"/>
    </row>
    <row r="13" spans="1:27" ht="38.25" customHeight="1">
      <c r="A13" s="345"/>
      <c r="B13" s="345"/>
      <c r="C13" s="31">
        <v>4</v>
      </c>
      <c r="D13" s="345"/>
      <c r="E13" s="23" t="s">
        <v>6945</v>
      </c>
      <c r="F13" s="31" t="s">
        <v>6940</v>
      </c>
      <c r="G13" s="31" t="s">
        <v>327</v>
      </c>
      <c r="H13" s="23" t="s">
        <v>6946</v>
      </c>
      <c r="I13" s="23" t="s">
        <v>6947</v>
      </c>
      <c r="J13" s="170"/>
      <c r="K13" s="25" t="s">
        <v>294</v>
      </c>
      <c r="L13" s="25"/>
      <c r="M13" s="66" t="s">
        <v>6938</v>
      </c>
      <c r="N13" s="55"/>
      <c r="O13" s="28"/>
      <c r="P13" s="50" t="s">
        <v>140</v>
      </c>
      <c r="Q13" s="50" t="s">
        <v>140</v>
      </c>
      <c r="R13" s="25"/>
      <c r="S13" s="50"/>
      <c r="T13" s="30"/>
      <c r="U13" s="30"/>
      <c r="V13" s="30"/>
      <c r="W13" s="30"/>
      <c r="X13" s="30"/>
      <c r="Y13" s="30"/>
      <c r="Z13" s="30"/>
      <c r="AA13" s="30"/>
    </row>
    <row r="14" spans="1:27" ht="38.25" customHeight="1">
      <c r="A14" s="368" t="s">
        <v>6948</v>
      </c>
      <c r="B14" s="350" t="s">
        <v>6949</v>
      </c>
      <c r="C14" s="31">
        <v>1</v>
      </c>
      <c r="D14" s="355" t="s">
        <v>6950</v>
      </c>
      <c r="E14" s="23" t="s">
        <v>6951</v>
      </c>
      <c r="F14" s="31" t="s">
        <v>326</v>
      </c>
      <c r="G14" s="31" t="s">
        <v>327</v>
      </c>
      <c r="H14" s="23" t="s">
        <v>6952</v>
      </c>
      <c r="I14" s="23" t="s">
        <v>6953</v>
      </c>
      <c r="J14" s="170"/>
      <c r="K14" s="25" t="s">
        <v>294</v>
      </c>
      <c r="L14" s="25"/>
      <c r="M14" s="66" t="s">
        <v>6938</v>
      </c>
      <c r="N14" s="55"/>
      <c r="O14" s="28"/>
      <c r="P14" s="50" t="s">
        <v>140</v>
      </c>
      <c r="Q14" s="50" t="s">
        <v>140</v>
      </c>
      <c r="R14" s="25"/>
      <c r="S14" s="50"/>
      <c r="T14" s="30"/>
      <c r="U14" s="30"/>
      <c r="V14" s="30"/>
      <c r="W14" s="30"/>
      <c r="X14" s="30"/>
      <c r="Y14" s="30"/>
      <c r="Z14" s="30"/>
      <c r="AA14" s="30"/>
    </row>
    <row r="15" spans="1:27" ht="38.25" customHeight="1">
      <c r="A15" s="344"/>
      <c r="B15" s="344"/>
      <c r="C15" s="31">
        <v>2</v>
      </c>
      <c r="D15" s="344"/>
      <c r="E15" s="23" t="s">
        <v>6954</v>
      </c>
      <c r="F15" s="31" t="s">
        <v>6955</v>
      </c>
      <c r="G15" s="31" t="s">
        <v>327</v>
      </c>
      <c r="H15" s="23" t="s">
        <v>5629</v>
      </c>
      <c r="I15" s="23" t="s">
        <v>6956</v>
      </c>
      <c r="J15" s="170"/>
      <c r="K15" s="25"/>
      <c r="L15" s="25"/>
      <c r="M15" s="43"/>
      <c r="N15" s="55"/>
      <c r="O15" s="28"/>
      <c r="P15" s="50" t="s">
        <v>282</v>
      </c>
      <c r="Q15" s="50" t="s">
        <v>282</v>
      </c>
      <c r="R15" s="25"/>
      <c r="S15" s="50"/>
      <c r="T15" s="30"/>
      <c r="U15" s="30"/>
      <c r="V15" s="30"/>
      <c r="W15" s="30"/>
      <c r="X15" s="30"/>
      <c r="Y15" s="30"/>
      <c r="Z15" s="30"/>
      <c r="AA15" s="30"/>
    </row>
    <row r="16" spans="1:27" ht="38.25" customHeight="1">
      <c r="A16" s="344"/>
      <c r="B16" s="344"/>
      <c r="C16" s="31">
        <v>3</v>
      </c>
      <c r="D16" s="344"/>
      <c r="E16" s="23" t="s">
        <v>6957</v>
      </c>
      <c r="F16" s="31" t="s">
        <v>361</v>
      </c>
      <c r="G16" s="31" t="s">
        <v>327</v>
      </c>
      <c r="H16" s="23" t="s">
        <v>6958</v>
      </c>
      <c r="I16" s="23" t="s">
        <v>6959</v>
      </c>
      <c r="J16" s="170"/>
      <c r="K16" s="25"/>
      <c r="L16" s="25"/>
      <c r="M16" s="43"/>
      <c r="N16" s="55"/>
      <c r="O16" s="28"/>
      <c r="P16" s="50" t="s">
        <v>282</v>
      </c>
      <c r="Q16" s="50" t="s">
        <v>282</v>
      </c>
      <c r="R16" s="25"/>
      <c r="S16" s="50"/>
      <c r="T16" s="30"/>
      <c r="U16" s="30"/>
      <c r="V16" s="30"/>
      <c r="W16" s="30"/>
      <c r="X16" s="30"/>
      <c r="Y16" s="30"/>
      <c r="Z16" s="30"/>
      <c r="AA16" s="30"/>
    </row>
    <row r="17" spans="1:27" ht="38.25" customHeight="1">
      <c r="A17" s="345"/>
      <c r="B17" s="345"/>
      <c r="C17" s="31">
        <v>4</v>
      </c>
      <c r="D17" s="345"/>
      <c r="E17" s="23" t="s">
        <v>6960</v>
      </c>
      <c r="F17" s="31" t="s">
        <v>6955</v>
      </c>
      <c r="G17" s="31" t="s">
        <v>327</v>
      </c>
      <c r="H17" s="23" t="s">
        <v>6961</v>
      </c>
      <c r="I17" s="23" t="s">
        <v>6962</v>
      </c>
      <c r="J17" s="170"/>
      <c r="K17" s="25" t="s">
        <v>294</v>
      </c>
      <c r="L17" s="25"/>
      <c r="M17" s="66" t="s">
        <v>6938</v>
      </c>
      <c r="N17" s="55"/>
      <c r="O17" s="28"/>
      <c r="P17" s="50" t="s">
        <v>140</v>
      </c>
      <c r="Q17" s="50" t="s">
        <v>140</v>
      </c>
      <c r="R17" s="25"/>
      <c r="S17" s="50"/>
      <c r="T17" s="30"/>
      <c r="U17" s="30"/>
      <c r="V17" s="30"/>
      <c r="W17" s="30"/>
      <c r="X17" s="30"/>
      <c r="Y17" s="30"/>
      <c r="Z17" s="30"/>
      <c r="AA17" s="30"/>
    </row>
    <row r="18" spans="1:27" ht="54" customHeight="1">
      <c r="A18" s="368" t="s">
        <v>6963</v>
      </c>
      <c r="B18" s="350" t="s">
        <v>6964</v>
      </c>
      <c r="C18" s="31">
        <v>1</v>
      </c>
      <c r="D18" s="355" t="s">
        <v>6965</v>
      </c>
      <c r="E18" s="23" t="s">
        <v>6966</v>
      </c>
      <c r="F18" s="31" t="s">
        <v>326</v>
      </c>
      <c r="G18" s="31" t="s">
        <v>327</v>
      </c>
      <c r="H18" s="23" t="s">
        <v>6967</v>
      </c>
      <c r="I18" s="23" t="s">
        <v>6968</v>
      </c>
      <c r="J18" s="170"/>
      <c r="K18" s="25"/>
      <c r="L18" s="25"/>
      <c r="M18" s="43"/>
      <c r="N18" s="55"/>
      <c r="O18" s="28"/>
      <c r="P18" s="28"/>
      <c r="Q18" s="50" t="s">
        <v>282</v>
      </c>
      <c r="R18" s="25"/>
      <c r="S18" s="50"/>
      <c r="T18" s="65"/>
      <c r="U18" s="65"/>
      <c r="V18" s="65"/>
      <c r="W18" s="65"/>
      <c r="X18" s="65"/>
      <c r="Y18" s="65"/>
      <c r="Z18" s="65"/>
      <c r="AA18" s="65"/>
    </row>
    <row r="19" spans="1:27" ht="54" customHeight="1">
      <c r="A19" s="345"/>
      <c r="B19" s="345"/>
      <c r="C19" s="31">
        <v>2</v>
      </c>
      <c r="D19" s="345"/>
      <c r="E19" s="23" t="s">
        <v>6969</v>
      </c>
      <c r="F19" s="31" t="s">
        <v>326</v>
      </c>
      <c r="G19" s="31" t="s">
        <v>327</v>
      </c>
      <c r="H19" s="23" t="s">
        <v>6970</v>
      </c>
      <c r="I19" s="23" t="s">
        <v>6971</v>
      </c>
      <c r="J19" s="170"/>
      <c r="K19" s="25"/>
      <c r="L19" s="25"/>
      <c r="M19" s="43"/>
      <c r="N19" s="55"/>
      <c r="O19" s="28"/>
      <c r="P19" s="28"/>
      <c r="Q19" s="50" t="s">
        <v>282</v>
      </c>
      <c r="R19" s="25"/>
      <c r="S19" s="50"/>
      <c r="T19" s="65"/>
      <c r="U19" s="65"/>
      <c r="V19" s="65"/>
      <c r="W19" s="65"/>
      <c r="X19" s="65"/>
      <c r="Y19" s="65"/>
      <c r="Z19" s="65"/>
      <c r="AA19" s="65"/>
    </row>
    <row r="20" spans="1:27" ht="54.75" customHeight="1">
      <c r="A20" s="368" t="s">
        <v>6972</v>
      </c>
      <c r="B20" s="350" t="s">
        <v>6973</v>
      </c>
      <c r="C20" s="31">
        <v>1</v>
      </c>
      <c r="D20" s="355" t="s">
        <v>6974</v>
      </c>
      <c r="E20" s="23" t="s">
        <v>6975</v>
      </c>
      <c r="F20" s="31" t="s">
        <v>326</v>
      </c>
      <c r="G20" s="31" t="s">
        <v>327</v>
      </c>
      <c r="H20" s="23" t="s">
        <v>6976</v>
      </c>
      <c r="I20" s="23" t="s">
        <v>6977</v>
      </c>
      <c r="J20" s="170"/>
      <c r="K20" s="25"/>
      <c r="L20" s="50"/>
      <c r="M20" s="66"/>
      <c r="N20" s="55"/>
      <c r="O20" s="28"/>
      <c r="P20" s="28"/>
      <c r="Q20" s="50" t="s">
        <v>282</v>
      </c>
      <c r="R20" s="25"/>
      <c r="S20" s="50"/>
      <c r="T20" s="65"/>
      <c r="U20" s="65"/>
      <c r="V20" s="65"/>
      <c r="W20" s="65"/>
      <c r="X20" s="65"/>
      <c r="Y20" s="65"/>
      <c r="Z20" s="65"/>
      <c r="AA20" s="65"/>
    </row>
    <row r="21" spans="1:27" ht="54.75" customHeight="1">
      <c r="A21" s="345"/>
      <c r="B21" s="345"/>
      <c r="C21" s="31">
        <v>2</v>
      </c>
      <c r="D21" s="345"/>
      <c r="E21" s="23" t="s">
        <v>6978</v>
      </c>
      <c r="F21" s="31" t="s">
        <v>326</v>
      </c>
      <c r="G21" s="31" t="s">
        <v>327</v>
      </c>
      <c r="H21" s="23" t="s">
        <v>6979</v>
      </c>
      <c r="I21" s="23" t="s">
        <v>6980</v>
      </c>
      <c r="J21" s="170"/>
      <c r="K21" s="25"/>
      <c r="L21" s="25"/>
      <c r="M21" s="43"/>
      <c r="N21" s="55"/>
      <c r="O21" s="28"/>
      <c r="P21" s="28"/>
      <c r="Q21" s="50" t="s">
        <v>282</v>
      </c>
      <c r="R21" s="25"/>
      <c r="S21" s="50"/>
      <c r="T21" s="65"/>
      <c r="U21" s="65"/>
      <c r="V21" s="65"/>
      <c r="W21" s="65"/>
      <c r="X21" s="65"/>
      <c r="Y21" s="65"/>
      <c r="Z21" s="65"/>
      <c r="AA21" s="65"/>
    </row>
    <row r="22" spans="1:27" ht="63.75" customHeight="1">
      <c r="A22" s="368" t="s">
        <v>6981</v>
      </c>
      <c r="B22" s="350" t="s">
        <v>6982</v>
      </c>
      <c r="C22" s="31">
        <v>1</v>
      </c>
      <c r="D22" s="355" t="s">
        <v>6983</v>
      </c>
      <c r="E22" s="23" t="s">
        <v>6984</v>
      </c>
      <c r="F22" s="31" t="s">
        <v>326</v>
      </c>
      <c r="G22" s="31" t="s">
        <v>327</v>
      </c>
      <c r="H22" s="23" t="s">
        <v>6985</v>
      </c>
      <c r="I22" s="23" t="s">
        <v>6986</v>
      </c>
      <c r="J22" s="170"/>
      <c r="K22" s="25" t="s">
        <v>294</v>
      </c>
      <c r="L22" s="25"/>
      <c r="M22" s="43"/>
      <c r="N22" s="55"/>
      <c r="O22" s="28"/>
      <c r="P22" s="50" t="s">
        <v>140</v>
      </c>
      <c r="Q22" s="50" t="s">
        <v>140</v>
      </c>
      <c r="R22" s="25"/>
      <c r="S22" s="50"/>
      <c r="T22" s="65"/>
      <c r="U22" s="65"/>
      <c r="V22" s="65"/>
      <c r="W22" s="65"/>
      <c r="X22" s="65"/>
      <c r="Y22" s="65"/>
      <c r="Z22" s="65"/>
      <c r="AA22" s="65"/>
    </row>
    <row r="23" spans="1:27" ht="63.75" customHeight="1">
      <c r="A23" s="345"/>
      <c r="B23" s="345"/>
      <c r="C23" s="31">
        <v>2</v>
      </c>
      <c r="D23" s="345"/>
      <c r="E23" s="23" t="s">
        <v>6987</v>
      </c>
      <c r="F23" s="31" t="s">
        <v>326</v>
      </c>
      <c r="G23" s="31" t="s">
        <v>327</v>
      </c>
      <c r="H23" s="23" t="s">
        <v>6988</v>
      </c>
      <c r="I23" s="23" t="s">
        <v>6989</v>
      </c>
      <c r="J23" s="170"/>
      <c r="K23" s="25" t="s">
        <v>294</v>
      </c>
      <c r="L23" s="50"/>
      <c r="M23" s="66"/>
      <c r="N23" s="55"/>
      <c r="O23" s="28"/>
      <c r="P23" s="50" t="s">
        <v>140</v>
      </c>
      <c r="Q23" s="50" t="s">
        <v>140</v>
      </c>
      <c r="R23" s="25"/>
      <c r="S23" s="50"/>
      <c r="T23" s="65"/>
      <c r="U23" s="65"/>
      <c r="V23" s="65"/>
      <c r="W23" s="65"/>
      <c r="X23" s="65"/>
      <c r="Y23" s="65"/>
      <c r="Z23" s="65"/>
      <c r="AA23" s="65"/>
    </row>
    <row r="24" spans="1:27" ht="63.75" customHeight="1">
      <c r="A24" s="368" t="s">
        <v>6990</v>
      </c>
      <c r="B24" s="363" t="s">
        <v>79</v>
      </c>
      <c r="C24" s="31">
        <v>1</v>
      </c>
      <c r="D24" s="355" t="s">
        <v>6991</v>
      </c>
      <c r="E24" s="23" t="s">
        <v>6992</v>
      </c>
      <c r="F24" s="31" t="s">
        <v>326</v>
      </c>
      <c r="G24" s="31" t="s">
        <v>327</v>
      </c>
      <c r="H24" s="23" t="s">
        <v>6993</v>
      </c>
      <c r="I24" s="23" t="s">
        <v>6994</v>
      </c>
      <c r="J24" s="170"/>
      <c r="K24" s="25"/>
      <c r="L24" s="25"/>
      <c r="M24" s="43"/>
      <c r="N24" s="55"/>
      <c r="O24" s="28"/>
      <c r="P24" s="28"/>
      <c r="Q24" s="50" t="s">
        <v>282</v>
      </c>
      <c r="R24" s="25"/>
      <c r="S24" s="50"/>
      <c r="T24" s="65"/>
      <c r="U24" s="65"/>
      <c r="V24" s="65"/>
      <c r="W24" s="65"/>
      <c r="X24" s="65"/>
      <c r="Y24" s="65"/>
      <c r="Z24" s="65"/>
      <c r="AA24" s="65"/>
    </row>
    <row r="25" spans="1:27" ht="63.75" customHeight="1">
      <c r="A25" s="345"/>
      <c r="B25" s="345"/>
      <c r="C25" s="31">
        <v>2</v>
      </c>
      <c r="D25" s="345"/>
      <c r="E25" s="23" t="s">
        <v>6995</v>
      </c>
      <c r="F25" s="31" t="s">
        <v>326</v>
      </c>
      <c r="G25" s="31" t="s">
        <v>327</v>
      </c>
      <c r="H25" s="23" t="s">
        <v>6996</v>
      </c>
      <c r="I25" s="23" t="s">
        <v>6997</v>
      </c>
      <c r="J25" s="170"/>
      <c r="K25" s="25"/>
      <c r="L25" s="25"/>
      <c r="M25" s="43"/>
      <c r="N25" s="55"/>
      <c r="O25" s="28"/>
      <c r="P25" s="28"/>
      <c r="Q25" s="50" t="s">
        <v>282</v>
      </c>
      <c r="R25" s="25"/>
      <c r="S25" s="50"/>
      <c r="T25" s="65"/>
      <c r="U25" s="65"/>
      <c r="V25" s="65"/>
      <c r="W25" s="65"/>
      <c r="X25" s="65"/>
      <c r="Y25" s="65"/>
      <c r="Z25" s="65"/>
      <c r="AA25" s="65"/>
    </row>
    <row r="26" spans="1:27" ht="63.75" customHeight="1">
      <c r="A26" s="368" t="s">
        <v>6998</v>
      </c>
      <c r="B26" s="350" t="s">
        <v>6999</v>
      </c>
      <c r="C26" s="31">
        <v>1</v>
      </c>
      <c r="D26" s="355" t="s">
        <v>7000</v>
      </c>
      <c r="E26" s="23" t="s">
        <v>7001</v>
      </c>
      <c r="F26" s="31" t="s">
        <v>326</v>
      </c>
      <c r="G26" s="31" t="s">
        <v>327</v>
      </c>
      <c r="H26" s="23" t="s">
        <v>7002</v>
      </c>
      <c r="I26" s="23" t="s">
        <v>7003</v>
      </c>
      <c r="J26" s="170"/>
      <c r="K26" s="25"/>
      <c r="L26" s="25"/>
      <c r="M26" s="43"/>
      <c r="N26" s="55"/>
      <c r="O26" s="28"/>
      <c r="P26" s="28"/>
      <c r="Q26" s="50" t="s">
        <v>282</v>
      </c>
      <c r="R26" s="25"/>
      <c r="S26" s="50"/>
      <c r="T26" s="65"/>
      <c r="U26" s="65"/>
      <c r="V26" s="65"/>
      <c r="W26" s="65"/>
      <c r="X26" s="65"/>
      <c r="Y26" s="65"/>
      <c r="Z26" s="65"/>
      <c r="AA26" s="65"/>
    </row>
    <row r="27" spans="1:27" ht="63.75" customHeight="1">
      <c r="A27" s="345"/>
      <c r="B27" s="345"/>
      <c r="C27" s="31">
        <v>2</v>
      </c>
      <c r="D27" s="345"/>
      <c r="E27" s="23" t="s">
        <v>7004</v>
      </c>
      <c r="F27" s="31" t="s">
        <v>326</v>
      </c>
      <c r="G27" s="31" t="s">
        <v>327</v>
      </c>
      <c r="H27" s="23" t="s">
        <v>7005</v>
      </c>
      <c r="I27" s="23" t="s">
        <v>7006</v>
      </c>
      <c r="J27" s="170"/>
      <c r="K27" s="25"/>
      <c r="L27" s="25"/>
      <c r="M27" s="43"/>
      <c r="N27" s="55"/>
      <c r="O27" s="28"/>
      <c r="P27" s="28"/>
      <c r="Q27" s="50" t="s">
        <v>282</v>
      </c>
      <c r="R27" s="25"/>
      <c r="S27" s="50"/>
      <c r="T27" s="65"/>
      <c r="U27" s="65"/>
      <c r="V27" s="65"/>
      <c r="W27" s="65"/>
      <c r="X27" s="65"/>
      <c r="Y27" s="65"/>
      <c r="Z27" s="65"/>
      <c r="AA27" s="65"/>
    </row>
    <row r="28" spans="1:27" ht="48" customHeight="1">
      <c r="A28" s="368" t="s">
        <v>7007</v>
      </c>
      <c r="B28" s="350" t="s">
        <v>7008</v>
      </c>
      <c r="C28" s="31">
        <v>1</v>
      </c>
      <c r="D28" s="355" t="s">
        <v>7009</v>
      </c>
      <c r="E28" s="23" t="s">
        <v>7010</v>
      </c>
      <c r="F28" s="31" t="s">
        <v>326</v>
      </c>
      <c r="G28" s="31" t="s">
        <v>327</v>
      </c>
      <c r="H28" s="23" t="s">
        <v>7011</v>
      </c>
      <c r="I28" s="23" t="s">
        <v>7012</v>
      </c>
      <c r="J28" s="170"/>
      <c r="K28" s="25"/>
      <c r="L28" s="50"/>
      <c r="M28" s="66"/>
      <c r="N28" s="55"/>
      <c r="O28" s="28"/>
      <c r="P28" s="28"/>
      <c r="Q28" s="50" t="s">
        <v>282</v>
      </c>
      <c r="R28" s="25"/>
      <c r="S28" s="50"/>
      <c r="T28" s="65"/>
      <c r="U28" s="65"/>
      <c r="V28" s="65"/>
      <c r="W28" s="65"/>
      <c r="X28" s="65"/>
      <c r="Y28" s="65"/>
      <c r="Z28" s="65"/>
      <c r="AA28" s="65"/>
    </row>
    <row r="29" spans="1:27" ht="48" customHeight="1">
      <c r="A29" s="344"/>
      <c r="B29" s="344"/>
      <c r="C29" s="31">
        <v>2</v>
      </c>
      <c r="D29" s="344"/>
      <c r="E29" s="23" t="s">
        <v>7013</v>
      </c>
      <c r="F29" s="31" t="s">
        <v>326</v>
      </c>
      <c r="G29" s="31" t="s">
        <v>327</v>
      </c>
      <c r="H29" s="23" t="s">
        <v>7014</v>
      </c>
      <c r="I29" s="23" t="s">
        <v>7012</v>
      </c>
      <c r="J29" s="170"/>
      <c r="K29" s="25"/>
      <c r="L29" s="25"/>
      <c r="M29" s="43"/>
      <c r="N29" s="55"/>
      <c r="O29" s="28"/>
      <c r="P29" s="28"/>
      <c r="Q29" s="50" t="s">
        <v>282</v>
      </c>
      <c r="R29" s="25"/>
      <c r="S29" s="50"/>
      <c r="T29" s="65"/>
      <c r="U29" s="65"/>
      <c r="V29" s="65"/>
      <c r="W29" s="65"/>
      <c r="X29" s="65"/>
      <c r="Y29" s="65"/>
      <c r="Z29" s="65"/>
      <c r="AA29" s="65"/>
    </row>
    <row r="30" spans="1:27" ht="48" customHeight="1">
      <c r="A30" s="344"/>
      <c r="B30" s="344"/>
      <c r="C30" s="31">
        <v>3</v>
      </c>
      <c r="D30" s="344"/>
      <c r="E30" s="23" t="s">
        <v>7015</v>
      </c>
      <c r="F30" s="31" t="s">
        <v>326</v>
      </c>
      <c r="G30" s="31" t="s">
        <v>327</v>
      </c>
      <c r="H30" s="23" t="s">
        <v>7016</v>
      </c>
      <c r="I30" s="23" t="s">
        <v>7012</v>
      </c>
      <c r="J30" s="170"/>
      <c r="K30" s="25"/>
      <c r="L30" s="25"/>
      <c r="M30" s="43"/>
      <c r="N30" s="55"/>
      <c r="O30" s="28"/>
      <c r="P30" s="28"/>
      <c r="Q30" s="50" t="s">
        <v>282</v>
      </c>
      <c r="R30" s="25"/>
      <c r="S30" s="50"/>
      <c r="T30" s="65"/>
      <c r="U30" s="65"/>
      <c r="V30" s="65"/>
      <c r="W30" s="65"/>
      <c r="X30" s="65"/>
      <c r="Y30" s="65"/>
      <c r="Z30" s="65"/>
      <c r="AA30" s="65"/>
    </row>
    <row r="31" spans="1:27" ht="48" customHeight="1">
      <c r="A31" s="345"/>
      <c r="B31" s="345"/>
      <c r="C31" s="31">
        <v>4</v>
      </c>
      <c r="D31" s="345"/>
      <c r="E31" s="23" t="s">
        <v>7017</v>
      </c>
      <c r="F31" s="31" t="s">
        <v>326</v>
      </c>
      <c r="G31" s="31" t="s">
        <v>327</v>
      </c>
      <c r="H31" s="23" t="s">
        <v>7018</v>
      </c>
      <c r="I31" s="23" t="s">
        <v>7019</v>
      </c>
      <c r="J31" s="170"/>
      <c r="K31" s="25"/>
      <c r="L31" s="25"/>
      <c r="M31" s="43"/>
      <c r="N31" s="55"/>
      <c r="O31" s="28"/>
      <c r="P31" s="28"/>
      <c r="Q31" s="50" t="s">
        <v>282</v>
      </c>
      <c r="R31" s="25"/>
      <c r="S31" s="50"/>
      <c r="T31" s="65"/>
      <c r="U31" s="65"/>
      <c r="V31" s="65"/>
      <c r="W31" s="65"/>
      <c r="X31" s="65"/>
      <c r="Y31" s="65"/>
      <c r="Z31" s="65"/>
      <c r="AA31" s="65"/>
    </row>
    <row r="32" spans="1:27" ht="48" customHeight="1">
      <c r="A32" s="351" t="s">
        <v>7020</v>
      </c>
      <c r="B32" s="354" t="s">
        <v>70</v>
      </c>
      <c r="C32" s="34">
        <v>1</v>
      </c>
      <c r="D32" s="351" t="s">
        <v>7021</v>
      </c>
      <c r="E32" s="33" t="s">
        <v>7022</v>
      </c>
      <c r="F32" s="34" t="s">
        <v>326</v>
      </c>
      <c r="G32" s="34" t="s">
        <v>327</v>
      </c>
      <c r="H32" s="33" t="s">
        <v>7023</v>
      </c>
      <c r="I32" s="35" t="s">
        <v>7024</v>
      </c>
      <c r="J32" s="172"/>
      <c r="K32" s="25"/>
      <c r="L32" s="25"/>
      <c r="M32" s="43"/>
      <c r="N32" s="55"/>
      <c r="O32" s="28"/>
      <c r="P32" s="28"/>
      <c r="Q32" s="50" t="s">
        <v>140</v>
      </c>
      <c r="R32" s="25" t="s">
        <v>300</v>
      </c>
      <c r="S32" s="50"/>
      <c r="T32" s="65"/>
      <c r="U32" s="65"/>
      <c r="V32" s="65"/>
      <c r="W32" s="65"/>
      <c r="X32" s="65"/>
      <c r="Y32" s="65"/>
      <c r="Z32" s="65"/>
      <c r="AA32" s="65"/>
    </row>
    <row r="33" spans="1:27" ht="15.75" customHeight="1">
      <c r="A33" s="344"/>
      <c r="B33" s="344"/>
      <c r="C33" s="34">
        <v>2</v>
      </c>
      <c r="D33" s="344"/>
      <c r="E33" s="33" t="s">
        <v>7025</v>
      </c>
      <c r="F33" s="34" t="s">
        <v>326</v>
      </c>
      <c r="G33" s="34" t="s">
        <v>327</v>
      </c>
      <c r="H33" s="33" t="s">
        <v>7026</v>
      </c>
      <c r="I33" s="35" t="s">
        <v>7027</v>
      </c>
      <c r="J33" s="172"/>
      <c r="K33" s="25"/>
      <c r="L33" s="25"/>
      <c r="M33" s="43"/>
      <c r="N33" s="55"/>
      <c r="O33" s="28"/>
      <c r="P33" s="28"/>
      <c r="Q33" s="50" t="s">
        <v>140</v>
      </c>
      <c r="R33" s="25" t="s">
        <v>300</v>
      </c>
      <c r="S33" s="50"/>
      <c r="T33" s="65"/>
      <c r="U33" s="65"/>
      <c r="V33" s="65"/>
      <c r="W33" s="65"/>
      <c r="X33" s="65"/>
      <c r="Y33" s="65"/>
      <c r="Z33" s="65"/>
      <c r="AA33" s="65"/>
    </row>
    <row r="34" spans="1:27" ht="48" customHeight="1">
      <c r="A34" s="345"/>
      <c r="B34" s="345"/>
      <c r="C34" s="34">
        <v>3</v>
      </c>
      <c r="D34" s="345"/>
      <c r="E34" s="33" t="s">
        <v>7028</v>
      </c>
      <c r="F34" s="34" t="s">
        <v>326</v>
      </c>
      <c r="G34" s="34" t="s">
        <v>327</v>
      </c>
      <c r="H34" s="33" t="s">
        <v>7029</v>
      </c>
      <c r="I34" s="35" t="s">
        <v>7030</v>
      </c>
      <c r="J34" s="172"/>
      <c r="K34" s="25"/>
      <c r="L34" s="25"/>
      <c r="M34" s="43"/>
      <c r="N34" s="55"/>
      <c r="O34" s="28"/>
      <c r="P34" s="28"/>
      <c r="Q34" s="50" t="s">
        <v>140</v>
      </c>
      <c r="R34" s="25" t="s">
        <v>300</v>
      </c>
      <c r="S34" s="50"/>
      <c r="T34" s="65"/>
      <c r="U34" s="65"/>
      <c r="V34" s="65"/>
      <c r="W34" s="65"/>
      <c r="X34" s="65"/>
      <c r="Y34" s="65"/>
      <c r="Z34" s="65"/>
      <c r="AA34" s="65"/>
    </row>
    <row r="35" spans="1:27" ht="15.75" customHeight="1">
      <c r="A35" s="366" t="s">
        <v>7031</v>
      </c>
      <c r="B35" s="367" t="s">
        <v>132</v>
      </c>
      <c r="C35" s="61">
        <v>1</v>
      </c>
      <c r="D35" s="366" t="s">
        <v>7032</v>
      </c>
      <c r="E35" s="63" t="s">
        <v>7033</v>
      </c>
      <c r="F35" s="61" t="s">
        <v>326</v>
      </c>
      <c r="G35" s="61" t="s">
        <v>524</v>
      </c>
      <c r="H35" s="63" t="s">
        <v>7034</v>
      </c>
      <c r="I35" s="63" t="s">
        <v>7035</v>
      </c>
      <c r="J35" s="171"/>
      <c r="K35" s="25"/>
      <c r="L35" s="25"/>
      <c r="M35" s="43"/>
      <c r="N35" s="55"/>
      <c r="O35" s="28"/>
      <c r="P35" s="28"/>
      <c r="Q35" s="50" t="s">
        <v>282</v>
      </c>
      <c r="R35" s="25"/>
      <c r="S35" s="50"/>
      <c r="T35" s="65"/>
      <c r="U35" s="65"/>
      <c r="V35" s="65"/>
      <c r="W35" s="65"/>
      <c r="X35" s="65"/>
      <c r="Y35" s="65"/>
      <c r="Z35" s="65"/>
      <c r="AA35" s="65"/>
    </row>
    <row r="36" spans="1:27" ht="48" customHeight="1">
      <c r="A36" s="344"/>
      <c r="B36" s="344"/>
      <c r="C36" s="61">
        <v>2</v>
      </c>
      <c r="D36" s="344"/>
      <c r="E36" s="62" t="s">
        <v>7036</v>
      </c>
      <c r="F36" s="61" t="s">
        <v>326</v>
      </c>
      <c r="G36" s="61" t="s">
        <v>524</v>
      </c>
      <c r="H36" s="63" t="s">
        <v>7037</v>
      </c>
      <c r="I36" s="63" t="s">
        <v>7038</v>
      </c>
      <c r="J36" s="171"/>
      <c r="K36" s="25"/>
      <c r="L36" s="25"/>
      <c r="M36" s="43"/>
      <c r="N36" s="55"/>
      <c r="O36" s="28"/>
      <c r="P36" s="28"/>
      <c r="Q36" s="50" t="s">
        <v>282</v>
      </c>
      <c r="R36" s="25"/>
      <c r="S36" s="50"/>
      <c r="T36" s="65"/>
      <c r="U36" s="65"/>
      <c r="V36" s="65"/>
      <c r="W36" s="65"/>
      <c r="X36" s="65"/>
      <c r="Y36" s="65"/>
      <c r="Z36" s="65"/>
      <c r="AA36" s="65"/>
    </row>
    <row r="37" spans="1:27" ht="15.75" customHeight="1">
      <c r="A37" s="344"/>
      <c r="B37" s="344"/>
      <c r="C37" s="61">
        <v>3</v>
      </c>
      <c r="D37" s="344"/>
      <c r="E37" s="62" t="s">
        <v>7039</v>
      </c>
      <c r="F37" s="61" t="s">
        <v>361</v>
      </c>
      <c r="G37" s="61" t="s">
        <v>327</v>
      </c>
      <c r="H37" s="63" t="s">
        <v>7040</v>
      </c>
      <c r="I37" s="63" t="s">
        <v>7035</v>
      </c>
      <c r="J37" s="171"/>
      <c r="K37" s="25"/>
      <c r="L37" s="25"/>
      <c r="M37" s="43"/>
      <c r="N37" s="55"/>
      <c r="O37" s="28"/>
      <c r="P37" s="28"/>
      <c r="Q37" s="50" t="s">
        <v>282</v>
      </c>
      <c r="R37" s="25"/>
      <c r="S37" s="50"/>
      <c r="T37" s="65"/>
      <c r="U37" s="65"/>
      <c r="V37" s="65"/>
      <c r="W37" s="65"/>
      <c r="X37" s="65"/>
      <c r="Y37" s="65"/>
      <c r="Z37" s="65"/>
      <c r="AA37" s="65"/>
    </row>
    <row r="38" spans="1:27" ht="15.75" customHeight="1">
      <c r="A38" s="345"/>
      <c r="B38" s="345"/>
      <c r="C38" s="61">
        <v>4</v>
      </c>
      <c r="D38" s="345"/>
      <c r="E38" s="62" t="s">
        <v>7041</v>
      </c>
      <c r="F38" s="61" t="s">
        <v>361</v>
      </c>
      <c r="G38" s="61" t="s">
        <v>327</v>
      </c>
      <c r="H38" s="63" t="s">
        <v>7042</v>
      </c>
      <c r="I38" s="63" t="s">
        <v>7038</v>
      </c>
      <c r="J38" s="171"/>
      <c r="K38" s="25"/>
      <c r="L38" s="25"/>
      <c r="M38" s="43"/>
      <c r="N38" s="55"/>
      <c r="O38" s="28"/>
      <c r="P38" s="28"/>
      <c r="Q38" s="50" t="s">
        <v>282</v>
      </c>
      <c r="R38" s="25"/>
      <c r="S38" s="50"/>
      <c r="T38" s="65"/>
      <c r="U38" s="65"/>
      <c r="V38" s="65"/>
      <c r="W38" s="65"/>
      <c r="X38" s="65"/>
      <c r="Y38" s="65"/>
      <c r="Z38" s="65"/>
      <c r="AA38" s="65"/>
    </row>
    <row r="39" spans="1:27" ht="15.75" customHeight="1">
      <c r="A39" s="366" t="s">
        <v>7043</v>
      </c>
      <c r="B39" s="367" t="s">
        <v>133</v>
      </c>
      <c r="C39" s="61">
        <v>1</v>
      </c>
      <c r="D39" s="366" t="s">
        <v>7044</v>
      </c>
      <c r="E39" s="63" t="s">
        <v>7045</v>
      </c>
      <c r="F39" s="61" t="s">
        <v>326</v>
      </c>
      <c r="G39" s="61" t="s">
        <v>524</v>
      </c>
      <c r="H39" s="63" t="s">
        <v>7046</v>
      </c>
      <c r="I39" s="63" t="s">
        <v>7047</v>
      </c>
      <c r="J39" s="171"/>
      <c r="K39" s="25"/>
      <c r="L39" s="25"/>
      <c r="M39" s="43"/>
      <c r="N39" s="55"/>
      <c r="O39" s="28"/>
      <c r="P39" s="28"/>
      <c r="Q39" s="50" t="s">
        <v>282</v>
      </c>
      <c r="R39" s="25"/>
      <c r="S39" s="50"/>
      <c r="T39" s="65"/>
      <c r="U39" s="65"/>
      <c r="V39" s="65"/>
      <c r="W39" s="65"/>
      <c r="X39" s="65"/>
      <c r="Y39" s="65"/>
      <c r="Z39" s="65"/>
      <c r="AA39" s="65"/>
    </row>
    <row r="40" spans="1:27" ht="48" customHeight="1">
      <c r="A40" s="344"/>
      <c r="B40" s="344"/>
      <c r="C40" s="61">
        <v>2</v>
      </c>
      <c r="D40" s="344"/>
      <c r="E40" s="62" t="s">
        <v>7048</v>
      </c>
      <c r="F40" s="61" t="s">
        <v>326</v>
      </c>
      <c r="G40" s="61" t="s">
        <v>524</v>
      </c>
      <c r="H40" s="63" t="s">
        <v>7049</v>
      </c>
      <c r="I40" s="63" t="s">
        <v>7050</v>
      </c>
      <c r="J40" s="171"/>
      <c r="K40" s="25"/>
      <c r="L40" s="25"/>
      <c r="M40" s="43"/>
      <c r="N40" s="55"/>
      <c r="O40" s="28"/>
      <c r="P40" s="28"/>
      <c r="Q40" s="50" t="s">
        <v>282</v>
      </c>
      <c r="R40" s="25"/>
      <c r="S40" s="50"/>
      <c r="T40" s="65"/>
      <c r="U40" s="65"/>
      <c r="V40" s="65"/>
      <c r="W40" s="65"/>
      <c r="X40" s="65"/>
      <c r="Y40" s="65"/>
      <c r="Z40" s="65"/>
      <c r="AA40" s="65"/>
    </row>
    <row r="41" spans="1:27" ht="15.75" customHeight="1">
      <c r="A41" s="344"/>
      <c r="B41" s="344"/>
      <c r="C41" s="61">
        <v>3</v>
      </c>
      <c r="D41" s="344"/>
      <c r="E41" s="62" t="s">
        <v>7051</v>
      </c>
      <c r="F41" s="61" t="s">
        <v>361</v>
      </c>
      <c r="G41" s="61" t="s">
        <v>327</v>
      </c>
      <c r="H41" s="63" t="s">
        <v>7040</v>
      </c>
      <c r="I41" s="63" t="s">
        <v>7052</v>
      </c>
      <c r="J41" s="171"/>
      <c r="K41" s="25"/>
      <c r="L41" s="25"/>
      <c r="M41" s="43"/>
      <c r="N41" s="55"/>
      <c r="O41" s="28"/>
      <c r="P41" s="28"/>
      <c r="Q41" s="50" t="s">
        <v>282</v>
      </c>
      <c r="R41" s="25"/>
      <c r="S41" s="50"/>
      <c r="T41" s="65"/>
      <c r="U41" s="65"/>
      <c r="V41" s="65"/>
      <c r="W41" s="65"/>
      <c r="X41" s="65"/>
      <c r="Y41" s="65"/>
      <c r="Z41" s="65"/>
      <c r="AA41" s="65"/>
    </row>
    <row r="42" spans="1:27" ht="15.75" customHeight="1">
      <c r="A42" s="345"/>
      <c r="B42" s="345"/>
      <c r="C42" s="61">
        <v>4</v>
      </c>
      <c r="D42" s="345"/>
      <c r="E42" s="62" t="s">
        <v>7053</v>
      </c>
      <c r="F42" s="61" t="s">
        <v>361</v>
      </c>
      <c r="G42" s="61" t="s">
        <v>327</v>
      </c>
      <c r="H42" s="63" t="s">
        <v>7042</v>
      </c>
      <c r="I42" s="63" t="s">
        <v>7054</v>
      </c>
      <c r="J42" s="171"/>
      <c r="K42" s="25"/>
      <c r="L42" s="25"/>
      <c r="M42" s="43"/>
      <c r="N42" s="55"/>
      <c r="O42" s="28"/>
      <c r="P42" s="28"/>
      <c r="Q42" s="50" t="s">
        <v>282</v>
      </c>
      <c r="R42" s="25"/>
      <c r="S42" s="50"/>
      <c r="T42" s="65"/>
      <c r="U42" s="65"/>
      <c r="V42" s="65"/>
      <c r="W42" s="65"/>
      <c r="X42" s="65"/>
      <c r="Y42" s="65"/>
      <c r="Z42" s="65"/>
      <c r="AA42" s="65"/>
    </row>
    <row r="43" spans="1:27" ht="48" customHeight="1">
      <c r="A43" s="368" t="s">
        <v>7055</v>
      </c>
      <c r="B43" s="350" t="s">
        <v>7056</v>
      </c>
      <c r="C43" s="31">
        <v>1</v>
      </c>
      <c r="D43" s="355" t="s">
        <v>7057</v>
      </c>
      <c r="E43" s="23" t="s">
        <v>7058</v>
      </c>
      <c r="F43" s="360" t="s">
        <v>326</v>
      </c>
      <c r="G43" s="360" t="s">
        <v>327</v>
      </c>
      <c r="H43" s="23" t="s">
        <v>7059</v>
      </c>
      <c r="I43" s="23" t="s">
        <v>7060</v>
      </c>
      <c r="J43" s="170"/>
      <c r="K43" s="25" t="s">
        <v>294</v>
      </c>
      <c r="L43" s="50"/>
      <c r="M43" s="66"/>
      <c r="N43" s="55"/>
      <c r="O43" s="28"/>
      <c r="P43" s="28"/>
      <c r="Q43" s="50" t="s">
        <v>140</v>
      </c>
      <c r="R43" s="25"/>
      <c r="S43" s="50"/>
      <c r="T43" s="65"/>
      <c r="U43" s="65"/>
      <c r="V43" s="65"/>
      <c r="W43" s="65"/>
      <c r="X43" s="65"/>
      <c r="Y43" s="65"/>
      <c r="Z43" s="65"/>
      <c r="AA43" s="65"/>
    </row>
    <row r="44" spans="1:27" ht="48" customHeight="1">
      <c r="A44" s="344"/>
      <c r="B44" s="344"/>
      <c r="C44" s="31">
        <v>2</v>
      </c>
      <c r="D44" s="344"/>
      <c r="E44" s="23" t="s">
        <v>7061</v>
      </c>
      <c r="F44" s="344"/>
      <c r="G44" s="344"/>
      <c r="H44" s="23" t="s">
        <v>7062</v>
      </c>
      <c r="I44" s="23" t="s">
        <v>7063</v>
      </c>
      <c r="J44" s="170"/>
      <c r="K44" s="25" t="s">
        <v>294</v>
      </c>
      <c r="L44" s="50"/>
      <c r="M44" s="66"/>
      <c r="N44" s="55"/>
      <c r="O44" s="28"/>
      <c r="P44" s="28"/>
      <c r="Q44" s="50" t="s">
        <v>140</v>
      </c>
      <c r="R44" s="25"/>
      <c r="S44" s="50"/>
      <c r="T44" s="65"/>
      <c r="U44" s="65"/>
      <c r="V44" s="65"/>
      <c r="W44" s="65"/>
      <c r="X44" s="65"/>
      <c r="Y44" s="65"/>
      <c r="Z44" s="65"/>
      <c r="AA44" s="65"/>
    </row>
    <row r="45" spans="1:27" ht="48" customHeight="1">
      <c r="A45" s="344"/>
      <c r="B45" s="344"/>
      <c r="C45" s="31">
        <v>3</v>
      </c>
      <c r="D45" s="344"/>
      <c r="E45" s="23" t="s">
        <v>7064</v>
      </c>
      <c r="F45" s="345"/>
      <c r="G45" s="345"/>
      <c r="H45" s="23" t="s">
        <v>7065</v>
      </c>
      <c r="I45" s="23" t="s">
        <v>7066</v>
      </c>
      <c r="J45" s="170"/>
      <c r="K45" s="25" t="s">
        <v>294</v>
      </c>
      <c r="L45" s="50"/>
      <c r="M45" s="66"/>
      <c r="N45" s="55"/>
      <c r="O45" s="28"/>
      <c r="P45" s="28"/>
      <c r="Q45" s="50" t="s">
        <v>140</v>
      </c>
      <c r="R45" s="25"/>
      <c r="S45" s="50"/>
      <c r="T45" s="65"/>
      <c r="U45" s="65"/>
      <c r="V45" s="65"/>
      <c r="W45" s="65"/>
      <c r="X45" s="65"/>
      <c r="Y45" s="65"/>
      <c r="Z45" s="65"/>
      <c r="AA45" s="65"/>
    </row>
    <row r="46" spans="1:27" ht="48" customHeight="1">
      <c r="A46" s="368" t="s">
        <v>7067</v>
      </c>
      <c r="B46" s="344"/>
      <c r="C46" s="31">
        <v>4</v>
      </c>
      <c r="D46" s="355" t="s">
        <v>7067</v>
      </c>
      <c r="E46" s="23" t="s">
        <v>7058</v>
      </c>
      <c r="F46" s="360" t="s">
        <v>326</v>
      </c>
      <c r="G46" s="360" t="s">
        <v>327</v>
      </c>
      <c r="H46" s="23" t="s">
        <v>7068</v>
      </c>
      <c r="I46" s="23" t="s">
        <v>7060</v>
      </c>
      <c r="J46" s="170"/>
      <c r="K46" s="25" t="s">
        <v>294</v>
      </c>
      <c r="L46" s="25"/>
      <c r="M46" s="43"/>
      <c r="N46" s="55"/>
      <c r="O46" s="28"/>
      <c r="P46" s="28"/>
      <c r="Q46" s="50" t="s">
        <v>140</v>
      </c>
      <c r="R46" s="25"/>
      <c r="S46" s="50"/>
      <c r="T46" s="65"/>
      <c r="U46" s="65"/>
      <c r="V46" s="65"/>
      <c r="W46" s="65"/>
      <c r="X46" s="65"/>
      <c r="Y46" s="65"/>
      <c r="Z46" s="65"/>
      <c r="AA46" s="65"/>
    </row>
    <row r="47" spans="1:27" ht="48" customHeight="1">
      <c r="A47" s="344"/>
      <c r="B47" s="344"/>
      <c r="C47" s="31">
        <v>5</v>
      </c>
      <c r="D47" s="344"/>
      <c r="E47" s="23" t="s">
        <v>7061</v>
      </c>
      <c r="F47" s="344"/>
      <c r="G47" s="344"/>
      <c r="H47" s="23" t="s">
        <v>7069</v>
      </c>
      <c r="I47" s="23" t="s">
        <v>7063</v>
      </c>
      <c r="J47" s="170"/>
      <c r="K47" s="25" t="s">
        <v>294</v>
      </c>
      <c r="L47" s="50"/>
      <c r="M47" s="66"/>
      <c r="N47" s="55"/>
      <c r="O47" s="28"/>
      <c r="P47" s="28"/>
      <c r="Q47" s="50" t="s">
        <v>140</v>
      </c>
      <c r="R47" s="25"/>
      <c r="S47" s="50"/>
      <c r="T47" s="65"/>
      <c r="U47" s="65"/>
      <c r="V47" s="65"/>
      <c r="W47" s="65"/>
      <c r="X47" s="65"/>
      <c r="Y47" s="65"/>
      <c r="Z47" s="65"/>
      <c r="AA47" s="65"/>
    </row>
    <row r="48" spans="1:27" ht="48" customHeight="1">
      <c r="A48" s="345"/>
      <c r="B48" s="344"/>
      <c r="C48" s="31">
        <v>6</v>
      </c>
      <c r="D48" s="345"/>
      <c r="E48" s="23" t="s">
        <v>7064</v>
      </c>
      <c r="F48" s="345"/>
      <c r="G48" s="345"/>
      <c r="H48" s="23" t="s">
        <v>7070</v>
      </c>
      <c r="I48" s="23" t="s">
        <v>7066</v>
      </c>
      <c r="J48" s="170"/>
      <c r="K48" s="25" t="s">
        <v>294</v>
      </c>
      <c r="L48" s="25"/>
      <c r="M48" s="43"/>
      <c r="N48" s="55"/>
      <c r="O48" s="28"/>
      <c r="P48" s="28"/>
      <c r="Q48" s="50" t="s">
        <v>140</v>
      </c>
      <c r="R48" s="25"/>
      <c r="S48" s="50"/>
      <c r="T48" s="65"/>
      <c r="U48" s="65"/>
      <c r="V48" s="65"/>
      <c r="W48" s="65"/>
      <c r="X48" s="65"/>
      <c r="Y48" s="65"/>
      <c r="Z48" s="65"/>
      <c r="AA48" s="65"/>
    </row>
    <row r="49" spans="1:27" ht="48" customHeight="1">
      <c r="A49" s="368" t="s">
        <v>7071</v>
      </c>
      <c r="B49" s="344"/>
      <c r="C49" s="31">
        <v>7</v>
      </c>
      <c r="D49" s="355" t="s">
        <v>7071</v>
      </c>
      <c r="E49" s="23" t="s">
        <v>7058</v>
      </c>
      <c r="F49" s="360" t="s">
        <v>326</v>
      </c>
      <c r="G49" s="360" t="s">
        <v>327</v>
      </c>
      <c r="H49" s="23" t="s">
        <v>7072</v>
      </c>
      <c r="I49" s="23" t="s">
        <v>7060</v>
      </c>
      <c r="J49" s="170"/>
      <c r="K49" s="25" t="s">
        <v>294</v>
      </c>
      <c r="L49" s="25"/>
      <c r="M49" s="43"/>
      <c r="N49" s="55"/>
      <c r="O49" s="28"/>
      <c r="P49" s="28"/>
      <c r="Q49" s="50" t="s">
        <v>140</v>
      </c>
      <c r="R49" s="25"/>
      <c r="S49" s="50"/>
      <c r="T49" s="65"/>
      <c r="U49" s="65"/>
      <c r="V49" s="65"/>
      <c r="W49" s="65"/>
      <c r="X49" s="65"/>
      <c r="Y49" s="65"/>
      <c r="Z49" s="65"/>
      <c r="AA49" s="65"/>
    </row>
    <row r="50" spans="1:27" ht="48" customHeight="1">
      <c r="A50" s="344"/>
      <c r="B50" s="344"/>
      <c r="C50" s="31">
        <v>8</v>
      </c>
      <c r="D50" s="344"/>
      <c r="E50" s="23" t="s">
        <v>7061</v>
      </c>
      <c r="F50" s="344"/>
      <c r="G50" s="344"/>
      <c r="H50" s="23" t="s">
        <v>7073</v>
      </c>
      <c r="I50" s="23" t="s">
        <v>7063</v>
      </c>
      <c r="J50" s="170"/>
      <c r="K50" s="25" t="s">
        <v>294</v>
      </c>
      <c r="L50" s="50"/>
      <c r="M50" s="66"/>
      <c r="N50" s="55"/>
      <c r="O50" s="28"/>
      <c r="P50" s="28"/>
      <c r="Q50" s="50" t="s">
        <v>140</v>
      </c>
      <c r="R50" s="25"/>
      <c r="S50" s="50"/>
      <c r="T50" s="65"/>
      <c r="U50" s="65"/>
      <c r="V50" s="65"/>
      <c r="W50" s="65"/>
      <c r="X50" s="65"/>
      <c r="Y50" s="65"/>
      <c r="Z50" s="65"/>
      <c r="AA50" s="65"/>
    </row>
    <row r="51" spans="1:27" ht="48" customHeight="1">
      <c r="A51" s="344"/>
      <c r="B51" s="344"/>
      <c r="C51" s="31">
        <v>9</v>
      </c>
      <c r="D51" s="344"/>
      <c r="E51" s="23" t="s">
        <v>7074</v>
      </c>
      <c r="F51" s="344"/>
      <c r="G51" s="344"/>
      <c r="H51" s="23" t="s">
        <v>7075</v>
      </c>
      <c r="I51" s="23" t="s">
        <v>7076</v>
      </c>
      <c r="J51" s="170"/>
      <c r="K51" s="25" t="s">
        <v>294</v>
      </c>
      <c r="L51" s="25"/>
      <c r="M51" s="43"/>
      <c r="N51" s="55"/>
      <c r="O51" s="28"/>
      <c r="P51" s="28"/>
      <c r="Q51" s="50" t="s">
        <v>140</v>
      </c>
      <c r="R51" s="25"/>
      <c r="S51" s="50"/>
      <c r="T51" s="65"/>
      <c r="U51" s="65"/>
      <c r="V51" s="65"/>
      <c r="W51" s="65"/>
      <c r="X51" s="65"/>
      <c r="Y51" s="65"/>
      <c r="Z51" s="65"/>
      <c r="AA51" s="65"/>
    </row>
    <row r="52" spans="1:27" ht="15.75" customHeight="1">
      <c r="A52" s="344"/>
      <c r="B52" s="344"/>
      <c r="C52" s="31">
        <v>10</v>
      </c>
      <c r="D52" s="344"/>
      <c r="E52" s="23" t="s">
        <v>7077</v>
      </c>
      <c r="F52" s="344"/>
      <c r="G52" s="344"/>
      <c r="H52" s="23" t="s">
        <v>7078</v>
      </c>
      <c r="I52" s="23" t="s">
        <v>7079</v>
      </c>
      <c r="J52" s="170"/>
      <c r="K52" s="25" t="s">
        <v>294</v>
      </c>
      <c r="L52" s="25"/>
      <c r="M52" s="43"/>
      <c r="N52" s="55"/>
      <c r="O52" s="28"/>
      <c r="P52" s="28"/>
      <c r="Q52" s="50" t="s">
        <v>140</v>
      </c>
      <c r="R52" s="25"/>
      <c r="S52" s="50"/>
      <c r="T52" s="65"/>
      <c r="U52" s="65"/>
      <c r="V52" s="65"/>
      <c r="W52" s="65"/>
      <c r="X52" s="65"/>
      <c r="Y52" s="65"/>
      <c r="Z52" s="65"/>
      <c r="AA52" s="65"/>
    </row>
    <row r="53" spans="1:27" ht="15.75" customHeight="1">
      <c r="A53" s="344"/>
      <c r="B53" s="344"/>
      <c r="C53" s="31">
        <v>11</v>
      </c>
      <c r="D53" s="344"/>
      <c r="E53" s="23" t="s">
        <v>7080</v>
      </c>
      <c r="F53" s="344"/>
      <c r="G53" s="344"/>
      <c r="H53" s="23" t="s">
        <v>7081</v>
      </c>
      <c r="I53" s="23" t="s">
        <v>7060</v>
      </c>
      <c r="J53" s="170"/>
      <c r="K53" s="25" t="s">
        <v>294</v>
      </c>
      <c r="L53" s="25"/>
      <c r="M53" s="43"/>
      <c r="N53" s="55"/>
      <c r="O53" s="28"/>
      <c r="P53" s="28"/>
      <c r="Q53" s="50" t="s">
        <v>140</v>
      </c>
      <c r="R53" s="25"/>
      <c r="S53" s="50"/>
      <c r="T53" s="65"/>
      <c r="U53" s="65"/>
      <c r="V53" s="65"/>
      <c r="W53" s="65"/>
      <c r="X53" s="65"/>
      <c r="Y53" s="65"/>
      <c r="Z53" s="65"/>
      <c r="AA53" s="65"/>
    </row>
    <row r="54" spans="1:27" ht="15.75" customHeight="1">
      <c r="A54" s="345"/>
      <c r="B54" s="345"/>
      <c r="C54" s="31">
        <v>12</v>
      </c>
      <c r="D54" s="345"/>
      <c r="E54" s="23" t="s">
        <v>7082</v>
      </c>
      <c r="F54" s="345"/>
      <c r="G54" s="345"/>
      <c r="H54" s="23" t="s">
        <v>7083</v>
      </c>
      <c r="I54" s="23" t="s">
        <v>7060</v>
      </c>
      <c r="J54" s="170"/>
      <c r="K54" s="25" t="s">
        <v>294</v>
      </c>
      <c r="L54" s="25"/>
      <c r="M54" s="43"/>
      <c r="N54" s="55"/>
      <c r="O54" s="28"/>
      <c r="P54" s="28"/>
      <c r="Q54" s="50" t="s">
        <v>140</v>
      </c>
      <c r="R54" s="25"/>
      <c r="S54" s="50"/>
      <c r="T54" s="65"/>
      <c r="U54" s="65"/>
      <c r="V54" s="65"/>
      <c r="W54" s="65"/>
      <c r="X54" s="65"/>
      <c r="Y54" s="65"/>
      <c r="Z54" s="65"/>
      <c r="AA54" s="65"/>
    </row>
    <row r="55" spans="1:27" ht="15.75" customHeight="1">
      <c r="A55" s="355" t="s">
        <v>5625</v>
      </c>
      <c r="B55" s="350" t="s">
        <v>7084</v>
      </c>
      <c r="C55" s="31">
        <v>1</v>
      </c>
      <c r="D55" s="355" t="s">
        <v>5626</v>
      </c>
      <c r="E55" s="355" t="s">
        <v>5627</v>
      </c>
      <c r="F55" s="31" t="s">
        <v>5628</v>
      </c>
      <c r="G55" s="31" t="s">
        <v>327</v>
      </c>
      <c r="H55" s="23" t="s">
        <v>5629</v>
      </c>
      <c r="I55" s="23" t="s">
        <v>5630</v>
      </c>
      <c r="J55" s="170"/>
      <c r="K55" s="25"/>
      <c r="L55" s="25"/>
      <c r="M55" s="43"/>
      <c r="N55" s="55"/>
      <c r="O55" s="28"/>
      <c r="P55" s="28"/>
      <c r="Q55" s="50" t="s">
        <v>282</v>
      </c>
      <c r="R55" s="25"/>
      <c r="S55" s="50"/>
      <c r="T55" s="65"/>
      <c r="U55" s="65"/>
      <c r="V55" s="65"/>
      <c r="W55" s="65"/>
      <c r="X55" s="65"/>
      <c r="Y55" s="65"/>
      <c r="Z55" s="65"/>
      <c r="AA55" s="65"/>
    </row>
    <row r="56" spans="1:27" ht="15.75" customHeight="1">
      <c r="A56" s="344"/>
      <c r="B56" s="344"/>
      <c r="C56" s="31">
        <v>2</v>
      </c>
      <c r="D56" s="344"/>
      <c r="E56" s="344"/>
      <c r="F56" s="31" t="s">
        <v>5631</v>
      </c>
      <c r="G56" s="31" t="s">
        <v>327</v>
      </c>
      <c r="H56" s="23" t="s">
        <v>5632</v>
      </c>
      <c r="I56" s="23" t="s">
        <v>5633</v>
      </c>
      <c r="J56" s="170"/>
      <c r="K56" s="25"/>
      <c r="L56" s="25" t="s">
        <v>5634</v>
      </c>
      <c r="M56" s="43"/>
      <c r="N56" s="55"/>
      <c r="O56" s="28"/>
      <c r="P56" s="28"/>
      <c r="Q56" s="50" t="s">
        <v>282</v>
      </c>
      <c r="R56" s="25"/>
      <c r="S56" s="50"/>
      <c r="T56" s="65"/>
      <c r="U56" s="65"/>
      <c r="V56" s="65"/>
      <c r="W56" s="65"/>
      <c r="X56" s="65"/>
      <c r="Y56" s="65"/>
      <c r="Z56" s="65"/>
      <c r="AA56" s="65"/>
    </row>
    <row r="57" spans="1:27" ht="15.75" customHeight="1">
      <c r="A57" s="344"/>
      <c r="B57" s="344"/>
      <c r="C57" s="31">
        <v>3</v>
      </c>
      <c r="D57" s="344"/>
      <c r="E57" s="345"/>
      <c r="F57" s="31" t="s">
        <v>5635</v>
      </c>
      <c r="G57" s="31" t="s">
        <v>327</v>
      </c>
      <c r="H57" s="23" t="s">
        <v>5636</v>
      </c>
      <c r="I57" s="23" t="s">
        <v>5637</v>
      </c>
      <c r="J57" s="170"/>
      <c r="K57" s="25"/>
      <c r="L57" s="25" t="s">
        <v>5634</v>
      </c>
      <c r="M57" s="43"/>
      <c r="N57" s="55"/>
      <c r="O57" s="28"/>
      <c r="P57" s="28"/>
      <c r="Q57" s="50" t="s">
        <v>282</v>
      </c>
      <c r="R57" s="25"/>
      <c r="S57" s="50"/>
      <c r="T57" s="65"/>
      <c r="U57" s="65"/>
      <c r="V57" s="65"/>
      <c r="W57" s="65"/>
      <c r="X57" s="65"/>
      <c r="Y57" s="65"/>
      <c r="Z57" s="65"/>
      <c r="AA57" s="65"/>
    </row>
    <row r="58" spans="1:27" ht="15.75" customHeight="1">
      <c r="A58" s="344"/>
      <c r="B58" s="344"/>
      <c r="C58" s="31">
        <v>4</v>
      </c>
      <c r="D58" s="344"/>
      <c r="E58" s="355" t="s">
        <v>5638</v>
      </c>
      <c r="F58" s="31" t="s">
        <v>5639</v>
      </c>
      <c r="G58" s="31" t="s">
        <v>327</v>
      </c>
      <c r="H58" s="23" t="s">
        <v>5629</v>
      </c>
      <c r="I58" s="23" t="s">
        <v>5630</v>
      </c>
      <c r="J58" s="170"/>
      <c r="K58" s="25"/>
      <c r="L58" s="50"/>
      <c r="M58" s="66"/>
      <c r="N58" s="55"/>
      <c r="O58" s="28"/>
      <c r="P58" s="28"/>
      <c r="Q58" s="50" t="s">
        <v>282</v>
      </c>
      <c r="R58" s="25"/>
      <c r="S58" s="50"/>
      <c r="T58" s="65"/>
      <c r="U58" s="65"/>
      <c r="V58" s="65"/>
      <c r="W58" s="65"/>
      <c r="X58" s="65"/>
      <c r="Y58" s="65"/>
      <c r="Z58" s="65"/>
      <c r="AA58" s="65"/>
    </row>
    <row r="59" spans="1:27" ht="15.75" customHeight="1">
      <c r="A59" s="344"/>
      <c r="B59" s="344"/>
      <c r="C59" s="31">
        <v>5</v>
      </c>
      <c r="D59" s="344"/>
      <c r="E59" s="344"/>
      <c r="F59" s="31" t="s">
        <v>5640</v>
      </c>
      <c r="G59" s="31" t="s">
        <v>327</v>
      </c>
      <c r="H59" s="23" t="s">
        <v>5641</v>
      </c>
      <c r="I59" s="23" t="s">
        <v>5642</v>
      </c>
      <c r="J59" s="170"/>
      <c r="K59" s="25"/>
      <c r="L59" s="25" t="s">
        <v>5634</v>
      </c>
      <c r="M59" s="43"/>
      <c r="N59" s="55"/>
      <c r="O59" s="28"/>
      <c r="P59" s="28"/>
      <c r="Q59" s="50" t="s">
        <v>282</v>
      </c>
      <c r="R59" s="25"/>
      <c r="S59" s="50"/>
      <c r="T59" s="65"/>
      <c r="U59" s="65"/>
      <c r="V59" s="65"/>
      <c r="W59" s="65"/>
      <c r="X59" s="65"/>
      <c r="Y59" s="65"/>
      <c r="Z59" s="65"/>
      <c r="AA59" s="65"/>
    </row>
    <row r="60" spans="1:27" ht="15.75" customHeight="1">
      <c r="A60" s="345"/>
      <c r="B60" s="345"/>
      <c r="C60" s="31">
        <v>6</v>
      </c>
      <c r="D60" s="345"/>
      <c r="E60" s="345"/>
      <c r="F60" s="31" t="s">
        <v>5643</v>
      </c>
      <c r="G60" s="31" t="s">
        <v>327</v>
      </c>
      <c r="H60" s="23" t="s">
        <v>5644</v>
      </c>
      <c r="I60" s="23" t="s">
        <v>5645</v>
      </c>
      <c r="J60" s="170"/>
      <c r="K60" s="25"/>
      <c r="L60" s="25" t="s">
        <v>5634</v>
      </c>
      <c r="M60" s="43"/>
      <c r="N60" s="55"/>
      <c r="O60" s="28"/>
      <c r="P60" s="28"/>
      <c r="Q60" s="50" t="s">
        <v>282</v>
      </c>
      <c r="R60" s="25"/>
      <c r="S60" s="50"/>
      <c r="T60" s="65"/>
      <c r="U60" s="65"/>
      <c r="V60" s="65"/>
      <c r="W60" s="65"/>
      <c r="X60" s="65"/>
      <c r="Y60" s="65"/>
      <c r="Z60" s="65"/>
      <c r="AA60" s="65"/>
    </row>
    <row r="61" spans="1:27" ht="54.75" customHeight="1">
      <c r="A61" s="350" t="s">
        <v>7085</v>
      </c>
      <c r="B61" s="350" t="s">
        <v>66</v>
      </c>
      <c r="C61" s="31">
        <v>1</v>
      </c>
      <c r="D61" s="355" t="s">
        <v>7085</v>
      </c>
      <c r="E61" s="58" t="s">
        <v>7086</v>
      </c>
      <c r="F61" s="31" t="s">
        <v>326</v>
      </c>
      <c r="G61" s="31" t="s">
        <v>327</v>
      </c>
      <c r="H61" s="23" t="s">
        <v>7087</v>
      </c>
      <c r="I61" s="23" t="s">
        <v>7088</v>
      </c>
      <c r="J61" s="170"/>
      <c r="K61" s="25" t="s">
        <v>294</v>
      </c>
      <c r="L61" s="25"/>
      <c r="M61" s="43"/>
      <c r="N61" s="55"/>
      <c r="O61" s="28"/>
      <c r="P61" s="50" t="s">
        <v>140</v>
      </c>
      <c r="Q61" s="50" t="s">
        <v>140</v>
      </c>
      <c r="R61" s="25"/>
      <c r="S61" s="50"/>
      <c r="T61" s="65"/>
      <c r="U61" s="65"/>
      <c r="V61" s="65"/>
      <c r="W61" s="65"/>
      <c r="X61" s="65"/>
      <c r="Y61" s="65"/>
      <c r="Z61" s="65"/>
      <c r="AA61" s="65"/>
    </row>
    <row r="62" spans="1:27" ht="54.75" customHeight="1">
      <c r="A62" s="344"/>
      <c r="B62" s="344"/>
      <c r="C62" s="31">
        <v>2</v>
      </c>
      <c r="D62" s="344"/>
      <c r="E62" s="58" t="s">
        <v>7089</v>
      </c>
      <c r="F62" s="31" t="s">
        <v>326</v>
      </c>
      <c r="G62" s="31" t="s">
        <v>327</v>
      </c>
      <c r="H62" s="23" t="s">
        <v>7090</v>
      </c>
      <c r="I62" s="23" t="s">
        <v>7088</v>
      </c>
      <c r="J62" s="170"/>
      <c r="K62" s="25" t="s">
        <v>294</v>
      </c>
      <c r="L62" s="25"/>
      <c r="M62" s="43"/>
      <c r="N62" s="55"/>
      <c r="O62" s="28"/>
      <c r="P62" s="50" t="s">
        <v>140</v>
      </c>
      <c r="Q62" s="50" t="s">
        <v>140</v>
      </c>
      <c r="R62" s="25"/>
      <c r="S62" s="50"/>
      <c r="T62" s="65"/>
      <c r="U62" s="65"/>
      <c r="V62" s="65"/>
      <c r="W62" s="65"/>
      <c r="X62" s="65"/>
      <c r="Y62" s="65"/>
      <c r="Z62" s="65"/>
      <c r="AA62" s="65"/>
    </row>
    <row r="63" spans="1:27" ht="54.75" customHeight="1">
      <c r="A63" s="344"/>
      <c r="B63" s="344"/>
      <c r="C63" s="31">
        <v>3</v>
      </c>
      <c r="D63" s="344"/>
      <c r="E63" s="58" t="s">
        <v>7091</v>
      </c>
      <c r="F63" s="31" t="s">
        <v>326</v>
      </c>
      <c r="G63" s="31" t="s">
        <v>327</v>
      </c>
      <c r="H63" s="23" t="s">
        <v>7092</v>
      </c>
      <c r="I63" s="23" t="s">
        <v>7088</v>
      </c>
      <c r="J63" s="170"/>
      <c r="K63" s="25"/>
      <c r="L63" s="25"/>
      <c r="M63" s="43"/>
      <c r="N63" s="55"/>
      <c r="O63" s="28"/>
      <c r="P63" s="50" t="s">
        <v>282</v>
      </c>
      <c r="Q63" s="50" t="s">
        <v>282</v>
      </c>
      <c r="R63" s="25"/>
      <c r="S63" s="50"/>
      <c r="T63" s="65"/>
      <c r="U63" s="65"/>
      <c r="V63" s="65"/>
      <c r="W63" s="65"/>
      <c r="X63" s="65"/>
      <c r="Y63" s="65"/>
      <c r="Z63" s="65"/>
      <c r="AA63" s="65"/>
    </row>
    <row r="64" spans="1:27" ht="54.75" customHeight="1">
      <c r="A64" s="344"/>
      <c r="B64" s="344"/>
      <c r="C64" s="31">
        <v>4</v>
      </c>
      <c r="D64" s="344"/>
      <c r="E64" s="58" t="s">
        <v>7093</v>
      </c>
      <c r="F64" s="31" t="s">
        <v>326</v>
      </c>
      <c r="G64" s="31" t="s">
        <v>327</v>
      </c>
      <c r="H64" s="23" t="s">
        <v>7094</v>
      </c>
      <c r="I64" s="23" t="s">
        <v>7088</v>
      </c>
      <c r="J64" s="170"/>
      <c r="K64" s="25"/>
      <c r="L64" s="50"/>
      <c r="M64" s="66"/>
      <c r="N64" s="55"/>
      <c r="O64" s="28"/>
      <c r="P64" s="50" t="s">
        <v>282</v>
      </c>
      <c r="Q64" s="50" t="s">
        <v>282</v>
      </c>
      <c r="R64" s="25"/>
      <c r="S64" s="50"/>
      <c r="T64" s="65"/>
      <c r="U64" s="65"/>
      <c r="V64" s="65"/>
      <c r="W64" s="65"/>
      <c r="X64" s="65"/>
      <c r="Y64" s="65"/>
      <c r="Z64" s="65"/>
      <c r="AA64" s="65"/>
    </row>
    <row r="65" spans="1:27" ht="54.75" customHeight="1">
      <c r="A65" s="344"/>
      <c r="B65" s="344"/>
      <c r="C65" s="31">
        <v>5</v>
      </c>
      <c r="D65" s="344"/>
      <c r="E65" s="58" t="s">
        <v>7095</v>
      </c>
      <c r="F65" s="31" t="s">
        <v>326</v>
      </c>
      <c r="G65" s="31" t="s">
        <v>327</v>
      </c>
      <c r="H65" s="23" t="s">
        <v>7096</v>
      </c>
      <c r="I65" s="23" t="s">
        <v>7088</v>
      </c>
      <c r="J65" s="170"/>
      <c r="K65" s="25" t="s">
        <v>294</v>
      </c>
      <c r="L65" s="25"/>
      <c r="M65" s="43"/>
      <c r="N65" s="55"/>
      <c r="O65" s="28"/>
      <c r="P65" s="50" t="s">
        <v>140</v>
      </c>
      <c r="Q65" s="50" t="s">
        <v>140</v>
      </c>
      <c r="R65" s="25"/>
      <c r="S65" s="50"/>
      <c r="T65" s="65"/>
      <c r="U65" s="65"/>
      <c r="V65" s="65"/>
      <c r="W65" s="65"/>
      <c r="X65" s="65"/>
      <c r="Y65" s="65"/>
      <c r="Z65" s="65"/>
      <c r="AA65" s="65"/>
    </row>
    <row r="66" spans="1:27" ht="54.75" customHeight="1">
      <c r="A66" s="344"/>
      <c r="B66" s="344"/>
      <c r="C66" s="31">
        <v>6</v>
      </c>
      <c r="D66" s="344"/>
      <c r="E66" s="58" t="s">
        <v>7097</v>
      </c>
      <c r="F66" s="31" t="s">
        <v>326</v>
      </c>
      <c r="G66" s="31" t="s">
        <v>327</v>
      </c>
      <c r="H66" s="23" t="s">
        <v>7098</v>
      </c>
      <c r="I66" s="23" t="s">
        <v>7088</v>
      </c>
      <c r="J66" s="170"/>
      <c r="K66" s="25"/>
      <c r="L66" s="25"/>
      <c r="M66" s="43"/>
      <c r="N66" s="55"/>
      <c r="O66" s="28"/>
      <c r="P66" s="50" t="s">
        <v>282</v>
      </c>
      <c r="Q66" s="50" t="s">
        <v>282</v>
      </c>
      <c r="R66" s="25"/>
      <c r="S66" s="50"/>
      <c r="T66" s="65"/>
      <c r="U66" s="65"/>
      <c r="V66" s="65"/>
      <c r="W66" s="65"/>
      <c r="X66" s="65"/>
      <c r="Y66" s="65"/>
      <c r="Z66" s="65"/>
      <c r="AA66" s="65"/>
    </row>
    <row r="67" spans="1:27" ht="54.75" customHeight="1">
      <c r="A67" s="344"/>
      <c r="B67" s="344"/>
      <c r="C67" s="31">
        <v>7</v>
      </c>
      <c r="D67" s="344"/>
      <c r="E67" s="58" t="s">
        <v>7099</v>
      </c>
      <c r="F67" s="31" t="s">
        <v>326</v>
      </c>
      <c r="G67" s="31" t="s">
        <v>327</v>
      </c>
      <c r="H67" s="23" t="s">
        <v>7100</v>
      </c>
      <c r="I67" s="23" t="s">
        <v>7088</v>
      </c>
      <c r="J67" s="170"/>
      <c r="K67" s="25"/>
      <c r="L67" s="25"/>
      <c r="M67" s="43"/>
      <c r="N67" s="55"/>
      <c r="O67" s="28"/>
      <c r="P67" s="50" t="s">
        <v>282</v>
      </c>
      <c r="Q67" s="50" t="s">
        <v>282</v>
      </c>
      <c r="R67" s="25"/>
      <c r="S67" s="50"/>
      <c r="T67" s="65"/>
      <c r="U67" s="65"/>
      <c r="V67" s="65"/>
      <c r="W67" s="65"/>
      <c r="X67" s="65"/>
      <c r="Y67" s="65"/>
      <c r="Z67" s="65"/>
      <c r="AA67" s="65"/>
    </row>
    <row r="68" spans="1:27" ht="54.75" customHeight="1">
      <c r="A68" s="344"/>
      <c r="B68" s="344"/>
      <c r="C68" s="34">
        <v>8</v>
      </c>
      <c r="D68" s="344"/>
      <c r="E68" s="33" t="s">
        <v>7101</v>
      </c>
      <c r="F68" s="34" t="s">
        <v>361</v>
      </c>
      <c r="G68" s="34" t="s">
        <v>327</v>
      </c>
      <c r="H68" s="33" t="s">
        <v>7102</v>
      </c>
      <c r="I68" s="63" t="s">
        <v>7088</v>
      </c>
      <c r="J68" s="171"/>
      <c r="K68" s="25" t="s">
        <v>294</v>
      </c>
      <c r="L68" s="25"/>
      <c r="M68" s="43"/>
      <c r="N68" s="55"/>
      <c r="O68" s="28"/>
      <c r="P68" s="50" t="s">
        <v>140</v>
      </c>
      <c r="Q68" s="50" t="s">
        <v>140</v>
      </c>
      <c r="R68" s="25" t="s">
        <v>300</v>
      </c>
      <c r="S68" s="50"/>
      <c r="T68" s="65"/>
      <c r="U68" s="65"/>
      <c r="V68" s="65"/>
      <c r="W68" s="65"/>
      <c r="X68" s="65"/>
      <c r="Y68" s="65"/>
      <c r="Z68" s="65"/>
      <c r="AA68" s="65"/>
    </row>
    <row r="69" spans="1:27" ht="54.75" customHeight="1">
      <c r="A69" s="344"/>
      <c r="B69" s="344"/>
      <c r="C69" s="31">
        <v>9</v>
      </c>
      <c r="D69" s="344"/>
      <c r="E69" s="67" t="s">
        <v>7103</v>
      </c>
      <c r="F69" s="61" t="s">
        <v>361</v>
      </c>
      <c r="G69" s="61" t="s">
        <v>327</v>
      </c>
      <c r="H69" s="63" t="s">
        <v>7104</v>
      </c>
      <c r="I69" s="63" t="s">
        <v>7088</v>
      </c>
      <c r="J69" s="171"/>
      <c r="K69" s="25"/>
      <c r="L69" s="25"/>
      <c r="M69" s="43"/>
      <c r="N69" s="55"/>
      <c r="O69" s="28"/>
      <c r="P69" s="50" t="s">
        <v>282</v>
      </c>
      <c r="Q69" s="50" t="s">
        <v>282</v>
      </c>
      <c r="R69" s="25"/>
      <c r="S69" s="50"/>
      <c r="T69" s="65"/>
      <c r="U69" s="65"/>
      <c r="V69" s="65"/>
      <c r="W69" s="65"/>
      <c r="X69" s="65"/>
      <c r="Y69" s="65"/>
      <c r="Z69" s="65"/>
      <c r="AA69" s="65"/>
    </row>
    <row r="70" spans="1:27" ht="54.75" customHeight="1">
      <c r="A70" s="345"/>
      <c r="B70" s="345"/>
      <c r="C70" s="31">
        <v>10</v>
      </c>
      <c r="D70" s="345"/>
      <c r="E70" s="67" t="s">
        <v>7105</v>
      </c>
      <c r="F70" s="61" t="s">
        <v>361</v>
      </c>
      <c r="G70" s="61" t="s">
        <v>327</v>
      </c>
      <c r="H70" s="63" t="s">
        <v>7106</v>
      </c>
      <c r="I70" s="63" t="s">
        <v>7088</v>
      </c>
      <c r="J70" s="171"/>
      <c r="K70" s="25"/>
      <c r="L70" s="25"/>
      <c r="M70" s="43"/>
      <c r="N70" s="55"/>
      <c r="O70" s="28"/>
      <c r="P70" s="50" t="s">
        <v>282</v>
      </c>
      <c r="Q70" s="50" t="s">
        <v>282</v>
      </c>
      <c r="R70" s="25"/>
      <c r="S70" s="50"/>
      <c r="T70" s="65"/>
      <c r="U70" s="65"/>
      <c r="V70" s="65"/>
      <c r="W70" s="65"/>
      <c r="X70" s="65"/>
      <c r="Y70" s="65"/>
      <c r="Z70" s="65"/>
      <c r="AA70" s="65"/>
    </row>
    <row r="71" spans="1:27" ht="54.75" customHeight="1">
      <c r="A71" s="355" t="s">
        <v>68</v>
      </c>
      <c r="B71" s="350" t="s">
        <v>67</v>
      </c>
      <c r="C71" s="31">
        <v>1</v>
      </c>
      <c r="D71" s="355" t="s">
        <v>68</v>
      </c>
      <c r="E71" s="58" t="s">
        <v>7086</v>
      </c>
      <c r="F71" s="61" t="s">
        <v>326</v>
      </c>
      <c r="G71" s="61" t="s">
        <v>327</v>
      </c>
      <c r="H71" s="63" t="s">
        <v>7107</v>
      </c>
      <c r="I71" s="63" t="s">
        <v>7108</v>
      </c>
      <c r="J71" s="171"/>
      <c r="K71" s="25" t="s">
        <v>294</v>
      </c>
      <c r="L71" s="50"/>
      <c r="M71" s="66"/>
      <c r="N71" s="55"/>
      <c r="O71" s="28"/>
      <c r="P71" s="50" t="s">
        <v>140</v>
      </c>
      <c r="Q71" s="50" t="s">
        <v>140</v>
      </c>
      <c r="R71" s="25"/>
      <c r="S71" s="50"/>
      <c r="T71" s="65"/>
      <c r="U71" s="65"/>
      <c r="V71" s="65"/>
      <c r="W71" s="65"/>
      <c r="X71" s="65"/>
      <c r="Y71" s="65"/>
      <c r="Z71" s="65"/>
      <c r="AA71" s="65"/>
    </row>
    <row r="72" spans="1:27" ht="54.75" customHeight="1">
      <c r="A72" s="344"/>
      <c r="B72" s="344"/>
      <c r="C72" s="31">
        <v>2</v>
      </c>
      <c r="D72" s="344"/>
      <c r="E72" s="58" t="s">
        <v>7089</v>
      </c>
      <c r="F72" s="61" t="s">
        <v>326</v>
      </c>
      <c r="G72" s="61" t="s">
        <v>327</v>
      </c>
      <c r="H72" s="63" t="s">
        <v>7109</v>
      </c>
      <c r="I72" s="63" t="s">
        <v>7108</v>
      </c>
      <c r="J72" s="171"/>
      <c r="K72" s="25" t="s">
        <v>294</v>
      </c>
      <c r="L72" s="25"/>
      <c r="M72" s="43"/>
      <c r="N72" s="55"/>
      <c r="O72" s="28"/>
      <c r="P72" s="50" t="s">
        <v>140</v>
      </c>
      <c r="Q72" s="50" t="s">
        <v>140</v>
      </c>
      <c r="R72" s="25"/>
      <c r="S72" s="50"/>
      <c r="T72" s="65"/>
      <c r="U72" s="65"/>
      <c r="V72" s="65"/>
      <c r="W72" s="65"/>
      <c r="X72" s="65"/>
      <c r="Y72" s="65"/>
      <c r="Z72" s="65"/>
      <c r="AA72" s="65"/>
    </row>
    <row r="73" spans="1:27" ht="54.75" customHeight="1">
      <c r="A73" s="344"/>
      <c r="B73" s="344"/>
      <c r="C73" s="31">
        <v>3</v>
      </c>
      <c r="D73" s="344"/>
      <c r="E73" s="58" t="s">
        <v>7091</v>
      </c>
      <c r="F73" s="61" t="s">
        <v>326</v>
      </c>
      <c r="G73" s="61" t="s">
        <v>327</v>
      </c>
      <c r="H73" s="63" t="s">
        <v>7110</v>
      </c>
      <c r="I73" s="63" t="s">
        <v>7108</v>
      </c>
      <c r="J73" s="171"/>
      <c r="K73" s="25"/>
      <c r="L73" s="25"/>
      <c r="M73" s="43"/>
      <c r="N73" s="55"/>
      <c r="O73" s="28"/>
      <c r="P73" s="50" t="s">
        <v>282</v>
      </c>
      <c r="Q73" s="50" t="s">
        <v>282</v>
      </c>
      <c r="R73" s="25"/>
      <c r="S73" s="50"/>
      <c r="T73" s="65"/>
      <c r="U73" s="65"/>
      <c r="V73" s="65"/>
      <c r="W73" s="65"/>
      <c r="X73" s="65"/>
      <c r="Y73" s="65"/>
      <c r="Z73" s="65"/>
      <c r="AA73" s="65"/>
    </row>
    <row r="74" spans="1:27" ht="54.75" customHeight="1">
      <c r="A74" s="344"/>
      <c r="B74" s="344"/>
      <c r="C74" s="31">
        <v>4</v>
      </c>
      <c r="D74" s="344"/>
      <c r="E74" s="58" t="s">
        <v>7093</v>
      </c>
      <c r="F74" s="61" t="s">
        <v>326</v>
      </c>
      <c r="G74" s="61" t="s">
        <v>327</v>
      </c>
      <c r="H74" s="63" t="s">
        <v>7111</v>
      </c>
      <c r="I74" s="63" t="s">
        <v>7108</v>
      </c>
      <c r="J74" s="171"/>
      <c r="K74" s="25"/>
      <c r="L74" s="25"/>
      <c r="M74" s="43"/>
      <c r="N74" s="55"/>
      <c r="O74" s="28"/>
      <c r="P74" s="50" t="s">
        <v>282</v>
      </c>
      <c r="Q74" s="50" t="s">
        <v>282</v>
      </c>
      <c r="R74" s="25"/>
      <c r="S74" s="50"/>
      <c r="T74" s="65"/>
      <c r="U74" s="65"/>
      <c r="V74" s="65"/>
      <c r="W74" s="65"/>
      <c r="X74" s="65"/>
      <c r="Y74" s="65"/>
      <c r="Z74" s="65"/>
      <c r="AA74" s="65"/>
    </row>
    <row r="75" spans="1:27" ht="54.75" customHeight="1">
      <c r="A75" s="344"/>
      <c r="B75" s="344"/>
      <c r="C75" s="31">
        <v>5</v>
      </c>
      <c r="D75" s="344"/>
      <c r="E75" s="58" t="s">
        <v>7095</v>
      </c>
      <c r="F75" s="61" t="s">
        <v>326</v>
      </c>
      <c r="G75" s="61" t="s">
        <v>327</v>
      </c>
      <c r="H75" s="63" t="s">
        <v>7112</v>
      </c>
      <c r="I75" s="63" t="s">
        <v>7108</v>
      </c>
      <c r="J75" s="171"/>
      <c r="K75" s="25" t="s">
        <v>294</v>
      </c>
      <c r="L75" s="25"/>
      <c r="M75" s="43"/>
      <c r="N75" s="55"/>
      <c r="O75" s="28"/>
      <c r="P75" s="50" t="s">
        <v>140</v>
      </c>
      <c r="Q75" s="50" t="s">
        <v>140</v>
      </c>
      <c r="R75" s="25"/>
      <c r="S75" s="50"/>
      <c r="T75" s="65"/>
      <c r="U75" s="65"/>
      <c r="V75" s="65"/>
      <c r="W75" s="65"/>
      <c r="X75" s="65"/>
      <c r="Y75" s="65"/>
      <c r="Z75" s="65"/>
      <c r="AA75" s="65"/>
    </row>
    <row r="76" spans="1:27" ht="54.75" customHeight="1">
      <c r="A76" s="344"/>
      <c r="B76" s="344"/>
      <c r="C76" s="31">
        <v>6</v>
      </c>
      <c r="D76" s="344"/>
      <c r="E76" s="58" t="s">
        <v>7097</v>
      </c>
      <c r="F76" s="61" t="s">
        <v>326</v>
      </c>
      <c r="G76" s="61" t="s">
        <v>327</v>
      </c>
      <c r="H76" s="63" t="s">
        <v>7113</v>
      </c>
      <c r="I76" s="63" t="s">
        <v>7108</v>
      </c>
      <c r="J76" s="171"/>
      <c r="K76" s="25"/>
      <c r="L76" s="25"/>
      <c r="M76" s="43"/>
      <c r="N76" s="55"/>
      <c r="O76" s="28"/>
      <c r="P76" s="50" t="s">
        <v>282</v>
      </c>
      <c r="Q76" s="50" t="s">
        <v>282</v>
      </c>
      <c r="R76" s="25"/>
      <c r="S76" s="50"/>
      <c r="T76" s="65"/>
      <c r="U76" s="65"/>
      <c r="V76" s="65"/>
      <c r="W76" s="65"/>
      <c r="X76" s="65"/>
      <c r="Y76" s="65"/>
      <c r="Z76" s="65"/>
      <c r="AA76" s="65"/>
    </row>
    <row r="77" spans="1:27" ht="54.75" customHeight="1">
      <c r="A77" s="344"/>
      <c r="B77" s="344"/>
      <c r="C77" s="31">
        <v>7</v>
      </c>
      <c r="D77" s="344"/>
      <c r="E77" s="58" t="s">
        <v>7099</v>
      </c>
      <c r="F77" s="61" t="s">
        <v>326</v>
      </c>
      <c r="G77" s="61" t="s">
        <v>327</v>
      </c>
      <c r="H77" s="63" t="s">
        <v>7114</v>
      </c>
      <c r="I77" s="63" t="s">
        <v>7108</v>
      </c>
      <c r="J77" s="171"/>
      <c r="K77" s="25"/>
      <c r="L77" s="25"/>
      <c r="M77" s="43"/>
      <c r="N77" s="55"/>
      <c r="O77" s="28"/>
      <c r="P77" s="50" t="s">
        <v>282</v>
      </c>
      <c r="Q77" s="50" t="s">
        <v>282</v>
      </c>
      <c r="R77" s="25"/>
      <c r="S77" s="50"/>
      <c r="T77" s="65"/>
      <c r="U77" s="65"/>
      <c r="V77" s="65"/>
      <c r="W77" s="65"/>
      <c r="X77" s="65"/>
      <c r="Y77" s="65"/>
      <c r="Z77" s="65"/>
      <c r="AA77" s="65"/>
    </row>
    <row r="78" spans="1:27" ht="54.75" customHeight="1">
      <c r="A78" s="344"/>
      <c r="B78" s="344"/>
      <c r="C78" s="34">
        <v>8</v>
      </c>
      <c r="D78" s="344"/>
      <c r="E78" s="33" t="s">
        <v>7101</v>
      </c>
      <c r="F78" s="34" t="s">
        <v>361</v>
      </c>
      <c r="G78" s="34" t="s">
        <v>327</v>
      </c>
      <c r="H78" s="33" t="s">
        <v>7115</v>
      </c>
      <c r="I78" s="63" t="s">
        <v>7108</v>
      </c>
      <c r="J78" s="171"/>
      <c r="K78" s="25" t="s">
        <v>294</v>
      </c>
      <c r="L78" s="25"/>
      <c r="M78" s="43"/>
      <c r="N78" s="55"/>
      <c r="O78" s="28"/>
      <c r="P78" s="50" t="s">
        <v>140</v>
      </c>
      <c r="Q78" s="50" t="s">
        <v>140</v>
      </c>
      <c r="R78" s="25" t="s">
        <v>300</v>
      </c>
      <c r="S78" s="50"/>
      <c r="T78" s="65"/>
      <c r="U78" s="65"/>
      <c r="V78" s="65"/>
      <c r="W78" s="65"/>
      <c r="X78" s="65"/>
      <c r="Y78" s="65"/>
      <c r="Z78" s="65"/>
      <c r="AA78" s="65"/>
    </row>
    <row r="79" spans="1:27" ht="54.75" customHeight="1">
      <c r="A79" s="344"/>
      <c r="B79" s="344"/>
      <c r="C79" s="31">
        <v>9</v>
      </c>
      <c r="D79" s="344"/>
      <c r="E79" s="67" t="s">
        <v>7103</v>
      </c>
      <c r="F79" s="61" t="s">
        <v>361</v>
      </c>
      <c r="G79" s="61" t="s">
        <v>327</v>
      </c>
      <c r="H79" s="63" t="s">
        <v>7116</v>
      </c>
      <c r="I79" s="63" t="s">
        <v>7108</v>
      </c>
      <c r="J79" s="171"/>
      <c r="K79" s="25"/>
      <c r="L79" s="25"/>
      <c r="M79" s="43"/>
      <c r="N79" s="55"/>
      <c r="O79" s="28"/>
      <c r="P79" s="50" t="s">
        <v>282</v>
      </c>
      <c r="Q79" s="50" t="s">
        <v>282</v>
      </c>
      <c r="R79" s="25"/>
      <c r="S79" s="50"/>
      <c r="T79" s="65"/>
      <c r="U79" s="65"/>
      <c r="V79" s="65"/>
      <c r="W79" s="65"/>
      <c r="X79" s="65"/>
      <c r="Y79" s="65"/>
      <c r="Z79" s="65"/>
      <c r="AA79" s="65"/>
    </row>
    <row r="80" spans="1:27" ht="54.75" customHeight="1">
      <c r="A80" s="345"/>
      <c r="B80" s="345"/>
      <c r="C80" s="31">
        <v>10</v>
      </c>
      <c r="D80" s="345"/>
      <c r="E80" s="67" t="s">
        <v>7105</v>
      </c>
      <c r="F80" s="61" t="s">
        <v>361</v>
      </c>
      <c r="G80" s="61" t="s">
        <v>327</v>
      </c>
      <c r="H80" s="63" t="s">
        <v>7117</v>
      </c>
      <c r="I80" s="63" t="s">
        <v>7108</v>
      </c>
      <c r="J80" s="171"/>
      <c r="K80" s="25"/>
      <c r="L80" s="25"/>
      <c r="M80" s="43"/>
      <c r="N80" s="55"/>
      <c r="O80" s="28"/>
      <c r="P80" s="50" t="s">
        <v>282</v>
      </c>
      <c r="Q80" s="50" t="s">
        <v>282</v>
      </c>
      <c r="R80" s="25"/>
      <c r="S80" s="50"/>
      <c r="T80" s="65"/>
      <c r="U80" s="65"/>
      <c r="V80" s="65"/>
      <c r="W80" s="65"/>
      <c r="X80" s="65"/>
      <c r="Y80" s="65"/>
      <c r="Z80" s="65"/>
      <c r="AA80" s="65"/>
    </row>
    <row r="81" spans="1:27" ht="54.75" customHeight="1">
      <c r="A81" s="355" t="s">
        <v>7118</v>
      </c>
      <c r="B81" s="350" t="s">
        <v>69</v>
      </c>
      <c r="C81" s="31">
        <v>1</v>
      </c>
      <c r="D81" s="355" t="s">
        <v>7119</v>
      </c>
      <c r="E81" s="58" t="s">
        <v>7086</v>
      </c>
      <c r="F81" s="61" t="s">
        <v>326</v>
      </c>
      <c r="G81" s="61" t="s">
        <v>327</v>
      </c>
      <c r="H81" s="63" t="s">
        <v>7120</v>
      </c>
      <c r="I81" s="63" t="s">
        <v>7108</v>
      </c>
      <c r="J81" s="171"/>
      <c r="K81" s="25" t="s">
        <v>294</v>
      </c>
      <c r="L81" s="25"/>
      <c r="M81" s="43"/>
      <c r="N81" s="55"/>
      <c r="O81" s="28"/>
      <c r="P81" s="50" t="s">
        <v>140</v>
      </c>
      <c r="Q81" s="50" t="s">
        <v>140</v>
      </c>
      <c r="R81" s="25"/>
      <c r="S81" s="50"/>
      <c r="T81" s="65"/>
      <c r="U81" s="65"/>
      <c r="V81" s="65"/>
      <c r="W81" s="65"/>
      <c r="X81" s="65"/>
      <c r="Y81" s="65"/>
      <c r="Z81" s="65"/>
      <c r="AA81" s="65"/>
    </row>
    <row r="82" spans="1:27" ht="54.75" customHeight="1">
      <c r="A82" s="344"/>
      <c r="B82" s="344"/>
      <c r="C82" s="31">
        <v>2</v>
      </c>
      <c r="D82" s="344"/>
      <c r="E82" s="58" t="s">
        <v>7089</v>
      </c>
      <c r="F82" s="61" t="s">
        <v>326</v>
      </c>
      <c r="G82" s="61" t="s">
        <v>327</v>
      </c>
      <c r="H82" s="63" t="s">
        <v>7121</v>
      </c>
      <c r="I82" s="63" t="s">
        <v>7108</v>
      </c>
      <c r="J82" s="171"/>
      <c r="K82" s="25" t="s">
        <v>294</v>
      </c>
      <c r="L82" s="50"/>
      <c r="M82" s="66"/>
      <c r="N82" s="55"/>
      <c r="O82" s="28"/>
      <c r="P82" s="50" t="s">
        <v>140</v>
      </c>
      <c r="Q82" s="50" t="s">
        <v>140</v>
      </c>
      <c r="R82" s="25"/>
      <c r="S82" s="50"/>
      <c r="T82" s="65"/>
      <c r="U82" s="65"/>
      <c r="V82" s="65"/>
      <c r="W82" s="65"/>
      <c r="X82" s="65"/>
      <c r="Y82" s="65"/>
      <c r="Z82" s="65"/>
      <c r="AA82" s="65"/>
    </row>
    <row r="83" spans="1:27" ht="54.75" customHeight="1">
      <c r="A83" s="344"/>
      <c r="B83" s="344"/>
      <c r="C83" s="31">
        <v>3</v>
      </c>
      <c r="D83" s="344"/>
      <c r="E83" s="58" t="s">
        <v>7091</v>
      </c>
      <c r="F83" s="61" t="s">
        <v>326</v>
      </c>
      <c r="G83" s="61" t="s">
        <v>327</v>
      </c>
      <c r="H83" s="63" t="s">
        <v>7122</v>
      </c>
      <c r="I83" s="63" t="s">
        <v>7108</v>
      </c>
      <c r="J83" s="171"/>
      <c r="K83" s="25"/>
      <c r="L83" s="25"/>
      <c r="M83" s="43"/>
      <c r="N83" s="55"/>
      <c r="O83" s="28"/>
      <c r="P83" s="50" t="s">
        <v>282</v>
      </c>
      <c r="Q83" s="50" t="s">
        <v>282</v>
      </c>
      <c r="R83" s="25"/>
      <c r="S83" s="50"/>
      <c r="T83" s="65"/>
      <c r="U83" s="65"/>
      <c r="V83" s="65"/>
      <c r="W83" s="65"/>
      <c r="X83" s="65"/>
      <c r="Y83" s="65"/>
      <c r="Z83" s="65"/>
      <c r="AA83" s="65"/>
    </row>
    <row r="84" spans="1:27" ht="54.75" customHeight="1">
      <c r="A84" s="344"/>
      <c r="B84" s="344"/>
      <c r="C84" s="31">
        <v>4</v>
      </c>
      <c r="D84" s="344"/>
      <c r="E84" s="58" t="s">
        <v>7093</v>
      </c>
      <c r="F84" s="61" t="s">
        <v>326</v>
      </c>
      <c r="G84" s="61" t="s">
        <v>327</v>
      </c>
      <c r="H84" s="63" t="s">
        <v>7123</v>
      </c>
      <c r="I84" s="63" t="s">
        <v>7108</v>
      </c>
      <c r="J84" s="171"/>
      <c r="K84" s="25"/>
      <c r="L84" s="25"/>
      <c r="M84" s="43"/>
      <c r="N84" s="55"/>
      <c r="O84" s="28"/>
      <c r="P84" s="50" t="s">
        <v>282</v>
      </c>
      <c r="Q84" s="50" t="s">
        <v>282</v>
      </c>
      <c r="R84" s="25"/>
      <c r="S84" s="50"/>
      <c r="T84" s="65"/>
      <c r="U84" s="65"/>
      <c r="V84" s="65"/>
      <c r="W84" s="65"/>
      <c r="X84" s="65"/>
      <c r="Y84" s="65"/>
      <c r="Z84" s="65"/>
      <c r="AA84" s="65"/>
    </row>
    <row r="85" spans="1:27" ht="54.75" customHeight="1">
      <c r="A85" s="344"/>
      <c r="B85" s="344"/>
      <c r="C85" s="31">
        <v>5</v>
      </c>
      <c r="D85" s="344"/>
      <c r="E85" s="58" t="s">
        <v>7095</v>
      </c>
      <c r="F85" s="61" t="s">
        <v>326</v>
      </c>
      <c r="G85" s="61" t="s">
        <v>327</v>
      </c>
      <c r="H85" s="63" t="s">
        <v>7124</v>
      </c>
      <c r="I85" s="63" t="s">
        <v>7108</v>
      </c>
      <c r="J85" s="171"/>
      <c r="K85" s="25" t="s">
        <v>294</v>
      </c>
      <c r="L85" s="25"/>
      <c r="M85" s="43"/>
      <c r="N85" s="55"/>
      <c r="O85" s="28"/>
      <c r="P85" s="50" t="s">
        <v>140</v>
      </c>
      <c r="Q85" s="50" t="s">
        <v>140</v>
      </c>
      <c r="R85" s="25"/>
      <c r="S85" s="50"/>
      <c r="T85" s="65"/>
      <c r="U85" s="65"/>
      <c r="V85" s="65"/>
      <c r="W85" s="65"/>
      <c r="X85" s="65"/>
      <c r="Y85" s="65"/>
      <c r="Z85" s="65"/>
      <c r="AA85" s="65"/>
    </row>
    <row r="86" spans="1:27" ht="54.75" customHeight="1">
      <c r="A86" s="344"/>
      <c r="B86" s="344"/>
      <c r="C86" s="31">
        <v>6</v>
      </c>
      <c r="D86" s="344"/>
      <c r="E86" s="58" t="s">
        <v>7097</v>
      </c>
      <c r="F86" s="61" t="s">
        <v>326</v>
      </c>
      <c r="G86" s="61" t="s">
        <v>327</v>
      </c>
      <c r="H86" s="63" t="s">
        <v>7125</v>
      </c>
      <c r="I86" s="63" t="s">
        <v>7108</v>
      </c>
      <c r="J86" s="171"/>
      <c r="K86" s="25"/>
      <c r="L86" s="25"/>
      <c r="M86" s="43"/>
      <c r="N86" s="55"/>
      <c r="O86" s="28"/>
      <c r="P86" s="50" t="s">
        <v>282</v>
      </c>
      <c r="Q86" s="50" t="s">
        <v>282</v>
      </c>
      <c r="R86" s="25"/>
      <c r="S86" s="50"/>
      <c r="T86" s="65"/>
      <c r="U86" s="65"/>
      <c r="V86" s="65"/>
      <c r="W86" s="65"/>
      <c r="X86" s="65"/>
      <c r="Y86" s="65"/>
      <c r="Z86" s="65"/>
      <c r="AA86" s="65"/>
    </row>
    <row r="87" spans="1:27" ht="54.75" customHeight="1">
      <c r="A87" s="344"/>
      <c r="B87" s="344"/>
      <c r="C87" s="31">
        <v>7</v>
      </c>
      <c r="D87" s="344"/>
      <c r="E87" s="58" t="s">
        <v>7099</v>
      </c>
      <c r="F87" s="61" t="s">
        <v>326</v>
      </c>
      <c r="G87" s="61" t="s">
        <v>327</v>
      </c>
      <c r="H87" s="63" t="s">
        <v>7126</v>
      </c>
      <c r="I87" s="63" t="s">
        <v>7108</v>
      </c>
      <c r="J87" s="171"/>
      <c r="K87" s="25"/>
      <c r="L87" s="25"/>
      <c r="M87" s="43"/>
      <c r="N87" s="55"/>
      <c r="O87" s="28"/>
      <c r="P87" s="50" t="s">
        <v>282</v>
      </c>
      <c r="Q87" s="50" t="s">
        <v>282</v>
      </c>
      <c r="R87" s="25"/>
      <c r="S87" s="50"/>
      <c r="T87" s="65"/>
      <c r="U87" s="65"/>
      <c r="V87" s="65"/>
      <c r="W87" s="65"/>
      <c r="X87" s="65"/>
      <c r="Y87" s="65"/>
      <c r="Z87" s="65"/>
      <c r="AA87" s="65"/>
    </row>
    <row r="88" spans="1:27" ht="54.75" customHeight="1">
      <c r="A88" s="344"/>
      <c r="B88" s="344"/>
      <c r="C88" s="34">
        <v>8</v>
      </c>
      <c r="D88" s="344"/>
      <c r="E88" s="33" t="s">
        <v>7101</v>
      </c>
      <c r="F88" s="34" t="s">
        <v>361</v>
      </c>
      <c r="G88" s="34" t="s">
        <v>327</v>
      </c>
      <c r="H88" s="33" t="s">
        <v>7127</v>
      </c>
      <c r="I88" s="63" t="s">
        <v>7108</v>
      </c>
      <c r="J88" s="171"/>
      <c r="K88" s="25" t="s">
        <v>294</v>
      </c>
      <c r="L88" s="25"/>
      <c r="M88" s="43"/>
      <c r="N88" s="55"/>
      <c r="O88" s="28"/>
      <c r="P88" s="50" t="s">
        <v>140</v>
      </c>
      <c r="Q88" s="50" t="s">
        <v>140</v>
      </c>
      <c r="R88" s="25" t="s">
        <v>300</v>
      </c>
      <c r="S88" s="50"/>
      <c r="T88" s="65"/>
      <c r="U88" s="65"/>
      <c r="V88" s="65"/>
      <c r="W88" s="65"/>
      <c r="X88" s="65"/>
      <c r="Y88" s="65"/>
      <c r="Z88" s="65"/>
      <c r="AA88" s="65"/>
    </row>
    <row r="89" spans="1:27" ht="54.75" customHeight="1">
      <c r="A89" s="344"/>
      <c r="B89" s="344"/>
      <c r="C89" s="31">
        <v>9</v>
      </c>
      <c r="D89" s="344"/>
      <c r="E89" s="67" t="s">
        <v>7103</v>
      </c>
      <c r="F89" s="61" t="s">
        <v>361</v>
      </c>
      <c r="G89" s="61" t="s">
        <v>327</v>
      </c>
      <c r="H89" s="63" t="s">
        <v>7128</v>
      </c>
      <c r="I89" s="63" t="s">
        <v>7108</v>
      </c>
      <c r="J89" s="171"/>
      <c r="K89" s="25"/>
      <c r="L89" s="25"/>
      <c r="M89" s="43"/>
      <c r="N89" s="55"/>
      <c r="O89" s="28"/>
      <c r="P89" s="50" t="s">
        <v>282</v>
      </c>
      <c r="Q89" s="50" t="s">
        <v>282</v>
      </c>
      <c r="R89" s="25"/>
      <c r="S89" s="50"/>
      <c r="T89" s="65"/>
      <c r="U89" s="65"/>
      <c r="V89" s="65"/>
      <c r="W89" s="65"/>
      <c r="X89" s="65"/>
      <c r="Y89" s="65"/>
      <c r="Z89" s="65"/>
      <c r="AA89" s="65"/>
    </row>
    <row r="90" spans="1:27" ht="54.75" customHeight="1">
      <c r="A90" s="345"/>
      <c r="B90" s="345"/>
      <c r="C90" s="31">
        <v>10</v>
      </c>
      <c r="D90" s="345"/>
      <c r="E90" s="67" t="s">
        <v>7105</v>
      </c>
      <c r="F90" s="61" t="s">
        <v>361</v>
      </c>
      <c r="G90" s="61" t="s">
        <v>327</v>
      </c>
      <c r="H90" s="63" t="s">
        <v>7129</v>
      </c>
      <c r="I90" s="63" t="s">
        <v>7108</v>
      </c>
      <c r="J90" s="171"/>
      <c r="K90" s="25"/>
      <c r="L90" s="25"/>
      <c r="M90" s="43"/>
      <c r="N90" s="55"/>
      <c r="O90" s="28"/>
      <c r="P90" s="50" t="s">
        <v>282</v>
      </c>
      <c r="Q90" s="50" t="s">
        <v>282</v>
      </c>
      <c r="R90" s="25"/>
      <c r="S90" s="50"/>
      <c r="T90" s="65"/>
      <c r="U90" s="65"/>
      <c r="V90" s="65"/>
      <c r="W90" s="65"/>
      <c r="X90" s="65"/>
      <c r="Y90" s="65"/>
      <c r="Z90" s="65"/>
      <c r="AA90" s="65"/>
    </row>
    <row r="91" spans="1:27" ht="15.75" customHeight="1">
      <c r="A91" s="368" t="s">
        <v>7130</v>
      </c>
      <c r="B91" s="350" t="s">
        <v>7131</v>
      </c>
      <c r="C91" s="31">
        <v>1</v>
      </c>
      <c r="D91" s="355" t="s">
        <v>7130</v>
      </c>
      <c r="E91" s="63" t="s">
        <v>7132</v>
      </c>
      <c r="F91" s="61" t="s">
        <v>326</v>
      </c>
      <c r="G91" s="61" t="s">
        <v>327</v>
      </c>
      <c r="H91" s="63" t="s">
        <v>7133</v>
      </c>
      <c r="I91" s="63" t="s">
        <v>7134</v>
      </c>
      <c r="J91" s="171"/>
      <c r="K91" s="25" t="s">
        <v>294</v>
      </c>
      <c r="L91" s="25"/>
      <c r="M91" s="43"/>
      <c r="N91" s="55"/>
      <c r="O91" s="28"/>
      <c r="P91" s="28"/>
      <c r="Q91" s="50" t="s">
        <v>140</v>
      </c>
      <c r="R91" s="25"/>
      <c r="S91" s="50"/>
      <c r="T91" s="65"/>
      <c r="U91" s="65"/>
      <c r="V91" s="65"/>
      <c r="W91" s="65"/>
      <c r="X91" s="65"/>
      <c r="Y91" s="65"/>
      <c r="Z91" s="65"/>
      <c r="AA91" s="65"/>
    </row>
    <row r="92" spans="1:27" ht="16.5" customHeight="1">
      <c r="A92" s="344"/>
      <c r="B92" s="344"/>
      <c r="C92" s="31">
        <v>2</v>
      </c>
      <c r="D92" s="344"/>
      <c r="E92" s="63" t="s">
        <v>7135</v>
      </c>
      <c r="F92" s="61" t="s">
        <v>326</v>
      </c>
      <c r="G92" s="61" t="s">
        <v>327</v>
      </c>
      <c r="H92" s="63" t="s">
        <v>7136</v>
      </c>
      <c r="I92" s="63" t="s">
        <v>7137</v>
      </c>
      <c r="J92" s="171"/>
      <c r="K92" s="25" t="s">
        <v>294</v>
      </c>
      <c r="L92" s="25"/>
      <c r="M92" s="43"/>
      <c r="N92" s="55"/>
      <c r="O92" s="28"/>
      <c r="P92" s="28"/>
      <c r="Q92" s="50" t="s">
        <v>140</v>
      </c>
      <c r="R92" s="25"/>
      <c r="S92" s="50"/>
      <c r="T92" s="65"/>
      <c r="U92" s="65"/>
      <c r="V92" s="65"/>
      <c r="W92" s="65"/>
      <c r="X92" s="65"/>
      <c r="Y92" s="65"/>
      <c r="Z92" s="65"/>
      <c r="AA92" s="65"/>
    </row>
    <row r="93" spans="1:27" ht="16.5" customHeight="1">
      <c r="A93" s="344"/>
      <c r="B93" s="344"/>
      <c r="C93" s="31">
        <v>3</v>
      </c>
      <c r="D93" s="344"/>
      <c r="E93" s="63" t="s">
        <v>7138</v>
      </c>
      <c r="F93" s="61" t="s">
        <v>326</v>
      </c>
      <c r="G93" s="61" t="s">
        <v>327</v>
      </c>
      <c r="H93" s="63" t="s">
        <v>7139</v>
      </c>
      <c r="I93" s="63" t="s">
        <v>7140</v>
      </c>
      <c r="J93" s="171"/>
      <c r="K93" s="25" t="s">
        <v>294</v>
      </c>
      <c r="L93" s="50"/>
      <c r="M93" s="66"/>
      <c r="N93" s="55"/>
      <c r="O93" s="28"/>
      <c r="P93" s="28"/>
      <c r="Q93" s="50" t="s">
        <v>140</v>
      </c>
      <c r="R93" s="25"/>
      <c r="S93" s="50"/>
      <c r="T93" s="65"/>
      <c r="U93" s="65"/>
      <c r="V93" s="65"/>
      <c r="W93" s="65"/>
      <c r="X93" s="65"/>
      <c r="Y93" s="65"/>
      <c r="Z93" s="65"/>
      <c r="AA93" s="65"/>
    </row>
    <row r="94" spans="1:27" ht="16.5" customHeight="1">
      <c r="A94" s="344"/>
      <c r="B94" s="344"/>
      <c r="C94" s="31">
        <v>4</v>
      </c>
      <c r="D94" s="344"/>
      <c r="E94" s="63" t="s">
        <v>7141</v>
      </c>
      <c r="F94" s="61" t="s">
        <v>326</v>
      </c>
      <c r="G94" s="61" t="s">
        <v>327</v>
      </c>
      <c r="H94" s="63" t="s">
        <v>7142</v>
      </c>
      <c r="I94" s="63" t="s">
        <v>7140</v>
      </c>
      <c r="J94" s="171"/>
      <c r="K94" s="25" t="s">
        <v>294</v>
      </c>
      <c r="L94" s="25"/>
      <c r="M94" s="43"/>
      <c r="N94" s="55"/>
      <c r="O94" s="28"/>
      <c r="P94" s="28"/>
      <c r="Q94" s="50" t="s">
        <v>140</v>
      </c>
      <c r="R94" s="25"/>
      <c r="S94" s="50"/>
      <c r="T94" s="65"/>
      <c r="U94" s="65"/>
      <c r="V94" s="65"/>
      <c r="W94" s="65"/>
      <c r="X94" s="65"/>
      <c r="Y94" s="65"/>
      <c r="Z94" s="65"/>
      <c r="AA94" s="65"/>
    </row>
    <row r="95" spans="1:27" ht="16.5" customHeight="1">
      <c r="A95" s="344"/>
      <c r="B95" s="344"/>
      <c r="C95" s="31">
        <v>5</v>
      </c>
      <c r="D95" s="344"/>
      <c r="E95" s="63" t="s">
        <v>7143</v>
      </c>
      <c r="F95" s="61" t="s">
        <v>326</v>
      </c>
      <c r="G95" s="61" t="s">
        <v>327</v>
      </c>
      <c r="H95" s="63" t="s">
        <v>7144</v>
      </c>
      <c r="I95" s="63" t="s">
        <v>7140</v>
      </c>
      <c r="J95" s="171"/>
      <c r="K95" s="25" t="s">
        <v>294</v>
      </c>
      <c r="L95" s="25"/>
      <c r="M95" s="43"/>
      <c r="N95" s="55"/>
      <c r="O95" s="28"/>
      <c r="P95" s="28"/>
      <c r="Q95" s="50" t="s">
        <v>140</v>
      </c>
      <c r="R95" s="25"/>
      <c r="S95" s="50"/>
      <c r="T95" s="65"/>
      <c r="U95" s="65"/>
      <c r="V95" s="65"/>
      <c r="W95" s="65"/>
      <c r="X95" s="65"/>
      <c r="Y95" s="65"/>
      <c r="Z95" s="65"/>
      <c r="AA95" s="65"/>
    </row>
    <row r="96" spans="1:27" ht="15.75" customHeight="1">
      <c r="A96" s="344"/>
      <c r="B96" s="344"/>
      <c r="C96" s="31">
        <v>6</v>
      </c>
      <c r="D96" s="344"/>
      <c r="E96" s="63" t="s">
        <v>7145</v>
      </c>
      <c r="F96" s="61" t="s">
        <v>326</v>
      </c>
      <c r="G96" s="61" t="s">
        <v>327</v>
      </c>
      <c r="H96" s="63" t="s">
        <v>7146</v>
      </c>
      <c r="I96" s="63" t="s">
        <v>7147</v>
      </c>
      <c r="J96" s="171"/>
      <c r="K96" s="25" t="s">
        <v>294</v>
      </c>
      <c r="L96" s="25"/>
      <c r="M96" s="43"/>
      <c r="N96" s="55"/>
      <c r="O96" s="28"/>
      <c r="P96" s="28"/>
      <c r="Q96" s="50" t="s">
        <v>140</v>
      </c>
      <c r="R96" s="25"/>
      <c r="S96" s="50"/>
      <c r="T96" s="65"/>
      <c r="U96" s="65"/>
      <c r="V96" s="65"/>
      <c r="W96" s="65"/>
      <c r="X96" s="65"/>
      <c r="Y96" s="65"/>
      <c r="Z96" s="65"/>
      <c r="AA96" s="65"/>
    </row>
    <row r="97" spans="1:27" ht="15.75" customHeight="1">
      <c r="A97" s="344"/>
      <c r="B97" s="344"/>
      <c r="C97" s="31">
        <v>7</v>
      </c>
      <c r="D97" s="344"/>
      <c r="E97" s="63" t="s">
        <v>7148</v>
      </c>
      <c r="F97" s="61" t="s">
        <v>326</v>
      </c>
      <c r="G97" s="61" t="s">
        <v>327</v>
      </c>
      <c r="H97" s="63" t="s">
        <v>7149</v>
      </c>
      <c r="I97" s="63" t="s">
        <v>7150</v>
      </c>
      <c r="J97" s="171"/>
      <c r="K97" s="25" t="s">
        <v>294</v>
      </c>
      <c r="L97" s="25"/>
      <c r="M97" s="43"/>
      <c r="N97" s="55"/>
      <c r="O97" s="28"/>
      <c r="P97" s="28"/>
      <c r="Q97" s="50" t="s">
        <v>140</v>
      </c>
      <c r="R97" s="25"/>
      <c r="S97" s="50"/>
      <c r="T97" s="65"/>
      <c r="U97" s="65"/>
      <c r="V97" s="65"/>
      <c r="W97" s="65"/>
      <c r="X97" s="65"/>
      <c r="Y97" s="65"/>
      <c r="Z97" s="65"/>
      <c r="AA97" s="65"/>
    </row>
    <row r="98" spans="1:27" ht="15.75" customHeight="1">
      <c r="A98" s="344"/>
      <c r="B98" s="344"/>
      <c r="C98" s="31">
        <v>8</v>
      </c>
      <c r="D98" s="344"/>
      <c r="E98" s="63" t="s">
        <v>7151</v>
      </c>
      <c r="F98" s="61" t="s">
        <v>326</v>
      </c>
      <c r="G98" s="61" t="s">
        <v>327</v>
      </c>
      <c r="H98" s="63" t="s">
        <v>7152</v>
      </c>
      <c r="I98" s="63" t="s">
        <v>7153</v>
      </c>
      <c r="J98" s="171"/>
      <c r="K98" s="25" t="s">
        <v>294</v>
      </c>
      <c r="L98" s="25"/>
      <c r="M98" s="43"/>
      <c r="N98" s="55"/>
      <c r="O98" s="28"/>
      <c r="P98" s="28"/>
      <c r="Q98" s="50" t="s">
        <v>140</v>
      </c>
      <c r="R98" s="25"/>
      <c r="S98" s="50"/>
      <c r="T98" s="65"/>
      <c r="U98" s="65"/>
      <c r="V98" s="65"/>
      <c r="W98" s="65"/>
      <c r="X98" s="65"/>
      <c r="Y98" s="65"/>
      <c r="Z98" s="65"/>
      <c r="AA98" s="65"/>
    </row>
    <row r="99" spans="1:27" ht="15.75" customHeight="1">
      <c r="A99" s="345"/>
      <c r="B99" s="345"/>
      <c r="C99" s="31">
        <v>9</v>
      </c>
      <c r="D99" s="345"/>
      <c r="E99" s="63" t="s">
        <v>7154</v>
      </c>
      <c r="F99" s="61" t="s">
        <v>326</v>
      </c>
      <c r="G99" s="61" t="s">
        <v>327</v>
      </c>
      <c r="H99" s="63" t="s">
        <v>7155</v>
      </c>
      <c r="I99" s="63" t="s">
        <v>7156</v>
      </c>
      <c r="J99" s="171"/>
      <c r="K99" s="25"/>
      <c r="L99" s="25"/>
      <c r="M99" s="43"/>
      <c r="N99" s="55"/>
      <c r="O99" s="28"/>
      <c r="P99" s="28"/>
      <c r="Q99" s="50" t="s">
        <v>282</v>
      </c>
      <c r="R99" s="25"/>
      <c r="S99" s="50"/>
      <c r="T99" s="65"/>
      <c r="U99" s="65"/>
      <c r="V99" s="65"/>
      <c r="W99" s="65"/>
      <c r="X99" s="65"/>
      <c r="Y99" s="65"/>
      <c r="Z99" s="65"/>
      <c r="AA99" s="65"/>
    </row>
    <row r="100" spans="1:27" ht="16.5" customHeight="1">
      <c r="A100" s="368" t="s">
        <v>7157</v>
      </c>
      <c r="B100" s="350" t="s">
        <v>7158</v>
      </c>
      <c r="C100" s="31">
        <v>1</v>
      </c>
      <c r="D100" s="355" t="s">
        <v>7157</v>
      </c>
      <c r="E100" s="63" t="s">
        <v>7159</v>
      </c>
      <c r="F100" s="61" t="s">
        <v>326</v>
      </c>
      <c r="G100" s="61" t="s">
        <v>327</v>
      </c>
      <c r="H100" s="63" t="s">
        <v>7160</v>
      </c>
      <c r="I100" s="63" t="s">
        <v>7161</v>
      </c>
      <c r="J100" s="171"/>
      <c r="K100" s="25"/>
      <c r="L100" s="25"/>
      <c r="M100" s="43"/>
      <c r="N100" s="55"/>
      <c r="O100" s="28"/>
      <c r="P100" s="28"/>
      <c r="Q100" s="50" t="s">
        <v>282</v>
      </c>
      <c r="R100" s="25"/>
      <c r="S100" s="50"/>
      <c r="T100" s="65"/>
      <c r="U100" s="65"/>
      <c r="V100" s="65"/>
      <c r="W100" s="65"/>
      <c r="X100" s="65"/>
      <c r="Y100" s="65"/>
      <c r="Z100" s="65"/>
      <c r="AA100" s="65"/>
    </row>
    <row r="101" spans="1:27" ht="16.5" customHeight="1">
      <c r="A101" s="344"/>
      <c r="B101" s="344"/>
      <c r="C101" s="31">
        <v>2</v>
      </c>
      <c r="D101" s="344"/>
      <c r="E101" s="63" t="s">
        <v>7162</v>
      </c>
      <c r="F101" s="61" t="s">
        <v>326</v>
      </c>
      <c r="G101" s="61" t="s">
        <v>327</v>
      </c>
      <c r="H101" s="63" t="s">
        <v>7163</v>
      </c>
      <c r="I101" s="63" t="s">
        <v>7161</v>
      </c>
      <c r="J101" s="171"/>
      <c r="K101" s="25"/>
      <c r="L101" s="25"/>
      <c r="M101" s="43"/>
      <c r="N101" s="55"/>
      <c r="O101" s="28"/>
      <c r="P101" s="28"/>
      <c r="Q101" s="50" t="s">
        <v>282</v>
      </c>
      <c r="R101" s="25"/>
      <c r="S101" s="50"/>
      <c r="T101" s="65"/>
      <c r="U101" s="65"/>
      <c r="V101" s="65"/>
      <c r="W101" s="65"/>
      <c r="X101" s="65"/>
      <c r="Y101" s="65"/>
      <c r="Z101" s="65"/>
      <c r="AA101" s="65"/>
    </row>
    <row r="102" spans="1:27" ht="16.5" customHeight="1">
      <c r="A102" s="344"/>
      <c r="B102" s="344"/>
      <c r="C102" s="31">
        <v>3</v>
      </c>
      <c r="D102" s="344"/>
      <c r="E102" s="63" t="s">
        <v>7164</v>
      </c>
      <c r="F102" s="61" t="s">
        <v>326</v>
      </c>
      <c r="G102" s="61" t="s">
        <v>327</v>
      </c>
      <c r="H102" s="63" t="s">
        <v>7165</v>
      </c>
      <c r="I102" s="63" t="s">
        <v>7161</v>
      </c>
      <c r="J102" s="171"/>
      <c r="K102" s="25"/>
      <c r="L102" s="50"/>
      <c r="M102" s="66"/>
      <c r="N102" s="55"/>
      <c r="O102" s="28"/>
      <c r="P102" s="28"/>
      <c r="Q102" s="50" t="s">
        <v>282</v>
      </c>
      <c r="R102" s="25"/>
      <c r="S102" s="50"/>
      <c r="T102" s="65"/>
      <c r="U102" s="65"/>
      <c r="V102" s="65"/>
      <c r="W102" s="65"/>
      <c r="X102" s="65"/>
      <c r="Y102" s="65"/>
      <c r="Z102" s="65"/>
      <c r="AA102" s="65"/>
    </row>
    <row r="103" spans="1:27" ht="16.5" customHeight="1">
      <c r="A103" s="344"/>
      <c r="B103" s="344"/>
      <c r="C103" s="31">
        <v>4</v>
      </c>
      <c r="D103" s="344"/>
      <c r="E103" s="63" t="s">
        <v>7166</v>
      </c>
      <c r="F103" s="61" t="s">
        <v>326</v>
      </c>
      <c r="G103" s="61" t="s">
        <v>327</v>
      </c>
      <c r="H103" s="63" t="s">
        <v>7167</v>
      </c>
      <c r="I103" s="63" t="s">
        <v>7161</v>
      </c>
      <c r="J103" s="171"/>
      <c r="K103" s="25" t="s">
        <v>294</v>
      </c>
      <c r="L103" s="25"/>
      <c r="M103" s="43"/>
      <c r="N103" s="55"/>
      <c r="O103" s="28"/>
      <c r="P103" s="28"/>
      <c r="Q103" s="50" t="s">
        <v>140</v>
      </c>
      <c r="R103" s="25"/>
      <c r="S103" s="50"/>
      <c r="T103" s="65"/>
      <c r="U103" s="65"/>
      <c r="V103" s="65"/>
      <c r="W103" s="65"/>
      <c r="X103" s="65"/>
      <c r="Y103" s="65"/>
      <c r="Z103" s="65"/>
      <c r="AA103" s="65"/>
    </row>
    <row r="104" spans="1:27" ht="16.5" customHeight="1">
      <c r="A104" s="344"/>
      <c r="B104" s="344"/>
      <c r="C104" s="31">
        <v>5</v>
      </c>
      <c r="D104" s="344"/>
      <c r="E104" s="63" t="s">
        <v>7168</v>
      </c>
      <c r="F104" s="61" t="s">
        <v>326</v>
      </c>
      <c r="G104" s="61" t="s">
        <v>327</v>
      </c>
      <c r="H104" s="63" t="s">
        <v>7169</v>
      </c>
      <c r="I104" s="63" t="s">
        <v>7161</v>
      </c>
      <c r="J104" s="171"/>
      <c r="K104" s="25" t="s">
        <v>294</v>
      </c>
      <c r="L104" s="25"/>
      <c r="M104" s="43"/>
      <c r="N104" s="55"/>
      <c r="O104" s="28"/>
      <c r="P104" s="28"/>
      <c r="Q104" s="50" t="s">
        <v>140</v>
      </c>
      <c r="R104" s="25"/>
      <c r="S104" s="50"/>
      <c r="T104" s="65"/>
      <c r="U104" s="65"/>
      <c r="V104" s="65"/>
      <c r="W104" s="65"/>
      <c r="X104" s="65"/>
      <c r="Y104" s="65"/>
      <c r="Z104" s="65"/>
      <c r="AA104" s="65"/>
    </row>
    <row r="105" spans="1:27" ht="16.5" customHeight="1">
      <c r="A105" s="344"/>
      <c r="B105" s="344"/>
      <c r="C105" s="31">
        <v>6</v>
      </c>
      <c r="D105" s="344"/>
      <c r="E105" s="63" t="s">
        <v>7170</v>
      </c>
      <c r="F105" s="61" t="s">
        <v>326</v>
      </c>
      <c r="G105" s="61" t="s">
        <v>327</v>
      </c>
      <c r="H105" s="63" t="s">
        <v>7171</v>
      </c>
      <c r="I105" s="63" t="s">
        <v>7161</v>
      </c>
      <c r="J105" s="171"/>
      <c r="K105" s="25"/>
      <c r="L105" s="25"/>
      <c r="M105" s="43"/>
      <c r="N105" s="55"/>
      <c r="O105" s="28"/>
      <c r="P105" s="28"/>
      <c r="Q105" s="50" t="s">
        <v>282</v>
      </c>
      <c r="R105" s="25"/>
      <c r="S105" s="50"/>
      <c r="T105" s="65"/>
      <c r="U105" s="65"/>
      <c r="V105" s="65"/>
      <c r="W105" s="65"/>
      <c r="X105" s="65"/>
      <c r="Y105" s="65"/>
      <c r="Z105" s="65"/>
      <c r="AA105" s="65"/>
    </row>
    <row r="106" spans="1:27" ht="16.5" customHeight="1">
      <c r="A106" s="344"/>
      <c r="B106" s="344"/>
      <c r="C106" s="31">
        <v>7</v>
      </c>
      <c r="D106" s="344"/>
      <c r="E106" s="63" t="s">
        <v>7172</v>
      </c>
      <c r="F106" s="61" t="s">
        <v>326</v>
      </c>
      <c r="G106" s="61" t="s">
        <v>327</v>
      </c>
      <c r="H106" s="63" t="s">
        <v>7173</v>
      </c>
      <c r="I106" s="63" t="s">
        <v>7161</v>
      </c>
      <c r="J106" s="171"/>
      <c r="K106" s="25"/>
      <c r="L106" s="25"/>
      <c r="M106" s="43"/>
      <c r="N106" s="55"/>
      <c r="O106" s="28"/>
      <c r="P106" s="28"/>
      <c r="Q106" s="50" t="s">
        <v>282</v>
      </c>
      <c r="R106" s="25"/>
      <c r="S106" s="50"/>
      <c r="T106" s="65"/>
      <c r="U106" s="65"/>
      <c r="V106" s="65"/>
      <c r="W106" s="65"/>
      <c r="X106" s="65"/>
      <c r="Y106" s="65"/>
      <c r="Z106" s="65"/>
      <c r="AA106" s="65"/>
    </row>
    <row r="107" spans="1:27" ht="16.5" customHeight="1">
      <c r="A107" s="344"/>
      <c r="B107" s="344"/>
      <c r="C107" s="31">
        <v>8</v>
      </c>
      <c r="D107" s="344"/>
      <c r="E107" s="63" t="s">
        <v>7174</v>
      </c>
      <c r="F107" s="61" t="s">
        <v>326</v>
      </c>
      <c r="G107" s="61" t="s">
        <v>327</v>
      </c>
      <c r="H107" s="63" t="s">
        <v>7175</v>
      </c>
      <c r="I107" s="63" t="s">
        <v>7161</v>
      </c>
      <c r="J107" s="171"/>
      <c r="K107" s="25"/>
      <c r="L107" s="25"/>
      <c r="M107" s="43"/>
      <c r="N107" s="55"/>
      <c r="O107" s="28"/>
      <c r="P107" s="28"/>
      <c r="Q107" s="50" t="s">
        <v>282</v>
      </c>
      <c r="R107" s="25"/>
      <c r="S107" s="50"/>
      <c r="T107" s="65"/>
      <c r="U107" s="65"/>
      <c r="V107" s="65"/>
      <c r="W107" s="65"/>
      <c r="X107" s="65"/>
      <c r="Y107" s="65"/>
      <c r="Z107" s="65"/>
      <c r="AA107" s="65"/>
    </row>
    <row r="108" spans="1:27" ht="16.5" customHeight="1">
      <c r="A108" s="344"/>
      <c r="B108" s="344"/>
      <c r="C108" s="31">
        <v>9</v>
      </c>
      <c r="D108" s="344"/>
      <c r="E108" s="63" t="s">
        <v>7176</v>
      </c>
      <c r="F108" s="61" t="s">
        <v>326</v>
      </c>
      <c r="G108" s="61" t="s">
        <v>327</v>
      </c>
      <c r="H108" s="63" t="s">
        <v>7177</v>
      </c>
      <c r="I108" s="63" t="s">
        <v>7161</v>
      </c>
      <c r="J108" s="171"/>
      <c r="K108" s="25"/>
      <c r="L108" s="25"/>
      <c r="M108" s="43"/>
      <c r="N108" s="55"/>
      <c r="O108" s="28"/>
      <c r="P108" s="28"/>
      <c r="Q108" s="50" t="s">
        <v>282</v>
      </c>
      <c r="R108" s="25"/>
      <c r="S108" s="50"/>
      <c r="T108" s="65"/>
      <c r="U108" s="65"/>
      <c r="V108" s="65"/>
      <c r="W108" s="65"/>
      <c r="X108" s="65"/>
      <c r="Y108" s="65"/>
      <c r="Z108" s="65"/>
      <c r="AA108" s="65"/>
    </row>
    <row r="109" spans="1:27" ht="16.5" customHeight="1">
      <c r="A109" s="344"/>
      <c r="B109" s="344"/>
      <c r="C109" s="31">
        <v>10</v>
      </c>
      <c r="D109" s="344"/>
      <c r="E109" s="63" t="s">
        <v>7178</v>
      </c>
      <c r="F109" s="61" t="s">
        <v>326</v>
      </c>
      <c r="G109" s="61" t="s">
        <v>327</v>
      </c>
      <c r="H109" s="63" t="s">
        <v>7179</v>
      </c>
      <c r="I109" s="63" t="s">
        <v>7161</v>
      </c>
      <c r="J109" s="171"/>
      <c r="K109" s="25"/>
      <c r="L109" s="25"/>
      <c r="M109" s="43"/>
      <c r="N109" s="55"/>
      <c r="O109" s="28"/>
      <c r="P109" s="28"/>
      <c r="Q109" s="50" t="s">
        <v>282</v>
      </c>
      <c r="R109" s="25"/>
      <c r="S109" s="50"/>
      <c r="T109" s="65"/>
      <c r="U109" s="65"/>
      <c r="V109" s="65"/>
      <c r="W109" s="65"/>
      <c r="X109" s="65"/>
      <c r="Y109" s="65"/>
      <c r="Z109" s="65"/>
      <c r="AA109" s="65"/>
    </row>
    <row r="110" spans="1:27" ht="16.5" customHeight="1">
      <c r="A110" s="344"/>
      <c r="B110" s="344"/>
      <c r="C110" s="31">
        <v>11</v>
      </c>
      <c r="D110" s="344"/>
      <c r="E110" s="63" t="s">
        <v>7180</v>
      </c>
      <c r="F110" s="61" t="s">
        <v>326</v>
      </c>
      <c r="G110" s="61" t="s">
        <v>327</v>
      </c>
      <c r="H110" s="63" t="s">
        <v>7181</v>
      </c>
      <c r="I110" s="63" t="s">
        <v>7161</v>
      </c>
      <c r="J110" s="171"/>
      <c r="K110" s="25" t="s">
        <v>294</v>
      </c>
      <c r="L110" s="25"/>
      <c r="M110" s="43"/>
      <c r="N110" s="55"/>
      <c r="O110" s="28"/>
      <c r="P110" s="28"/>
      <c r="Q110" s="50" t="s">
        <v>140</v>
      </c>
      <c r="R110" s="25"/>
      <c r="S110" s="50"/>
      <c r="T110" s="65"/>
      <c r="U110" s="65"/>
      <c r="V110" s="65"/>
      <c r="W110" s="65"/>
      <c r="X110" s="65"/>
      <c r="Y110" s="65"/>
      <c r="Z110" s="65"/>
      <c r="AA110" s="65"/>
    </row>
    <row r="111" spans="1:27" ht="16.5" customHeight="1">
      <c r="A111" s="344"/>
      <c r="B111" s="344"/>
      <c r="C111" s="31">
        <v>12</v>
      </c>
      <c r="D111" s="344"/>
      <c r="E111" s="63" t="s">
        <v>7182</v>
      </c>
      <c r="F111" s="61" t="s">
        <v>326</v>
      </c>
      <c r="G111" s="61" t="s">
        <v>327</v>
      </c>
      <c r="H111" s="63" t="s">
        <v>7183</v>
      </c>
      <c r="I111" s="63" t="s">
        <v>7161</v>
      </c>
      <c r="J111" s="171"/>
      <c r="K111" s="25"/>
      <c r="L111" s="25"/>
      <c r="M111" s="43"/>
      <c r="N111" s="55"/>
      <c r="O111" s="28"/>
      <c r="P111" s="28"/>
      <c r="Q111" s="50" t="s">
        <v>282</v>
      </c>
      <c r="R111" s="25"/>
      <c r="S111" s="50"/>
      <c r="T111" s="65"/>
      <c r="U111" s="65"/>
      <c r="V111" s="65"/>
      <c r="W111" s="65"/>
      <c r="X111" s="65"/>
      <c r="Y111" s="65"/>
      <c r="Z111" s="65"/>
      <c r="AA111" s="65"/>
    </row>
    <row r="112" spans="1:27" ht="16.5" customHeight="1">
      <c r="A112" s="344"/>
      <c r="B112" s="344"/>
      <c r="C112" s="31">
        <v>13</v>
      </c>
      <c r="D112" s="344"/>
      <c r="E112" s="63" t="s">
        <v>7184</v>
      </c>
      <c r="F112" s="61" t="s">
        <v>326</v>
      </c>
      <c r="G112" s="61" t="s">
        <v>327</v>
      </c>
      <c r="H112" s="63" t="s">
        <v>7185</v>
      </c>
      <c r="I112" s="63" t="s">
        <v>7161</v>
      </c>
      <c r="J112" s="171"/>
      <c r="K112" s="25" t="s">
        <v>294</v>
      </c>
      <c r="L112" s="25"/>
      <c r="M112" s="43"/>
      <c r="N112" s="55"/>
      <c r="O112" s="28"/>
      <c r="P112" s="28"/>
      <c r="Q112" s="50" t="s">
        <v>140</v>
      </c>
      <c r="R112" s="25"/>
      <c r="S112" s="50"/>
      <c r="T112" s="65"/>
      <c r="U112" s="65"/>
      <c r="V112" s="65"/>
      <c r="W112" s="65"/>
      <c r="X112" s="65"/>
      <c r="Y112" s="65"/>
      <c r="Z112" s="65"/>
      <c r="AA112" s="65"/>
    </row>
    <row r="113" spans="1:27" ht="16.5" customHeight="1">
      <c r="A113" s="344"/>
      <c r="B113" s="344"/>
      <c r="C113" s="31">
        <v>14</v>
      </c>
      <c r="D113" s="344"/>
      <c r="E113" s="63" t="s">
        <v>7186</v>
      </c>
      <c r="F113" s="61" t="s">
        <v>326</v>
      </c>
      <c r="G113" s="61" t="s">
        <v>327</v>
      </c>
      <c r="H113" s="63" t="s">
        <v>7187</v>
      </c>
      <c r="I113" s="63" t="s">
        <v>7161</v>
      </c>
      <c r="J113" s="171"/>
      <c r="K113" s="25" t="s">
        <v>294</v>
      </c>
      <c r="L113" s="25"/>
      <c r="M113" s="43"/>
      <c r="N113" s="55"/>
      <c r="O113" s="28"/>
      <c r="P113" s="28"/>
      <c r="Q113" s="50" t="s">
        <v>140</v>
      </c>
      <c r="R113" s="25"/>
      <c r="S113" s="50"/>
      <c r="T113" s="65"/>
      <c r="U113" s="65"/>
      <c r="V113" s="65"/>
      <c r="W113" s="65"/>
      <c r="X113" s="65"/>
      <c r="Y113" s="65"/>
      <c r="Z113" s="65"/>
      <c r="AA113" s="65"/>
    </row>
    <row r="114" spans="1:27" ht="16.5" customHeight="1">
      <c r="A114" s="344"/>
      <c r="B114" s="344"/>
      <c r="C114" s="31">
        <v>15</v>
      </c>
      <c r="D114" s="344"/>
      <c r="E114" s="63" t="s">
        <v>7188</v>
      </c>
      <c r="F114" s="61" t="s">
        <v>326</v>
      </c>
      <c r="G114" s="61" t="s">
        <v>327</v>
      </c>
      <c r="H114" s="63" t="s">
        <v>7189</v>
      </c>
      <c r="I114" s="63" t="s">
        <v>7161</v>
      </c>
      <c r="J114" s="171"/>
      <c r="K114" s="25"/>
      <c r="L114" s="25"/>
      <c r="M114" s="43"/>
      <c r="N114" s="55"/>
      <c r="O114" s="28"/>
      <c r="P114" s="28"/>
      <c r="Q114" s="50" t="s">
        <v>282</v>
      </c>
      <c r="R114" s="25"/>
      <c r="S114" s="50"/>
      <c r="T114" s="65"/>
      <c r="U114" s="65"/>
      <c r="V114" s="65"/>
      <c r="W114" s="65"/>
      <c r="X114" s="65"/>
      <c r="Y114" s="65"/>
      <c r="Z114" s="65"/>
      <c r="AA114" s="65"/>
    </row>
    <row r="115" spans="1:27" ht="16.5" customHeight="1">
      <c r="A115" s="344"/>
      <c r="B115" s="344"/>
      <c r="C115" s="31">
        <v>16</v>
      </c>
      <c r="D115" s="344"/>
      <c r="E115" s="63" t="s">
        <v>7190</v>
      </c>
      <c r="F115" s="61" t="s">
        <v>326</v>
      </c>
      <c r="G115" s="61" t="s">
        <v>327</v>
      </c>
      <c r="H115" s="63" t="s">
        <v>7191</v>
      </c>
      <c r="I115" s="63" t="s">
        <v>7161</v>
      </c>
      <c r="J115" s="171"/>
      <c r="K115" s="25"/>
      <c r="L115" s="50"/>
      <c r="M115" s="66"/>
      <c r="N115" s="55"/>
      <c r="O115" s="28"/>
      <c r="P115" s="28"/>
      <c r="Q115" s="50" t="s">
        <v>282</v>
      </c>
      <c r="R115" s="25"/>
      <c r="S115" s="50"/>
      <c r="T115" s="65"/>
      <c r="U115" s="65"/>
      <c r="V115" s="65"/>
      <c r="W115" s="65"/>
      <c r="X115" s="65"/>
      <c r="Y115" s="65"/>
      <c r="Z115" s="65"/>
      <c r="AA115" s="65"/>
    </row>
    <row r="116" spans="1:27" ht="16.5" customHeight="1">
      <c r="A116" s="344"/>
      <c r="B116" s="344"/>
      <c r="C116" s="31">
        <v>17</v>
      </c>
      <c r="D116" s="344"/>
      <c r="E116" s="63" t="s">
        <v>7192</v>
      </c>
      <c r="F116" s="61" t="s">
        <v>326</v>
      </c>
      <c r="G116" s="61" t="s">
        <v>327</v>
      </c>
      <c r="H116" s="63" t="s">
        <v>7193</v>
      </c>
      <c r="I116" s="63" t="s">
        <v>7194</v>
      </c>
      <c r="J116" s="171"/>
      <c r="K116" s="25" t="s">
        <v>294</v>
      </c>
      <c r="L116" s="25"/>
      <c r="M116" s="43"/>
      <c r="N116" s="55"/>
      <c r="O116" s="28"/>
      <c r="P116" s="28"/>
      <c r="Q116" s="50" t="s">
        <v>140</v>
      </c>
      <c r="R116" s="25"/>
      <c r="S116" s="50"/>
      <c r="T116" s="65"/>
      <c r="U116" s="65"/>
      <c r="V116" s="65"/>
      <c r="W116" s="65"/>
      <c r="X116" s="65"/>
      <c r="Y116" s="65"/>
      <c r="Z116" s="65"/>
      <c r="AA116" s="65"/>
    </row>
    <row r="117" spans="1:27" ht="15.75" customHeight="1">
      <c r="A117" s="345"/>
      <c r="B117" s="345"/>
      <c r="C117" s="31">
        <v>18</v>
      </c>
      <c r="D117" s="345"/>
      <c r="E117" s="63" t="s">
        <v>7195</v>
      </c>
      <c r="F117" s="61" t="s">
        <v>326</v>
      </c>
      <c r="G117" s="61" t="s">
        <v>327</v>
      </c>
      <c r="H117" s="63" t="s">
        <v>7196</v>
      </c>
      <c r="I117" s="63" t="s">
        <v>7197</v>
      </c>
      <c r="J117" s="171"/>
      <c r="K117" s="25" t="s">
        <v>294</v>
      </c>
      <c r="L117" s="25"/>
      <c r="M117" s="43"/>
      <c r="N117" s="55"/>
      <c r="O117" s="28"/>
      <c r="P117" s="28"/>
      <c r="Q117" s="50" t="s">
        <v>140</v>
      </c>
      <c r="R117" s="25"/>
      <c r="S117" s="50"/>
      <c r="T117" s="65"/>
      <c r="U117" s="65"/>
      <c r="V117" s="65"/>
      <c r="W117" s="65"/>
      <c r="X117" s="65"/>
      <c r="Y117" s="65"/>
      <c r="Z117" s="65"/>
      <c r="AA117" s="65"/>
    </row>
    <row r="118" spans="1:27" ht="16.5" customHeight="1">
      <c r="A118" s="368" t="s">
        <v>7198</v>
      </c>
      <c r="B118" s="350" t="s">
        <v>7199</v>
      </c>
      <c r="C118" s="31">
        <v>1</v>
      </c>
      <c r="D118" s="355" t="s">
        <v>7198</v>
      </c>
      <c r="E118" s="63" t="s">
        <v>7200</v>
      </c>
      <c r="F118" s="61" t="s">
        <v>326</v>
      </c>
      <c r="G118" s="61" t="s">
        <v>327</v>
      </c>
      <c r="H118" s="63" t="s">
        <v>7160</v>
      </c>
      <c r="I118" s="63" t="s">
        <v>7201</v>
      </c>
      <c r="J118" s="171"/>
      <c r="K118" s="25"/>
      <c r="L118" s="25"/>
      <c r="M118" s="43"/>
      <c r="N118" s="55"/>
      <c r="O118" s="28"/>
      <c r="P118" s="28"/>
      <c r="Q118" s="50" t="s">
        <v>282</v>
      </c>
      <c r="R118" s="25"/>
      <c r="S118" s="50"/>
      <c r="T118" s="65"/>
      <c r="U118" s="65"/>
      <c r="V118" s="65"/>
      <c r="W118" s="65"/>
      <c r="X118" s="65"/>
      <c r="Y118" s="65"/>
      <c r="Z118" s="65"/>
      <c r="AA118" s="65"/>
    </row>
    <row r="119" spans="1:27" ht="16.5" customHeight="1">
      <c r="A119" s="344"/>
      <c r="B119" s="344"/>
      <c r="C119" s="31">
        <v>2</v>
      </c>
      <c r="D119" s="344"/>
      <c r="E119" s="63" t="s">
        <v>7202</v>
      </c>
      <c r="F119" s="61" t="s">
        <v>326</v>
      </c>
      <c r="G119" s="61" t="s">
        <v>327</v>
      </c>
      <c r="H119" s="63" t="s">
        <v>7163</v>
      </c>
      <c r="I119" s="63" t="s">
        <v>7201</v>
      </c>
      <c r="J119" s="171"/>
      <c r="K119" s="25"/>
      <c r="L119" s="50"/>
      <c r="M119" s="66"/>
      <c r="N119" s="55"/>
      <c r="O119" s="28"/>
      <c r="P119" s="28"/>
      <c r="Q119" s="50" t="s">
        <v>282</v>
      </c>
      <c r="R119" s="25"/>
      <c r="S119" s="50"/>
      <c r="T119" s="65"/>
      <c r="U119" s="65"/>
      <c r="V119" s="65"/>
      <c r="W119" s="65"/>
      <c r="X119" s="65"/>
      <c r="Y119" s="65"/>
      <c r="Z119" s="65"/>
      <c r="AA119" s="65"/>
    </row>
    <row r="120" spans="1:27" ht="16.5" customHeight="1">
      <c r="A120" s="344"/>
      <c r="B120" s="344"/>
      <c r="C120" s="31">
        <v>3</v>
      </c>
      <c r="D120" s="344"/>
      <c r="E120" s="63" t="s">
        <v>7203</v>
      </c>
      <c r="F120" s="61" t="s">
        <v>326</v>
      </c>
      <c r="G120" s="61" t="s">
        <v>327</v>
      </c>
      <c r="H120" s="63" t="s">
        <v>7165</v>
      </c>
      <c r="I120" s="63" t="s">
        <v>7201</v>
      </c>
      <c r="J120" s="171"/>
      <c r="K120" s="25"/>
      <c r="L120" s="25"/>
      <c r="M120" s="43"/>
      <c r="N120" s="55"/>
      <c r="O120" s="28"/>
      <c r="P120" s="28"/>
      <c r="Q120" s="50" t="s">
        <v>282</v>
      </c>
      <c r="R120" s="25"/>
      <c r="S120" s="50"/>
      <c r="T120" s="65"/>
      <c r="U120" s="65"/>
      <c r="V120" s="65"/>
      <c r="W120" s="65"/>
      <c r="X120" s="65"/>
      <c r="Y120" s="65"/>
      <c r="Z120" s="65"/>
      <c r="AA120" s="65"/>
    </row>
    <row r="121" spans="1:27" ht="16.5" customHeight="1">
      <c r="A121" s="344"/>
      <c r="B121" s="344"/>
      <c r="C121" s="31">
        <v>4</v>
      </c>
      <c r="D121" s="344"/>
      <c r="E121" s="63" t="s">
        <v>7204</v>
      </c>
      <c r="F121" s="61" t="s">
        <v>326</v>
      </c>
      <c r="G121" s="61" t="s">
        <v>327</v>
      </c>
      <c r="H121" s="63" t="s">
        <v>7167</v>
      </c>
      <c r="I121" s="63" t="s">
        <v>7201</v>
      </c>
      <c r="J121" s="171"/>
      <c r="K121" s="25" t="s">
        <v>294</v>
      </c>
      <c r="L121" s="25"/>
      <c r="M121" s="43"/>
      <c r="N121" s="55"/>
      <c r="O121" s="28"/>
      <c r="P121" s="28"/>
      <c r="Q121" s="50" t="s">
        <v>140</v>
      </c>
      <c r="R121" s="25"/>
      <c r="S121" s="50"/>
      <c r="T121" s="65"/>
      <c r="U121" s="65"/>
      <c r="V121" s="65"/>
      <c r="W121" s="65"/>
      <c r="X121" s="65"/>
      <c r="Y121" s="65"/>
      <c r="Z121" s="65"/>
      <c r="AA121" s="65"/>
    </row>
    <row r="122" spans="1:27" ht="16.5" customHeight="1">
      <c r="A122" s="344"/>
      <c r="B122" s="344"/>
      <c r="C122" s="31">
        <v>5</v>
      </c>
      <c r="D122" s="344"/>
      <c r="E122" s="63" t="s">
        <v>7205</v>
      </c>
      <c r="F122" s="61" t="s">
        <v>326</v>
      </c>
      <c r="G122" s="61" t="s">
        <v>327</v>
      </c>
      <c r="H122" s="63" t="s">
        <v>7169</v>
      </c>
      <c r="I122" s="63" t="s">
        <v>7201</v>
      </c>
      <c r="J122" s="171"/>
      <c r="K122" s="25" t="s">
        <v>294</v>
      </c>
      <c r="L122" s="25"/>
      <c r="M122" s="43"/>
      <c r="N122" s="55"/>
      <c r="O122" s="28"/>
      <c r="P122" s="28"/>
      <c r="Q122" s="50" t="s">
        <v>140</v>
      </c>
      <c r="R122" s="25"/>
      <c r="S122" s="50"/>
      <c r="T122" s="65"/>
      <c r="U122" s="65"/>
      <c r="V122" s="65"/>
      <c r="W122" s="65"/>
      <c r="X122" s="65"/>
      <c r="Y122" s="65"/>
      <c r="Z122" s="65"/>
      <c r="AA122" s="65"/>
    </row>
    <row r="123" spans="1:27" ht="16.5" customHeight="1">
      <c r="A123" s="344"/>
      <c r="B123" s="344"/>
      <c r="C123" s="31">
        <v>6</v>
      </c>
      <c r="D123" s="344"/>
      <c r="E123" s="63" t="s">
        <v>7206</v>
      </c>
      <c r="F123" s="61" t="s">
        <v>326</v>
      </c>
      <c r="G123" s="61" t="s">
        <v>327</v>
      </c>
      <c r="H123" s="63" t="s">
        <v>7171</v>
      </c>
      <c r="I123" s="63" t="s">
        <v>7201</v>
      </c>
      <c r="J123" s="171"/>
      <c r="K123" s="25"/>
      <c r="L123" s="25"/>
      <c r="M123" s="43"/>
      <c r="N123" s="55"/>
      <c r="O123" s="28"/>
      <c r="P123" s="28"/>
      <c r="Q123" s="50" t="s">
        <v>282</v>
      </c>
      <c r="R123" s="25"/>
      <c r="S123" s="50"/>
      <c r="T123" s="65"/>
      <c r="U123" s="65"/>
      <c r="V123" s="65"/>
      <c r="W123" s="65"/>
      <c r="X123" s="65"/>
      <c r="Y123" s="65"/>
      <c r="Z123" s="65"/>
      <c r="AA123" s="65"/>
    </row>
    <row r="124" spans="1:27" ht="16.5" customHeight="1">
      <c r="A124" s="344"/>
      <c r="B124" s="344"/>
      <c r="C124" s="31">
        <v>7</v>
      </c>
      <c r="D124" s="344"/>
      <c r="E124" s="63" t="s">
        <v>7207</v>
      </c>
      <c r="F124" s="61" t="s">
        <v>326</v>
      </c>
      <c r="G124" s="61" t="s">
        <v>327</v>
      </c>
      <c r="H124" s="63" t="s">
        <v>7173</v>
      </c>
      <c r="I124" s="63" t="s">
        <v>7201</v>
      </c>
      <c r="J124" s="171"/>
      <c r="K124" s="25"/>
      <c r="L124" s="25"/>
      <c r="M124" s="43"/>
      <c r="N124" s="55"/>
      <c r="O124" s="28"/>
      <c r="P124" s="28"/>
      <c r="Q124" s="50" t="s">
        <v>282</v>
      </c>
      <c r="R124" s="25"/>
      <c r="S124" s="50"/>
      <c r="T124" s="65"/>
      <c r="U124" s="65"/>
      <c r="V124" s="65"/>
      <c r="W124" s="65"/>
      <c r="X124" s="65"/>
      <c r="Y124" s="65"/>
      <c r="Z124" s="65"/>
      <c r="AA124" s="65"/>
    </row>
    <row r="125" spans="1:27" ht="16.5" customHeight="1">
      <c r="A125" s="344"/>
      <c r="B125" s="344"/>
      <c r="C125" s="31">
        <v>8</v>
      </c>
      <c r="D125" s="344"/>
      <c r="E125" s="63" t="s">
        <v>7208</v>
      </c>
      <c r="F125" s="61" t="s">
        <v>326</v>
      </c>
      <c r="G125" s="61" t="s">
        <v>327</v>
      </c>
      <c r="H125" s="63" t="s">
        <v>7175</v>
      </c>
      <c r="I125" s="63" t="s">
        <v>7201</v>
      </c>
      <c r="J125" s="171"/>
      <c r="K125" s="25"/>
      <c r="L125" s="25"/>
      <c r="M125" s="43"/>
      <c r="N125" s="55"/>
      <c r="O125" s="28"/>
      <c r="P125" s="28"/>
      <c r="Q125" s="50" t="s">
        <v>282</v>
      </c>
      <c r="R125" s="25"/>
      <c r="S125" s="50"/>
      <c r="T125" s="65"/>
      <c r="U125" s="65"/>
      <c r="V125" s="65"/>
      <c r="W125" s="65"/>
      <c r="X125" s="65"/>
      <c r="Y125" s="65"/>
      <c r="Z125" s="65"/>
      <c r="AA125" s="65"/>
    </row>
    <row r="126" spans="1:27" ht="16.5" customHeight="1">
      <c r="A126" s="344"/>
      <c r="B126" s="344"/>
      <c r="C126" s="31">
        <v>9</v>
      </c>
      <c r="D126" s="344"/>
      <c r="E126" s="63" t="s">
        <v>7209</v>
      </c>
      <c r="F126" s="61" t="s">
        <v>326</v>
      </c>
      <c r="G126" s="61" t="s">
        <v>327</v>
      </c>
      <c r="H126" s="63" t="s">
        <v>7177</v>
      </c>
      <c r="I126" s="63" t="s">
        <v>7201</v>
      </c>
      <c r="J126" s="171"/>
      <c r="K126" s="25"/>
      <c r="L126" s="25"/>
      <c r="M126" s="43"/>
      <c r="N126" s="55"/>
      <c r="O126" s="28"/>
      <c r="P126" s="28"/>
      <c r="Q126" s="50" t="s">
        <v>282</v>
      </c>
      <c r="R126" s="25"/>
      <c r="S126" s="50"/>
      <c r="T126" s="65"/>
      <c r="U126" s="65"/>
      <c r="V126" s="65"/>
      <c r="W126" s="65"/>
      <c r="X126" s="65"/>
      <c r="Y126" s="65"/>
      <c r="Z126" s="65"/>
      <c r="AA126" s="65"/>
    </row>
    <row r="127" spans="1:27" ht="16.5" customHeight="1">
      <c r="A127" s="344"/>
      <c r="B127" s="344"/>
      <c r="C127" s="31">
        <v>10</v>
      </c>
      <c r="D127" s="344"/>
      <c r="E127" s="63" t="s">
        <v>7210</v>
      </c>
      <c r="F127" s="61" t="s">
        <v>326</v>
      </c>
      <c r="G127" s="61" t="s">
        <v>327</v>
      </c>
      <c r="H127" s="63" t="s">
        <v>7179</v>
      </c>
      <c r="I127" s="63" t="s">
        <v>7201</v>
      </c>
      <c r="J127" s="171"/>
      <c r="K127" s="25"/>
      <c r="L127" s="25"/>
      <c r="M127" s="43"/>
      <c r="N127" s="55"/>
      <c r="O127" s="28"/>
      <c r="P127" s="28"/>
      <c r="Q127" s="50" t="s">
        <v>282</v>
      </c>
      <c r="R127" s="25"/>
      <c r="S127" s="50"/>
      <c r="T127" s="65"/>
      <c r="U127" s="65"/>
      <c r="V127" s="65"/>
      <c r="W127" s="65"/>
      <c r="X127" s="65"/>
      <c r="Y127" s="65"/>
      <c r="Z127" s="65"/>
      <c r="AA127" s="65"/>
    </row>
    <row r="128" spans="1:27" ht="16.5" customHeight="1">
      <c r="A128" s="344"/>
      <c r="B128" s="344"/>
      <c r="C128" s="31">
        <v>11</v>
      </c>
      <c r="D128" s="344"/>
      <c r="E128" s="63" t="s">
        <v>7211</v>
      </c>
      <c r="F128" s="61" t="s">
        <v>326</v>
      </c>
      <c r="G128" s="61" t="s">
        <v>327</v>
      </c>
      <c r="H128" s="63" t="s">
        <v>7181</v>
      </c>
      <c r="I128" s="63" t="s">
        <v>7161</v>
      </c>
      <c r="J128" s="171"/>
      <c r="K128" s="25"/>
      <c r="L128" s="25"/>
      <c r="M128" s="43"/>
      <c r="N128" s="55"/>
      <c r="O128" s="28"/>
      <c r="P128" s="28"/>
      <c r="Q128" s="50" t="s">
        <v>282</v>
      </c>
      <c r="R128" s="25"/>
      <c r="S128" s="50"/>
      <c r="T128" s="65"/>
      <c r="U128" s="65"/>
      <c r="V128" s="65"/>
      <c r="W128" s="65"/>
      <c r="X128" s="65"/>
      <c r="Y128" s="65"/>
      <c r="Z128" s="65"/>
      <c r="AA128" s="65"/>
    </row>
    <row r="129" spans="1:27" ht="16.5" customHeight="1">
      <c r="A129" s="344"/>
      <c r="B129" s="344"/>
      <c r="C129" s="31">
        <v>12</v>
      </c>
      <c r="D129" s="344"/>
      <c r="E129" s="63" t="s">
        <v>7212</v>
      </c>
      <c r="F129" s="61" t="s">
        <v>326</v>
      </c>
      <c r="G129" s="61" t="s">
        <v>327</v>
      </c>
      <c r="H129" s="63" t="s">
        <v>7183</v>
      </c>
      <c r="I129" s="63" t="s">
        <v>7161</v>
      </c>
      <c r="J129" s="171"/>
      <c r="K129" s="25"/>
      <c r="L129" s="25"/>
      <c r="M129" s="43"/>
      <c r="N129" s="55"/>
      <c r="O129" s="28"/>
      <c r="P129" s="28"/>
      <c r="Q129" s="50" t="s">
        <v>282</v>
      </c>
      <c r="R129" s="25"/>
      <c r="S129" s="50"/>
      <c r="T129" s="65"/>
      <c r="U129" s="65"/>
      <c r="V129" s="65"/>
      <c r="W129" s="65"/>
      <c r="X129" s="65"/>
      <c r="Y129" s="65"/>
      <c r="Z129" s="65"/>
      <c r="AA129" s="65"/>
    </row>
    <row r="130" spans="1:27" ht="16.5" customHeight="1">
      <c r="A130" s="344"/>
      <c r="B130" s="344"/>
      <c r="C130" s="31">
        <v>13</v>
      </c>
      <c r="D130" s="344"/>
      <c r="E130" s="63" t="s">
        <v>7213</v>
      </c>
      <c r="F130" s="61" t="s">
        <v>326</v>
      </c>
      <c r="G130" s="61" t="s">
        <v>327</v>
      </c>
      <c r="H130" s="63" t="s">
        <v>7185</v>
      </c>
      <c r="I130" s="63" t="s">
        <v>7161</v>
      </c>
      <c r="J130" s="171"/>
      <c r="K130" s="25" t="s">
        <v>294</v>
      </c>
      <c r="L130" s="25"/>
      <c r="M130" s="43"/>
      <c r="N130" s="55"/>
      <c r="O130" s="28"/>
      <c r="P130" s="28"/>
      <c r="Q130" s="50" t="s">
        <v>140</v>
      </c>
      <c r="R130" s="25"/>
      <c r="S130" s="50"/>
      <c r="T130" s="65"/>
      <c r="U130" s="65"/>
      <c r="V130" s="65"/>
      <c r="W130" s="65"/>
      <c r="X130" s="65"/>
      <c r="Y130" s="65"/>
      <c r="Z130" s="65"/>
      <c r="AA130" s="65"/>
    </row>
    <row r="131" spans="1:27" ht="16.5" customHeight="1">
      <c r="A131" s="344"/>
      <c r="B131" s="344"/>
      <c r="C131" s="31">
        <v>14</v>
      </c>
      <c r="D131" s="344"/>
      <c r="E131" s="63" t="s">
        <v>7214</v>
      </c>
      <c r="F131" s="61" t="s">
        <v>326</v>
      </c>
      <c r="G131" s="61" t="s">
        <v>327</v>
      </c>
      <c r="H131" s="63" t="s">
        <v>7187</v>
      </c>
      <c r="I131" s="63" t="s">
        <v>7161</v>
      </c>
      <c r="J131" s="171"/>
      <c r="K131" s="25" t="s">
        <v>294</v>
      </c>
      <c r="L131" s="25"/>
      <c r="M131" s="43"/>
      <c r="N131" s="55"/>
      <c r="O131" s="28"/>
      <c r="P131" s="28"/>
      <c r="Q131" s="50" t="s">
        <v>140</v>
      </c>
      <c r="R131" s="25"/>
      <c r="S131" s="50"/>
      <c r="T131" s="65"/>
      <c r="U131" s="65"/>
      <c r="V131" s="65"/>
      <c r="W131" s="65"/>
      <c r="X131" s="65"/>
      <c r="Y131" s="65"/>
      <c r="Z131" s="65"/>
      <c r="AA131" s="65"/>
    </row>
    <row r="132" spans="1:27" ht="16.5" customHeight="1">
      <c r="A132" s="344"/>
      <c r="B132" s="344"/>
      <c r="C132" s="31">
        <v>15</v>
      </c>
      <c r="D132" s="344"/>
      <c r="E132" s="63" t="s">
        <v>7215</v>
      </c>
      <c r="F132" s="61" t="s">
        <v>326</v>
      </c>
      <c r="G132" s="61" t="s">
        <v>327</v>
      </c>
      <c r="H132" s="63" t="s">
        <v>7189</v>
      </c>
      <c r="I132" s="63" t="s">
        <v>7161</v>
      </c>
      <c r="J132" s="171"/>
      <c r="K132" s="25"/>
      <c r="L132" s="25"/>
      <c r="M132" s="43"/>
      <c r="N132" s="55"/>
      <c r="O132" s="28"/>
      <c r="P132" s="28"/>
      <c r="Q132" s="50" t="s">
        <v>282</v>
      </c>
      <c r="R132" s="25"/>
      <c r="S132" s="50"/>
      <c r="T132" s="65"/>
      <c r="U132" s="65"/>
      <c r="V132" s="65"/>
      <c r="W132" s="65"/>
      <c r="X132" s="65"/>
      <c r="Y132" s="65"/>
      <c r="Z132" s="65"/>
      <c r="AA132" s="65"/>
    </row>
    <row r="133" spans="1:27" ht="16.5" customHeight="1">
      <c r="A133" s="344"/>
      <c r="B133" s="344"/>
      <c r="C133" s="31">
        <v>16</v>
      </c>
      <c r="D133" s="344"/>
      <c r="E133" s="63" t="s">
        <v>7216</v>
      </c>
      <c r="F133" s="61" t="s">
        <v>326</v>
      </c>
      <c r="G133" s="61" t="s">
        <v>327</v>
      </c>
      <c r="H133" s="63" t="s">
        <v>7191</v>
      </c>
      <c r="I133" s="63" t="s">
        <v>7161</v>
      </c>
      <c r="J133" s="171"/>
      <c r="K133" s="25"/>
      <c r="L133" s="50"/>
      <c r="M133" s="66"/>
      <c r="N133" s="55"/>
      <c r="O133" s="28"/>
      <c r="P133" s="28"/>
      <c r="Q133" s="50" t="s">
        <v>282</v>
      </c>
      <c r="R133" s="25"/>
      <c r="S133" s="50"/>
      <c r="T133" s="65"/>
      <c r="U133" s="65"/>
      <c r="V133" s="65"/>
      <c r="W133" s="65"/>
      <c r="X133" s="65"/>
      <c r="Y133" s="65"/>
      <c r="Z133" s="65"/>
      <c r="AA133" s="65"/>
    </row>
    <row r="134" spans="1:27" ht="15.75" customHeight="1">
      <c r="A134" s="344"/>
      <c r="B134" s="344"/>
      <c r="C134" s="31">
        <v>17</v>
      </c>
      <c r="D134" s="344"/>
      <c r="E134" s="63" t="s">
        <v>7217</v>
      </c>
      <c r="F134" s="61" t="s">
        <v>326</v>
      </c>
      <c r="G134" s="61" t="s">
        <v>327</v>
      </c>
      <c r="H134" s="63" t="s">
        <v>7218</v>
      </c>
      <c r="I134" s="63" t="s">
        <v>7194</v>
      </c>
      <c r="J134" s="171"/>
      <c r="K134" s="25" t="s">
        <v>294</v>
      </c>
      <c r="L134" s="25"/>
      <c r="M134" s="43"/>
      <c r="N134" s="55"/>
      <c r="O134" s="28"/>
      <c r="P134" s="28"/>
      <c r="Q134" s="50" t="s">
        <v>140</v>
      </c>
      <c r="R134" s="25"/>
      <c r="S134" s="50"/>
      <c r="T134" s="65"/>
      <c r="U134" s="65"/>
      <c r="V134" s="65"/>
      <c r="W134" s="65"/>
      <c r="X134" s="65"/>
      <c r="Y134" s="65"/>
      <c r="Z134" s="65"/>
      <c r="AA134" s="65"/>
    </row>
    <row r="135" spans="1:27" ht="15.75" customHeight="1">
      <c r="A135" s="345"/>
      <c r="B135" s="345"/>
      <c r="C135" s="31">
        <v>18</v>
      </c>
      <c r="D135" s="345"/>
      <c r="E135" s="63" t="s">
        <v>7195</v>
      </c>
      <c r="F135" s="61" t="s">
        <v>326</v>
      </c>
      <c r="G135" s="61" t="s">
        <v>327</v>
      </c>
      <c r="H135" s="63" t="s">
        <v>7196</v>
      </c>
      <c r="I135" s="63" t="s">
        <v>7219</v>
      </c>
      <c r="J135" s="171"/>
      <c r="K135" s="25" t="s">
        <v>294</v>
      </c>
      <c r="L135" s="25"/>
      <c r="M135" s="43"/>
      <c r="N135" s="55"/>
      <c r="O135" s="28"/>
      <c r="P135" s="28"/>
      <c r="Q135" s="50" t="s">
        <v>140</v>
      </c>
      <c r="R135" s="25"/>
      <c r="S135" s="50"/>
      <c r="T135" s="65"/>
      <c r="U135" s="65"/>
      <c r="V135" s="65"/>
      <c r="W135" s="65"/>
      <c r="X135" s="65"/>
      <c r="Y135" s="65"/>
      <c r="Z135" s="65"/>
      <c r="AA135" s="65"/>
    </row>
    <row r="136" spans="1:27" ht="15.75" customHeight="1">
      <c r="A136" s="368" t="s">
        <v>7220</v>
      </c>
      <c r="B136" s="350" t="s">
        <v>7221</v>
      </c>
      <c r="C136" s="31">
        <v>1</v>
      </c>
      <c r="D136" s="355" t="s">
        <v>7220</v>
      </c>
      <c r="E136" s="63" t="s">
        <v>7135</v>
      </c>
      <c r="F136" s="61" t="s">
        <v>326</v>
      </c>
      <c r="G136" s="61" t="s">
        <v>327</v>
      </c>
      <c r="H136" s="63" t="s">
        <v>7136</v>
      </c>
      <c r="I136" s="63" t="s">
        <v>7137</v>
      </c>
      <c r="J136" s="171"/>
      <c r="K136" s="25" t="s">
        <v>294</v>
      </c>
      <c r="L136" s="25"/>
      <c r="M136" s="43"/>
      <c r="N136" s="55"/>
      <c r="O136" s="28"/>
      <c r="P136" s="28"/>
      <c r="Q136" s="50" t="s">
        <v>140</v>
      </c>
      <c r="R136" s="25"/>
      <c r="S136" s="50"/>
      <c r="T136" s="65"/>
      <c r="U136" s="65"/>
      <c r="V136" s="65"/>
      <c r="W136" s="65"/>
      <c r="X136" s="65"/>
      <c r="Y136" s="65"/>
      <c r="Z136" s="65"/>
      <c r="AA136" s="65"/>
    </row>
    <row r="137" spans="1:27" ht="15.75" customHeight="1">
      <c r="A137" s="344"/>
      <c r="B137" s="344"/>
      <c r="C137" s="31">
        <v>2</v>
      </c>
      <c r="D137" s="344"/>
      <c r="E137" s="23" t="s">
        <v>7138</v>
      </c>
      <c r="F137" s="31" t="s">
        <v>326</v>
      </c>
      <c r="G137" s="31" t="s">
        <v>327</v>
      </c>
      <c r="H137" s="23" t="s">
        <v>7139</v>
      </c>
      <c r="I137" s="23" t="s">
        <v>7222</v>
      </c>
      <c r="J137" s="170"/>
      <c r="K137" s="25" t="s">
        <v>294</v>
      </c>
      <c r="L137" s="25"/>
      <c r="M137" s="43"/>
      <c r="N137" s="55"/>
      <c r="O137" s="28"/>
      <c r="P137" s="28"/>
      <c r="Q137" s="50" t="s">
        <v>140</v>
      </c>
      <c r="R137" s="25"/>
      <c r="S137" s="50"/>
      <c r="T137" s="65"/>
      <c r="U137" s="65"/>
      <c r="V137" s="65"/>
      <c r="W137" s="65"/>
      <c r="X137" s="65"/>
      <c r="Y137" s="65"/>
      <c r="Z137" s="65"/>
      <c r="AA137" s="65"/>
    </row>
    <row r="138" spans="1:27" ht="15.75" customHeight="1">
      <c r="A138" s="344"/>
      <c r="B138" s="344"/>
      <c r="C138" s="31">
        <v>3</v>
      </c>
      <c r="D138" s="344"/>
      <c r="E138" s="23" t="s">
        <v>7141</v>
      </c>
      <c r="F138" s="31" t="s">
        <v>326</v>
      </c>
      <c r="G138" s="31" t="s">
        <v>327</v>
      </c>
      <c r="H138" s="23" t="s">
        <v>7142</v>
      </c>
      <c r="I138" s="23" t="s">
        <v>7140</v>
      </c>
      <c r="J138" s="170"/>
      <c r="K138" s="25" t="s">
        <v>294</v>
      </c>
      <c r="L138" s="25"/>
      <c r="M138" s="43"/>
      <c r="N138" s="55"/>
      <c r="O138" s="28"/>
      <c r="P138" s="28"/>
      <c r="Q138" s="50" t="s">
        <v>140</v>
      </c>
      <c r="R138" s="25"/>
      <c r="S138" s="50"/>
      <c r="T138" s="65"/>
      <c r="U138" s="65"/>
      <c r="V138" s="65"/>
      <c r="W138" s="65"/>
      <c r="X138" s="65"/>
      <c r="Y138" s="65"/>
      <c r="Z138" s="65"/>
      <c r="AA138" s="65"/>
    </row>
    <row r="139" spans="1:27" ht="15.75" customHeight="1">
      <c r="A139" s="344"/>
      <c r="B139" s="344"/>
      <c r="C139" s="31">
        <v>4</v>
      </c>
      <c r="D139" s="344"/>
      <c r="E139" s="23" t="s">
        <v>7143</v>
      </c>
      <c r="F139" s="31" t="s">
        <v>326</v>
      </c>
      <c r="G139" s="31" t="s">
        <v>327</v>
      </c>
      <c r="H139" s="23" t="s">
        <v>7144</v>
      </c>
      <c r="I139" s="23" t="s">
        <v>7140</v>
      </c>
      <c r="J139" s="170"/>
      <c r="K139" s="25" t="s">
        <v>294</v>
      </c>
      <c r="L139" s="25"/>
      <c r="M139" s="43"/>
      <c r="N139" s="55"/>
      <c r="O139" s="28"/>
      <c r="P139" s="28"/>
      <c r="Q139" s="50" t="s">
        <v>140</v>
      </c>
      <c r="R139" s="25"/>
      <c r="S139" s="50"/>
      <c r="T139" s="65"/>
      <c r="U139" s="65"/>
      <c r="V139" s="65"/>
      <c r="W139" s="65"/>
      <c r="X139" s="65"/>
      <c r="Y139" s="65"/>
      <c r="Z139" s="65"/>
      <c r="AA139" s="65"/>
    </row>
    <row r="140" spans="1:27" ht="15.75" customHeight="1">
      <c r="A140" s="344"/>
      <c r="B140" s="344"/>
      <c r="C140" s="31">
        <v>5</v>
      </c>
      <c r="D140" s="344"/>
      <c r="E140" s="23" t="s">
        <v>3325</v>
      </c>
      <c r="F140" s="31" t="s">
        <v>326</v>
      </c>
      <c r="G140" s="31" t="s">
        <v>327</v>
      </c>
      <c r="H140" s="23" t="s">
        <v>7223</v>
      </c>
      <c r="I140" s="23" t="s">
        <v>7224</v>
      </c>
      <c r="J140" s="170"/>
      <c r="K140" s="25" t="s">
        <v>294</v>
      </c>
      <c r="L140" s="25"/>
      <c r="M140" s="43"/>
      <c r="N140" s="55"/>
      <c r="O140" s="28"/>
      <c r="P140" s="28"/>
      <c r="Q140" s="50" t="s">
        <v>140</v>
      </c>
      <c r="R140" s="25"/>
      <c r="S140" s="50"/>
      <c r="T140" s="65"/>
      <c r="U140" s="65"/>
      <c r="V140" s="65"/>
      <c r="W140" s="65"/>
      <c r="X140" s="65"/>
      <c r="Y140" s="65"/>
      <c r="Z140" s="65"/>
      <c r="AA140" s="65"/>
    </row>
    <row r="141" spans="1:27" ht="15.75" customHeight="1">
      <c r="A141" s="344"/>
      <c r="B141" s="344"/>
      <c r="C141" s="31">
        <v>6</v>
      </c>
      <c r="D141" s="344"/>
      <c r="E141" s="23" t="s">
        <v>7225</v>
      </c>
      <c r="F141" s="31" t="s">
        <v>326</v>
      </c>
      <c r="G141" s="31" t="s">
        <v>327</v>
      </c>
      <c r="H141" s="23" t="s">
        <v>7226</v>
      </c>
      <c r="I141" s="23" t="s">
        <v>7224</v>
      </c>
      <c r="J141" s="170"/>
      <c r="K141" s="25" t="s">
        <v>294</v>
      </c>
      <c r="L141" s="50"/>
      <c r="M141" s="66"/>
      <c r="N141" s="55"/>
      <c r="O141" s="28"/>
      <c r="P141" s="28"/>
      <c r="Q141" s="50" t="s">
        <v>140</v>
      </c>
      <c r="R141" s="25"/>
      <c r="S141" s="50"/>
      <c r="T141" s="65"/>
      <c r="U141" s="65"/>
      <c r="V141" s="65"/>
      <c r="W141" s="65"/>
      <c r="X141" s="65"/>
      <c r="Y141" s="65"/>
      <c r="Z141" s="65"/>
      <c r="AA141" s="65"/>
    </row>
    <row r="142" spans="1:27" ht="15.75" customHeight="1">
      <c r="A142" s="344"/>
      <c r="B142" s="344"/>
      <c r="C142" s="31">
        <v>7</v>
      </c>
      <c r="D142" s="344"/>
      <c r="E142" s="23" t="s">
        <v>7227</v>
      </c>
      <c r="F142" s="31" t="s">
        <v>326</v>
      </c>
      <c r="G142" s="31" t="s">
        <v>327</v>
      </c>
      <c r="H142" s="23" t="s">
        <v>7228</v>
      </c>
      <c r="I142" s="23" t="s">
        <v>7224</v>
      </c>
      <c r="J142" s="170"/>
      <c r="K142" s="25" t="s">
        <v>294</v>
      </c>
      <c r="L142" s="25"/>
      <c r="M142" s="43"/>
      <c r="N142" s="55"/>
      <c r="O142" s="28"/>
      <c r="P142" s="28"/>
      <c r="Q142" s="50" t="s">
        <v>140</v>
      </c>
      <c r="R142" s="25"/>
      <c r="S142" s="50"/>
      <c r="T142" s="65"/>
      <c r="U142" s="65"/>
      <c r="V142" s="65"/>
      <c r="W142" s="65"/>
      <c r="X142" s="65"/>
      <c r="Y142" s="65"/>
      <c r="Z142" s="65"/>
      <c r="AA142" s="65"/>
    </row>
    <row r="143" spans="1:27" ht="15.75" customHeight="1">
      <c r="A143" s="344"/>
      <c r="B143" s="344"/>
      <c r="C143" s="31">
        <v>8</v>
      </c>
      <c r="D143" s="344"/>
      <c r="E143" s="23" t="s">
        <v>7229</v>
      </c>
      <c r="F143" s="31" t="s">
        <v>326</v>
      </c>
      <c r="G143" s="31" t="s">
        <v>327</v>
      </c>
      <c r="H143" s="23" t="s">
        <v>7230</v>
      </c>
      <c r="I143" s="23" t="s">
        <v>7224</v>
      </c>
      <c r="J143" s="170"/>
      <c r="K143" s="25" t="s">
        <v>294</v>
      </c>
      <c r="L143" s="25"/>
      <c r="M143" s="43"/>
      <c r="N143" s="55"/>
      <c r="O143" s="28"/>
      <c r="P143" s="28"/>
      <c r="Q143" s="50" t="s">
        <v>140</v>
      </c>
      <c r="R143" s="25"/>
      <c r="S143" s="50"/>
      <c r="T143" s="65"/>
      <c r="U143" s="65"/>
      <c r="V143" s="65"/>
      <c r="W143" s="65"/>
      <c r="X143" s="65"/>
      <c r="Y143" s="65"/>
      <c r="Z143" s="65"/>
      <c r="AA143" s="65"/>
    </row>
    <row r="144" spans="1:27" ht="15.75" customHeight="1">
      <c r="A144" s="344"/>
      <c r="B144" s="344"/>
      <c r="C144" s="31">
        <v>9</v>
      </c>
      <c r="D144" s="344"/>
      <c r="E144" s="23" t="s">
        <v>7231</v>
      </c>
      <c r="F144" s="31" t="s">
        <v>326</v>
      </c>
      <c r="G144" s="31" t="s">
        <v>327</v>
      </c>
      <c r="H144" s="23" t="s">
        <v>7232</v>
      </c>
      <c r="I144" s="23" t="s">
        <v>7233</v>
      </c>
      <c r="J144" s="170"/>
      <c r="K144" s="25" t="s">
        <v>294</v>
      </c>
      <c r="L144" s="25"/>
      <c r="M144" s="43"/>
      <c r="N144" s="55"/>
      <c r="O144" s="28"/>
      <c r="P144" s="28"/>
      <c r="Q144" s="50" t="s">
        <v>140</v>
      </c>
      <c r="R144" s="25"/>
      <c r="S144" s="50"/>
      <c r="T144" s="65"/>
      <c r="U144" s="65"/>
      <c r="V144" s="65"/>
      <c r="W144" s="65"/>
      <c r="X144" s="65"/>
      <c r="Y144" s="65"/>
      <c r="Z144" s="65"/>
      <c r="AA144" s="65"/>
    </row>
    <row r="145" spans="1:27" ht="15.75" customHeight="1">
      <c r="A145" s="344"/>
      <c r="B145" s="344"/>
      <c r="C145" s="31">
        <v>10</v>
      </c>
      <c r="D145" s="344"/>
      <c r="E145" s="23" t="s">
        <v>7234</v>
      </c>
      <c r="F145" s="31" t="s">
        <v>326</v>
      </c>
      <c r="G145" s="31" t="s">
        <v>327</v>
      </c>
      <c r="H145" s="23" t="s">
        <v>7235</v>
      </c>
      <c r="I145" s="23" t="s">
        <v>7236</v>
      </c>
      <c r="J145" s="170"/>
      <c r="K145" s="25" t="s">
        <v>294</v>
      </c>
      <c r="L145" s="25"/>
      <c r="M145" s="43"/>
      <c r="N145" s="55"/>
      <c r="O145" s="28"/>
      <c r="P145" s="28"/>
      <c r="Q145" s="50" t="s">
        <v>140</v>
      </c>
      <c r="R145" s="25"/>
      <c r="S145" s="50"/>
      <c r="T145" s="65"/>
      <c r="U145" s="65"/>
      <c r="V145" s="65"/>
      <c r="W145" s="65"/>
      <c r="X145" s="65"/>
      <c r="Y145" s="65"/>
      <c r="Z145" s="65"/>
      <c r="AA145" s="65"/>
    </row>
    <row r="146" spans="1:27" ht="15.75" customHeight="1">
      <c r="A146" s="344"/>
      <c r="B146" s="344"/>
      <c r="C146" s="31">
        <v>11</v>
      </c>
      <c r="D146" s="344"/>
      <c r="E146" s="23" t="s">
        <v>7237</v>
      </c>
      <c r="F146" s="31" t="s">
        <v>326</v>
      </c>
      <c r="G146" s="31" t="s">
        <v>327</v>
      </c>
      <c r="H146" s="23" t="s">
        <v>7238</v>
      </c>
      <c r="I146" s="23" t="s">
        <v>7236</v>
      </c>
      <c r="J146" s="170"/>
      <c r="K146" s="25" t="s">
        <v>294</v>
      </c>
      <c r="L146" s="25"/>
      <c r="M146" s="43"/>
      <c r="N146" s="55"/>
      <c r="O146" s="28"/>
      <c r="P146" s="28"/>
      <c r="Q146" s="50" t="s">
        <v>140</v>
      </c>
      <c r="R146" s="25"/>
      <c r="S146" s="50"/>
      <c r="T146" s="65"/>
      <c r="U146" s="65"/>
      <c r="V146" s="65"/>
      <c r="W146" s="65"/>
      <c r="X146" s="65"/>
      <c r="Y146" s="65"/>
      <c r="Z146" s="65"/>
      <c r="AA146" s="65"/>
    </row>
    <row r="147" spans="1:27" ht="15.75" customHeight="1">
      <c r="A147" s="344"/>
      <c r="B147" s="344"/>
      <c r="C147" s="31">
        <v>12</v>
      </c>
      <c r="D147" s="344"/>
      <c r="E147" s="23" t="s">
        <v>7239</v>
      </c>
      <c r="F147" s="31" t="s">
        <v>326</v>
      </c>
      <c r="G147" s="31" t="s">
        <v>327</v>
      </c>
      <c r="H147" s="23" t="s">
        <v>7240</v>
      </c>
      <c r="I147" s="23" t="s">
        <v>7236</v>
      </c>
      <c r="J147" s="170"/>
      <c r="K147" s="25"/>
      <c r="L147" s="50"/>
      <c r="M147" s="66"/>
      <c r="N147" s="55"/>
      <c r="O147" s="28"/>
      <c r="P147" s="28"/>
      <c r="Q147" s="50" t="s">
        <v>282</v>
      </c>
      <c r="R147" s="25"/>
      <c r="S147" s="50"/>
      <c r="T147" s="65"/>
      <c r="U147" s="65"/>
      <c r="V147" s="65"/>
      <c r="W147" s="65"/>
      <c r="X147" s="65"/>
      <c r="Y147" s="65"/>
      <c r="Z147" s="65"/>
      <c r="AA147" s="65"/>
    </row>
    <row r="148" spans="1:27" ht="15.75" customHeight="1">
      <c r="A148" s="344"/>
      <c r="B148" s="344"/>
      <c r="C148" s="31">
        <v>13</v>
      </c>
      <c r="D148" s="344"/>
      <c r="E148" s="23" t="s">
        <v>7241</v>
      </c>
      <c r="F148" s="31" t="s">
        <v>326</v>
      </c>
      <c r="G148" s="31" t="s">
        <v>327</v>
      </c>
      <c r="H148" s="23" t="s">
        <v>7242</v>
      </c>
      <c r="I148" s="23" t="s">
        <v>7236</v>
      </c>
      <c r="J148" s="170"/>
      <c r="K148" s="25" t="s">
        <v>294</v>
      </c>
      <c r="L148" s="25"/>
      <c r="M148" s="43"/>
      <c r="N148" s="55"/>
      <c r="O148" s="28"/>
      <c r="P148" s="28"/>
      <c r="Q148" s="50" t="s">
        <v>140</v>
      </c>
      <c r="R148" s="25"/>
      <c r="S148" s="50"/>
      <c r="T148" s="65"/>
      <c r="U148" s="65"/>
      <c r="V148" s="65"/>
      <c r="W148" s="65"/>
      <c r="X148" s="65"/>
      <c r="Y148" s="65"/>
      <c r="Z148" s="65"/>
      <c r="AA148" s="65"/>
    </row>
    <row r="149" spans="1:27" ht="15.75" customHeight="1">
      <c r="A149" s="344"/>
      <c r="B149" s="344"/>
      <c r="C149" s="31">
        <v>14</v>
      </c>
      <c r="D149" s="344"/>
      <c r="E149" s="35" t="s">
        <v>7243</v>
      </c>
      <c r="F149" s="46" t="s">
        <v>326</v>
      </c>
      <c r="G149" s="46" t="s">
        <v>327</v>
      </c>
      <c r="H149" s="35" t="s">
        <v>7244</v>
      </c>
      <c r="I149" s="35" t="s">
        <v>7236</v>
      </c>
      <c r="J149" s="172"/>
      <c r="K149" s="25" t="s">
        <v>294</v>
      </c>
      <c r="L149" s="25"/>
      <c r="M149" s="43"/>
      <c r="N149" s="55"/>
      <c r="O149" s="28"/>
      <c r="P149" s="28"/>
      <c r="Q149" s="50" t="s">
        <v>140</v>
      </c>
      <c r="R149" s="25"/>
      <c r="S149" s="50"/>
      <c r="T149" s="65"/>
      <c r="U149" s="65"/>
      <c r="V149" s="65"/>
      <c r="W149" s="65"/>
      <c r="X149" s="65"/>
      <c r="Y149" s="65"/>
      <c r="Z149" s="65"/>
      <c r="AA149" s="65"/>
    </row>
    <row r="150" spans="1:27" ht="15.75" customHeight="1">
      <c r="A150" s="344"/>
      <c r="B150" s="344"/>
      <c r="C150" s="31">
        <v>15</v>
      </c>
      <c r="D150" s="344"/>
      <c r="E150" s="35" t="s">
        <v>7245</v>
      </c>
      <c r="F150" s="46" t="s">
        <v>326</v>
      </c>
      <c r="G150" s="46" t="s">
        <v>327</v>
      </c>
      <c r="H150" s="35" t="s">
        <v>7246</v>
      </c>
      <c r="I150" s="35" t="s">
        <v>7236</v>
      </c>
      <c r="J150" s="172"/>
      <c r="K150" s="25"/>
      <c r="L150" s="25"/>
      <c r="M150" s="43"/>
      <c r="N150" s="55"/>
      <c r="O150" s="28"/>
      <c r="P150" s="28"/>
      <c r="Q150" s="50" t="s">
        <v>282</v>
      </c>
      <c r="R150" s="25"/>
      <c r="S150" s="50"/>
      <c r="T150" s="65"/>
      <c r="U150" s="65"/>
      <c r="V150" s="65"/>
      <c r="W150" s="65"/>
      <c r="X150" s="65"/>
      <c r="Y150" s="65"/>
      <c r="Z150" s="65"/>
      <c r="AA150" s="65"/>
    </row>
    <row r="151" spans="1:27" ht="15.75" customHeight="1">
      <c r="A151" s="344"/>
      <c r="B151" s="344"/>
      <c r="C151" s="31">
        <v>16</v>
      </c>
      <c r="D151" s="344"/>
      <c r="E151" s="35" t="s">
        <v>7247</v>
      </c>
      <c r="F151" s="46" t="s">
        <v>326</v>
      </c>
      <c r="G151" s="46" t="s">
        <v>327</v>
      </c>
      <c r="H151" s="35" t="s">
        <v>7248</v>
      </c>
      <c r="I151" s="35" t="s">
        <v>7236</v>
      </c>
      <c r="J151" s="172"/>
      <c r="K151" s="25"/>
      <c r="L151" s="50"/>
      <c r="M151" s="66"/>
      <c r="N151" s="55"/>
      <c r="O151" s="28"/>
      <c r="P151" s="28"/>
      <c r="Q151" s="50" t="s">
        <v>282</v>
      </c>
      <c r="R151" s="25"/>
      <c r="S151" s="50"/>
      <c r="T151" s="65"/>
      <c r="U151" s="65"/>
      <c r="V151" s="65"/>
      <c r="W151" s="65"/>
      <c r="X151" s="65"/>
      <c r="Y151" s="65"/>
      <c r="Z151" s="65"/>
      <c r="AA151" s="65"/>
    </row>
    <row r="152" spans="1:27" ht="15.75" customHeight="1">
      <c r="A152" s="344"/>
      <c r="B152" s="344"/>
      <c r="C152" s="31">
        <v>17</v>
      </c>
      <c r="D152" s="344"/>
      <c r="E152" s="23" t="s">
        <v>7249</v>
      </c>
      <c r="F152" s="31" t="s">
        <v>326</v>
      </c>
      <c r="G152" s="31" t="s">
        <v>327</v>
      </c>
      <c r="H152" s="23" t="s">
        <v>7250</v>
      </c>
      <c r="I152" s="23" t="s">
        <v>7236</v>
      </c>
      <c r="J152" s="170"/>
      <c r="K152" s="25"/>
      <c r="L152" s="50"/>
      <c r="M152" s="66"/>
      <c r="N152" s="55"/>
      <c r="O152" s="28"/>
      <c r="P152" s="28"/>
      <c r="Q152" s="50" t="s">
        <v>282</v>
      </c>
      <c r="R152" s="25"/>
      <c r="S152" s="50"/>
      <c r="T152" s="65"/>
      <c r="U152" s="65"/>
      <c r="V152" s="65"/>
      <c r="W152" s="65"/>
      <c r="X152" s="65"/>
      <c r="Y152" s="65"/>
      <c r="Z152" s="65"/>
      <c r="AA152" s="65"/>
    </row>
    <row r="153" spans="1:27" ht="15.75" customHeight="1">
      <c r="A153" s="344"/>
      <c r="B153" s="344"/>
      <c r="C153" s="31">
        <v>18</v>
      </c>
      <c r="D153" s="344"/>
      <c r="E153" s="23" t="s">
        <v>3335</v>
      </c>
      <c r="F153" s="31" t="s">
        <v>326</v>
      </c>
      <c r="G153" s="31" t="s">
        <v>327</v>
      </c>
      <c r="H153" s="23" t="s">
        <v>7251</v>
      </c>
      <c r="I153" s="23" t="s">
        <v>7252</v>
      </c>
      <c r="J153" s="170"/>
      <c r="K153" s="25" t="s">
        <v>294</v>
      </c>
      <c r="L153" s="50"/>
      <c r="M153" s="66"/>
      <c r="N153" s="55"/>
      <c r="O153" s="28"/>
      <c r="P153" s="28"/>
      <c r="Q153" s="50" t="s">
        <v>140</v>
      </c>
      <c r="R153" s="25"/>
      <c r="S153" s="50"/>
      <c r="T153" s="65"/>
      <c r="U153" s="65"/>
      <c r="V153" s="65"/>
      <c r="W153" s="65"/>
      <c r="X153" s="65"/>
      <c r="Y153" s="65"/>
      <c r="Z153" s="65"/>
      <c r="AA153" s="65"/>
    </row>
    <row r="154" spans="1:27" ht="15.75" customHeight="1">
      <c r="A154" s="344"/>
      <c r="B154" s="344"/>
      <c r="C154" s="31">
        <v>19</v>
      </c>
      <c r="D154" s="344"/>
      <c r="E154" s="23" t="s">
        <v>3335</v>
      </c>
      <c r="F154" s="31" t="s">
        <v>326</v>
      </c>
      <c r="G154" s="31" t="s">
        <v>327</v>
      </c>
      <c r="H154" s="23" t="s">
        <v>7253</v>
      </c>
      <c r="I154" s="23" t="s">
        <v>7252</v>
      </c>
      <c r="J154" s="170"/>
      <c r="K154" s="25" t="s">
        <v>294</v>
      </c>
      <c r="L154" s="50"/>
      <c r="M154" s="66"/>
      <c r="N154" s="55"/>
      <c r="O154" s="28"/>
      <c r="P154" s="28"/>
      <c r="Q154" s="50" t="s">
        <v>140</v>
      </c>
      <c r="R154" s="25"/>
      <c r="S154" s="50"/>
      <c r="T154" s="65"/>
      <c r="U154" s="65"/>
      <c r="V154" s="65"/>
      <c r="W154" s="65"/>
      <c r="X154" s="65"/>
      <c r="Y154" s="65"/>
      <c r="Z154" s="65"/>
      <c r="AA154" s="65"/>
    </row>
    <row r="155" spans="1:27" ht="15.75" customHeight="1">
      <c r="A155" s="344"/>
      <c r="B155" s="344"/>
      <c r="C155" s="31">
        <v>20</v>
      </c>
      <c r="D155" s="344"/>
      <c r="E155" s="23" t="s">
        <v>3335</v>
      </c>
      <c r="F155" s="31" t="s">
        <v>326</v>
      </c>
      <c r="G155" s="31" t="s">
        <v>327</v>
      </c>
      <c r="H155" s="23" t="s">
        <v>7254</v>
      </c>
      <c r="I155" s="23" t="s">
        <v>7252</v>
      </c>
      <c r="J155" s="170"/>
      <c r="K155" s="25" t="s">
        <v>294</v>
      </c>
      <c r="L155" s="50"/>
      <c r="M155" s="66"/>
      <c r="N155" s="55"/>
      <c r="O155" s="28"/>
      <c r="P155" s="28"/>
      <c r="Q155" s="50" t="s">
        <v>140</v>
      </c>
      <c r="R155" s="25"/>
      <c r="S155" s="50"/>
      <c r="T155" s="65"/>
      <c r="U155" s="65"/>
      <c r="V155" s="65"/>
      <c r="W155" s="65"/>
      <c r="X155" s="65"/>
      <c r="Y155" s="65"/>
      <c r="Z155" s="65"/>
      <c r="AA155" s="65"/>
    </row>
    <row r="156" spans="1:27" ht="15.75" customHeight="1">
      <c r="A156" s="345"/>
      <c r="B156" s="345"/>
      <c r="C156" s="31">
        <v>21</v>
      </c>
      <c r="D156" s="345"/>
      <c r="E156" s="23" t="s">
        <v>7195</v>
      </c>
      <c r="F156" s="31" t="s">
        <v>326</v>
      </c>
      <c r="G156" s="31" t="s">
        <v>327</v>
      </c>
      <c r="H156" s="23" t="s">
        <v>7255</v>
      </c>
      <c r="I156" s="23" t="s">
        <v>7256</v>
      </c>
      <c r="J156" s="170"/>
      <c r="K156" s="25" t="s">
        <v>294</v>
      </c>
      <c r="L156" s="50"/>
      <c r="M156" s="66"/>
      <c r="N156" s="55"/>
      <c r="O156" s="28"/>
      <c r="P156" s="28"/>
      <c r="Q156" s="50" t="s">
        <v>140</v>
      </c>
      <c r="R156" s="152"/>
      <c r="S156" s="149"/>
      <c r="T156" s="65"/>
      <c r="U156" s="65"/>
      <c r="V156" s="65"/>
      <c r="W156" s="65"/>
      <c r="X156" s="65"/>
      <c r="Y156" s="65"/>
      <c r="Z156" s="65"/>
      <c r="AA156" s="65"/>
    </row>
    <row r="157" spans="1:27" ht="15.75" customHeight="1">
      <c r="A157" s="359" t="s">
        <v>28</v>
      </c>
      <c r="B157" s="360" t="s">
        <v>7257</v>
      </c>
      <c r="C157" s="31">
        <v>1</v>
      </c>
      <c r="D157" s="356" t="s">
        <v>28</v>
      </c>
      <c r="E157" s="23" t="s">
        <v>7258</v>
      </c>
      <c r="F157" s="31" t="s">
        <v>326</v>
      </c>
      <c r="G157" s="31" t="s">
        <v>327</v>
      </c>
      <c r="H157" s="23" t="s">
        <v>7259</v>
      </c>
      <c r="I157" s="23" t="s">
        <v>7260</v>
      </c>
      <c r="J157" s="170"/>
      <c r="K157" s="25"/>
      <c r="L157" s="50"/>
      <c r="M157" s="66"/>
      <c r="N157" s="55"/>
      <c r="O157" s="28"/>
      <c r="P157" s="28"/>
      <c r="Q157" s="50" t="s">
        <v>282</v>
      </c>
      <c r="R157" s="25"/>
      <c r="S157" s="50"/>
      <c r="T157" s="65"/>
      <c r="U157" s="65"/>
      <c r="V157" s="65"/>
      <c r="W157" s="65"/>
      <c r="X157" s="65"/>
      <c r="Y157" s="65"/>
      <c r="Z157" s="65"/>
      <c r="AA157" s="65"/>
    </row>
    <row r="158" spans="1:27" ht="15.75" customHeight="1">
      <c r="A158" s="344"/>
      <c r="B158" s="344"/>
      <c r="C158" s="31">
        <v>2</v>
      </c>
      <c r="D158" s="344"/>
      <c r="E158" s="23" t="s">
        <v>7261</v>
      </c>
      <c r="F158" s="31" t="s">
        <v>326</v>
      </c>
      <c r="G158" s="31" t="s">
        <v>327</v>
      </c>
      <c r="H158" s="23" t="s">
        <v>7259</v>
      </c>
      <c r="I158" s="23" t="s">
        <v>7260</v>
      </c>
      <c r="J158" s="170"/>
      <c r="K158" s="25"/>
      <c r="L158" s="50"/>
      <c r="M158" s="66"/>
      <c r="N158" s="55"/>
      <c r="O158" s="28"/>
      <c r="P158" s="28"/>
      <c r="Q158" s="50" t="s">
        <v>282</v>
      </c>
      <c r="R158" s="25"/>
      <c r="S158" s="50"/>
      <c r="T158" s="65"/>
      <c r="U158" s="65"/>
      <c r="V158" s="65"/>
      <c r="W158" s="65"/>
      <c r="X158" s="65"/>
      <c r="Y158" s="65"/>
      <c r="Z158" s="65"/>
      <c r="AA158" s="65"/>
    </row>
    <row r="159" spans="1:27" ht="15.75" customHeight="1">
      <c r="A159" s="344"/>
      <c r="B159" s="344"/>
      <c r="C159" s="31">
        <v>3</v>
      </c>
      <c r="D159" s="344"/>
      <c r="E159" s="23" t="s">
        <v>7262</v>
      </c>
      <c r="F159" s="31" t="s">
        <v>326</v>
      </c>
      <c r="G159" s="31" t="s">
        <v>327</v>
      </c>
      <c r="H159" s="23" t="s">
        <v>7259</v>
      </c>
      <c r="I159" s="23" t="s">
        <v>7263</v>
      </c>
      <c r="J159" s="170"/>
      <c r="K159" s="25"/>
      <c r="L159" s="50"/>
      <c r="M159" s="66"/>
      <c r="N159" s="55"/>
      <c r="O159" s="28"/>
      <c r="P159" s="28"/>
      <c r="Q159" s="50" t="s">
        <v>282</v>
      </c>
      <c r="R159" s="25"/>
      <c r="S159" s="50"/>
      <c r="T159" s="65"/>
      <c r="U159" s="65"/>
      <c r="V159" s="65"/>
      <c r="W159" s="65"/>
      <c r="X159" s="65"/>
      <c r="Y159" s="65"/>
      <c r="Z159" s="65"/>
      <c r="AA159" s="65"/>
    </row>
    <row r="160" spans="1:27" ht="15.75" customHeight="1">
      <c r="A160" s="345"/>
      <c r="B160" s="345"/>
      <c r="C160" s="31">
        <v>4</v>
      </c>
      <c r="D160" s="345"/>
      <c r="E160" s="23" t="s">
        <v>7264</v>
      </c>
      <c r="F160" s="31" t="s">
        <v>326</v>
      </c>
      <c r="G160" s="31" t="s">
        <v>327</v>
      </c>
      <c r="H160" s="23" t="s">
        <v>7259</v>
      </c>
      <c r="I160" s="23" t="s">
        <v>7265</v>
      </c>
      <c r="J160" s="170"/>
      <c r="K160" s="25"/>
      <c r="L160" s="50"/>
      <c r="M160" s="66"/>
      <c r="N160" s="55"/>
      <c r="O160" s="28"/>
      <c r="P160" s="28"/>
      <c r="Q160" s="50" t="s">
        <v>282</v>
      </c>
      <c r="R160" s="25"/>
      <c r="S160" s="50"/>
      <c r="T160" s="65"/>
      <c r="U160" s="65"/>
      <c r="V160" s="65"/>
      <c r="W160" s="65"/>
      <c r="X160" s="65"/>
      <c r="Y160" s="65"/>
      <c r="Z160" s="65"/>
      <c r="AA160" s="65"/>
    </row>
    <row r="161" spans="1:27" ht="15.75" customHeight="1">
      <c r="A161" s="359" t="s">
        <v>111</v>
      </c>
      <c r="B161" s="360" t="s">
        <v>110</v>
      </c>
      <c r="C161" s="31">
        <v>1</v>
      </c>
      <c r="D161" s="356" t="s">
        <v>111</v>
      </c>
      <c r="E161" s="23" t="s">
        <v>7266</v>
      </c>
      <c r="F161" s="31" t="s">
        <v>326</v>
      </c>
      <c r="G161" s="31" t="s">
        <v>327</v>
      </c>
      <c r="H161" s="23" t="s">
        <v>7259</v>
      </c>
      <c r="I161" s="23" t="s">
        <v>7267</v>
      </c>
      <c r="J161" s="170"/>
      <c r="K161" s="25"/>
      <c r="L161" s="50"/>
      <c r="M161" s="66"/>
      <c r="N161" s="55"/>
      <c r="O161" s="28"/>
      <c r="P161" s="28"/>
      <c r="Q161" s="50" t="s">
        <v>282</v>
      </c>
      <c r="R161" s="25"/>
      <c r="S161" s="50"/>
      <c r="T161" s="65"/>
      <c r="U161" s="65"/>
      <c r="V161" s="65"/>
      <c r="W161" s="65"/>
      <c r="X161" s="65"/>
      <c r="Y161" s="65"/>
      <c r="Z161" s="65"/>
      <c r="AA161" s="65"/>
    </row>
    <row r="162" spans="1:27" ht="15.75" customHeight="1">
      <c r="A162" s="344"/>
      <c r="B162" s="344"/>
      <c r="C162" s="31">
        <v>2</v>
      </c>
      <c r="D162" s="344"/>
      <c r="E162" s="23" t="s">
        <v>7268</v>
      </c>
      <c r="F162" s="31" t="s">
        <v>326</v>
      </c>
      <c r="G162" s="31" t="s">
        <v>327</v>
      </c>
      <c r="H162" s="23" t="s">
        <v>7259</v>
      </c>
      <c r="I162" s="23" t="s">
        <v>7269</v>
      </c>
      <c r="J162" s="170"/>
      <c r="K162" s="25"/>
      <c r="L162" s="50"/>
      <c r="M162" s="66"/>
      <c r="N162" s="55"/>
      <c r="O162" s="28"/>
      <c r="P162" s="28"/>
      <c r="Q162" s="50" t="s">
        <v>282</v>
      </c>
      <c r="R162" s="25"/>
      <c r="S162" s="50"/>
      <c r="T162" s="65"/>
      <c r="U162" s="65"/>
      <c r="V162" s="65"/>
      <c r="W162" s="65"/>
      <c r="X162" s="65"/>
      <c r="Y162" s="65"/>
      <c r="Z162" s="65"/>
      <c r="AA162" s="65"/>
    </row>
    <row r="163" spans="1:27" ht="15.75" customHeight="1">
      <c r="A163" s="344"/>
      <c r="B163" s="344"/>
      <c r="C163" s="31">
        <v>3</v>
      </c>
      <c r="D163" s="344"/>
      <c r="E163" s="23" t="s">
        <v>7270</v>
      </c>
      <c r="F163" s="31" t="s">
        <v>326</v>
      </c>
      <c r="G163" s="31" t="s">
        <v>327</v>
      </c>
      <c r="H163" s="23" t="s">
        <v>7259</v>
      </c>
      <c r="I163" s="23" t="s">
        <v>7271</v>
      </c>
      <c r="J163" s="170"/>
      <c r="K163" s="25"/>
      <c r="L163" s="50"/>
      <c r="M163" s="66"/>
      <c r="N163" s="55"/>
      <c r="O163" s="28"/>
      <c r="P163" s="28"/>
      <c r="Q163" s="50" t="s">
        <v>282</v>
      </c>
      <c r="R163" s="25"/>
      <c r="S163" s="50"/>
      <c r="T163" s="65"/>
      <c r="U163" s="65"/>
      <c r="V163" s="65"/>
      <c r="W163" s="65"/>
      <c r="X163" s="65"/>
      <c r="Y163" s="65"/>
      <c r="Z163" s="65"/>
      <c r="AA163" s="65"/>
    </row>
    <row r="164" spans="1:27" ht="15.75" customHeight="1">
      <c r="A164" s="344"/>
      <c r="B164" s="344"/>
      <c r="C164" s="31">
        <v>4</v>
      </c>
      <c r="D164" s="344"/>
      <c r="E164" s="23" t="s">
        <v>7272</v>
      </c>
      <c r="F164" s="31" t="s">
        <v>326</v>
      </c>
      <c r="G164" s="31" t="s">
        <v>327</v>
      </c>
      <c r="H164" s="23" t="s">
        <v>7259</v>
      </c>
      <c r="I164" s="23" t="s">
        <v>7273</v>
      </c>
      <c r="J164" s="170"/>
      <c r="K164" s="25"/>
      <c r="L164" s="50"/>
      <c r="M164" s="66"/>
      <c r="N164" s="55"/>
      <c r="O164" s="28"/>
      <c r="P164" s="28"/>
      <c r="Q164" s="50" t="s">
        <v>282</v>
      </c>
      <c r="R164" s="25"/>
      <c r="S164" s="50"/>
      <c r="T164" s="65"/>
      <c r="U164" s="65"/>
      <c r="V164" s="65"/>
      <c r="W164" s="65"/>
      <c r="X164" s="65"/>
      <c r="Y164" s="65"/>
      <c r="Z164" s="65"/>
      <c r="AA164" s="65"/>
    </row>
    <row r="165" spans="1:27" ht="15.75" customHeight="1">
      <c r="A165" s="344"/>
      <c r="B165" s="344"/>
      <c r="C165" s="31">
        <v>5</v>
      </c>
      <c r="D165" s="344"/>
      <c r="E165" s="23" t="s">
        <v>7274</v>
      </c>
      <c r="F165" s="31" t="s">
        <v>326</v>
      </c>
      <c r="G165" s="31" t="s">
        <v>327</v>
      </c>
      <c r="H165" s="23" t="s">
        <v>7259</v>
      </c>
      <c r="I165" s="23" t="s">
        <v>7275</v>
      </c>
      <c r="J165" s="170"/>
      <c r="K165" s="25"/>
      <c r="L165" s="50"/>
      <c r="M165" s="66"/>
      <c r="N165" s="55"/>
      <c r="O165" s="28"/>
      <c r="P165" s="28"/>
      <c r="Q165" s="50" t="s">
        <v>282</v>
      </c>
      <c r="R165" s="25"/>
      <c r="S165" s="50"/>
      <c r="T165" s="65"/>
      <c r="U165" s="65"/>
      <c r="V165" s="65"/>
      <c r="W165" s="65"/>
      <c r="X165" s="65"/>
      <c r="Y165" s="65"/>
      <c r="Z165" s="65"/>
      <c r="AA165" s="65"/>
    </row>
    <row r="166" spans="1:27" ht="15.75" customHeight="1">
      <c r="A166" s="344"/>
      <c r="B166" s="344"/>
      <c r="C166" s="31">
        <v>6</v>
      </c>
      <c r="D166" s="344"/>
      <c r="E166" s="23" t="s">
        <v>7276</v>
      </c>
      <c r="F166" s="31" t="s">
        <v>326</v>
      </c>
      <c r="G166" s="31" t="s">
        <v>327</v>
      </c>
      <c r="H166" s="23" t="s">
        <v>7259</v>
      </c>
      <c r="I166" s="23" t="s">
        <v>7277</v>
      </c>
      <c r="J166" s="170"/>
      <c r="K166" s="25" t="s">
        <v>294</v>
      </c>
      <c r="L166" s="50"/>
      <c r="M166" s="66"/>
      <c r="N166" s="55"/>
      <c r="O166" s="28"/>
      <c r="P166" s="50" t="s">
        <v>140</v>
      </c>
      <c r="Q166" s="50" t="s">
        <v>140</v>
      </c>
      <c r="R166" s="25"/>
      <c r="S166" s="50"/>
      <c r="T166" s="65"/>
      <c r="U166" s="65"/>
      <c r="V166" s="65"/>
      <c r="W166" s="65"/>
      <c r="X166" s="65"/>
      <c r="Y166" s="65"/>
      <c r="Z166" s="65"/>
      <c r="AA166" s="65"/>
    </row>
    <row r="167" spans="1:27" ht="15.75" customHeight="1">
      <c r="A167" s="344"/>
      <c r="B167" s="344"/>
      <c r="C167" s="31">
        <v>7</v>
      </c>
      <c r="D167" s="344"/>
      <c r="E167" s="63" t="s">
        <v>7278</v>
      </c>
      <c r="F167" s="61" t="s">
        <v>326</v>
      </c>
      <c r="G167" s="61" t="s">
        <v>327</v>
      </c>
      <c r="H167" s="63" t="s">
        <v>7259</v>
      </c>
      <c r="I167" s="63" t="s">
        <v>7260</v>
      </c>
      <c r="J167" s="171"/>
      <c r="K167" s="25"/>
      <c r="L167" s="50"/>
      <c r="M167" s="66"/>
      <c r="N167" s="55"/>
      <c r="O167" s="28"/>
      <c r="P167" s="50" t="s">
        <v>282</v>
      </c>
      <c r="Q167" s="50" t="s">
        <v>282</v>
      </c>
      <c r="R167" s="25"/>
      <c r="S167" s="50"/>
      <c r="T167" s="65"/>
      <c r="U167" s="65"/>
      <c r="V167" s="65"/>
      <c r="W167" s="65"/>
      <c r="X167" s="65"/>
      <c r="Y167" s="65"/>
      <c r="Z167" s="65"/>
      <c r="AA167" s="65"/>
    </row>
    <row r="168" spans="1:27" ht="15.75" customHeight="1">
      <c r="A168" s="344"/>
      <c r="B168" s="344"/>
      <c r="C168" s="31">
        <v>8</v>
      </c>
      <c r="D168" s="344"/>
      <c r="E168" s="63" t="s">
        <v>7279</v>
      </c>
      <c r="F168" s="61" t="s">
        <v>326</v>
      </c>
      <c r="G168" s="61" t="s">
        <v>327</v>
      </c>
      <c r="H168" s="63" t="s">
        <v>7259</v>
      </c>
      <c r="I168" s="63" t="s">
        <v>7280</v>
      </c>
      <c r="J168" s="171"/>
      <c r="K168" s="25" t="s">
        <v>294</v>
      </c>
      <c r="L168" s="50"/>
      <c r="M168" s="66"/>
      <c r="N168" s="55"/>
      <c r="O168" s="28"/>
      <c r="P168" s="50" t="s">
        <v>140</v>
      </c>
      <c r="Q168" s="50" t="s">
        <v>140</v>
      </c>
      <c r="R168" s="25"/>
      <c r="S168" s="50"/>
      <c r="T168" s="65"/>
      <c r="U168" s="65"/>
      <c r="V168" s="65"/>
      <c r="W168" s="65"/>
      <c r="X168" s="65"/>
      <c r="Y168" s="65"/>
      <c r="Z168" s="65"/>
      <c r="AA168" s="65"/>
    </row>
    <row r="169" spans="1:27" ht="15.75" customHeight="1">
      <c r="A169" s="344"/>
      <c r="B169" s="344"/>
      <c r="C169" s="31">
        <v>9</v>
      </c>
      <c r="D169" s="344"/>
      <c r="E169" s="63" t="s">
        <v>7281</v>
      </c>
      <c r="F169" s="61" t="s">
        <v>326</v>
      </c>
      <c r="G169" s="61" t="s">
        <v>327</v>
      </c>
      <c r="H169" s="63" t="s">
        <v>7259</v>
      </c>
      <c r="I169" s="63" t="s">
        <v>7282</v>
      </c>
      <c r="J169" s="171"/>
      <c r="K169" s="25" t="s">
        <v>294</v>
      </c>
      <c r="L169" s="50"/>
      <c r="M169" s="66"/>
      <c r="N169" s="55"/>
      <c r="O169" s="28"/>
      <c r="P169" s="50" t="s">
        <v>140</v>
      </c>
      <c r="Q169" s="50" t="s">
        <v>140</v>
      </c>
      <c r="R169" s="25"/>
      <c r="S169" s="50"/>
      <c r="T169" s="65"/>
      <c r="U169" s="65"/>
      <c r="V169" s="65"/>
      <c r="W169" s="65"/>
      <c r="X169" s="65"/>
      <c r="Y169" s="65"/>
      <c r="Z169" s="65"/>
      <c r="AA169" s="65"/>
    </row>
    <row r="170" spans="1:27" ht="15.75" customHeight="1">
      <c r="A170" s="344"/>
      <c r="B170" s="344"/>
      <c r="C170" s="31">
        <v>10</v>
      </c>
      <c r="D170" s="344"/>
      <c r="E170" s="63" t="s">
        <v>7283</v>
      </c>
      <c r="F170" s="61" t="s">
        <v>326</v>
      </c>
      <c r="G170" s="61" t="s">
        <v>327</v>
      </c>
      <c r="H170" s="63" t="s">
        <v>7259</v>
      </c>
      <c r="I170" s="63" t="s">
        <v>7284</v>
      </c>
      <c r="J170" s="171"/>
      <c r="K170" s="25"/>
      <c r="L170" s="50"/>
      <c r="M170" s="66"/>
      <c r="N170" s="55"/>
      <c r="O170" s="28"/>
      <c r="P170" s="28"/>
      <c r="Q170" s="50" t="s">
        <v>282</v>
      </c>
      <c r="R170" s="25"/>
      <c r="S170" s="50"/>
      <c r="T170" s="65"/>
      <c r="U170" s="65"/>
      <c r="V170" s="65"/>
      <c r="W170" s="65"/>
      <c r="X170" s="65"/>
      <c r="Y170" s="65"/>
      <c r="Z170" s="65"/>
      <c r="AA170" s="65"/>
    </row>
    <row r="171" spans="1:27" ht="15.75" customHeight="1">
      <c r="A171" s="345"/>
      <c r="B171" s="345"/>
      <c r="C171" s="31">
        <v>11</v>
      </c>
      <c r="D171" s="345"/>
      <c r="E171" s="63" t="s">
        <v>7285</v>
      </c>
      <c r="F171" s="61" t="s">
        <v>326</v>
      </c>
      <c r="G171" s="61" t="s">
        <v>327</v>
      </c>
      <c r="H171" s="63" t="s">
        <v>7259</v>
      </c>
      <c r="I171" s="63" t="s">
        <v>7286</v>
      </c>
      <c r="J171" s="171"/>
      <c r="K171" s="25"/>
      <c r="L171" s="50"/>
      <c r="M171" s="66"/>
      <c r="N171" s="55"/>
      <c r="O171" s="28"/>
      <c r="P171" s="28"/>
      <c r="Q171" s="50" t="s">
        <v>282</v>
      </c>
      <c r="R171" s="25"/>
      <c r="S171" s="50"/>
      <c r="T171" s="65"/>
      <c r="U171" s="65"/>
      <c r="V171" s="65"/>
      <c r="W171" s="65"/>
      <c r="X171" s="65"/>
      <c r="Y171" s="65"/>
      <c r="Z171" s="65"/>
      <c r="AA171" s="65"/>
    </row>
    <row r="172" spans="1:27" ht="15.75" customHeight="1">
      <c r="A172" s="359" t="s">
        <v>113</v>
      </c>
      <c r="B172" s="360" t="s">
        <v>112</v>
      </c>
      <c r="C172" s="31">
        <v>1</v>
      </c>
      <c r="D172" s="356" t="s">
        <v>113</v>
      </c>
      <c r="E172" s="63" t="s">
        <v>7287</v>
      </c>
      <c r="F172" s="61" t="s">
        <v>326</v>
      </c>
      <c r="G172" s="61" t="s">
        <v>327</v>
      </c>
      <c r="H172" s="63" t="s">
        <v>7288</v>
      </c>
      <c r="I172" s="63" t="s">
        <v>7289</v>
      </c>
      <c r="J172" s="171"/>
      <c r="K172" s="25"/>
      <c r="L172" s="50"/>
      <c r="M172" s="66"/>
      <c r="N172" s="55"/>
      <c r="O172" s="28"/>
      <c r="P172" s="28"/>
      <c r="Q172" s="50" t="s">
        <v>282</v>
      </c>
      <c r="R172" s="25"/>
      <c r="S172" s="50"/>
      <c r="T172" s="65"/>
      <c r="U172" s="65"/>
      <c r="V172" s="65"/>
      <c r="W172" s="65"/>
      <c r="X172" s="65"/>
      <c r="Y172" s="65"/>
      <c r="Z172" s="65"/>
      <c r="AA172" s="65"/>
    </row>
    <row r="173" spans="1:27" ht="15.75" customHeight="1">
      <c r="A173" s="344"/>
      <c r="B173" s="344"/>
      <c r="C173" s="31">
        <v>2</v>
      </c>
      <c r="D173" s="344"/>
      <c r="E173" s="63" t="s">
        <v>7290</v>
      </c>
      <c r="F173" s="61" t="s">
        <v>326</v>
      </c>
      <c r="G173" s="61" t="s">
        <v>327</v>
      </c>
      <c r="H173" s="63" t="s">
        <v>7288</v>
      </c>
      <c r="I173" s="63" t="s">
        <v>7289</v>
      </c>
      <c r="J173" s="171"/>
      <c r="K173" s="25"/>
      <c r="L173" s="50"/>
      <c r="M173" s="66"/>
      <c r="N173" s="55"/>
      <c r="O173" s="28"/>
      <c r="P173" s="28"/>
      <c r="Q173" s="50" t="s">
        <v>282</v>
      </c>
      <c r="R173" s="25"/>
      <c r="S173" s="50"/>
      <c r="T173" s="65"/>
      <c r="U173" s="65"/>
      <c r="V173" s="65"/>
      <c r="W173" s="65"/>
      <c r="X173" s="65"/>
      <c r="Y173" s="65"/>
      <c r="Z173" s="65"/>
      <c r="AA173" s="65"/>
    </row>
    <row r="174" spans="1:27" ht="15.75" customHeight="1">
      <c r="A174" s="344"/>
      <c r="B174" s="344"/>
      <c r="C174" s="31">
        <v>3</v>
      </c>
      <c r="D174" s="344"/>
      <c r="E174" s="63" t="s">
        <v>7291</v>
      </c>
      <c r="F174" s="61" t="s">
        <v>326</v>
      </c>
      <c r="G174" s="61" t="s">
        <v>327</v>
      </c>
      <c r="H174" s="63" t="s">
        <v>7292</v>
      </c>
      <c r="I174" s="63" t="s">
        <v>7293</v>
      </c>
      <c r="J174" s="171"/>
      <c r="K174" s="25" t="s">
        <v>294</v>
      </c>
      <c r="L174" s="50"/>
      <c r="M174" s="66"/>
      <c r="N174" s="55"/>
      <c r="O174" s="28"/>
      <c r="P174" s="50" t="s">
        <v>140</v>
      </c>
      <c r="Q174" s="50" t="s">
        <v>140</v>
      </c>
      <c r="R174" s="25"/>
      <c r="S174" s="50"/>
      <c r="T174" s="65"/>
      <c r="U174" s="65"/>
      <c r="V174" s="65"/>
      <c r="W174" s="65"/>
      <c r="X174" s="65"/>
      <c r="Y174" s="65"/>
      <c r="Z174" s="65"/>
      <c r="AA174" s="65"/>
    </row>
    <row r="175" spans="1:27" ht="15.75" customHeight="1">
      <c r="A175" s="344"/>
      <c r="B175" s="344"/>
      <c r="C175" s="31">
        <v>4</v>
      </c>
      <c r="D175" s="344"/>
      <c r="E175" s="63" t="s">
        <v>7294</v>
      </c>
      <c r="F175" s="61" t="s">
        <v>326</v>
      </c>
      <c r="G175" s="61" t="s">
        <v>327</v>
      </c>
      <c r="H175" s="63" t="s">
        <v>7295</v>
      </c>
      <c r="I175" s="63" t="s">
        <v>7296</v>
      </c>
      <c r="J175" s="171"/>
      <c r="K175" s="25"/>
      <c r="L175" s="50"/>
      <c r="M175" s="66"/>
      <c r="N175" s="55"/>
      <c r="O175" s="28"/>
      <c r="P175" s="28"/>
      <c r="Q175" s="50" t="s">
        <v>282</v>
      </c>
      <c r="R175" s="25"/>
      <c r="S175" s="50"/>
      <c r="T175" s="65"/>
      <c r="U175" s="65"/>
      <c r="V175" s="65"/>
      <c r="W175" s="65"/>
      <c r="X175" s="65"/>
      <c r="Y175" s="65"/>
      <c r="Z175" s="65"/>
      <c r="AA175" s="65"/>
    </row>
    <row r="176" spans="1:27" ht="15.75" customHeight="1">
      <c r="A176" s="344"/>
      <c r="B176" s="344"/>
      <c r="C176" s="31">
        <v>5</v>
      </c>
      <c r="D176" s="344"/>
      <c r="E176" s="63" t="s">
        <v>7297</v>
      </c>
      <c r="F176" s="61" t="s">
        <v>326</v>
      </c>
      <c r="G176" s="61" t="s">
        <v>327</v>
      </c>
      <c r="H176" s="63" t="s">
        <v>7259</v>
      </c>
      <c r="I176" s="63" t="s">
        <v>7298</v>
      </c>
      <c r="J176" s="171"/>
      <c r="K176" s="25"/>
      <c r="L176" s="50"/>
      <c r="M176" s="66"/>
      <c r="N176" s="55"/>
      <c r="O176" s="28"/>
      <c r="P176" s="28"/>
      <c r="Q176" s="50" t="s">
        <v>282</v>
      </c>
      <c r="R176" s="25"/>
      <c r="S176" s="50"/>
      <c r="T176" s="65"/>
      <c r="U176" s="65"/>
      <c r="V176" s="65"/>
      <c r="W176" s="65"/>
      <c r="X176" s="65"/>
      <c r="Y176" s="65"/>
      <c r="Z176" s="65"/>
      <c r="AA176" s="65"/>
    </row>
    <row r="177" spans="1:27" ht="15.75" customHeight="1">
      <c r="A177" s="344"/>
      <c r="B177" s="344"/>
      <c r="C177" s="31">
        <v>6</v>
      </c>
      <c r="D177" s="344"/>
      <c r="E177" s="63" t="s">
        <v>7299</v>
      </c>
      <c r="F177" s="61" t="s">
        <v>326</v>
      </c>
      <c r="G177" s="61" t="s">
        <v>327</v>
      </c>
      <c r="H177" s="63" t="s">
        <v>7259</v>
      </c>
      <c r="I177" s="63" t="s">
        <v>7298</v>
      </c>
      <c r="J177" s="171"/>
      <c r="K177" s="25"/>
      <c r="L177" s="50"/>
      <c r="M177" s="66"/>
      <c r="N177" s="55"/>
      <c r="O177" s="28"/>
      <c r="P177" s="28"/>
      <c r="Q177" s="50" t="s">
        <v>282</v>
      </c>
      <c r="R177" s="25"/>
      <c r="S177" s="50"/>
      <c r="T177" s="65"/>
      <c r="U177" s="65"/>
      <c r="V177" s="65"/>
      <c r="W177" s="65"/>
      <c r="X177" s="65"/>
      <c r="Y177" s="65"/>
      <c r="Z177" s="65"/>
      <c r="AA177" s="65"/>
    </row>
    <row r="178" spans="1:27" ht="15.75" customHeight="1">
      <c r="A178" s="344"/>
      <c r="B178" s="344"/>
      <c r="C178" s="31">
        <v>7</v>
      </c>
      <c r="D178" s="344"/>
      <c r="E178" s="63" t="s">
        <v>7300</v>
      </c>
      <c r="F178" s="61" t="s">
        <v>326</v>
      </c>
      <c r="G178" s="61" t="s">
        <v>327</v>
      </c>
      <c r="H178" s="63" t="s">
        <v>7259</v>
      </c>
      <c r="I178" s="63" t="s">
        <v>7298</v>
      </c>
      <c r="J178" s="171"/>
      <c r="K178" s="25"/>
      <c r="L178" s="50"/>
      <c r="M178" s="66"/>
      <c r="N178" s="55"/>
      <c r="O178" s="28"/>
      <c r="P178" s="28"/>
      <c r="Q178" s="50" t="s">
        <v>282</v>
      </c>
      <c r="R178" s="25"/>
      <c r="S178" s="50"/>
      <c r="T178" s="65"/>
      <c r="U178" s="65"/>
      <c r="V178" s="65"/>
      <c r="W178" s="65"/>
      <c r="X178" s="65"/>
      <c r="Y178" s="65"/>
      <c r="Z178" s="65"/>
      <c r="AA178" s="65"/>
    </row>
    <row r="179" spans="1:27" ht="15.75" customHeight="1">
      <c r="A179" s="344"/>
      <c r="B179" s="344"/>
      <c r="C179" s="31">
        <v>8</v>
      </c>
      <c r="D179" s="344"/>
      <c r="E179" s="63" t="s">
        <v>7301</v>
      </c>
      <c r="F179" s="61" t="s">
        <v>326</v>
      </c>
      <c r="G179" s="61" t="s">
        <v>327</v>
      </c>
      <c r="H179" s="63" t="s">
        <v>7259</v>
      </c>
      <c r="I179" s="63" t="s">
        <v>7302</v>
      </c>
      <c r="J179" s="171"/>
      <c r="K179" s="25" t="s">
        <v>294</v>
      </c>
      <c r="L179" s="50"/>
      <c r="M179" s="66"/>
      <c r="N179" s="55"/>
      <c r="O179" s="28"/>
      <c r="P179" s="50" t="s">
        <v>140</v>
      </c>
      <c r="Q179" s="50" t="s">
        <v>140</v>
      </c>
      <c r="R179" s="25"/>
      <c r="S179" s="50"/>
      <c r="T179" s="65"/>
      <c r="U179" s="65"/>
      <c r="V179" s="65"/>
      <c r="W179" s="65"/>
      <c r="X179" s="65"/>
      <c r="Y179" s="65"/>
      <c r="Z179" s="65"/>
      <c r="AA179" s="65"/>
    </row>
    <row r="180" spans="1:27" ht="15.75" customHeight="1">
      <c r="A180" s="345"/>
      <c r="B180" s="345"/>
      <c r="C180" s="31">
        <v>9</v>
      </c>
      <c r="D180" s="345"/>
      <c r="E180" s="63" t="s">
        <v>7303</v>
      </c>
      <c r="F180" s="61" t="s">
        <v>326</v>
      </c>
      <c r="G180" s="61" t="s">
        <v>327</v>
      </c>
      <c r="H180" s="63" t="s">
        <v>7259</v>
      </c>
      <c r="I180" s="63" t="s">
        <v>7304</v>
      </c>
      <c r="J180" s="171"/>
      <c r="K180" s="25"/>
      <c r="L180" s="50"/>
      <c r="M180" s="66"/>
      <c r="N180" s="55"/>
      <c r="O180" s="28"/>
      <c r="P180" s="28"/>
      <c r="Q180" s="50" t="s">
        <v>282</v>
      </c>
      <c r="R180" s="25"/>
      <c r="S180" s="50"/>
      <c r="T180" s="65"/>
      <c r="U180" s="65"/>
      <c r="V180" s="65"/>
      <c r="W180" s="65"/>
      <c r="X180" s="65"/>
      <c r="Y180" s="65"/>
      <c r="Z180" s="65"/>
      <c r="AA180" s="65"/>
    </row>
    <row r="181" spans="1:27" ht="15.75" customHeight="1">
      <c r="A181" s="365" t="s">
        <v>89</v>
      </c>
      <c r="B181" s="371" t="s">
        <v>88</v>
      </c>
      <c r="C181" s="87">
        <v>1</v>
      </c>
      <c r="D181" s="365" t="s">
        <v>89</v>
      </c>
      <c r="E181" s="63" t="s">
        <v>7305</v>
      </c>
      <c r="F181" s="61" t="s">
        <v>326</v>
      </c>
      <c r="G181" s="61" t="s">
        <v>327</v>
      </c>
      <c r="H181" s="137" t="s">
        <v>7259</v>
      </c>
      <c r="I181" s="63" t="s">
        <v>7306</v>
      </c>
      <c r="J181" s="171"/>
      <c r="K181" s="25" t="s">
        <v>294</v>
      </c>
      <c r="L181" s="50"/>
      <c r="M181" s="66" t="s">
        <v>7307</v>
      </c>
      <c r="N181" s="55"/>
      <c r="O181" s="28"/>
      <c r="P181" s="28"/>
      <c r="Q181" s="50" t="s">
        <v>140</v>
      </c>
      <c r="R181" s="25"/>
      <c r="S181" s="50"/>
      <c r="T181" s="65"/>
      <c r="U181" s="65"/>
      <c r="V181" s="65"/>
      <c r="W181" s="65"/>
      <c r="X181" s="65"/>
      <c r="Y181" s="65"/>
      <c r="Z181" s="65"/>
      <c r="AA181" s="65"/>
    </row>
    <row r="182" spans="1:27" ht="15.75" customHeight="1">
      <c r="A182" s="344"/>
      <c r="B182" s="344"/>
      <c r="C182" s="87">
        <v>2</v>
      </c>
      <c r="D182" s="344"/>
      <c r="E182" s="63" t="s">
        <v>7308</v>
      </c>
      <c r="F182" s="61" t="s">
        <v>326</v>
      </c>
      <c r="G182" s="61" t="s">
        <v>327</v>
      </c>
      <c r="H182" s="137" t="s">
        <v>7259</v>
      </c>
      <c r="I182" s="63" t="s">
        <v>7309</v>
      </c>
      <c r="J182" s="171"/>
      <c r="K182" s="25" t="s">
        <v>294</v>
      </c>
      <c r="L182" s="50"/>
      <c r="M182" s="66"/>
      <c r="N182" s="55"/>
      <c r="O182" s="28"/>
      <c r="P182" s="28"/>
      <c r="Q182" s="50" t="s">
        <v>140</v>
      </c>
      <c r="R182" s="25"/>
      <c r="S182" s="50"/>
      <c r="T182" s="65"/>
      <c r="U182" s="65"/>
      <c r="V182" s="65"/>
      <c r="W182" s="65"/>
      <c r="X182" s="65"/>
      <c r="Y182" s="65"/>
      <c r="Z182" s="65"/>
      <c r="AA182" s="65"/>
    </row>
    <row r="183" spans="1:27" ht="15.75" customHeight="1">
      <c r="A183" s="344"/>
      <c r="B183" s="344"/>
      <c r="C183" s="87">
        <v>3</v>
      </c>
      <c r="D183" s="344"/>
      <c r="E183" s="63" t="s">
        <v>7310</v>
      </c>
      <c r="F183" s="61" t="s">
        <v>326</v>
      </c>
      <c r="G183" s="61" t="s">
        <v>327</v>
      </c>
      <c r="H183" s="137" t="s">
        <v>7259</v>
      </c>
      <c r="I183" s="63" t="s">
        <v>7311</v>
      </c>
      <c r="J183" s="171"/>
      <c r="K183" s="25" t="s">
        <v>294</v>
      </c>
      <c r="L183" s="50"/>
      <c r="M183" s="66"/>
      <c r="N183" s="55"/>
      <c r="O183" s="28"/>
      <c r="P183" s="28"/>
      <c r="Q183" s="50" t="s">
        <v>140</v>
      </c>
      <c r="R183" s="25"/>
      <c r="S183" s="50"/>
      <c r="T183" s="65"/>
      <c r="U183" s="65"/>
      <c r="V183" s="65"/>
      <c r="W183" s="65"/>
      <c r="X183" s="65"/>
      <c r="Y183" s="65"/>
      <c r="Z183" s="65"/>
      <c r="AA183" s="65"/>
    </row>
    <row r="184" spans="1:27" ht="15.75" customHeight="1">
      <c r="A184" s="344"/>
      <c r="B184" s="344"/>
      <c r="C184" s="87">
        <v>4</v>
      </c>
      <c r="D184" s="344"/>
      <c r="E184" s="63" t="s">
        <v>7312</v>
      </c>
      <c r="F184" s="61" t="s">
        <v>326</v>
      </c>
      <c r="G184" s="61" t="s">
        <v>327</v>
      </c>
      <c r="H184" s="137" t="s">
        <v>7259</v>
      </c>
      <c r="I184" s="63" t="s">
        <v>7313</v>
      </c>
      <c r="J184" s="171"/>
      <c r="K184" s="25" t="s">
        <v>294</v>
      </c>
      <c r="L184" s="50"/>
      <c r="M184" s="66"/>
      <c r="N184" s="55"/>
      <c r="O184" s="28"/>
      <c r="P184" s="28"/>
      <c r="Q184" s="50" t="s">
        <v>140</v>
      </c>
      <c r="R184" s="25"/>
      <c r="S184" s="50"/>
      <c r="T184" s="65"/>
      <c r="U184" s="65"/>
      <c r="V184" s="65"/>
      <c r="W184" s="65"/>
      <c r="X184" s="65"/>
      <c r="Y184" s="65"/>
      <c r="Z184" s="65"/>
      <c r="AA184" s="65"/>
    </row>
    <row r="185" spans="1:27" ht="15.75" customHeight="1">
      <c r="A185" s="344"/>
      <c r="B185" s="344"/>
      <c r="C185" s="87">
        <v>5</v>
      </c>
      <c r="D185" s="344"/>
      <c r="E185" s="63" t="s">
        <v>7314</v>
      </c>
      <c r="F185" s="61" t="s">
        <v>326</v>
      </c>
      <c r="G185" s="61" t="s">
        <v>327</v>
      </c>
      <c r="H185" s="137" t="s">
        <v>7259</v>
      </c>
      <c r="I185" s="63" t="s">
        <v>7315</v>
      </c>
      <c r="J185" s="171"/>
      <c r="K185" s="25" t="s">
        <v>294</v>
      </c>
      <c r="L185" s="50"/>
      <c r="M185" s="66"/>
      <c r="N185" s="55"/>
      <c r="O185" s="28"/>
      <c r="P185" s="28"/>
      <c r="Q185" s="50" t="s">
        <v>140</v>
      </c>
      <c r="R185" s="25"/>
      <c r="S185" s="50"/>
      <c r="T185" s="65"/>
      <c r="U185" s="65"/>
      <c r="V185" s="65"/>
      <c r="W185" s="65"/>
      <c r="X185" s="65"/>
      <c r="Y185" s="65"/>
      <c r="Z185" s="65"/>
      <c r="AA185" s="65"/>
    </row>
    <row r="186" spans="1:27" ht="15.75" customHeight="1">
      <c r="A186" s="344"/>
      <c r="B186" s="344"/>
      <c r="C186" s="87">
        <v>6</v>
      </c>
      <c r="D186" s="344"/>
      <c r="E186" s="63" t="s">
        <v>7316</v>
      </c>
      <c r="F186" s="61" t="s">
        <v>326</v>
      </c>
      <c r="G186" s="61" t="s">
        <v>327</v>
      </c>
      <c r="H186" s="137" t="s">
        <v>7259</v>
      </c>
      <c r="I186" s="63" t="s">
        <v>7317</v>
      </c>
      <c r="J186" s="171"/>
      <c r="K186" s="25" t="s">
        <v>294</v>
      </c>
      <c r="L186" s="50"/>
      <c r="M186" s="66"/>
      <c r="N186" s="55"/>
      <c r="O186" s="28"/>
      <c r="P186" s="28"/>
      <c r="Q186" s="50" t="s">
        <v>140</v>
      </c>
      <c r="R186" s="25"/>
      <c r="S186" s="50"/>
      <c r="T186" s="65"/>
      <c r="U186" s="65"/>
      <c r="V186" s="65"/>
      <c r="W186" s="65"/>
      <c r="X186" s="65"/>
      <c r="Y186" s="65"/>
      <c r="Z186" s="65"/>
      <c r="AA186" s="65"/>
    </row>
    <row r="187" spans="1:27" ht="15.75" customHeight="1">
      <c r="A187" s="344"/>
      <c r="B187" s="344"/>
      <c r="C187" s="87">
        <v>7</v>
      </c>
      <c r="D187" s="344"/>
      <c r="E187" s="63" t="s">
        <v>7318</v>
      </c>
      <c r="F187" s="61" t="s">
        <v>326</v>
      </c>
      <c r="G187" s="61" t="s">
        <v>327</v>
      </c>
      <c r="H187" s="137" t="s">
        <v>7259</v>
      </c>
      <c r="I187" s="63" t="s">
        <v>7319</v>
      </c>
      <c r="J187" s="171"/>
      <c r="K187" s="25" t="s">
        <v>294</v>
      </c>
      <c r="L187" s="50"/>
      <c r="M187" s="66"/>
      <c r="N187" s="55"/>
      <c r="O187" s="28"/>
      <c r="P187" s="28"/>
      <c r="Q187" s="50" t="s">
        <v>140</v>
      </c>
      <c r="R187" s="25"/>
      <c r="S187" s="50"/>
      <c r="T187" s="65"/>
      <c r="U187" s="65"/>
      <c r="V187" s="65"/>
      <c r="W187" s="65"/>
      <c r="X187" s="65"/>
      <c r="Y187" s="65"/>
      <c r="Z187" s="65"/>
      <c r="AA187" s="65"/>
    </row>
    <row r="188" spans="1:27" ht="15.75" customHeight="1">
      <c r="A188" s="344"/>
      <c r="B188" s="344"/>
      <c r="C188" s="87">
        <v>8</v>
      </c>
      <c r="D188" s="344"/>
      <c r="E188" s="35" t="s">
        <v>7320</v>
      </c>
      <c r="F188" s="46" t="s">
        <v>326</v>
      </c>
      <c r="G188" s="46" t="s">
        <v>327</v>
      </c>
      <c r="H188" s="88" t="s">
        <v>7259</v>
      </c>
      <c r="I188" s="35" t="s">
        <v>7321</v>
      </c>
      <c r="J188" s="172"/>
      <c r="K188" s="25" t="s">
        <v>294</v>
      </c>
      <c r="L188" s="50"/>
      <c r="M188" s="66"/>
      <c r="N188" s="55"/>
      <c r="O188" s="28"/>
      <c r="P188" s="28"/>
      <c r="Q188" s="50" t="s">
        <v>140</v>
      </c>
      <c r="R188" s="25"/>
      <c r="S188" s="50"/>
      <c r="T188" s="65"/>
      <c r="U188" s="65"/>
      <c r="V188" s="65"/>
      <c r="W188" s="65"/>
      <c r="X188" s="65"/>
      <c r="Y188" s="65"/>
      <c r="Z188" s="65"/>
      <c r="AA188" s="65"/>
    </row>
    <row r="189" spans="1:27" ht="15.75" customHeight="1">
      <c r="A189" s="344"/>
      <c r="B189" s="344"/>
      <c r="C189" s="87">
        <v>9</v>
      </c>
      <c r="D189" s="344"/>
      <c r="E189" s="35" t="s">
        <v>7322</v>
      </c>
      <c r="F189" s="46" t="s">
        <v>326</v>
      </c>
      <c r="G189" s="46" t="s">
        <v>327</v>
      </c>
      <c r="H189" s="88" t="s">
        <v>7259</v>
      </c>
      <c r="I189" s="35" t="s">
        <v>7323</v>
      </c>
      <c r="J189" s="172"/>
      <c r="K189" s="25" t="s">
        <v>294</v>
      </c>
      <c r="L189" s="50"/>
      <c r="M189" s="66"/>
      <c r="N189" s="55"/>
      <c r="O189" s="28"/>
      <c r="P189" s="28"/>
      <c r="Q189" s="50" t="s">
        <v>140</v>
      </c>
      <c r="R189" s="25"/>
      <c r="S189" s="50"/>
      <c r="T189" s="65"/>
      <c r="U189" s="65"/>
      <c r="V189" s="65"/>
      <c r="W189" s="65"/>
      <c r="X189" s="65"/>
      <c r="Y189" s="65"/>
      <c r="Z189" s="65"/>
      <c r="AA189" s="65"/>
    </row>
    <row r="190" spans="1:27" ht="15.75" customHeight="1">
      <c r="A190" s="344"/>
      <c r="B190" s="344"/>
      <c r="C190" s="87">
        <v>10</v>
      </c>
      <c r="D190" s="344"/>
      <c r="E190" s="35" t="s">
        <v>7324</v>
      </c>
      <c r="F190" s="46" t="s">
        <v>326</v>
      </c>
      <c r="G190" s="46" t="s">
        <v>327</v>
      </c>
      <c r="H190" s="88" t="s">
        <v>7259</v>
      </c>
      <c r="I190" s="35" t="s">
        <v>7325</v>
      </c>
      <c r="J190" s="172"/>
      <c r="K190" s="25" t="s">
        <v>294</v>
      </c>
      <c r="L190" s="50"/>
      <c r="M190" s="66"/>
      <c r="N190" s="55"/>
      <c r="O190" s="28"/>
      <c r="P190" s="28"/>
      <c r="Q190" s="50" t="s">
        <v>140</v>
      </c>
      <c r="R190" s="25"/>
      <c r="S190" s="50"/>
      <c r="T190" s="65"/>
      <c r="U190" s="65"/>
      <c r="V190" s="65"/>
      <c r="W190" s="65"/>
      <c r="X190" s="65"/>
      <c r="Y190" s="65"/>
      <c r="Z190" s="65"/>
      <c r="AA190" s="65"/>
    </row>
    <row r="191" spans="1:27" ht="15.75" customHeight="1">
      <c r="A191" s="344"/>
      <c r="B191" s="344"/>
      <c r="C191" s="87">
        <v>11</v>
      </c>
      <c r="D191" s="344"/>
      <c r="E191" s="35" t="s">
        <v>7326</v>
      </c>
      <c r="F191" s="46" t="s">
        <v>326</v>
      </c>
      <c r="G191" s="46" t="s">
        <v>327</v>
      </c>
      <c r="H191" s="88" t="s">
        <v>7259</v>
      </c>
      <c r="I191" s="35" t="s">
        <v>7327</v>
      </c>
      <c r="J191" s="172"/>
      <c r="K191" s="25" t="s">
        <v>294</v>
      </c>
      <c r="L191" s="50"/>
      <c r="M191" s="66"/>
      <c r="N191" s="55"/>
      <c r="O191" s="28"/>
      <c r="P191" s="28"/>
      <c r="Q191" s="50" t="s">
        <v>140</v>
      </c>
      <c r="R191" s="25"/>
      <c r="S191" s="50"/>
      <c r="T191" s="65"/>
      <c r="U191" s="65"/>
      <c r="V191" s="65"/>
      <c r="W191" s="65"/>
      <c r="X191" s="65"/>
      <c r="Y191" s="65"/>
      <c r="Z191" s="65"/>
      <c r="AA191" s="65"/>
    </row>
    <row r="192" spans="1:27" ht="15.75" customHeight="1">
      <c r="A192" s="344"/>
      <c r="B192" s="344"/>
      <c r="C192" s="87">
        <v>12</v>
      </c>
      <c r="D192" s="344"/>
      <c r="E192" s="35" t="s">
        <v>7328</v>
      </c>
      <c r="F192" s="46" t="s">
        <v>326</v>
      </c>
      <c r="G192" s="46" t="s">
        <v>327</v>
      </c>
      <c r="H192" s="88" t="s">
        <v>7259</v>
      </c>
      <c r="I192" s="35" t="s">
        <v>7329</v>
      </c>
      <c r="J192" s="172"/>
      <c r="K192" s="25" t="s">
        <v>294</v>
      </c>
      <c r="L192" s="50"/>
      <c r="M192" s="66"/>
      <c r="N192" s="55"/>
      <c r="O192" s="28"/>
      <c r="P192" s="28"/>
      <c r="Q192" s="50" t="s">
        <v>140</v>
      </c>
      <c r="R192" s="25"/>
      <c r="S192" s="50"/>
      <c r="T192" s="65"/>
      <c r="U192" s="65"/>
      <c r="V192" s="65"/>
      <c r="W192" s="65"/>
      <c r="X192" s="65"/>
      <c r="Y192" s="65"/>
      <c r="Z192" s="65"/>
      <c r="AA192" s="65"/>
    </row>
    <row r="193" spans="1:27" ht="15.75" customHeight="1">
      <c r="A193" s="344"/>
      <c r="B193" s="344"/>
      <c r="C193" s="87">
        <v>13</v>
      </c>
      <c r="D193" s="344"/>
      <c r="E193" s="35" t="s">
        <v>7330</v>
      </c>
      <c r="F193" s="46" t="s">
        <v>326</v>
      </c>
      <c r="G193" s="46" t="s">
        <v>327</v>
      </c>
      <c r="H193" s="88" t="s">
        <v>7259</v>
      </c>
      <c r="I193" s="35" t="s">
        <v>7331</v>
      </c>
      <c r="J193" s="172"/>
      <c r="K193" s="25" t="s">
        <v>294</v>
      </c>
      <c r="L193" s="50"/>
      <c r="M193" s="66"/>
      <c r="N193" s="55"/>
      <c r="O193" s="28"/>
      <c r="P193" s="28"/>
      <c r="Q193" s="50" t="s">
        <v>140</v>
      </c>
      <c r="R193" s="25"/>
      <c r="S193" s="50"/>
      <c r="T193" s="65"/>
      <c r="U193" s="65"/>
      <c r="V193" s="65"/>
      <c r="W193" s="65"/>
      <c r="X193" s="65"/>
      <c r="Y193" s="65"/>
      <c r="Z193" s="65"/>
      <c r="AA193" s="65"/>
    </row>
    <row r="194" spans="1:27" ht="15.75" customHeight="1">
      <c r="A194" s="344"/>
      <c r="B194" s="344"/>
      <c r="C194" s="87">
        <v>14</v>
      </c>
      <c r="D194" s="344"/>
      <c r="E194" s="35" t="s">
        <v>7332</v>
      </c>
      <c r="F194" s="46" t="s">
        <v>326</v>
      </c>
      <c r="G194" s="46" t="s">
        <v>327</v>
      </c>
      <c r="H194" s="88" t="s">
        <v>7259</v>
      </c>
      <c r="I194" s="35" t="s">
        <v>7333</v>
      </c>
      <c r="J194" s="172"/>
      <c r="K194" s="25" t="s">
        <v>294</v>
      </c>
      <c r="L194" s="50"/>
      <c r="M194" s="66"/>
      <c r="N194" s="55"/>
      <c r="O194" s="28"/>
      <c r="P194" s="28"/>
      <c r="Q194" s="50" t="s">
        <v>140</v>
      </c>
      <c r="R194" s="25"/>
      <c r="S194" s="50"/>
      <c r="T194" s="65"/>
      <c r="U194" s="65"/>
      <c r="V194" s="65"/>
      <c r="W194" s="65"/>
      <c r="X194" s="65"/>
      <c r="Y194" s="65"/>
      <c r="Z194" s="65"/>
      <c r="AA194" s="65"/>
    </row>
    <row r="195" spans="1:27" ht="15.75" customHeight="1">
      <c r="A195" s="344"/>
      <c r="B195" s="344"/>
      <c r="C195" s="87">
        <v>15</v>
      </c>
      <c r="D195" s="344"/>
      <c r="E195" s="35" t="s">
        <v>7334</v>
      </c>
      <c r="F195" s="46" t="s">
        <v>326</v>
      </c>
      <c r="G195" s="46" t="s">
        <v>327</v>
      </c>
      <c r="H195" s="88" t="s">
        <v>7259</v>
      </c>
      <c r="I195" s="35" t="s">
        <v>7335</v>
      </c>
      <c r="J195" s="172"/>
      <c r="K195" s="25" t="s">
        <v>294</v>
      </c>
      <c r="L195" s="50"/>
      <c r="M195" s="66"/>
      <c r="N195" s="55"/>
      <c r="O195" s="28"/>
      <c r="P195" s="28"/>
      <c r="Q195" s="50" t="s">
        <v>140</v>
      </c>
      <c r="R195" s="25"/>
      <c r="S195" s="50"/>
      <c r="T195" s="65"/>
      <c r="U195" s="65"/>
      <c r="V195" s="65"/>
      <c r="W195" s="65"/>
      <c r="X195" s="65"/>
      <c r="Y195" s="65"/>
      <c r="Z195" s="65"/>
      <c r="AA195" s="65"/>
    </row>
    <row r="196" spans="1:27" ht="15.75" customHeight="1">
      <c r="A196" s="344"/>
      <c r="B196" s="344"/>
      <c r="C196" s="87">
        <v>16</v>
      </c>
      <c r="D196" s="344"/>
      <c r="E196" s="35" t="s">
        <v>7336</v>
      </c>
      <c r="F196" s="46" t="s">
        <v>326</v>
      </c>
      <c r="G196" s="46" t="s">
        <v>327</v>
      </c>
      <c r="H196" s="88" t="s">
        <v>7259</v>
      </c>
      <c r="I196" s="35" t="s">
        <v>7337</v>
      </c>
      <c r="J196" s="172"/>
      <c r="K196" s="25" t="s">
        <v>294</v>
      </c>
      <c r="L196" s="50"/>
      <c r="M196" s="66"/>
      <c r="N196" s="55"/>
      <c r="O196" s="28"/>
      <c r="P196" s="28"/>
      <c r="Q196" s="50" t="s">
        <v>140</v>
      </c>
      <c r="R196" s="25"/>
      <c r="S196" s="50"/>
      <c r="T196" s="65"/>
      <c r="U196" s="65"/>
      <c r="V196" s="65"/>
      <c r="W196" s="65"/>
      <c r="X196" s="65"/>
      <c r="Y196" s="65"/>
      <c r="Z196" s="65"/>
      <c r="AA196" s="65"/>
    </row>
    <row r="197" spans="1:27" ht="15.75" customHeight="1">
      <c r="A197" s="344"/>
      <c r="B197" s="344"/>
      <c r="C197" s="87">
        <v>17</v>
      </c>
      <c r="D197" s="344"/>
      <c r="E197" s="35" t="s">
        <v>7338</v>
      </c>
      <c r="F197" s="46" t="s">
        <v>326</v>
      </c>
      <c r="G197" s="46" t="s">
        <v>327</v>
      </c>
      <c r="H197" s="88" t="s">
        <v>7259</v>
      </c>
      <c r="I197" s="35" t="s">
        <v>7339</v>
      </c>
      <c r="J197" s="172"/>
      <c r="K197" s="25" t="s">
        <v>294</v>
      </c>
      <c r="L197" s="50"/>
      <c r="M197" s="66"/>
      <c r="N197" s="55"/>
      <c r="O197" s="28"/>
      <c r="P197" s="28"/>
      <c r="Q197" s="50" t="s">
        <v>140</v>
      </c>
      <c r="R197" s="25"/>
      <c r="S197" s="50"/>
      <c r="T197" s="65"/>
      <c r="U197" s="65"/>
      <c r="V197" s="65"/>
      <c r="W197" s="65"/>
      <c r="X197" s="65"/>
      <c r="Y197" s="65"/>
      <c r="Z197" s="65"/>
      <c r="AA197" s="65"/>
    </row>
    <row r="198" spans="1:27" ht="15.75" customHeight="1">
      <c r="A198" s="344"/>
      <c r="B198" s="344"/>
      <c r="C198" s="87">
        <v>18</v>
      </c>
      <c r="D198" s="344"/>
      <c r="E198" s="35" t="s">
        <v>7340</v>
      </c>
      <c r="F198" s="46" t="s">
        <v>326</v>
      </c>
      <c r="G198" s="46" t="s">
        <v>327</v>
      </c>
      <c r="H198" s="88" t="s">
        <v>7259</v>
      </c>
      <c r="I198" s="35" t="s">
        <v>7341</v>
      </c>
      <c r="J198" s="172"/>
      <c r="K198" s="25" t="s">
        <v>294</v>
      </c>
      <c r="L198" s="50"/>
      <c r="M198" s="66"/>
      <c r="N198" s="55"/>
      <c r="O198" s="28"/>
      <c r="P198" s="28"/>
      <c r="Q198" s="50" t="s">
        <v>140</v>
      </c>
      <c r="R198" s="25"/>
      <c r="S198" s="50"/>
      <c r="T198" s="65"/>
      <c r="U198" s="65"/>
      <c r="V198" s="65"/>
      <c r="W198" s="65"/>
      <c r="X198" s="65"/>
      <c r="Y198" s="65"/>
      <c r="Z198" s="65"/>
      <c r="AA198" s="65"/>
    </row>
    <row r="199" spans="1:27" ht="15.75" customHeight="1">
      <c r="A199" s="344"/>
      <c r="B199" s="344"/>
      <c r="C199" s="87">
        <v>19</v>
      </c>
      <c r="D199" s="344"/>
      <c r="E199" s="35" t="s">
        <v>7342</v>
      </c>
      <c r="F199" s="46" t="s">
        <v>326</v>
      </c>
      <c r="G199" s="46" t="s">
        <v>327</v>
      </c>
      <c r="H199" s="88" t="s">
        <v>7259</v>
      </c>
      <c r="I199" s="35" t="s">
        <v>7343</v>
      </c>
      <c r="J199" s="172"/>
      <c r="K199" s="25" t="s">
        <v>294</v>
      </c>
      <c r="L199" s="50"/>
      <c r="M199" s="66"/>
      <c r="N199" s="55"/>
      <c r="O199" s="28"/>
      <c r="P199" s="28"/>
      <c r="Q199" s="50" t="s">
        <v>140</v>
      </c>
      <c r="R199" s="25"/>
      <c r="S199" s="50"/>
      <c r="T199" s="65"/>
      <c r="U199" s="65"/>
      <c r="V199" s="65"/>
      <c r="W199" s="65"/>
      <c r="X199" s="65"/>
      <c r="Y199" s="65"/>
      <c r="Z199" s="65"/>
      <c r="AA199" s="65"/>
    </row>
    <row r="200" spans="1:27" ht="15.75" customHeight="1">
      <c r="A200" s="344"/>
      <c r="B200" s="344"/>
      <c r="C200" s="87">
        <v>20</v>
      </c>
      <c r="D200" s="344"/>
      <c r="E200" s="35" t="s">
        <v>7344</v>
      </c>
      <c r="F200" s="46" t="s">
        <v>326</v>
      </c>
      <c r="G200" s="46" t="s">
        <v>327</v>
      </c>
      <c r="H200" s="88" t="s">
        <v>7259</v>
      </c>
      <c r="I200" s="35" t="s">
        <v>7345</v>
      </c>
      <c r="J200" s="172"/>
      <c r="K200" s="25" t="s">
        <v>294</v>
      </c>
      <c r="L200" s="50"/>
      <c r="M200" s="66"/>
      <c r="N200" s="55"/>
      <c r="O200" s="28"/>
      <c r="P200" s="28"/>
      <c r="Q200" s="50" t="s">
        <v>140</v>
      </c>
      <c r="R200" s="25"/>
      <c r="S200" s="50"/>
      <c r="T200" s="65"/>
      <c r="U200" s="65"/>
      <c r="V200" s="65"/>
      <c r="W200" s="65"/>
      <c r="X200" s="65"/>
      <c r="Y200" s="65"/>
      <c r="Z200" s="65"/>
      <c r="AA200" s="65"/>
    </row>
    <row r="201" spans="1:27" ht="15.75" customHeight="1">
      <c r="A201" s="344"/>
      <c r="B201" s="344"/>
      <c r="C201" s="87">
        <v>21</v>
      </c>
      <c r="D201" s="344"/>
      <c r="E201" s="35" t="s">
        <v>7346</v>
      </c>
      <c r="F201" s="46" t="s">
        <v>326</v>
      </c>
      <c r="G201" s="46" t="s">
        <v>327</v>
      </c>
      <c r="H201" s="88" t="s">
        <v>7259</v>
      </c>
      <c r="I201" s="35" t="s">
        <v>7347</v>
      </c>
      <c r="J201" s="172"/>
      <c r="K201" s="25" t="s">
        <v>294</v>
      </c>
      <c r="L201" s="50"/>
      <c r="M201" s="66"/>
      <c r="N201" s="55"/>
      <c r="O201" s="28"/>
      <c r="P201" s="28"/>
      <c r="Q201" s="50" t="s">
        <v>140</v>
      </c>
      <c r="R201" s="25"/>
      <c r="S201" s="50"/>
      <c r="T201" s="65"/>
      <c r="U201" s="65"/>
      <c r="V201" s="65"/>
      <c r="W201" s="65"/>
      <c r="X201" s="65"/>
      <c r="Y201" s="65"/>
      <c r="Z201" s="65"/>
      <c r="AA201" s="65"/>
    </row>
    <row r="202" spans="1:27" ht="15.75" customHeight="1">
      <c r="A202" s="344"/>
      <c r="B202" s="344"/>
      <c r="C202" s="87">
        <v>22</v>
      </c>
      <c r="D202" s="344"/>
      <c r="E202" s="35" t="s">
        <v>7348</v>
      </c>
      <c r="F202" s="46" t="s">
        <v>326</v>
      </c>
      <c r="G202" s="46" t="s">
        <v>327</v>
      </c>
      <c r="H202" s="88" t="s">
        <v>7259</v>
      </c>
      <c r="I202" s="35" t="s">
        <v>7349</v>
      </c>
      <c r="J202" s="172"/>
      <c r="K202" s="25" t="s">
        <v>294</v>
      </c>
      <c r="L202" s="50"/>
      <c r="M202" s="66"/>
      <c r="N202" s="55"/>
      <c r="O202" s="28"/>
      <c r="P202" s="28"/>
      <c r="Q202" s="50" t="s">
        <v>140</v>
      </c>
      <c r="R202" s="25"/>
      <c r="S202" s="50"/>
      <c r="T202" s="65"/>
      <c r="U202" s="65"/>
      <c r="V202" s="65"/>
      <c r="W202" s="65"/>
      <c r="X202" s="65"/>
      <c r="Y202" s="65"/>
      <c r="Z202" s="65"/>
      <c r="AA202" s="65"/>
    </row>
    <row r="203" spans="1:27" ht="15.75" customHeight="1">
      <c r="A203" s="344"/>
      <c r="B203" s="344"/>
      <c r="C203" s="87">
        <v>23</v>
      </c>
      <c r="D203" s="344"/>
      <c r="E203" s="35" t="s">
        <v>7350</v>
      </c>
      <c r="F203" s="46" t="s">
        <v>326</v>
      </c>
      <c r="G203" s="46" t="s">
        <v>327</v>
      </c>
      <c r="H203" s="88" t="s">
        <v>7259</v>
      </c>
      <c r="I203" s="35" t="s">
        <v>7351</v>
      </c>
      <c r="J203" s="172"/>
      <c r="K203" s="25" t="s">
        <v>294</v>
      </c>
      <c r="L203" s="50"/>
      <c r="M203" s="66"/>
      <c r="N203" s="55"/>
      <c r="O203" s="28"/>
      <c r="P203" s="28"/>
      <c r="Q203" s="50" t="s">
        <v>140</v>
      </c>
      <c r="R203" s="25"/>
      <c r="S203" s="50"/>
      <c r="T203" s="65"/>
      <c r="U203" s="65"/>
      <c r="V203" s="65"/>
      <c r="W203" s="65"/>
      <c r="X203" s="65"/>
      <c r="Y203" s="65"/>
      <c r="Z203" s="65"/>
      <c r="AA203" s="65"/>
    </row>
    <row r="204" spans="1:27" ht="15.75" customHeight="1">
      <c r="A204" s="344"/>
      <c r="B204" s="344"/>
      <c r="C204" s="87">
        <v>24</v>
      </c>
      <c r="D204" s="344"/>
      <c r="E204" s="35" t="s">
        <v>7352</v>
      </c>
      <c r="F204" s="46" t="s">
        <v>326</v>
      </c>
      <c r="G204" s="46" t="s">
        <v>327</v>
      </c>
      <c r="H204" s="88" t="s">
        <v>7259</v>
      </c>
      <c r="I204" s="35" t="s">
        <v>7353</v>
      </c>
      <c r="J204" s="172"/>
      <c r="K204" s="25" t="s">
        <v>294</v>
      </c>
      <c r="L204" s="50"/>
      <c r="M204" s="66"/>
      <c r="N204" s="55"/>
      <c r="O204" s="28"/>
      <c r="P204" s="28"/>
      <c r="Q204" s="50" t="s">
        <v>140</v>
      </c>
      <c r="R204" s="25"/>
      <c r="S204" s="50"/>
      <c r="T204" s="65"/>
      <c r="U204" s="65"/>
      <c r="V204" s="65"/>
      <c r="W204" s="65"/>
      <c r="X204" s="65"/>
      <c r="Y204" s="65"/>
      <c r="Z204" s="65"/>
      <c r="AA204" s="65"/>
    </row>
    <row r="205" spans="1:27" ht="15.75" customHeight="1">
      <c r="A205" s="345"/>
      <c r="B205" s="345"/>
      <c r="C205" s="87">
        <v>25</v>
      </c>
      <c r="D205" s="345"/>
      <c r="E205" s="35" t="s">
        <v>7354</v>
      </c>
      <c r="F205" s="46" t="s">
        <v>326</v>
      </c>
      <c r="G205" s="46" t="s">
        <v>327</v>
      </c>
      <c r="H205" s="88" t="s">
        <v>7259</v>
      </c>
      <c r="I205" s="35" t="s">
        <v>7355</v>
      </c>
      <c r="J205" s="172"/>
      <c r="K205" s="25" t="s">
        <v>294</v>
      </c>
      <c r="L205" s="50"/>
      <c r="M205" s="66"/>
      <c r="N205" s="55"/>
      <c r="O205" s="28"/>
      <c r="P205" s="28"/>
      <c r="Q205" s="50" t="s">
        <v>140</v>
      </c>
      <c r="R205" s="25"/>
      <c r="S205" s="50"/>
      <c r="T205" s="65"/>
      <c r="U205" s="65"/>
      <c r="V205" s="65"/>
      <c r="W205" s="65"/>
      <c r="X205" s="65"/>
      <c r="Y205" s="65"/>
      <c r="Z205" s="65"/>
      <c r="AA205" s="65"/>
    </row>
    <row r="206" spans="1:27" ht="15.75" customHeight="1">
      <c r="A206" s="361" t="s">
        <v>7356</v>
      </c>
      <c r="B206" s="354" t="s">
        <v>180</v>
      </c>
      <c r="C206" s="34">
        <v>1</v>
      </c>
      <c r="D206" s="351" t="s">
        <v>30</v>
      </c>
      <c r="E206" s="33" t="s">
        <v>7357</v>
      </c>
      <c r="F206" s="34" t="s">
        <v>326</v>
      </c>
      <c r="G206" s="34" t="s">
        <v>327</v>
      </c>
      <c r="H206" s="33" t="s">
        <v>7358</v>
      </c>
      <c r="I206" s="63" t="s">
        <v>7359</v>
      </c>
      <c r="J206" s="171"/>
      <c r="K206" s="25"/>
      <c r="L206" s="50"/>
      <c r="M206" s="66"/>
      <c r="N206" s="55"/>
      <c r="O206" s="28"/>
      <c r="P206" s="28"/>
      <c r="Q206" s="50" t="s">
        <v>140</v>
      </c>
      <c r="R206" s="25" t="s">
        <v>300</v>
      </c>
      <c r="S206" s="50"/>
      <c r="T206" s="65"/>
      <c r="U206" s="65"/>
      <c r="V206" s="65"/>
      <c r="W206" s="65"/>
      <c r="X206" s="65"/>
      <c r="Y206" s="65"/>
      <c r="Z206" s="65"/>
      <c r="AA206" s="65"/>
    </row>
    <row r="207" spans="1:27" ht="16.5" customHeight="1">
      <c r="A207" s="344"/>
      <c r="B207" s="344"/>
      <c r="C207" s="34">
        <v>2</v>
      </c>
      <c r="D207" s="344"/>
      <c r="E207" s="33" t="s">
        <v>7360</v>
      </c>
      <c r="F207" s="34" t="s">
        <v>326</v>
      </c>
      <c r="G207" s="34" t="s">
        <v>327</v>
      </c>
      <c r="H207" s="33" t="s">
        <v>7358</v>
      </c>
      <c r="I207" s="63" t="s">
        <v>7361</v>
      </c>
      <c r="J207" s="171"/>
      <c r="K207" s="25"/>
      <c r="L207" s="50"/>
      <c r="M207" s="66"/>
      <c r="N207" s="55"/>
      <c r="O207" s="28"/>
      <c r="P207" s="28"/>
      <c r="Q207" s="50" t="s">
        <v>140</v>
      </c>
      <c r="R207" s="25" t="s">
        <v>300</v>
      </c>
      <c r="S207" s="50"/>
      <c r="T207" s="65"/>
      <c r="U207" s="65"/>
      <c r="V207" s="65"/>
      <c r="W207" s="65"/>
      <c r="X207" s="65"/>
      <c r="Y207" s="65"/>
      <c r="Z207" s="65"/>
      <c r="AA207" s="65"/>
    </row>
    <row r="208" spans="1:27" ht="16.5" customHeight="1">
      <c r="A208" s="344"/>
      <c r="B208" s="344"/>
      <c r="C208" s="34">
        <v>3</v>
      </c>
      <c r="D208" s="344"/>
      <c r="E208" s="33" t="s">
        <v>7362</v>
      </c>
      <c r="F208" s="34" t="s">
        <v>326</v>
      </c>
      <c r="G208" s="34" t="s">
        <v>327</v>
      </c>
      <c r="H208" s="33" t="s">
        <v>7358</v>
      </c>
      <c r="I208" s="63" t="s">
        <v>7363</v>
      </c>
      <c r="J208" s="171"/>
      <c r="K208" s="25"/>
      <c r="L208" s="50"/>
      <c r="M208" s="66"/>
      <c r="N208" s="55"/>
      <c r="O208" s="28"/>
      <c r="P208" s="28"/>
      <c r="Q208" s="50" t="s">
        <v>140</v>
      </c>
      <c r="R208" s="25" t="s">
        <v>300</v>
      </c>
      <c r="S208" s="50"/>
      <c r="T208" s="65"/>
      <c r="U208" s="65"/>
      <c r="V208" s="65"/>
      <c r="W208" s="65"/>
      <c r="X208" s="65"/>
      <c r="Y208" s="65"/>
      <c r="Z208" s="65"/>
      <c r="AA208" s="65"/>
    </row>
    <row r="209" spans="1:27" ht="16.5" customHeight="1">
      <c r="A209" s="344"/>
      <c r="B209" s="344"/>
      <c r="C209" s="34">
        <v>4</v>
      </c>
      <c r="D209" s="344"/>
      <c r="E209" s="33" t="s">
        <v>7364</v>
      </c>
      <c r="F209" s="34" t="s">
        <v>326</v>
      </c>
      <c r="G209" s="34" t="s">
        <v>327</v>
      </c>
      <c r="H209" s="33" t="s">
        <v>7358</v>
      </c>
      <c r="I209" s="63" t="s">
        <v>7365</v>
      </c>
      <c r="J209" s="171"/>
      <c r="K209" s="25"/>
      <c r="L209" s="50"/>
      <c r="M209" s="66"/>
      <c r="N209" s="55"/>
      <c r="O209" s="28"/>
      <c r="P209" s="28"/>
      <c r="Q209" s="50" t="s">
        <v>140</v>
      </c>
      <c r="R209" s="25" t="s">
        <v>300</v>
      </c>
      <c r="S209" s="50"/>
      <c r="T209" s="65"/>
      <c r="U209" s="65"/>
      <c r="V209" s="65"/>
      <c r="W209" s="65"/>
      <c r="X209" s="65"/>
      <c r="Y209" s="65"/>
      <c r="Z209" s="65"/>
      <c r="AA209" s="65"/>
    </row>
    <row r="210" spans="1:27" ht="65.25" customHeight="1">
      <c r="A210" s="344"/>
      <c r="B210" s="344"/>
      <c r="C210" s="34">
        <v>5</v>
      </c>
      <c r="D210" s="344"/>
      <c r="E210" s="33" t="s">
        <v>7366</v>
      </c>
      <c r="F210" s="34" t="s">
        <v>326</v>
      </c>
      <c r="G210" s="34" t="s">
        <v>327</v>
      </c>
      <c r="H210" s="33" t="s">
        <v>7358</v>
      </c>
      <c r="I210" s="63" t="s">
        <v>7367</v>
      </c>
      <c r="J210" s="171"/>
      <c r="K210" s="25"/>
      <c r="L210" s="50"/>
      <c r="M210" s="66"/>
      <c r="N210" s="55"/>
      <c r="O210" s="28"/>
      <c r="P210" s="28"/>
      <c r="Q210" s="50" t="s">
        <v>140</v>
      </c>
      <c r="R210" s="25" t="s">
        <v>300</v>
      </c>
      <c r="S210" s="50"/>
      <c r="T210" s="65"/>
      <c r="U210" s="65"/>
      <c r="V210" s="65"/>
      <c r="W210" s="65"/>
      <c r="X210" s="65"/>
      <c r="Y210" s="65"/>
      <c r="Z210" s="65"/>
      <c r="AA210" s="65"/>
    </row>
    <row r="211" spans="1:27" ht="16.5" customHeight="1">
      <c r="A211" s="344"/>
      <c r="B211" s="344"/>
      <c r="C211" s="34">
        <v>6</v>
      </c>
      <c r="D211" s="344"/>
      <c r="E211" s="33" t="s">
        <v>7368</v>
      </c>
      <c r="F211" s="34" t="s">
        <v>326</v>
      </c>
      <c r="G211" s="34" t="s">
        <v>327</v>
      </c>
      <c r="H211" s="33" t="s">
        <v>7358</v>
      </c>
      <c r="I211" s="63" t="s">
        <v>7365</v>
      </c>
      <c r="J211" s="171"/>
      <c r="K211" s="25"/>
      <c r="L211" s="50"/>
      <c r="M211" s="66"/>
      <c r="N211" s="55"/>
      <c r="O211" s="28"/>
      <c r="P211" s="28"/>
      <c r="Q211" s="50" t="s">
        <v>140</v>
      </c>
      <c r="R211" s="25" t="s">
        <v>300</v>
      </c>
      <c r="S211" s="50"/>
      <c r="T211" s="65"/>
      <c r="U211" s="65"/>
      <c r="V211" s="65"/>
      <c r="W211" s="65"/>
      <c r="X211" s="65"/>
      <c r="Y211" s="65"/>
      <c r="Z211" s="65"/>
      <c r="AA211" s="65"/>
    </row>
    <row r="212" spans="1:27" ht="16.5" customHeight="1">
      <c r="A212" s="344"/>
      <c r="B212" s="344"/>
      <c r="C212" s="34">
        <v>7</v>
      </c>
      <c r="D212" s="344"/>
      <c r="E212" s="33" t="s">
        <v>7369</v>
      </c>
      <c r="F212" s="34" t="s">
        <v>326</v>
      </c>
      <c r="G212" s="34" t="s">
        <v>327</v>
      </c>
      <c r="H212" s="33" t="s">
        <v>7358</v>
      </c>
      <c r="I212" s="63" t="s">
        <v>7365</v>
      </c>
      <c r="J212" s="171"/>
      <c r="K212" s="25"/>
      <c r="L212" s="50"/>
      <c r="M212" s="66"/>
      <c r="N212" s="55"/>
      <c r="O212" s="28"/>
      <c r="P212" s="28"/>
      <c r="Q212" s="50" t="s">
        <v>140</v>
      </c>
      <c r="R212" s="25" t="s">
        <v>300</v>
      </c>
      <c r="S212" s="50"/>
      <c r="T212" s="65"/>
      <c r="U212" s="65"/>
      <c r="V212" s="65"/>
      <c r="W212" s="65"/>
      <c r="X212" s="65"/>
      <c r="Y212" s="65"/>
      <c r="Z212" s="65"/>
      <c r="AA212" s="65"/>
    </row>
    <row r="213" spans="1:27" ht="16.5" customHeight="1">
      <c r="A213" s="344"/>
      <c r="B213" s="344"/>
      <c r="C213" s="34">
        <v>8</v>
      </c>
      <c r="D213" s="344"/>
      <c r="E213" s="33" t="s">
        <v>7370</v>
      </c>
      <c r="F213" s="34" t="s">
        <v>326</v>
      </c>
      <c r="G213" s="34" t="s">
        <v>327</v>
      </c>
      <c r="H213" s="33" t="s">
        <v>7358</v>
      </c>
      <c r="I213" s="63" t="s">
        <v>7365</v>
      </c>
      <c r="J213" s="171"/>
      <c r="K213" s="25"/>
      <c r="L213" s="50"/>
      <c r="M213" s="66"/>
      <c r="N213" s="55"/>
      <c r="O213" s="28"/>
      <c r="P213" s="28"/>
      <c r="Q213" s="50" t="s">
        <v>140</v>
      </c>
      <c r="R213" s="25" t="s">
        <v>300</v>
      </c>
      <c r="S213" s="50"/>
      <c r="T213" s="65"/>
      <c r="U213" s="65"/>
      <c r="V213" s="65"/>
      <c r="W213" s="65"/>
      <c r="X213" s="65"/>
      <c r="Y213" s="65"/>
      <c r="Z213" s="65"/>
      <c r="AA213" s="65"/>
    </row>
    <row r="214" spans="1:27" ht="79.5" customHeight="1">
      <c r="A214" s="344"/>
      <c r="B214" s="344"/>
      <c r="C214" s="34">
        <v>9</v>
      </c>
      <c r="D214" s="344"/>
      <c r="E214" s="33" t="s">
        <v>7371</v>
      </c>
      <c r="F214" s="34" t="s">
        <v>326</v>
      </c>
      <c r="G214" s="34" t="s">
        <v>327</v>
      </c>
      <c r="H214" s="33" t="s">
        <v>7358</v>
      </c>
      <c r="I214" s="63" t="s">
        <v>7367</v>
      </c>
      <c r="J214" s="171"/>
      <c r="K214" s="25"/>
      <c r="L214" s="50"/>
      <c r="M214" s="66"/>
      <c r="N214" s="55"/>
      <c r="O214" s="28"/>
      <c r="P214" s="28"/>
      <c r="Q214" s="50" t="s">
        <v>140</v>
      </c>
      <c r="R214" s="25" t="s">
        <v>300</v>
      </c>
      <c r="S214" s="50"/>
      <c r="T214" s="65"/>
      <c r="U214" s="65"/>
      <c r="V214" s="65"/>
      <c r="W214" s="65"/>
      <c r="X214" s="65"/>
      <c r="Y214" s="65"/>
      <c r="Z214" s="65"/>
      <c r="AA214" s="65"/>
    </row>
    <row r="215" spans="1:27" ht="16.5" customHeight="1">
      <c r="A215" s="344"/>
      <c r="B215" s="344"/>
      <c r="C215" s="34">
        <v>10</v>
      </c>
      <c r="D215" s="344"/>
      <c r="E215" s="33" t="s">
        <v>7372</v>
      </c>
      <c r="F215" s="34" t="s">
        <v>326</v>
      </c>
      <c r="G215" s="34" t="s">
        <v>327</v>
      </c>
      <c r="H215" s="33" t="s">
        <v>7358</v>
      </c>
      <c r="I215" s="63" t="s">
        <v>7365</v>
      </c>
      <c r="J215" s="171"/>
      <c r="K215" s="25"/>
      <c r="L215" s="50"/>
      <c r="M215" s="66"/>
      <c r="N215" s="55"/>
      <c r="O215" s="28"/>
      <c r="P215" s="28"/>
      <c r="Q215" s="50" t="s">
        <v>140</v>
      </c>
      <c r="R215" s="25" t="s">
        <v>300</v>
      </c>
      <c r="S215" s="50"/>
      <c r="T215" s="65"/>
      <c r="U215" s="65"/>
      <c r="V215" s="65"/>
      <c r="W215" s="65"/>
      <c r="X215" s="65"/>
      <c r="Y215" s="65"/>
      <c r="Z215" s="65"/>
      <c r="AA215" s="65"/>
    </row>
    <row r="216" spans="1:27" ht="16.5" customHeight="1">
      <c r="A216" s="344"/>
      <c r="B216" s="344"/>
      <c r="C216" s="34">
        <v>11</v>
      </c>
      <c r="D216" s="344"/>
      <c r="E216" s="33" t="s">
        <v>7373</v>
      </c>
      <c r="F216" s="34" t="s">
        <v>326</v>
      </c>
      <c r="G216" s="34" t="s">
        <v>327</v>
      </c>
      <c r="H216" s="33" t="s">
        <v>7358</v>
      </c>
      <c r="I216" s="63" t="s">
        <v>7365</v>
      </c>
      <c r="J216" s="171"/>
      <c r="K216" s="25"/>
      <c r="L216" s="50"/>
      <c r="M216" s="66"/>
      <c r="N216" s="55"/>
      <c r="O216" s="28"/>
      <c r="P216" s="28"/>
      <c r="Q216" s="50" t="s">
        <v>140</v>
      </c>
      <c r="R216" s="25" t="s">
        <v>300</v>
      </c>
      <c r="S216" s="50"/>
      <c r="T216" s="65"/>
      <c r="U216" s="65"/>
      <c r="V216" s="65"/>
      <c r="W216" s="65"/>
      <c r="X216" s="65"/>
      <c r="Y216" s="65"/>
      <c r="Z216" s="65"/>
      <c r="AA216" s="65"/>
    </row>
    <row r="217" spans="1:27" ht="16.5" customHeight="1">
      <c r="A217" s="344"/>
      <c r="B217" s="344"/>
      <c r="C217" s="34">
        <v>12</v>
      </c>
      <c r="D217" s="344"/>
      <c r="E217" s="33" t="s">
        <v>7374</v>
      </c>
      <c r="F217" s="34" t="s">
        <v>326</v>
      </c>
      <c r="G217" s="34" t="s">
        <v>327</v>
      </c>
      <c r="H217" s="33" t="s">
        <v>7358</v>
      </c>
      <c r="I217" s="63" t="s">
        <v>7375</v>
      </c>
      <c r="J217" s="171"/>
      <c r="K217" s="25"/>
      <c r="L217" s="50"/>
      <c r="M217" s="66"/>
      <c r="N217" s="55"/>
      <c r="O217" s="28"/>
      <c r="P217" s="28"/>
      <c r="Q217" s="50" t="s">
        <v>140</v>
      </c>
      <c r="R217" s="25" t="s">
        <v>300</v>
      </c>
      <c r="S217" s="50"/>
      <c r="T217" s="65"/>
      <c r="U217" s="65"/>
      <c r="V217" s="65"/>
      <c r="W217" s="65"/>
      <c r="X217" s="65"/>
      <c r="Y217" s="65"/>
      <c r="Z217" s="65"/>
      <c r="AA217" s="65"/>
    </row>
    <row r="218" spans="1:27" ht="16.5" customHeight="1">
      <c r="A218" s="344"/>
      <c r="B218" s="344"/>
      <c r="C218" s="34">
        <v>13</v>
      </c>
      <c r="D218" s="344"/>
      <c r="E218" s="33" t="s">
        <v>7376</v>
      </c>
      <c r="F218" s="34" t="s">
        <v>326</v>
      </c>
      <c r="G218" s="34" t="s">
        <v>327</v>
      </c>
      <c r="H218" s="33" t="s">
        <v>7358</v>
      </c>
      <c r="I218" s="63" t="s">
        <v>7377</v>
      </c>
      <c r="J218" s="171"/>
      <c r="K218" s="25"/>
      <c r="L218" s="50"/>
      <c r="M218" s="66"/>
      <c r="N218" s="55"/>
      <c r="O218" s="28"/>
      <c r="P218" s="28"/>
      <c r="Q218" s="50" t="s">
        <v>140</v>
      </c>
      <c r="R218" s="25" t="s">
        <v>300</v>
      </c>
      <c r="S218" s="50"/>
      <c r="T218" s="65"/>
      <c r="U218" s="65"/>
      <c r="V218" s="65"/>
      <c r="W218" s="65"/>
      <c r="X218" s="65"/>
      <c r="Y218" s="65"/>
      <c r="Z218" s="65"/>
      <c r="AA218" s="65"/>
    </row>
    <row r="219" spans="1:27" ht="16.5" customHeight="1">
      <c r="A219" s="344"/>
      <c r="B219" s="344"/>
      <c r="C219" s="34">
        <v>14</v>
      </c>
      <c r="D219" s="344"/>
      <c r="E219" s="33" t="s">
        <v>7378</v>
      </c>
      <c r="F219" s="34" t="s">
        <v>326</v>
      </c>
      <c r="G219" s="34" t="s">
        <v>327</v>
      </c>
      <c r="H219" s="33" t="s">
        <v>7358</v>
      </c>
      <c r="I219" s="63" t="s">
        <v>7379</v>
      </c>
      <c r="J219" s="171"/>
      <c r="K219" s="25"/>
      <c r="L219" s="50"/>
      <c r="M219" s="66"/>
      <c r="N219" s="55"/>
      <c r="O219" s="28"/>
      <c r="P219" s="28"/>
      <c r="Q219" s="50" t="s">
        <v>140</v>
      </c>
      <c r="R219" s="25" t="s">
        <v>300</v>
      </c>
      <c r="S219" s="50"/>
      <c r="T219" s="65"/>
      <c r="U219" s="65"/>
      <c r="V219" s="65"/>
      <c r="W219" s="65"/>
      <c r="X219" s="65"/>
      <c r="Y219" s="65"/>
      <c r="Z219" s="65"/>
      <c r="AA219" s="65"/>
    </row>
    <row r="220" spans="1:27" ht="16.5" customHeight="1">
      <c r="A220" s="344"/>
      <c r="B220" s="344"/>
      <c r="C220" s="34">
        <v>15</v>
      </c>
      <c r="D220" s="344"/>
      <c r="E220" s="33" t="s">
        <v>7380</v>
      </c>
      <c r="F220" s="34" t="s">
        <v>326</v>
      </c>
      <c r="G220" s="34" t="s">
        <v>327</v>
      </c>
      <c r="H220" s="33" t="s">
        <v>7358</v>
      </c>
      <c r="I220" s="63" t="s">
        <v>7381</v>
      </c>
      <c r="J220" s="171"/>
      <c r="K220" s="25"/>
      <c r="L220" s="50"/>
      <c r="M220" s="66"/>
      <c r="N220" s="55"/>
      <c r="O220" s="28"/>
      <c r="P220" s="28"/>
      <c r="Q220" s="50" t="s">
        <v>140</v>
      </c>
      <c r="R220" s="25" t="s">
        <v>300</v>
      </c>
      <c r="S220" s="50"/>
      <c r="T220" s="65"/>
      <c r="U220" s="65"/>
      <c r="V220" s="65"/>
      <c r="W220" s="65"/>
      <c r="X220" s="65"/>
      <c r="Y220" s="65"/>
      <c r="Z220" s="65"/>
      <c r="AA220" s="65"/>
    </row>
    <row r="221" spans="1:27" ht="16.5" customHeight="1">
      <c r="A221" s="344"/>
      <c r="B221" s="344"/>
      <c r="C221" s="34">
        <v>16</v>
      </c>
      <c r="D221" s="344"/>
      <c r="E221" s="33" t="s">
        <v>7382</v>
      </c>
      <c r="F221" s="34" t="s">
        <v>326</v>
      </c>
      <c r="G221" s="34" t="s">
        <v>327</v>
      </c>
      <c r="H221" s="33" t="s">
        <v>7358</v>
      </c>
      <c r="I221" s="63" t="s">
        <v>7383</v>
      </c>
      <c r="J221" s="171"/>
      <c r="K221" s="25"/>
      <c r="L221" s="50"/>
      <c r="M221" s="66"/>
      <c r="N221" s="55"/>
      <c r="O221" s="28"/>
      <c r="P221" s="28"/>
      <c r="Q221" s="50" t="s">
        <v>140</v>
      </c>
      <c r="R221" s="25" t="s">
        <v>300</v>
      </c>
      <c r="S221" s="50"/>
      <c r="T221" s="65"/>
      <c r="U221" s="65"/>
      <c r="V221" s="65"/>
      <c r="W221" s="65"/>
      <c r="X221" s="65"/>
      <c r="Y221" s="65"/>
      <c r="Z221" s="65"/>
      <c r="AA221" s="65"/>
    </row>
    <row r="222" spans="1:27" ht="16.5" customHeight="1">
      <c r="A222" s="344"/>
      <c r="B222" s="344"/>
      <c r="C222" s="34">
        <v>17</v>
      </c>
      <c r="D222" s="344"/>
      <c r="E222" s="33" t="s">
        <v>7384</v>
      </c>
      <c r="F222" s="34" t="s">
        <v>326</v>
      </c>
      <c r="G222" s="34" t="s">
        <v>327</v>
      </c>
      <c r="H222" s="33" t="s">
        <v>7358</v>
      </c>
      <c r="I222" s="63" t="s">
        <v>7385</v>
      </c>
      <c r="J222" s="171"/>
      <c r="K222" s="25"/>
      <c r="L222" s="50"/>
      <c r="M222" s="66"/>
      <c r="N222" s="55"/>
      <c r="O222" s="28"/>
      <c r="P222" s="28"/>
      <c r="Q222" s="50" t="s">
        <v>140</v>
      </c>
      <c r="R222" s="25" t="s">
        <v>300</v>
      </c>
      <c r="S222" s="50"/>
      <c r="T222" s="65"/>
      <c r="U222" s="65"/>
      <c r="V222" s="65"/>
      <c r="W222" s="65"/>
      <c r="X222" s="65"/>
      <c r="Y222" s="65"/>
      <c r="Z222" s="65"/>
      <c r="AA222" s="65"/>
    </row>
    <row r="223" spans="1:27" ht="16.5" customHeight="1">
      <c r="A223" s="344"/>
      <c r="B223" s="344"/>
      <c r="C223" s="34">
        <v>18</v>
      </c>
      <c r="D223" s="344"/>
      <c r="E223" s="33" t="s">
        <v>7386</v>
      </c>
      <c r="F223" s="34" t="s">
        <v>326</v>
      </c>
      <c r="G223" s="34" t="s">
        <v>327</v>
      </c>
      <c r="H223" s="33" t="s">
        <v>7358</v>
      </c>
      <c r="I223" s="63" t="s">
        <v>7387</v>
      </c>
      <c r="J223" s="171"/>
      <c r="K223" s="25"/>
      <c r="L223" s="50"/>
      <c r="M223" s="66"/>
      <c r="N223" s="55"/>
      <c r="O223" s="28"/>
      <c r="P223" s="28"/>
      <c r="Q223" s="50" t="s">
        <v>140</v>
      </c>
      <c r="R223" s="25" t="s">
        <v>300</v>
      </c>
      <c r="S223" s="50"/>
      <c r="T223" s="65"/>
      <c r="U223" s="65"/>
      <c r="V223" s="65"/>
      <c r="W223" s="65"/>
      <c r="X223" s="65"/>
      <c r="Y223" s="65"/>
      <c r="Z223" s="65"/>
      <c r="AA223" s="65"/>
    </row>
    <row r="224" spans="1:27" ht="17.25" customHeight="1">
      <c r="A224" s="344"/>
      <c r="B224" s="344"/>
      <c r="C224" s="34">
        <v>19</v>
      </c>
      <c r="D224" s="344"/>
      <c r="E224" s="33" t="s">
        <v>7388</v>
      </c>
      <c r="F224" s="34" t="s">
        <v>326</v>
      </c>
      <c r="G224" s="34" t="s">
        <v>327</v>
      </c>
      <c r="H224" s="33" t="s">
        <v>7358</v>
      </c>
      <c r="I224" s="63" t="s">
        <v>7389</v>
      </c>
      <c r="J224" s="171"/>
      <c r="K224" s="25"/>
      <c r="L224" s="50"/>
      <c r="M224" s="66"/>
      <c r="N224" s="55"/>
      <c r="O224" s="28"/>
      <c r="P224" s="28"/>
      <c r="Q224" s="50" t="s">
        <v>140</v>
      </c>
      <c r="R224" s="25" t="s">
        <v>300</v>
      </c>
      <c r="S224" s="50"/>
      <c r="T224" s="65"/>
      <c r="U224" s="65"/>
      <c r="V224" s="65"/>
      <c r="W224" s="65"/>
      <c r="X224" s="65"/>
      <c r="Y224" s="65"/>
      <c r="Z224" s="65"/>
      <c r="AA224" s="65"/>
    </row>
    <row r="225" spans="1:27" ht="17.25" customHeight="1">
      <c r="A225" s="344"/>
      <c r="B225" s="344"/>
      <c r="C225" s="34">
        <v>20</v>
      </c>
      <c r="D225" s="344"/>
      <c r="E225" s="33" t="s">
        <v>7390</v>
      </c>
      <c r="F225" s="34" t="s">
        <v>326</v>
      </c>
      <c r="G225" s="34" t="s">
        <v>327</v>
      </c>
      <c r="H225" s="33" t="s">
        <v>7358</v>
      </c>
      <c r="I225" s="63" t="s">
        <v>7391</v>
      </c>
      <c r="J225" s="171"/>
      <c r="K225" s="25"/>
      <c r="L225" s="50"/>
      <c r="M225" s="66"/>
      <c r="N225" s="55"/>
      <c r="O225" s="28"/>
      <c r="P225" s="28"/>
      <c r="Q225" s="50" t="s">
        <v>140</v>
      </c>
      <c r="R225" s="25" t="s">
        <v>300</v>
      </c>
      <c r="S225" s="50"/>
      <c r="T225" s="65"/>
      <c r="U225" s="65"/>
      <c r="V225" s="65"/>
      <c r="W225" s="65"/>
      <c r="X225" s="65"/>
      <c r="Y225" s="65"/>
      <c r="Z225" s="65"/>
      <c r="AA225" s="65"/>
    </row>
    <row r="226" spans="1:27" ht="17.25" customHeight="1">
      <c r="A226" s="344"/>
      <c r="B226" s="344"/>
      <c r="C226" s="34">
        <v>21</v>
      </c>
      <c r="D226" s="344"/>
      <c r="E226" s="33" t="s">
        <v>7392</v>
      </c>
      <c r="F226" s="34" t="s">
        <v>326</v>
      </c>
      <c r="G226" s="34" t="s">
        <v>327</v>
      </c>
      <c r="H226" s="33" t="s">
        <v>7358</v>
      </c>
      <c r="I226" s="63" t="s">
        <v>7393</v>
      </c>
      <c r="J226" s="171"/>
      <c r="K226" s="25"/>
      <c r="L226" s="50"/>
      <c r="M226" s="66"/>
      <c r="N226" s="55"/>
      <c r="O226" s="28"/>
      <c r="P226" s="28"/>
      <c r="Q226" s="50" t="s">
        <v>140</v>
      </c>
      <c r="R226" s="25" t="s">
        <v>300</v>
      </c>
      <c r="S226" s="50"/>
      <c r="T226" s="65"/>
      <c r="U226" s="65"/>
      <c r="V226" s="65"/>
      <c r="W226" s="65"/>
      <c r="X226" s="65"/>
      <c r="Y226" s="65"/>
      <c r="Z226" s="65"/>
      <c r="AA226" s="65"/>
    </row>
    <row r="227" spans="1:27" ht="17.25" customHeight="1">
      <c r="A227" s="344"/>
      <c r="B227" s="344"/>
      <c r="C227" s="34">
        <v>22</v>
      </c>
      <c r="D227" s="344"/>
      <c r="E227" s="33" t="s">
        <v>7394</v>
      </c>
      <c r="F227" s="34" t="s">
        <v>326</v>
      </c>
      <c r="G227" s="34" t="s">
        <v>327</v>
      </c>
      <c r="H227" s="33" t="s">
        <v>7358</v>
      </c>
      <c r="I227" s="63" t="s">
        <v>7395</v>
      </c>
      <c r="J227" s="171"/>
      <c r="K227" s="25"/>
      <c r="L227" s="50"/>
      <c r="M227" s="66"/>
      <c r="N227" s="55"/>
      <c r="O227" s="28"/>
      <c r="P227" s="28"/>
      <c r="Q227" s="50" t="s">
        <v>140</v>
      </c>
      <c r="R227" s="25" t="s">
        <v>300</v>
      </c>
      <c r="S227" s="50"/>
      <c r="T227" s="65"/>
      <c r="U227" s="65"/>
      <c r="V227" s="65"/>
      <c r="W227" s="65"/>
      <c r="X227" s="65"/>
      <c r="Y227" s="65"/>
      <c r="Z227" s="65"/>
      <c r="AA227" s="65"/>
    </row>
    <row r="228" spans="1:27" ht="17.25" customHeight="1">
      <c r="A228" s="344"/>
      <c r="B228" s="344"/>
      <c r="C228" s="34">
        <v>23</v>
      </c>
      <c r="D228" s="344"/>
      <c r="E228" s="33" t="s">
        <v>7396</v>
      </c>
      <c r="F228" s="34" t="s">
        <v>326</v>
      </c>
      <c r="G228" s="34" t="s">
        <v>327</v>
      </c>
      <c r="H228" s="33" t="s">
        <v>7358</v>
      </c>
      <c r="I228" s="63" t="s">
        <v>7397</v>
      </c>
      <c r="J228" s="171"/>
      <c r="K228" s="25"/>
      <c r="L228" s="50"/>
      <c r="M228" s="66"/>
      <c r="N228" s="55"/>
      <c r="O228" s="28"/>
      <c r="P228" s="28"/>
      <c r="Q228" s="50" t="s">
        <v>140</v>
      </c>
      <c r="R228" s="25" t="s">
        <v>300</v>
      </c>
      <c r="S228" s="50"/>
      <c r="T228" s="65"/>
      <c r="U228" s="65"/>
      <c r="V228" s="65"/>
      <c r="W228" s="65"/>
      <c r="X228" s="65"/>
      <c r="Y228" s="65"/>
      <c r="Z228" s="65"/>
      <c r="AA228" s="65"/>
    </row>
    <row r="229" spans="1:27" ht="17.25" customHeight="1">
      <c r="A229" s="344"/>
      <c r="B229" s="344"/>
      <c r="C229" s="34">
        <v>24</v>
      </c>
      <c r="D229" s="344"/>
      <c r="E229" s="33" t="s">
        <v>7398</v>
      </c>
      <c r="F229" s="34" t="s">
        <v>326</v>
      </c>
      <c r="G229" s="34" t="s">
        <v>327</v>
      </c>
      <c r="H229" s="33" t="s">
        <v>7358</v>
      </c>
      <c r="I229" s="63" t="s">
        <v>7397</v>
      </c>
      <c r="J229" s="171"/>
      <c r="K229" s="25"/>
      <c r="L229" s="50"/>
      <c r="M229" s="66"/>
      <c r="N229" s="55"/>
      <c r="O229" s="28"/>
      <c r="P229" s="28"/>
      <c r="Q229" s="50" t="s">
        <v>140</v>
      </c>
      <c r="R229" s="25" t="s">
        <v>300</v>
      </c>
      <c r="S229" s="50"/>
      <c r="T229" s="65"/>
      <c r="U229" s="65"/>
      <c r="V229" s="65"/>
      <c r="W229" s="65"/>
      <c r="X229" s="65"/>
      <c r="Y229" s="65"/>
      <c r="Z229" s="65"/>
      <c r="AA229" s="65"/>
    </row>
    <row r="230" spans="1:27" ht="17.25" customHeight="1">
      <c r="A230" s="344"/>
      <c r="B230" s="344"/>
      <c r="C230" s="34">
        <v>25</v>
      </c>
      <c r="D230" s="344"/>
      <c r="E230" s="33" t="s">
        <v>7399</v>
      </c>
      <c r="F230" s="34" t="s">
        <v>326</v>
      </c>
      <c r="G230" s="34" t="s">
        <v>327</v>
      </c>
      <c r="H230" s="33" t="s">
        <v>7358</v>
      </c>
      <c r="I230" s="63" t="s">
        <v>7400</v>
      </c>
      <c r="J230" s="171"/>
      <c r="K230" s="25"/>
      <c r="L230" s="50"/>
      <c r="M230" s="66"/>
      <c r="N230" s="55"/>
      <c r="O230" s="28"/>
      <c r="P230" s="28"/>
      <c r="Q230" s="50" t="s">
        <v>140</v>
      </c>
      <c r="R230" s="25" t="s">
        <v>300</v>
      </c>
      <c r="S230" s="50"/>
      <c r="T230" s="65"/>
      <c r="U230" s="65"/>
      <c r="V230" s="65"/>
      <c r="W230" s="65"/>
      <c r="X230" s="65"/>
      <c r="Y230" s="65"/>
      <c r="Z230" s="65"/>
      <c r="AA230" s="65"/>
    </row>
    <row r="231" spans="1:27" ht="17.25" customHeight="1">
      <c r="A231" s="344"/>
      <c r="B231" s="344"/>
      <c r="C231" s="34">
        <v>26</v>
      </c>
      <c r="D231" s="344"/>
      <c r="E231" s="33" t="s">
        <v>7401</v>
      </c>
      <c r="F231" s="34" t="s">
        <v>326</v>
      </c>
      <c r="G231" s="34" t="s">
        <v>327</v>
      </c>
      <c r="H231" s="33" t="s">
        <v>7358</v>
      </c>
      <c r="I231" s="63" t="s">
        <v>7400</v>
      </c>
      <c r="J231" s="171"/>
      <c r="K231" s="25"/>
      <c r="L231" s="50"/>
      <c r="M231" s="66"/>
      <c r="N231" s="55"/>
      <c r="O231" s="28"/>
      <c r="P231" s="28"/>
      <c r="Q231" s="50" t="s">
        <v>140</v>
      </c>
      <c r="R231" s="25" t="s">
        <v>300</v>
      </c>
      <c r="S231" s="50"/>
      <c r="T231" s="65"/>
      <c r="U231" s="65"/>
      <c r="V231" s="65"/>
      <c r="W231" s="65"/>
      <c r="X231" s="65"/>
      <c r="Y231" s="65"/>
      <c r="Z231" s="65"/>
      <c r="AA231" s="65"/>
    </row>
    <row r="232" spans="1:27" ht="15.75" customHeight="1">
      <c r="A232" s="344"/>
      <c r="B232" s="344"/>
      <c r="C232" s="34">
        <v>27</v>
      </c>
      <c r="D232" s="344"/>
      <c r="E232" s="33" t="s">
        <v>7402</v>
      </c>
      <c r="F232" s="34" t="s">
        <v>326</v>
      </c>
      <c r="G232" s="34" t="s">
        <v>327</v>
      </c>
      <c r="H232" s="33" t="s">
        <v>7358</v>
      </c>
      <c r="I232" s="63" t="s">
        <v>7403</v>
      </c>
      <c r="J232" s="171"/>
      <c r="K232" s="25"/>
      <c r="L232" s="50"/>
      <c r="M232" s="66"/>
      <c r="N232" s="55"/>
      <c r="O232" s="28"/>
      <c r="P232" s="28"/>
      <c r="Q232" s="50" t="s">
        <v>140</v>
      </c>
      <c r="R232" s="25" t="s">
        <v>300</v>
      </c>
      <c r="S232" s="50"/>
      <c r="T232" s="65"/>
      <c r="U232" s="65"/>
      <c r="V232" s="65"/>
      <c r="W232" s="65"/>
      <c r="X232" s="65"/>
      <c r="Y232" s="65"/>
      <c r="Z232" s="65"/>
      <c r="AA232" s="65"/>
    </row>
    <row r="233" spans="1:27" ht="17.25" customHeight="1">
      <c r="A233" s="344"/>
      <c r="B233" s="344"/>
      <c r="C233" s="34">
        <v>28</v>
      </c>
      <c r="D233" s="344"/>
      <c r="E233" s="33" t="s">
        <v>7404</v>
      </c>
      <c r="F233" s="34" t="s">
        <v>326</v>
      </c>
      <c r="G233" s="34" t="s">
        <v>327</v>
      </c>
      <c r="H233" s="33" t="s">
        <v>7358</v>
      </c>
      <c r="I233" s="63" t="s">
        <v>7405</v>
      </c>
      <c r="J233" s="171"/>
      <c r="K233" s="25"/>
      <c r="L233" s="50"/>
      <c r="M233" s="66"/>
      <c r="N233" s="55"/>
      <c r="O233" s="28"/>
      <c r="P233" s="28"/>
      <c r="Q233" s="50" t="s">
        <v>140</v>
      </c>
      <c r="R233" s="25" t="s">
        <v>300</v>
      </c>
      <c r="S233" s="50"/>
      <c r="T233" s="65"/>
      <c r="U233" s="65"/>
      <c r="V233" s="65"/>
      <c r="W233" s="65"/>
      <c r="X233" s="65"/>
      <c r="Y233" s="65"/>
      <c r="Z233" s="65"/>
      <c r="AA233" s="65"/>
    </row>
    <row r="234" spans="1:27" ht="17.25" customHeight="1">
      <c r="A234" s="344"/>
      <c r="B234" s="344"/>
      <c r="C234" s="34">
        <v>29</v>
      </c>
      <c r="D234" s="344"/>
      <c r="E234" s="33" t="s">
        <v>7406</v>
      </c>
      <c r="F234" s="34" t="s">
        <v>326</v>
      </c>
      <c r="G234" s="34" t="s">
        <v>327</v>
      </c>
      <c r="H234" s="33" t="s">
        <v>7358</v>
      </c>
      <c r="I234" s="63" t="s">
        <v>7405</v>
      </c>
      <c r="J234" s="171"/>
      <c r="K234" s="25"/>
      <c r="L234" s="50"/>
      <c r="M234" s="66"/>
      <c r="N234" s="55"/>
      <c r="O234" s="28"/>
      <c r="P234" s="28"/>
      <c r="Q234" s="50" t="s">
        <v>140</v>
      </c>
      <c r="R234" s="25" t="s">
        <v>300</v>
      </c>
      <c r="S234" s="50"/>
      <c r="T234" s="65"/>
      <c r="U234" s="65"/>
      <c r="V234" s="65"/>
      <c r="W234" s="65"/>
      <c r="X234" s="65"/>
      <c r="Y234" s="65"/>
      <c r="Z234" s="65"/>
      <c r="AA234" s="65"/>
    </row>
    <row r="235" spans="1:27" ht="17.25" customHeight="1">
      <c r="A235" s="344"/>
      <c r="B235" s="344"/>
      <c r="C235" s="34">
        <v>30</v>
      </c>
      <c r="D235" s="344"/>
      <c r="E235" s="33" t="s">
        <v>7407</v>
      </c>
      <c r="F235" s="34" t="s">
        <v>326</v>
      </c>
      <c r="G235" s="34" t="s">
        <v>327</v>
      </c>
      <c r="H235" s="33" t="s">
        <v>7358</v>
      </c>
      <c r="I235" s="63" t="s">
        <v>7405</v>
      </c>
      <c r="J235" s="171"/>
      <c r="K235" s="25"/>
      <c r="L235" s="50"/>
      <c r="M235" s="66"/>
      <c r="N235" s="55"/>
      <c r="O235" s="28"/>
      <c r="P235" s="28"/>
      <c r="Q235" s="50" t="s">
        <v>140</v>
      </c>
      <c r="R235" s="25" t="s">
        <v>300</v>
      </c>
      <c r="S235" s="50"/>
      <c r="T235" s="65"/>
      <c r="U235" s="65"/>
      <c r="V235" s="65"/>
      <c r="W235" s="65"/>
      <c r="X235" s="65"/>
      <c r="Y235" s="65"/>
      <c r="Z235" s="65"/>
      <c r="AA235" s="65"/>
    </row>
    <row r="236" spans="1:27" ht="15.75" customHeight="1">
      <c r="A236" s="344"/>
      <c r="B236" s="344"/>
      <c r="C236" s="34">
        <v>31</v>
      </c>
      <c r="D236" s="344"/>
      <c r="E236" s="33" t="s">
        <v>7408</v>
      </c>
      <c r="F236" s="34" t="s">
        <v>326</v>
      </c>
      <c r="G236" s="34" t="s">
        <v>327</v>
      </c>
      <c r="H236" s="33" t="s">
        <v>7358</v>
      </c>
      <c r="I236" s="63" t="s">
        <v>7409</v>
      </c>
      <c r="J236" s="171"/>
      <c r="K236" s="25"/>
      <c r="L236" s="50"/>
      <c r="M236" s="66" t="s">
        <v>7410</v>
      </c>
      <c r="N236" s="55"/>
      <c r="O236" s="28"/>
      <c r="P236" s="28"/>
      <c r="Q236" s="50" t="s">
        <v>140</v>
      </c>
      <c r="R236" s="25" t="s">
        <v>300</v>
      </c>
      <c r="S236" s="50"/>
      <c r="T236" s="65"/>
      <c r="U236" s="65"/>
      <c r="V236" s="65"/>
      <c r="W236" s="65"/>
      <c r="X236" s="65"/>
      <c r="Y236" s="65"/>
      <c r="Z236" s="65"/>
      <c r="AA236" s="65"/>
    </row>
    <row r="237" spans="1:27" ht="17.25" customHeight="1">
      <c r="A237" s="344"/>
      <c r="B237" s="344"/>
      <c r="C237" s="34">
        <v>32</v>
      </c>
      <c r="D237" s="344"/>
      <c r="E237" s="33" t="s">
        <v>7411</v>
      </c>
      <c r="F237" s="34" t="s">
        <v>326</v>
      </c>
      <c r="G237" s="34" t="s">
        <v>327</v>
      </c>
      <c r="H237" s="33" t="s">
        <v>7358</v>
      </c>
      <c r="I237" s="63" t="s">
        <v>7412</v>
      </c>
      <c r="J237" s="171"/>
      <c r="K237" s="25"/>
      <c r="L237" s="50"/>
      <c r="M237" s="66"/>
      <c r="N237" s="55"/>
      <c r="O237" s="28"/>
      <c r="P237" s="28"/>
      <c r="Q237" s="50" t="s">
        <v>140</v>
      </c>
      <c r="R237" s="25" t="s">
        <v>300</v>
      </c>
      <c r="S237" s="50"/>
      <c r="T237" s="65"/>
      <c r="U237" s="65"/>
      <c r="V237" s="65"/>
      <c r="W237" s="65"/>
      <c r="X237" s="65"/>
      <c r="Y237" s="65"/>
      <c r="Z237" s="65"/>
      <c r="AA237" s="65"/>
    </row>
    <row r="238" spans="1:27" ht="15.75" customHeight="1">
      <c r="A238" s="344"/>
      <c r="B238" s="344"/>
      <c r="C238" s="34">
        <v>33</v>
      </c>
      <c r="D238" s="344"/>
      <c r="E238" s="33" t="s">
        <v>7413</v>
      </c>
      <c r="F238" s="34" t="s">
        <v>326</v>
      </c>
      <c r="G238" s="34" t="s">
        <v>327</v>
      </c>
      <c r="H238" s="33" t="s">
        <v>7358</v>
      </c>
      <c r="I238" s="63" t="s">
        <v>7414</v>
      </c>
      <c r="J238" s="171"/>
      <c r="K238" s="25"/>
      <c r="L238" s="50"/>
      <c r="M238" s="66"/>
      <c r="N238" s="55"/>
      <c r="O238" s="28"/>
      <c r="P238" s="28"/>
      <c r="Q238" s="50" t="s">
        <v>140</v>
      </c>
      <c r="R238" s="25" t="s">
        <v>300</v>
      </c>
      <c r="S238" s="50"/>
      <c r="T238" s="65"/>
      <c r="U238" s="65"/>
      <c r="V238" s="65"/>
      <c r="W238" s="65"/>
      <c r="X238" s="65"/>
      <c r="Y238" s="65"/>
      <c r="Z238" s="65"/>
      <c r="AA238" s="65"/>
    </row>
    <row r="239" spans="1:27" ht="17.25" customHeight="1">
      <c r="A239" s="344"/>
      <c r="B239" s="344"/>
      <c r="C239" s="34">
        <v>34</v>
      </c>
      <c r="D239" s="344"/>
      <c r="E239" s="33" t="s">
        <v>7415</v>
      </c>
      <c r="F239" s="34" t="s">
        <v>326</v>
      </c>
      <c r="G239" s="34" t="s">
        <v>327</v>
      </c>
      <c r="H239" s="33" t="s">
        <v>7358</v>
      </c>
      <c r="I239" s="63" t="s">
        <v>3228</v>
      </c>
      <c r="J239" s="171"/>
      <c r="K239" s="25"/>
      <c r="L239" s="50"/>
      <c r="M239" s="66"/>
      <c r="N239" s="55"/>
      <c r="O239" s="28"/>
      <c r="P239" s="28"/>
      <c r="Q239" s="50" t="s">
        <v>140</v>
      </c>
      <c r="R239" s="25" t="s">
        <v>300</v>
      </c>
      <c r="S239" s="50"/>
      <c r="T239" s="65"/>
      <c r="U239" s="65"/>
      <c r="V239" s="65"/>
      <c r="W239" s="65"/>
      <c r="X239" s="65"/>
      <c r="Y239" s="65"/>
      <c r="Z239" s="65"/>
      <c r="AA239" s="65"/>
    </row>
    <row r="240" spans="1:27" ht="17.25" customHeight="1">
      <c r="A240" s="344"/>
      <c r="B240" s="344"/>
      <c r="C240" s="34">
        <v>35</v>
      </c>
      <c r="D240" s="344"/>
      <c r="E240" s="33" t="s">
        <v>7416</v>
      </c>
      <c r="F240" s="34" t="s">
        <v>326</v>
      </c>
      <c r="G240" s="34" t="s">
        <v>327</v>
      </c>
      <c r="H240" s="33" t="s">
        <v>7358</v>
      </c>
      <c r="I240" s="63" t="s">
        <v>3228</v>
      </c>
      <c r="J240" s="171"/>
      <c r="K240" s="25"/>
      <c r="L240" s="50"/>
      <c r="M240" s="66"/>
      <c r="N240" s="55"/>
      <c r="O240" s="28"/>
      <c r="P240" s="28"/>
      <c r="Q240" s="50" t="s">
        <v>140</v>
      </c>
      <c r="R240" s="25" t="s">
        <v>300</v>
      </c>
      <c r="S240" s="50"/>
      <c r="T240" s="65"/>
      <c r="U240" s="65"/>
      <c r="V240" s="65"/>
      <c r="W240" s="65"/>
      <c r="X240" s="65"/>
      <c r="Y240" s="65"/>
      <c r="Z240" s="65"/>
      <c r="AA240" s="65"/>
    </row>
    <row r="241" spans="1:27" ht="17.25" customHeight="1">
      <c r="A241" s="344"/>
      <c r="B241" s="344"/>
      <c r="C241" s="34">
        <v>36</v>
      </c>
      <c r="D241" s="344"/>
      <c r="E241" s="33" t="s">
        <v>7417</v>
      </c>
      <c r="F241" s="34" t="s">
        <v>326</v>
      </c>
      <c r="G241" s="34" t="s">
        <v>327</v>
      </c>
      <c r="H241" s="33" t="s">
        <v>7358</v>
      </c>
      <c r="I241" s="63" t="s">
        <v>3228</v>
      </c>
      <c r="J241" s="171"/>
      <c r="K241" s="25"/>
      <c r="L241" s="50"/>
      <c r="M241" s="66"/>
      <c r="N241" s="55"/>
      <c r="O241" s="28"/>
      <c r="P241" s="28"/>
      <c r="Q241" s="50" t="s">
        <v>140</v>
      </c>
      <c r="R241" s="25" t="s">
        <v>300</v>
      </c>
      <c r="S241" s="50"/>
      <c r="T241" s="65"/>
      <c r="U241" s="65"/>
      <c r="V241" s="65"/>
      <c r="W241" s="65"/>
      <c r="X241" s="65"/>
      <c r="Y241" s="65"/>
      <c r="Z241" s="65"/>
      <c r="AA241" s="65"/>
    </row>
    <row r="242" spans="1:27" ht="17.25" customHeight="1">
      <c r="A242" s="344"/>
      <c r="B242" s="344"/>
      <c r="C242" s="34">
        <v>37</v>
      </c>
      <c r="D242" s="344"/>
      <c r="E242" s="33" t="s">
        <v>7418</v>
      </c>
      <c r="F242" s="34" t="s">
        <v>326</v>
      </c>
      <c r="G242" s="34" t="s">
        <v>327</v>
      </c>
      <c r="H242" s="33" t="s">
        <v>7358</v>
      </c>
      <c r="I242" s="63" t="s">
        <v>3228</v>
      </c>
      <c r="J242" s="171"/>
      <c r="K242" s="25"/>
      <c r="L242" s="50"/>
      <c r="M242" s="66"/>
      <c r="N242" s="55"/>
      <c r="O242" s="28"/>
      <c r="P242" s="28"/>
      <c r="Q242" s="50" t="s">
        <v>140</v>
      </c>
      <c r="R242" s="25" t="s">
        <v>300</v>
      </c>
      <c r="S242" s="50"/>
      <c r="T242" s="65"/>
      <c r="U242" s="65"/>
      <c r="V242" s="65"/>
      <c r="W242" s="65"/>
      <c r="X242" s="65"/>
      <c r="Y242" s="65"/>
      <c r="Z242" s="65"/>
      <c r="AA242" s="65"/>
    </row>
    <row r="243" spans="1:27" ht="17.25" customHeight="1">
      <c r="A243" s="344"/>
      <c r="B243" s="344"/>
      <c r="C243" s="34">
        <v>38</v>
      </c>
      <c r="D243" s="344"/>
      <c r="E243" s="33" t="s">
        <v>7419</v>
      </c>
      <c r="F243" s="34" t="s">
        <v>326</v>
      </c>
      <c r="G243" s="34" t="s">
        <v>327</v>
      </c>
      <c r="H243" s="33" t="s">
        <v>7358</v>
      </c>
      <c r="I243" s="63" t="s">
        <v>7420</v>
      </c>
      <c r="J243" s="171"/>
      <c r="K243" s="25"/>
      <c r="L243" s="50"/>
      <c r="M243" s="66"/>
      <c r="N243" s="55"/>
      <c r="O243" s="28"/>
      <c r="P243" s="28"/>
      <c r="Q243" s="50" t="s">
        <v>140</v>
      </c>
      <c r="R243" s="25" t="s">
        <v>300</v>
      </c>
      <c r="S243" s="50"/>
      <c r="T243" s="65"/>
      <c r="U243" s="65"/>
      <c r="V243" s="65"/>
      <c r="W243" s="65"/>
      <c r="X243" s="65"/>
      <c r="Y243" s="65"/>
      <c r="Z243" s="65"/>
      <c r="AA243" s="65"/>
    </row>
    <row r="244" spans="1:27" ht="17.25" customHeight="1">
      <c r="A244" s="345"/>
      <c r="B244" s="344"/>
      <c r="C244" s="34">
        <v>39</v>
      </c>
      <c r="D244" s="345"/>
      <c r="E244" s="33" t="s">
        <v>7421</v>
      </c>
      <c r="F244" s="34" t="s">
        <v>326</v>
      </c>
      <c r="G244" s="34" t="s">
        <v>327</v>
      </c>
      <c r="H244" s="33" t="s">
        <v>7358</v>
      </c>
      <c r="I244" s="63" t="s">
        <v>7420</v>
      </c>
      <c r="J244" s="171"/>
      <c r="K244" s="25"/>
      <c r="L244" s="50"/>
      <c r="M244" s="66"/>
      <c r="N244" s="55"/>
      <c r="O244" s="28"/>
      <c r="P244" s="28"/>
      <c r="Q244" s="50" t="s">
        <v>140</v>
      </c>
      <c r="R244" s="25" t="s">
        <v>300</v>
      </c>
      <c r="S244" s="50"/>
      <c r="T244" s="65"/>
      <c r="U244" s="65"/>
      <c r="V244" s="65"/>
      <c r="W244" s="65"/>
      <c r="X244" s="65"/>
      <c r="Y244" s="65"/>
      <c r="Z244" s="65"/>
      <c r="AA244" s="65"/>
    </row>
    <row r="245" spans="1:27" ht="15.75" customHeight="1">
      <c r="A245" s="146" t="s">
        <v>7422</v>
      </c>
      <c r="B245" s="345"/>
      <c r="C245" s="61">
        <v>40</v>
      </c>
      <c r="D245" s="67" t="s">
        <v>7423</v>
      </c>
      <c r="E245" s="63" t="s">
        <v>7424</v>
      </c>
      <c r="F245" s="61" t="s">
        <v>326</v>
      </c>
      <c r="G245" s="61" t="s">
        <v>327</v>
      </c>
      <c r="H245" s="63" t="s">
        <v>7358</v>
      </c>
      <c r="I245" s="63" t="s">
        <v>7425</v>
      </c>
      <c r="J245" s="171"/>
      <c r="K245" s="25" t="s">
        <v>294</v>
      </c>
      <c r="L245" s="50"/>
      <c r="M245" s="66"/>
      <c r="N245" s="55"/>
      <c r="O245" s="28"/>
      <c r="P245" s="28"/>
      <c r="Q245" s="50" t="s">
        <v>140</v>
      </c>
      <c r="R245" s="25"/>
      <c r="S245" s="50"/>
      <c r="T245" s="65"/>
      <c r="U245" s="65"/>
      <c r="V245" s="65"/>
      <c r="W245" s="65"/>
      <c r="X245" s="65"/>
      <c r="Y245" s="65"/>
      <c r="Z245" s="65"/>
      <c r="AA245" s="65"/>
    </row>
    <row r="246" spans="1:27" ht="15.75" customHeight="1">
      <c r="A246" s="368" t="s">
        <v>289</v>
      </c>
      <c r="B246" s="350" t="s">
        <v>281</v>
      </c>
      <c r="C246" s="61">
        <v>1</v>
      </c>
      <c r="D246" s="366" t="s">
        <v>289</v>
      </c>
      <c r="E246" s="63" t="s">
        <v>7426</v>
      </c>
      <c r="F246" s="61"/>
      <c r="G246" s="61"/>
      <c r="H246" s="63" t="s">
        <v>7427</v>
      </c>
      <c r="I246" s="63" t="s">
        <v>7428</v>
      </c>
      <c r="J246" s="171"/>
      <c r="K246" s="25"/>
      <c r="L246" s="50"/>
      <c r="M246" s="66"/>
      <c r="N246" s="55"/>
      <c r="O246" s="28"/>
      <c r="P246" s="28"/>
      <c r="Q246" s="50" t="s">
        <v>282</v>
      </c>
      <c r="R246" s="25"/>
      <c r="S246" s="50"/>
      <c r="T246" s="65"/>
      <c r="U246" s="65"/>
      <c r="V246" s="65"/>
      <c r="W246" s="65"/>
      <c r="X246" s="65"/>
      <c r="Y246" s="65"/>
      <c r="Z246" s="65"/>
      <c r="AA246" s="65"/>
    </row>
    <row r="247" spans="1:27" ht="15.75" customHeight="1">
      <c r="A247" s="344"/>
      <c r="B247" s="344"/>
      <c r="C247" s="61">
        <v>2</v>
      </c>
      <c r="D247" s="344"/>
      <c r="E247" s="63" t="s">
        <v>7429</v>
      </c>
      <c r="F247" s="61"/>
      <c r="G247" s="61"/>
      <c r="H247" s="63" t="s">
        <v>7430</v>
      </c>
      <c r="I247" s="63" t="s">
        <v>7431</v>
      </c>
      <c r="J247" s="171"/>
      <c r="K247" s="25"/>
      <c r="L247" s="50"/>
      <c r="M247" s="66"/>
      <c r="N247" s="55"/>
      <c r="O247" s="28"/>
      <c r="P247" s="28"/>
      <c r="Q247" s="50" t="s">
        <v>282</v>
      </c>
      <c r="R247" s="25"/>
      <c r="S247" s="50"/>
      <c r="T247" s="65"/>
      <c r="U247" s="65"/>
      <c r="V247" s="65"/>
      <c r="W247" s="65"/>
      <c r="X247" s="65"/>
      <c r="Y247" s="65"/>
      <c r="Z247" s="65"/>
      <c r="AA247" s="65"/>
    </row>
    <row r="248" spans="1:27" ht="15.75" customHeight="1">
      <c r="A248" s="344"/>
      <c r="B248" s="344"/>
      <c r="C248" s="61">
        <v>3</v>
      </c>
      <c r="D248" s="344"/>
      <c r="E248" s="63" t="s">
        <v>7432</v>
      </c>
      <c r="F248" s="61"/>
      <c r="G248" s="61"/>
      <c r="H248" s="63" t="s">
        <v>7433</v>
      </c>
      <c r="I248" s="63" t="s">
        <v>7434</v>
      </c>
      <c r="J248" s="171"/>
      <c r="K248" s="25"/>
      <c r="L248" s="50"/>
      <c r="M248" s="66"/>
      <c r="N248" s="55"/>
      <c r="O248" s="28"/>
      <c r="P248" s="28"/>
      <c r="Q248" s="50" t="s">
        <v>282</v>
      </c>
      <c r="R248" s="25"/>
      <c r="S248" s="50"/>
      <c r="T248" s="65"/>
      <c r="U248" s="65"/>
      <c r="V248" s="65"/>
      <c r="W248" s="65"/>
      <c r="X248" s="65"/>
      <c r="Y248" s="65"/>
      <c r="Z248" s="65"/>
      <c r="AA248" s="65"/>
    </row>
    <row r="249" spans="1:27" ht="15.75" customHeight="1">
      <c r="A249" s="344"/>
      <c r="B249" s="344"/>
      <c r="C249" s="61">
        <v>4</v>
      </c>
      <c r="D249" s="344"/>
      <c r="E249" s="63" t="s">
        <v>7435</v>
      </c>
      <c r="F249" s="61"/>
      <c r="G249" s="61"/>
      <c r="H249" s="63" t="s">
        <v>7436</v>
      </c>
      <c r="I249" s="63" t="s">
        <v>7437</v>
      </c>
      <c r="J249" s="171"/>
      <c r="K249" s="25"/>
      <c r="L249" s="50"/>
      <c r="M249" s="66"/>
      <c r="N249" s="55"/>
      <c r="O249" s="28"/>
      <c r="P249" s="28"/>
      <c r="Q249" s="50" t="s">
        <v>282</v>
      </c>
      <c r="R249" s="25"/>
      <c r="S249" s="50"/>
      <c r="T249" s="65"/>
      <c r="U249" s="65"/>
      <c r="V249" s="65"/>
      <c r="W249" s="65"/>
      <c r="X249" s="65"/>
      <c r="Y249" s="65"/>
      <c r="Z249" s="65"/>
      <c r="AA249" s="65"/>
    </row>
    <row r="250" spans="1:27" ht="15.75" customHeight="1">
      <c r="A250" s="344"/>
      <c r="B250" s="344"/>
      <c r="C250" s="61">
        <v>5</v>
      </c>
      <c r="D250" s="344"/>
      <c r="E250" s="63" t="s">
        <v>7438</v>
      </c>
      <c r="F250" s="61"/>
      <c r="G250" s="61"/>
      <c r="H250" s="63" t="s">
        <v>7439</v>
      </c>
      <c r="I250" s="63" t="s">
        <v>7440</v>
      </c>
      <c r="J250" s="171"/>
      <c r="K250" s="25"/>
      <c r="L250" s="50"/>
      <c r="M250" s="66"/>
      <c r="N250" s="55"/>
      <c r="O250" s="28"/>
      <c r="P250" s="28"/>
      <c r="Q250" s="50" t="s">
        <v>282</v>
      </c>
      <c r="R250" s="25"/>
      <c r="S250" s="50"/>
      <c r="T250" s="65"/>
      <c r="U250" s="65"/>
      <c r="V250" s="65"/>
      <c r="W250" s="65"/>
      <c r="X250" s="65"/>
      <c r="Y250" s="65"/>
      <c r="Z250" s="65"/>
      <c r="AA250" s="65"/>
    </row>
    <row r="251" spans="1:27" ht="15.75" customHeight="1">
      <c r="A251" s="344"/>
      <c r="B251" s="344"/>
      <c r="C251" s="61">
        <v>6</v>
      </c>
      <c r="D251" s="344"/>
      <c r="E251" s="63" t="s">
        <v>7441</v>
      </c>
      <c r="F251" s="61"/>
      <c r="G251" s="61"/>
      <c r="H251" s="63" t="s">
        <v>7442</v>
      </c>
      <c r="I251" s="63" t="s">
        <v>7431</v>
      </c>
      <c r="J251" s="171"/>
      <c r="K251" s="25"/>
      <c r="L251" s="50"/>
      <c r="M251" s="66"/>
      <c r="N251" s="55"/>
      <c r="O251" s="28"/>
      <c r="P251" s="28"/>
      <c r="Q251" s="50" t="s">
        <v>282</v>
      </c>
      <c r="R251" s="25"/>
      <c r="S251" s="50"/>
      <c r="T251" s="65"/>
      <c r="U251" s="65"/>
      <c r="V251" s="65"/>
      <c r="W251" s="65"/>
      <c r="X251" s="65"/>
      <c r="Y251" s="65"/>
      <c r="Z251" s="65"/>
      <c r="AA251" s="65"/>
    </row>
    <row r="252" spans="1:27" ht="15.75" customHeight="1">
      <c r="A252" s="344"/>
      <c r="B252" s="344"/>
      <c r="C252" s="61">
        <v>7</v>
      </c>
      <c r="D252" s="344"/>
      <c r="E252" s="63" t="s">
        <v>7443</v>
      </c>
      <c r="F252" s="61"/>
      <c r="G252" s="61"/>
      <c r="H252" s="63" t="s">
        <v>7444</v>
      </c>
      <c r="I252" s="63" t="s">
        <v>7445</v>
      </c>
      <c r="J252" s="171"/>
      <c r="K252" s="25"/>
      <c r="L252" s="50"/>
      <c r="M252" s="66"/>
      <c r="N252" s="55"/>
      <c r="O252" s="28"/>
      <c r="P252" s="28"/>
      <c r="Q252" s="50" t="s">
        <v>282</v>
      </c>
      <c r="R252" s="25"/>
      <c r="S252" s="50"/>
      <c r="T252" s="65"/>
      <c r="U252" s="65"/>
      <c r="V252" s="65"/>
      <c r="W252" s="65"/>
      <c r="X252" s="65"/>
      <c r="Y252" s="65"/>
      <c r="Z252" s="65"/>
      <c r="AA252" s="65"/>
    </row>
    <row r="253" spans="1:27" ht="26.25" customHeight="1">
      <c r="A253" s="345"/>
      <c r="B253" s="345"/>
      <c r="C253" s="61">
        <v>8</v>
      </c>
      <c r="D253" s="345"/>
      <c r="E253" s="63" t="s">
        <v>7446</v>
      </c>
      <c r="F253" s="61"/>
      <c r="G253" s="61"/>
      <c r="H253" s="63" t="s">
        <v>2</v>
      </c>
      <c r="I253" s="63" t="s">
        <v>2</v>
      </c>
      <c r="J253" s="171"/>
      <c r="K253" s="25"/>
      <c r="L253" s="50"/>
      <c r="M253" s="66"/>
      <c r="N253" s="55"/>
      <c r="O253" s="28"/>
      <c r="P253" s="28"/>
      <c r="Q253" s="50" t="s">
        <v>282</v>
      </c>
      <c r="R253" s="25"/>
      <c r="S253" s="50"/>
      <c r="T253" s="65"/>
      <c r="U253" s="65"/>
      <c r="V253" s="65"/>
      <c r="W253" s="65"/>
      <c r="X253" s="65"/>
      <c r="Y253" s="65"/>
      <c r="Z253" s="65"/>
      <c r="AA253" s="65"/>
    </row>
    <row r="254" spans="1:27" ht="15.75" customHeight="1">
      <c r="A254" s="368" t="s">
        <v>7447</v>
      </c>
      <c r="B254" s="350" t="s">
        <v>7448</v>
      </c>
      <c r="C254" s="31">
        <v>1</v>
      </c>
      <c r="D254" s="355" t="s">
        <v>7449</v>
      </c>
      <c r="E254" s="23" t="s">
        <v>7450</v>
      </c>
      <c r="F254" s="31" t="s">
        <v>361</v>
      </c>
      <c r="G254" s="31" t="s">
        <v>327</v>
      </c>
      <c r="H254" s="23" t="s">
        <v>7451</v>
      </c>
      <c r="I254" s="23" t="s">
        <v>7452</v>
      </c>
      <c r="J254" s="170"/>
      <c r="K254" s="25"/>
      <c r="L254" s="50"/>
      <c r="M254" s="66"/>
      <c r="N254" s="55"/>
      <c r="O254" s="28"/>
      <c r="P254" s="28"/>
      <c r="Q254" s="50" t="s">
        <v>282</v>
      </c>
      <c r="R254" s="25"/>
      <c r="S254" s="50"/>
      <c r="T254" s="65"/>
      <c r="U254" s="65"/>
      <c r="V254" s="65"/>
      <c r="W254" s="65"/>
      <c r="X254" s="65"/>
      <c r="Y254" s="65"/>
      <c r="Z254" s="65"/>
      <c r="AA254" s="65"/>
    </row>
    <row r="255" spans="1:27" ht="15.75" customHeight="1">
      <c r="A255" s="344"/>
      <c r="B255" s="344"/>
      <c r="C255" s="31">
        <v>2</v>
      </c>
      <c r="D255" s="344"/>
      <c r="E255" s="23" t="s">
        <v>7453</v>
      </c>
      <c r="F255" s="31" t="s">
        <v>361</v>
      </c>
      <c r="G255" s="31" t="s">
        <v>327</v>
      </c>
      <c r="H255" s="23" t="s">
        <v>7454</v>
      </c>
      <c r="I255" s="23" t="s">
        <v>7455</v>
      </c>
      <c r="J255" s="170"/>
      <c r="K255" s="25"/>
      <c r="L255" s="50"/>
      <c r="M255" s="66"/>
      <c r="N255" s="55"/>
      <c r="O255" s="28"/>
      <c r="P255" s="28"/>
      <c r="Q255" s="50" t="s">
        <v>282</v>
      </c>
      <c r="R255" s="25"/>
      <c r="S255" s="50"/>
      <c r="T255" s="65"/>
      <c r="U255" s="65"/>
      <c r="V255" s="65"/>
      <c r="W255" s="65"/>
      <c r="X255" s="65"/>
      <c r="Y255" s="65"/>
      <c r="Z255" s="65"/>
      <c r="AA255" s="65"/>
    </row>
    <row r="256" spans="1:27" ht="15.75" customHeight="1">
      <c r="A256" s="344"/>
      <c r="B256" s="344"/>
      <c r="C256" s="31">
        <v>3</v>
      </c>
      <c r="D256" s="344"/>
      <c r="E256" s="23" t="s">
        <v>7456</v>
      </c>
      <c r="F256" s="31" t="s">
        <v>361</v>
      </c>
      <c r="G256" s="31" t="s">
        <v>327</v>
      </c>
      <c r="H256" s="23" t="s">
        <v>7457</v>
      </c>
      <c r="I256" s="23" t="s">
        <v>7452</v>
      </c>
      <c r="J256" s="170"/>
      <c r="K256" s="25"/>
      <c r="L256" s="50"/>
      <c r="M256" s="66"/>
      <c r="N256" s="55"/>
      <c r="O256" s="28"/>
      <c r="P256" s="28"/>
      <c r="Q256" s="50" t="s">
        <v>282</v>
      </c>
      <c r="R256" s="25"/>
      <c r="S256" s="50"/>
      <c r="T256" s="65"/>
      <c r="U256" s="65"/>
      <c r="V256" s="65"/>
      <c r="W256" s="65"/>
      <c r="X256" s="65"/>
      <c r="Y256" s="65"/>
      <c r="Z256" s="65"/>
      <c r="AA256" s="65"/>
    </row>
    <row r="257" spans="1:27" ht="15.75" customHeight="1">
      <c r="A257" s="345"/>
      <c r="B257" s="345"/>
      <c r="C257" s="31">
        <v>4</v>
      </c>
      <c r="D257" s="345"/>
      <c r="E257" s="23" t="s">
        <v>7458</v>
      </c>
      <c r="F257" s="31" t="s">
        <v>361</v>
      </c>
      <c r="G257" s="31" t="s">
        <v>327</v>
      </c>
      <c r="H257" s="23" t="s">
        <v>7459</v>
      </c>
      <c r="I257" s="23" t="s">
        <v>7455</v>
      </c>
      <c r="J257" s="170"/>
      <c r="K257" s="25"/>
      <c r="L257" s="50"/>
      <c r="M257" s="66"/>
      <c r="N257" s="55"/>
      <c r="O257" s="28"/>
      <c r="P257" s="28"/>
      <c r="Q257" s="50" t="s">
        <v>282</v>
      </c>
      <c r="R257" s="25"/>
      <c r="S257" s="50"/>
      <c r="T257" s="65"/>
      <c r="U257" s="65"/>
      <c r="V257" s="65"/>
      <c r="W257" s="65"/>
      <c r="X257" s="65"/>
      <c r="Y257" s="65"/>
      <c r="Z257" s="65"/>
      <c r="AA257" s="65"/>
    </row>
    <row r="258" spans="1:27" ht="15.75" customHeight="1">
      <c r="A258" s="368" t="s">
        <v>7460</v>
      </c>
      <c r="B258" s="350" t="s">
        <v>7461</v>
      </c>
      <c r="C258" s="31">
        <v>1</v>
      </c>
      <c r="D258" s="355" t="s">
        <v>7462</v>
      </c>
      <c r="E258" s="23" t="s">
        <v>7463</v>
      </c>
      <c r="F258" s="31" t="s">
        <v>361</v>
      </c>
      <c r="G258" s="31" t="s">
        <v>327</v>
      </c>
      <c r="H258" s="23" t="s">
        <v>7464</v>
      </c>
      <c r="I258" s="23" t="s">
        <v>7465</v>
      </c>
      <c r="J258" s="170"/>
      <c r="K258" s="25" t="s">
        <v>294</v>
      </c>
      <c r="L258" s="50"/>
      <c r="M258" s="66"/>
      <c r="N258" s="55"/>
      <c r="O258" s="28"/>
      <c r="P258" s="28"/>
      <c r="Q258" s="50" t="s">
        <v>140</v>
      </c>
      <c r="R258" s="25"/>
      <c r="S258" s="50"/>
      <c r="T258" s="65"/>
      <c r="U258" s="65"/>
      <c r="V258" s="65"/>
      <c r="W258" s="65"/>
      <c r="X258" s="65"/>
      <c r="Y258" s="65"/>
      <c r="Z258" s="65"/>
      <c r="AA258" s="65"/>
    </row>
    <row r="259" spans="1:27" ht="15.75" customHeight="1">
      <c r="A259" s="344"/>
      <c r="B259" s="344"/>
      <c r="C259" s="31">
        <v>2</v>
      </c>
      <c r="D259" s="344"/>
      <c r="E259" s="23" t="s">
        <v>7466</v>
      </c>
      <c r="F259" s="31" t="s">
        <v>361</v>
      </c>
      <c r="G259" s="31" t="s">
        <v>327</v>
      </c>
      <c r="H259" s="23" t="s">
        <v>7467</v>
      </c>
      <c r="I259" s="23" t="s">
        <v>7468</v>
      </c>
      <c r="J259" s="170"/>
      <c r="K259" s="25" t="s">
        <v>294</v>
      </c>
      <c r="L259" s="50"/>
      <c r="M259" s="66"/>
      <c r="N259" s="55"/>
      <c r="O259" s="28"/>
      <c r="P259" s="28"/>
      <c r="Q259" s="50" t="s">
        <v>140</v>
      </c>
      <c r="R259" s="25"/>
      <c r="S259" s="50"/>
      <c r="T259" s="65"/>
      <c r="U259" s="65"/>
      <c r="V259" s="65"/>
      <c r="W259" s="65"/>
      <c r="X259" s="65"/>
      <c r="Y259" s="65"/>
      <c r="Z259" s="65"/>
      <c r="AA259" s="65"/>
    </row>
    <row r="260" spans="1:27" ht="15.75" customHeight="1">
      <c r="A260" s="344"/>
      <c r="B260" s="344"/>
      <c r="C260" s="31">
        <v>3</v>
      </c>
      <c r="D260" s="344"/>
      <c r="E260" s="23" t="s">
        <v>7469</v>
      </c>
      <c r="F260" s="31" t="s">
        <v>361</v>
      </c>
      <c r="G260" s="31" t="s">
        <v>327</v>
      </c>
      <c r="H260" s="23" t="s">
        <v>7470</v>
      </c>
      <c r="I260" s="23" t="s">
        <v>7465</v>
      </c>
      <c r="J260" s="170"/>
      <c r="K260" s="25" t="s">
        <v>294</v>
      </c>
      <c r="L260" s="50"/>
      <c r="M260" s="66"/>
      <c r="N260" s="55"/>
      <c r="O260" s="28"/>
      <c r="P260" s="28"/>
      <c r="Q260" s="50" t="s">
        <v>140</v>
      </c>
      <c r="R260" s="25"/>
      <c r="S260" s="50"/>
      <c r="T260" s="65"/>
      <c r="U260" s="65"/>
      <c r="V260" s="65"/>
      <c r="W260" s="65"/>
      <c r="X260" s="65"/>
      <c r="Y260" s="65"/>
      <c r="Z260" s="65"/>
      <c r="AA260" s="65"/>
    </row>
    <row r="261" spans="1:27" ht="15.75" customHeight="1">
      <c r="A261" s="345"/>
      <c r="B261" s="345"/>
      <c r="C261" s="31">
        <v>4</v>
      </c>
      <c r="D261" s="345"/>
      <c r="E261" s="23" t="s">
        <v>7471</v>
      </c>
      <c r="F261" s="31" t="s">
        <v>361</v>
      </c>
      <c r="G261" s="31" t="s">
        <v>327</v>
      </c>
      <c r="H261" s="23" t="s">
        <v>7472</v>
      </c>
      <c r="I261" s="23" t="s">
        <v>7468</v>
      </c>
      <c r="J261" s="170"/>
      <c r="K261" s="25" t="s">
        <v>294</v>
      </c>
      <c r="L261" s="50"/>
      <c r="M261" s="66"/>
      <c r="N261" s="55"/>
      <c r="O261" s="28"/>
      <c r="P261" s="28"/>
      <c r="Q261" s="50" t="s">
        <v>140</v>
      </c>
      <c r="R261" s="25"/>
      <c r="S261" s="50"/>
      <c r="T261" s="65"/>
      <c r="U261" s="65"/>
      <c r="V261" s="65"/>
      <c r="W261" s="65"/>
      <c r="X261" s="65"/>
      <c r="Y261" s="65"/>
      <c r="Z261" s="65"/>
      <c r="AA261" s="65"/>
    </row>
    <row r="262" spans="1:27" ht="15.75" customHeight="1">
      <c r="A262" s="359" t="s">
        <v>7473</v>
      </c>
      <c r="B262" s="360" t="s">
        <v>7474</v>
      </c>
      <c r="C262" s="31">
        <v>1</v>
      </c>
      <c r="D262" s="356" t="s">
        <v>7473</v>
      </c>
      <c r="E262" s="23" t="s">
        <v>7475</v>
      </c>
      <c r="F262" s="31" t="s">
        <v>361</v>
      </c>
      <c r="G262" s="31" t="s">
        <v>327</v>
      </c>
      <c r="H262" s="23" t="s">
        <v>7476</v>
      </c>
      <c r="I262" s="23" t="s">
        <v>7477</v>
      </c>
      <c r="J262" s="170"/>
      <c r="K262" s="25"/>
      <c r="L262" s="50"/>
      <c r="M262" s="66"/>
      <c r="N262" s="55"/>
      <c r="O262" s="28"/>
      <c r="P262" s="28"/>
      <c r="Q262" s="50" t="s">
        <v>282</v>
      </c>
      <c r="R262" s="25"/>
      <c r="S262" s="50"/>
      <c r="T262" s="65"/>
      <c r="U262" s="65"/>
      <c r="V262" s="65"/>
      <c r="W262" s="65"/>
      <c r="X262" s="65"/>
      <c r="Y262" s="65"/>
      <c r="Z262" s="65"/>
      <c r="AA262" s="65"/>
    </row>
    <row r="263" spans="1:27" ht="15.75" customHeight="1">
      <c r="A263" s="344"/>
      <c r="B263" s="344"/>
      <c r="C263" s="31">
        <v>2</v>
      </c>
      <c r="D263" s="344"/>
      <c r="E263" s="23" t="s">
        <v>7478</v>
      </c>
      <c r="F263" s="31" t="s">
        <v>361</v>
      </c>
      <c r="G263" s="31" t="s">
        <v>327</v>
      </c>
      <c r="H263" s="23" t="s">
        <v>7479</v>
      </c>
      <c r="I263" s="23" t="s">
        <v>7480</v>
      </c>
      <c r="J263" s="170"/>
      <c r="K263" s="25"/>
      <c r="L263" s="50"/>
      <c r="M263" s="66"/>
      <c r="N263" s="55"/>
      <c r="O263" s="28"/>
      <c r="P263" s="28"/>
      <c r="Q263" s="50" t="s">
        <v>282</v>
      </c>
      <c r="R263" s="25"/>
      <c r="S263" s="50"/>
      <c r="T263" s="65"/>
      <c r="U263" s="65"/>
      <c r="V263" s="65"/>
      <c r="W263" s="65"/>
      <c r="X263" s="65"/>
      <c r="Y263" s="65"/>
      <c r="Z263" s="65"/>
      <c r="AA263" s="65"/>
    </row>
    <row r="264" spans="1:27" ht="15.75" customHeight="1">
      <c r="A264" s="344"/>
      <c r="B264" s="344"/>
      <c r="C264" s="31">
        <v>3</v>
      </c>
      <c r="D264" s="344"/>
      <c r="E264" s="23" t="s">
        <v>7481</v>
      </c>
      <c r="F264" s="31" t="s">
        <v>361</v>
      </c>
      <c r="G264" s="31" t="s">
        <v>327</v>
      </c>
      <c r="H264" s="23" t="s">
        <v>7482</v>
      </c>
      <c r="I264" s="23" t="s">
        <v>7483</v>
      </c>
      <c r="J264" s="170"/>
      <c r="K264" s="25"/>
      <c r="L264" s="50"/>
      <c r="M264" s="66"/>
      <c r="N264" s="55"/>
      <c r="O264" s="28"/>
      <c r="P264" s="28"/>
      <c r="Q264" s="50" t="s">
        <v>282</v>
      </c>
      <c r="R264" s="25"/>
      <c r="S264" s="50"/>
      <c r="T264" s="65"/>
      <c r="U264" s="65"/>
      <c r="V264" s="65"/>
      <c r="W264" s="65"/>
      <c r="X264" s="65"/>
      <c r="Y264" s="65"/>
      <c r="Z264" s="65"/>
      <c r="AA264" s="65"/>
    </row>
    <row r="265" spans="1:27" ht="15.75" customHeight="1">
      <c r="A265" s="345"/>
      <c r="B265" s="345"/>
      <c r="C265" s="31">
        <v>4</v>
      </c>
      <c r="D265" s="345"/>
      <c r="E265" s="23" t="s">
        <v>7484</v>
      </c>
      <c r="F265" s="31" t="s">
        <v>361</v>
      </c>
      <c r="G265" s="31" t="s">
        <v>327</v>
      </c>
      <c r="H265" s="23" t="s">
        <v>7485</v>
      </c>
      <c r="I265" s="23" t="s">
        <v>7486</v>
      </c>
      <c r="J265" s="170"/>
      <c r="K265" s="25" t="s">
        <v>294</v>
      </c>
      <c r="L265" s="50"/>
      <c r="M265" s="66"/>
      <c r="N265" s="55"/>
      <c r="O265" s="28"/>
      <c r="P265" s="28"/>
      <c r="Q265" s="50" t="s">
        <v>140</v>
      </c>
      <c r="R265" s="25"/>
      <c r="S265" s="50"/>
      <c r="T265" s="65"/>
      <c r="U265" s="65"/>
      <c r="V265" s="65"/>
      <c r="W265" s="65"/>
      <c r="X265" s="65"/>
      <c r="Y265" s="65"/>
      <c r="Z265" s="65"/>
      <c r="AA265" s="65"/>
    </row>
    <row r="266" spans="1:27" ht="15.75" customHeight="1">
      <c r="A266" s="364" t="s">
        <v>7487</v>
      </c>
      <c r="B266" s="363" t="s">
        <v>7488</v>
      </c>
      <c r="C266" s="46">
        <v>1</v>
      </c>
      <c r="D266" s="364" t="s">
        <v>5</v>
      </c>
      <c r="E266" s="47" t="s">
        <v>7489</v>
      </c>
      <c r="F266" s="46" t="s">
        <v>361</v>
      </c>
      <c r="G266" s="46" t="s">
        <v>327</v>
      </c>
      <c r="H266" s="35" t="s">
        <v>7490</v>
      </c>
      <c r="I266" s="35" t="s">
        <v>7491</v>
      </c>
      <c r="J266" s="172"/>
      <c r="K266" s="25" t="s">
        <v>294</v>
      </c>
      <c r="L266" s="50"/>
      <c r="M266" s="66"/>
      <c r="N266" s="55"/>
      <c r="O266" s="28"/>
      <c r="P266" s="28"/>
      <c r="Q266" s="50" t="s">
        <v>140</v>
      </c>
      <c r="R266" s="25"/>
      <c r="S266" s="50"/>
      <c r="T266" s="65"/>
      <c r="U266" s="65"/>
      <c r="V266" s="65"/>
      <c r="W266" s="65"/>
      <c r="X266" s="65"/>
      <c r="Y266" s="65"/>
      <c r="Z266" s="65"/>
      <c r="AA266" s="65"/>
    </row>
    <row r="267" spans="1:27" ht="15.75" customHeight="1">
      <c r="A267" s="344"/>
      <c r="B267" s="344"/>
      <c r="C267" s="46">
        <v>2</v>
      </c>
      <c r="D267" s="344"/>
      <c r="E267" s="47" t="s">
        <v>7492</v>
      </c>
      <c r="F267" s="46" t="s">
        <v>361</v>
      </c>
      <c r="G267" s="46" t="s">
        <v>327</v>
      </c>
      <c r="H267" s="35" t="s">
        <v>7493</v>
      </c>
      <c r="I267" s="35" t="s">
        <v>7491</v>
      </c>
      <c r="J267" s="172"/>
      <c r="K267" s="25"/>
      <c r="L267" s="50"/>
      <c r="M267" s="66"/>
      <c r="N267" s="55"/>
      <c r="O267" s="28"/>
      <c r="P267" s="28"/>
      <c r="Q267" s="50" t="s">
        <v>282</v>
      </c>
      <c r="R267" s="25"/>
      <c r="S267" s="50"/>
      <c r="T267" s="65"/>
      <c r="U267" s="65"/>
      <c r="V267" s="65"/>
      <c r="W267" s="65"/>
      <c r="X267" s="65"/>
      <c r="Y267" s="65"/>
      <c r="Z267" s="65"/>
      <c r="AA267" s="65"/>
    </row>
    <row r="268" spans="1:27" ht="15.75" customHeight="1">
      <c r="A268" s="344"/>
      <c r="B268" s="344"/>
      <c r="C268" s="46">
        <v>3</v>
      </c>
      <c r="D268" s="344"/>
      <c r="E268" s="47" t="s">
        <v>7494</v>
      </c>
      <c r="F268" s="46" t="s">
        <v>361</v>
      </c>
      <c r="G268" s="46" t="s">
        <v>327</v>
      </c>
      <c r="H268" s="35" t="s">
        <v>7490</v>
      </c>
      <c r="I268" s="35" t="s">
        <v>7491</v>
      </c>
      <c r="J268" s="172"/>
      <c r="K268" s="25"/>
      <c r="L268" s="50"/>
      <c r="M268" s="66"/>
      <c r="N268" s="55"/>
      <c r="O268" s="28"/>
      <c r="P268" s="28"/>
      <c r="Q268" s="50" t="s">
        <v>282</v>
      </c>
      <c r="R268" s="25"/>
      <c r="S268" s="50"/>
      <c r="T268" s="65"/>
      <c r="U268" s="65"/>
      <c r="V268" s="65"/>
      <c r="W268" s="65"/>
      <c r="X268" s="65"/>
      <c r="Y268" s="65"/>
      <c r="Z268" s="65"/>
      <c r="AA268" s="65"/>
    </row>
    <row r="269" spans="1:27" ht="15.75" customHeight="1">
      <c r="A269" s="345"/>
      <c r="B269" s="345"/>
      <c r="C269" s="46">
        <v>4</v>
      </c>
      <c r="D269" s="345"/>
      <c r="E269" s="47" t="s">
        <v>7495</v>
      </c>
      <c r="F269" s="46" t="s">
        <v>361</v>
      </c>
      <c r="G269" s="46" t="s">
        <v>327</v>
      </c>
      <c r="H269" s="35" t="s">
        <v>7493</v>
      </c>
      <c r="I269" s="35" t="s">
        <v>7491</v>
      </c>
      <c r="J269" s="172"/>
      <c r="K269" s="25"/>
      <c r="L269" s="50"/>
      <c r="M269" s="66"/>
      <c r="N269" s="55"/>
      <c r="O269" s="28"/>
      <c r="P269" s="28"/>
      <c r="Q269" s="50" t="s">
        <v>282</v>
      </c>
      <c r="R269" s="25"/>
      <c r="S269" s="50"/>
      <c r="T269" s="65"/>
      <c r="U269" s="65"/>
      <c r="V269" s="65"/>
      <c r="W269" s="65"/>
      <c r="X269" s="65"/>
      <c r="Y269" s="65"/>
      <c r="Z269" s="65"/>
      <c r="AA269" s="65"/>
    </row>
    <row r="270" spans="1:27" ht="15.75" customHeight="1">
      <c r="A270" s="356" t="s">
        <v>7496</v>
      </c>
      <c r="B270" s="360" t="s">
        <v>7497</v>
      </c>
      <c r="C270" s="31">
        <v>1</v>
      </c>
      <c r="D270" s="356" t="s">
        <v>7496</v>
      </c>
      <c r="E270" s="23" t="s">
        <v>7498</v>
      </c>
      <c r="F270" s="31"/>
      <c r="G270" s="31"/>
      <c r="H270" s="39" t="s">
        <v>7499</v>
      </c>
      <c r="I270" s="39" t="s">
        <v>7500</v>
      </c>
      <c r="J270" s="289"/>
      <c r="K270" s="25"/>
      <c r="L270" s="50"/>
      <c r="M270" s="66"/>
      <c r="N270" s="55"/>
      <c r="O270" s="290"/>
      <c r="P270" s="290"/>
      <c r="Q270" s="50" t="s">
        <v>282</v>
      </c>
      <c r="R270" s="25"/>
      <c r="S270" s="50"/>
      <c r="T270" s="65"/>
      <c r="U270" s="65"/>
      <c r="V270" s="65"/>
      <c r="W270" s="65"/>
      <c r="X270" s="65"/>
      <c r="Y270" s="65"/>
      <c r="Z270" s="65"/>
      <c r="AA270" s="65"/>
    </row>
    <row r="271" spans="1:27" ht="15.75" customHeight="1">
      <c r="A271" s="344"/>
      <c r="B271" s="344"/>
      <c r="C271" s="31">
        <v>2</v>
      </c>
      <c r="D271" s="344"/>
      <c r="E271" s="23" t="s">
        <v>7501</v>
      </c>
      <c r="F271" s="31"/>
      <c r="G271" s="31"/>
      <c r="H271" s="39" t="s">
        <v>7502</v>
      </c>
      <c r="I271" s="39" t="s">
        <v>7503</v>
      </c>
      <c r="J271" s="289"/>
      <c r="K271" s="25"/>
      <c r="L271" s="50"/>
      <c r="M271" s="66"/>
      <c r="N271" s="55"/>
      <c r="O271" s="290"/>
      <c r="P271" s="290"/>
      <c r="Q271" s="50" t="s">
        <v>282</v>
      </c>
      <c r="R271" s="25"/>
      <c r="S271" s="50"/>
      <c r="T271" s="65"/>
      <c r="U271" s="65"/>
      <c r="V271" s="65"/>
      <c r="W271" s="65"/>
      <c r="X271" s="65"/>
      <c r="Y271" s="65"/>
      <c r="Z271" s="65"/>
      <c r="AA271" s="65"/>
    </row>
    <row r="272" spans="1:27" ht="15.75" customHeight="1">
      <c r="A272" s="344"/>
      <c r="B272" s="344"/>
      <c r="C272" s="31">
        <v>3</v>
      </c>
      <c r="D272" s="344"/>
      <c r="E272" s="23" t="s">
        <v>7504</v>
      </c>
      <c r="F272" s="31"/>
      <c r="G272" s="31"/>
      <c r="H272" s="39" t="s">
        <v>7505</v>
      </c>
      <c r="I272" s="39" t="s">
        <v>7506</v>
      </c>
      <c r="J272" s="289"/>
      <c r="K272" s="25"/>
      <c r="L272" s="50"/>
      <c r="M272" s="66"/>
      <c r="N272" s="55"/>
      <c r="O272" s="290"/>
      <c r="P272" s="290"/>
      <c r="Q272" s="50" t="s">
        <v>282</v>
      </c>
      <c r="R272" s="25"/>
      <c r="S272" s="50"/>
      <c r="T272" s="65"/>
      <c r="U272" s="65"/>
      <c r="V272" s="65"/>
      <c r="W272" s="65"/>
      <c r="X272" s="65"/>
      <c r="Y272" s="65"/>
      <c r="Z272" s="65"/>
      <c r="AA272" s="65"/>
    </row>
    <row r="273" spans="1:27" ht="15.75" customHeight="1">
      <c r="A273" s="344"/>
      <c r="B273" s="344"/>
      <c r="C273" s="31">
        <v>4</v>
      </c>
      <c r="D273" s="344"/>
      <c r="E273" s="23" t="s">
        <v>7507</v>
      </c>
      <c r="F273" s="289"/>
      <c r="G273" s="289"/>
      <c r="H273" s="39" t="s">
        <v>7508</v>
      </c>
      <c r="I273" s="39" t="s">
        <v>7509</v>
      </c>
      <c r="J273" s="289"/>
      <c r="K273" s="25"/>
      <c r="L273" s="50"/>
      <c r="M273" s="66"/>
      <c r="N273" s="55"/>
      <c r="O273" s="290"/>
      <c r="P273" s="290"/>
      <c r="Q273" s="50" t="s">
        <v>282</v>
      </c>
      <c r="R273" s="25"/>
      <c r="S273" s="50"/>
      <c r="T273" s="65"/>
      <c r="U273" s="65"/>
      <c r="V273" s="65"/>
      <c r="W273" s="65"/>
      <c r="X273" s="65"/>
      <c r="Y273" s="65"/>
      <c r="Z273" s="65"/>
      <c r="AA273" s="65"/>
    </row>
    <row r="274" spans="1:27" ht="15.75" customHeight="1">
      <c r="A274" s="344"/>
      <c r="B274" s="344"/>
      <c r="C274" s="31">
        <v>5</v>
      </c>
      <c r="D274" s="344"/>
      <c r="E274" s="23" t="s">
        <v>7510</v>
      </c>
      <c r="F274" s="289"/>
      <c r="G274" s="289"/>
      <c r="H274" s="39" t="s">
        <v>7511</v>
      </c>
      <c r="I274" s="39" t="s">
        <v>7512</v>
      </c>
      <c r="J274" s="289"/>
      <c r="K274" s="25"/>
      <c r="L274" s="50"/>
      <c r="M274" s="66"/>
      <c r="N274" s="55"/>
      <c r="O274" s="290"/>
      <c r="P274" s="290"/>
      <c r="Q274" s="50" t="s">
        <v>282</v>
      </c>
      <c r="R274" s="25"/>
      <c r="S274" s="50"/>
      <c r="T274" s="65"/>
      <c r="U274" s="65"/>
      <c r="V274" s="65"/>
      <c r="W274" s="65"/>
      <c r="X274" s="65"/>
      <c r="Y274" s="65"/>
      <c r="Z274" s="65"/>
      <c r="AA274" s="65"/>
    </row>
    <row r="275" spans="1:27" ht="15.75" customHeight="1">
      <c r="A275" s="344"/>
      <c r="B275" s="344"/>
      <c r="C275" s="31">
        <v>6</v>
      </c>
      <c r="D275" s="344"/>
      <c r="E275" s="23" t="s">
        <v>7513</v>
      </c>
      <c r="F275" s="289"/>
      <c r="G275" s="289"/>
      <c r="H275" s="39" t="s">
        <v>7514</v>
      </c>
      <c r="I275" s="39" t="s">
        <v>7515</v>
      </c>
      <c r="J275" s="289"/>
      <c r="K275" s="25"/>
      <c r="L275" s="50"/>
      <c r="M275" s="66"/>
      <c r="N275" s="55"/>
      <c r="O275" s="290"/>
      <c r="P275" s="290"/>
      <c r="Q275" s="50" t="s">
        <v>282</v>
      </c>
      <c r="R275" s="25"/>
      <c r="S275" s="50"/>
      <c r="T275" s="65"/>
      <c r="U275" s="65"/>
      <c r="V275" s="65"/>
      <c r="W275" s="65"/>
      <c r="X275" s="65"/>
      <c r="Y275" s="65"/>
      <c r="Z275" s="65"/>
      <c r="AA275" s="65"/>
    </row>
    <row r="276" spans="1:27" ht="15.75" customHeight="1">
      <c r="A276" s="344"/>
      <c r="B276" s="344"/>
      <c r="C276" s="31">
        <v>7</v>
      </c>
      <c r="D276" s="344"/>
      <c r="E276" s="23" t="s">
        <v>7516</v>
      </c>
      <c r="F276" s="289"/>
      <c r="G276" s="289"/>
      <c r="H276" s="39" t="s">
        <v>7517</v>
      </c>
      <c r="I276" s="39" t="s">
        <v>7518</v>
      </c>
      <c r="J276" s="289"/>
      <c r="K276" s="25"/>
      <c r="L276" s="50"/>
      <c r="M276" s="66"/>
      <c r="N276" s="55"/>
      <c r="O276" s="290"/>
      <c r="P276" s="290"/>
      <c r="Q276" s="50" t="s">
        <v>282</v>
      </c>
      <c r="R276" s="25"/>
      <c r="S276" s="50"/>
      <c r="T276" s="65"/>
      <c r="U276" s="65"/>
      <c r="V276" s="65"/>
      <c r="W276" s="65"/>
      <c r="X276" s="65"/>
      <c r="Y276" s="65"/>
      <c r="Z276" s="65"/>
      <c r="AA276" s="65"/>
    </row>
    <row r="277" spans="1:27" ht="15.75" customHeight="1">
      <c r="A277" s="344"/>
      <c r="B277" s="344"/>
      <c r="C277" s="31">
        <v>8</v>
      </c>
      <c r="D277" s="344"/>
      <c r="E277" s="23" t="s">
        <v>7507</v>
      </c>
      <c r="F277" s="289"/>
      <c r="G277" s="289"/>
      <c r="H277" s="39" t="s">
        <v>7519</v>
      </c>
      <c r="I277" s="39" t="s">
        <v>7520</v>
      </c>
      <c r="J277" s="289"/>
      <c r="K277" s="25"/>
      <c r="L277" s="50"/>
      <c r="M277" s="66"/>
      <c r="N277" s="55"/>
      <c r="O277" s="290"/>
      <c r="P277" s="290"/>
      <c r="Q277" s="50" t="s">
        <v>282</v>
      </c>
      <c r="R277" s="25"/>
      <c r="S277" s="50"/>
      <c r="T277" s="65"/>
      <c r="U277" s="65"/>
      <c r="V277" s="65"/>
      <c r="W277" s="65"/>
      <c r="X277" s="65"/>
      <c r="Y277" s="65"/>
      <c r="Z277" s="65"/>
      <c r="AA277" s="65"/>
    </row>
    <row r="278" spans="1:27" ht="15.75" customHeight="1">
      <c r="A278" s="344"/>
      <c r="B278" s="344"/>
      <c r="C278" s="31">
        <v>9</v>
      </c>
      <c r="D278" s="344"/>
      <c r="E278" s="23" t="s">
        <v>7521</v>
      </c>
      <c r="F278" s="289"/>
      <c r="G278" s="289"/>
      <c r="H278" s="39" t="s">
        <v>7522</v>
      </c>
      <c r="I278" s="39" t="s">
        <v>7523</v>
      </c>
      <c r="J278" s="289"/>
      <c r="K278" s="25"/>
      <c r="L278" s="50"/>
      <c r="M278" s="66"/>
      <c r="N278" s="55"/>
      <c r="O278" s="290"/>
      <c r="P278" s="290"/>
      <c r="Q278" s="50" t="s">
        <v>282</v>
      </c>
      <c r="R278" s="25"/>
      <c r="S278" s="50"/>
      <c r="T278" s="65"/>
      <c r="U278" s="65"/>
      <c r="V278" s="65"/>
      <c r="W278" s="65"/>
      <c r="X278" s="65"/>
      <c r="Y278" s="65"/>
      <c r="Z278" s="65"/>
      <c r="AA278" s="65"/>
    </row>
    <row r="279" spans="1:27" ht="15.75" customHeight="1">
      <c r="A279" s="345"/>
      <c r="B279" s="344"/>
      <c r="C279" s="31">
        <v>10</v>
      </c>
      <c r="D279" s="345"/>
      <c r="E279" s="23" t="s">
        <v>7524</v>
      </c>
      <c r="F279" s="289"/>
      <c r="G279" s="289"/>
      <c r="H279" s="39" t="s">
        <v>7525</v>
      </c>
      <c r="I279" s="39" t="s">
        <v>7526</v>
      </c>
      <c r="J279" s="289"/>
      <c r="K279" s="25"/>
      <c r="L279" s="50"/>
      <c r="M279" s="176"/>
      <c r="N279" s="55"/>
      <c r="O279" s="290"/>
      <c r="P279" s="290"/>
      <c r="Q279" s="50" t="s">
        <v>282</v>
      </c>
      <c r="R279" s="25"/>
      <c r="S279" s="50"/>
      <c r="T279" s="65"/>
      <c r="U279" s="65"/>
      <c r="V279" s="65"/>
      <c r="W279" s="65"/>
      <c r="X279" s="65"/>
      <c r="Y279" s="65"/>
      <c r="Z279" s="65"/>
      <c r="AA279" s="65"/>
    </row>
    <row r="280" spans="1:27" ht="15.75" customHeight="1">
      <c r="A280" s="37" t="s">
        <v>7527</v>
      </c>
      <c r="B280" s="345"/>
      <c r="C280" s="190">
        <v>11</v>
      </c>
      <c r="D280" s="38" t="s">
        <v>7527</v>
      </c>
      <c r="E280" s="102" t="s">
        <v>7528</v>
      </c>
      <c r="F280" s="291"/>
      <c r="G280" s="190"/>
      <c r="H280" s="292" t="s">
        <v>7529</v>
      </c>
      <c r="I280" s="37" t="s">
        <v>7530</v>
      </c>
      <c r="J280" s="292"/>
      <c r="K280" s="25"/>
      <c r="L280" s="149"/>
      <c r="M280" s="66"/>
      <c r="N280" s="55"/>
      <c r="O280" s="293"/>
      <c r="P280" s="293"/>
      <c r="Q280" s="50" t="s">
        <v>282</v>
      </c>
      <c r="R280" s="25"/>
      <c r="S280" s="50"/>
      <c r="T280" s="65"/>
      <c r="U280" s="65"/>
      <c r="V280" s="65"/>
      <c r="W280" s="65"/>
      <c r="X280" s="65"/>
      <c r="Y280" s="65"/>
      <c r="Z280" s="65"/>
      <c r="AA280" s="65"/>
    </row>
    <row r="281" spans="1:27" ht="15.75" customHeight="1">
      <c r="A281" s="356" t="s">
        <v>29</v>
      </c>
      <c r="B281" s="360" t="s">
        <v>80</v>
      </c>
      <c r="C281" s="31">
        <v>1</v>
      </c>
      <c r="D281" s="356" t="s">
        <v>29</v>
      </c>
      <c r="E281" s="23" t="s">
        <v>7531</v>
      </c>
      <c r="F281" s="31" t="s">
        <v>361</v>
      </c>
      <c r="G281" s="31" t="s">
        <v>524</v>
      </c>
      <c r="H281" s="39" t="s">
        <v>7532</v>
      </c>
      <c r="I281" s="39" t="s">
        <v>7533</v>
      </c>
      <c r="J281" s="289"/>
      <c r="K281" s="25" t="s">
        <v>294</v>
      </c>
      <c r="L281" s="50"/>
      <c r="M281" s="66"/>
      <c r="N281" s="55"/>
      <c r="O281" s="290"/>
      <c r="P281" s="290"/>
      <c r="Q281" s="50" t="s">
        <v>140</v>
      </c>
      <c r="R281" s="25"/>
      <c r="S281" s="50"/>
      <c r="T281" s="65"/>
      <c r="U281" s="65"/>
      <c r="V281" s="65"/>
      <c r="W281" s="65"/>
      <c r="X281" s="65"/>
      <c r="Y281" s="65"/>
      <c r="Z281" s="65"/>
      <c r="AA281" s="65"/>
    </row>
    <row r="282" spans="1:27" ht="15.75" customHeight="1">
      <c r="A282" s="344"/>
      <c r="B282" s="344"/>
      <c r="C282" s="31">
        <v>2</v>
      </c>
      <c r="D282" s="344"/>
      <c r="E282" s="23" t="s">
        <v>7534</v>
      </c>
      <c r="F282" s="31" t="s">
        <v>361</v>
      </c>
      <c r="G282" s="31" t="s">
        <v>524</v>
      </c>
      <c r="H282" s="39" t="s">
        <v>7535</v>
      </c>
      <c r="I282" s="39" t="s">
        <v>7536</v>
      </c>
      <c r="J282" s="289"/>
      <c r="K282" s="25"/>
      <c r="L282" s="50"/>
      <c r="M282" s="66"/>
      <c r="N282" s="55"/>
      <c r="O282" s="290"/>
      <c r="P282" s="290"/>
      <c r="Q282" s="50" t="s">
        <v>282</v>
      </c>
      <c r="R282" s="25"/>
      <c r="S282" s="50"/>
      <c r="T282" s="65"/>
      <c r="U282" s="65"/>
      <c r="V282" s="65"/>
      <c r="W282" s="65"/>
      <c r="X282" s="65"/>
      <c r="Y282" s="65"/>
      <c r="Z282" s="65"/>
      <c r="AA282" s="65"/>
    </row>
    <row r="283" spans="1:27" ht="15.75" customHeight="1">
      <c r="A283" s="344"/>
      <c r="B283" s="344"/>
      <c r="C283" s="31">
        <v>3</v>
      </c>
      <c r="D283" s="344"/>
      <c r="E283" s="365" t="s">
        <v>7537</v>
      </c>
      <c r="F283" s="371" t="s">
        <v>361</v>
      </c>
      <c r="G283" s="371" t="s">
        <v>524</v>
      </c>
      <c r="H283" s="73" t="s">
        <v>7538</v>
      </c>
      <c r="I283" s="73" t="s">
        <v>7539</v>
      </c>
      <c r="J283" s="79"/>
      <c r="K283" s="25"/>
      <c r="L283" s="50"/>
      <c r="M283" s="66"/>
      <c r="N283" s="55"/>
      <c r="O283" s="290"/>
      <c r="P283" s="290"/>
      <c r="Q283" s="50" t="s">
        <v>282</v>
      </c>
      <c r="R283" s="25"/>
      <c r="S283" s="50"/>
      <c r="T283" s="65"/>
      <c r="U283" s="65"/>
      <c r="V283" s="65"/>
      <c r="W283" s="65"/>
      <c r="X283" s="65"/>
      <c r="Y283" s="65"/>
      <c r="Z283" s="65"/>
      <c r="AA283" s="65"/>
    </row>
    <row r="284" spans="1:27" ht="15.75" customHeight="1">
      <c r="A284" s="344"/>
      <c r="B284" s="344"/>
      <c r="C284" s="31">
        <v>4</v>
      </c>
      <c r="D284" s="344"/>
      <c r="E284" s="345"/>
      <c r="F284" s="345"/>
      <c r="G284" s="345"/>
      <c r="H284" s="73" t="s">
        <v>7540</v>
      </c>
      <c r="I284" s="73" t="s">
        <v>7541</v>
      </c>
      <c r="J284" s="79"/>
      <c r="K284" s="25"/>
      <c r="L284" s="50"/>
      <c r="M284" s="66"/>
      <c r="N284" s="55"/>
      <c r="O284" s="290"/>
      <c r="P284" s="290"/>
      <c r="Q284" s="50" t="s">
        <v>282</v>
      </c>
      <c r="R284" s="25"/>
      <c r="S284" s="50"/>
      <c r="T284" s="65"/>
      <c r="U284" s="65"/>
      <c r="V284" s="65"/>
      <c r="W284" s="65"/>
      <c r="X284" s="65"/>
      <c r="Y284" s="65"/>
      <c r="Z284" s="65"/>
      <c r="AA284" s="65"/>
    </row>
    <row r="285" spans="1:27" ht="15.75" customHeight="1">
      <c r="A285" s="344"/>
      <c r="B285" s="344"/>
      <c r="C285" s="31">
        <v>5</v>
      </c>
      <c r="D285" s="344"/>
      <c r="E285" s="365" t="s">
        <v>7542</v>
      </c>
      <c r="F285" s="371" t="s">
        <v>361</v>
      </c>
      <c r="G285" s="371" t="s">
        <v>524</v>
      </c>
      <c r="H285" s="73" t="s">
        <v>7543</v>
      </c>
      <c r="I285" s="73" t="s">
        <v>7544</v>
      </c>
      <c r="J285" s="79"/>
      <c r="K285" s="25"/>
      <c r="L285" s="50"/>
      <c r="M285" s="66"/>
      <c r="N285" s="55"/>
      <c r="O285" s="290"/>
      <c r="P285" s="290"/>
      <c r="Q285" s="50" t="s">
        <v>282</v>
      </c>
      <c r="R285" s="25"/>
      <c r="S285" s="50"/>
      <c r="T285" s="65"/>
      <c r="U285" s="65"/>
      <c r="V285" s="65"/>
      <c r="W285" s="65"/>
      <c r="X285" s="65"/>
      <c r="Y285" s="65"/>
      <c r="Z285" s="65"/>
      <c r="AA285" s="65"/>
    </row>
    <row r="286" spans="1:27" ht="15.75" customHeight="1">
      <c r="A286" s="344"/>
      <c r="B286" s="344"/>
      <c r="C286" s="31">
        <v>6</v>
      </c>
      <c r="D286" s="344"/>
      <c r="E286" s="345"/>
      <c r="F286" s="345"/>
      <c r="G286" s="345"/>
      <c r="H286" s="73" t="s">
        <v>7540</v>
      </c>
      <c r="I286" s="73" t="s">
        <v>7545</v>
      </c>
      <c r="J286" s="79"/>
      <c r="K286" s="25"/>
      <c r="L286" s="50"/>
      <c r="M286" s="66"/>
      <c r="N286" s="55"/>
      <c r="O286" s="290"/>
      <c r="P286" s="290"/>
      <c r="Q286" s="50" t="s">
        <v>282</v>
      </c>
      <c r="R286" s="25"/>
      <c r="S286" s="50"/>
      <c r="T286" s="65"/>
      <c r="U286" s="65"/>
      <c r="V286" s="65"/>
      <c r="W286" s="65"/>
      <c r="X286" s="65"/>
      <c r="Y286" s="65"/>
      <c r="Z286" s="65"/>
      <c r="AA286" s="65"/>
    </row>
    <row r="287" spans="1:27" ht="15.75" customHeight="1">
      <c r="A287" s="344"/>
      <c r="B287" s="344"/>
      <c r="C287" s="31">
        <v>7</v>
      </c>
      <c r="D287" s="344"/>
      <c r="E287" s="35" t="s">
        <v>7546</v>
      </c>
      <c r="F287" s="46" t="s">
        <v>361</v>
      </c>
      <c r="G287" s="46" t="s">
        <v>524</v>
      </c>
      <c r="H287" s="73" t="s">
        <v>7547</v>
      </c>
      <c r="I287" s="73" t="s">
        <v>7548</v>
      </c>
      <c r="J287" s="79"/>
      <c r="K287" s="25" t="s">
        <v>294</v>
      </c>
      <c r="L287" s="50"/>
      <c r="M287" s="66"/>
      <c r="N287" s="55"/>
      <c r="O287" s="290"/>
      <c r="P287" s="290"/>
      <c r="Q287" s="50" t="s">
        <v>140</v>
      </c>
      <c r="R287" s="25"/>
      <c r="S287" s="50"/>
      <c r="T287" s="65"/>
      <c r="U287" s="65"/>
      <c r="V287" s="65"/>
      <c r="W287" s="65"/>
      <c r="X287" s="65"/>
      <c r="Y287" s="65"/>
      <c r="Z287" s="65"/>
      <c r="AA287" s="65"/>
    </row>
    <row r="288" spans="1:27" ht="15.75" customHeight="1">
      <c r="A288" s="344"/>
      <c r="B288" s="344"/>
      <c r="C288" s="31">
        <v>8</v>
      </c>
      <c r="D288" s="344"/>
      <c r="E288" s="35" t="s">
        <v>7549</v>
      </c>
      <c r="F288" s="46" t="s">
        <v>361</v>
      </c>
      <c r="G288" s="46" t="s">
        <v>524</v>
      </c>
      <c r="H288" s="73" t="s">
        <v>7550</v>
      </c>
      <c r="I288" s="73" t="s">
        <v>7551</v>
      </c>
      <c r="J288" s="79"/>
      <c r="K288" s="25" t="s">
        <v>294</v>
      </c>
      <c r="L288" s="50"/>
      <c r="M288" s="66"/>
      <c r="N288" s="55"/>
      <c r="O288" s="290"/>
      <c r="P288" s="290"/>
      <c r="Q288" s="50" t="s">
        <v>140</v>
      </c>
      <c r="R288" s="25"/>
      <c r="S288" s="50"/>
      <c r="T288" s="65"/>
      <c r="U288" s="65"/>
      <c r="V288" s="65"/>
      <c r="W288" s="65"/>
      <c r="X288" s="65"/>
      <c r="Y288" s="65"/>
      <c r="Z288" s="65"/>
      <c r="AA288" s="65"/>
    </row>
    <row r="289" spans="1:27" ht="15.75" customHeight="1">
      <c r="A289" s="344"/>
      <c r="B289" s="344"/>
      <c r="C289" s="31">
        <v>9</v>
      </c>
      <c r="D289" s="344"/>
      <c r="E289" s="35" t="s">
        <v>7552</v>
      </c>
      <c r="F289" s="46" t="s">
        <v>361</v>
      </c>
      <c r="G289" s="46" t="s">
        <v>524</v>
      </c>
      <c r="H289" s="73" t="s">
        <v>7553</v>
      </c>
      <c r="I289" s="73" t="s">
        <v>7554</v>
      </c>
      <c r="J289" s="79"/>
      <c r="K289" s="25" t="s">
        <v>294</v>
      </c>
      <c r="L289" s="50"/>
      <c r="M289" s="66"/>
      <c r="N289" s="55"/>
      <c r="O289" s="290"/>
      <c r="P289" s="290"/>
      <c r="Q289" s="50" t="s">
        <v>140</v>
      </c>
      <c r="R289" s="25"/>
      <c r="S289" s="50"/>
      <c r="T289" s="65"/>
      <c r="U289" s="65"/>
      <c r="V289" s="65"/>
      <c r="W289" s="65"/>
      <c r="X289" s="65"/>
      <c r="Y289" s="65"/>
      <c r="Z289" s="65"/>
      <c r="AA289" s="65"/>
    </row>
    <row r="290" spans="1:27" ht="67.5" customHeight="1">
      <c r="A290" s="344"/>
      <c r="B290" s="344"/>
      <c r="C290" s="31">
        <v>10</v>
      </c>
      <c r="D290" s="344"/>
      <c r="E290" s="35" t="s">
        <v>7555</v>
      </c>
      <c r="F290" s="46" t="s">
        <v>361</v>
      </c>
      <c r="G290" s="46" t="s">
        <v>524</v>
      </c>
      <c r="H290" s="73" t="s">
        <v>7556</v>
      </c>
      <c r="I290" s="73" t="s">
        <v>7557</v>
      </c>
      <c r="J290" s="79"/>
      <c r="K290" s="25"/>
      <c r="L290" s="50"/>
      <c r="M290" s="66"/>
      <c r="N290" s="55"/>
      <c r="O290" s="290"/>
      <c r="P290" s="290"/>
      <c r="Q290" s="50" t="s">
        <v>282</v>
      </c>
      <c r="R290" s="25"/>
      <c r="S290" s="50"/>
      <c r="T290" s="65"/>
      <c r="U290" s="65"/>
      <c r="V290" s="65"/>
      <c r="W290" s="65"/>
      <c r="X290" s="65"/>
      <c r="Y290" s="65"/>
      <c r="Z290" s="65"/>
      <c r="AA290" s="65"/>
    </row>
    <row r="291" spans="1:27" ht="15.75" customHeight="1">
      <c r="A291" s="344"/>
      <c r="B291" s="344"/>
      <c r="C291" s="31">
        <v>11</v>
      </c>
      <c r="D291" s="344"/>
      <c r="E291" s="35" t="s">
        <v>7558</v>
      </c>
      <c r="F291" s="46" t="s">
        <v>361</v>
      </c>
      <c r="G291" s="46" t="s">
        <v>524</v>
      </c>
      <c r="H291" s="73" t="s">
        <v>7559</v>
      </c>
      <c r="I291" s="73" t="s">
        <v>7560</v>
      </c>
      <c r="J291" s="79"/>
      <c r="K291" s="25" t="s">
        <v>294</v>
      </c>
      <c r="L291" s="50"/>
      <c r="M291" s="66"/>
      <c r="N291" s="55"/>
      <c r="O291" s="290"/>
      <c r="P291" s="290"/>
      <c r="Q291" s="50" t="s">
        <v>140</v>
      </c>
      <c r="R291" s="25"/>
      <c r="S291" s="50"/>
      <c r="T291" s="65"/>
      <c r="U291" s="65"/>
      <c r="V291" s="65"/>
      <c r="W291" s="65"/>
      <c r="X291" s="65"/>
      <c r="Y291" s="65"/>
      <c r="Z291" s="65"/>
      <c r="AA291" s="65"/>
    </row>
    <row r="292" spans="1:27" ht="15.75" customHeight="1">
      <c r="A292" s="344"/>
      <c r="B292" s="344"/>
      <c r="C292" s="31">
        <v>12</v>
      </c>
      <c r="D292" s="344"/>
      <c r="E292" s="23" t="s">
        <v>7561</v>
      </c>
      <c r="F292" s="31" t="s">
        <v>361</v>
      </c>
      <c r="G292" s="31" t="s">
        <v>524</v>
      </c>
      <c r="H292" s="73" t="s">
        <v>7535</v>
      </c>
      <c r="I292" s="80" t="s">
        <v>7562</v>
      </c>
      <c r="J292" s="84"/>
      <c r="K292" s="25"/>
      <c r="L292" s="50"/>
      <c r="M292" s="66"/>
      <c r="N292" s="55"/>
      <c r="O292" s="290"/>
      <c r="P292" s="290"/>
      <c r="Q292" s="50" t="s">
        <v>282</v>
      </c>
      <c r="R292" s="25"/>
      <c r="S292" s="50"/>
      <c r="T292" s="65"/>
      <c r="U292" s="65"/>
      <c r="V292" s="65"/>
      <c r="W292" s="65"/>
      <c r="X292" s="65"/>
      <c r="Y292" s="65"/>
      <c r="Z292" s="65"/>
      <c r="AA292" s="65"/>
    </row>
    <row r="293" spans="1:27" ht="15.75" customHeight="1">
      <c r="A293" s="344"/>
      <c r="B293" s="344"/>
      <c r="C293" s="31">
        <v>13</v>
      </c>
      <c r="D293" s="344"/>
      <c r="E293" s="356" t="s">
        <v>7563</v>
      </c>
      <c r="F293" s="360" t="s">
        <v>361</v>
      </c>
      <c r="G293" s="360" t="s">
        <v>524</v>
      </c>
      <c r="H293" s="73" t="s">
        <v>7564</v>
      </c>
      <c r="I293" s="80" t="s">
        <v>7565</v>
      </c>
      <c r="J293" s="84"/>
      <c r="K293" s="25"/>
      <c r="L293" s="50"/>
      <c r="M293" s="66"/>
      <c r="N293" s="55"/>
      <c r="O293" s="290"/>
      <c r="P293" s="290"/>
      <c r="Q293" s="50" t="s">
        <v>282</v>
      </c>
      <c r="R293" s="25"/>
      <c r="S293" s="50"/>
      <c r="T293" s="65"/>
      <c r="U293" s="65"/>
      <c r="V293" s="65"/>
      <c r="W293" s="65"/>
      <c r="X293" s="65"/>
      <c r="Y293" s="65"/>
      <c r="Z293" s="65"/>
      <c r="AA293" s="65"/>
    </row>
    <row r="294" spans="1:27" ht="15.75" customHeight="1">
      <c r="A294" s="344"/>
      <c r="B294" s="344"/>
      <c r="C294" s="31">
        <v>14</v>
      </c>
      <c r="D294" s="344"/>
      <c r="E294" s="345"/>
      <c r="F294" s="345"/>
      <c r="G294" s="345"/>
      <c r="H294" s="73" t="s">
        <v>7540</v>
      </c>
      <c r="I294" s="73" t="s">
        <v>7541</v>
      </c>
      <c r="J294" s="79"/>
      <c r="K294" s="25"/>
      <c r="L294" s="50"/>
      <c r="M294" s="66"/>
      <c r="N294" s="55"/>
      <c r="O294" s="290"/>
      <c r="P294" s="290"/>
      <c r="Q294" s="50" t="s">
        <v>282</v>
      </c>
      <c r="R294" s="25"/>
      <c r="S294" s="50"/>
      <c r="T294" s="65"/>
      <c r="U294" s="65"/>
      <c r="V294" s="65"/>
      <c r="W294" s="65"/>
      <c r="X294" s="65"/>
      <c r="Y294" s="65"/>
      <c r="Z294" s="65"/>
      <c r="AA294" s="65"/>
    </row>
    <row r="295" spans="1:27" ht="15.75" customHeight="1">
      <c r="A295" s="344"/>
      <c r="B295" s="344"/>
      <c r="C295" s="31">
        <v>15</v>
      </c>
      <c r="D295" s="344"/>
      <c r="E295" s="356" t="s">
        <v>7566</v>
      </c>
      <c r="F295" s="360" t="s">
        <v>361</v>
      </c>
      <c r="G295" s="360" t="s">
        <v>524</v>
      </c>
      <c r="H295" s="73" t="s">
        <v>7543</v>
      </c>
      <c r="I295" s="80" t="s">
        <v>7567</v>
      </c>
      <c r="J295" s="84"/>
      <c r="K295" s="25"/>
      <c r="L295" s="50"/>
      <c r="M295" s="66"/>
      <c r="N295" s="55"/>
      <c r="O295" s="290"/>
      <c r="P295" s="290"/>
      <c r="Q295" s="50" t="s">
        <v>282</v>
      </c>
      <c r="R295" s="25"/>
      <c r="S295" s="50"/>
      <c r="T295" s="65"/>
      <c r="U295" s="65"/>
      <c r="V295" s="65"/>
      <c r="W295" s="65"/>
      <c r="X295" s="65"/>
      <c r="Y295" s="65"/>
      <c r="Z295" s="65"/>
      <c r="AA295" s="65"/>
    </row>
    <row r="296" spans="1:27" ht="15.75" customHeight="1">
      <c r="A296" s="344"/>
      <c r="B296" s="344"/>
      <c r="C296" s="31">
        <v>16</v>
      </c>
      <c r="D296" s="344"/>
      <c r="E296" s="345"/>
      <c r="F296" s="345"/>
      <c r="G296" s="345"/>
      <c r="H296" s="73" t="s">
        <v>7540</v>
      </c>
      <c r="I296" s="73" t="s">
        <v>7545</v>
      </c>
      <c r="J296" s="79"/>
      <c r="K296" s="25"/>
      <c r="L296" s="50"/>
      <c r="M296" s="66"/>
      <c r="N296" s="55"/>
      <c r="O296" s="290"/>
      <c r="P296" s="290"/>
      <c r="Q296" s="50" t="s">
        <v>282</v>
      </c>
      <c r="R296" s="25"/>
      <c r="S296" s="50"/>
      <c r="T296" s="65"/>
      <c r="U296" s="65"/>
      <c r="V296" s="65"/>
      <c r="W296" s="65"/>
      <c r="X296" s="65"/>
      <c r="Y296" s="65"/>
      <c r="Z296" s="65"/>
      <c r="AA296" s="65"/>
    </row>
    <row r="297" spans="1:27" ht="15.75" customHeight="1">
      <c r="A297" s="344"/>
      <c r="B297" s="344"/>
      <c r="C297" s="31">
        <v>17</v>
      </c>
      <c r="D297" s="344"/>
      <c r="E297" s="23" t="s">
        <v>7568</v>
      </c>
      <c r="F297" s="31" t="s">
        <v>361</v>
      </c>
      <c r="G297" s="31" t="s">
        <v>524</v>
      </c>
      <c r="H297" s="39" t="s">
        <v>7547</v>
      </c>
      <c r="I297" s="39" t="s">
        <v>7569</v>
      </c>
      <c r="J297" s="289"/>
      <c r="K297" s="25" t="s">
        <v>294</v>
      </c>
      <c r="L297" s="50"/>
      <c r="M297" s="66"/>
      <c r="N297" s="55"/>
      <c r="O297" s="290"/>
      <c r="P297" s="290"/>
      <c r="Q297" s="50" t="s">
        <v>140</v>
      </c>
      <c r="R297" s="25"/>
      <c r="S297" s="50"/>
      <c r="T297" s="65"/>
      <c r="U297" s="65"/>
      <c r="V297" s="65"/>
      <c r="W297" s="65"/>
      <c r="X297" s="65"/>
      <c r="Y297" s="65"/>
      <c r="Z297" s="65"/>
      <c r="AA297" s="65"/>
    </row>
    <row r="298" spans="1:27" ht="15.75" customHeight="1">
      <c r="A298" s="344"/>
      <c r="B298" s="344"/>
      <c r="C298" s="31">
        <v>18</v>
      </c>
      <c r="D298" s="344"/>
      <c r="E298" s="23" t="s">
        <v>7570</v>
      </c>
      <c r="F298" s="31" t="s">
        <v>361</v>
      </c>
      <c r="G298" s="31" t="s">
        <v>524</v>
      </c>
      <c r="H298" s="39" t="s">
        <v>7550</v>
      </c>
      <c r="I298" s="39" t="s">
        <v>7571</v>
      </c>
      <c r="J298" s="289"/>
      <c r="K298" s="25" t="s">
        <v>294</v>
      </c>
      <c r="L298" s="50"/>
      <c r="M298" s="66"/>
      <c r="N298" s="55"/>
      <c r="O298" s="290"/>
      <c r="P298" s="290"/>
      <c r="Q298" s="50" t="s">
        <v>140</v>
      </c>
      <c r="R298" s="25"/>
      <c r="S298" s="50"/>
      <c r="T298" s="65"/>
      <c r="U298" s="65"/>
      <c r="V298" s="65"/>
      <c r="W298" s="65"/>
      <c r="X298" s="65"/>
      <c r="Y298" s="65"/>
      <c r="Z298" s="65"/>
      <c r="AA298" s="65"/>
    </row>
    <row r="299" spans="1:27" ht="15.75" customHeight="1">
      <c r="A299" s="344"/>
      <c r="B299" s="344"/>
      <c r="C299" s="31">
        <v>19</v>
      </c>
      <c r="D299" s="344"/>
      <c r="E299" s="23" t="s">
        <v>7572</v>
      </c>
      <c r="F299" s="31" t="s">
        <v>361</v>
      </c>
      <c r="G299" s="31" t="s">
        <v>524</v>
      </c>
      <c r="H299" s="39" t="s">
        <v>7553</v>
      </c>
      <c r="I299" s="39" t="s">
        <v>7573</v>
      </c>
      <c r="J299" s="289"/>
      <c r="K299" s="25" t="s">
        <v>294</v>
      </c>
      <c r="L299" s="50"/>
      <c r="M299" s="66"/>
      <c r="N299" s="55"/>
      <c r="O299" s="290"/>
      <c r="P299" s="290"/>
      <c r="Q299" s="50" t="s">
        <v>140</v>
      </c>
      <c r="R299" s="25"/>
      <c r="S299" s="50"/>
      <c r="T299" s="65"/>
      <c r="U299" s="65"/>
      <c r="V299" s="65"/>
      <c r="W299" s="65"/>
      <c r="X299" s="65"/>
      <c r="Y299" s="65"/>
      <c r="Z299" s="65"/>
      <c r="AA299" s="65"/>
    </row>
    <row r="300" spans="1:27" ht="15.75" customHeight="1">
      <c r="A300" s="344"/>
      <c r="B300" s="344"/>
      <c r="C300" s="31">
        <v>11</v>
      </c>
      <c r="D300" s="344"/>
      <c r="E300" s="23" t="s">
        <v>7574</v>
      </c>
      <c r="F300" s="31" t="s">
        <v>361</v>
      </c>
      <c r="G300" s="31" t="s">
        <v>524</v>
      </c>
      <c r="H300" s="39" t="s">
        <v>7575</v>
      </c>
      <c r="I300" s="39" t="s">
        <v>7560</v>
      </c>
      <c r="J300" s="289"/>
      <c r="K300" s="25" t="s">
        <v>294</v>
      </c>
      <c r="L300" s="50"/>
      <c r="M300" s="66"/>
      <c r="N300" s="55"/>
      <c r="O300" s="290"/>
      <c r="P300" s="290"/>
      <c r="Q300" s="50" t="s">
        <v>140</v>
      </c>
      <c r="R300" s="25"/>
      <c r="S300" s="50"/>
      <c r="T300" s="65"/>
      <c r="U300" s="65"/>
      <c r="V300" s="65"/>
      <c r="W300" s="65"/>
      <c r="X300" s="65"/>
      <c r="Y300" s="65"/>
      <c r="Z300" s="65"/>
      <c r="AA300" s="65"/>
    </row>
    <row r="301" spans="1:27" ht="15.75" customHeight="1">
      <c r="A301" s="344"/>
      <c r="B301" s="344"/>
      <c r="C301" s="31">
        <v>12</v>
      </c>
      <c r="D301" s="344"/>
      <c r="E301" s="38" t="s">
        <v>7576</v>
      </c>
      <c r="F301" s="31" t="s">
        <v>361</v>
      </c>
      <c r="G301" s="31" t="s">
        <v>524</v>
      </c>
      <c r="H301" s="39" t="s">
        <v>7577</v>
      </c>
      <c r="I301" s="39" t="s">
        <v>7560</v>
      </c>
      <c r="J301" s="289"/>
      <c r="K301" s="25" t="s">
        <v>294</v>
      </c>
      <c r="L301" s="50"/>
      <c r="M301" s="66"/>
      <c r="N301" s="55"/>
      <c r="O301" s="290"/>
      <c r="P301" s="290"/>
      <c r="Q301" s="50" t="s">
        <v>140</v>
      </c>
      <c r="R301" s="25"/>
      <c r="S301" s="50"/>
      <c r="T301" s="65"/>
      <c r="U301" s="65"/>
      <c r="V301" s="65"/>
      <c r="W301" s="65"/>
      <c r="X301" s="65"/>
      <c r="Y301" s="65"/>
      <c r="Z301" s="65"/>
      <c r="AA301" s="65"/>
    </row>
    <row r="302" spans="1:27" ht="15.75" customHeight="1">
      <c r="A302" s="344"/>
      <c r="B302" s="344"/>
      <c r="C302" s="31">
        <v>13</v>
      </c>
      <c r="D302" s="344"/>
      <c r="E302" s="38" t="s">
        <v>7578</v>
      </c>
      <c r="F302" s="31" t="s">
        <v>361</v>
      </c>
      <c r="G302" s="31" t="s">
        <v>524</v>
      </c>
      <c r="H302" s="39" t="s">
        <v>7579</v>
      </c>
      <c r="I302" s="39" t="s">
        <v>7560</v>
      </c>
      <c r="J302" s="289"/>
      <c r="K302" s="25" t="s">
        <v>294</v>
      </c>
      <c r="L302" s="50"/>
      <c r="M302" s="66"/>
      <c r="N302" s="55"/>
      <c r="O302" s="290"/>
      <c r="P302" s="290"/>
      <c r="Q302" s="50" t="s">
        <v>140</v>
      </c>
      <c r="R302" s="25"/>
      <c r="S302" s="50"/>
      <c r="T302" s="65"/>
      <c r="U302" s="65"/>
      <c r="V302" s="65"/>
      <c r="W302" s="65"/>
      <c r="X302" s="65"/>
      <c r="Y302" s="65"/>
      <c r="Z302" s="65"/>
      <c r="AA302" s="65"/>
    </row>
    <row r="303" spans="1:27" ht="15.75" customHeight="1">
      <c r="A303" s="345"/>
      <c r="B303" s="345"/>
      <c r="C303" s="31">
        <v>14</v>
      </c>
      <c r="D303" s="345"/>
      <c r="E303" s="38" t="s">
        <v>7580</v>
      </c>
      <c r="F303" s="31" t="s">
        <v>361</v>
      </c>
      <c r="G303" s="31" t="s">
        <v>524</v>
      </c>
      <c r="H303" s="39" t="s">
        <v>7581</v>
      </c>
      <c r="I303" s="39" t="s">
        <v>7582</v>
      </c>
      <c r="J303" s="289"/>
      <c r="K303" s="25" t="s">
        <v>294</v>
      </c>
      <c r="L303" s="50"/>
      <c r="M303" s="66"/>
      <c r="N303" s="55"/>
      <c r="O303" s="290"/>
      <c r="P303" s="290"/>
      <c r="Q303" s="50" t="s">
        <v>140</v>
      </c>
      <c r="R303" s="25"/>
      <c r="S303" s="50"/>
      <c r="T303" s="65"/>
      <c r="U303" s="65"/>
      <c r="V303" s="65"/>
      <c r="W303" s="65"/>
      <c r="X303" s="65"/>
      <c r="Y303" s="65"/>
      <c r="Z303" s="65"/>
      <c r="AA303" s="65"/>
    </row>
    <row r="304" spans="1:27" ht="15.75" customHeight="1">
      <c r="A304" s="372" t="s">
        <v>7583</v>
      </c>
      <c r="B304" s="363" t="s">
        <v>53</v>
      </c>
      <c r="C304" s="74">
        <v>1</v>
      </c>
      <c r="D304" s="364" t="s">
        <v>7584</v>
      </c>
      <c r="E304" s="47" t="s">
        <v>7585</v>
      </c>
      <c r="F304" s="74" t="s">
        <v>361</v>
      </c>
      <c r="G304" s="46" t="s">
        <v>327</v>
      </c>
      <c r="H304" s="47" t="s">
        <v>7586</v>
      </c>
      <c r="I304" s="47" t="s">
        <v>7587</v>
      </c>
      <c r="J304" s="168"/>
      <c r="K304" s="25" t="s">
        <v>294</v>
      </c>
      <c r="L304" s="50"/>
      <c r="M304" s="66"/>
      <c r="N304" s="4"/>
      <c r="O304" s="290"/>
      <c r="P304" s="290"/>
      <c r="Q304" s="50" t="s">
        <v>140</v>
      </c>
      <c r="R304" s="25"/>
      <c r="S304" s="50"/>
    </row>
    <row r="305" spans="1:19" ht="15.75" customHeight="1">
      <c r="A305" s="344"/>
      <c r="B305" s="344"/>
      <c r="C305" s="74">
        <v>2</v>
      </c>
      <c r="D305" s="344"/>
      <c r="E305" s="47" t="s">
        <v>7588</v>
      </c>
      <c r="F305" s="74" t="s">
        <v>361</v>
      </c>
      <c r="G305" s="46" t="s">
        <v>327</v>
      </c>
      <c r="H305" s="47" t="s">
        <v>7589</v>
      </c>
      <c r="I305" s="47" t="s">
        <v>7590</v>
      </c>
      <c r="J305" s="168"/>
      <c r="K305" s="25" t="s">
        <v>294</v>
      </c>
      <c r="L305" s="50"/>
      <c r="M305" s="66"/>
      <c r="N305" s="4"/>
      <c r="O305" s="290"/>
      <c r="P305" s="290"/>
      <c r="Q305" s="50" t="s">
        <v>140</v>
      </c>
      <c r="R305" s="25"/>
      <c r="S305" s="50"/>
    </row>
    <row r="306" spans="1:19" ht="15.75" customHeight="1">
      <c r="A306" s="344"/>
      <c r="B306" s="344"/>
      <c r="C306" s="74">
        <v>3</v>
      </c>
      <c r="D306" s="345"/>
      <c r="E306" s="47" t="s">
        <v>7591</v>
      </c>
      <c r="F306" s="74" t="s">
        <v>361</v>
      </c>
      <c r="G306" s="46" t="s">
        <v>327</v>
      </c>
      <c r="H306" s="47" t="s">
        <v>7592</v>
      </c>
      <c r="I306" s="47" t="s">
        <v>7590</v>
      </c>
      <c r="J306" s="168"/>
      <c r="K306" s="25" t="s">
        <v>294</v>
      </c>
      <c r="L306" s="50"/>
      <c r="M306" s="66"/>
      <c r="N306" s="4"/>
      <c r="O306" s="290"/>
      <c r="P306" s="290"/>
      <c r="Q306" s="50" t="s">
        <v>140</v>
      </c>
      <c r="R306" s="25"/>
      <c r="S306" s="50"/>
    </row>
    <row r="307" spans="1:19" ht="15.75" customHeight="1">
      <c r="A307" s="344"/>
      <c r="B307" s="344"/>
      <c r="C307" s="74">
        <v>4</v>
      </c>
      <c r="D307" s="364" t="s">
        <v>7593</v>
      </c>
      <c r="E307" s="47" t="s">
        <v>7594</v>
      </c>
      <c r="F307" s="74" t="s">
        <v>361</v>
      </c>
      <c r="G307" s="74" t="s">
        <v>327</v>
      </c>
      <c r="H307" s="47" t="s">
        <v>7595</v>
      </c>
      <c r="I307" s="47" t="s">
        <v>7587</v>
      </c>
      <c r="J307" s="168"/>
      <c r="K307" s="25" t="s">
        <v>294</v>
      </c>
      <c r="L307" s="50"/>
      <c r="M307" s="66"/>
      <c r="N307" s="4"/>
      <c r="O307" s="290"/>
      <c r="P307" s="290"/>
      <c r="Q307" s="50" t="s">
        <v>140</v>
      </c>
      <c r="R307" s="25"/>
      <c r="S307" s="50"/>
    </row>
    <row r="308" spans="1:19" ht="15.75" customHeight="1">
      <c r="A308" s="344"/>
      <c r="B308" s="344"/>
      <c r="C308" s="74">
        <v>5</v>
      </c>
      <c r="D308" s="344"/>
      <c r="E308" s="47" t="s">
        <v>7596</v>
      </c>
      <c r="F308" s="74" t="s">
        <v>361</v>
      </c>
      <c r="G308" s="74" t="s">
        <v>327</v>
      </c>
      <c r="H308" s="47" t="s">
        <v>7597</v>
      </c>
      <c r="I308" s="47" t="s">
        <v>7598</v>
      </c>
      <c r="J308" s="168"/>
      <c r="K308" s="25"/>
      <c r="L308" s="50"/>
      <c r="M308" s="66"/>
      <c r="N308" s="4"/>
      <c r="O308" s="290"/>
      <c r="P308" s="290"/>
      <c r="Q308" s="50" t="s">
        <v>282</v>
      </c>
      <c r="R308" s="25"/>
      <c r="S308" s="50"/>
    </row>
    <row r="309" spans="1:19" ht="15.75" customHeight="1">
      <c r="A309" s="345"/>
      <c r="B309" s="345"/>
      <c r="C309" s="74">
        <v>6</v>
      </c>
      <c r="D309" s="345"/>
      <c r="E309" s="47" t="s">
        <v>7599</v>
      </c>
      <c r="F309" s="74" t="s">
        <v>361</v>
      </c>
      <c r="G309" s="74" t="s">
        <v>327</v>
      </c>
      <c r="H309" s="47" t="s">
        <v>7600</v>
      </c>
      <c r="I309" s="47" t="s">
        <v>7598</v>
      </c>
      <c r="J309" s="168"/>
      <c r="K309" s="25"/>
      <c r="L309" s="50"/>
      <c r="M309" s="66"/>
      <c r="N309" s="4"/>
      <c r="O309" s="290"/>
      <c r="P309" s="290"/>
      <c r="Q309" s="50" t="s">
        <v>282</v>
      </c>
      <c r="R309" s="25"/>
      <c r="S309" s="50"/>
    </row>
    <row r="310" spans="1:19" ht="51.75" customHeight="1">
      <c r="A310" s="416" t="s">
        <v>7601</v>
      </c>
      <c r="B310" s="417" t="s">
        <v>94</v>
      </c>
      <c r="C310" s="111">
        <v>1</v>
      </c>
      <c r="D310" s="366" t="s">
        <v>7602</v>
      </c>
      <c r="E310" s="67" t="s">
        <v>7603</v>
      </c>
      <c r="F310" s="111" t="s">
        <v>361</v>
      </c>
      <c r="G310" s="61" t="s">
        <v>327</v>
      </c>
      <c r="H310" s="67" t="s">
        <v>7604</v>
      </c>
      <c r="I310" s="83" t="s">
        <v>7605</v>
      </c>
      <c r="J310" s="271"/>
      <c r="K310" s="25" t="s">
        <v>294</v>
      </c>
      <c r="L310" s="50"/>
      <c r="M310" s="66"/>
      <c r="N310" s="4"/>
      <c r="O310" s="290"/>
      <c r="P310" s="290"/>
      <c r="Q310" s="50" t="s">
        <v>140</v>
      </c>
      <c r="R310" s="25"/>
      <c r="S310" s="50"/>
    </row>
    <row r="311" spans="1:19" ht="15.75" customHeight="1">
      <c r="A311" s="344"/>
      <c r="B311" s="344"/>
      <c r="C311" s="111">
        <v>2</v>
      </c>
      <c r="D311" s="344"/>
      <c r="E311" s="67" t="s">
        <v>7606</v>
      </c>
      <c r="F311" s="111" t="s">
        <v>361</v>
      </c>
      <c r="G311" s="61" t="s">
        <v>327</v>
      </c>
      <c r="H311" s="67" t="s">
        <v>7607</v>
      </c>
      <c r="I311" s="67" t="s">
        <v>7608</v>
      </c>
      <c r="J311" s="67"/>
      <c r="K311" s="25" t="s">
        <v>294</v>
      </c>
      <c r="L311" s="50"/>
      <c r="M311" s="66"/>
      <c r="N311" s="4"/>
      <c r="O311" s="290"/>
      <c r="P311" s="290"/>
      <c r="Q311" s="50" t="s">
        <v>140</v>
      </c>
      <c r="R311" s="25"/>
      <c r="S311" s="50"/>
    </row>
    <row r="312" spans="1:19" ht="15.75" customHeight="1">
      <c r="A312" s="344"/>
      <c r="B312" s="344"/>
      <c r="C312" s="111">
        <v>3</v>
      </c>
      <c r="D312" s="345"/>
      <c r="E312" s="67" t="s">
        <v>7609</v>
      </c>
      <c r="F312" s="111" t="s">
        <v>361</v>
      </c>
      <c r="G312" s="61" t="s">
        <v>327</v>
      </c>
      <c r="H312" s="63" t="s">
        <v>7610</v>
      </c>
      <c r="I312" s="83" t="s">
        <v>7611</v>
      </c>
      <c r="J312" s="271"/>
      <c r="K312" s="25" t="s">
        <v>294</v>
      </c>
      <c r="L312" s="50"/>
      <c r="M312" s="66"/>
      <c r="N312" s="4"/>
      <c r="O312" s="290"/>
      <c r="P312" s="290"/>
      <c r="Q312" s="50" t="s">
        <v>140</v>
      </c>
      <c r="R312" s="25"/>
      <c r="S312" s="50"/>
    </row>
    <row r="313" spans="1:19" ht="15.75" customHeight="1">
      <c r="A313" s="344"/>
      <c r="B313" s="344"/>
      <c r="C313" s="111">
        <v>4</v>
      </c>
      <c r="D313" s="364" t="s">
        <v>7612</v>
      </c>
      <c r="E313" s="47" t="s">
        <v>7613</v>
      </c>
      <c r="F313" s="111" t="s">
        <v>361</v>
      </c>
      <c r="G313" s="61" t="s">
        <v>327</v>
      </c>
      <c r="H313" s="35" t="s">
        <v>7614</v>
      </c>
      <c r="I313" s="47" t="s">
        <v>7615</v>
      </c>
      <c r="J313" s="168"/>
      <c r="K313" s="25" t="s">
        <v>294</v>
      </c>
      <c r="L313" s="50"/>
      <c r="M313" s="66"/>
      <c r="N313" s="4"/>
      <c r="O313" s="290"/>
      <c r="P313" s="290"/>
      <c r="Q313" s="50" t="s">
        <v>140</v>
      </c>
      <c r="R313" s="25"/>
      <c r="S313" s="50"/>
    </row>
    <row r="314" spans="1:19" ht="15.75" customHeight="1">
      <c r="A314" s="344"/>
      <c r="B314" s="344"/>
      <c r="C314" s="111">
        <v>5</v>
      </c>
      <c r="D314" s="344"/>
      <c r="E314" s="47" t="s">
        <v>7616</v>
      </c>
      <c r="F314" s="111" t="s">
        <v>361</v>
      </c>
      <c r="G314" s="61" t="s">
        <v>327</v>
      </c>
      <c r="H314" s="35" t="s">
        <v>7614</v>
      </c>
      <c r="I314" s="47" t="s">
        <v>7617</v>
      </c>
      <c r="J314" s="168"/>
      <c r="K314" s="25" t="s">
        <v>294</v>
      </c>
      <c r="L314" s="50"/>
      <c r="M314" s="66"/>
      <c r="N314" s="4"/>
      <c r="O314" s="290"/>
      <c r="P314" s="290"/>
      <c r="Q314" s="50" t="s">
        <v>140</v>
      </c>
      <c r="R314" s="25"/>
      <c r="S314" s="50"/>
    </row>
    <row r="315" spans="1:19" ht="15.75" customHeight="1">
      <c r="A315" s="344"/>
      <c r="B315" s="344"/>
      <c r="C315" s="111">
        <v>6</v>
      </c>
      <c r="D315" s="344"/>
      <c r="E315" s="47" t="s">
        <v>7618</v>
      </c>
      <c r="F315" s="111" t="s">
        <v>361</v>
      </c>
      <c r="G315" s="61" t="s">
        <v>327</v>
      </c>
      <c r="H315" s="35" t="s">
        <v>7614</v>
      </c>
      <c r="I315" s="47" t="s">
        <v>7619</v>
      </c>
      <c r="J315" s="168"/>
      <c r="K315" s="25" t="s">
        <v>294</v>
      </c>
      <c r="L315" s="50"/>
      <c r="M315" s="66"/>
      <c r="N315" s="4"/>
      <c r="O315" s="290"/>
      <c r="P315" s="290"/>
      <c r="Q315" s="50" t="s">
        <v>140</v>
      </c>
      <c r="R315" s="25"/>
      <c r="S315" s="50"/>
    </row>
    <row r="316" spans="1:19" ht="15.75" customHeight="1">
      <c r="A316" s="344"/>
      <c r="B316" s="344"/>
      <c r="C316" s="111">
        <v>7</v>
      </c>
      <c r="D316" s="345"/>
      <c r="E316" s="47" t="s">
        <v>7620</v>
      </c>
      <c r="F316" s="111" t="s">
        <v>361</v>
      </c>
      <c r="G316" s="61" t="s">
        <v>327</v>
      </c>
      <c r="H316" s="35" t="s">
        <v>7614</v>
      </c>
      <c r="I316" s="47" t="s">
        <v>7621</v>
      </c>
      <c r="J316" s="168"/>
      <c r="K316" s="25" t="s">
        <v>294</v>
      </c>
      <c r="L316" s="50"/>
      <c r="M316" s="66"/>
      <c r="N316" s="4"/>
      <c r="O316" s="290"/>
      <c r="P316" s="290"/>
      <c r="Q316" s="50" t="s">
        <v>140</v>
      </c>
      <c r="R316" s="25"/>
      <c r="S316" s="50"/>
    </row>
    <row r="317" spans="1:19" ht="15.75" customHeight="1">
      <c r="A317" s="344"/>
      <c r="B317" s="344"/>
      <c r="C317" s="111">
        <v>8</v>
      </c>
      <c r="D317" s="366" t="s">
        <v>7622</v>
      </c>
      <c r="E317" s="366" t="s">
        <v>7623</v>
      </c>
      <c r="F317" s="111" t="s">
        <v>361</v>
      </c>
      <c r="G317" s="61" t="s">
        <v>327</v>
      </c>
      <c r="H317" s="63" t="s">
        <v>7624</v>
      </c>
      <c r="I317" s="83" t="s">
        <v>7625</v>
      </c>
      <c r="J317" s="271"/>
      <c r="K317" s="25" t="s">
        <v>294</v>
      </c>
      <c r="L317" s="50"/>
      <c r="M317" s="66"/>
      <c r="N317" s="4"/>
      <c r="O317" s="290"/>
      <c r="P317" s="290"/>
      <c r="Q317" s="50" t="s">
        <v>140</v>
      </c>
      <c r="R317" s="25"/>
      <c r="S317" s="50"/>
    </row>
    <row r="318" spans="1:19" ht="15.75" customHeight="1">
      <c r="A318" s="344"/>
      <c r="B318" s="344"/>
      <c r="C318" s="111">
        <v>9</v>
      </c>
      <c r="D318" s="344"/>
      <c r="E318" s="344"/>
      <c r="F318" s="111" t="s">
        <v>361</v>
      </c>
      <c r="G318" s="61" t="s">
        <v>327</v>
      </c>
      <c r="H318" s="63" t="s">
        <v>7614</v>
      </c>
      <c r="I318" s="83" t="s">
        <v>7626</v>
      </c>
      <c r="J318" s="271"/>
      <c r="K318" s="25" t="s">
        <v>294</v>
      </c>
      <c r="L318" s="50"/>
      <c r="M318" s="66"/>
      <c r="N318" s="4"/>
      <c r="O318" s="290"/>
      <c r="P318" s="290"/>
      <c r="Q318" s="50" t="s">
        <v>140</v>
      </c>
      <c r="R318" s="25"/>
      <c r="S318" s="50"/>
    </row>
    <row r="319" spans="1:19" ht="15.75" customHeight="1">
      <c r="A319" s="344"/>
      <c r="B319" s="344"/>
      <c r="C319" s="111">
        <v>10</v>
      </c>
      <c r="D319" s="344"/>
      <c r="E319" s="344"/>
      <c r="F319" s="111" t="s">
        <v>361</v>
      </c>
      <c r="G319" s="61" t="s">
        <v>524</v>
      </c>
      <c r="H319" s="63" t="s">
        <v>7627</v>
      </c>
      <c r="I319" s="83" t="s">
        <v>7628</v>
      </c>
      <c r="J319" s="271"/>
      <c r="K319" s="25" t="s">
        <v>294</v>
      </c>
      <c r="L319" s="50"/>
      <c r="M319" s="66"/>
      <c r="N319" s="4"/>
      <c r="O319" s="290"/>
      <c r="P319" s="290"/>
      <c r="Q319" s="50" t="s">
        <v>140</v>
      </c>
      <c r="R319" s="25"/>
      <c r="S319" s="50"/>
    </row>
    <row r="320" spans="1:19" ht="15.75" customHeight="1">
      <c r="A320" s="344"/>
      <c r="B320" s="344"/>
      <c r="C320" s="111">
        <v>11</v>
      </c>
      <c r="D320" s="344"/>
      <c r="E320" s="344"/>
      <c r="F320" s="111" t="s">
        <v>361</v>
      </c>
      <c r="G320" s="61" t="s">
        <v>524</v>
      </c>
      <c r="H320" s="63" t="s">
        <v>7629</v>
      </c>
      <c r="I320" s="83" t="s">
        <v>7630</v>
      </c>
      <c r="J320" s="271"/>
      <c r="K320" s="25" t="s">
        <v>294</v>
      </c>
      <c r="L320" s="50"/>
      <c r="M320" s="66"/>
      <c r="N320" s="4"/>
      <c r="O320" s="290"/>
      <c r="P320" s="290"/>
      <c r="Q320" s="50" t="s">
        <v>140</v>
      </c>
      <c r="R320" s="25"/>
      <c r="S320" s="50"/>
    </row>
    <row r="321" spans="1:19" ht="15.75" customHeight="1">
      <c r="A321" s="344"/>
      <c r="B321" s="344"/>
      <c r="C321" s="111">
        <v>12</v>
      </c>
      <c r="D321" s="344"/>
      <c r="E321" s="344"/>
      <c r="F321" s="111" t="s">
        <v>361</v>
      </c>
      <c r="G321" s="61" t="s">
        <v>524</v>
      </c>
      <c r="H321" s="63" t="s">
        <v>7631</v>
      </c>
      <c r="I321" s="83" t="s">
        <v>7630</v>
      </c>
      <c r="J321" s="271"/>
      <c r="K321" s="25" t="s">
        <v>294</v>
      </c>
      <c r="L321" s="50"/>
      <c r="M321" s="66"/>
      <c r="N321" s="4"/>
      <c r="O321" s="290"/>
      <c r="P321" s="290"/>
      <c r="Q321" s="50" t="s">
        <v>140</v>
      </c>
      <c r="R321" s="25"/>
      <c r="S321" s="50"/>
    </row>
    <row r="322" spans="1:19" ht="15.75" customHeight="1">
      <c r="A322" s="344"/>
      <c r="B322" s="344"/>
      <c r="C322" s="111">
        <v>13</v>
      </c>
      <c r="D322" s="345"/>
      <c r="E322" s="345"/>
      <c r="F322" s="111" t="s">
        <v>361</v>
      </c>
      <c r="G322" s="61" t="s">
        <v>327</v>
      </c>
      <c r="H322" s="63" t="s">
        <v>7632</v>
      </c>
      <c r="I322" s="83" t="s">
        <v>7633</v>
      </c>
      <c r="J322" s="271"/>
      <c r="K322" s="25" t="s">
        <v>294</v>
      </c>
      <c r="L322" s="50"/>
      <c r="M322" s="66"/>
      <c r="N322" s="4"/>
      <c r="O322" s="290"/>
      <c r="P322" s="290"/>
      <c r="Q322" s="50" t="s">
        <v>140</v>
      </c>
      <c r="R322" s="25"/>
      <c r="S322" s="50"/>
    </row>
    <row r="323" spans="1:19" ht="15.75" customHeight="1">
      <c r="A323" s="344"/>
      <c r="B323" s="344"/>
      <c r="C323" s="111">
        <v>14</v>
      </c>
      <c r="D323" s="366" t="s">
        <v>7634</v>
      </c>
      <c r="E323" s="366" t="s">
        <v>7635</v>
      </c>
      <c r="F323" s="111" t="s">
        <v>361</v>
      </c>
      <c r="G323" s="61" t="s">
        <v>327</v>
      </c>
      <c r="H323" s="63" t="s">
        <v>7631</v>
      </c>
      <c r="I323" s="83" t="s">
        <v>7636</v>
      </c>
      <c r="J323" s="271"/>
      <c r="K323" s="25" t="s">
        <v>294</v>
      </c>
      <c r="L323" s="50"/>
      <c r="M323" s="66"/>
      <c r="N323" s="4"/>
      <c r="O323" s="290"/>
      <c r="P323" s="290"/>
      <c r="Q323" s="50" t="s">
        <v>140</v>
      </c>
      <c r="R323" s="25"/>
      <c r="S323" s="50"/>
    </row>
    <row r="324" spans="1:19" ht="15.75" customHeight="1">
      <c r="A324" s="344"/>
      <c r="B324" s="344"/>
      <c r="C324" s="111">
        <v>15</v>
      </c>
      <c r="D324" s="344"/>
      <c r="E324" s="344"/>
      <c r="F324" s="111" t="s">
        <v>361</v>
      </c>
      <c r="G324" s="61" t="s">
        <v>327</v>
      </c>
      <c r="H324" s="63" t="s">
        <v>7637</v>
      </c>
      <c r="I324" s="83" t="s">
        <v>7638</v>
      </c>
      <c r="J324" s="271"/>
      <c r="K324" s="25" t="s">
        <v>294</v>
      </c>
      <c r="L324" s="50"/>
      <c r="M324" s="66"/>
      <c r="N324" s="4"/>
      <c r="O324" s="290"/>
      <c r="P324" s="290"/>
      <c r="Q324" s="50" t="s">
        <v>140</v>
      </c>
      <c r="R324" s="25"/>
      <c r="S324" s="50"/>
    </row>
    <row r="325" spans="1:19" ht="15.75" customHeight="1">
      <c r="A325" s="344"/>
      <c r="B325" s="344"/>
      <c r="C325" s="111">
        <v>16</v>
      </c>
      <c r="D325" s="345"/>
      <c r="E325" s="345"/>
      <c r="F325" s="111" t="s">
        <v>361</v>
      </c>
      <c r="G325" s="61" t="s">
        <v>327</v>
      </c>
      <c r="H325" s="63" t="s">
        <v>7632</v>
      </c>
      <c r="I325" s="83" t="s">
        <v>7639</v>
      </c>
      <c r="J325" s="271"/>
      <c r="K325" s="25" t="s">
        <v>294</v>
      </c>
      <c r="L325" s="50"/>
      <c r="M325" s="66"/>
      <c r="N325" s="4"/>
      <c r="O325" s="290"/>
      <c r="P325" s="290"/>
      <c r="Q325" s="50" t="s">
        <v>140</v>
      </c>
      <c r="R325" s="25"/>
      <c r="S325" s="50"/>
    </row>
    <row r="326" spans="1:19" ht="15.75" customHeight="1">
      <c r="A326" s="344"/>
      <c r="B326" s="344"/>
      <c r="C326" s="111">
        <v>17</v>
      </c>
      <c r="D326" s="366" t="s">
        <v>7640</v>
      </c>
      <c r="E326" s="366" t="s">
        <v>7641</v>
      </c>
      <c r="F326" s="111" t="s">
        <v>361</v>
      </c>
      <c r="G326" s="61" t="s">
        <v>327</v>
      </c>
      <c r="H326" s="63" t="s">
        <v>7624</v>
      </c>
      <c r="I326" s="83" t="s">
        <v>7625</v>
      </c>
      <c r="J326" s="271"/>
      <c r="K326" s="25" t="s">
        <v>294</v>
      </c>
      <c r="L326" s="50"/>
      <c r="M326" s="66"/>
      <c r="N326" s="4"/>
      <c r="O326" s="290"/>
      <c r="P326" s="290"/>
      <c r="Q326" s="50" t="s">
        <v>140</v>
      </c>
      <c r="R326" s="25"/>
      <c r="S326" s="50"/>
    </row>
    <row r="327" spans="1:19" ht="15.75" customHeight="1">
      <c r="A327" s="344"/>
      <c r="B327" s="344"/>
      <c r="C327" s="111">
        <v>18</v>
      </c>
      <c r="D327" s="344"/>
      <c r="E327" s="344"/>
      <c r="F327" s="111" t="s">
        <v>361</v>
      </c>
      <c r="G327" s="61" t="s">
        <v>327</v>
      </c>
      <c r="H327" s="63" t="s">
        <v>7614</v>
      </c>
      <c r="I327" s="83" t="s">
        <v>7642</v>
      </c>
      <c r="J327" s="271"/>
      <c r="K327" s="25" t="s">
        <v>294</v>
      </c>
      <c r="L327" s="50"/>
      <c r="M327" s="66"/>
      <c r="N327" s="4"/>
      <c r="O327" s="290"/>
      <c r="P327" s="290"/>
      <c r="Q327" s="50" t="s">
        <v>140</v>
      </c>
      <c r="R327" s="25"/>
      <c r="S327" s="50"/>
    </row>
    <row r="328" spans="1:19" ht="15.75" customHeight="1">
      <c r="A328" s="344"/>
      <c r="B328" s="344"/>
      <c r="C328" s="111">
        <v>19</v>
      </c>
      <c r="D328" s="344"/>
      <c r="E328" s="344"/>
      <c r="F328" s="111" t="s">
        <v>361</v>
      </c>
      <c r="G328" s="61" t="s">
        <v>524</v>
      </c>
      <c r="H328" s="63" t="s">
        <v>7627</v>
      </c>
      <c r="I328" s="83" t="s">
        <v>7643</v>
      </c>
      <c r="J328" s="271"/>
      <c r="K328" s="25" t="s">
        <v>294</v>
      </c>
      <c r="L328" s="50"/>
      <c r="M328" s="66"/>
      <c r="N328" s="4"/>
      <c r="O328" s="290"/>
      <c r="P328" s="290"/>
      <c r="Q328" s="50" t="s">
        <v>140</v>
      </c>
      <c r="R328" s="25"/>
      <c r="S328" s="50"/>
    </row>
    <row r="329" spans="1:19" ht="15.75" customHeight="1">
      <c r="A329" s="344"/>
      <c r="B329" s="344"/>
      <c r="C329" s="111">
        <v>20</v>
      </c>
      <c r="D329" s="344"/>
      <c r="E329" s="344"/>
      <c r="F329" s="111" t="s">
        <v>361</v>
      </c>
      <c r="G329" s="61" t="s">
        <v>524</v>
      </c>
      <c r="H329" s="63" t="s">
        <v>7644</v>
      </c>
      <c r="I329" s="83" t="s">
        <v>7645</v>
      </c>
      <c r="J329" s="271"/>
      <c r="K329" s="25" t="s">
        <v>294</v>
      </c>
      <c r="L329" s="50"/>
      <c r="M329" s="66"/>
      <c r="N329" s="4"/>
      <c r="O329" s="290"/>
      <c r="P329" s="290"/>
      <c r="Q329" s="50" t="s">
        <v>140</v>
      </c>
      <c r="R329" s="25"/>
      <c r="S329" s="50"/>
    </row>
    <row r="330" spans="1:19" ht="15.75" customHeight="1">
      <c r="A330" s="345"/>
      <c r="B330" s="345"/>
      <c r="C330" s="111">
        <v>21</v>
      </c>
      <c r="D330" s="345"/>
      <c r="E330" s="345"/>
      <c r="F330" s="111" t="s">
        <v>361</v>
      </c>
      <c r="G330" s="61" t="s">
        <v>524</v>
      </c>
      <c r="H330" s="63" t="s">
        <v>7646</v>
      </c>
      <c r="I330" s="83" t="s">
        <v>7645</v>
      </c>
      <c r="J330" s="271"/>
      <c r="K330" s="25" t="s">
        <v>294</v>
      </c>
      <c r="L330" s="50"/>
      <c r="M330" s="149"/>
      <c r="N330" s="4"/>
      <c r="O330" s="290"/>
      <c r="P330" s="290"/>
      <c r="Q330" s="50" t="s">
        <v>140</v>
      </c>
      <c r="R330" s="25"/>
      <c r="S330" s="149"/>
    </row>
    <row r="331" spans="1:19" ht="15.75" customHeight="1">
      <c r="A331" s="372" t="s">
        <v>7647</v>
      </c>
      <c r="B331" s="411" t="s">
        <v>263</v>
      </c>
      <c r="C331" s="74">
        <v>1</v>
      </c>
      <c r="D331" s="412" t="s">
        <v>7648</v>
      </c>
      <c r="E331" s="295" t="s">
        <v>7649</v>
      </c>
      <c r="F331" s="84"/>
      <c r="G331" s="84"/>
      <c r="H331" s="75" t="s">
        <v>7650</v>
      </c>
      <c r="I331" s="75" t="s">
        <v>7605</v>
      </c>
      <c r="J331" s="435"/>
      <c r="K331" s="25" t="s">
        <v>294</v>
      </c>
      <c r="L331" s="149"/>
      <c r="M331" s="149"/>
      <c r="N331" s="45"/>
      <c r="O331" s="149"/>
      <c r="P331" s="149"/>
      <c r="Q331" s="149" t="s">
        <v>140</v>
      </c>
      <c r="R331" s="149"/>
      <c r="S331" s="149"/>
    </row>
    <row r="332" spans="1:19" ht="15.75" customHeight="1">
      <c r="A332" s="344"/>
      <c r="B332" s="344"/>
      <c r="C332" s="74">
        <v>2</v>
      </c>
      <c r="D332" s="344"/>
      <c r="E332" s="295" t="s">
        <v>7651</v>
      </c>
      <c r="F332" s="84"/>
      <c r="G332" s="84"/>
      <c r="H332" s="75" t="s">
        <v>7652</v>
      </c>
      <c r="I332" s="75" t="s">
        <v>7653</v>
      </c>
      <c r="J332" s="435"/>
      <c r="K332" s="25" t="s">
        <v>294</v>
      </c>
      <c r="L332" s="149"/>
      <c r="M332" s="149"/>
      <c r="N332" s="45"/>
      <c r="O332" s="149"/>
      <c r="P332" s="149"/>
      <c r="Q332" s="149" t="s">
        <v>140</v>
      </c>
      <c r="R332" s="149"/>
      <c r="S332" s="149"/>
    </row>
    <row r="333" spans="1:19" ht="15.75" customHeight="1">
      <c r="A333" s="344"/>
      <c r="B333" s="344"/>
      <c r="C333" s="74">
        <v>3</v>
      </c>
      <c r="D333" s="345"/>
      <c r="E333" s="295" t="s">
        <v>7654</v>
      </c>
      <c r="F333" s="84"/>
      <c r="G333" s="84"/>
      <c r="H333" s="75" t="s">
        <v>7655</v>
      </c>
      <c r="I333" s="75" t="s">
        <v>7605</v>
      </c>
      <c r="J333" s="435"/>
      <c r="K333" s="25" t="s">
        <v>294</v>
      </c>
      <c r="L333" s="149"/>
      <c r="M333" s="149"/>
      <c r="N333" s="45"/>
      <c r="O333" s="149"/>
      <c r="P333" s="149"/>
      <c r="Q333" s="149" t="s">
        <v>140</v>
      </c>
      <c r="R333" s="149"/>
      <c r="S333" s="149"/>
    </row>
    <row r="334" spans="1:19" ht="33" customHeight="1">
      <c r="A334" s="344"/>
      <c r="B334" s="344"/>
      <c r="C334" s="74">
        <v>4</v>
      </c>
      <c r="D334" s="295" t="s">
        <v>7656</v>
      </c>
      <c r="E334" s="295" t="s">
        <v>7657</v>
      </c>
      <c r="F334" s="84"/>
      <c r="G334" s="84"/>
      <c r="H334" s="75" t="s">
        <v>7658</v>
      </c>
      <c r="I334" s="75" t="s">
        <v>7659</v>
      </c>
      <c r="J334" s="435"/>
      <c r="K334" s="25" t="s">
        <v>294</v>
      </c>
      <c r="L334" s="149"/>
      <c r="M334" s="50"/>
      <c r="N334" s="45"/>
      <c r="O334" s="149"/>
      <c r="P334" s="149"/>
      <c r="Q334" s="149" t="s">
        <v>140</v>
      </c>
      <c r="R334" s="149"/>
      <c r="S334" s="50"/>
    </row>
    <row r="335" spans="1:19" ht="15.75" customHeight="1">
      <c r="A335" s="344"/>
      <c r="B335" s="344"/>
      <c r="C335" s="74">
        <v>5</v>
      </c>
      <c r="D335" s="412" t="s">
        <v>7660</v>
      </c>
      <c r="E335" s="412" t="s">
        <v>7661</v>
      </c>
      <c r="F335" s="84"/>
      <c r="G335" s="84"/>
      <c r="H335" s="80" t="s">
        <v>7662</v>
      </c>
      <c r="I335" s="80" t="s">
        <v>7663</v>
      </c>
      <c r="J335" s="84"/>
      <c r="K335" s="25" t="s">
        <v>294</v>
      </c>
      <c r="L335" s="50"/>
      <c r="M335" s="149"/>
      <c r="N335" s="74"/>
      <c r="O335" s="50"/>
      <c r="P335" s="50"/>
      <c r="Q335" s="50" t="s">
        <v>140</v>
      </c>
      <c r="R335" s="50"/>
      <c r="S335" s="149"/>
    </row>
    <row r="336" spans="1:19" ht="17.25" customHeight="1">
      <c r="A336" s="344"/>
      <c r="B336" s="344"/>
      <c r="C336" s="74">
        <v>6</v>
      </c>
      <c r="D336" s="344"/>
      <c r="E336" s="344"/>
      <c r="F336" s="84"/>
      <c r="G336" s="84"/>
      <c r="H336" s="80" t="s">
        <v>7664</v>
      </c>
      <c r="I336" s="80" t="s">
        <v>7665</v>
      </c>
      <c r="J336" s="84"/>
      <c r="K336" s="25" t="s">
        <v>294</v>
      </c>
      <c r="L336" s="149"/>
      <c r="M336" s="50"/>
      <c r="N336" s="45"/>
      <c r="O336" s="149"/>
      <c r="P336" s="149"/>
      <c r="Q336" s="149" t="s">
        <v>140</v>
      </c>
      <c r="R336" s="149"/>
      <c r="S336" s="50"/>
    </row>
    <row r="337" spans="1:19" ht="15.75" customHeight="1">
      <c r="A337" s="344"/>
      <c r="B337" s="344"/>
      <c r="C337" s="74">
        <v>7</v>
      </c>
      <c r="D337" s="344"/>
      <c r="E337" s="345"/>
      <c r="F337" s="84"/>
      <c r="G337" s="84"/>
      <c r="H337" s="80" t="s">
        <v>7666</v>
      </c>
      <c r="I337" s="80" t="s">
        <v>7667</v>
      </c>
      <c r="J337" s="84"/>
      <c r="K337" s="25" t="s">
        <v>294</v>
      </c>
      <c r="L337" s="50"/>
      <c r="M337" s="66"/>
      <c r="N337" s="74"/>
      <c r="O337" s="50"/>
      <c r="P337" s="50"/>
      <c r="Q337" s="50" t="s">
        <v>140</v>
      </c>
      <c r="R337" s="50"/>
      <c r="S337" s="50"/>
    </row>
    <row r="338" spans="1:19" ht="17.25" customHeight="1">
      <c r="A338" s="344"/>
      <c r="B338" s="344"/>
      <c r="C338" s="74">
        <v>8</v>
      </c>
      <c r="D338" s="344"/>
      <c r="E338" s="412" t="s">
        <v>7668</v>
      </c>
      <c r="F338" s="84"/>
      <c r="G338" s="84"/>
      <c r="H338" s="294" t="s">
        <v>7649</v>
      </c>
      <c r="I338" s="75" t="s">
        <v>7605</v>
      </c>
      <c r="J338" s="435"/>
      <c r="K338" s="25" t="s">
        <v>294</v>
      </c>
      <c r="L338" s="66"/>
      <c r="M338" s="66"/>
      <c r="N338" s="363"/>
      <c r="O338" s="50"/>
      <c r="P338" s="50"/>
      <c r="Q338" s="50" t="s">
        <v>140</v>
      </c>
      <c r="R338" s="50"/>
      <c r="S338" s="50"/>
    </row>
    <row r="339" spans="1:19" ht="15.75" customHeight="1">
      <c r="A339" s="344"/>
      <c r="B339" s="344"/>
      <c r="C339" s="74">
        <v>9</v>
      </c>
      <c r="D339" s="344"/>
      <c r="E339" s="344"/>
      <c r="F339" s="84"/>
      <c r="G339" s="84"/>
      <c r="H339" s="294" t="s">
        <v>7669</v>
      </c>
      <c r="I339" s="75" t="s">
        <v>7670</v>
      </c>
      <c r="J339" s="435"/>
      <c r="K339" s="25" t="s">
        <v>294</v>
      </c>
      <c r="L339" s="66"/>
      <c r="M339" s="66"/>
      <c r="N339" s="344"/>
      <c r="O339" s="50"/>
      <c r="P339" s="50"/>
      <c r="Q339" s="50" t="s">
        <v>140</v>
      </c>
      <c r="R339" s="50"/>
      <c r="S339" s="50"/>
    </row>
    <row r="340" spans="1:19" ht="15.75" customHeight="1">
      <c r="A340" s="344"/>
      <c r="B340" s="344"/>
      <c r="C340" s="74">
        <v>10</v>
      </c>
      <c r="D340" s="344"/>
      <c r="E340" s="344"/>
      <c r="F340" s="84"/>
      <c r="G340" s="84"/>
      <c r="H340" s="294" t="s">
        <v>7671</v>
      </c>
      <c r="I340" s="75" t="s">
        <v>7670</v>
      </c>
      <c r="J340" s="435"/>
      <c r="K340" s="152" t="s">
        <v>294</v>
      </c>
      <c r="L340" s="66"/>
      <c r="M340" s="66"/>
      <c r="N340" s="344"/>
      <c r="O340" s="50"/>
      <c r="P340" s="50"/>
      <c r="Q340" s="50" t="s">
        <v>140</v>
      </c>
      <c r="R340" s="50"/>
      <c r="S340" s="50"/>
    </row>
    <row r="341" spans="1:19" ht="17.25" customHeight="1">
      <c r="A341" s="344"/>
      <c r="B341" s="344"/>
      <c r="C341" s="74">
        <v>11</v>
      </c>
      <c r="D341" s="344"/>
      <c r="E341" s="344"/>
      <c r="F341" s="84"/>
      <c r="G341" s="84"/>
      <c r="H341" s="294" t="s">
        <v>7672</v>
      </c>
      <c r="I341" s="75" t="s">
        <v>7670</v>
      </c>
      <c r="J341" s="435"/>
      <c r="K341" s="152" t="s">
        <v>294</v>
      </c>
      <c r="L341" s="66"/>
      <c r="M341" s="66"/>
      <c r="N341" s="344"/>
      <c r="O341" s="50"/>
      <c r="P341" s="50"/>
      <c r="Q341" s="50" t="s">
        <v>140</v>
      </c>
      <c r="R341" s="50"/>
      <c r="S341" s="50"/>
    </row>
    <row r="342" spans="1:19" ht="17.25" customHeight="1">
      <c r="A342" s="344"/>
      <c r="B342" s="344"/>
      <c r="C342" s="74">
        <v>12</v>
      </c>
      <c r="D342" s="344"/>
      <c r="E342" s="344"/>
      <c r="F342" s="84"/>
      <c r="G342" s="84"/>
      <c r="H342" s="294" t="s">
        <v>7673</v>
      </c>
      <c r="I342" s="75" t="s">
        <v>7670</v>
      </c>
      <c r="J342" s="435"/>
      <c r="K342" s="152" t="s">
        <v>294</v>
      </c>
      <c r="L342" s="66"/>
      <c r="M342" s="66"/>
      <c r="N342" s="344"/>
      <c r="O342" s="50"/>
      <c r="P342" s="50"/>
      <c r="Q342" s="50" t="s">
        <v>140</v>
      </c>
      <c r="R342" s="50"/>
      <c r="S342" s="50"/>
    </row>
    <row r="343" spans="1:19" ht="15.75" customHeight="1">
      <c r="A343" s="344"/>
      <c r="B343" s="344"/>
      <c r="C343" s="74">
        <v>13</v>
      </c>
      <c r="D343" s="344"/>
      <c r="E343" s="344"/>
      <c r="F343" s="84"/>
      <c r="G343" s="84"/>
      <c r="H343" s="294" t="s">
        <v>7674</v>
      </c>
      <c r="I343" s="75" t="s">
        <v>7670</v>
      </c>
      <c r="J343" s="435"/>
      <c r="K343" s="152" t="s">
        <v>294</v>
      </c>
      <c r="L343" s="66"/>
      <c r="M343" s="66"/>
      <c r="N343" s="344"/>
      <c r="O343" s="50"/>
      <c r="P343" s="50"/>
      <c r="Q343" s="50" t="s">
        <v>140</v>
      </c>
      <c r="R343" s="50"/>
      <c r="S343" s="50"/>
    </row>
    <row r="344" spans="1:19" ht="15.75" customHeight="1">
      <c r="A344" s="344"/>
      <c r="B344" s="344"/>
      <c r="C344" s="74">
        <v>14</v>
      </c>
      <c r="D344" s="344"/>
      <c r="E344" s="344"/>
      <c r="F344" s="84"/>
      <c r="G344" s="84"/>
      <c r="H344" s="294" t="s">
        <v>7675</v>
      </c>
      <c r="I344" s="75" t="s">
        <v>7670</v>
      </c>
      <c r="J344" s="435"/>
      <c r="K344" s="152" t="s">
        <v>294</v>
      </c>
      <c r="L344" s="66"/>
      <c r="M344" s="66"/>
      <c r="N344" s="344"/>
      <c r="O344" s="50"/>
      <c r="P344" s="50"/>
      <c r="Q344" s="50" t="s">
        <v>140</v>
      </c>
      <c r="R344" s="50"/>
      <c r="S344" s="50"/>
    </row>
    <row r="345" spans="1:19" ht="15.75" customHeight="1">
      <c r="A345" s="344"/>
      <c r="B345" s="344"/>
      <c r="C345" s="74">
        <v>15</v>
      </c>
      <c r="D345" s="344"/>
      <c r="E345" s="344"/>
      <c r="F345" s="84"/>
      <c r="G345" s="84"/>
      <c r="H345" s="294" t="s">
        <v>7676</v>
      </c>
      <c r="I345" s="75" t="s">
        <v>7670</v>
      </c>
      <c r="J345" s="435"/>
      <c r="K345" s="152" t="s">
        <v>294</v>
      </c>
      <c r="L345" s="66"/>
      <c r="M345" s="66"/>
      <c r="N345" s="344"/>
      <c r="O345" s="50"/>
      <c r="P345" s="50"/>
      <c r="Q345" s="50" t="s">
        <v>140</v>
      </c>
      <c r="R345" s="50"/>
      <c r="S345" s="50"/>
    </row>
    <row r="346" spans="1:19" ht="15.75" customHeight="1">
      <c r="A346" s="344"/>
      <c r="B346" s="344"/>
      <c r="C346" s="74">
        <v>16</v>
      </c>
      <c r="D346" s="344"/>
      <c r="E346" s="344"/>
      <c r="F346" s="84"/>
      <c r="G346" s="84"/>
      <c r="H346" s="294" t="s">
        <v>7677</v>
      </c>
      <c r="I346" s="75" t="s">
        <v>7670</v>
      </c>
      <c r="J346" s="435"/>
      <c r="K346" s="152" t="s">
        <v>294</v>
      </c>
      <c r="L346" s="66"/>
      <c r="M346" s="66"/>
      <c r="N346" s="344"/>
      <c r="O346" s="50"/>
      <c r="P346" s="50"/>
      <c r="Q346" s="50" t="s">
        <v>140</v>
      </c>
      <c r="R346" s="50"/>
      <c r="S346" s="50"/>
    </row>
    <row r="347" spans="1:19" ht="15.75" customHeight="1">
      <c r="A347" s="344"/>
      <c r="B347" s="344"/>
      <c r="C347" s="74">
        <v>17</v>
      </c>
      <c r="D347" s="344"/>
      <c r="E347" s="344"/>
      <c r="F347" s="84"/>
      <c r="G347" s="84"/>
      <c r="H347" s="294" t="s">
        <v>7678</v>
      </c>
      <c r="I347" s="75" t="s">
        <v>7670</v>
      </c>
      <c r="J347" s="435"/>
      <c r="K347" s="152" t="s">
        <v>294</v>
      </c>
      <c r="L347" s="66"/>
      <c r="M347" s="66"/>
      <c r="N347" s="344"/>
      <c r="O347" s="50"/>
      <c r="P347" s="50"/>
      <c r="Q347" s="50" t="s">
        <v>140</v>
      </c>
      <c r="R347" s="50"/>
      <c r="S347" s="50"/>
    </row>
    <row r="348" spans="1:19" ht="17.25" customHeight="1">
      <c r="A348" s="344"/>
      <c r="B348" s="344"/>
      <c r="C348" s="74">
        <v>18</v>
      </c>
      <c r="D348" s="344"/>
      <c r="E348" s="345"/>
      <c r="F348" s="84"/>
      <c r="G348" s="84"/>
      <c r="H348" s="294" t="s">
        <v>7679</v>
      </c>
      <c r="I348" s="75" t="s">
        <v>7670</v>
      </c>
      <c r="J348" s="435"/>
      <c r="K348" s="152" t="s">
        <v>294</v>
      </c>
      <c r="L348" s="66"/>
      <c r="M348" s="66"/>
      <c r="N348" s="345"/>
      <c r="O348" s="50"/>
      <c r="P348" s="50"/>
      <c r="Q348" s="50" t="s">
        <v>140</v>
      </c>
      <c r="R348" s="50"/>
      <c r="S348" s="149"/>
    </row>
    <row r="349" spans="1:19" ht="15.75" customHeight="1">
      <c r="A349" s="344"/>
      <c r="B349" s="344"/>
      <c r="C349" s="74">
        <v>19</v>
      </c>
      <c r="D349" s="344"/>
      <c r="E349" s="412" t="s">
        <v>7680</v>
      </c>
      <c r="F349" s="84"/>
      <c r="G349" s="84"/>
      <c r="H349" s="294" t="s">
        <v>7681</v>
      </c>
      <c r="I349" s="75" t="s">
        <v>7670</v>
      </c>
      <c r="J349" s="435"/>
      <c r="K349" s="152" t="s">
        <v>294</v>
      </c>
      <c r="L349" s="66"/>
      <c r="M349" s="66"/>
      <c r="N349" s="363"/>
      <c r="O349" s="50"/>
      <c r="P349" s="50"/>
      <c r="Q349" s="149" t="s">
        <v>140</v>
      </c>
      <c r="R349" s="50"/>
      <c r="S349" s="149"/>
    </row>
    <row r="350" spans="1:19" ht="15.75" customHeight="1">
      <c r="A350" s="344"/>
      <c r="B350" s="344"/>
      <c r="C350" s="74">
        <v>20</v>
      </c>
      <c r="D350" s="344"/>
      <c r="E350" s="344"/>
      <c r="F350" s="84"/>
      <c r="G350" s="84"/>
      <c r="H350" s="294" t="s">
        <v>7682</v>
      </c>
      <c r="I350" s="75" t="s">
        <v>7670</v>
      </c>
      <c r="J350" s="435"/>
      <c r="K350" s="152" t="s">
        <v>294</v>
      </c>
      <c r="L350" s="66"/>
      <c r="M350" s="66"/>
      <c r="N350" s="344"/>
      <c r="O350" s="50"/>
      <c r="P350" s="50"/>
      <c r="Q350" s="149" t="s">
        <v>140</v>
      </c>
      <c r="R350" s="50"/>
      <c r="S350" s="149"/>
    </row>
    <row r="351" spans="1:19" ht="15.75" customHeight="1">
      <c r="A351" s="344"/>
      <c r="B351" s="344"/>
      <c r="C351" s="74">
        <v>21</v>
      </c>
      <c r="D351" s="344"/>
      <c r="E351" s="344"/>
      <c r="F351" s="84"/>
      <c r="G351" s="84"/>
      <c r="H351" s="294" t="s">
        <v>7683</v>
      </c>
      <c r="I351" s="75" t="s">
        <v>7670</v>
      </c>
      <c r="J351" s="435"/>
      <c r="K351" s="152" t="s">
        <v>294</v>
      </c>
      <c r="L351" s="66"/>
      <c r="M351" s="66"/>
      <c r="N351" s="344"/>
      <c r="O351" s="50"/>
      <c r="P351" s="50"/>
      <c r="Q351" s="149" t="s">
        <v>140</v>
      </c>
      <c r="R351" s="50"/>
      <c r="S351" s="149"/>
    </row>
    <row r="352" spans="1:19" ht="15.75" customHeight="1">
      <c r="A352" s="344"/>
      <c r="B352" s="344"/>
      <c r="C352" s="74">
        <v>22</v>
      </c>
      <c r="D352" s="345"/>
      <c r="E352" s="345"/>
      <c r="F352" s="84"/>
      <c r="G352" s="84"/>
      <c r="H352" s="294" t="s">
        <v>7684</v>
      </c>
      <c r="I352" s="75" t="s">
        <v>7670</v>
      </c>
      <c r="J352" s="435"/>
      <c r="K352" s="152" t="s">
        <v>294</v>
      </c>
      <c r="L352" s="66"/>
      <c r="M352" s="66"/>
      <c r="N352" s="345"/>
      <c r="O352" s="50"/>
      <c r="P352" s="50"/>
      <c r="Q352" s="149" t="s">
        <v>140</v>
      </c>
      <c r="R352" s="50"/>
      <c r="S352" s="50"/>
    </row>
    <row r="353" spans="1:19" ht="15.75" customHeight="1">
      <c r="A353" s="344"/>
      <c r="B353" s="344"/>
      <c r="C353" s="74">
        <v>23</v>
      </c>
      <c r="D353" s="295" t="s">
        <v>7685</v>
      </c>
      <c r="E353" s="295" t="s">
        <v>7686</v>
      </c>
      <c r="F353" s="84"/>
      <c r="G353" s="84"/>
      <c r="H353" s="80" t="s">
        <v>7687</v>
      </c>
      <c r="I353" s="75" t="s">
        <v>7688</v>
      </c>
      <c r="J353" s="435"/>
      <c r="K353" s="152" t="s">
        <v>294</v>
      </c>
      <c r="L353" s="50"/>
      <c r="M353" s="50"/>
      <c r="N353" s="74"/>
      <c r="O353" s="50"/>
      <c r="P353" s="50"/>
      <c r="Q353" s="50" t="s">
        <v>140</v>
      </c>
      <c r="R353" s="50"/>
      <c r="S353" s="50"/>
    </row>
    <row r="354" spans="1:19" ht="15.75" customHeight="1">
      <c r="A354" s="344"/>
      <c r="B354" s="344"/>
      <c r="C354" s="74">
        <v>24</v>
      </c>
      <c r="D354" s="295" t="s">
        <v>7689</v>
      </c>
      <c r="E354" s="295" t="s">
        <v>7690</v>
      </c>
      <c r="F354" s="84"/>
      <c r="G354" s="84"/>
      <c r="H354" s="80" t="s">
        <v>7691</v>
      </c>
      <c r="I354" s="75" t="s">
        <v>7692</v>
      </c>
      <c r="J354" s="435"/>
      <c r="K354" s="152" t="s">
        <v>294</v>
      </c>
      <c r="L354" s="50"/>
      <c r="M354" s="50"/>
      <c r="N354" s="74"/>
      <c r="O354" s="50"/>
      <c r="P354" s="50"/>
      <c r="Q354" s="50" t="s">
        <v>140</v>
      </c>
      <c r="R354" s="50"/>
      <c r="S354" s="50"/>
    </row>
    <row r="355" spans="1:19" ht="15.75" customHeight="1">
      <c r="A355" s="344"/>
      <c r="B355" s="344"/>
      <c r="C355" s="74">
        <v>25</v>
      </c>
      <c r="D355" s="412" t="s">
        <v>7693</v>
      </c>
      <c r="E355" s="412" t="s">
        <v>7694</v>
      </c>
      <c r="F355" s="84"/>
      <c r="G355" s="84"/>
      <c r="H355" s="80" t="s">
        <v>7695</v>
      </c>
      <c r="I355" s="75" t="s">
        <v>7696</v>
      </c>
      <c r="J355" s="435"/>
      <c r="K355" s="152" t="s">
        <v>294</v>
      </c>
      <c r="L355" s="50"/>
      <c r="M355" s="149"/>
      <c r="N355" s="74"/>
      <c r="O355" s="50"/>
      <c r="P355" s="50"/>
      <c r="Q355" s="50" t="s">
        <v>140</v>
      </c>
      <c r="R355" s="50"/>
      <c r="S355" s="149"/>
    </row>
    <row r="356" spans="1:19" ht="17.25" customHeight="1">
      <c r="A356" s="344"/>
      <c r="B356" s="344"/>
      <c r="C356" s="74">
        <v>26</v>
      </c>
      <c r="D356" s="344"/>
      <c r="E356" s="344"/>
      <c r="F356" s="84"/>
      <c r="G356" s="84"/>
      <c r="H356" s="75" t="s">
        <v>7697</v>
      </c>
      <c r="I356" s="75" t="s">
        <v>7698</v>
      </c>
      <c r="J356" s="435"/>
      <c r="K356" s="152" t="s">
        <v>294</v>
      </c>
      <c r="L356" s="149"/>
      <c r="M356" s="50"/>
      <c r="N356" s="45"/>
      <c r="O356" s="149"/>
      <c r="P356" s="149"/>
      <c r="Q356" s="149" t="s">
        <v>140</v>
      </c>
      <c r="R356" s="149"/>
      <c r="S356" s="50"/>
    </row>
    <row r="357" spans="1:19" ht="15.75" customHeight="1">
      <c r="A357" s="344"/>
      <c r="B357" s="344"/>
      <c r="C357" s="74">
        <v>27</v>
      </c>
      <c r="D357" s="344"/>
      <c r="E357" s="344"/>
      <c r="F357" s="84"/>
      <c r="G357" s="84"/>
      <c r="H357" s="80" t="s">
        <v>7699</v>
      </c>
      <c r="I357" s="80" t="s">
        <v>7700</v>
      </c>
      <c r="J357" s="84"/>
      <c r="K357" s="25" t="s">
        <v>294</v>
      </c>
      <c r="L357" s="50"/>
      <c r="M357" s="389"/>
      <c r="N357" s="74"/>
      <c r="O357" s="50"/>
      <c r="P357" s="50"/>
      <c r="Q357" s="50" t="s">
        <v>140</v>
      </c>
      <c r="R357" s="50"/>
      <c r="S357" s="149"/>
    </row>
    <row r="358" spans="1:19" ht="17.25" customHeight="1">
      <c r="A358" s="344"/>
      <c r="B358" s="344"/>
      <c r="C358" s="74">
        <v>28</v>
      </c>
      <c r="D358" s="344"/>
      <c r="E358" s="344"/>
      <c r="F358" s="84"/>
      <c r="G358" s="84"/>
      <c r="H358" s="372" t="s">
        <v>7701</v>
      </c>
      <c r="I358" s="372" t="s">
        <v>7702</v>
      </c>
      <c r="J358" s="435"/>
      <c r="K358" s="390" t="s">
        <v>294</v>
      </c>
      <c r="L358" s="389"/>
      <c r="M358" s="345"/>
      <c r="N358" s="363"/>
      <c r="O358" s="389"/>
      <c r="P358" s="389"/>
      <c r="Q358" s="389" t="s">
        <v>140</v>
      </c>
      <c r="R358" s="389"/>
      <c r="S358" s="179"/>
    </row>
    <row r="359" spans="1:19" ht="17.25" customHeight="1">
      <c r="A359" s="344"/>
      <c r="B359" s="344"/>
      <c r="C359" s="74">
        <v>29</v>
      </c>
      <c r="D359" s="344"/>
      <c r="E359" s="345"/>
      <c r="F359" s="84"/>
      <c r="G359" s="84"/>
      <c r="H359" s="345"/>
      <c r="I359" s="345"/>
      <c r="J359" s="438"/>
      <c r="K359" s="345"/>
      <c r="L359" s="345"/>
      <c r="M359" s="66"/>
      <c r="N359" s="345"/>
      <c r="O359" s="345"/>
      <c r="P359" s="345"/>
      <c r="Q359" s="345"/>
      <c r="R359" s="345"/>
      <c r="S359" s="50"/>
    </row>
    <row r="360" spans="1:19" ht="17.25" customHeight="1">
      <c r="A360" s="344"/>
      <c r="B360" s="344"/>
      <c r="C360" s="74">
        <v>30</v>
      </c>
      <c r="D360" s="344"/>
      <c r="E360" s="412" t="s">
        <v>7703</v>
      </c>
      <c r="F360" s="84"/>
      <c r="G360" s="84"/>
      <c r="H360" s="294" t="s">
        <v>7649</v>
      </c>
      <c r="I360" s="75" t="s">
        <v>7605</v>
      </c>
      <c r="J360" s="435"/>
      <c r="K360" s="43" t="s">
        <v>294</v>
      </c>
      <c r="L360" s="66"/>
      <c r="M360" s="66"/>
      <c r="N360" s="148"/>
      <c r="O360" s="50"/>
      <c r="P360" s="50"/>
      <c r="Q360" s="50" t="s">
        <v>140</v>
      </c>
      <c r="R360" s="50"/>
      <c r="S360" s="50"/>
    </row>
    <row r="361" spans="1:19" ht="15.75" customHeight="1">
      <c r="A361" s="344"/>
      <c r="B361" s="344"/>
      <c r="C361" s="74">
        <v>31</v>
      </c>
      <c r="D361" s="344"/>
      <c r="E361" s="344"/>
      <c r="F361" s="84"/>
      <c r="G361" s="84"/>
      <c r="H361" s="294" t="s">
        <v>7704</v>
      </c>
      <c r="I361" s="75" t="s">
        <v>7670</v>
      </c>
      <c r="J361" s="435"/>
      <c r="K361" s="43" t="s">
        <v>294</v>
      </c>
      <c r="L361" s="66"/>
      <c r="M361" s="66"/>
      <c r="N361" s="296"/>
      <c r="O361" s="50"/>
      <c r="P361" s="50"/>
      <c r="Q361" s="50" t="s">
        <v>140</v>
      </c>
      <c r="R361" s="50"/>
      <c r="S361" s="50"/>
    </row>
    <row r="362" spans="1:19" ht="15.75" customHeight="1">
      <c r="A362" s="344"/>
      <c r="B362" s="344"/>
      <c r="C362" s="74">
        <v>32</v>
      </c>
      <c r="D362" s="344"/>
      <c r="E362" s="344"/>
      <c r="F362" s="84"/>
      <c r="G362" s="84"/>
      <c r="H362" s="294" t="s">
        <v>7705</v>
      </c>
      <c r="I362" s="75" t="s">
        <v>7670</v>
      </c>
      <c r="J362" s="435"/>
      <c r="K362" s="43" t="s">
        <v>294</v>
      </c>
      <c r="L362" s="66"/>
      <c r="M362" s="66"/>
      <c r="N362" s="296"/>
      <c r="O362" s="50"/>
      <c r="P362" s="50"/>
      <c r="Q362" s="50" t="s">
        <v>140</v>
      </c>
      <c r="R362" s="50"/>
      <c r="S362" s="50"/>
    </row>
    <row r="363" spans="1:19" ht="17.25" customHeight="1">
      <c r="A363" s="344"/>
      <c r="B363" s="344"/>
      <c r="C363" s="74">
        <v>33</v>
      </c>
      <c r="D363" s="344"/>
      <c r="E363" s="344"/>
      <c r="F363" s="84"/>
      <c r="G363" s="84"/>
      <c r="H363" s="294" t="s">
        <v>7706</v>
      </c>
      <c r="I363" s="75" t="s">
        <v>7670</v>
      </c>
      <c r="J363" s="435"/>
      <c r="K363" s="43" t="s">
        <v>294</v>
      </c>
      <c r="L363" s="66"/>
      <c r="M363" s="66"/>
      <c r="N363" s="296"/>
      <c r="O363" s="50"/>
      <c r="P363" s="50"/>
      <c r="Q363" s="50" t="s">
        <v>140</v>
      </c>
      <c r="R363" s="50"/>
      <c r="S363" s="50"/>
    </row>
    <row r="364" spans="1:19" ht="17.25" customHeight="1">
      <c r="A364" s="344"/>
      <c r="B364" s="344"/>
      <c r="C364" s="74">
        <v>34</v>
      </c>
      <c r="D364" s="344"/>
      <c r="E364" s="344"/>
      <c r="F364" s="84"/>
      <c r="G364" s="84"/>
      <c r="H364" s="294" t="s">
        <v>7707</v>
      </c>
      <c r="I364" s="75" t="s">
        <v>7670</v>
      </c>
      <c r="J364" s="435"/>
      <c r="K364" s="43" t="s">
        <v>294</v>
      </c>
      <c r="L364" s="66"/>
      <c r="M364" s="66"/>
      <c r="N364" s="296"/>
      <c r="O364" s="50"/>
      <c r="P364" s="50"/>
      <c r="Q364" s="50" t="s">
        <v>140</v>
      </c>
      <c r="R364" s="50"/>
      <c r="S364" s="50"/>
    </row>
    <row r="365" spans="1:19" ht="15.75" customHeight="1">
      <c r="A365" s="344"/>
      <c r="B365" s="344"/>
      <c r="C365" s="74">
        <v>35</v>
      </c>
      <c r="D365" s="344"/>
      <c r="E365" s="344"/>
      <c r="F365" s="84"/>
      <c r="G365" s="84"/>
      <c r="H365" s="294" t="s">
        <v>7708</v>
      </c>
      <c r="I365" s="75" t="s">
        <v>7670</v>
      </c>
      <c r="J365" s="435"/>
      <c r="K365" s="43" t="s">
        <v>294</v>
      </c>
      <c r="L365" s="66"/>
      <c r="M365" s="66"/>
      <c r="N365" s="296"/>
      <c r="O365" s="50"/>
      <c r="P365" s="50"/>
      <c r="Q365" s="50" t="s">
        <v>140</v>
      </c>
      <c r="R365" s="50"/>
      <c r="S365" s="50"/>
    </row>
    <row r="366" spans="1:19" ht="15.75" customHeight="1">
      <c r="A366" s="344"/>
      <c r="B366" s="344"/>
      <c r="C366" s="74">
        <v>36</v>
      </c>
      <c r="D366" s="344"/>
      <c r="E366" s="344"/>
      <c r="F366" s="84"/>
      <c r="G366" s="84"/>
      <c r="H366" s="294" t="s">
        <v>7709</v>
      </c>
      <c r="I366" s="75" t="s">
        <v>7670</v>
      </c>
      <c r="J366" s="435"/>
      <c r="K366" s="43" t="s">
        <v>294</v>
      </c>
      <c r="L366" s="66"/>
      <c r="M366" s="66"/>
      <c r="N366" s="296"/>
      <c r="O366" s="50"/>
      <c r="P366" s="50"/>
      <c r="Q366" s="50" t="s">
        <v>140</v>
      </c>
      <c r="R366" s="50"/>
      <c r="S366" s="50"/>
    </row>
    <row r="367" spans="1:19" ht="15.75" customHeight="1">
      <c r="A367" s="344"/>
      <c r="B367" s="344"/>
      <c r="C367" s="74">
        <v>37</v>
      </c>
      <c r="D367" s="344"/>
      <c r="E367" s="344"/>
      <c r="F367" s="84"/>
      <c r="G367" s="84"/>
      <c r="H367" s="294" t="s">
        <v>7710</v>
      </c>
      <c r="I367" s="75" t="s">
        <v>7670</v>
      </c>
      <c r="J367" s="435"/>
      <c r="K367" s="43" t="s">
        <v>294</v>
      </c>
      <c r="L367" s="66"/>
      <c r="M367" s="66"/>
      <c r="N367" s="296"/>
      <c r="O367" s="50"/>
      <c r="P367" s="50"/>
      <c r="Q367" s="50" t="s">
        <v>140</v>
      </c>
      <c r="R367" s="50"/>
      <c r="S367" s="50"/>
    </row>
    <row r="368" spans="1:19" ht="15.75" customHeight="1">
      <c r="A368" s="344"/>
      <c r="B368" s="344"/>
      <c r="C368" s="74">
        <v>38</v>
      </c>
      <c r="D368" s="344"/>
      <c r="E368" s="344"/>
      <c r="F368" s="84"/>
      <c r="G368" s="84"/>
      <c r="H368" s="294" t="s">
        <v>7711</v>
      </c>
      <c r="I368" s="75" t="s">
        <v>7670</v>
      </c>
      <c r="J368" s="435"/>
      <c r="K368" s="43" t="s">
        <v>294</v>
      </c>
      <c r="L368" s="66"/>
      <c r="M368" s="66"/>
      <c r="N368" s="296"/>
      <c r="O368" s="50"/>
      <c r="P368" s="50"/>
      <c r="Q368" s="50" t="s">
        <v>140</v>
      </c>
      <c r="R368" s="50"/>
      <c r="S368" s="50"/>
    </row>
    <row r="369" spans="1:19" ht="15.75" customHeight="1">
      <c r="A369" s="344"/>
      <c r="B369" s="344"/>
      <c r="C369" s="74">
        <v>39</v>
      </c>
      <c r="D369" s="344"/>
      <c r="E369" s="344"/>
      <c r="F369" s="84"/>
      <c r="G369" s="84"/>
      <c r="H369" s="294" t="s">
        <v>7712</v>
      </c>
      <c r="I369" s="75" t="s">
        <v>7670</v>
      </c>
      <c r="J369" s="435"/>
      <c r="K369" s="43" t="s">
        <v>294</v>
      </c>
      <c r="L369" s="66"/>
      <c r="M369" s="66"/>
      <c r="N369" s="296"/>
      <c r="O369" s="50"/>
      <c r="P369" s="50"/>
      <c r="Q369" s="50" t="s">
        <v>140</v>
      </c>
      <c r="R369" s="50"/>
      <c r="S369" s="50"/>
    </row>
    <row r="370" spans="1:19" ht="17.25" customHeight="1">
      <c r="A370" s="344"/>
      <c r="B370" s="344"/>
      <c r="C370" s="74">
        <v>40</v>
      </c>
      <c r="D370" s="344"/>
      <c r="E370" s="345"/>
      <c r="F370" s="84"/>
      <c r="G370" s="84"/>
      <c r="H370" s="294" t="s">
        <v>7713</v>
      </c>
      <c r="I370" s="75" t="s">
        <v>7670</v>
      </c>
      <c r="J370" s="435"/>
      <c r="K370" s="43" t="s">
        <v>294</v>
      </c>
      <c r="L370" s="66"/>
      <c r="M370" s="66"/>
      <c r="N370" s="297"/>
      <c r="O370" s="50"/>
      <c r="P370" s="50"/>
      <c r="Q370" s="50" t="s">
        <v>140</v>
      </c>
      <c r="R370" s="50"/>
      <c r="S370" s="50"/>
    </row>
    <row r="371" spans="1:19" ht="54" customHeight="1">
      <c r="A371" s="344"/>
      <c r="B371" s="344"/>
      <c r="C371" s="74">
        <v>41</v>
      </c>
      <c r="D371" s="344"/>
      <c r="E371" s="412" t="s">
        <v>7680</v>
      </c>
      <c r="F371" s="84"/>
      <c r="G371" s="84"/>
      <c r="H371" s="294" t="s">
        <v>7681</v>
      </c>
      <c r="I371" s="75" t="s">
        <v>7714</v>
      </c>
      <c r="J371" s="435"/>
      <c r="K371" s="43" t="s">
        <v>294</v>
      </c>
      <c r="L371" s="66"/>
      <c r="M371" s="66"/>
      <c r="N371" s="363"/>
      <c r="O371" s="66"/>
      <c r="P371" s="66"/>
      <c r="Q371" s="50" t="s">
        <v>140</v>
      </c>
      <c r="R371" s="66"/>
      <c r="S371" s="50"/>
    </row>
    <row r="372" spans="1:19" ht="15.75" customHeight="1">
      <c r="A372" s="344"/>
      <c r="B372" s="344"/>
      <c r="C372" s="74">
        <v>42</v>
      </c>
      <c r="D372" s="344"/>
      <c r="E372" s="344"/>
      <c r="F372" s="84"/>
      <c r="G372" s="84"/>
      <c r="H372" s="294" t="s">
        <v>7682</v>
      </c>
      <c r="I372" s="75" t="s">
        <v>7714</v>
      </c>
      <c r="J372" s="435"/>
      <c r="K372" s="43" t="s">
        <v>294</v>
      </c>
      <c r="L372" s="66"/>
      <c r="M372" s="66"/>
      <c r="N372" s="344"/>
      <c r="O372" s="66"/>
      <c r="P372" s="66"/>
      <c r="Q372" s="50" t="s">
        <v>140</v>
      </c>
      <c r="R372" s="66"/>
      <c r="S372" s="50"/>
    </row>
    <row r="373" spans="1:19" ht="15.75" customHeight="1">
      <c r="A373" s="344"/>
      <c r="B373" s="344"/>
      <c r="C373" s="74">
        <v>43</v>
      </c>
      <c r="D373" s="344"/>
      <c r="E373" s="344"/>
      <c r="F373" s="84"/>
      <c r="G373" s="84"/>
      <c r="H373" s="294" t="s">
        <v>7683</v>
      </c>
      <c r="I373" s="75" t="s">
        <v>7714</v>
      </c>
      <c r="J373" s="435"/>
      <c r="K373" s="43" t="s">
        <v>294</v>
      </c>
      <c r="L373" s="66"/>
      <c r="M373" s="66"/>
      <c r="N373" s="344"/>
      <c r="O373" s="66"/>
      <c r="P373" s="66"/>
      <c r="Q373" s="50" t="s">
        <v>140</v>
      </c>
      <c r="R373" s="66"/>
      <c r="S373" s="50"/>
    </row>
    <row r="374" spans="1:19" ht="15.75" customHeight="1">
      <c r="A374" s="344"/>
      <c r="B374" s="344"/>
      <c r="C374" s="74">
        <v>44</v>
      </c>
      <c r="D374" s="345"/>
      <c r="E374" s="345"/>
      <c r="F374" s="84"/>
      <c r="G374" s="84"/>
      <c r="H374" s="294" t="s">
        <v>7684</v>
      </c>
      <c r="I374" s="75" t="s">
        <v>7714</v>
      </c>
      <c r="J374" s="435"/>
      <c r="K374" s="43" t="s">
        <v>294</v>
      </c>
      <c r="L374" s="66"/>
      <c r="M374" s="50"/>
      <c r="N374" s="345"/>
      <c r="O374" s="66"/>
      <c r="P374" s="66"/>
      <c r="Q374" s="50" t="s">
        <v>140</v>
      </c>
      <c r="R374" s="66"/>
      <c r="S374" s="50"/>
    </row>
    <row r="375" spans="1:19" ht="15.75" customHeight="1">
      <c r="A375" s="344"/>
      <c r="B375" s="344"/>
      <c r="C375" s="74">
        <v>45</v>
      </c>
      <c r="D375" s="295" t="s">
        <v>7715</v>
      </c>
      <c r="E375" s="295" t="s">
        <v>7716</v>
      </c>
      <c r="F375" s="84"/>
      <c r="G375" s="84"/>
      <c r="H375" s="80" t="s">
        <v>7717</v>
      </c>
      <c r="I375" s="80" t="s">
        <v>7718</v>
      </c>
      <c r="J375" s="84"/>
      <c r="K375" s="25" t="s">
        <v>294</v>
      </c>
      <c r="L375" s="50"/>
      <c r="M375" s="50"/>
      <c r="N375" s="74"/>
      <c r="O375" s="50"/>
      <c r="P375" s="50"/>
      <c r="Q375" s="50" t="s">
        <v>140</v>
      </c>
      <c r="R375" s="50"/>
      <c r="S375" s="50"/>
    </row>
    <row r="376" spans="1:19" ht="15.75" customHeight="1">
      <c r="A376" s="344"/>
      <c r="B376" s="344"/>
      <c r="C376" s="74">
        <v>46</v>
      </c>
      <c r="D376" s="295" t="s">
        <v>7689</v>
      </c>
      <c r="E376" s="295" t="s">
        <v>7690</v>
      </c>
      <c r="F376" s="84"/>
      <c r="G376" s="84"/>
      <c r="H376" s="80" t="s">
        <v>7691</v>
      </c>
      <c r="I376" s="80" t="s">
        <v>7692</v>
      </c>
      <c r="J376" s="84"/>
      <c r="K376" s="25" t="s">
        <v>294</v>
      </c>
      <c r="L376" s="50"/>
      <c r="M376" s="50"/>
      <c r="N376" s="74"/>
      <c r="O376" s="50"/>
      <c r="P376" s="50"/>
      <c r="Q376" s="50" t="s">
        <v>140</v>
      </c>
      <c r="R376" s="50"/>
      <c r="S376" s="50"/>
    </row>
    <row r="377" spans="1:19" ht="15.75" customHeight="1">
      <c r="A377" s="344"/>
      <c r="B377" s="344"/>
      <c r="C377" s="74">
        <v>47</v>
      </c>
      <c r="D377" s="412" t="s">
        <v>7719</v>
      </c>
      <c r="E377" s="412" t="s">
        <v>7720</v>
      </c>
      <c r="F377" s="84"/>
      <c r="G377" s="84"/>
      <c r="H377" s="80" t="s">
        <v>7721</v>
      </c>
      <c r="I377" s="80" t="s">
        <v>7722</v>
      </c>
      <c r="J377" s="84"/>
      <c r="K377" s="25" t="s">
        <v>294</v>
      </c>
      <c r="L377" s="50"/>
      <c r="M377" s="149"/>
      <c r="N377" s="74"/>
      <c r="O377" s="50"/>
      <c r="P377" s="50"/>
      <c r="Q377" s="50" t="s">
        <v>140</v>
      </c>
      <c r="R377" s="50"/>
      <c r="S377" s="149"/>
    </row>
    <row r="378" spans="1:19" ht="15.75" customHeight="1">
      <c r="A378" s="344"/>
      <c r="B378" s="344"/>
      <c r="C378" s="74">
        <v>48</v>
      </c>
      <c r="D378" s="344"/>
      <c r="E378" s="344"/>
      <c r="F378" s="84"/>
      <c r="G378" s="84"/>
      <c r="H378" s="75" t="s">
        <v>7723</v>
      </c>
      <c r="I378" s="75" t="s">
        <v>7698</v>
      </c>
      <c r="J378" s="435"/>
      <c r="K378" s="152" t="s">
        <v>294</v>
      </c>
      <c r="L378" s="149"/>
      <c r="M378" s="50"/>
      <c r="N378" s="45"/>
      <c r="O378" s="149"/>
      <c r="P378" s="149"/>
      <c r="Q378" s="149" t="s">
        <v>140</v>
      </c>
      <c r="R378" s="149"/>
      <c r="S378" s="50"/>
    </row>
    <row r="379" spans="1:19" ht="15.75" customHeight="1">
      <c r="A379" s="344"/>
      <c r="B379" s="344"/>
      <c r="C379" s="74">
        <v>49</v>
      </c>
      <c r="D379" s="344"/>
      <c r="E379" s="344"/>
      <c r="F379" s="84"/>
      <c r="G379" s="84"/>
      <c r="H379" s="80" t="s">
        <v>7724</v>
      </c>
      <c r="I379" s="80" t="s">
        <v>7667</v>
      </c>
      <c r="J379" s="84"/>
      <c r="K379" s="25" t="s">
        <v>294</v>
      </c>
      <c r="L379" s="50"/>
      <c r="M379" s="50"/>
      <c r="N379" s="74"/>
      <c r="O379" s="50"/>
      <c r="P379" s="50"/>
      <c r="Q379" s="50" t="s">
        <v>140</v>
      </c>
      <c r="R379" s="50"/>
      <c r="S379" s="149"/>
    </row>
    <row r="380" spans="1:19" ht="15.75" customHeight="1">
      <c r="A380" s="344"/>
      <c r="B380" s="344"/>
      <c r="C380" s="74">
        <v>50</v>
      </c>
      <c r="D380" s="344"/>
      <c r="E380" s="412" t="s">
        <v>7725</v>
      </c>
      <c r="F380" s="84"/>
      <c r="G380" s="84"/>
      <c r="H380" s="294" t="s">
        <v>7649</v>
      </c>
      <c r="I380" s="75" t="s">
        <v>7605</v>
      </c>
      <c r="J380" s="435"/>
      <c r="K380" s="25" t="s">
        <v>294</v>
      </c>
      <c r="L380" s="50"/>
      <c r="M380" s="50"/>
      <c r="N380" s="363"/>
      <c r="O380" s="50"/>
      <c r="P380" s="50"/>
      <c r="Q380" s="149" t="s">
        <v>140</v>
      </c>
      <c r="R380" s="50"/>
      <c r="S380" s="149"/>
    </row>
    <row r="381" spans="1:19" ht="15.75" customHeight="1">
      <c r="A381" s="344"/>
      <c r="B381" s="344"/>
      <c r="C381" s="74">
        <v>51</v>
      </c>
      <c r="D381" s="344"/>
      <c r="E381" s="344"/>
      <c r="F381" s="84"/>
      <c r="G381" s="84"/>
      <c r="H381" s="294" t="s">
        <v>7726</v>
      </c>
      <c r="I381" s="75" t="s">
        <v>7670</v>
      </c>
      <c r="J381" s="435"/>
      <c r="K381" s="25" t="s">
        <v>294</v>
      </c>
      <c r="L381" s="50"/>
      <c r="M381" s="50"/>
      <c r="N381" s="344"/>
      <c r="O381" s="50"/>
      <c r="P381" s="50"/>
      <c r="Q381" s="149" t="s">
        <v>140</v>
      </c>
      <c r="R381" s="50"/>
      <c r="S381" s="149"/>
    </row>
    <row r="382" spans="1:19" ht="15.75" customHeight="1">
      <c r="A382" s="344"/>
      <c r="B382" s="344"/>
      <c r="C382" s="74">
        <v>52</v>
      </c>
      <c r="D382" s="344"/>
      <c r="E382" s="344"/>
      <c r="F382" s="84"/>
      <c r="G382" s="84"/>
      <c r="H382" s="294" t="s">
        <v>7727</v>
      </c>
      <c r="I382" s="75" t="s">
        <v>7670</v>
      </c>
      <c r="J382" s="435"/>
      <c r="K382" s="25" t="s">
        <v>294</v>
      </c>
      <c r="L382" s="50"/>
      <c r="M382" s="50"/>
      <c r="N382" s="344"/>
      <c r="O382" s="50"/>
      <c r="P382" s="50"/>
      <c r="Q382" s="149" t="s">
        <v>140</v>
      </c>
      <c r="R382" s="50"/>
      <c r="S382" s="149"/>
    </row>
    <row r="383" spans="1:19" ht="15.75" customHeight="1">
      <c r="A383" s="344"/>
      <c r="B383" s="344"/>
      <c r="C383" s="74">
        <v>53</v>
      </c>
      <c r="D383" s="344"/>
      <c r="E383" s="344"/>
      <c r="F383" s="84"/>
      <c r="G383" s="84"/>
      <c r="H383" s="294" t="s">
        <v>7728</v>
      </c>
      <c r="I383" s="75" t="s">
        <v>7670</v>
      </c>
      <c r="J383" s="435"/>
      <c r="K383" s="25" t="s">
        <v>294</v>
      </c>
      <c r="L383" s="50"/>
      <c r="M383" s="50"/>
      <c r="N383" s="344"/>
      <c r="O383" s="50"/>
      <c r="P383" s="50"/>
      <c r="Q383" s="149" t="s">
        <v>140</v>
      </c>
      <c r="R383" s="50"/>
      <c r="S383" s="149"/>
    </row>
    <row r="384" spans="1:19" ht="15.75" customHeight="1">
      <c r="A384" s="344"/>
      <c r="B384" s="344"/>
      <c r="C384" s="74">
        <v>54</v>
      </c>
      <c r="D384" s="344"/>
      <c r="E384" s="344"/>
      <c r="F384" s="84"/>
      <c r="G384" s="84"/>
      <c r="H384" s="294" t="s">
        <v>7729</v>
      </c>
      <c r="I384" s="75" t="s">
        <v>7670</v>
      </c>
      <c r="J384" s="435"/>
      <c r="K384" s="25" t="s">
        <v>294</v>
      </c>
      <c r="L384" s="50"/>
      <c r="M384" s="50"/>
      <c r="N384" s="344"/>
      <c r="O384" s="50"/>
      <c r="P384" s="50"/>
      <c r="Q384" s="149" t="s">
        <v>140</v>
      </c>
      <c r="R384" s="50"/>
      <c r="S384" s="149"/>
    </row>
    <row r="385" spans="1:19" ht="15.75" customHeight="1">
      <c r="A385" s="344"/>
      <c r="B385" s="344"/>
      <c r="C385" s="74">
        <v>55</v>
      </c>
      <c r="D385" s="344"/>
      <c r="E385" s="344"/>
      <c r="F385" s="84"/>
      <c r="G385" s="84"/>
      <c r="H385" s="294" t="s">
        <v>7730</v>
      </c>
      <c r="I385" s="75" t="s">
        <v>7670</v>
      </c>
      <c r="J385" s="435"/>
      <c r="K385" s="25" t="s">
        <v>294</v>
      </c>
      <c r="L385" s="50"/>
      <c r="M385" s="50"/>
      <c r="N385" s="344"/>
      <c r="O385" s="50"/>
      <c r="P385" s="50"/>
      <c r="Q385" s="149" t="s">
        <v>140</v>
      </c>
      <c r="R385" s="50"/>
      <c r="S385" s="149"/>
    </row>
    <row r="386" spans="1:19" ht="15.75" customHeight="1">
      <c r="A386" s="344"/>
      <c r="B386" s="344"/>
      <c r="C386" s="74">
        <v>56</v>
      </c>
      <c r="D386" s="344"/>
      <c r="E386" s="344"/>
      <c r="F386" s="84"/>
      <c r="G386" s="84"/>
      <c r="H386" s="294" t="s">
        <v>7731</v>
      </c>
      <c r="I386" s="75" t="s">
        <v>7670</v>
      </c>
      <c r="J386" s="435"/>
      <c r="K386" s="25" t="s">
        <v>294</v>
      </c>
      <c r="L386" s="50"/>
      <c r="M386" s="50"/>
      <c r="N386" s="344"/>
      <c r="O386" s="50"/>
      <c r="P386" s="50"/>
      <c r="Q386" s="149" t="s">
        <v>140</v>
      </c>
      <c r="R386" s="50"/>
      <c r="S386" s="149"/>
    </row>
    <row r="387" spans="1:19" ht="15.75" customHeight="1">
      <c r="A387" s="344"/>
      <c r="B387" s="344"/>
      <c r="C387" s="74">
        <v>57</v>
      </c>
      <c r="D387" s="344"/>
      <c r="E387" s="344"/>
      <c r="F387" s="84"/>
      <c r="G387" s="84"/>
      <c r="H387" s="294" t="s">
        <v>7732</v>
      </c>
      <c r="I387" s="75" t="s">
        <v>7670</v>
      </c>
      <c r="J387" s="435"/>
      <c r="K387" s="25" t="s">
        <v>294</v>
      </c>
      <c r="L387" s="50"/>
      <c r="M387" s="50"/>
      <c r="N387" s="344"/>
      <c r="O387" s="50"/>
      <c r="P387" s="50"/>
      <c r="Q387" s="149" t="s">
        <v>140</v>
      </c>
      <c r="R387" s="50"/>
      <c r="S387" s="149"/>
    </row>
    <row r="388" spans="1:19" ht="15.75" customHeight="1">
      <c r="A388" s="344"/>
      <c r="B388" s="344"/>
      <c r="C388" s="74">
        <v>58</v>
      </c>
      <c r="D388" s="344"/>
      <c r="E388" s="344"/>
      <c r="F388" s="84"/>
      <c r="G388" s="84"/>
      <c r="H388" s="294" t="s">
        <v>7733</v>
      </c>
      <c r="I388" s="75" t="s">
        <v>7670</v>
      </c>
      <c r="J388" s="435"/>
      <c r="K388" s="25" t="s">
        <v>294</v>
      </c>
      <c r="L388" s="50"/>
      <c r="M388" s="50"/>
      <c r="N388" s="344"/>
      <c r="O388" s="50"/>
      <c r="P388" s="50"/>
      <c r="Q388" s="149" t="s">
        <v>140</v>
      </c>
      <c r="R388" s="50"/>
      <c r="S388" s="149"/>
    </row>
    <row r="389" spans="1:19" ht="15.75" customHeight="1">
      <c r="A389" s="344"/>
      <c r="B389" s="344"/>
      <c r="C389" s="74">
        <v>59</v>
      </c>
      <c r="D389" s="344"/>
      <c r="E389" s="344"/>
      <c r="F389" s="84"/>
      <c r="G389" s="84"/>
      <c r="H389" s="294" t="s">
        <v>7734</v>
      </c>
      <c r="I389" s="75" t="s">
        <v>7670</v>
      </c>
      <c r="J389" s="435"/>
      <c r="K389" s="25" t="s">
        <v>294</v>
      </c>
      <c r="L389" s="50"/>
      <c r="M389" s="50"/>
      <c r="N389" s="344"/>
      <c r="O389" s="50"/>
      <c r="P389" s="50"/>
      <c r="Q389" s="149" t="s">
        <v>140</v>
      </c>
      <c r="R389" s="50"/>
      <c r="S389" s="149"/>
    </row>
    <row r="390" spans="1:19" ht="15.75" customHeight="1">
      <c r="A390" s="344"/>
      <c r="B390" s="344"/>
      <c r="C390" s="74">
        <v>60</v>
      </c>
      <c r="D390" s="344"/>
      <c r="E390" s="345"/>
      <c r="F390" s="84"/>
      <c r="G390" s="84"/>
      <c r="H390" s="294" t="s">
        <v>7735</v>
      </c>
      <c r="I390" s="75" t="s">
        <v>7670</v>
      </c>
      <c r="J390" s="435"/>
      <c r="K390" s="25" t="s">
        <v>294</v>
      </c>
      <c r="L390" s="50"/>
      <c r="M390" s="50"/>
      <c r="N390" s="345"/>
      <c r="O390" s="50"/>
      <c r="P390" s="50"/>
      <c r="Q390" s="149" t="s">
        <v>140</v>
      </c>
      <c r="R390" s="50"/>
      <c r="S390" s="50"/>
    </row>
    <row r="391" spans="1:19" ht="54" customHeight="1">
      <c r="A391" s="344"/>
      <c r="B391" s="344"/>
      <c r="C391" s="74">
        <v>61</v>
      </c>
      <c r="D391" s="344"/>
      <c r="E391" s="412" t="s">
        <v>7680</v>
      </c>
      <c r="F391" s="84"/>
      <c r="G391" s="84"/>
      <c r="H391" s="294" t="s">
        <v>7681</v>
      </c>
      <c r="I391" s="75" t="s">
        <v>7714</v>
      </c>
      <c r="J391" s="435"/>
      <c r="K391" s="25" t="s">
        <v>294</v>
      </c>
      <c r="L391" s="50"/>
      <c r="M391" s="50"/>
      <c r="N391" s="148"/>
      <c r="O391" s="50"/>
      <c r="P391" s="50"/>
      <c r="Q391" s="50" t="s">
        <v>140</v>
      </c>
      <c r="R391" s="50"/>
      <c r="S391" s="50"/>
    </row>
    <row r="392" spans="1:19" ht="15.75" customHeight="1">
      <c r="A392" s="344"/>
      <c r="B392" s="344"/>
      <c r="C392" s="74">
        <v>62</v>
      </c>
      <c r="D392" s="344"/>
      <c r="E392" s="344"/>
      <c r="F392" s="84"/>
      <c r="G392" s="84"/>
      <c r="H392" s="294" t="s">
        <v>7682</v>
      </c>
      <c r="I392" s="75" t="s">
        <v>7714</v>
      </c>
      <c r="J392" s="435"/>
      <c r="K392" s="25" t="s">
        <v>294</v>
      </c>
      <c r="L392" s="50"/>
      <c r="M392" s="50"/>
      <c r="N392" s="296"/>
      <c r="O392" s="50"/>
      <c r="P392" s="50"/>
      <c r="Q392" s="50" t="s">
        <v>140</v>
      </c>
      <c r="R392" s="50"/>
      <c r="S392" s="50"/>
    </row>
    <row r="393" spans="1:19" ht="15.75" customHeight="1">
      <c r="A393" s="344"/>
      <c r="B393" s="344"/>
      <c r="C393" s="74">
        <v>63</v>
      </c>
      <c r="D393" s="344"/>
      <c r="E393" s="344"/>
      <c r="F393" s="84"/>
      <c r="G393" s="84"/>
      <c r="H393" s="294" t="s">
        <v>7683</v>
      </c>
      <c r="I393" s="75" t="s">
        <v>7714</v>
      </c>
      <c r="J393" s="435"/>
      <c r="K393" s="25" t="s">
        <v>294</v>
      </c>
      <c r="L393" s="50"/>
      <c r="M393" s="50"/>
      <c r="N393" s="296"/>
      <c r="O393" s="50"/>
      <c r="P393" s="50"/>
      <c r="Q393" s="50" t="s">
        <v>140</v>
      </c>
      <c r="R393" s="50"/>
      <c r="S393" s="50"/>
    </row>
    <row r="394" spans="1:19" ht="15.75" customHeight="1">
      <c r="A394" s="344"/>
      <c r="B394" s="344"/>
      <c r="C394" s="74">
        <v>64</v>
      </c>
      <c r="D394" s="345"/>
      <c r="E394" s="345"/>
      <c r="F394" s="84"/>
      <c r="G394" s="84"/>
      <c r="H394" s="294" t="s">
        <v>7684</v>
      </c>
      <c r="I394" s="75" t="s">
        <v>7714</v>
      </c>
      <c r="J394" s="435"/>
      <c r="K394" s="25" t="s">
        <v>294</v>
      </c>
      <c r="L394" s="50"/>
      <c r="M394" s="50"/>
      <c r="N394" s="297"/>
      <c r="O394" s="50"/>
      <c r="P394" s="50"/>
      <c r="Q394" s="50" t="s">
        <v>140</v>
      </c>
      <c r="R394" s="50"/>
      <c r="S394" s="50"/>
    </row>
    <row r="395" spans="1:19" ht="15.75" customHeight="1">
      <c r="A395" s="344"/>
      <c r="B395" s="344"/>
      <c r="C395" s="74">
        <v>65</v>
      </c>
      <c r="D395" s="295" t="s">
        <v>7715</v>
      </c>
      <c r="E395" s="295" t="s">
        <v>7716</v>
      </c>
      <c r="F395" s="84"/>
      <c r="G395" s="84"/>
      <c r="H395" s="80" t="s">
        <v>7717</v>
      </c>
      <c r="I395" s="80" t="s">
        <v>7718</v>
      </c>
      <c r="J395" s="84"/>
      <c r="K395" s="25" t="s">
        <v>294</v>
      </c>
      <c r="L395" s="50"/>
      <c r="M395" s="50"/>
      <c r="N395" s="74"/>
      <c r="O395" s="50"/>
      <c r="P395" s="50"/>
      <c r="Q395" s="50" t="s">
        <v>140</v>
      </c>
      <c r="R395" s="50"/>
      <c r="S395" s="50"/>
    </row>
    <row r="396" spans="1:19" ht="15.75" customHeight="1">
      <c r="A396" s="344"/>
      <c r="B396" s="344"/>
      <c r="C396" s="74">
        <v>66</v>
      </c>
      <c r="D396" s="295" t="s">
        <v>7685</v>
      </c>
      <c r="E396" s="295" t="s">
        <v>7736</v>
      </c>
      <c r="F396" s="84"/>
      <c r="G396" s="84"/>
      <c r="H396" s="80" t="s">
        <v>7737</v>
      </c>
      <c r="I396" s="80" t="s">
        <v>7738</v>
      </c>
      <c r="J396" s="84"/>
      <c r="K396" s="25" t="s">
        <v>294</v>
      </c>
      <c r="L396" s="50"/>
      <c r="M396" s="149"/>
      <c r="N396" s="74"/>
      <c r="O396" s="50"/>
      <c r="P396" s="50"/>
      <c r="Q396" s="50" t="s">
        <v>140</v>
      </c>
      <c r="R396" s="50"/>
      <c r="S396" s="149"/>
    </row>
    <row r="397" spans="1:19" ht="33" customHeight="1">
      <c r="A397" s="344"/>
      <c r="B397" s="344"/>
      <c r="C397" s="74">
        <v>67</v>
      </c>
      <c r="D397" s="412" t="s">
        <v>7739</v>
      </c>
      <c r="E397" s="412" t="s">
        <v>7740</v>
      </c>
      <c r="F397" s="84"/>
      <c r="G397" s="84"/>
      <c r="H397" s="75" t="s">
        <v>7741</v>
      </c>
      <c r="I397" s="75" t="s">
        <v>7605</v>
      </c>
      <c r="J397" s="435"/>
      <c r="K397" s="25" t="s">
        <v>294</v>
      </c>
      <c r="L397" s="149"/>
      <c r="M397" s="149"/>
      <c r="N397" s="45"/>
      <c r="O397" s="149"/>
      <c r="P397" s="149"/>
      <c r="Q397" s="149" t="s">
        <v>140</v>
      </c>
      <c r="R397" s="149"/>
      <c r="S397" s="149"/>
    </row>
    <row r="398" spans="1:19" ht="15.75" customHeight="1">
      <c r="A398" s="344"/>
      <c r="B398" s="344"/>
      <c r="C398" s="74">
        <v>68</v>
      </c>
      <c r="D398" s="344"/>
      <c r="E398" s="345"/>
      <c r="F398" s="84"/>
      <c r="G398" s="84"/>
      <c r="H398" s="75" t="s">
        <v>7742</v>
      </c>
      <c r="I398" s="75" t="s">
        <v>7743</v>
      </c>
      <c r="J398" s="435"/>
      <c r="K398" s="25" t="s">
        <v>294</v>
      </c>
      <c r="L398" s="149"/>
      <c r="M398" s="50"/>
      <c r="N398" s="45"/>
      <c r="O398" s="149"/>
      <c r="P398" s="149"/>
      <c r="Q398" s="149" t="s">
        <v>140</v>
      </c>
      <c r="R398" s="149"/>
      <c r="S398" s="50"/>
    </row>
    <row r="399" spans="1:19" ht="15.75" customHeight="1">
      <c r="A399" s="344"/>
      <c r="B399" s="344"/>
      <c r="C399" s="74">
        <v>69</v>
      </c>
      <c r="D399" s="344"/>
      <c r="E399" s="412" t="s">
        <v>7744</v>
      </c>
      <c r="F399" s="84"/>
      <c r="G399" s="84"/>
      <c r="H399" s="75" t="s">
        <v>7745</v>
      </c>
      <c r="I399" s="75" t="s">
        <v>7746</v>
      </c>
      <c r="J399" s="435"/>
      <c r="K399" s="25" t="s">
        <v>294</v>
      </c>
      <c r="L399" s="50"/>
      <c r="M399" s="149"/>
      <c r="N399" s="74"/>
      <c r="O399" s="50"/>
      <c r="P399" s="50"/>
      <c r="Q399" s="50" t="s">
        <v>140</v>
      </c>
      <c r="R399" s="50"/>
      <c r="S399" s="149"/>
    </row>
    <row r="400" spans="1:19" ht="15.75" customHeight="1">
      <c r="A400" s="344"/>
      <c r="B400" s="344"/>
      <c r="C400" s="74">
        <v>70</v>
      </c>
      <c r="D400" s="344"/>
      <c r="E400" s="344"/>
      <c r="F400" s="84"/>
      <c r="G400" s="84"/>
      <c r="H400" s="75" t="s">
        <v>7747</v>
      </c>
      <c r="I400" s="75" t="s">
        <v>7748</v>
      </c>
      <c r="J400" s="435"/>
      <c r="K400" s="25" t="s">
        <v>294</v>
      </c>
      <c r="L400" s="149"/>
      <c r="M400" s="149"/>
      <c r="N400" s="45"/>
      <c r="O400" s="149"/>
      <c r="P400" s="149"/>
      <c r="Q400" s="149" t="s">
        <v>140</v>
      </c>
      <c r="R400" s="149"/>
      <c r="S400" s="149"/>
    </row>
    <row r="401" spans="1:19" ht="15.75" customHeight="1">
      <c r="A401" s="344"/>
      <c r="B401" s="344"/>
      <c r="C401" s="74">
        <v>71</v>
      </c>
      <c r="D401" s="344"/>
      <c r="E401" s="345"/>
      <c r="F401" s="84"/>
      <c r="G401" s="84"/>
      <c r="H401" s="75" t="s">
        <v>7749</v>
      </c>
      <c r="I401" s="75" t="s">
        <v>7750</v>
      </c>
      <c r="J401" s="435"/>
      <c r="K401" s="25" t="s">
        <v>294</v>
      </c>
      <c r="L401" s="149"/>
      <c r="M401" s="50"/>
      <c r="N401" s="45"/>
      <c r="O401" s="149"/>
      <c r="P401" s="149"/>
      <c r="Q401" s="149" t="s">
        <v>140</v>
      </c>
      <c r="R401" s="149"/>
      <c r="S401" s="50"/>
    </row>
    <row r="402" spans="1:19" ht="15.75" customHeight="1">
      <c r="A402" s="344"/>
      <c r="B402" s="344"/>
      <c r="C402" s="74">
        <v>72</v>
      </c>
      <c r="D402" s="344"/>
      <c r="E402" s="412" t="s">
        <v>7751</v>
      </c>
      <c r="F402" s="84"/>
      <c r="G402" s="84"/>
      <c r="H402" s="75" t="s">
        <v>7752</v>
      </c>
      <c r="I402" s="75" t="s">
        <v>7753</v>
      </c>
      <c r="J402" s="435"/>
      <c r="K402" s="25" t="s">
        <v>294</v>
      </c>
      <c r="L402" s="50"/>
      <c r="M402" s="149"/>
      <c r="N402" s="74"/>
      <c r="O402" s="50"/>
      <c r="P402" s="50"/>
      <c r="Q402" s="50" t="s">
        <v>140</v>
      </c>
      <c r="R402" s="50"/>
      <c r="S402" s="149"/>
    </row>
    <row r="403" spans="1:19" ht="17.25" customHeight="1">
      <c r="A403" s="344"/>
      <c r="B403" s="344"/>
      <c r="C403" s="74">
        <v>73</v>
      </c>
      <c r="D403" s="344"/>
      <c r="E403" s="344"/>
      <c r="F403" s="84"/>
      <c r="G403" s="84"/>
      <c r="H403" s="75" t="s">
        <v>7747</v>
      </c>
      <c r="I403" s="75" t="s">
        <v>7748</v>
      </c>
      <c r="J403" s="435"/>
      <c r="K403" s="25" t="s">
        <v>294</v>
      </c>
      <c r="L403" s="149"/>
      <c r="M403" s="149"/>
      <c r="N403" s="45"/>
      <c r="O403" s="149"/>
      <c r="P403" s="149"/>
      <c r="Q403" s="149" t="s">
        <v>140</v>
      </c>
      <c r="R403" s="149"/>
      <c r="S403" s="149"/>
    </row>
    <row r="404" spans="1:19" ht="15.75" customHeight="1">
      <c r="A404" s="344"/>
      <c r="B404" s="344"/>
      <c r="C404" s="74">
        <v>74</v>
      </c>
      <c r="D404" s="344"/>
      <c r="E404" s="345"/>
      <c r="F404" s="84"/>
      <c r="G404" s="84"/>
      <c r="H404" s="75" t="s">
        <v>7749</v>
      </c>
      <c r="I404" s="75" t="s">
        <v>7750</v>
      </c>
      <c r="J404" s="435"/>
      <c r="K404" s="25" t="s">
        <v>294</v>
      </c>
      <c r="L404" s="149"/>
      <c r="M404" s="50"/>
      <c r="N404" s="45"/>
      <c r="O404" s="149"/>
      <c r="P404" s="149"/>
      <c r="Q404" s="149" t="s">
        <v>140</v>
      </c>
      <c r="R404" s="149"/>
      <c r="S404" s="50"/>
    </row>
    <row r="405" spans="1:19" ht="15.75" customHeight="1">
      <c r="A405" s="344"/>
      <c r="B405" s="344"/>
      <c r="C405" s="74">
        <v>75</v>
      </c>
      <c r="D405" s="344"/>
      <c r="E405" s="412" t="s">
        <v>7754</v>
      </c>
      <c r="F405" s="84"/>
      <c r="G405" s="84"/>
      <c r="H405" s="75" t="s">
        <v>7755</v>
      </c>
      <c r="I405" s="75" t="s">
        <v>7756</v>
      </c>
      <c r="J405" s="435"/>
      <c r="K405" s="25" t="s">
        <v>294</v>
      </c>
      <c r="L405" s="50"/>
      <c r="M405" s="149"/>
      <c r="N405" s="74"/>
      <c r="O405" s="50"/>
      <c r="P405" s="50"/>
      <c r="Q405" s="50" t="s">
        <v>140</v>
      </c>
      <c r="R405" s="50"/>
      <c r="S405" s="149"/>
    </row>
    <row r="406" spans="1:19" ht="17.25" customHeight="1">
      <c r="A406" s="344"/>
      <c r="B406" s="344"/>
      <c r="C406" s="74">
        <v>76</v>
      </c>
      <c r="D406" s="344"/>
      <c r="E406" s="344"/>
      <c r="F406" s="84"/>
      <c r="G406" s="84"/>
      <c r="H406" s="75" t="s">
        <v>7747</v>
      </c>
      <c r="I406" s="75" t="s">
        <v>7748</v>
      </c>
      <c r="J406" s="435"/>
      <c r="K406" s="25" t="s">
        <v>294</v>
      </c>
      <c r="L406" s="149"/>
      <c r="M406" s="149"/>
      <c r="N406" s="45"/>
      <c r="O406" s="149"/>
      <c r="P406" s="149"/>
      <c r="Q406" s="149" t="s">
        <v>140</v>
      </c>
      <c r="R406" s="149"/>
      <c r="S406" s="149"/>
    </row>
    <row r="407" spans="1:19" ht="15.75" customHeight="1">
      <c r="A407" s="344"/>
      <c r="B407" s="344"/>
      <c r="C407" s="74">
        <v>77</v>
      </c>
      <c r="D407" s="344"/>
      <c r="E407" s="345"/>
      <c r="F407" s="84"/>
      <c r="G407" s="84"/>
      <c r="H407" s="75" t="s">
        <v>7749</v>
      </c>
      <c r="I407" s="75" t="s">
        <v>7750</v>
      </c>
      <c r="J407" s="435"/>
      <c r="K407" s="25" t="s">
        <v>294</v>
      </c>
      <c r="L407" s="149"/>
      <c r="M407" s="50"/>
      <c r="N407" s="45"/>
      <c r="O407" s="149"/>
      <c r="P407" s="149"/>
      <c r="Q407" s="149" t="s">
        <v>140</v>
      </c>
      <c r="R407" s="149"/>
      <c r="S407" s="50"/>
    </row>
    <row r="408" spans="1:19" ht="15.75" customHeight="1">
      <c r="A408" s="344"/>
      <c r="B408" s="344"/>
      <c r="C408" s="74">
        <v>78</v>
      </c>
      <c r="D408" s="344"/>
      <c r="E408" s="412" t="s">
        <v>7757</v>
      </c>
      <c r="F408" s="84"/>
      <c r="G408" s="84"/>
      <c r="H408" s="75" t="s">
        <v>7758</v>
      </c>
      <c r="I408" s="75" t="s">
        <v>7746</v>
      </c>
      <c r="J408" s="435"/>
      <c r="K408" s="25" t="s">
        <v>294</v>
      </c>
      <c r="L408" s="50"/>
      <c r="M408" s="149"/>
      <c r="N408" s="74"/>
      <c r="O408" s="50"/>
      <c r="P408" s="50"/>
      <c r="Q408" s="50" t="s">
        <v>140</v>
      </c>
      <c r="R408" s="50"/>
      <c r="S408" s="149"/>
    </row>
    <row r="409" spans="1:19" ht="17.25" customHeight="1">
      <c r="A409" s="344"/>
      <c r="B409" s="344"/>
      <c r="C409" s="74">
        <v>79</v>
      </c>
      <c r="D409" s="344"/>
      <c r="E409" s="344"/>
      <c r="F409" s="84"/>
      <c r="G409" s="84"/>
      <c r="H409" s="75" t="s">
        <v>7759</v>
      </c>
      <c r="I409" s="75" t="s">
        <v>7748</v>
      </c>
      <c r="J409" s="435"/>
      <c r="K409" s="25" t="s">
        <v>294</v>
      </c>
      <c r="L409" s="149"/>
      <c r="M409" s="149"/>
      <c r="N409" s="45"/>
      <c r="O409" s="149"/>
      <c r="P409" s="149"/>
      <c r="Q409" s="149" t="s">
        <v>140</v>
      </c>
      <c r="R409" s="149"/>
      <c r="S409" s="149"/>
    </row>
    <row r="410" spans="1:19" ht="15.75" customHeight="1">
      <c r="A410" s="344"/>
      <c r="B410" s="344"/>
      <c r="C410" s="74">
        <v>80</v>
      </c>
      <c r="D410" s="344"/>
      <c r="E410" s="345"/>
      <c r="F410" s="84"/>
      <c r="G410" s="84"/>
      <c r="H410" s="75" t="s">
        <v>7749</v>
      </c>
      <c r="I410" s="75" t="s">
        <v>7750</v>
      </c>
      <c r="J410" s="435"/>
      <c r="K410" s="152" t="s">
        <v>294</v>
      </c>
      <c r="L410" s="149"/>
      <c r="M410" s="50"/>
      <c r="N410" s="45"/>
      <c r="O410" s="149"/>
      <c r="P410" s="149"/>
      <c r="Q410" s="149" t="s">
        <v>140</v>
      </c>
      <c r="R410" s="149"/>
      <c r="S410" s="50"/>
    </row>
    <row r="411" spans="1:19" ht="15.75" customHeight="1">
      <c r="A411" s="344"/>
      <c r="B411" s="344"/>
      <c r="C411" s="74">
        <v>81</v>
      </c>
      <c r="D411" s="344"/>
      <c r="E411" s="412" t="s">
        <v>7760</v>
      </c>
      <c r="F411" s="84"/>
      <c r="G411" s="84"/>
      <c r="H411" s="75" t="s">
        <v>7761</v>
      </c>
      <c r="I411" s="75" t="s">
        <v>7753</v>
      </c>
      <c r="J411" s="435"/>
      <c r="K411" s="152" t="s">
        <v>294</v>
      </c>
      <c r="L411" s="50"/>
      <c r="M411" s="149"/>
      <c r="N411" s="74"/>
      <c r="O411" s="50"/>
      <c r="P411" s="50"/>
      <c r="Q411" s="50" t="s">
        <v>140</v>
      </c>
      <c r="R411" s="50"/>
      <c r="S411" s="149"/>
    </row>
    <row r="412" spans="1:19" ht="17.25" customHeight="1">
      <c r="A412" s="344"/>
      <c r="B412" s="344"/>
      <c r="C412" s="74">
        <v>82</v>
      </c>
      <c r="D412" s="344"/>
      <c r="E412" s="344"/>
      <c r="F412" s="84"/>
      <c r="G412" s="84"/>
      <c r="H412" s="75" t="s">
        <v>7759</v>
      </c>
      <c r="I412" s="75" t="s">
        <v>7748</v>
      </c>
      <c r="J412" s="435"/>
      <c r="K412" s="152" t="s">
        <v>294</v>
      </c>
      <c r="L412" s="149"/>
      <c r="M412" s="149"/>
      <c r="N412" s="45"/>
      <c r="O412" s="149"/>
      <c r="P412" s="149"/>
      <c r="Q412" s="149" t="s">
        <v>140</v>
      </c>
      <c r="R412" s="149"/>
      <c r="S412" s="149"/>
    </row>
    <row r="413" spans="1:19" ht="15.75" customHeight="1">
      <c r="A413" s="344"/>
      <c r="B413" s="344"/>
      <c r="C413" s="74">
        <v>83</v>
      </c>
      <c r="D413" s="344"/>
      <c r="E413" s="345"/>
      <c r="F413" s="84"/>
      <c r="G413" s="84"/>
      <c r="H413" s="75" t="s">
        <v>7749</v>
      </c>
      <c r="I413" s="75" t="s">
        <v>7750</v>
      </c>
      <c r="J413" s="435"/>
      <c r="K413" s="152" t="s">
        <v>294</v>
      </c>
      <c r="L413" s="149"/>
      <c r="M413" s="50"/>
      <c r="N413" s="45"/>
      <c r="O413" s="149"/>
      <c r="P413" s="149"/>
      <c r="Q413" s="149" t="s">
        <v>140</v>
      </c>
      <c r="R413" s="149"/>
      <c r="S413" s="50"/>
    </row>
    <row r="414" spans="1:19" ht="15.75" customHeight="1">
      <c r="A414" s="344"/>
      <c r="B414" s="344"/>
      <c r="C414" s="74">
        <v>84</v>
      </c>
      <c r="D414" s="344"/>
      <c r="E414" s="412" t="s">
        <v>7762</v>
      </c>
      <c r="F414" s="84"/>
      <c r="G414" s="84"/>
      <c r="H414" s="75" t="s">
        <v>7763</v>
      </c>
      <c r="I414" s="75" t="s">
        <v>7756</v>
      </c>
      <c r="J414" s="435"/>
      <c r="K414" s="152" t="s">
        <v>294</v>
      </c>
      <c r="L414" s="50"/>
      <c r="M414" s="149"/>
      <c r="N414" s="74"/>
      <c r="O414" s="50"/>
      <c r="P414" s="50"/>
      <c r="Q414" s="50" t="s">
        <v>140</v>
      </c>
      <c r="R414" s="50"/>
      <c r="S414" s="149"/>
    </row>
    <row r="415" spans="1:19" ht="17.25" customHeight="1">
      <c r="A415" s="344"/>
      <c r="B415" s="344"/>
      <c r="C415" s="74">
        <v>85</v>
      </c>
      <c r="D415" s="344"/>
      <c r="E415" s="344"/>
      <c r="F415" s="84"/>
      <c r="G415" s="84"/>
      <c r="H415" s="75" t="s">
        <v>7759</v>
      </c>
      <c r="I415" s="75" t="s">
        <v>7748</v>
      </c>
      <c r="J415" s="435"/>
      <c r="K415" s="152" t="s">
        <v>294</v>
      </c>
      <c r="L415" s="149"/>
      <c r="M415" s="149"/>
      <c r="N415" s="45"/>
      <c r="O415" s="149"/>
      <c r="P415" s="149"/>
      <c r="Q415" s="149" t="s">
        <v>140</v>
      </c>
      <c r="R415" s="149"/>
      <c r="S415" s="149"/>
    </row>
    <row r="416" spans="1:19" ht="15.75" customHeight="1">
      <c r="A416" s="344"/>
      <c r="B416" s="344"/>
      <c r="C416" s="74">
        <v>86</v>
      </c>
      <c r="D416" s="344"/>
      <c r="E416" s="345"/>
      <c r="F416" s="84"/>
      <c r="G416" s="84"/>
      <c r="H416" s="75" t="s">
        <v>7749</v>
      </c>
      <c r="I416" s="75" t="s">
        <v>7750</v>
      </c>
      <c r="J416" s="435"/>
      <c r="K416" s="152" t="s">
        <v>294</v>
      </c>
      <c r="L416" s="149"/>
      <c r="M416" s="149"/>
      <c r="N416" s="45"/>
      <c r="O416" s="149"/>
      <c r="P416" s="149"/>
      <c r="Q416" s="149" t="s">
        <v>140</v>
      </c>
      <c r="R416" s="149"/>
      <c r="S416" s="149"/>
    </row>
    <row r="417" spans="1:19" ht="15.75" customHeight="1">
      <c r="A417" s="344"/>
      <c r="B417" s="344"/>
      <c r="C417" s="74">
        <v>87</v>
      </c>
      <c r="D417" s="344"/>
      <c r="E417" s="412" t="s">
        <v>7764</v>
      </c>
      <c r="F417" s="84"/>
      <c r="G417" s="84"/>
      <c r="H417" s="80" t="s">
        <v>7765</v>
      </c>
      <c r="I417" s="75" t="s">
        <v>7605</v>
      </c>
      <c r="J417" s="435"/>
      <c r="K417" s="152" t="s">
        <v>294</v>
      </c>
      <c r="L417" s="149"/>
      <c r="M417" s="149"/>
      <c r="N417" s="45"/>
      <c r="O417" s="149"/>
      <c r="P417" s="149"/>
      <c r="Q417" s="149" t="s">
        <v>140</v>
      </c>
      <c r="R417" s="149"/>
      <c r="S417" s="149"/>
    </row>
    <row r="418" spans="1:19" ht="15.75" customHeight="1">
      <c r="A418" s="344"/>
      <c r="B418" s="344"/>
      <c r="C418" s="74">
        <v>88</v>
      </c>
      <c r="D418" s="344"/>
      <c r="E418" s="344"/>
      <c r="F418" s="84"/>
      <c r="G418" s="84"/>
      <c r="H418" s="75" t="s">
        <v>7766</v>
      </c>
      <c r="I418" s="75" t="s">
        <v>7767</v>
      </c>
      <c r="J418" s="435"/>
      <c r="K418" s="152" t="s">
        <v>294</v>
      </c>
      <c r="L418" s="149"/>
      <c r="M418" s="149"/>
      <c r="N418" s="45"/>
      <c r="O418" s="149"/>
      <c r="P418" s="149"/>
      <c r="Q418" s="149" t="s">
        <v>140</v>
      </c>
      <c r="R418" s="149"/>
      <c r="S418" s="149"/>
    </row>
    <row r="419" spans="1:19" ht="15.75" customHeight="1">
      <c r="A419" s="344"/>
      <c r="B419" s="344"/>
      <c r="C419" s="74">
        <v>89</v>
      </c>
      <c r="D419" s="344"/>
      <c r="E419" s="345"/>
      <c r="F419" s="84"/>
      <c r="G419" s="84"/>
      <c r="H419" s="75" t="s">
        <v>7768</v>
      </c>
      <c r="I419" s="75" t="s">
        <v>7769</v>
      </c>
      <c r="J419" s="435"/>
      <c r="K419" s="152" t="s">
        <v>294</v>
      </c>
      <c r="L419" s="149"/>
      <c r="M419" s="149"/>
      <c r="N419" s="45"/>
      <c r="O419" s="149"/>
      <c r="P419" s="149"/>
      <c r="Q419" s="149" t="s">
        <v>140</v>
      </c>
      <c r="R419" s="149"/>
      <c r="S419" s="149"/>
    </row>
    <row r="420" spans="1:19" ht="15.75" customHeight="1">
      <c r="A420" s="344"/>
      <c r="B420" s="344"/>
      <c r="C420" s="74">
        <v>90</v>
      </c>
      <c r="D420" s="344"/>
      <c r="E420" s="412" t="s">
        <v>7770</v>
      </c>
      <c r="F420" s="84"/>
      <c r="G420" s="84"/>
      <c r="H420" s="80" t="s">
        <v>7765</v>
      </c>
      <c r="I420" s="75" t="s">
        <v>7605</v>
      </c>
      <c r="J420" s="435"/>
      <c r="K420" s="152" t="s">
        <v>294</v>
      </c>
      <c r="L420" s="149"/>
      <c r="M420" s="149"/>
      <c r="N420" s="45"/>
      <c r="O420" s="149"/>
      <c r="P420" s="149"/>
      <c r="Q420" s="149" t="s">
        <v>140</v>
      </c>
      <c r="R420" s="149"/>
      <c r="S420" s="149"/>
    </row>
    <row r="421" spans="1:19" ht="17.25" customHeight="1">
      <c r="A421" s="344"/>
      <c r="B421" s="344"/>
      <c r="C421" s="74">
        <v>91</v>
      </c>
      <c r="D421" s="344"/>
      <c r="E421" s="344"/>
      <c r="F421" s="84"/>
      <c r="G421" s="84"/>
      <c r="H421" s="75" t="s">
        <v>7771</v>
      </c>
      <c r="I421" s="75" t="s">
        <v>7767</v>
      </c>
      <c r="J421" s="435"/>
      <c r="K421" s="152" t="s">
        <v>294</v>
      </c>
      <c r="L421" s="149"/>
      <c r="M421" s="149"/>
      <c r="N421" s="45"/>
      <c r="O421" s="149"/>
      <c r="P421" s="149"/>
      <c r="Q421" s="149" t="s">
        <v>140</v>
      </c>
      <c r="R421" s="149"/>
      <c r="S421" s="149"/>
    </row>
    <row r="422" spans="1:19" ht="15.75" customHeight="1">
      <c r="A422" s="344"/>
      <c r="B422" s="344"/>
      <c r="C422" s="74">
        <v>92</v>
      </c>
      <c r="D422" s="344"/>
      <c r="E422" s="345"/>
      <c r="F422" s="84"/>
      <c r="G422" s="84"/>
      <c r="H422" s="75" t="s">
        <v>7768</v>
      </c>
      <c r="I422" s="75" t="s">
        <v>7769</v>
      </c>
      <c r="J422" s="435"/>
      <c r="K422" s="152" t="s">
        <v>294</v>
      </c>
      <c r="L422" s="149"/>
      <c r="M422" s="149"/>
      <c r="N422" s="45"/>
      <c r="O422" s="149"/>
      <c r="P422" s="149"/>
      <c r="Q422" s="149" t="s">
        <v>140</v>
      </c>
      <c r="R422" s="149"/>
      <c r="S422" s="149"/>
    </row>
    <row r="423" spans="1:19" ht="15.75" customHeight="1">
      <c r="A423" s="344"/>
      <c r="B423" s="344"/>
      <c r="C423" s="74">
        <v>93</v>
      </c>
      <c r="D423" s="344"/>
      <c r="E423" s="412" t="s">
        <v>7772</v>
      </c>
      <c r="F423" s="84"/>
      <c r="G423" s="84"/>
      <c r="H423" s="75" t="s">
        <v>7773</v>
      </c>
      <c r="I423" s="75" t="s">
        <v>7605</v>
      </c>
      <c r="J423" s="435"/>
      <c r="K423" s="152" t="s">
        <v>294</v>
      </c>
      <c r="L423" s="149"/>
      <c r="M423" s="149"/>
      <c r="N423" s="45"/>
      <c r="O423" s="149"/>
      <c r="P423" s="149"/>
      <c r="Q423" s="149" t="s">
        <v>140</v>
      </c>
      <c r="R423" s="149"/>
      <c r="S423" s="149"/>
    </row>
    <row r="424" spans="1:19" ht="17.25" customHeight="1">
      <c r="A424" s="344"/>
      <c r="B424" s="344"/>
      <c r="C424" s="74">
        <v>94</v>
      </c>
      <c r="D424" s="344"/>
      <c r="E424" s="344"/>
      <c r="F424" s="84"/>
      <c r="G424" s="84"/>
      <c r="H424" s="75" t="s">
        <v>7774</v>
      </c>
      <c r="I424" s="75" t="s">
        <v>7775</v>
      </c>
      <c r="J424" s="435"/>
      <c r="K424" s="152" t="s">
        <v>294</v>
      </c>
      <c r="L424" s="149"/>
      <c r="M424" s="149"/>
      <c r="N424" s="45"/>
      <c r="O424" s="149"/>
      <c r="P424" s="149"/>
      <c r="Q424" s="149" t="s">
        <v>140</v>
      </c>
      <c r="R424" s="149"/>
      <c r="S424" s="149"/>
    </row>
    <row r="425" spans="1:19" ht="15.75" customHeight="1">
      <c r="A425" s="344"/>
      <c r="B425" s="344"/>
      <c r="C425" s="74">
        <v>95</v>
      </c>
      <c r="D425" s="345"/>
      <c r="E425" s="345"/>
      <c r="F425" s="84"/>
      <c r="G425" s="84"/>
      <c r="H425" s="75" t="s">
        <v>7776</v>
      </c>
      <c r="I425" s="75" t="s">
        <v>7777</v>
      </c>
      <c r="J425" s="435"/>
      <c r="K425" s="152" t="s">
        <v>294</v>
      </c>
      <c r="L425" s="149"/>
      <c r="M425" s="149"/>
      <c r="N425" s="45"/>
      <c r="O425" s="149"/>
      <c r="P425" s="149"/>
      <c r="Q425" s="149" t="s">
        <v>140</v>
      </c>
      <c r="R425" s="149"/>
      <c r="S425" s="149"/>
    </row>
    <row r="426" spans="1:19" ht="15.75" customHeight="1">
      <c r="A426" s="344"/>
      <c r="B426" s="344"/>
      <c r="C426" s="74">
        <v>96</v>
      </c>
      <c r="D426" s="412" t="s">
        <v>7778</v>
      </c>
      <c r="E426" s="412" t="s">
        <v>7779</v>
      </c>
      <c r="F426" s="84"/>
      <c r="G426" s="84"/>
      <c r="H426" s="75" t="s">
        <v>7780</v>
      </c>
      <c r="I426" s="75" t="s">
        <v>7781</v>
      </c>
      <c r="J426" s="435"/>
      <c r="K426" s="152" t="s">
        <v>294</v>
      </c>
      <c r="L426" s="149"/>
      <c r="M426" s="149"/>
      <c r="N426" s="45"/>
      <c r="O426" s="149"/>
      <c r="P426" s="149"/>
      <c r="Q426" s="149" t="s">
        <v>140</v>
      </c>
      <c r="R426" s="149"/>
      <c r="S426" s="149"/>
    </row>
    <row r="427" spans="1:19" ht="15.75" customHeight="1">
      <c r="A427" s="344"/>
      <c r="B427" s="344"/>
      <c r="C427" s="74">
        <v>97</v>
      </c>
      <c r="D427" s="344"/>
      <c r="E427" s="344"/>
      <c r="F427" s="84"/>
      <c r="G427" s="84"/>
      <c r="H427" s="75" t="s">
        <v>7782</v>
      </c>
      <c r="I427" s="75" t="s">
        <v>7783</v>
      </c>
      <c r="J427" s="435"/>
      <c r="K427" s="152" t="s">
        <v>294</v>
      </c>
      <c r="L427" s="149"/>
      <c r="M427" s="149"/>
      <c r="N427" s="45"/>
      <c r="O427" s="149"/>
      <c r="P427" s="149"/>
      <c r="Q427" s="149" t="s">
        <v>140</v>
      </c>
      <c r="R427" s="149"/>
      <c r="S427" s="149"/>
    </row>
    <row r="428" spans="1:19" ht="15.75" customHeight="1">
      <c r="A428" s="345"/>
      <c r="B428" s="345"/>
      <c r="C428" s="74">
        <v>98</v>
      </c>
      <c r="D428" s="345"/>
      <c r="E428" s="345"/>
      <c r="F428" s="84"/>
      <c r="G428" s="84"/>
      <c r="H428" s="75" t="s">
        <v>7784</v>
      </c>
      <c r="I428" s="75" t="s">
        <v>7785</v>
      </c>
      <c r="J428" s="435"/>
      <c r="K428" s="152" t="s">
        <v>294</v>
      </c>
      <c r="L428" s="149"/>
      <c r="M428" s="176"/>
      <c r="N428" s="45"/>
      <c r="O428" s="149"/>
      <c r="P428" s="149"/>
      <c r="Q428" s="149" t="s">
        <v>140</v>
      </c>
      <c r="R428" s="149"/>
      <c r="S428" s="149"/>
    </row>
    <row r="429" spans="1:19" ht="34.5" customHeight="1">
      <c r="A429" s="414" t="s">
        <v>7786</v>
      </c>
      <c r="B429" s="415" t="s">
        <v>276</v>
      </c>
      <c r="C429" s="74">
        <v>1</v>
      </c>
      <c r="D429" s="413" t="s">
        <v>7787</v>
      </c>
      <c r="E429" s="47" t="s">
        <v>7788</v>
      </c>
      <c r="F429" s="84"/>
      <c r="G429" s="84"/>
      <c r="H429" s="80" t="s">
        <v>7789</v>
      </c>
      <c r="I429" s="75" t="s">
        <v>7605</v>
      </c>
      <c r="J429" s="435"/>
      <c r="K429" s="152" t="s">
        <v>294</v>
      </c>
      <c r="L429" s="176"/>
      <c r="M429" s="176"/>
      <c r="N429" s="4"/>
      <c r="O429" s="176"/>
      <c r="P429" s="176"/>
      <c r="Q429" s="149" t="s">
        <v>140</v>
      </c>
      <c r="R429" s="176"/>
      <c r="S429" s="149"/>
    </row>
    <row r="430" spans="1:19" ht="15.75" customHeight="1">
      <c r="A430" s="344"/>
      <c r="B430" s="344"/>
      <c r="C430" s="74">
        <v>2</v>
      </c>
      <c r="D430" s="344"/>
      <c r="E430" s="47" t="s">
        <v>7790</v>
      </c>
      <c r="F430" s="84"/>
      <c r="G430" s="84"/>
      <c r="H430" s="80" t="s">
        <v>7791</v>
      </c>
      <c r="I430" s="75" t="s">
        <v>7653</v>
      </c>
      <c r="J430" s="435"/>
      <c r="K430" s="152" t="s">
        <v>294</v>
      </c>
      <c r="L430" s="176"/>
      <c r="M430" s="176"/>
      <c r="N430" s="4"/>
      <c r="O430" s="176"/>
      <c r="P430" s="176"/>
      <c r="Q430" s="149" t="s">
        <v>140</v>
      </c>
      <c r="R430" s="176"/>
      <c r="S430" s="149"/>
    </row>
    <row r="431" spans="1:19" ht="15.75" customHeight="1">
      <c r="A431" s="344"/>
      <c r="B431" s="344"/>
      <c r="C431" s="74">
        <v>3</v>
      </c>
      <c r="D431" s="345"/>
      <c r="E431" s="47" t="s">
        <v>7792</v>
      </c>
      <c r="F431" s="84"/>
      <c r="G431" s="84"/>
      <c r="H431" s="80" t="s">
        <v>7793</v>
      </c>
      <c r="I431" s="75" t="s">
        <v>7605</v>
      </c>
      <c r="J431" s="435"/>
      <c r="K431" s="152" t="s">
        <v>294</v>
      </c>
      <c r="L431" s="176"/>
      <c r="M431" s="66"/>
      <c r="N431" s="4"/>
      <c r="O431" s="176"/>
      <c r="P431" s="176"/>
      <c r="Q431" s="149" t="s">
        <v>140</v>
      </c>
      <c r="R431" s="176"/>
      <c r="S431" s="50"/>
    </row>
    <row r="432" spans="1:19" ht="15.75" customHeight="1">
      <c r="A432" s="344"/>
      <c r="B432" s="344"/>
      <c r="C432" s="74">
        <v>4</v>
      </c>
      <c r="D432" s="298" t="s">
        <v>7794</v>
      </c>
      <c r="E432" s="47" t="s">
        <v>7795</v>
      </c>
      <c r="F432" s="84"/>
      <c r="G432" s="84"/>
      <c r="H432" s="80" t="s">
        <v>7796</v>
      </c>
      <c r="I432" s="75" t="s">
        <v>7797</v>
      </c>
      <c r="J432" s="435"/>
      <c r="K432" s="152" t="s">
        <v>294</v>
      </c>
      <c r="L432" s="66"/>
      <c r="M432" s="66"/>
      <c r="N432" s="84"/>
      <c r="O432" s="66"/>
      <c r="P432" s="66"/>
      <c r="Q432" s="50" t="s">
        <v>140</v>
      </c>
      <c r="R432" s="66"/>
      <c r="S432" s="50"/>
    </row>
    <row r="433" spans="1:19" ht="15.75" customHeight="1">
      <c r="A433" s="344"/>
      <c r="B433" s="344"/>
      <c r="C433" s="74">
        <v>5</v>
      </c>
      <c r="D433" s="298" t="s">
        <v>7798</v>
      </c>
      <c r="E433" s="47" t="s">
        <v>7799</v>
      </c>
      <c r="F433" s="84"/>
      <c r="G433" s="84"/>
      <c r="H433" s="80" t="s">
        <v>7800</v>
      </c>
      <c r="I433" s="75" t="s">
        <v>7797</v>
      </c>
      <c r="J433" s="435"/>
      <c r="K433" s="152" t="s">
        <v>294</v>
      </c>
      <c r="L433" s="66"/>
      <c r="M433" s="66"/>
      <c r="N433" s="84"/>
      <c r="O433" s="66"/>
      <c r="P433" s="66"/>
      <c r="Q433" s="50" t="s">
        <v>140</v>
      </c>
      <c r="R433" s="66"/>
      <c r="S433" s="50"/>
    </row>
    <row r="434" spans="1:19" ht="15.75" customHeight="1">
      <c r="A434" s="344"/>
      <c r="B434" s="344"/>
      <c r="C434" s="74">
        <v>6</v>
      </c>
      <c r="D434" s="298" t="s">
        <v>7801</v>
      </c>
      <c r="E434" s="47" t="s">
        <v>7802</v>
      </c>
      <c r="F434" s="84"/>
      <c r="G434" s="84"/>
      <c r="H434" s="80" t="s">
        <v>7803</v>
      </c>
      <c r="I434" s="80" t="s">
        <v>7804</v>
      </c>
      <c r="J434" s="84"/>
      <c r="K434" s="25"/>
      <c r="L434" s="66"/>
      <c r="M434" s="66"/>
      <c r="N434" s="84"/>
      <c r="O434" s="66"/>
      <c r="P434" s="66"/>
      <c r="Q434" s="50" t="s">
        <v>282</v>
      </c>
      <c r="R434" s="66"/>
      <c r="S434" s="50"/>
    </row>
    <row r="435" spans="1:19" ht="15.75" customHeight="1">
      <c r="A435" s="344"/>
      <c r="B435" s="344"/>
      <c r="C435" s="74">
        <v>7</v>
      </c>
      <c r="D435" s="298" t="s">
        <v>7805</v>
      </c>
      <c r="E435" s="47" t="s">
        <v>7806</v>
      </c>
      <c r="F435" s="84"/>
      <c r="G435" s="84"/>
      <c r="H435" s="80" t="s">
        <v>7807</v>
      </c>
      <c r="I435" s="80" t="s">
        <v>7808</v>
      </c>
      <c r="J435" s="84"/>
      <c r="K435" s="25" t="s">
        <v>294</v>
      </c>
      <c r="L435" s="66"/>
      <c r="M435" s="66"/>
      <c r="N435" s="84"/>
      <c r="O435" s="66"/>
      <c r="P435" s="66"/>
      <c r="Q435" s="50" t="s">
        <v>140</v>
      </c>
      <c r="R435" s="66"/>
      <c r="S435" s="50"/>
    </row>
    <row r="436" spans="1:19" ht="15.75" customHeight="1">
      <c r="A436" s="344"/>
      <c r="B436" s="344"/>
      <c r="C436" s="74">
        <v>8</v>
      </c>
      <c r="D436" s="298" t="s">
        <v>7805</v>
      </c>
      <c r="E436" s="47" t="s">
        <v>7809</v>
      </c>
      <c r="F436" s="84"/>
      <c r="G436" s="84"/>
      <c r="H436" s="80" t="s">
        <v>7810</v>
      </c>
      <c r="I436" s="80" t="s">
        <v>7808</v>
      </c>
      <c r="J436" s="84"/>
      <c r="K436" s="25" t="s">
        <v>294</v>
      </c>
      <c r="L436" s="66"/>
      <c r="M436" s="66"/>
      <c r="N436" s="84"/>
      <c r="O436" s="66"/>
      <c r="P436" s="66"/>
      <c r="Q436" s="50" t="s">
        <v>140</v>
      </c>
      <c r="R436" s="66"/>
      <c r="S436" s="50"/>
    </row>
    <row r="437" spans="1:19" ht="15.75" customHeight="1">
      <c r="A437" s="344"/>
      <c r="B437" s="344"/>
      <c r="C437" s="74">
        <v>9</v>
      </c>
      <c r="D437" s="298" t="s">
        <v>7805</v>
      </c>
      <c r="E437" s="47" t="s">
        <v>7811</v>
      </c>
      <c r="F437" s="84"/>
      <c r="G437" s="84"/>
      <c r="H437" s="80" t="s">
        <v>7812</v>
      </c>
      <c r="I437" s="80" t="s">
        <v>7808</v>
      </c>
      <c r="J437" s="84"/>
      <c r="K437" s="25" t="s">
        <v>294</v>
      </c>
      <c r="L437" s="66"/>
      <c r="M437" s="66"/>
      <c r="N437" s="84"/>
      <c r="O437" s="66"/>
      <c r="P437" s="66"/>
      <c r="Q437" s="50" t="s">
        <v>140</v>
      </c>
      <c r="R437" s="66"/>
      <c r="S437" s="50"/>
    </row>
    <row r="438" spans="1:19" ht="15.75" customHeight="1">
      <c r="A438" s="344"/>
      <c r="B438" s="344"/>
      <c r="C438" s="74">
        <v>10</v>
      </c>
      <c r="D438" s="298" t="s">
        <v>7813</v>
      </c>
      <c r="E438" s="47" t="s">
        <v>7814</v>
      </c>
      <c r="F438" s="84"/>
      <c r="G438" s="84"/>
      <c r="H438" s="80" t="s">
        <v>7815</v>
      </c>
      <c r="I438" s="80" t="s">
        <v>7816</v>
      </c>
      <c r="J438" s="84"/>
      <c r="K438" s="25" t="s">
        <v>294</v>
      </c>
      <c r="L438" s="66"/>
      <c r="M438" s="66"/>
      <c r="N438" s="84"/>
      <c r="O438" s="66"/>
      <c r="P438" s="66"/>
      <c r="Q438" s="50" t="s">
        <v>140</v>
      </c>
      <c r="R438" s="66"/>
      <c r="S438" s="50"/>
    </row>
    <row r="439" spans="1:19" ht="34.5" customHeight="1">
      <c r="A439" s="344"/>
      <c r="B439" s="344"/>
      <c r="C439" s="74">
        <v>11</v>
      </c>
      <c r="D439" s="413" t="s">
        <v>7817</v>
      </c>
      <c r="E439" s="364" t="s">
        <v>7740</v>
      </c>
      <c r="F439" s="84"/>
      <c r="G439" s="84"/>
      <c r="H439" s="80" t="s">
        <v>7818</v>
      </c>
      <c r="I439" s="80" t="s">
        <v>7605</v>
      </c>
      <c r="J439" s="84"/>
      <c r="K439" s="25" t="s">
        <v>294</v>
      </c>
      <c r="L439" s="66"/>
      <c r="M439" s="66"/>
      <c r="N439" s="84"/>
      <c r="O439" s="66"/>
      <c r="P439" s="66"/>
      <c r="Q439" s="50" t="s">
        <v>140</v>
      </c>
      <c r="R439" s="66"/>
      <c r="S439" s="50"/>
    </row>
    <row r="440" spans="1:19" ht="15.75" customHeight="1">
      <c r="A440" s="344"/>
      <c r="B440" s="344"/>
      <c r="C440" s="74">
        <v>12</v>
      </c>
      <c r="D440" s="344"/>
      <c r="E440" s="344"/>
      <c r="F440" s="84"/>
      <c r="G440" s="84"/>
      <c r="H440" s="80" t="s">
        <v>7819</v>
      </c>
      <c r="I440" s="80" t="s">
        <v>7820</v>
      </c>
      <c r="J440" s="84"/>
      <c r="K440" s="25" t="s">
        <v>294</v>
      </c>
      <c r="L440" s="66"/>
      <c r="M440" s="66"/>
      <c r="N440" s="84"/>
      <c r="O440" s="66"/>
      <c r="P440" s="66"/>
      <c r="Q440" s="50" t="s">
        <v>140</v>
      </c>
      <c r="R440" s="66"/>
      <c r="S440" s="50"/>
    </row>
    <row r="441" spans="1:19" ht="15.75" customHeight="1">
      <c r="A441" s="344"/>
      <c r="B441" s="344"/>
      <c r="C441" s="74">
        <v>13</v>
      </c>
      <c r="D441" s="344"/>
      <c r="E441" s="345"/>
      <c r="F441" s="84"/>
      <c r="G441" s="84"/>
      <c r="H441" s="80" t="s">
        <v>7821</v>
      </c>
      <c r="I441" s="80" t="s">
        <v>7605</v>
      </c>
      <c r="J441" s="84"/>
      <c r="K441" s="25" t="s">
        <v>294</v>
      </c>
      <c r="L441" s="66"/>
      <c r="M441" s="66"/>
      <c r="N441" s="84"/>
      <c r="O441" s="66"/>
      <c r="P441" s="66"/>
      <c r="Q441" s="50" t="s">
        <v>140</v>
      </c>
      <c r="R441" s="66"/>
      <c r="S441" s="50"/>
    </row>
    <row r="442" spans="1:19" ht="15.75" customHeight="1">
      <c r="A442" s="344"/>
      <c r="B442" s="344"/>
      <c r="C442" s="74">
        <v>14</v>
      </c>
      <c r="D442" s="344"/>
      <c r="E442" s="364" t="s">
        <v>7744</v>
      </c>
      <c r="F442" s="84"/>
      <c r="G442" s="84"/>
      <c r="H442" s="80" t="s">
        <v>7822</v>
      </c>
      <c r="I442" s="80" t="s">
        <v>7823</v>
      </c>
      <c r="J442" s="84"/>
      <c r="K442" s="25" t="s">
        <v>294</v>
      </c>
      <c r="L442" s="66"/>
      <c r="M442" s="66"/>
      <c r="N442" s="84"/>
      <c r="O442" s="66"/>
      <c r="P442" s="66"/>
      <c r="Q442" s="50" t="s">
        <v>140</v>
      </c>
      <c r="R442" s="66"/>
      <c r="S442" s="50"/>
    </row>
    <row r="443" spans="1:19" ht="15.75" customHeight="1">
      <c r="A443" s="344"/>
      <c r="B443" s="344"/>
      <c r="C443" s="74">
        <v>15</v>
      </c>
      <c r="D443" s="344"/>
      <c r="E443" s="344"/>
      <c r="F443" s="84"/>
      <c r="G443" s="84"/>
      <c r="H443" s="80" t="s">
        <v>7824</v>
      </c>
      <c r="I443" s="80" t="s">
        <v>7605</v>
      </c>
      <c r="J443" s="84"/>
      <c r="K443" s="25" t="s">
        <v>294</v>
      </c>
      <c r="L443" s="66"/>
      <c r="M443" s="66"/>
      <c r="N443" s="84"/>
      <c r="O443" s="66"/>
      <c r="P443" s="66"/>
      <c r="Q443" s="50" t="s">
        <v>140</v>
      </c>
      <c r="R443" s="66"/>
      <c r="S443" s="50"/>
    </row>
    <row r="444" spans="1:19" ht="15.75" customHeight="1">
      <c r="A444" s="344"/>
      <c r="B444" s="344"/>
      <c r="C444" s="74">
        <v>16</v>
      </c>
      <c r="D444" s="344"/>
      <c r="E444" s="344"/>
      <c r="F444" s="84"/>
      <c r="G444" s="84"/>
      <c r="H444" s="80" t="s">
        <v>7747</v>
      </c>
      <c r="I444" s="80" t="s">
        <v>7820</v>
      </c>
      <c r="J444" s="84"/>
      <c r="K444" s="25" t="s">
        <v>294</v>
      </c>
      <c r="L444" s="66"/>
      <c r="M444" s="66"/>
      <c r="N444" s="84"/>
      <c r="O444" s="66"/>
      <c r="P444" s="66"/>
      <c r="Q444" s="50" t="s">
        <v>140</v>
      </c>
      <c r="R444" s="66"/>
      <c r="S444" s="50"/>
    </row>
    <row r="445" spans="1:19" ht="15.75" customHeight="1">
      <c r="A445" s="344"/>
      <c r="B445" s="344"/>
      <c r="C445" s="74">
        <v>17</v>
      </c>
      <c r="D445" s="344"/>
      <c r="E445" s="345"/>
      <c r="F445" s="84"/>
      <c r="G445" s="84"/>
      <c r="H445" s="80" t="s">
        <v>7821</v>
      </c>
      <c r="I445" s="80" t="s">
        <v>7605</v>
      </c>
      <c r="J445" s="84"/>
      <c r="K445" s="25" t="s">
        <v>294</v>
      </c>
      <c r="L445" s="66"/>
      <c r="M445" s="66"/>
      <c r="N445" s="84"/>
      <c r="O445" s="66"/>
      <c r="P445" s="66"/>
      <c r="Q445" s="50" t="s">
        <v>140</v>
      </c>
      <c r="R445" s="66"/>
      <c r="S445" s="50"/>
    </row>
    <row r="446" spans="1:19" ht="15.75" customHeight="1">
      <c r="A446" s="344"/>
      <c r="B446" s="344"/>
      <c r="C446" s="74">
        <v>18</v>
      </c>
      <c r="D446" s="344"/>
      <c r="E446" s="364" t="s">
        <v>7751</v>
      </c>
      <c r="F446" s="84"/>
      <c r="G446" s="84"/>
      <c r="H446" s="80" t="s">
        <v>7825</v>
      </c>
      <c r="I446" s="80" t="s">
        <v>7826</v>
      </c>
      <c r="J446" s="84"/>
      <c r="K446" s="25" t="s">
        <v>294</v>
      </c>
      <c r="L446" s="66"/>
      <c r="M446" s="66"/>
      <c r="N446" s="84"/>
      <c r="O446" s="66"/>
      <c r="P446" s="66"/>
      <c r="Q446" s="50" t="s">
        <v>140</v>
      </c>
      <c r="R446" s="66"/>
      <c r="S446" s="50"/>
    </row>
    <row r="447" spans="1:19" ht="15.75" customHeight="1">
      <c r="A447" s="344"/>
      <c r="B447" s="344"/>
      <c r="C447" s="74">
        <v>19</v>
      </c>
      <c r="D447" s="344"/>
      <c r="E447" s="344"/>
      <c r="F447" s="84"/>
      <c r="G447" s="84"/>
      <c r="H447" s="80" t="s">
        <v>7824</v>
      </c>
      <c r="I447" s="80" t="s">
        <v>7605</v>
      </c>
      <c r="J447" s="84"/>
      <c r="K447" s="25" t="s">
        <v>294</v>
      </c>
      <c r="L447" s="66"/>
      <c r="M447" s="66"/>
      <c r="N447" s="84"/>
      <c r="O447" s="66"/>
      <c r="P447" s="66"/>
      <c r="Q447" s="50" t="s">
        <v>140</v>
      </c>
      <c r="R447" s="66"/>
      <c r="S447" s="50"/>
    </row>
    <row r="448" spans="1:19" ht="15.75" customHeight="1">
      <c r="A448" s="344"/>
      <c r="B448" s="344"/>
      <c r="C448" s="74">
        <v>20</v>
      </c>
      <c r="D448" s="344"/>
      <c r="E448" s="344"/>
      <c r="F448" s="84"/>
      <c r="G448" s="84"/>
      <c r="H448" s="80" t="s">
        <v>7759</v>
      </c>
      <c r="I448" s="80" t="s">
        <v>7820</v>
      </c>
      <c r="J448" s="84"/>
      <c r="K448" s="25" t="s">
        <v>294</v>
      </c>
      <c r="L448" s="66"/>
      <c r="M448" s="66"/>
      <c r="N448" s="84"/>
      <c r="O448" s="66"/>
      <c r="P448" s="66"/>
      <c r="Q448" s="50" t="s">
        <v>140</v>
      </c>
      <c r="R448" s="66"/>
      <c r="S448" s="50"/>
    </row>
    <row r="449" spans="1:19" ht="15.75" customHeight="1">
      <c r="A449" s="344"/>
      <c r="B449" s="344"/>
      <c r="C449" s="74">
        <v>21</v>
      </c>
      <c r="D449" s="344"/>
      <c r="E449" s="345"/>
      <c r="F449" s="84"/>
      <c r="G449" s="84"/>
      <c r="H449" s="80" t="s">
        <v>7821</v>
      </c>
      <c r="I449" s="80" t="s">
        <v>7605</v>
      </c>
      <c r="J449" s="84"/>
      <c r="K449" s="25" t="s">
        <v>294</v>
      </c>
      <c r="L449" s="66"/>
      <c r="M449" s="66"/>
      <c r="N449" s="84"/>
      <c r="O449" s="66"/>
      <c r="P449" s="66"/>
      <c r="Q449" s="50" t="s">
        <v>140</v>
      </c>
      <c r="R449" s="66"/>
      <c r="S449" s="50"/>
    </row>
    <row r="450" spans="1:19" ht="15.75" customHeight="1">
      <c r="A450" s="344"/>
      <c r="B450" s="344"/>
      <c r="C450" s="74">
        <v>22</v>
      </c>
      <c r="D450" s="344"/>
      <c r="E450" s="364" t="s">
        <v>7754</v>
      </c>
      <c r="F450" s="84"/>
      <c r="G450" s="84"/>
      <c r="H450" s="80" t="s">
        <v>7827</v>
      </c>
      <c r="I450" s="80" t="s">
        <v>7828</v>
      </c>
      <c r="J450" s="84"/>
      <c r="K450" s="25" t="s">
        <v>294</v>
      </c>
      <c r="L450" s="66"/>
      <c r="M450" s="66"/>
      <c r="N450" s="84"/>
      <c r="O450" s="66"/>
      <c r="P450" s="66"/>
      <c r="Q450" s="50" t="s">
        <v>140</v>
      </c>
      <c r="R450" s="66"/>
      <c r="S450" s="50"/>
    </row>
    <row r="451" spans="1:19" ht="15.75" customHeight="1">
      <c r="A451" s="344"/>
      <c r="B451" s="344"/>
      <c r="C451" s="74">
        <v>23</v>
      </c>
      <c r="D451" s="344"/>
      <c r="E451" s="344"/>
      <c r="F451" s="84"/>
      <c r="G451" s="84"/>
      <c r="H451" s="80" t="s">
        <v>7824</v>
      </c>
      <c r="I451" s="80" t="s">
        <v>7605</v>
      </c>
      <c r="J451" s="84"/>
      <c r="K451" s="25" t="s">
        <v>294</v>
      </c>
      <c r="L451" s="66"/>
      <c r="M451" s="66"/>
      <c r="N451" s="84"/>
      <c r="O451" s="66"/>
      <c r="P451" s="66"/>
      <c r="Q451" s="50" t="s">
        <v>140</v>
      </c>
      <c r="R451" s="66"/>
      <c r="S451" s="50"/>
    </row>
    <row r="452" spans="1:19" ht="15.75" customHeight="1">
      <c r="A452" s="344"/>
      <c r="B452" s="344"/>
      <c r="C452" s="74">
        <v>24</v>
      </c>
      <c r="D452" s="344"/>
      <c r="E452" s="344"/>
      <c r="F452" s="84"/>
      <c r="G452" s="84"/>
      <c r="H452" s="80" t="s">
        <v>7759</v>
      </c>
      <c r="I452" s="80" t="s">
        <v>7820</v>
      </c>
      <c r="J452" s="84"/>
      <c r="K452" s="25" t="s">
        <v>294</v>
      </c>
      <c r="L452" s="66"/>
      <c r="M452" s="66"/>
      <c r="N452" s="84"/>
      <c r="O452" s="66"/>
      <c r="P452" s="66"/>
      <c r="Q452" s="50" t="s">
        <v>140</v>
      </c>
      <c r="R452" s="66"/>
      <c r="S452" s="50"/>
    </row>
    <row r="453" spans="1:19" ht="15.75" customHeight="1">
      <c r="A453" s="344"/>
      <c r="B453" s="344"/>
      <c r="C453" s="74">
        <v>25</v>
      </c>
      <c r="D453" s="344"/>
      <c r="E453" s="345"/>
      <c r="F453" s="84"/>
      <c r="G453" s="84"/>
      <c r="H453" s="80" t="s">
        <v>7821</v>
      </c>
      <c r="I453" s="80" t="s">
        <v>7605</v>
      </c>
      <c r="J453" s="84"/>
      <c r="K453" s="25" t="s">
        <v>294</v>
      </c>
      <c r="L453" s="66"/>
      <c r="M453" s="66"/>
      <c r="N453" s="84"/>
      <c r="O453" s="66"/>
      <c r="P453" s="66"/>
      <c r="Q453" s="50" t="s">
        <v>140</v>
      </c>
      <c r="R453" s="66"/>
      <c r="S453" s="50"/>
    </row>
    <row r="454" spans="1:19" ht="15.75" customHeight="1">
      <c r="A454" s="344"/>
      <c r="B454" s="344"/>
      <c r="C454" s="74">
        <v>26</v>
      </c>
      <c r="D454" s="344"/>
      <c r="E454" s="364" t="s">
        <v>7757</v>
      </c>
      <c r="F454" s="84"/>
      <c r="G454" s="84"/>
      <c r="H454" s="80" t="s">
        <v>7822</v>
      </c>
      <c r="I454" s="80" t="s">
        <v>7823</v>
      </c>
      <c r="J454" s="84"/>
      <c r="K454" s="25" t="s">
        <v>294</v>
      </c>
      <c r="L454" s="66"/>
      <c r="M454" s="66"/>
      <c r="N454" s="84"/>
      <c r="O454" s="66"/>
      <c r="P454" s="66"/>
      <c r="Q454" s="50" t="s">
        <v>140</v>
      </c>
      <c r="R454" s="66"/>
      <c r="S454" s="50"/>
    </row>
    <row r="455" spans="1:19" ht="15.75" customHeight="1">
      <c r="A455" s="344"/>
      <c r="B455" s="344"/>
      <c r="C455" s="74">
        <v>27</v>
      </c>
      <c r="D455" s="344"/>
      <c r="E455" s="344"/>
      <c r="F455" s="84"/>
      <c r="G455" s="84"/>
      <c r="H455" s="80" t="s">
        <v>7829</v>
      </c>
      <c r="I455" s="80" t="s">
        <v>7605</v>
      </c>
      <c r="J455" s="84"/>
      <c r="K455" s="25" t="s">
        <v>294</v>
      </c>
      <c r="L455" s="66"/>
      <c r="M455" s="66"/>
      <c r="N455" s="84"/>
      <c r="O455" s="66"/>
      <c r="P455" s="66"/>
      <c r="Q455" s="50" t="s">
        <v>140</v>
      </c>
      <c r="R455" s="66"/>
      <c r="S455" s="50"/>
    </row>
    <row r="456" spans="1:19" ht="15.75" customHeight="1">
      <c r="A456" s="344"/>
      <c r="B456" s="344"/>
      <c r="C456" s="74">
        <v>28</v>
      </c>
      <c r="D456" s="344"/>
      <c r="E456" s="344"/>
      <c r="F456" s="84"/>
      <c r="G456" s="84"/>
      <c r="H456" s="80" t="s">
        <v>7759</v>
      </c>
      <c r="I456" s="80" t="s">
        <v>7820</v>
      </c>
      <c r="J456" s="84"/>
      <c r="K456" s="25" t="s">
        <v>294</v>
      </c>
      <c r="L456" s="66"/>
      <c r="M456" s="66"/>
      <c r="N456" s="84"/>
      <c r="O456" s="66"/>
      <c r="P456" s="66"/>
      <c r="Q456" s="50" t="s">
        <v>140</v>
      </c>
      <c r="R456" s="66"/>
      <c r="S456" s="50"/>
    </row>
    <row r="457" spans="1:19" ht="15.75" customHeight="1">
      <c r="A457" s="344"/>
      <c r="B457" s="344"/>
      <c r="C457" s="74">
        <v>29</v>
      </c>
      <c r="D457" s="344"/>
      <c r="E457" s="345"/>
      <c r="F457" s="84"/>
      <c r="G457" s="84"/>
      <c r="H457" s="80" t="s">
        <v>7821</v>
      </c>
      <c r="I457" s="80" t="s">
        <v>7605</v>
      </c>
      <c r="J457" s="84"/>
      <c r="K457" s="25" t="s">
        <v>294</v>
      </c>
      <c r="L457" s="66"/>
      <c r="M457" s="66"/>
      <c r="N457" s="84"/>
      <c r="O457" s="66"/>
      <c r="P457" s="66"/>
      <c r="Q457" s="50" t="s">
        <v>140</v>
      </c>
      <c r="R457" s="66"/>
      <c r="S457" s="50"/>
    </row>
    <row r="458" spans="1:19" ht="15.75" customHeight="1">
      <c r="A458" s="344"/>
      <c r="B458" s="344"/>
      <c r="C458" s="74">
        <v>30</v>
      </c>
      <c r="D458" s="344"/>
      <c r="E458" s="364" t="s">
        <v>7760</v>
      </c>
      <c r="F458" s="84"/>
      <c r="G458" s="84"/>
      <c r="H458" s="80" t="s">
        <v>7825</v>
      </c>
      <c r="I458" s="80" t="s">
        <v>7826</v>
      </c>
      <c r="J458" s="84"/>
      <c r="K458" s="25" t="s">
        <v>294</v>
      </c>
      <c r="L458" s="66"/>
      <c r="M458" s="66"/>
      <c r="N458" s="84"/>
      <c r="O458" s="66"/>
      <c r="P458" s="66"/>
      <c r="Q458" s="50" t="s">
        <v>140</v>
      </c>
      <c r="R458" s="66"/>
      <c r="S458" s="50"/>
    </row>
    <row r="459" spans="1:19" ht="15.75" customHeight="1">
      <c r="A459" s="344"/>
      <c r="B459" s="344"/>
      <c r="C459" s="74">
        <v>31</v>
      </c>
      <c r="D459" s="344"/>
      <c r="E459" s="344"/>
      <c r="F459" s="84"/>
      <c r="G459" s="84"/>
      <c r="H459" s="80" t="s">
        <v>7829</v>
      </c>
      <c r="I459" s="80" t="s">
        <v>7605</v>
      </c>
      <c r="J459" s="84"/>
      <c r="K459" s="25" t="s">
        <v>294</v>
      </c>
      <c r="L459" s="66"/>
      <c r="M459" s="66"/>
      <c r="N459" s="84"/>
      <c r="O459" s="66"/>
      <c r="P459" s="66"/>
      <c r="Q459" s="50" t="s">
        <v>140</v>
      </c>
      <c r="R459" s="66"/>
      <c r="S459" s="50"/>
    </row>
    <row r="460" spans="1:19" ht="15.75" customHeight="1">
      <c r="A460" s="344"/>
      <c r="B460" s="344"/>
      <c r="C460" s="74">
        <v>32</v>
      </c>
      <c r="D460" s="344"/>
      <c r="E460" s="344"/>
      <c r="F460" s="84"/>
      <c r="G460" s="84"/>
      <c r="H460" s="80" t="s">
        <v>7759</v>
      </c>
      <c r="I460" s="80" t="s">
        <v>7820</v>
      </c>
      <c r="J460" s="84"/>
      <c r="K460" s="25" t="s">
        <v>294</v>
      </c>
      <c r="L460" s="66"/>
      <c r="M460" s="66"/>
      <c r="N460" s="84"/>
      <c r="O460" s="66"/>
      <c r="P460" s="66"/>
      <c r="Q460" s="50" t="s">
        <v>140</v>
      </c>
      <c r="R460" s="66"/>
      <c r="S460" s="50"/>
    </row>
    <row r="461" spans="1:19" ht="15.75" customHeight="1">
      <c r="A461" s="344"/>
      <c r="B461" s="344"/>
      <c r="C461" s="74">
        <v>33</v>
      </c>
      <c r="D461" s="344"/>
      <c r="E461" s="345"/>
      <c r="F461" s="84"/>
      <c r="G461" s="84"/>
      <c r="H461" s="80" t="s">
        <v>7821</v>
      </c>
      <c r="I461" s="80" t="s">
        <v>7605</v>
      </c>
      <c r="J461" s="84"/>
      <c r="K461" s="25" t="s">
        <v>294</v>
      </c>
      <c r="L461" s="66"/>
      <c r="M461" s="66"/>
      <c r="N461" s="84"/>
      <c r="O461" s="66"/>
      <c r="P461" s="66"/>
      <c r="Q461" s="50" t="s">
        <v>140</v>
      </c>
      <c r="R461" s="66"/>
      <c r="S461" s="50"/>
    </row>
    <row r="462" spans="1:19" ht="15.75" customHeight="1">
      <c r="A462" s="344"/>
      <c r="B462" s="344"/>
      <c r="C462" s="74">
        <v>34</v>
      </c>
      <c r="D462" s="344"/>
      <c r="E462" s="364" t="s">
        <v>7762</v>
      </c>
      <c r="F462" s="84"/>
      <c r="G462" s="84"/>
      <c r="H462" s="80" t="s">
        <v>7827</v>
      </c>
      <c r="I462" s="80" t="s">
        <v>7828</v>
      </c>
      <c r="J462" s="84"/>
      <c r="K462" s="25" t="s">
        <v>294</v>
      </c>
      <c r="L462" s="66"/>
      <c r="M462" s="66"/>
      <c r="N462" s="84"/>
      <c r="O462" s="66"/>
      <c r="P462" s="66"/>
      <c r="Q462" s="50" t="s">
        <v>140</v>
      </c>
      <c r="R462" s="66"/>
      <c r="S462" s="50"/>
    </row>
    <row r="463" spans="1:19" ht="15.75" customHeight="1">
      <c r="A463" s="344"/>
      <c r="B463" s="344"/>
      <c r="C463" s="74">
        <v>35</v>
      </c>
      <c r="D463" s="344"/>
      <c r="E463" s="344"/>
      <c r="F463" s="84"/>
      <c r="G463" s="84"/>
      <c r="H463" s="80" t="s">
        <v>7829</v>
      </c>
      <c r="I463" s="80" t="s">
        <v>7605</v>
      </c>
      <c r="J463" s="84"/>
      <c r="K463" s="25" t="s">
        <v>294</v>
      </c>
      <c r="L463" s="66"/>
      <c r="M463" s="66"/>
      <c r="N463" s="84"/>
      <c r="O463" s="66"/>
      <c r="P463" s="66"/>
      <c r="Q463" s="50" t="s">
        <v>140</v>
      </c>
      <c r="R463" s="66"/>
      <c r="S463" s="50"/>
    </row>
    <row r="464" spans="1:19" ht="15.75" customHeight="1">
      <c r="A464" s="344"/>
      <c r="B464" s="344"/>
      <c r="C464" s="74">
        <v>36</v>
      </c>
      <c r="D464" s="344"/>
      <c r="E464" s="344"/>
      <c r="F464" s="84"/>
      <c r="G464" s="84"/>
      <c r="H464" s="80" t="s">
        <v>7759</v>
      </c>
      <c r="I464" s="80" t="s">
        <v>7820</v>
      </c>
      <c r="J464" s="84"/>
      <c r="K464" s="25" t="s">
        <v>294</v>
      </c>
      <c r="L464" s="66"/>
      <c r="M464" s="66"/>
      <c r="N464" s="84"/>
      <c r="O464" s="66"/>
      <c r="P464" s="66"/>
      <c r="Q464" s="50" t="s">
        <v>140</v>
      </c>
      <c r="R464" s="66"/>
      <c r="S464" s="50"/>
    </row>
    <row r="465" spans="1:19" ht="15.75" customHeight="1">
      <c r="A465" s="344"/>
      <c r="B465" s="344"/>
      <c r="C465" s="74">
        <v>37</v>
      </c>
      <c r="D465" s="344"/>
      <c r="E465" s="345"/>
      <c r="F465" s="84"/>
      <c r="G465" s="84"/>
      <c r="H465" s="80" t="s">
        <v>7821</v>
      </c>
      <c r="I465" s="80" t="s">
        <v>7605</v>
      </c>
      <c r="J465" s="84"/>
      <c r="K465" s="25" t="s">
        <v>294</v>
      </c>
      <c r="L465" s="66"/>
      <c r="M465" s="66"/>
      <c r="N465" s="84"/>
      <c r="O465" s="66"/>
      <c r="P465" s="66"/>
      <c r="Q465" s="50" t="s">
        <v>140</v>
      </c>
      <c r="R465" s="66"/>
      <c r="S465" s="50"/>
    </row>
    <row r="466" spans="1:19" ht="15.75" customHeight="1">
      <c r="A466" s="344"/>
      <c r="B466" s="344"/>
      <c r="C466" s="74">
        <v>38</v>
      </c>
      <c r="D466" s="344"/>
      <c r="E466" s="364" t="s">
        <v>7764</v>
      </c>
      <c r="F466" s="84"/>
      <c r="G466" s="84"/>
      <c r="H466" s="80" t="s">
        <v>7830</v>
      </c>
      <c r="I466" s="80" t="s">
        <v>7605</v>
      </c>
      <c r="J466" s="84"/>
      <c r="K466" s="25" t="s">
        <v>294</v>
      </c>
      <c r="L466" s="66"/>
      <c r="M466" s="66"/>
      <c r="N466" s="84"/>
      <c r="O466" s="66"/>
      <c r="P466" s="66"/>
      <c r="Q466" s="50" t="s">
        <v>140</v>
      </c>
      <c r="R466" s="66"/>
      <c r="S466" s="50"/>
    </row>
    <row r="467" spans="1:19" ht="15.75" customHeight="1">
      <c r="A467" s="344"/>
      <c r="B467" s="344"/>
      <c r="C467" s="74">
        <v>39</v>
      </c>
      <c r="D467" s="344"/>
      <c r="E467" s="344"/>
      <c r="F467" s="84"/>
      <c r="G467" s="84"/>
      <c r="H467" s="80" t="s">
        <v>7766</v>
      </c>
      <c r="I467" s="80" t="s">
        <v>7820</v>
      </c>
      <c r="J467" s="84"/>
      <c r="K467" s="25" t="s">
        <v>294</v>
      </c>
      <c r="L467" s="66"/>
      <c r="M467" s="66"/>
      <c r="N467" s="84"/>
      <c r="O467" s="66"/>
      <c r="P467" s="66"/>
      <c r="Q467" s="50" t="s">
        <v>140</v>
      </c>
      <c r="R467" s="66"/>
      <c r="S467" s="50"/>
    </row>
    <row r="468" spans="1:19" ht="15.75" customHeight="1">
      <c r="A468" s="344"/>
      <c r="B468" s="344"/>
      <c r="C468" s="74">
        <v>40</v>
      </c>
      <c r="D468" s="344"/>
      <c r="E468" s="344"/>
      <c r="F468" s="84"/>
      <c r="G468" s="84"/>
      <c r="H468" s="80" t="s">
        <v>7821</v>
      </c>
      <c r="I468" s="80" t="s">
        <v>7605</v>
      </c>
      <c r="J468" s="84"/>
      <c r="K468" s="25" t="s">
        <v>294</v>
      </c>
      <c r="L468" s="66"/>
      <c r="M468" s="66"/>
      <c r="N468" s="84"/>
      <c r="O468" s="66"/>
      <c r="P468" s="66"/>
      <c r="Q468" s="50" t="s">
        <v>140</v>
      </c>
      <c r="R468" s="66"/>
      <c r="S468" s="50"/>
    </row>
    <row r="469" spans="1:19" ht="15.75" customHeight="1">
      <c r="A469" s="344"/>
      <c r="B469" s="344"/>
      <c r="C469" s="74">
        <v>41</v>
      </c>
      <c r="D469" s="344"/>
      <c r="E469" s="345"/>
      <c r="F469" s="84"/>
      <c r="G469" s="84"/>
      <c r="H469" s="80" t="s">
        <v>7831</v>
      </c>
      <c r="I469" s="80" t="s">
        <v>7832</v>
      </c>
      <c r="J469" s="84"/>
      <c r="K469" s="25" t="s">
        <v>294</v>
      </c>
      <c r="L469" s="66"/>
      <c r="M469" s="66"/>
      <c r="N469" s="84"/>
      <c r="O469" s="66"/>
      <c r="P469" s="66"/>
      <c r="Q469" s="50" t="s">
        <v>140</v>
      </c>
      <c r="R469" s="66"/>
      <c r="S469" s="50"/>
    </row>
    <row r="470" spans="1:19" ht="15.75" customHeight="1">
      <c r="A470" s="344"/>
      <c r="B470" s="344"/>
      <c r="C470" s="74">
        <v>42</v>
      </c>
      <c r="D470" s="344"/>
      <c r="E470" s="364" t="s">
        <v>7770</v>
      </c>
      <c r="F470" s="84"/>
      <c r="G470" s="84"/>
      <c r="H470" s="80" t="s">
        <v>7830</v>
      </c>
      <c r="I470" s="80" t="s">
        <v>7605</v>
      </c>
      <c r="J470" s="84"/>
      <c r="K470" s="25" t="s">
        <v>294</v>
      </c>
      <c r="L470" s="66"/>
      <c r="M470" s="66"/>
      <c r="N470" s="84"/>
      <c r="O470" s="66"/>
      <c r="P470" s="66"/>
      <c r="Q470" s="50" t="s">
        <v>140</v>
      </c>
      <c r="R470" s="66"/>
      <c r="S470" s="50"/>
    </row>
    <row r="471" spans="1:19" ht="15.75" customHeight="1">
      <c r="A471" s="344"/>
      <c r="B471" s="344"/>
      <c r="C471" s="74">
        <v>43</v>
      </c>
      <c r="D471" s="344"/>
      <c r="E471" s="344"/>
      <c r="F471" s="84"/>
      <c r="G471" s="84"/>
      <c r="H471" s="80" t="s">
        <v>7771</v>
      </c>
      <c r="I471" s="80" t="s">
        <v>7820</v>
      </c>
      <c r="J471" s="84"/>
      <c r="K471" s="25" t="s">
        <v>294</v>
      </c>
      <c r="L471" s="66"/>
      <c r="M471" s="66"/>
      <c r="N471" s="84"/>
      <c r="O471" s="66"/>
      <c r="P471" s="66"/>
      <c r="Q471" s="50" t="s">
        <v>140</v>
      </c>
      <c r="R471" s="66"/>
      <c r="S471" s="50"/>
    </row>
    <row r="472" spans="1:19" ht="15.75" customHeight="1">
      <c r="A472" s="344"/>
      <c r="B472" s="344"/>
      <c r="C472" s="74">
        <v>44</v>
      </c>
      <c r="D472" s="344"/>
      <c r="E472" s="344"/>
      <c r="F472" s="84"/>
      <c r="G472" s="84"/>
      <c r="H472" s="80" t="s">
        <v>7821</v>
      </c>
      <c r="I472" s="80" t="s">
        <v>7605</v>
      </c>
      <c r="J472" s="84"/>
      <c r="K472" s="25" t="s">
        <v>294</v>
      </c>
      <c r="L472" s="66"/>
      <c r="M472" s="66"/>
      <c r="N472" s="84"/>
      <c r="O472" s="66"/>
      <c r="P472" s="66"/>
      <c r="Q472" s="50" t="s">
        <v>140</v>
      </c>
      <c r="R472" s="66"/>
      <c r="S472" s="50"/>
    </row>
    <row r="473" spans="1:19" ht="15.75" customHeight="1">
      <c r="A473" s="344"/>
      <c r="B473" s="344"/>
      <c r="C473" s="74">
        <v>45</v>
      </c>
      <c r="D473" s="344"/>
      <c r="E473" s="345"/>
      <c r="F473" s="84"/>
      <c r="G473" s="84"/>
      <c r="H473" s="80" t="s">
        <v>7831</v>
      </c>
      <c r="I473" s="80" t="s">
        <v>7832</v>
      </c>
      <c r="J473" s="84"/>
      <c r="K473" s="25" t="s">
        <v>294</v>
      </c>
      <c r="L473" s="66"/>
      <c r="M473" s="66"/>
      <c r="N473" s="84"/>
      <c r="O473" s="66"/>
      <c r="P473" s="66"/>
      <c r="Q473" s="50" t="s">
        <v>140</v>
      </c>
      <c r="R473" s="66"/>
      <c r="S473" s="50"/>
    </row>
    <row r="474" spans="1:19" ht="15.75" customHeight="1">
      <c r="A474" s="344"/>
      <c r="B474" s="344"/>
      <c r="C474" s="74">
        <v>46</v>
      </c>
      <c r="D474" s="344"/>
      <c r="E474" s="364" t="s">
        <v>7764</v>
      </c>
      <c r="F474" s="84"/>
      <c r="G474" s="84"/>
      <c r="H474" s="80" t="s">
        <v>7833</v>
      </c>
      <c r="I474" s="80" t="s">
        <v>7605</v>
      </c>
      <c r="J474" s="84"/>
      <c r="K474" s="25" t="s">
        <v>294</v>
      </c>
      <c r="L474" s="66"/>
      <c r="M474" s="66"/>
      <c r="N474" s="84"/>
      <c r="O474" s="66"/>
      <c r="P474" s="66"/>
      <c r="Q474" s="50" t="s">
        <v>140</v>
      </c>
      <c r="R474" s="66"/>
      <c r="S474" s="50"/>
    </row>
    <row r="475" spans="1:19" ht="15.75" customHeight="1">
      <c r="A475" s="344"/>
      <c r="B475" s="344"/>
      <c r="C475" s="74">
        <v>47</v>
      </c>
      <c r="D475" s="344"/>
      <c r="E475" s="344"/>
      <c r="F475" s="84"/>
      <c r="G475" s="84"/>
      <c r="H475" s="80" t="s">
        <v>7774</v>
      </c>
      <c r="I475" s="80" t="s">
        <v>7775</v>
      </c>
      <c r="J475" s="84"/>
      <c r="K475" s="25" t="s">
        <v>294</v>
      </c>
      <c r="L475" s="66"/>
      <c r="M475" s="66"/>
      <c r="N475" s="84"/>
      <c r="O475" s="66"/>
      <c r="P475" s="66"/>
      <c r="Q475" s="50" t="s">
        <v>140</v>
      </c>
      <c r="R475" s="66"/>
      <c r="S475" s="50"/>
    </row>
    <row r="476" spans="1:19" ht="15.75" customHeight="1">
      <c r="A476" s="344"/>
      <c r="B476" s="344"/>
      <c r="C476" s="74">
        <v>48</v>
      </c>
      <c r="D476" s="344"/>
      <c r="E476" s="344"/>
      <c r="F476" s="84"/>
      <c r="G476" s="84"/>
      <c r="H476" s="80" t="s">
        <v>7821</v>
      </c>
      <c r="I476" s="80" t="s">
        <v>7605</v>
      </c>
      <c r="J476" s="84"/>
      <c r="K476" s="25" t="s">
        <v>294</v>
      </c>
      <c r="L476" s="66"/>
      <c r="M476" s="66"/>
      <c r="N476" s="84"/>
      <c r="O476" s="66"/>
      <c r="P476" s="66"/>
      <c r="Q476" s="50" t="s">
        <v>140</v>
      </c>
      <c r="R476" s="66"/>
      <c r="S476" s="50"/>
    </row>
    <row r="477" spans="1:19" ht="15.75" customHeight="1">
      <c r="A477" s="345"/>
      <c r="B477" s="345"/>
      <c r="C477" s="74">
        <v>49</v>
      </c>
      <c r="D477" s="345"/>
      <c r="E477" s="345"/>
      <c r="F477" s="84"/>
      <c r="G477" s="84"/>
      <c r="H477" s="80" t="s">
        <v>7834</v>
      </c>
      <c r="I477" s="80" t="s">
        <v>7835</v>
      </c>
      <c r="J477" s="84"/>
      <c r="K477" s="25" t="s">
        <v>294</v>
      </c>
      <c r="L477" s="66"/>
      <c r="M477" s="66"/>
      <c r="N477" s="84"/>
      <c r="O477" s="66"/>
      <c r="P477" s="66"/>
      <c r="Q477" s="50" t="s">
        <v>140</v>
      </c>
      <c r="R477" s="66"/>
      <c r="S477" s="50"/>
    </row>
    <row r="478" spans="1:19" ht="15.75" customHeight="1">
      <c r="A478" s="299"/>
      <c r="B478" s="300"/>
      <c r="C478" s="68"/>
      <c r="D478" s="301"/>
      <c r="E478" s="69"/>
      <c r="K478" s="282"/>
      <c r="L478" s="282"/>
      <c r="M478" s="195"/>
      <c r="N478" s="5"/>
      <c r="O478" s="68"/>
      <c r="P478" s="68"/>
      <c r="Q478" s="68"/>
      <c r="R478" s="68"/>
      <c r="S478" s="68"/>
    </row>
    <row r="479" spans="1:19" ht="15.75" customHeight="1">
      <c r="A479" s="299"/>
      <c r="B479" s="300"/>
      <c r="C479" s="68"/>
      <c r="D479" s="301"/>
      <c r="E479" s="69"/>
      <c r="K479" s="282"/>
      <c r="L479" s="282"/>
      <c r="M479" s="195"/>
      <c r="N479" s="5"/>
      <c r="O479" s="68"/>
      <c r="P479" s="68"/>
      <c r="Q479" s="68"/>
      <c r="R479" s="68"/>
      <c r="S479" s="68"/>
    </row>
    <row r="480" spans="1:19" ht="15.75" customHeight="1">
      <c r="A480" s="299"/>
      <c r="B480" s="300"/>
      <c r="C480" s="68"/>
      <c r="D480" s="301"/>
      <c r="E480" s="69"/>
      <c r="K480" s="282"/>
      <c r="L480" s="282"/>
      <c r="M480" s="195"/>
      <c r="N480" s="5"/>
      <c r="O480" s="68"/>
      <c r="P480" s="68"/>
      <c r="Q480" s="68"/>
      <c r="R480" s="68"/>
      <c r="S480" s="68"/>
    </row>
    <row r="481" spans="1:19" ht="15.75" customHeight="1">
      <c r="A481" s="299"/>
      <c r="B481" s="300"/>
      <c r="C481" s="68"/>
      <c r="D481" s="301"/>
      <c r="E481" s="69"/>
      <c r="K481" s="282"/>
      <c r="L481" s="282"/>
      <c r="M481" s="195"/>
      <c r="N481" s="5"/>
      <c r="O481" s="68"/>
      <c r="P481" s="68"/>
      <c r="Q481" s="68"/>
      <c r="R481" s="68"/>
      <c r="S481" s="68"/>
    </row>
    <row r="482" spans="1:19" ht="15.75" customHeight="1">
      <c r="A482" s="299"/>
      <c r="B482" s="300"/>
      <c r="C482" s="68"/>
      <c r="D482" s="301"/>
      <c r="E482" s="69"/>
      <c r="K482" s="282"/>
      <c r="L482" s="282"/>
      <c r="M482" s="195"/>
      <c r="N482" s="5"/>
      <c r="O482" s="68"/>
      <c r="P482" s="68"/>
      <c r="Q482" s="68"/>
      <c r="R482" s="68"/>
      <c r="S482" s="68"/>
    </row>
    <row r="483" spans="1:19" ht="15.75" customHeight="1">
      <c r="A483" s="299"/>
      <c r="B483" s="300"/>
      <c r="C483" s="68"/>
      <c r="D483" s="301"/>
      <c r="E483" s="69"/>
      <c r="K483" s="282"/>
      <c r="L483" s="282"/>
      <c r="M483" s="195"/>
      <c r="N483" s="5"/>
      <c r="O483" s="68"/>
      <c r="P483" s="68"/>
      <c r="Q483" s="68"/>
      <c r="R483" s="68"/>
      <c r="S483" s="68"/>
    </row>
    <row r="484" spans="1:19" ht="15.75" customHeight="1">
      <c r="A484" s="299"/>
      <c r="B484" s="300"/>
      <c r="C484" s="68"/>
      <c r="D484" s="301"/>
      <c r="E484" s="69"/>
      <c r="K484" s="282"/>
      <c r="L484" s="282"/>
      <c r="M484" s="195"/>
      <c r="N484" s="5"/>
      <c r="O484" s="68"/>
      <c r="P484" s="68"/>
      <c r="Q484" s="68"/>
      <c r="R484" s="68"/>
      <c r="S484" s="68"/>
    </row>
    <row r="485" spans="1:19" ht="15.75" customHeight="1">
      <c r="A485" s="299"/>
      <c r="B485" s="300"/>
      <c r="C485" s="68"/>
      <c r="D485" s="301"/>
      <c r="E485" s="69"/>
      <c r="K485" s="282"/>
      <c r="L485" s="282"/>
      <c r="M485" s="195"/>
      <c r="N485" s="5"/>
      <c r="O485" s="68"/>
      <c r="P485" s="68"/>
      <c r="Q485" s="68"/>
      <c r="R485" s="68"/>
      <c r="S485" s="68"/>
    </row>
    <row r="486" spans="1:19" ht="15.75" customHeight="1">
      <c r="A486" s="299"/>
      <c r="B486" s="300"/>
      <c r="C486" s="68"/>
      <c r="D486" s="301"/>
      <c r="E486" s="69"/>
      <c r="K486" s="282"/>
      <c r="L486" s="282"/>
      <c r="M486" s="195"/>
      <c r="N486" s="5"/>
      <c r="O486" s="68"/>
      <c r="P486" s="68"/>
      <c r="Q486" s="68"/>
      <c r="R486" s="68"/>
      <c r="S486" s="68"/>
    </row>
    <row r="487" spans="1:19" ht="15.75" customHeight="1">
      <c r="A487" s="299"/>
      <c r="B487" s="300"/>
      <c r="C487" s="68"/>
      <c r="D487" s="301"/>
      <c r="E487" s="69"/>
      <c r="K487" s="282"/>
      <c r="L487" s="282"/>
      <c r="M487" s="195"/>
      <c r="N487" s="5"/>
      <c r="O487" s="68"/>
      <c r="P487" s="68"/>
      <c r="Q487" s="68"/>
      <c r="R487" s="68"/>
      <c r="S487" s="68"/>
    </row>
    <row r="488" spans="1:19" ht="15.75" customHeight="1">
      <c r="A488" s="299"/>
      <c r="B488" s="300"/>
      <c r="C488" s="68"/>
      <c r="D488" s="301"/>
      <c r="E488" s="69"/>
      <c r="K488" s="282"/>
      <c r="L488" s="282"/>
      <c r="M488" s="195"/>
      <c r="N488" s="5"/>
      <c r="O488" s="68"/>
      <c r="P488" s="68"/>
      <c r="Q488" s="68"/>
      <c r="R488" s="68"/>
      <c r="S488" s="68"/>
    </row>
    <row r="489" spans="1:19" ht="15.75" customHeight="1">
      <c r="A489" s="299"/>
      <c r="B489" s="300"/>
      <c r="C489" s="68"/>
      <c r="D489" s="301"/>
      <c r="E489" s="69"/>
      <c r="K489" s="282"/>
      <c r="L489" s="282"/>
      <c r="M489" s="195"/>
      <c r="N489" s="5"/>
      <c r="O489" s="68"/>
      <c r="P489" s="68"/>
      <c r="Q489" s="68"/>
      <c r="R489" s="68"/>
      <c r="S489" s="68"/>
    </row>
    <row r="490" spans="1:19" ht="15.75" customHeight="1">
      <c r="A490" s="299"/>
      <c r="B490" s="300"/>
      <c r="C490" s="68"/>
      <c r="D490" s="301"/>
      <c r="E490" s="69"/>
      <c r="K490" s="282"/>
      <c r="L490" s="282"/>
      <c r="M490" s="195"/>
      <c r="N490" s="5"/>
      <c r="O490" s="68"/>
      <c r="P490" s="68"/>
      <c r="Q490" s="68"/>
      <c r="R490" s="68"/>
      <c r="S490" s="68"/>
    </row>
    <row r="491" spans="1:19" ht="15.75" customHeight="1">
      <c r="A491" s="299"/>
      <c r="B491" s="300"/>
      <c r="C491" s="68"/>
      <c r="D491" s="301"/>
      <c r="E491" s="69"/>
      <c r="K491" s="282"/>
      <c r="L491" s="282"/>
      <c r="M491" s="195"/>
      <c r="N491" s="5"/>
      <c r="O491" s="68"/>
      <c r="P491" s="68"/>
      <c r="Q491" s="68"/>
      <c r="R491" s="68"/>
      <c r="S491" s="68"/>
    </row>
    <row r="492" spans="1:19" ht="15.75" customHeight="1">
      <c r="A492" s="299"/>
      <c r="B492" s="300"/>
      <c r="C492" s="68"/>
      <c r="D492" s="301"/>
      <c r="E492" s="69"/>
      <c r="K492" s="282"/>
      <c r="L492" s="282"/>
      <c r="M492" s="195"/>
      <c r="N492" s="5"/>
      <c r="O492" s="68"/>
      <c r="P492" s="68"/>
      <c r="Q492" s="68"/>
      <c r="R492" s="68"/>
      <c r="S492" s="68"/>
    </row>
    <row r="493" spans="1:19" ht="15.75" customHeight="1">
      <c r="A493" s="299"/>
      <c r="B493" s="300"/>
      <c r="C493" s="68"/>
      <c r="D493" s="301"/>
      <c r="E493" s="69"/>
      <c r="K493" s="282"/>
      <c r="L493" s="282"/>
      <c r="M493" s="195"/>
      <c r="N493" s="5"/>
      <c r="O493" s="68"/>
      <c r="P493" s="68"/>
      <c r="Q493" s="68"/>
      <c r="R493" s="68"/>
      <c r="S493" s="68"/>
    </row>
    <row r="494" spans="1:19" ht="15.75" customHeight="1">
      <c r="A494" s="299"/>
      <c r="B494" s="300"/>
      <c r="C494" s="68"/>
      <c r="D494" s="301"/>
      <c r="E494" s="69"/>
      <c r="K494" s="282"/>
      <c r="L494" s="282"/>
      <c r="M494" s="195"/>
      <c r="N494" s="5"/>
      <c r="O494" s="68"/>
      <c r="P494" s="68"/>
      <c r="Q494" s="68"/>
      <c r="R494" s="68"/>
      <c r="S494" s="68"/>
    </row>
    <row r="495" spans="1:19" ht="15.75" customHeight="1">
      <c r="A495" s="299"/>
      <c r="B495" s="300"/>
      <c r="C495" s="68"/>
      <c r="D495" s="301"/>
      <c r="E495" s="69"/>
      <c r="K495" s="282"/>
      <c r="L495" s="282"/>
      <c r="M495" s="195"/>
      <c r="N495" s="5"/>
      <c r="O495" s="68"/>
      <c r="P495" s="68"/>
      <c r="Q495" s="68"/>
      <c r="R495" s="68"/>
      <c r="S495" s="68"/>
    </row>
    <row r="496" spans="1:19" ht="15.75" customHeight="1">
      <c r="A496" s="299"/>
      <c r="B496" s="300"/>
      <c r="C496" s="68"/>
      <c r="D496" s="301"/>
      <c r="E496" s="69"/>
      <c r="K496" s="282"/>
      <c r="L496" s="282"/>
      <c r="M496" s="195"/>
      <c r="N496" s="5"/>
      <c r="O496" s="68"/>
      <c r="P496" s="68"/>
      <c r="Q496" s="68"/>
      <c r="R496" s="68"/>
      <c r="S496" s="68"/>
    </row>
    <row r="497" spans="1:19" ht="15.75" customHeight="1">
      <c r="A497" s="299"/>
      <c r="B497" s="300"/>
      <c r="C497" s="68"/>
      <c r="D497" s="301"/>
      <c r="E497" s="69"/>
      <c r="K497" s="282"/>
      <c r="L497" s="282"/>
      <c r="M497" s="195"/>
      <c r="N497" s="5"/>
      <c r="O497" s="68"/>
      <c r="P497" s="68"/>
      <c r="Q497" s="68"/>
      <c r="R497" s="68"/>
      <c r="S497" s="68"/>
    </row>
    <row r="498" spans="1:19" ht="15.75" customHeight="1">
      <c r="A498" s="299"/>
      <c r="B498" s="300"/>
      <c r="C498" s="68"/>
      <c r="D498" s="301"/>
      <c r="E498" s="69"/>
      <c r="K498" s="282"/>
      <c r="L498" s="282"/>
      <c r="M498" s="195"/>
      <c r="N498" s="5"/>
      <c r="O498" s="68"/>
      <c r="P498" s="68"/>
      <c r="Q498" s="68"/>
      <c r="R498" s="68"/>
      <c r="S498" s="68"/>
    </row>
    <row r="499" spans="1:19" ht="15.75" customHeight="1">
      <c r="A499" s="299"/>
      <c r="B499" s="300"/>
      <c r="C499" s="68"/>
      <c r="D499" s="301"/>
      <c r="E499" s="69"/>
      <c r="K499" s="282"/>
      <c r="L499" s="282"/>
      <c r="M499" s="195"/>
      <c r="N499" s="5"/>
      <c r="O499" s="68"/>
      <c r="P499" s="68"/>
      <c r="Q499" s="68"/>
      <c r="R499" s="68"/>
      <c r="S499" s="68"/>
    </row>
    <row r="500" spans="1:19" ht="15.75" customHeight="1">
      <c r="A500" s="299"/>
      <c r="B500" s="300"/>
      <c r="C500" s="68"/>
      <c r="D500" s="301"/>
      <c r="E500" s="69"/>
      <c r="K500" s="282"/>
      <c r="L500" s="282"/>
      <c r="M500" s="195"/>
      <c r="N500" s="5"/>
      <c r="O500" s="68"/>
      <c r="P500" s="68"/>
      <c r="Q500" s="68"/>
      <c r="R500" s="68"/>
      <c r="S500" s="68"/>
    </row>
    <row r="501" spans="1:19" ht="15.75" customHeight="1">
      <c r="A501" s="299"/>
      <c r="B501" s="300"/>
      <c r="C501" s="68"/>
      <c r="D501" s="301"/>
      <c r="E501" s="69"/>
      <c r="K501" s="282"/>
      <c r="L501" s="282"/>
      <c r="M501" s="195"/>
      <c r="N501" s="5"/>
      <c r="O501" s="68"/>
      <c r="P501" s="68"/>
      <c r="Q501" s="68"/>
      <c r="R501" s="68"/>
      <c r="S501" s="68"/>
    </row>
    <row r="502" spans="1:19" ht="15.75" customHeight="1">
      <c r="A502" s="299"/>
      <c r="B502" s="300"/>
      <c r="C502" s="68"/>
      <c r="D502" s="301"/>
      <c r="E502" s="69"/>
      <c r="K502" s="282"/>
      <c r="L502" s="282"/>
      <c r="M502" s="195"/>
      <c r="N502" s="5"/>
      <c r="O502" s="68"/>
      <c r="P502" s="68"/>
      <c r="Q502" s="68"/>
      <c r="R502" s="68"/>
      <c r="S502" s="68"/>
    </row>
    <row r="503" spans="1:19" ht="15.75" customHeight="1">
      <c r="A503" s="299"/>
      <c r="B503" s="300"/>
      <c r="C503" s="68"/>
      <c r="D503" s="301"/>
      <c r="E503" s="69"/>
      <c r="K503" s="282"/>
      <c r="L503" s="282"/>
      <c r="M503" s="195"/>
      <c r="N503" s="5"/>
      <c r="O503" s="68"/>
      <c r="P503" s="68"/>
      <c r="Q503" s="68"/>
      <c r="R503" s="68"/>
      <c r="S503" s="68"/>
    </row>
    <row r="504" spans="1:19" ht="15.75" customHeight="1">
      <c r="A504" s="299"/>
      <c r="B504" s="300"/>
      <c r="C504" s="68"/>
      <c r="D504" s="301"/>
      <c r="E504" s="69"/>
      <c r="K504" s="282"/>
      <c r="L504" s="282"/>
      <c r="M504" s="195"/>
      <c r="N504" s="5"/>
      <c r="O504" s="68"/>
      <c r="P504" s="68"/>
      <c r="Q504" s="68"/>
      <c r="R504" s="68"/>
      <c r="S504" s="68"/>
    </row>
    <row r="505" spans="1:19" ht="15.75" customHeight="1">
      <c r="A505" s="299"/>
      <c r="B505" s="300"/>
      <c r="C505" s="68"/>
      <c r="D505" s="301"/>
      <c r="E505" s="69"/>
      <c r="K505" s="282"/>
      <c r="L505" s="282"/>
      <c r="M505" s="195"/>
      <c r="N505" s="5"/>
      <c r="O505" s="68"/>
      <c r="P505" s="68"/>
      <c r="Q505" s="68"/>
      <c r="R505" s="68"/>
      <c r="S505" s="68"/>
    </row>
    <row r="506" spans="1:19" ht="15.75" customHeight="1">
      <c r="A506" s="299"/>
      <c r="B506" s="300"/>
      <c r="C506" s="68"/>
      <c r="D506" s="301"/>
      <c r="E506" s="69"/>
      <c r="K506" s="282"/>
      <c r="L506" s="282"/>
      <c r="M506" s="195"/>
      <c r="N506" s="5"/>
      <c r="O506" s="68"/>
      <c r="P506" s="68"/>
      <c r="Q506" s="68"/>
      <c r="R506" s="68"/>
      <c r="S506" s="68"/>
    </row>
    <row r="507" spans="1:19" ht="15.75" customHeight="1">
      <c r="A507" s="299"/>
      <c r="B507" s="300"/>
      <c r="C507" s="68"/>
      <c r="D507" s="301"/>
      <c r="E507" s="69"/>
      <c r="K507" s="282"/>
      <c r="L507" s="282"/>
      <c r="M507" s="195"/>
      <c r="N507" s="5"/>
      <c r="O507" s="68"/>
      <c r="P507" s="68"/>
      <c r="Q507" s="68"/>
      <c r="R507" s="68"/>
      <c r="S507" s="68"/>
    </row>
    <row r="508" spans="1:19" ht="15.75" customHeight="1">
      <c r="A508" s="299"/>
      <c r="B508" s="300"/>
      <c r="C508" s="68"/>
      <c r="D508" s="301"/>
      <c r="E508" s="69"/>
      <c r="K508" s="282"/>
      <c r="L508" s="282"/>
      <c r="M508" s="195"/>
      <c r="N508" s="5"/>
      <c r="O508" s="68"/>
      <c r="P508" s="68"/>
      <c r="Q508" s="68"/>
      <c r="R508" s="68"/>
      <c r="S508" s="68"/>
    </row>
    <row r="509" spans="1:19" ht="15.75" customHeight="1">
      <c r="A509" s="299"/>
      <c r="B509" s="300"/>
      <c r="C509" s="68"/>
      <c r="D509" s="301"/>
      <c r="E509" s="69"/>
      <c r="K509" s="282"/>
      <c r="L509" s="282"/>
      <c r="M509" s="195"/>
      <c r="N509" s="5"/>
      <c r="O509" s="68"/>
      <c r="P509" s="68"/>
      <c r="Q509" s="68"/>
      <c r="R509" s="68"/>
      <c r="S509" s="68"/>
    </row>
    <row r="510" spans="1:19" ht="15.75" customHeight="1">
      <c r="A510" s="299"/>
      <c r="B510" s="300"/>
      <c r="C510" s="68"/>
      <c r="D510" s="301"/>
      <c r="E510" s="69"/>
      <c r="K510" s="282"/>
      <c r="L510" s="282"/>
      <c r="M510" s="195"/>
      <c r="N510" s="5"/>
      <c r="O510" s="68"/>
      <c r="P510" s="68"/>
      <c r="Q510" s="68"/>
      <c r="R510" s="68"/>
      <c r="S510" s="68"/>
    </row>
    <row r="511" spans="1:19" ht="15.75" customHeight="1">
      <c r="A511" s="299"/>
      <c r="B511" s="300"/>
      <c r="C511" s="68"/>
      <c r="D511" s="301"/>
      <c r="E511" s="69"/>
      <c r="K511" s="282"/>
      <c r="L511" s="282"/>
      <c r="M511" s="195"/>
      <c r="N511" s="5"/>
      <c r="O511" s="68"/>
      <c r="P511" s="68"/>
      <c r="Q511" s="68"/>
      <c r="R511" s="68"/>
      <c r="S511" s="68"/>
    </row>
    <row r="512" spans="1:19" ht="15.75" customHeight="1">
      <c r="A512" s="299"/>
      <c r="B512" s="300"/>
      <c r="C512" s="68"/>
      <c r="D512" s="301"/>
      <c r="E512" s="69"/>
      <c r="K512" s="282"/>
      <c r="L512" s="282"/>
      <c r="M512" s="195"/>
      <c r="N512" s="5"/>
      <c r="O512" s="68"/>
      <c r="P512" s="68"/>
      <c r="Q512" s="68"/>
      <c r="R512" s="68"/>
      <c r="S512" s="68"/>
    </row>
    <row r="513" spans="1:19" ht="15.75" customHeight="1">
      <c r="A513" s="299"/>
      <c r="B513" s="300"/>
      <c r="C513" s="68"/>
      <c r="D513" s="301"/>
      <c r="E513" s="69"/>
      <c r="K513" s="282"/>
      <c r="L513" s="282"/>
      <c r="M513" s="195"/>
      <c r="N513" s="5"/>
      <c r="O513" s="68"/>
      <c r="P513" s="68"/>
      <c r="Q513" s="68"/>
      <c r="R513" s="68"/>
      <c r="S513" s="68"/>
    </row>
    <row r="514" spans="1:19" ht="15.75" customHeight="1">
      <c r="A514" s="299"/>
      <c r="B514" s="300"/>
      <c r="C514" s="68"/>
      <c r="D514" s="301"/>
      <c r="E514" s="69"/>
      <c r="K514" s="282"/>
      <c r="L514" s="282"/>
      <c r="M514" s="195"/>
      <c r="N514" s="5"/>
      <c r="O514" s="68"/>
      <c r="P514" s="68"/>
      <c r="Q514" s="68"/>
      <c r="R514" s="68"/>
      <c r="S514" s="68"/>
    </row>
    <row r="515" spans="1:19" ht="15.75" customHeight="1">
      <c r="A515" s="299"/>
      <c r="B515" s="300"/>
      <c r="C515" s="68"/>
      <c r="D515" s="301"/>
      <c r="E515" s="69"/>
      <c r="K515" s="282"/>
      <c r="L515" s="282"/>
      <c r="M515" s="195"/>
      <c r="N515" s="5"/>
      <c r="O515" s="68"/>
      <c r="P515" s="68"/>
      <c r="Q515" s="68"/>
      <c r="R515" s="68"/>
      <c r="S515" s="68"/>
    </row>
    <row r="516" spans="1:19" ht="15.75" customHeight="1">
      <c r="A516" s="299"/>
      <c r="B516" s="300"/>
      <c r="C516" s="68"/>
      <c r="D516" s="301"/>
      <c r="E516" s="69"/>
      <c r="K516" s="282"/>
      <c r="L516" s="282"/>
      <c r="M516" s="195"/>
      <c r="N516" s="5"/>
      <c r="O516" s="68"/>
      <c r="P516" s="68"/>
      <c r="Q516" s="68"/>
      <c r="R516" s="68"/>
      <c r="S516" s="68"/>
    </row>
    <row r="517" spans="1:19" ht="15.75" customHeight="1">
      <c r="A517" s="299"/>
      <c r="B517" s="300"/>
      <c r="C517" s="68"/>
      <c r="D517" s="301"/>
      <c r="E517" s="69"/>
      <c r="K517" s="282"/>
      <c r="L517" s="282"/>
      <c r="M517" s="195"/>
      <c r="N517" s="5"/>
      <c r="O517" s="68"/>
      <c r="P517" s="68"/>
      <c r="Q517" s="68"/>
      <c r="R517" s="68"/>
      <c r="S517" s="68"/>
    </row>
    <row r="518" spans="1:19" ht="15.75" customHeight="1">
      <c r="A518" s="299"/>
      <c r="B518" s="300"/>
      <c r="C518" s="68"/>
      <c r="D518" s="301"/>
      <c r="E518" s="69"/>
      <c r="K518" s="282"/>
      <c r="L518" s="282"/>
      <c r="M518" s="195"/>
      <c r="N518" s="5"/>
      <c r="O518" s="68"/>
      <c r="P518" s="68"/>
      <c r="Q518" s="68"/>
      <c r="R518" s="68"/>
      <c r="S518" s="68"/>
    </row>
    <row r="519" spans="1:19" ht="15.75" customHeight="1">
      <c r="A519" s="299"/>
      <c r="B519" s="300"/>
      <c r="C519" s="68"/>
      <c r="D519" s="301"/>
      <c r="E519" s="69"/>
      <c r="K519" s="282"/>
      <c r="L519" s="282"/>
      <c r="M519" s="195"/>
      <c r="N519" s="5"/>
      <c r="O519" s="68"/>
      <c r="P519" s="68"/>
      <c r="Q519" s="68"/>
      <c r="R519" s="68"/>
      <c r="S519" s="68"/>
    </row>
    <row r="520" spans="1:19" ht="15.75" customHeight="1">
      <c r="A520" s="299"/>
      <c r="B520" s="300"/>
      <c r="C520" s="68"/>
      <c r="D520" s="301"/>
      <c r="E520" s="69"/>
      <c r="K520" s="282"/>
      <c r="L520" s="282"/>
      <c r="M520" s="195"/>
      <c r="N520" s="5"/>
      <c r="O520" s="68"/>
      <c r="P520" s="68"/>
      <c r="Q520" s="68"/>
      <c r="R520" s="68"/>
      <c r="S520" s="68"/>
    </row>
    <row r="521" spans="1:19" ht="15.75" customHeight="1">
      <c r="A521" s="299"/>
      <c r="B521" s="300"/>
      <c r="C521" s="68"/>
      <c r="D521" s="301"/>
      <c r="E521" s="69"/>
      <c r="K521" s="282"/>
      <c r="L521" s="282"/>
      <c r="M521" s="195"/>
      <c r="N521" s="5"/>
      <c r="O521" s="68"/>
      <c r="P521" s="68"/>
      <c r="Q521" s="68"/>
      <c r="R521" s="68"/>
      <c r="S521" s="68"/>
    </row>
    <row r="522" spans="1:19" ht="15.75" customHeight="1">
      <c r="A522" s="299"/>
      <c r="B522" s="300"/>
      <c r="C522" s="68"/>
      <c r="D522" s="301"/>
      <c r="E522" s="69"/>
      <c r="K522" s="282"/>
      <c r="L522" s="282"/>
      <c r="M522" s="195"/>
      <c r="N522" s="5"/>
      <c r="O522" s="68"/>
      <c r="P522" s="68"/>
      <c r="Q522" s="68"/>
      <c r="R522" s="68"/>
      <c r="S522" s="68"/>
    </row>
    <row r="523" spans="1:19" ht="15.75" customHeight="1">
      <c r="A523" s="299"/>
      <c r="B523" s="300"/>
      <c r="C523" s="68"/>
      <c r="D523" s="301"/>
      <c r="E523" s="69"/>
      <c r="K523" s="282"/>
      <c r="L523" s="282"/>
      <c r="M523" s="195"/>
      <c r="N523" s="5"/>
      <c r="O523" s="68"/>
      <c r="P523" s="68"/>
      <c r="Q523" s="68"/>
      <c r="R523" s="68"/>
      <c r="S523" s="68"/>
    </row>
    <row r="524" spans="1:19" ht="15.75" customHeight="1">
      <c r="A524" s="299"/>
      <c r="B524" s="300"/>
      <c r="C524" s="68"/>
      <c r="D524" s="301"/>
      <c r="E524" s="69"/>
      <c r="K524" s="282"/>
      <c r="L524" s="282"/>
      <c r="M524" s="195"/>
      <c r="N524" s="5"/>
      <c r="O524" s="68"/>
      <c r="P524" s="68"/>
      <c r="Q524" s="68"/>
      <c r="R524" s="68"/>
      <c r="S524" s="68"/>
    </row>
    <row r="525" spans="1:19" ht="15.75" customHeight="1">
      <c r="A525" s="299"/>
      <c r="B525" s="300"/>
      <c r="C525" s="68"/>
      <c r="D525" s="301"/>
      <c r="E525" s="69"/>
      <c r="K525" s="282"/>
      <c r="L525" s="282"/>
      <c r="M525" s="195"/>
      <c r="N525" s="5"/>
      <c r="O525" s="68"/>
      <c r="P525" s="68"/>
      <c r="Q525" s="68"/>
      <c r="R525" s="68"/>
      <c r="S525" s="68"/>
    </row>
    <row r="526" spans="1:19" ht="15.75" customHeight="1">
      <c r="A526" s="299"/>
      <c r="B526" s="300"/>
      <c r="C526" s="68"/>
      <c r="D526" s="301"/>
      <c r="E526" s="69"/>
      <c r="K526" s="282"/>
      <c r="L526" s="282"/>
      <c r="M526" s="195"/>
      <c r="N526" s="5"/>
      <c r="O526" s="68"/>
      <c r="P526" s="68"/>
      <c r="Q526" s="68"/>
      <c r="R526" s="68"/>
      <c r="S526" s="68"/>
    </row>
    <row r="527" spans="1:19" ht="15.75" customHeight="1">
      <c r="A527" s="299"/>
      <c r="B527" s="300"/>
      <c r="C527" s="68"/>
      <c r="D527" s="301"/>
      <c r="E527" s="69"/>
      <c r="K527" s="282"/>
      <c r="L527" s="282"/>
      <c r="M527" s="195"/>
      <c r="N527" s="5"/>
      <c r="O527" s="68"/>
      <c r="P527" s="68"/>
      <c r="Q527" s="68"/>
      <c r="R527" s="68"/>
      <c r="S527" s="68"/>
    </row>
    <row r="528" spans="1:19" ht="15.75" customHeight="1">
      <c r="A528" s="299"/>
      <c r="B528" s="300"/>
      <c r="C528" s="68"/>
      <c r="D528" s="301"/>
      <c r="E528" s="69"/>
      <c r="K528" s="282"/>
      <c r="L528" s="282"/>
      <c r="M528" s="195"/>
      <c r="N528" s="5"/>
      <c r="O528" s="68"/>
      <c r="P528" s="68"/>
      <c r="Q528" s="68"/>
      <c r="R528" s="68"/>
      <c r="S528" s="68"/>
    </row>
    <row r="529" spans="1:19" ht="15.75" customHeight="1">
      <c r="A529" s="299"/>
      <c r="B529" s="300"/>
      <c r="C529" s="68"/>
      <c r="D529" s="301"/>
      <c r="E529" s="69"/>
      <c r="K529" s="282"/>
      <c r="L529" s="282"/>
      <c r="M529" s="195"/>
      <c r="N529" s="5"/>
      <c r="O529" s="68"/>
      <c r="P529" s="68"/>
      <c r="Q529" s="68"/>
      <c r="R529" s="68"/>
      <c r="S529" s="68"/>
    </row>
    <row r="530" spans="1:19" ht="15.75" customHeight="1">
      <c r="A530" s="299"/>
      <c r="B530" s="300"/>
      <c r="C530" s="68"/>
      <c r="D530" s="301"/>
      <c r="E530" s="69"/>
      <c r="K530" s="282"/>
      <c r="L530" s="282"/>
      <c r="M530" s="195"/>
      <c r="N530" s="5"/>
      <c r="O530" s="68"/>
      <c r="P530" s="68"/>
      <c r="Q530" s="68"/>
      <c r="R530" s="68"/>
      <c r="S530" s="68"/>
    </row>
    <row r="531" spans="1:19" ht="15.75" customHeight="1">
      <c r="A531" s="299"/>
      <c r="B531" s="300"/>
      <c r="C531" s="68"/>
      <c r="D531" s="301"/>
      <c r="E531" s="69"/>
      <c r="K531" s="282"/>
      <c r="L531" s="282"/>
      <c r="M531" s="195"/>
      <c r="N531" s="5"/>
      <c r="O531" s="68"/>
      <c r="P531" s="68"/>
      <c r="Q531" s="68"/>
      <c r="R531" s="68"/>
      <c r="S531" s="68"/>
    </row>
    <row r="532" spans="1:19" ht="15.75" customHeight="1">
      <c r="A532" s="299"/>
      <c r="B532" s="300"/>
      <c r="C532" s="68"/>
      <c r="D532" s="301"/>
      <c r="E532" s="69"/>
      <c r="K532" s="282"/>
      <c r="L532" s="282"/>
      <c r="M532" s="195"/>
      <c r="N532" s="5"/>
      <c r="O532" s="68"/>
      <c r="P532" s="68"/>
      <c r="Q532" s="68"/>
      <c r="R532" s="68"/>
      <c r="S532" s="68"/>
    </row>
    <row r="533" spans="1:19" ht="15.75" customHeight="1">
      <c r="A533" s="299"/>
      <c r="B533" s="300"/>
      <c r="C533" s="68"/>
      <c r="D533" s="301"/>
      <c r="E533" s="69"/>
      <c r="K533" s="282"/>
      <c r="L533" s="282"/>
      <c r="M533" s="195"/>
      <c r="N533" s="5"/>
      <c r="O533" s="68"/>
      <c r="P533" s="68"/>
      <c r="Q533" s="68"/>
      <c r="R533" s="68"/>
      <c r="S533" s="68"/>
    </row>
    <row r="534" spans="1:19" ht="15.75" customHeight="1">
      <c r="A534" s="299"/>
      <c r="B534" s="300"/>
      <c r="C534" s="68"/>
      <c r="D534" s="301"/>
      <c r="E534" s="69"/>
      <c r="K534" s="282"/>
      <c r="L534" s="282"/>
      <c r="M534" s="195"/>
      <c r="N534" s="5"/>
      <c r="O534" s="68"/>
      <c r="P534" s="68"/>
      <c r="Q534" s="68"/>
      <c r="R534" s="68"/>
      <c r="S534" s="68"/>
    </row>
    <row r="535" spans="1:19" ht="15.75" customHeight="1">
      <c r="A535" s="299"/>
      <c r="B535" s="300"/>
      <c r="C535" s="68"/>
      <c r="D535" s="301"/>
      <c r="E535" s="69"/>
      <c r="K535" s="282"/>
      <c r="L535" s="282"/>
      <c r="M535" s="195"/>
      <c r="N535" s="5"/>
      <c r="O535" s="68"/>
      <c r="P535" s="68"/>
      <c r="Q535" s="68"/>
      <c r="R535" s="68"/>
      <c r="S535" s="68"/>
    </row>
    <row r="536" spans="1:19" ht="15.75" customHeight="1">
      <c r="A536" s="299"/>
      <c r="B536" s="300"/>
      <c r="C536" s="68"/>
      <c r="D536" s="301"/>
      <c r="E536" s="69"/>
      <c r="K536" s="282"/>
      <c r="L536" s="282"/>
      <c r="M536" s="195"/>
      <c r="N536" s="5"/>
      <c r="O536" s="68"/>
      <c r="P536" s="68"/>
      <c r="Q536" s="68"/>
      <c r="R536" s="68"/>
      <c r="S536" s="68"/>
    </row>
    <row r="537" spans="1:19" ht="15.75" customHeight="1">
      <c r="A537" s="299"/>
      <c r="B537" s="300"/>
      <c r="C537" s="68"/>
      <c r="D537" s="301"/>
      <c r="E537" s="69"/>
      <c r="K537" s="282"/>
      <c r="L537" s="282"/>
      <c r="M537" s="195"/>
      <c r="N537" s="5"/>
      <c r="O537" s="68"/>
      <c r="P537" s="68"/>
      <c r="Q537" s="68"/>
      <c r="R537" s="68"/>
      <c r="S537" s="68"/>
    </row>
    <row r="538" spans="1:19" ht="15.75" customHeight="1">
      <c r="A538" s="299"/>
      <c r="B538" s="300"/>
      <c r="C538" s="68"/>
      <c r="D538" s="301"/>
      <c r="E538" s="69"/>
      <c r="K538" s="282"/>
      <c r="L538" s="282"/>
      <c r="M538" s="195"/>
      <c r="N538" s="5"/>
      <c r="O538" s="68"/>
      <c r="P538" s="68"/>
      <c r="Q538" s="68"/>
      <c r="R538" s="68"/>
      <c r="S538" s="68"/>
    </row>
    <row r="539" spans="1:19" ht="15.75" customHeight="1">
      <c r="A539" s="299"/>
      <c r="B539" s="300"/>
      <c r="C539" s="68"/>
      <c r="D539" s="301"/>
      <c r="E539" s="69"/>
      <c r="K539" s="282"/>
      <c r="L539" s="282"/>
      <c r="M539" s="195"/>
      <c r="N539" s="5"/>
      <c r="O539" s="68"/>
      <c r="P539" s="68"/>
      <c r="Q539" s="68"/>
      <c r="R539" s="68"/>
      <c r="S539" s="68"/>
    </row>
    <row r="540" spans="1:19" ht="15.75" customHeight="1">
      <c r="A540" s="299"/>
      <c r="B540" s="300"/>
      <c r="C540" s="68"/>
      <c r="D540" s="301"/>
      <c r="E540" s="69"/>
      <c r="K540" s="282"/>
      <c r="L540" s="282"/>
      <c r="M540" s="195"/>
      <c r="N540" s="5"/>
      <c r="O540" s="68"/>
      <c r="P540" s="68"/>
      <c r="Q540" s="68"/>
      <c r="R540" s="68"/>
      <c r="S540" s="68"/>
    </row>
    <row r="541" spans="1:19" ht="15.75" customHeight="1">
      <c r="A541" s="299"/>
      <c r="B541" s="300"/>
      <c r="C541" s="68"/>
      <c r="D541" s="301"/>
      <c r="E541" s="69"/>
      <c r="K541" s="282"/>
      <c r="L541" s="282"/>
      <c r="M541" s="195"/>
      <c r="N541" s="5"/>
      <c r="O541" s="68"/>
      <c r="P541" s="68"/>
      <c r="Q541" s="68"/>
      <c r="R541" s="68"/>
      <c r="S541" s="68"/>
    </row>
    <row r="542" spans="1:19" ht="15.75" customHeight="1">
      <c r="A542" s="299"/>
      <c r="B542" s="300"/>
      <c r="C542" s="68"/>
      <c r="D542" s="301"/>
      <c r="E542" s="69"/>
      <c r="K542" s="282"/>
      <c r="L542" s="282"/>
      <c r="M542" s="195"/>
      <c r="N542" s="5"/>
      <c r="O542" s="68"/>
      <c r="P542" s="68"/>
      <c r="Q542" s="68"/>
      <c r="R542" s="68"/>
      <c r="S542" s="68"/>
    </row>
    <row r="543" spans="1:19" ht="15.75" customHeight="1">
      <c r="A543" s="299"/>
      <c r="B543" s="300"/>
      <c r="C543" s="68"/>
      <c r="D543" s="301"/>
      <c r="E543" s="69"/>
      <c r="K543" s="282"/>
      <c r="L543" s="282"/>
      <c r="M543" s="195"/>
      <c r="N543" s="5"/>
      <c r="O543" s="68"/>
      <c r="P543" s="68"/>
      <c r="Q543" s="68"/>
      <c r="R543" s="68"/>
      <c r="S543" s="68"/>
    </row>
    <row r="544" spans="1:19" ht="15.75" customHeight="1">
      <c r="A544" s="299"/>
      <c r="B544" s="300"/>
      <c r="C544" s="68"/>
      <c r="D544" s="301"/>
      <c r="E544" s="69"/>
      <c r="K544" s="282"/>
      <c r="L544" s="282"/>
      <c r="M544" s="195"/>
      <c r="N544" s="5"/>
      <c r="O544" s="68"/>
      <c r="P544" s="68"/>
      <c r="Q544" s="68"/>
      <c r="R544" s="68"/>
      <c r="S544" s="68"/>
    </row>
    <row r="545" spans="1:19" ht="15.75" customHeight="1">
      <c r="A545" s="299"/>
      <c r="B545" s="300"/>
      <c r="C545" s="68"/>
      <c r="D545" s="301"/>
      <c r="E545" s="69"/>
      <c r="K545" s="282"/>
      <c r="L545" s="282"/>
      <c r="M545" s="195"/>
      <c r="N545" s="5"/>
      <c r="O545" s="68"/>
      <c r="P545" s="68"/>
      <c r="Q545" s="68"/>
      <c r="R545" s="68"/>
      <c r="S545" s="68"/>
    </row>
    <row r="546" spans="1:19" ht="15.75" customHeight="1">
      <c r="A546" s="299"/>
      <c r="B546" s="300"/>
      <c r="C546" s="68"/>
      <c r="D546" s="301"/>
      <c r="E546" s="69"/>
      <c r="K546" s="282"/>
      <c r="L546" s="282"/>
      <c r="M546" s="195"/>
      <c r="N546" s="5"/>
      <c r="O546" s="68"/>
      <c r="P546" s="68"/>
      <c r="Q546" s="68"/>
      <c r="R546" s="68"/>
      <c r="S546" s="68"/>
    </row>
    <row r="547" spans="1:19" ht="15.75" customHeight="1">
      <c r="A547" s="299"/>
      <c r="B547" s="300"/>
      <c r="C547" s="68"/>
      <c r="D547" s="301"/>
      <c r="E547" s="69"/>
      <c r="K547" s="282"/>
      <c r="L547" s="282"/>
      <c r="M547" s="195"/>
      <c r="N547" s="5"/>
      <c r="O547" s="68"/>
      <c r="P547" s="68"/>
      <c r="Q547" s="68"/>
      <c r="R547" s="68"/>
      <c r="S547" s="68"/>
    </row>
    <row r="548" spans="1:19" ht="15.75" customHeight="1">
      <c r="A548" s="299"/>
      <c r="B548" s="300"/>
      <c r="C548" s="68"/>
      <c r="D548" s="301"/>
      <c r="E548" s="69"/>
      <c r="K548" s="282"/>
      <c r="L548" s="282"/>
      <c r="M548" s="195"/>
      <c r="N548" s="5"/>
      <c r="O548" s="68"/>
      <c r="P548" s="68"/>
      <c r="Q548" s="68"/>
      <c r="R548" s="68"/>
      <c r="S548" s="68"/>
    </row>
    <row r="549" spans="1:19" ht="15.75" customHeight="1">
      <c r="A549" s="299"/>
      <c r="B549" s="300"/>
      <c r="C549" s="68"/>
      <c r="D549" s="301"/>
      <c r="E549" s="69"/>
      <c r="K549" s="282"/>
      <c r="L549" s="282"/>
      <c r="M549" s="195"/>
      <c r="N549" s="5"/>
      <c r="O549" s="68"/>
      <c r="P549" s="68"/>
      <c r="Q549" s="68"/>
      <c r="R549" s="68"/>
      <c r="S549" s="68"/>
    </row>
    <row r="550" spans="1:19" ht="15.75" customHeight="1">
      <c r="A550" s="299"/>
      <c r="B550" s="300"/>
      <c r="C550" s="68"/>
      <c r="D550" s="301"/>
      <c r="E550" s="69"/>
      <c r="K550" s="282"/>
      <c r="L550" s="282"/>
      <c r="M550" s="195"/>
      <c r="N550" s="5"/>
      <c r="O550" s="68"/>
      <c r="P550" s="68"/>
      <c r="Q550" s="68"/>
      <c r="R550" s="68"/>
      <c r="S550" s="68"/>
    </row>
    <row r="551" spans="1:19" ht="15.75" customHeight="1">
      <c r="A551" s="299"/>
      <c r="B551" s="300"/>
      <c r="C551" s="68"/>
      <c r="D551" s="301"/>
      <c r="E551" s="69"/>
      <c r="K551" s="282"/>
      <c r="L551" s="282"/>
      <c r="M551" s="195"/>
      <c r="N551" s="5"/>
      <c r="O551" s="68"/>
      <c r="P551" s="68"/>
      <c r="Q551" s="68"/>
      <c r="R551" s="68"/>
      <c r="S551" s="68"/>
    </row>
    <row r="552" spans="1:19" ht="15.75" customHeight="1">
      <c r="A552" s="299"/>
      <c r="B552" s="300"/>
      <c r="C552" s="68"/>
      <c r="D552" s="301"/>
      <c r="E552" s="69"/>
      <c r="K552" s="282"/>
      <c r="L552" s="282"/>
      <c r="M552" s="195"/>
      <c r="N552" s="5"/>
      <c r="O552" s="68"/>
      <c r="P552" s="68"/>
      <c r="Q552" s="68"/>
      <c r="R552" s="68"/>
      <c r="S552" s="68"/>
    </row>
    <row r="553" spans="1:19" ht="15.75" customHeight="1">
      <c r="A553" s="299"/>
      <c r="B553" s="300"/>
      <c r="C553" s="68"/>
      <c r="D553" s="301"/>
      <c r="E553" s="69"/>
      <c r="K553" s="282"/>
      <c r="L553" s="282"/>
      <c r="M553" s="195"/>
      <c r="N553" s="5"/>
      <c r="O553" s="68"/>
      <c r="P553" s="68"/>
      <c r="Q553" s="68"/>
      <c r="R553" s="68"/>
      <c r="S553" s="68"/>
    </row>
    <row r="554" spans="1:19" ht="15.75" customHeight="1">
      <c r="A554" s="299"/>
      <c r="B554" s="300"/>
      <c r="C554" s="68"/>
      <c r="D554" s="301"/>
      <c r="E554" s="69"/>
      <c r="K554" s="282"/>
      <c r="L554" s="282"/>
      <c r="M554" s="195"/>
      <c r="N554" s="5"/>
      <c r="O554" s="68"/>
      <c r="P554" s="68"/>
      <c r="Q554" s="68"/>
      <c r="R554" s="68"/>
      <c r="S554" s="68"/>
    </row>
    <row r="555" spans="1:19" ht="15.75" customHeight="1">
      <c r="A555" s="299"/>
      <c r="B555" s="300"/>
      <c r="C555" s="68"/>
      <c r="D555" s="301"/>
      <c r="E555" s="69"/>
      <c r="K555" s="282"/>
      <c r="L555" s="282"/>
      <c r="M555" s="195"/>
      <c r="N555" s="5"/>
      <c r="O555" s="68"/>
      <c r="P555" s="68"/>
      <c r="Q555" s="68"/>
      <c r="R555" s="68"/>
      <c r="S555" s="68"/>
    </row>
    <row r="556" spans="1:19" ht="15.75" customHeight="1">
      <c r="A556" s="299"/>
      <c r="B556" s="300"/>
      <c r="C556" s="68"/>
      <c r="D556" s="301"/>
      <c r="E556" s="69"/>
      <c r="K556" s="282"/>
      <c r="L556" s="282"/>
      <c r="M556" s="195"/>
      <c r="N556" s="5"/>
      <c r="O556" s="68"/>
      <c r="P556" s="68"/>
      <c r="Q556" s="68"/>
      <c r="R556" s="68"/>
      <c r="S556" s="68"/>
    </row>
    <row r="557" spans="1:19" ht="15.75" customHeight="1">
      <c r="A557" s="299"/>
      <c r="B557" s="300"/>
      <c r="C557" s="68"/>
      <c r="D557" s="301"/>
      <c r="E557" s="69"/>
      <c r="K557" s="282"/>
      <c r="L557" s="282"/>
      <c r="M557" s="195"/>
      <c r="N557" s="5"/>
      <c r="O557" s="68"/>
      <c r="P557" s="68"/>
      <c r="Q557" s="68"/>
      <c r="R557" s="68"/>
      <c r="S557" s="68"/>
    </row>
    <row r="558" spans="1:19" ht="15.75" customHeight="1">
      <c r="A558" s="299"/>
      <c r="B558" s="300"/>
      <c r="C558" s="68"/>
      <c r="D558" s="301"/>
      <c r="E558" s="69"/>
      <c r="K558" s="282"/>
      <c r="L558" s="282"/>
      <c r="M558" s="195"/>
      <c r="N558" s="5"/>
      <c r="O558" s="68"/>
      <c r="P558" s="68"/>
      <c r="Q558" s="68"/>
      <c r="R558" s="68"/>
      <c r="S558" s="68"/>
    </row>
    <row r="559" spans="1:19" ht="15.75" customHeight="1">
      <c r="A559" s="299"/>
      <c r="B559" s="300"/>
      <c r="C559" s="68"/>
      <c r="D559" s="301"/>
      <c r="E559" s="69"/>
      <c r="K559" s="282"/>
      <c r="L559" s="282"/>
      <c r="M559" s="195"/>
      <c r="N559" s="5"/>
      <c r="O559" s="68"/>
      <c r="P559" s="68"/>
      <c r="Q559" s="68"/>
      <c r="R559" s="68"/>
      <c r="S559" s="68"/>
    </row>
    <row r="560" spans="1:19" ht="15.75" customHeight="1">
      <c r="A560" s="299"/>
      <c r="B560" s="300"/>
      <c r="C560" s="68"/>
      <c r="D560" s="301"/>
      <c r="E560" s="69"/>
      <c r="K560" s="282"/>
      <c r="L560" s="282"/>
      <c r="M560" s="195"/>
      <c r="N560" s="5"/>
      <c r="O560" s="68"/>
      <c r="P560" s="68"/>
      <c r="Q560" s="68"/>
      <c r="R560" s="68"/>
      <c r="S560" s="68"/>
    </row>
    <row r="561" spans="1:19" ht="15.75" customHeight="1">
      <c r="A561" s="299"/>
      <c r="B561" s="300"/>
      <c r="C561" s="68"/>
      <c r="D561" s="301"/>
      <c r="E561" s="69"/>
      <c r="K561" s="282"/>
      <c r="L561" s="282"/>
      <c r="M561" s="195"/>
      <c r="N561" s="5"/>
      <c r="O561" s="68"/>
      <c r="P561" s="68"/>
      <c r="Q561" s="68"/>
      <c r="R561" s="68"/>
      <c r="S561" s="68"/>
    </row>
    <row r="562" spans="1:19" ht="15.75" customHeight="1">
      <c r="A562" s="299"/>
      <c r="B562" s="300"/>
      <c r="C562" s="68"/>
      <c r="D562" s="301"/>
      <c r="E562" s="69"/>
      <c r="K562" s="282"/>
      <c r="L562" s="282"/>
      <c r="M562" s="195"/>
      <c r="N562" s="5"/>
      <c r="O562" s="68"/>
      <c r="P562" s="68"/>
      <c r="Q562" s="68"/>
      <c r="R562" s="68"/>
      <c r="S562" s="68"/>
    </row>
    <row r="563" spans="1:19" ht="15.75" customHeight="1">
      <c r="A563" s="299"/>
      <c r="B563" s="300"/>
      <c r="C563" s="68"/>
      <c r="D563" s="301"/>
      <c r="E563" s="69"/>
      <c r="K563" s="282"/>
      <c r="L563" s="282"/>
      <c r="M563" s="195"/>
      <c r="N563" s="5"/>
      <c r="O563" s="68"/>
      <c r="P563" s="68"/>
      <c r="Q563" s="68"/>
      <c r="R563" s="68"/>
      <c r="S563" s="68"/>
    </row>
    <row r="564" spans="1:19" ht="15.75" customHeight="1">
      <c r="A564" s="299"/>
      <c r="B564" s="300"/>
      <c r="C564" s="68"/>
      <c r="D564" s="301"/>
      <c r="E564" s="69"/>
      <c r="K564" s="282"/>
      <c r="L564" s="282"/>
      <c r="M564" s="195"/>
      <c r="N564" s="5"/>
      <c r="O564" s="68"/>
      <c r="P564" s="68"/>
      <c r="Q564" s="68"/>
      <c r="R564" s="68"/>
      <c r="S564" s="68"/>
    </row>
    <row r="565" spans="1:19" ht="15.75" customHeight="1">
      <c r="A565" s="299"/>
      <c r="B565" s="300"/>
      <c r="C565" s="68"/>
      <c r="D565" s="301"/>
      <c r="E565" s="69"/>
      <c r="K565" s="282"/>
      <c r="L565" s="282"/>
      <c r="M565" s="195"/>
      <c r="N565" s="5"/>
      <c r="O565" s="68"/>
      <c r="P565" s="68"/>
      <c r="Q565" s="68"/>
      <c r="R565" s="68"/>
      <c r="S565" s="68"/>
    </row>
    <row r="566" spans="1:19" ht="15.75" customHeight="1">
      <c r="A566" s="299"/>
      <c r="B566" s="300"/>
      <c r="C566" s="68"/>
      <c r="D566" s="301"/>
      <c r="E566" s="69"/>
      <c r="K566" s="282"/>
      <c r="L566" s="282"/>
      <c r="M566" s="195"/>
      <c r="N566" s="5"/>
      <c r="O566" s="68"/>
      <c r="P566" s="68"/>
      <c r="Q566" s="68"/>
      <c r="R566" s="68"/>
      <c r="S566" s="68"/>
    </row>
    <row r="567" spans="1:19" ht="15.75" customHeight="1">
      <c r="A567" s="299"/>
      <c r="B567" s="300"/>
      <c r="C567" s="68"/>
      <c r="D567" s="301"/>
      <c r="E567" s="69"/>
      <c r="K567" s="282"/>
      <c r="L567" s="282"/>
      <c r="M567" s="195"/>
      <c r="N567" s="5"/>
      <c r="O567" s="68"/>
      <c r="P567" s="68"/>
      <c r="Q567" s="68"/>
      <c r="R567" s="68"/>
      <c r="S567" s="68"/>
    </row>
    <row r="568" spans="1:19" ht="15.75" customHeight="1">
      <c r="A568" s="299"/>
      <c r="B568" s="300"/>
      <c r="C568" s="68"/>
      <c r="D568" s="301"/>
      <c r="E568" s="69"/>
      <c r="K568" s="282"/>
      <c r="L568" s="282"/>
      <c r="M568" s="195"/>
      <c r="N568" s="5"/>
      <c r="O568" s="68"/>
      <c r="P568" s="68"/>
      <c r="Q568" s="68"/>
      <c r="R568" s="68"/>
      <c r="S568" s="68"/>
    </row>
    <row r="569" spans="1:19" ht="15.75" customHeight="1">
      <c r="A569" s="299"/>
      <c r="B569" s="300"/>
      <c r="C569" s="68"/>
      <c r="D569" s="301"/>
      <c r="E569" s="69"/>
      <c r="K569" s="282"/>
      <c r="L569" s="282"/>
      <c r="M569" s="195"/>
      <c r="N569" s="5"/>
      <c r="O569" s="68"/>
      <c r="P569" s="68"/>
      <c r="Q569" s="68"/>
      <c r="R569" s="68"/>
      <c r="S569" s="68"/>
    </row>
    <row r="570" spans="1:19" ht="15.75" customHeight="1">
      <c r="A570" s="299"/>
      <c r="B570" s="300"/>
      <c r="C570" s="68"/>
      <c r="D570" s="301"/>
      <c r="E570" s="69"/>
      <c r="K570" s="282"/>
      <c r="L570" s="282"/>
      <c r="M570" s="195"/>
      <c r="N570" s="5"/>
      <c r="O570" s="68"/>
      <c r="P570" s="68"/>
      <c r="Q570" s="68"/>
      <c r="R570" s="68"/>
      <c r="S570" s="68"/>
    </row>
    <row r="571" spans="1:19" ht="15.75" customHeight="1">
      <c r="A571" s="299"/>
      <c r="B571" s="300"/>
      <c r="C571" s="68"/>
      <c r="D571" s="301"/>
      <c r="E571" s="69"/>
      <c r="K571" s="282"/>
      <c r="L571" s="282"/>
      <c r="M571" s="195"/>
      <c r="N571" s="5"/>
      <c r="O571" s="68"/>
      <c r="P571" s="68"/>
      <c r="Q571" s="68"/>
      <c r="R571" s="68"/>
      <c r="S571" s="68"/>
    </row>
    <row r="572" spans="1:19" ht="15.75" customHeight="1">
      <c r="A572" s="299"/>
      <c r="B572" s="300"/>
      <c r="C572" s="68"/>
      <c r="D572" s="301"/>
      <c r="E572" s="69"/>
      <c r="K572" s="282"/>
      <c r="L572" s="282"/>
      <c r="M572" s="195"/>
      <c r="N572" s="5"/>
      <c r="O572" s="68"/>
      <c r="P572" s="68"/>
      <c r="Q572" s="68"/>
      <c r="R572" s="68"/>
      <c r="S572" s="68"/>
    </row>
    <row r="573" spans="1:19" ht="15.75" customHeight="1">
      <c r="A573" s="299"/>
      <c r="B573" s="300"/>
      <c r="C573" s="68"/>
      <c r="D573" s="301"/>
      <c r="E573" s="69"/>
      <c r="K573" s="282"/>
      <c r="L573" s="282"/>
      <c r="M573" s="195"/>
      <c r="N573" s="5"/>
      <c r="O573" s="68"/>
      <c r="P573" s="68"/>
      <c r="Q573" s="68"/>
      <c r="R573" s="68"/>
      <c r="S573" s="68"/>
    </row>
    <row r="574" spans="1:19" ht="15.75" customHeight="1">
      <c r="A574" s="299"/>
      <c r="B574" s="300"/>
      <c r="C574" s="68"/>
      <c r="D574" s="301"/>
      <c r="E574" s="69"/>
      <c r="K574" s="282"/>
      <c r="L574" s="282"/>
      <c r="M574" s="195"/>
      <c r="N574" s="5"/>
      <c r="O574" s="68"/>
      <c r="P574" s="68"/>
      <c r="Q574" s="68"/>
      <c r="R574" s="68"/>
      <c r="S574" s="68"/>
    </row>
    <row r="575" spans="1:19" ht="15.75" customHeight="1">
      <c r="A575" s="299"/>
      <c r="B575" s="300"/>
      <c r="C575" s="68"/>
      <c r="D575" s="301"/>
      <c r="E575" s="69"/>
      <c r="K575" s="282"/>
      <c r="L575" s="282"/>
      <c r="M575" s="195"/>
      <c r="N575" s="5"/>
      <c r="O575" s="68"/>
      <c r="P575" s="68"/>
      <c r="Q575" s="68"/>
      <c r="R575" s="68"/>
      <c r="S575" s="68"/>
    </row>
    <row r="576" spans="1:19" ht="15.75" customHeight="1">
      <c r="A576" s="299"/>
      <c r="B576" s="300"/>
      <c r="C576" s="68"/>
      <c r="D576" s="301"/>
      <c r="E576" s="69"/>
      <c r="K576" s="282"/>
      <c r="L576" s="282"/>
      <c r="M576" s="195"/>
      <c r="N576" s="5"/>
      <c r="O576" s="68"/>
      <c r="P576" s="68"/>
      <c r="Q576" s="68"/>
      <c r="R576" s="68"/>
      <c r="S576" s="68"/>
    </row>
    <row r="577" spans="1:19" ht="15.75" customHeight="1">
      <c r="A577" s="299"/>
      <c r="B577" s="300"/>
      <c r="C577" s="68"/>
      <c r="D577" s="301"/>
      <c r="E577" s="69"/>
      <c r="K577" s="282"/>
      <c r="L577" s="282"/>
      <c r="M577" s="195"/>
      <c r="N577" s="5"/>
      <c r="O577" s="68"/>
      <c r="P577" s="68"/>
      <c r="Q577" s="68"/>
      <c r="R577" s="68"/>
      <c r="S577" s="68"/>
    </row>
    <row r="578" spans="1:19" ht="15.75" customHeight="1">
      <c r="A578" s="299"/>
      <c r="B578" s="300"/>
      <c r="C578" s="68"/>
      <c r="D578" s="301"/>
      <c r="E578" s="69"/>
      <c r="K578" s="282"/>
      <c r="L578" s="282"/>
      <c r="M578" s="195"/>
      <c r="N578" s="5"/>
      <c r="O578" s="68"/>
      <c r="P578" s="68"/>
      <c r="Q578" s="68"/>
      <c r="R578" s="68"/>
      <c r="S578" s="68"/>
    </row>
    <row r="579" spans="1:19" ht="15.75" customHeight="1">
      <c r="A579" s="299"/>
      <c r="B579" s="300"/>
      <c r="C579" s="68"/>
      <c r="D579" s="301"/>
      <c r="E579" s="69"/>
      <c r="K579" s="282"/>
      <c r="L579" s="282"/>
      <c r="M579" s="195"/>
      <c r="N579" s="5"/>
      <c r="O579" s="68"/>
      <c r="P579" s="68"/>
      <c r="Q579" s="68"/>
      <c r="R579" s="68"/>
      <c r="S579" s="68"/>
    </row>
    <row r="580" spans="1:19" ht="15.75" customHeight="1">
      <c r="A580" s="299"/>
      <c r="B580" s="300"/>
      <c r="C580" s="68"/>
      <c r="D580" s="301"/>
      <c r="E580" s="69"/>
      <c r="K580" s="282"/>
      <c r="L580" s="282"/>
      <c r="M580" s="195"/>
      <c r="N580" s="5"/>
      <c r="O580" s="68"/>
      <c r="P580" s="68"/>
      <c r="Q580" s="68"/>
      <c r="R580" s="68"/>
      <c r="S580" s="68"/>
    </row>
    <row r="581" spans="1:19" ht="15.75" customHeight="1">
      <c r="A581" s="299"/>
      <c r="B581" s="300"/>
      <c r="C581" s="68"/>
      <c r="D581" s="301"/>
      <c r="E581" s="69"/>
      <c r="K581" s="282"/>
      <c r="L581" s="282"/>
      <c r="M581" s="195"/>
      <c r="N581" s="5"/>
      <c r="O581" s="68"/>
      <c r="P581" s="68"/>
      <c r="Q581" s="68"/>
      <c r="R581" s="68"/>
      <c r="S581" s="68"/>
    </row>
    <row r="582" spans="1:19" ht="15.75" customHeight="1">
      <c r="A582" s="299"/>
      <c r="B582" s="300"/>
      <c r="C582" s="68"/>
      <c r="D582" s="301"/>
      <c r="E582" s="69"/>
      <c r="K582" s="282"/>
      <c r="L582" s="282"/>
      <c r="M582" s="195"/>
      <c r="N582" s="5"/>
      <c r="O582" s="68"/>
      <c r="P582" s="68"/>
      <c r="Q582" s="68"/>
      <c r="R582" s="68"/>
      <c r="S582" s="68"/>
    </row>
    <row r="583" spans="1:19" ht="15.75" customHeight="1">
      <c r="A583" s="299"/>
      <c r="B583" s="300"/>
      <c r="C583" s="68"/>
      <c r="D583" s="301"/>
      <c r="E583" s="69"/>
      <c r="K583" s="282"/>
      <c r="L583" s="282"/>
      <c r="M583" s="195"/>
      <c r="N583" s="5"/>
      <c r="O583" s="68"/>
      <c r="P583" s="68"/>
      <c r="Q583" s="68"/>
      <c r="R583" s="68"/>
      <c r="S583" s="68"/>
    </row>
    <row r="584" spans="1:19" ht="15.75" customHeight="1">
      <c r="A584" s="299"/>
      <c r="B584" s="300"/>
      <c r="C584" s="68"/>
      <c r="D584" s="301"/>
      <c r="E584" s="69"/>
      <c r="K584" s="282"/>
      <c r="L584" s="282"/>
      <c r="M584" s="195"/>
      <c r="N584" s="5"/>
      <c r="O584" s="68"/>
      <c r="P584" s="68"/>
      <c r="Q584" s="68"/>
      <c r="R584" s="68"/>
      <c r="S584" s="68"/>
    </row>
    <row r="585" spans="1:19" ht="15.75" customHeight="1">
      <c r="A585" s="299"/>
      <c r="B585" s="300"/>
      <c r="C585" s="68"/>
      <c r="D585" s="301"/>
      <c r="E585" s="69"/>
      <c r="K585" s="282"/>
      <c r="L585" s="282"/>
      <c r="M585" s="195"/>
      <c r="N585" s="5"/>
      <c r="O585" s="68"/>
      <c r="P585" s="68"/>
      <c r="Q585" s="68"/>
      <c r="R585" s="68"/>
      <c r="S585" s="68"/>
    </row>
    <row r="586" spans="1:19" ht="15.75" customHeight="1">
      <c r="A586" s="299"/>
      <c r="B586" s="300"/>
      <c r="C586" s="68"/>
      <c r="D586" s="301"/>
      <c r="E586" s="69"/>
      <c r="K586" s="282"/>
      <c r="L586" s="282"/>
      <c r="M586" s="195"/>
      <c r="N586" s="5"/>
      <c r="O586" s="68"/>
      <c r="P586" s="68"/>
      <c r="Q586" s="68"/>
      <c r="R586" s="68"/>
      <c r="S586" s="68"/>
    </row>
    <row r="587" spans="1:19" ht="15.75" customHeight="1">
      <c r="A587" s="299"/>
      <c r="B587" s="300"/>
      <c r="C587" s="68"/>
      <c r="D587" s="301"/>
      <c r="E587" s="69"/>
      <c r="K587" s="282"/>
      <c r="L587" s="282"/>
      <c r="M587" s="195"/>
      <c r="N587" s="5"/>
      <c r="O587" s="68"/>
      <c r="P587" s="68"/>
      <c r="Q587" s="68"/>
      <c r="R587" s="68"/>
      <c r="S587" s="68"/>
    </row>
    <row r="588" spans="1:19" ht="15.75" customHeight="1">
      <c r="A588" s="299"/>
      <c r="B588" s="300"/>
      <c r="C588" s="68"/>
      <c r="D588" s="301"/>
      <c r="E588" s="69"/>
      <c r="K588" s="282"/>
      <c r="L588" s="282"/>
      <c r="M588" s="195"/>
      <c r="N588" s="5"/>
      <c r="O588" s="68"/>
      <c r="P588" s="68"/>
      <c r="Q588" s="68"/>
      <c r="R588" s="68"/>
      <c r="S588" s="68"/>
    </row>
    <row r="589" spans="1:19" ht="15.75" customHeight="1">
      <c r="A589" s="299"/>
      <c r="B589" s="300"/>
      <c r="C589" s="68"/>
      <c r="D589" s="301"/>
      <c r="E589" s="69"/>
      <c r="K589" s="282"/>
      <c r="L589" s="282"/>
      <c r="M589" s="195"/>
      <c r="N589" s="5"/>
      <c r="O589" s="68"/>
      <c r="P589" s="68"/>
      <c r="Q589" s="68"/>
      <c r="R589" s="68"/>
      <c r="S589" s="68"/>
    </row>
    <row r="590" spans="1:19" ht="15.75" customHeight="1">
      <c r="A590" s="299"/>
      <c r="B590" s="300"/>
      <c r="C590" s="68"/>
      <c r="D590" s="301"/>
      <c r="E590" s="69"/>
      <c r="K590" s="282"/>
      <c r="L590" s="282"/>
      <c r="M590" s="195"/>
      <c r="N590" s="5"/>
      <c r="O590" s="68"/>
      <c r="P590" s="68"/>
      <c r="Q590" s="68"/>
      <c r="R590" s="68"/>
      <c r="S590" s="68"/>
    </row>
    <row r="591" spans="1:19" ht="15.75" customHeight="1">
      <c r="A591" s="299"/>
      <c r="B591" s="300"/>
      <c r="C591" s="68"/>
      <c r="D591" s="301"/>
      <c r="E591" s="69"/>
      <c r="K591" s="282"/>
      <c r="L591" s="282"/>
      <c r="M591" s="195"/>
      <c r="N591" s="5"/>
      <c r="O591" s="68"/>
      <c r="P591" s="68"/>
      <c r="Q591" s="68"/>
      <c r="R591" s="68"/>
      <c r="S591" s="68"/>
    </row>
    <row r="592" spans="1:19" ht="15.75" customHeight="1">
      <c r="A592" s="299"/>
      <c r="B592" s="300"/>
      <c r="C592" s="68"/>
      <c r="D592" s="301"/>
      <c r="E592" s="69"/>
      <c r="K592" s="282"/>
      <c r="L592" s="282"/>
      <c r="M592" s="195"/>
      <c r="N592" s="5"/>
      <c r="O592" s="68"/>
      <c r="P592" s="68"/>
      <c r="Q592" s="68"/>
      <c r="R592" s="68"/>
      <c r="S592" s="68"/>
    </row>
    <row r="593" spans="1:19" ht="15.75" customHeight="1">
      <c r="A593" s="299"/>
      <c r="B593" s="300"/>
      <c r="C593" s="68"/>
      <c r="D593" s="301"/>
      <c r="E593" s="69"/>
      <c r="K593" s="282"/>
      <c r="L593" s="282"/>
      <c r="M593" s="195"/>
      <c r="N593" s="5"/>
      <c r="O593" s="68"/>
      <c r="P593" s="68"/>
      <c r="Q593" s="68"/>
      <c r="R593" s="68"/>
      <c r="S593" s="68"/>
    </row>
    <row r="594" spans="1:19" ht="15.75" customHeight="1">
      <c r="A594" s="299"/>
      <c r="B594" s="300"/>
      <c r="C594" s="68"/>
      <c r="D594" s="301"/>
      <c r="E594" s="69"/>
      <c r="K594" s="282"/>
      <c r="L594" s="282"/>
      <c r="M594" s="195"/>
      <c r="N594" s="5"/>
      <c r="O594" s="68"/>
      <c r="P594" s="68"/>
      <c r="Q594" s="68"/>
      <c r="R594" s="68"/>
      <c r="S594" s="68"/>
    </row>
    <row r="595" spans="1:19" ht="15.75" customHeight="1">
      <c r="A595" s="299"/>
      <c r="B595" s="300"/>
      <c r="C595" s="68"/>
      <c r="D595" s="301"/>
      <c r="E595" s="69"/>
      <c r="K595" s="282"/>
      <c r="L595" s="282"/>
      <c r="M595" s="195"/>
      <c r="N595" s="5"/>
      <c r="O595" s="68"/>
      <c r="P595" s="68"/>
      <c r="Q595" s="68"/>
      <c r="R595" s="68"/>
      <c r="S595" s="68"/>
    </row>
    <row r="596" spans="1:19" ht="15.75" customHeight="1">
      <c r="A596" s="299"/>
      <c r="B596" s="300"/>
      <c r="C596" s="68"/>
      <c r="D596" s="301"/>
      <c r="E596" s="69"/>
      <c r="K596" s="282"/>
      <c r="L596" s="282"/>
      <c r="M596" s="195"/>
      <c r="N596" s="5"/>
      <c r="O596" s="68"/>
      <c r="P596" s="68"/>
      <c r="Q596" s="68"/>
      <c r="R596" s="68"/>
      <c r="S596" s="68"/>
    </row>
    <row r="597" spans="1:19" ht="15.75" customHeight="1">
      <c r="A597" s="299"/>
      <c r="B597" s="300"/>
      <c r="C597" s="68"/>
      <c r="D597" s="301"/>
      <c r="E597" s="69"/>
      <c r="K597" s="282"/>
      <c r="L597" s="282"/>
      <c r="M597" s="195"/>
      <c r="N597" s="5"/>
      <c r="O597" s="68"/>
      <c r="P597" s="68"/>
      <c r="Q597" s="68"/>
      <c r="R597" s="68"/>
      <c r="S597" s="68"/>
    </row>
    <row r="598" spans="1:19" ht="15.75" customHeight="1">
      <c r="A598" s="299"/>
      <c r="B598" s="300"/>
      <c r="C598" s="68"/>
      <c r="D598" s="301"/>
      <c r="E598" s="69"/>
      <c r="K598" s="282"/>
      <c r="L598" s="282"/>
      <c r="M598" s="195"/>
      <c r="N598" s="5"/>
      <c r="O598" s="68"/>
      <c r="P598" s="68"/>
      <c r="Q598" s="68"/>
      <c r="R598" s="68"/>
      <c r="S598" s="68"/>
    </row>
    <row r="599" spans="1:19" ht="15.75" customHeight="1">
      <c r="A599" s="299"/>
      <c r="B599" s="300"/>
      <c r="C599" s="68"/>
      <c r="D599" s="301"/>
      <c r="E599" s="69"/>
      <c r="K599" s="282"/>
      <c r="L599" s="282"/>
      <c r="M599" s="195"/>
      <c r="N599" s="5"/>
      <c r="O599" s="68"/>
      <c r="P599" s="68"/>
      <c r="Q599" s="68"/>
      <c r="R599" s="68"/>
      <c r="S599" s="68"/>
    </row>
    <row r="600" spans="1:19" ht="15.75" customHeight="1">
      <c r="A600" s="299"/>
      <c r="B600" s="300"/>
      <c r="C600" s="68"/>
      <c r="D600" s="301"/>
      <c r="E600" s="69"/>
      <c r="K600" s="282"/>
      <c r="L600" s="282"/>
      <c r="M600" s="195"/>
      <c r="N600" s="5"/>
      <c r="O600" s="68"/>
      <c r="P600" s="68"/>
      <c r="Q600" s="68"/>
      <c r="R600" s="68"/>
      <c r="S600" s="68"/>
    </row>
    <row r="601" spans="1:19" ht="15.75" customHeight="1">
      <c r="A601" s="299"/>
      <c r="B601" s="300"/>
      <c r="C601" s="68"/>
      <c r="D601" s="301"/>
      <c r="E601" s="69"/>
      <c r="K601" s="282"/>
      <c r="L601" s="282"/>
      <c r="M601" s="195"/>
      <c r="N601" s="5"/>
      <c r="O601" s="68"/>
      <c r="P601" s="68"/>
      <c r="Q601" s="68"/>
      <c r="R601" s="68"/>
      <c r="S601" s="68"/>
    </row>
    <row r="602" spans="1:19" ht="15.75" customHeight="1">
      <c r="A602" s="299"/>
      <c r="B602" s="300"/>
      <c r="C602" s="68"/>
      <c r="D602" s="301"/>
      <c r="E602" s="69"/>
      <c r="K602" s="282"/>
      <c r="L602" s="282"/>
      <c r="M602" s="195"/>
      <c r="N602" s="5"/>
      <c r="O602" s="68"/>
      <c r="P602" s="68"/>
      <c r="Q602" s="68"/>
      <c r="R602" s="68"/>
      <c r="S602" s="68"/>
    </row>
    <row r="603" spans="1:19" ht="15.75" customHeight="1">
      <c r="A603" s="299"/>
      <c r="B603" s="300"/>
      <c r="C603" s="68"/>
      <c r="D603" s="301"/>
      <c r="E603" s="69"/>
      <c r="K603" s="282"/>
      <c r="L603" s="282"/>
      <c r="M603" s="195"/>
      <c r="N603" s="5"/>
      <c r="O603" s="68"/>
      <c r="P603" s="68"/>
      <c r="Q603" s="68"/>
      <c r="R603" s="68"/>
      <c r="S603" s="68"/>
    </row>
    <row r="604" spans="1:19" ht="15.75" customHeight="1">
      <c r="A604" s="299"/>
      <c r="B604" s="300"/>
      <c r="C604" s="68"/>
      <c r="D604" s="301"/>
      <c r="E604" s="69"/>
      <c r="K604" s="282"/>
      <c r="L604" s="282"/>
      <c r="M604" s="195"/>
      <c r="N604" s="5"/>
      <c r="O604" s="68"/>
      <c r="P604" s="68"/>
      <c r="Q604" s="68"/>
      <c r="R604" s="68"/>
      <c r="S604" s="68"/>
    </row>
    <row r="605" spans="1:19" ht="15.75" customHeight="1">
      <c r="A605" s="299"/>
      <c r="B605" s="300"/>
      <c r="C605" s="68"/>
      <c r="D605" s="301"/>
      <c r="E605" s="69"/>
      <c r="K605" s="282"/>
      <c r="L605" s="282"/>
      <c r="M605" s="195"/>
      <c r="N605" s="5"/>
      <c r="O605" s="68"/>
      <c r="P605" s="68"/>
      <c r="Q605" s="68"/>
      <c r="R605" s="68"/>
      <c r="S605" s="68"/>
    </row>
    <row r="606" spans="1:19" ht="15.75" customHeight="1">
      <c r="A606" s="299"/>
      <c r="B606" s="300"/>
      <c r="C606" s="68"/>
      <c r="D606" s="301"/>
      <c r="E606" s="69"/>
      <c r="K606" s="282"/>
      <c r="L606" s="282"/>
      <c r="M606" s="195"/>
      <c r="N606" s="5"/>
      <c r="O606" s="68"/>
      <c r="P606" s="68"/>
      <c r="Q606" s="68"/>
      <c r="R606" s="68"/>
      <c r="S606" s="68"/>
    </row>
    <row r="607" spans="1:19" ht="15.75" customHeight="1">
      <c r="A607" s="299"/>
      <c r="B607" s="300"/>
      <c r="C607" s="68"/>
      <c r="D607" s="301"/>
      <c r="E607" s="69"/>
      <c r="K607" s="282"/>
      <c r="L607" s="282"/>
      <c r="M607" s="195"/>
      <c r="N607" s="5"/>
      <c r="O607" s="68"/>
      <c r="P607" s="68"/>
      <c r="Q607" s="68"/>
      <c r="R607" s="68"/>
      <c r="S607" s="68"/>
    </row>
    <row r="608" spans="1:19" ht="15.75" customHeight="1">
      <c r="A608" s="299"/>
      <c r="B608" s="300"/>
      <c r="C608" s="68"/>
      <c r="D608" s="301"/>
      <c r="E608" s="69"/>
      <c r="K608" s="282"/>
      <c r="L608" s="282"/>
      <c r="M608" s="195"/>
      <c r="N608" s="5"/>
      <c r="O608" s="68"/>
      <c r="P608" s="68"/>
      <c r="Q608" s="68"/>
      <c r="R608" s="68"/>
      <c r="S608" s="68"/>
    </row>
    <row r="609" spans="1:19" ht="15.75" customHeight="1">
      <c r="A609" s="299"/>
      <c r="B609" s="300"/>
      <c r="C609" s="68"/>
      <c r="D609" s="301"/>
      <c r="E609" s="69"/>
      <c r="K609" s="282"/>
      <c r="L609" s="282"/>
      <c r="M609" s="195"/>
      <c r="N609" s="5"/>
      <c r="O609" s="68"/>
      <c r="P609" s="68"/>
      <c r="Q609" s="68"/>
      <c r="R609" s="68"/>
      <c r="S609" s="68"/>
    </row>
    <row r="610" spans="1:19" ht="15.75" customHeight="1">
      <c r="A610" s="299"/>
      <c r="B610" s="300"/>
      <c r="C610" s="68"/>
      <c r="D610" s="301"/>
      <c r="E610" s="69"/>
      <c r="K610" s="282"/>
      <c r="L610" s="282"/>
      <c r="M610" s="195"/>
      <c r="N610" s="5"/>
      <c r="O610" s="68"/>
      <c r="P610" s="68"/>
      <c r="Q610" s="68"/>
      <c r="R610" s="68"/>
      <c r="S610" s="68"/>
    </row>
    <row r="611" spans="1:19" ht="15.75" customHeight="1">
      <c r="A611" s="299"/>
      <c r="B611" s="300"/>
      <c r="C611" s="68"/>
      <c r="D611" s="301"/>
      <c r="E611" s="69"/>
      <c r="K611" s="282"/>
      <c r="L611" s="282"/>
      <c r="M611" s="195"/>
      <c r="N611" s="5"/>
      <c r="O611" s="68"/>
      <c r="P611" s="68"/>
      <c r="Q611" s="68"/>
      <c r="R611" s="68"/>
      <c r="S611" s="68"/>
    </row>
    <row r="612" spans="1:19" ht="15.75" customHeight="1">
      <c r="A612" s="299"/>
      <c r="B612" s="300"/>
      <c r="C612" s="68"/>
      <c r="D612" s="301"/>
      <c r="E612" s="69"/>
      <c r="K612" s="282"/>
      <c r="L612" s="282"/>
      <c r="M612" s="195"/>
      <c r="N612" s="5"/>
      <c r="O612" s="68"/>
      <c r="P612" s="68"/>
      <c r="Q612" s="68"/>
      <c r="R612" s="68"/>
      <c r="S612" s="68"/>
    </row>
    <row r="613" spans="1:19" ht="15.75" customHeight="1">
      <c r="A613" s="299"/>
      <c r="B613" s="300"/>
      <c r="C613" s="68"/>
      <c r="D613" s="301"/>
      <c r="E613" s="69"/>
      <c r="K613" s="282"/>
      <c r="L613" s="282"/>
      <c r="M613" s="195"/>
      <c r="N613" s="5"/>
      <c r="O613" s="68"/>
      <c r="P613" s="68"/>
      <c r="Q613" s="68"/>
      <c r="R613" s="68"/>
      <c r="S613" s="68"/>
    </row>
    <row r="614" spans="1:19" ht="15.75" customHeight="1">
      <c r="A614" s="299"/>
      <c r="B614" s="300"/>
      <c r="C614" s="68"/>
      <c r="D614" s="301"/>
      <c r="E614" s="69"/>
      <c r="K614" s="282"/>
      <c r="L614" s="282"/>
      <c r="M614" s="195"/>
      <c r="N614" s="5"/>
      <c r="O614" s="68"/>
      <c r="P614" s="68"/>
      <c r="Q614" s="68"/>
      <c r="R614" s="68"/>
      <c r="S614" s="68"/>
    </row>
    <row r="615" spans="1:19" ht="15.75" customHeight="1">
      <c r="A615" s="299"/>
      <c r="B615" s="300"/>
      <c r="C615" s="68"/>
      <c r="D615" s="301"/>
      <c r="E615" s="69"/>
      <c r="K615" s="282"/>
      <c r="L615" s="282"/>
      <c r="M615" s="195"/>
      <c r="N615" s="5"/>
      <c r="O615" s="68"/>
      <c r="P615" s="68"/>
      <c r="Q615" s="68"/>
      <c r="R615" s="68"/>
      <c r="S615" s="68"/>
    </row>
    <row r="616" spans="1:19" ht="15.75" customHeight="1">
      <c r="A616" s="299"/>
      <c r="B616" s="300"/>
      <c r="C616" s="68"/>
      <c r="D616" s="301"/>
      <c r="E616" s="69"/>
      <c r="K616" s="282"/>
      <c r="L616" s="282"/>
      <c r="M616" s="195"/>
      <c r="N616" s="5"/>
      <c r="O616" s="68"/>
      <c r="P616" s="68"/>
      <c r="Q616" s="68"/>
      <c r="R616" s="68"/>
      <c r="S616" s="68"/>
    </row>
    <row r="617" spans="1:19" ht="15.75" customHeight="1">
      <c r="A617" s="299"/>
      <c r="B617" s="300"/>
      <c r="C617" s="68"/>
      <c r="D617" s="301"/>
      <c r="E617" s="69"/>
      <c r="K617" s="282"/>
      <c r="L617" s="282"/>
      <c r="M617" s="195"/>
      <c r="N617" s="5"/>
      <c r="O617" s="68"/>
      <c r="P617" s="68"/>
      <c r="Q617" s="68"/>
      <c r="R617" s="68"/>
      <c r="S617" s="68"/>
    </row>
    <row r="618" spans="1:19" ht="15.75" customHeight="1">
      <c r="A618" s="299"/>
      <c r="B618" s="300"/>
      <c r="C618" s="68"/>
      <c r="D618" s="301"/>
      <c r="E618" s="69"/>
      <c r="K618" s="282"/>
      <c r="L618" s="282"/>
      <c r="M618" s="195"/>
      <c r="N618" s="5"/>
      <c r="O618" s="68"/>
      <c r="P618" s="68"/>
      <c r="Q618" s="68"/>
      <c r="R618" s="68"/>
      <c r="S618" s="68"/>
    </row>
    <row r="619" spans="1:19" ht="15.75" customHeight="1">
      <c r="A619" s="299"/>
      <c r="B619" s="300"/>
      <c r="C619" s="68"/>
      <c r="D619" s="301"/>
      <c r="E619" s="69"/>
      <c r="K619" s="282"/>
      <c r="L619" s="282"/>
      <c r="M619" s="195"/>
      <c r="N619" s="5"/>
      <c r="O619" s="68"/>
      <c r="P619" s="68"/>
      <c r="Q619" s="68"/>
      <c r="R619" s="68"/>
      <c r="S619" s="68"/>
    </row>
    <row r="620" spans="1:19" ht="15.75" customHeight="1">
      <c r="A620" s="299"/>
      <c r="B620" s="300"/>
      <c r="C620" s="68"/>
      <c r="D620" s="301"/>
      <c r="E620" s="69"/>
      <c r="K620" s="282"/>
      <c r="L620" s="282"/>
      <c r="M620" s="195"/>
      <c r="N620" s="5"/>
      <c r="O620" s="68"/>
      <c r="P620" s="68"/>
      <c r="Q620" s="68"/>
      <c r="R620" s="68"/>
      <c r="S620" s="68"/>
    </row>
    <row r="621" spans="1:19" ht="15.75" customHeight="1">
      <c r="A621" s="299"/>
      <c r="B621" s="300"/>
      <c r="C621" s="68"/>
      <c r="D621" s="301"/>
      <c r="E621" s="69"/>
      <c r="K621" s="282"/>
      <c r="L621" s="282"/>
      <c r="M621" s="195"/>
      <c r="N621" s="5"/>
      <c r="O621" s="68"/>
      <c r="P621" s="68"/>
      <c r="Q621" s="68"/>
      <c r="R621" s="68"/>
      <c r="S621" s="68"/>
    </row>
    <row r="622" spans="1:19" ht="15.75" customHeight="1">
      <c r="A622" s="299"/>
      <c r="B622" s="300"/>
      <c r="C622" s="68"/>
      <c r="D622" s="301"/>
      <c r="E622" s="69"/>
      <c r="K622" s="282"/>
      <c r="L622" s="282"/>
      <c r="M622" s="195"/>
      <c r="N622" s="5"/>
      <c r="O622" s="68"/>
      <c r="P622" s="68"/>
      <c r="Q622" s="68"/>
      <c r="R622" s="68"/>
      <c r="S622" s="68"/>
    </row>
    <row r="623" spans="1:19" ht="15.75" customHeight="1">
      <c r="A623" s="299"/>
      <c r="B623" s="300"/>
      <c r="C623" s="68"/>
      <c r="D623" s="301"/>
      <c r="E623" s="69"/>
      <c r="K623" s="282"/>
      <c r="L623" s="282"/>
      <c r="M623" s="195"/>
      <c r="N623" s="5"/>
      <c r="O623" s="68"/>
      <c r="P623" s="68"/>
      <c r="Q623" s="68"/>
      <c r="R623" s="68"/>
      <c r="S623" s="68"/>
    </row>
    <row r="624" spans="1:19" ht="15.75" customHeight="1">
      <c r="A624" s="299"/>
      <c r="B624" s="300"/>
      <c r="C624" s="68"/>
      <c r="D624" s="301"/>
      <c r="E624" s="69"/>
      <c r="K624" s="282"/>
      <c r="L624" s="282"/>
      <c r="M624" s="195"/>
      <c r="N624" s="5"/>
      <c r="O624" s="68"/>
      <c r="P624" s="68"/>
      <c r="Q624" s="68"/>
      <c r="R624" s="68"/>
      <c r="S624" s="68"/>
    </row>
    <row r="625" spans="1:19" ht="15.75" customHeight="1">
      <c r="A625" s="299"/>
      <c r="B625" s="300"/>
      <c r="C625" s="68"/>
      <c r="D625" s="301"/>
      <c r="E625" s="69"/>
      <c r="K625" s="282"/>
      <c r="L625" s="282"/>
      <c r="M625" s="195"/>
      <c r="N625" s="5"/>
      <c r="O625" s="68"/>
      <c r="P625" s="68"/>
      <c r="Q625" s="68"/>
      <c r="R625" s="68"/>
      <c r="S625" s="68"/>
    </row>
    <row r="626" spans="1:19" ht="15.75" customHeight="1">
      <c r="A626" s="299"/>
      <c r="B626" s="300"/>
      <c r="C626" s="68"/>
      <c r="D626" s="301"/>
      <c r="E626" s="69"/>
      <c r="K626" s="282"/>
      <c r="L626" s="282"/>
      <c r="M626" s="195"/>
      <c r="N626" s="5"/>
      <c r="O626" s="68"/>
      <c r="P626" s="68"/>
      <c r="Q626" s="68"/>
      <c r="R626" s="68"/>
      <c r="S626" s="68"/>
    </row>
    <row r="627" spans="1:19" ht="15.75" customHeight="1">
      <c r="A627" s="299"/>
      <c r="B627" s="300"/>
      <c r="C627" s="68"/>
      <c r="D627" s="301"/>
      <c r="E627" s="69"/>
      <c r="K627" s="282"/>
      <c r="L627" s="282"/>
      <c r="M627" s="195"/>
      <c r="N627" s="5"/>
      <c r="O627" s="68"/>
      <c r="P627" s="68"/>
      <c r="Q627" s="68"/>
      <c r="R627" s="68"/>
      <c r="S627" s="68"/>
    </row>
    <row r="628" spans="1:19" ht="15.75" customHeight="1">
      <c r="A628" s="299"/>
      <c r="B628" s="300"/>
      <c r="C628" s="68"/>
      <c r="D628" s="301"/>
      <c r="E628" s="69"/>
      <c r="K628" s="282"/>
      <c r="L628" s="282"/>
      <c r="M628" s="195"/>
      <c r="N628" s="5"/>
      <c r="O628" s="68"/>
      <c r="P628" s="68"/>
      <c r="Q628" s="68"/>
      <c r="R628" s="68"/>
      <c r="S628" s="68"/>
    </row>
    <row r="629" spans="1:19" ht="15.75" customHeight="1">
      <c r="A629" s="299"/>
      <c r="B629" s="300"/>
      <c r="C629" s="68"/>
      <c r="D629" s="301"/>
      <c r="E629" s="69"/>
      <c r="K629" s="282"/>
      <c r="L629" s="282"/>
      <c r="M629" s="195"/>
      <c r="N629" s="5"/>
      <c r="O629" s="68"/>
      <c r="P629" s="68"/>
      <c r="Q629" s="68"/>
      <c r="R629" s="68"/>
      <c r="S629" s="68"/>
    </row>
    <row r="630" spans="1:19" ht="15.75" customHeight="1">
      <c r="A630" s="299"/>
      <c r="B630" s="300"/>
      <c r="C630" s="68"/>
      <c r="D630" s="301"/>
      <c r="E630" s="69"/>
      <c r="K630" s="282"/>
      <c r="L630" s="282"/>
      <c r="M630" s="195"/>
      <c r="N630" s="5"/>
      <c r="O630" s="68"/>
      <c r="P630" s="68"/>
      <c r="Q630" s="68"/>
      <c r="R630" s="68"/>
      <c r="S630" s="68"/>
    </row>
    <row r="631" spans="1:19" ht="15.75" customHeight="1">
      <c r="A631" s="299"/>
      <c r="B631" s="300"/>
      <c r="C631" s="68"/>
      <c r="D631" s="301"/>
      <c r="E631" s="69"/>
      <c r="K631" s="282"/>
      <c r="L631" s="282"/>
      <c r="M631" s="195"/>
      <c r="N631" s="5"/>
      <c r="O631" s="68"/>
      <c r="P631" s="68"/>
      <c r="Q631" s="68"/>
      <c r="R631" s="68"/>
      <c r="S631" s="68"/>
    </row>
    <row r="632" spans="1:19" ht="15.75" customHeight="1">
      <c r="A632" s="299"/>
      <c r="B632" s="300"/>
      <c r="C632" s="68"/>
      <c r="D632" s="301"/>
      <c r="E632" s="69"/>
      <c r="K632" s="282"/>
      <c r="L632" s="282"/>
      <c r="M632" s="195"/>
      <c r="N632" s="5"/>
      <c r="O632" s="68"/>
      <c r="P632" s="68"/>
      <c r="Q632" s="68"/>
      <c r="R632" s="68"/>
      <c r="S632" s="68"/>
    </row>
    <row r="633" spans="1:19" ht="15.75" customHeight="1">
      <c r="A633" s="299"/>
      <c r="B633" s="300"/>
      <c r="C633" s="68"/>
      <c r="D633" s="301"/>
      <c r="E633" s="69"/>
      <c r="K633" s="282"/>
      <c r="L633" s="282"/>
      <c r="M633" s="195"/>
      <c r="N633" s="5"/>
      <c r="O633" s="68"/>
      <c r="P633" s="68"/>
      <c r="Q633" s="68"/>
      <c r="R633" s="68"/>
      <c r="S633" s="68"/>
    </row>
    <row r="634" spans="1:19" ht="15.75" customHeight="1">
      <c r="A634" s="299"/>
      <c r="B634" s="300"/>
      <c r="C634" s="68"/>
      <c r="D634" s="301"/>
      <c r="E634" s="69"/>
      <c r="K634" s="282"/>
      <c r="L634" s="282"/>
      <c r="M634" s="195"/>
      <c r="N634" s="5"/>
      <c r="O634" s="68"/>
      <c r="P634" s="68"/>
      <c r="Q634" s="68"/>
      <c r="R634" s="68"/>
      <c r="S634" s="68"/>
    </row>
    <row r="635" spans="1:19" ht="15.75" customHeight="1">
      <c r="A635" s="299"/>
      <c r="B635" s="300"/>
      <c r="C635" s="68"/>
      <c r="D635" s="301"/>
      <c r="E635" s="69"/>
      <c r="K635" s="282"/>
      <c r="L635" s="282"/>
      <c r="M635" s="195"/>
      <c r="N635" s="5"/>
      <c r="O635" s="68"/>
      <c r="P635" s="68"/>
      <c r="Q635" s="68"/>
      <c r="R635" s="68"/>
      <c r="S635" s="68"/>
    </row>
    <row r="636" spans="1:19" ht="15.75" customHeight="1">
      <c r="A636" s="299"/>
      <c r="B636" s="300"/>
      <c r="C636" s="68"/>
      <c r="D636" s="301"/>
      <c r="E636" s="69"/>
      <c r="K636" s="282"/>
      <c r="L636" s="282"/>
      <c r="M636" s="195"/>
      <c r="N636" s="5"/>
      <c r="O636" s="68"/>
      <c r="P636" s="68"/>
      <c r="Q636" s="68"/>
      <c r="R636" s="68"/>
      <c r="S636" s="68"/>
    </row>
    <row r="637" spans="1:19" ht="15.75" customHeight="1">
      <c r="A637" s="299"/>
      <c r="B637" s="300"/>
      <c r="C637" s="68"/>
      <c r="D637" s="301"/>
      <c r="E637" s="69"/>
      <c r="K637" s="282"/>
      <c r="L637" s="282"/>
      <c r="M637" s="195"/>
      <c r="N637" s="5"/>
      <c r="O637" s="68"/>
      <c r="P637" s="68"/>
      <c r="Q637" s="68"/>
      <c r="R637" s="68"/>
      <c r="S637" s="68"/>
    </row>
    <row r="638" spans="1:19" ht="15.75" customHeight="1">
      <c r="A638" s="299"/>
      <c r="B638" s="300"/>
      <c r="C638" s="68"/>
      <c r="D638" s="301"/>
      <c r="E638" s="69"/>
      <c r="K638" s="282"/>
      <c r="L638" s="282"/>
      <c r="M638" s="195"/>
      <c r="N638" s="5"/>
      <c r="O638" s="68"/>
      <c r="P638" s="68"/>
      <c r="Q638" s="68"/>
      <c r="R638" s="68"/>
      <c r="S638" s="68"/>
    </row>
    <row r="639" spans="1:19" ht="15.75" customHeight="1">
      <c r="A639" s="299"/>
      <c r="B639" s="300"/>
      <c r="C639" s="68"/>
      <c r="D639" s="301"/>
      <c r="E639" s="69"/>
      <c r="K639" s="282"/>
      <c r="L639" s="282"/>
      <c r="M639" s="195"/>
      <c r="N639" s="5"/>
      <c r="O639" s="68"/>
      <c r="P639" s="68"/>
      <c r="Q639" s="68"/>
      <c r="R639" s="68"/>
      <c r="S639" s="68"/>
    </row>
    <row r="640" spans="1:19" ht="15.75" customHeight="1">
      <c r="A640" s="299"/>
      <c r="B640" s="300"/>
      <c r="C640" s="68"/>
      <c r="D640" s="301"/>
      <c r="E640" s="69"/>
      <c r="K640" s="282"/>
      <c r="L640" s="282"/>
      <c r="M640" s="195"/>
      <c r="N640" s="5"/>
      <c r="O640" s="68"/>
      <c r="P640" s="68"/>
      <c r="Q640" s="68"/>
      <c r="R640" s="68"/>
      <c r="S640" s="68"/>
    </row>
    <row r="641" spans="1:19" ht="15.75" customHeight="1">
      <c r="A641" s="299"/>
      <c r="B641" s="300"/>
      <c r="C641" s="68"/>
      <c r="D641" s="301"/>
      <c r="E641" s="69"/>
      <c r="K641" s="282"/>
      <c r="L641" s="282"/>
      <c r="M641" s="195"/>
      <c r="N641" s="5"/>
      <c r="O641" s="68"/>
      <c r="P641" s="68"/>
      <c r="Q641" s="68"/>
      <c r="R641" s="68"/>
      <c r="S641" s="68"/>
    </row>
    <row r="642" spans="1:19" ht="15.75" customHeight="1">
      <c r="A642" s="299"/>
      <c r="B642" s="300"/>
      <c r="C642" s="68"/>
      <c r="D642" s="301"/>
      <c r="E642" s="69"/>
      <c r="K642" s="282"/>
      <c r="L642" s="282"/>
      <c r="M642" s="195"/>
      <c r="N642" s="5"/>
      <c r="O642" s="68"/>
      <c r="P642" s="68"/>
      <c r="Q642" s="68"/>
      <c r="R642" s="68"/>
      <c r="S642" s="68"/>
    </row>
    <row r="643" spans="1:19" ht="15.75" customHeight="1">
      <c r="A643" s="299"/>
      <c r="B643" s="300"/>
      <c r="C643" s="68"/>
      <c r="D643" s="301"/>
      <c r="E643" s="69"/>
      <c r="K643" s="282"/>
      <c r="L643" s="282"/>
      <c r="M643" s="195"/>
      <c r="N643" s="5"/>
      <c r="O643" s="68"/>
      <c r="P643" s="68"/>
      <c r="Q643" s="68"/>
      <c r="R643" s="68"/>
      <c r="S643" s="68"/>
    </row>
    <row r="644" spans="1:19" ht="15.75" customHeight="1">
      <c r="A644" s="299"/>
      <c r="B644" s="300"/>
      <c r="C644" s="68"/>
      <c r="D644" s="301"/>
      <c r="E644" s="69"/>
      <c r="K644" s="282"/>
      <c r="L644" s="282"/>
      <c r="M644" s="195"/>
      <c r="N644" s="5"/>
      <c r="O644" s="68"/>
      <c r="P644" s="68"/>
      <c r="Q644" s="68"/>
      <c r="R644" s="68"/>
      <c r="S644" s="68"/>
    </row>
    <row r="645" spans="1:19" ht="15.75" customHeight="1">
      <c r="A645" s="299"/>
      <c r="B645" s="300"/>
      <c r="C645" s="68"/>
      <c r="D645" s="301"/>
      <c r="E645" s="69"/>
      <c r="K645" s="282"/>
      <c r="L645" s="282"/>
      <c r="M645" s="195"/>
      <c r="N645" s="5"/>
      <c r="O645" s="68"/>
      <c r="P645" s="68"/>
      <c r="Q645" s="68"/>
      <c r="R645" s="68"/>
      <c r="S645" s="68"/>
    </row>
    <row r="646" spans="1:19" ht="15.75" customHeight="1">
      <c r="A646" s="299"/>
      <c r="B646" s="300"/>
      <c r="C646" s="68"/>
      <c r="D646" s="301"/>
      <c r="E646" s="69"/>
      <c r="K646" s="282"/>
      <c r="L646" s="282"/>
      <c r="M646" s="195"/>
      <c r="N646" s="5"/>
      <c r="O646" s="68"/>
      <c r="P646" s="68"/>
      <c r="Q646" s="68"/>
      <c r="R646" s="68"/>
      <c r="S646" s="68"/>
    </row>
    <row r="647" spans="1:19" ht="15.75" customHeight="1">
      <c r="A647" s="299"/>
      <c r="B647" s="300"/>
      <c r="C647" s="68"/>
      <c r="D647" s="301"/>
      <c r="E647" s="69"/>
      <c r="K647" s="282"/>
      <c r="L647" s="282"/>
      <c r="M647" s="195"/>
      <c r="N647" s="5"/>
      <c r="O647" s="68"/>
      <c r="P647" s="68"/>
      <c r="Q647" s="68"/>
      <c r="R647" s="68"/>
      <c r="S647" s="68"/>
    </row>
    <row r="648" spans="1:19" ht="15.75" customHeight="1">
      <c r="A648" s="299"/>
      <c r="B648" s="300"/>
      <c r="C648" s="68"/>
      <c r="D648" s="301"/>
      <c r="E648" s="69"/>
      <c r="K648" s="282"/>
      <c r="L648" s="282"/>
      <c r="M648" s="195"/>
      <c r="N648" s="5"/>
      <c r="O648" s="68"/>
      <c r="P648" s="68"/>
      <c r="Q648" s="68"/>
      <c r="R648" s="68"/>
      <c r="S648" s="68"/>
    </row>
    <row r="649" spans="1:19" ht="15.75" customHeight="1">
      <c r="A649" s="299"/>
      <c r="B649" s="300"/>
      <c r="C649" s="68"/>
      <c r="D649" s="301"/>
      <c r="E649" s="69"/>
      <c r="K649" s="282"/>
      <c r="L649" s="282"/>
      <c r="M649" s="195"/>
      <c r="N649" s="5"/>
      <c r="O649" s="68"/>
      <c r="P649" s="68"/>
      <c r="Q649" s="68"/>
      <c r="R649" s="68"/>
      <c r="S649" s="68"/>
    </row>
    <row r="650" spans="1:19" ht="15.75" customHeight="1">
      <c r="A650" s="299"/>
      <c r="B650" s="300"/>
      <c r="C650" s="68"/>
      <c r="D650" s="301"/>
      <c r="E650" s="69"/>
      <c r="K650" s="282"/>
      <c r="L650" s="282"/>
      <c r="M650" s="195"/>
      <c r="N650" s="5"/>
      <c r="O650" s="68"/>
      <c r="P650" s="68"/>
      <c r="Q650" s="68"/>
      <c r="R650" s="68"/>
      <c r="S650" s="68"/>
    </row>
    <row r="651" spans="1:19" ht="15.75" customHeight="1">
      <c r="A651" s="299"/>
      <c r="B651" s="300"/>
      <c r="C651" s="68"/>
      <c r="D651" s="301"/>
      <c r="E651" s="69"/>
      <c r="K651" s="282"/>
      <c r="L651" s="282"/>
      <c r="M651" s="195"/>
      <c r="N651" s="5"/>
      <c r="O651" s="68"/>
      <c r="P651" s="68"/>
      <c r="Q651" s="68"/>
      <c r="R651" s="68"/>
      <c r="S651" s="68"/>
    </row>
    <row r="652" spans="1:19" ht="15.75" customHeight="1">
      <c r="A652" s="299"/>
      <c r="B652" s="300"/>
      <c r="C652" s="68"/>
      <c r="D652" s="301"/>
      <c r="E652" s="69"/>
      <c r="K652" s="282"/>
      <c r="L652" s="282"/>
      <c r="M652" s="195"/>
      <c r="N652" s="5"/>
      <c r="O652" s="68"/>
      <c r="P652" s="68"/>
      <c r="Q652" s="68"/>
      <c r="R652" s="68"/>
      <c r="S652" s="68"/>
    </row>
    <row r="653" spans="1:19" ht="15.75" customHeight="1">
      <c r="A653" s="299"/>
      <c r="B653" s="300"/>
      <c r="C653" s="68"/>
      <c r="D653" s="301"/>
      <c r="E653" s="69"/>
      <c r="K653" s="282"/>
      <c r="L653" s="282"/>
      <c r="M653" s="195"/>
      <c r="N653" s="5"/>
      <c r="O653" s="68"/>
      <c r="P653" s="68"/>
      <c r="Q653" s="68"/>
      <c r="R653" s="68"/>
      <c r="S653" s="68"/>
    </row>
    <row r="654" spans="1:19" ht="15.75" customHeight="1">
      <c r="A654" s="299"/>
      <c r="B654" s="300"/>
      <c r="C654" s="68"/>
      <c r="D654" s="301"/>
      <c r="E654" s="69"/>
      <c r="K654" s="282"/>
      <c r="L654" s="282"/>
      <c r="M654" s="195"/>
      <c r="N654" s="5"/>
      <c r="O654" s="68"/>
      <c r="P654" s="68"/>
      <c r="Q654" s="68"/>
      <c r="R654" s="68"/>
      <c r="S654" s="68"/>
    </row>
    <row r="655" spans="1:19" ht="15.75" customHeight="1">
      <c r="A655" s="299"/>
      <c r="B655" s="300"/>
      <c r="C655" s="68"/>
      <c r="D655" s="301"/>
      <c r="E655" s="69"/>
      <c r="K655" s="282"/>
      <c r="L655" s="282"/>
      <c r="M655" s="195"/>
      <c r="N655" s="5"/>
      <c r="O655" s="68"/>
      <c r="P655" s="68"/>
      <c r="Q655" s="68"/>
      <c r="R655" s="68"/>
      <c r="S655" s="68"/>
    </row>
    <row r="656" spans="1:19" ht="15.75" customHeight="1">
      <c r="A656" s="299"/>
      <c r="B656" s="300"/>
      <c r="C656" s="68"/>
      <c r="D656" s="301"/>
      <c r="E656" s="69"/>
      <c r="K656" s="282"/>
      <c r="L656" s="282"/>
      <c r="M656" s="195"/>
      <c r="N656" s="5"/>
      <c r="O656" s="68"/>
      <c r="P656" s="68"/>
      <c r="Q656" s="68"/>
      <c r="R656" s="68"/>
      <c r="S656" s="68"/>
    </row>
    <row r="657" spans="1:19" ht="15.75" customHeight="1">
      <c r="A657" s="299"/>
      <c r="B657" s="300"/>
      <c r="C657" s="68"/>
      <c r="D657" s="301"/>
      <c r="E657" s="69"/>
      <c r="K657" s="282"/>
      <c r="L657" s="282"/>
      <c r="M657" s="195"/>
      <c r="N657" s="5"/>
      <c r="O657" s="68"/>
      <c r="P657" s="68"/>
      <c r="Q657" s="68"/>
      <c r="R657" s="68"/>
      <c r="S657" s="68"/>
    </row>
    <row r="658" spans="1:19" ht="15.75" customHeight="1">
      <c r="A658" s="299"/>
      <c r="B658" s="300"/>
      <c r="C658" s="68"/>
      <c r="D658" s="301"/>
      <c r="E658" s="69"/>
      <c r="K658" s="282"/>
      <c r="L658" s="282"/>
      <c r="M658" s="195"/>
      <c r="N658" s="5"/>
      <c r="O658" s="68"/>
      <c r="P658" s="68"/>
      <c r="Q658" s="68"/>
      <c r="R658" s="68"/>
      <c r="S658" s="68"/>
    </row>
    <row r="659" spans="1:19" ht="15.75" customHeight="1">
      <c r="A659" s="299"/>
      <c r="B659" s="300"/>
      <c r="C659" s="68"/>
      <c r="D659" s="301"/>
      <c r="E659" s="69"/>
      <c r="K659" s="282"/>
      <c r="L659" s="282"/>
      <c r="M659" s="195"/>
      <c r="N659" s="5"/>
      <c r="O659" s="68"/>
      <c r="P659" s="68"/>
      <c r="Q659" s="68"/>
      <c r="R659" s="68"/>
      <c r="S659" s="68"/>
    </row>
    <row r="660" spans="1:19" ht="15.75" customHeight="1">
      <c r="A660" s="299"/>
      <c r="B660" s="300"/>
      <c r="C660" s="68"/>
      <c r="D660" s="301"/>
      <c r="E660" s="69"/>
      <c r="K660" s="282"/>
      <c r="L660" s="282"/>
      <c r="M660" s="195"/>
      <c r="N660" s="5"/>
      <c r="O660" s="68"/>
      <c r="P660" s="68"/>
      <c r="Q660" s="68"/>
      <c r="R660" s="68"/>
      <c r="S660" s="68"/>
    </row>
    <row r="661" spans="1:19" ht="15.75" customHeight="1">
      <c r="A661" s="299"/>
      <c r="B661" s="300"/>
      <c r="C661" s="68"/>
      <c r="D661" s="301"/>
      <c r="E661" s="69"/>
      <c r="K661" s="282"/>
      <c r="L661" s="282"/>
      <c r="M661" s="195"/>
      <c r="N661" s="5"/>
      <c r="O661" s="68"/>
      <c r="P661" s="68"/>
      <c r="Q661" s="68"/>
      <c r="R661" s="68"/>
      <c r="S661" s="68"/>
    </row>
    <row r="662" spans="1:19" ht="15.75" customHeight="1">
      <c r="A662" s="299"/>
      <c r="B662" s="300"/>
      <c r="C662" s="68"/>
      <c r="D662" s="301"/>
      <c r="E662" s="69"/>
      <c r="K662" s="282"/>
      <c r="L662" s="282"/>
      <c r="M662" s="195"/>
      <c r="N662" s="5"/>
      <c r="O662" s="68"/>
      <c r="P662" s="68"/>
      <c r="Q662" s="68"/>
      <c r="R662" s="68"/>
      <c r="S662" s="68"/>
    </row>
    <row r="663" spans="1:19" ht="15.75" customHeight="1">
      <c r="A663" s="299"/>
      <c r="B663" s="300"/>
      <c r="C663" s="68"/>
      <c r="D663" s="301"/>
      <c r="E663" s="69"/>
      <c r="K663" s="282"/>
      <c r="L663" s="282"/>
      <c r="M663" s="195"/>
      <c r="N663" s="5"/>
      <c r="O663" s="68"/>
      <c r="P663" s="68"/>
      <c r="Q663" s="68"/>
      <c r="R663" s="68"/>
      <c r="S663" s="68"/>
    </row>
    <row r="664" spans="1:19" ht="15.75" customHeight="1">
      <c r="A664" s="299"/>
      <c r="B664" s="300"/>
      <c r="C664" s="68"/>
      <c r="D664" s="301"/>
      <c r="E664" s="69"/>
      <c r="K664" s="282"/>
      <c r="L664" s="282"/>
      <c r="M664" s="195"/>
      <c r="N664" s="5"/>
      <c r="O664" s="68"/>
      <c r="P664" s="68"/>
      <c r="Q664" s="68"/>
      <c r="R664" s="68"/>
      <c r="S664" s="68"/>
    </row>
    <row r="665" spans="1:19" ht="15.75" customHeight="1">
      <c r="A665" s="299"/>
      <c r="B665" s="300"/>
      <c r="C665" s="68"/>
      <c r="D665" s="301"/>
      <c r="E665" s="69"/>
      <c r="K665" s="282"/>
      <c r="L665" s="282"/>
      <c r="M665" s="195"/>
      <c r="N665" s="5"/>
      <c r="O665" s="68"/>
      <c r="P665" s="68"/>
      <c r="Q665" s="68"/>
      <c r="R665" s="68"/>
      <c r="S665" s="68"/>
    </row>
    <row r="666" spans="1:19" ht="15.75" customHeight="1">
      <c r="A666" s="299"/>
      <c r="B666" s="300"/>
      <c r="C666" s="68"/>
      <c r="D666" s="301"/>
      <c r="E666" s="69"/>
      <c r="K666" s="282"/>
      <c r="L666" s="282"/>
      <c r="M666" s="195"/>
      <c r="N666" s="5"/>
      <c r="O666" s="68"/>
      <c r="P666" s="68"/>
      <c r="Q666" s="68"/>
      <c r="R666" s="68"/>
      <c r="S666" s="68"/>
    </row>
    <row r="667" spans="1:19" ht="15.75" customHeight="1">
      <c r="A667" s="299"/>
      <c r="B667" s="300"/>
      <c r="C667" s="68"/>
      <c r="D667" s="301"/>
      <c r="E667" s="69"/>
      <c r="K667" s="282"/>
      <c r="L667" s="282"/>
      <c r="M667" s="195"/>
      <c r="N667" s="5"/>
      <c r="O667" s="68"/>
      <c r="P667" s="68"/>
      <c r="Q667" s="68"/>
      <c r="R667" s="68"/>
      <c r="S667" s="68"/>
    </row>
    <row r="668" spans="1:19" ht="15.75" customHeight="1">
      <c r="A668" s="299"/>
      <c r="B668" s="300"/>
      <c r="C668" s="68"/>
      <c r="D668" s="301"/>
      <c r="E668" s="69"/>
      <c r="K668" s="282"/>
      <c r="L668" s="282"/>
      <c r="M668" s="195"/>
      <c r="N668" s="5"/>
      <c r="O668" s="68"/>
      <c r="P668" s="68"/>
      <c r="Q668" s="68"/>
      <c r="R668" s="68"/>
      <c r="S668" s="68"/>
    </row>
    <row r="669" spans="1:19" ht="15.75" customHeight="1">
      <c r="A669" s="299"/>
      <c r="B669" s="300"/>
      <c r="C669" s="68"/>
      <c r="D669" s="301"/>
      <c r="E669" s="69"/>
      <c r="K669" s="282"/>
      <c r="L669" s="282"/>
      <c r="M669" s="195"/>
      <c r="N669" s="5"/>
      <c r="O669" s="68"/>
      <c r="P669" s="68"/>
      <c r="Q669" s="68"/>
      <c r="R669" s="68"/>
      <c r="S669" s="68"/>
    </row>
    <row r="670" spans="1:19" ht="15.75" customHeight="1">
      <c r="A670" s="299"/>
      <c r="B670" s="300"/>
      <c r="C670" s="68"/>
      <c r="D670" s="301"/>
      <c r="E670" s="69"/>
      <c r="K670" s="282"/>
      <c r="L670" s="282"/>
      <c r="M670" s="195"/>
      <c r="N670" s="5"/>
      <c r="O670" s="68"/>
      <c r="P670" s="68"/>
      <c r="Q670" s="68"/>
      <c r="R670" s="68"/>
      <c r="S670" s="68"/>
    </row>
    <row r="671" spans="1:19" ht="15.75" customHeight="1">
      <c r="A671" s="299"/>
      <c r="B671" s="300"/>
      <c r="C671" s="68"/>
      <c r="D671" s="301"/>
      <c r="E671" s="69"/>
      <c r="K671" s="282"/>
      <c r="L671" s="282"/>
      <c r="M671" s="195"/>
      <c r="N671" s="5"/>
      <c r="O671" s="68"/>
      <c r="P671" s="68"/>
      <c r="Q671" s="68"/>
      <c r="R671" s="68"/>
      <c r="S671" s="68"/>
    </row>
    <row r="672" spans="1:19" ht="15.75" customHeight="1">
      <c r="A672" s="299"/>
      <c r="B672" s="300"/>
      <c r="C672" s="68"/>
      <c r="D672" s="301"/>
      <c r="E672" s="69"/>
      <c r="K672" s="282"/>
      <c r="L672" s="282"/>
      <c r="M672" s="195"/>
      <c r="N672" s="5"/>
      <c r="O672" s="68"/>
      <c r="P672" s="68"/>
      <c r="Q672" s="68"/>
      <c r="R672" s="68"/>
      <c r="S672" s="68"/>
    </row>
    <row r="673" spans="1:19" ht="15.75" customHeight="1">
      <c r="A673" s="299"/>
      <c r="B673" s="300"/>
      <c r="C673" s="68"/>
      <c r="D673" s="301"/>
      <c r="E673" s="69"/>
      <c r="K673" s="282"/>
      <c r="L673" s="282"/>
      <c r="M673" s="195"/>
      <c r="N673" s="5"/>
      <c r="O673" s="68"/>
      <c r="P673" s="68"/>
      <c r="Q673" s="68"/>
      <c r="R673" s="68"/>
      <c r="S673" s="68"/>
    </row>
    <row r="674" spans="1:19" ht="15.75" customHeight="1">
      <c r="A674" s="299"/>
      <c r="B674" s="300"/>
      <c r="C674" s="68"/>
      <c r="D674" s="301"/>
      <c r="E674" s="69"/>
      <c r="K674" s="282"/>
      <c r="L674" s="282"/>
      <c r="M674" s="195"/>
      <c r="N674" s="5"/>
      <c r="O674" s="68"/>
      <c r="P674" s="68"/>
      <c r="Q674" s="68"/>
      <c r="R674" s="68"/>
      <c r="S674" s="68"/>
    </row>
    <row r="675" spans="1:19" ht="15.75" customHeight="1">
      <c r="A675" s="299"/>
      <c r="B675" s="300"/>
      <c r="C675" s="68"/>
      <c r="D675" s="301"/>
      <c r="E675" s="69"/>
      <c r="K675" s="282"/>
      <c r="L675" s="282"/>
      <c r="M675" s="195"/>
      <c r="N675" s="5"/>
      <c r="O675" s="68"/>
      <c r="P675" s="68"/>
      <c r="Q675" s="68"/>
      <c r="R675" s="68"/>
      <c r="S675" s="68"/>
    </row>
    <row r="676" spans="1:19" ht="15.75" customHeight="1">
      <c r="A676" s="299"/>
      <c r="B676" s="300"/>
      <c r="C676" s="68"/>
      <c r="D676" s="301"/>
      <c r="E676" s="69"/>
      <c r="K676" s="282"/>
      <c r="L676" s="282"/>
      <c r="M676" s="195"/>
      <c r="N676" s="5"/>
      <c r="O676" s="68"/>
      <c r="P676" s="68"/>
      <c r="Q676" s="68"/>
      <c r="R676" s="68"/>
      <c r="S676" s="68"/>
    </row>
    <row r="677" spans="1:19" ht="15.75" customHeight="1">
      <c r="A677" s="299"/>
      <c r="B677" s="300"/>
      <c r="C677" s="68"/>
      <c r="D677" s="301"/>
      <c r="E677" s="69"/>
      <c r="K677" s="282"/>
      <c r="L677" s="282"/>
      <c r="M677" s="195"/>
      <c r="N677" s="5"/>
      <c r="O677" s="68"/>
      <c r="P677" s="68"/>
      <c r="Q677" s="68"/>
      <c r="R677" s="68"/>
      <c r="S677" s="68"/>
    </row>
    <row r="678" spans="1:19" ht="15.75" customHeight="1">
      <c r="A678" s="299"/>
      <c r="B678" s="300"/>
      <c r="C678" s="68"/>
      <c r="D678" s="301"/>
      <c r="E678" s="69"/>
      <c r="K678" s="282"/>
      <c r="L678" s="282"/>
      <c r="M678" s="195"/>
      <c r="N678" s="5"/>
      <c r="O678" s="68"/>
      <c r="P678" s="68"/>
      <c r="Q678" s="68"/>
      <c r="R678" s="68"/>
      <c r="S678" s="68"/>
    </row>
    <row r="679" spans="1:19" ht="15.75" customHeight="1">
      <c r="A679" s="299"/>
      <c r="B679" s="300"/>
      <c r="C679" s="68"/>
      <c r="D679" s="301"/>
      <c r="E679" s="69"/>
      <c r="K679" s="282"/>
      <c r="L679" s="282"/>
      <c r="M679" s="195"/>
      <c r="N679" s="5"/>
      <c r="O679" s="68"/>
      <c r="P679" s="68"/>
      <c r="Q679" s="68"/>
      <c r="R679" s="68"/>
      <c r="S679" s="68"/>
    </row>
    <row r="680" spans="1:19" ht="15.75" customHeight="1">
      <c r="A680" s="299"/>
      <c r="B680" s="300"/>
      <c r="C680" s="68"/>
      <c r="D680" s="301"/>
      <c r="E680" s="69"/>
      <c r="K680" s="282"/>
      <c r="L680" s="282"/>
      <c r="M680" s="195"/>
      <c r="N680" s="5"/>
      <c r="O680" s="68"/>
      <c r="P680" s="68"/>
      <c r="Q680" s="68"/>
      <c r="R680" s="68"/>
      <c r="S680" s="68"/>
    </row>
    <row r="681" spans="1:19" ht="15.75" customHeight="1">
      <c r="A681" s="299"/>
      <c r="B681" s="300"/>
      <c r="C681" s="68"/>
      <c r="D681" s="301"/>
      <c r="E681" s="69"/>
      <c r="K681" s="282"/>
      <c r="L681" s="282"/>
      <c r="M681" s="195"/>
      <c r="N681" s="5"/>
      <c r="O681" s="68"/>
      <c r="P681" s="68"/>
      <c r="Q681" s="68"/>
      <c r="R681" s="68"/>
      <c r="S681" s="68"/>
    </row>
    <row r="682" spans="1:19" ht="15.75" customHeight="1">
      <c r="A682" s="299"/>
      <c r="B682" s="300"/>
      <c r="C682" s="68"/>
      <c r="D682" s="301"/>
      <c r="E682" s="69"/>
      <c r="K682" s="282"/>
      <c r="L682" s="282"/>
      <c r="M682" s="195"/>
      <c r="N682" s="5"/>
      <c r="O682" s="68"/>
      <c r="P682" s="68"/>
      <c r="Q682" s="68"/>
      <c r="R682" s="68"/>
      <c r="S682" s="68"/>
    </row>
    <row r="683" spans="1:19" ht="15.75" customHeight="1">
      <c r="A683" s="299"/>
      <c r="B683" s="300"/>
      <c r="C683" s="68"/>
      <c r="D683" s="301"/>
      <c r="E683" s="69"/>
      <c r="K683" s="282"/>
      <c r="L683" s="282"/>
      <c r="M683" s="195"/>
      <c r="N683" s="5"/>
      <c r="O683" s="68"/>
      <c r="P683" s="68"/>
      <c r="Q683" s="68"/>
      <c r="R683" s="68"/>
      <c r="S683" s="68"/>
    </row>
    <row r="684" spans="1:19" ht="15.75" customHeight="1">
      <c r="A684" s="299"/>
      <c r="B684" s="300"/>
      <c r="C684" s="68"/>
      <c r="D684" s="301"/>
      <c r="E684" s="69"/>
      <c r="K684" s="282"/>
      <c r="L684" s="282"/>
      <c r="M684" s="195"/>
      <c r="N684" s="5"/>
      <c r="O684" s="68"/>
      <c r="P684" s="68"/>
      <c r="Q684" s="68"/>
      <c r="R684" s="68"/>
      <c r="S684" s="68"/>
    </row>
    <row r="685" spans="1:19" ht="15.75" customHeight="1">
      <c r="A685" s="299"/>
      <c r="B685" s="300"/>
      <c r="C685" s="68"/>
      <c r="D685" s="301"/>
      <c r="E685" s="69"/>
      <c r="K685" s="282"/>
      <c r="L685" s="282"/>
      <c r="M685" s="195"/>
      <c r="N685" s="5"/>
      <c r="O685" s="68"/>
      <c r="P685" s="68"/>
      <c r="Q685" s="68"/>
      <c r="R685" s="68"/>
      <c r="S685" s="68"/>
    </row>
    <row r="686" spans="1:19" ht="15.75" customHeight="1">
      <c r="A686" s="299"/>
      <c r="B686" s="300"/>
      <c r="C686" s="68"/>
      <c r="D686" s="301"/>
      <c r="E686" s="69"/>
      <c r="K686" s="282"/>
      <c r="L686" s="282"/>
      <c r="M686" s="195"/>
      <c r="N686" s="5"/>
      <c r="O686" s="68"/>
      <c r="P686" s="68"/>
      <c r="Q686" s="68"/>
      <c r="R686" s="68"/>
      <c r="S686" s="68"/>
    </row>
    <row r="687" spans="1:19" ht="15.75" customHeight="1">
      <c r="A687" s="299"/>
      <c r="B687" s="300"/>
      <c r="C687" s="68"/>
      <c r="D687" s="301"/>
      <c r="E687" s="69"/>
      <c r="K687" s="282"/>
      <c r="L687" s="282"/>
      <c r="M687" s="195"/>
      <c r="N687" s="5"/>
      <c r="O687" s="68"/>
      <c r="P687" s="68"/>
      <c r="Q687" s="68"/>
      <c r="R687" s="68"/>
      <c r="S687" s="68"/>
    </row>
    <row r="688" spans="1:19" ht="15.75" customHeight="1">
      <c r="A688" s="299"/>
      <c r="B688" s="300"/>
      <c r="C688" s="68"/>
      <c r="D688" s="301"/>
      <c r="E688" s="69"/>
      <c r="K688" s="282"/>
      <c r="L688" s="282"/>
      <c r="M688" s="195"/>
      <c r="N688" s="5"/>
      <c r="O688" s="68"/>
      <c r="P688" s="68"/>
      <c r="Q688" s="68"/>
      <c r="R688" s="68"/>
      <c r="S688" s="68"/>
    </row>
    <row r="689" spans="1:19" ht="15.75" customHeight="1">
      <c r="A689" s="299"/>
      <c r="B689" s="300"/>
      <c r="C689" s="68"/>
      <c r="D689" s="301"/>
      <c r="E689" s="69"/>
      <c r="K689" s="282"/>
      <c r="L689" s="282"/>
      <c r="M689" s="195"/>
      <c r="N689" s="5"/>
      <c r="O689" s="68"/>
      <c r="P689" s="68"/>
      <c r="Q689" s="68"/>
      <c r="R689" s="68"/>
      <c r="S689" s="68"/>
    </row>
    <row r="690" spans="1:19" ht="15.75" customHeight="1">
      <c r="A690" s="299"/>
      <c r="B690" s="300"/>
      <c r="C690" s="68"/>
      <c r="D690" s="301"/>
      <c r="E690" s="69"/>
      <c r="K690" s="282"/>
      <c r="L690" s="282"/>
      <c r="M690" s="195"/>
      <c r="N690" s="5"/>
      <c r="O690" s="68"/>
      <c r="P690" s="68"/>
      <c r="Q690" s="68"/>
      <c r="R690" s="68"/>
      <c r="S690" s="68"/>
    </row>
    <row r="691" spans="1:19" ht="15.75" customHeight="1">
      <c r="A691" s="299"/>
      <c r="B691" s="300"/>
      <c r="C691" s="68"/>
      <c r="D691" s="301"/>
      <c r="E691" s="69"/>
      <c r="K691" s="282"/>
      <c r="L691" s="282"/>
      <c r="M691" s="195"/>
      <c r="N691" s="5"/>
      <c r="O691" s="68"/>
      <c r="P691" s="68"/>
      <c r="Q691" s="68"/>
      <c r="R691" s="68"/>
      <c r="S691" s="68"/>
    </row>
    <row r="692" spans="1:19" ht="15.75" customHeight="1">
      <c r="A692" s="299"/>
      <c r="B692" s="300"/>
      <c r="C692" s="68"/>
      <c r="D692" s="301"/>
      <c r="E692" s="69"/>
      <c r="K692" s="282"/>
      <c r="L692" s="282"/>
      <c r="M692" s="195"/>
      <c r="N692" s="5"/>
      <c r="O692" s="68"/>
      <c r="P692" s="68"/>
      <c r="Q692" s="68"/>
      <c r="R692" s="68"/>
      <c r="S692" s="68"/>
    </row>
    <row r="693" spans="1:19" ht="15.75" customHeight="1">
      <c r="A693" s="299"/>
      <c r="B693" s="300"/>
      <c r="C693" s="68"/>
      <c r="D693" s="301"/>
      <c r="E693" s="69"/>
      <c r="K693" s="282"/>
      <c r="L693" s="282"/>
      <c r="M693" s="195"/>
      <c r="N693" s="5"/>
      <c r="O693" s="68"/>
      <c r="P693" s="68"/>
      <c r="Q693" s="68"/>
      <c r="R693" s="68"/>
      <c r="S693" s="68"/>
    </row>
    <row r="694" spans="1:19" ht="15.75" customHeight="1">
      <c r="A694" s="299"/>
      <c r="B694" s="300"/>
      <c r="C694" s="68"/>
      <c r="D694" s="301"/>
      <c r="E694" s="69"/>
      <c r="K694" s="282"/>
      <c r="L694" s="282"/>
      <c r="M694" s="195"/>
      <c r="N694" s="5"/>
      <c r="O694" s="68"/>
      <c r="P694" s="68"/>
      <c r="Q694" s="68"/>
      <c r="R694" s="68"/>
      <c r="S694" s="68"/>
    </row>
    <row r="695" spans="1:19" ht="15.75" customHeight="1">
      <c r="A695" s="299"/>
      <c r="B695" s="300"/>
      <c r="C695" s="68"/>
      <c r="D695" s="301"/>
      <c r="E695" s="69"/>
      <c r="K695" s="282"/>
      <c r="L695" s="282"/>
      <c r="M695" s="195"/>
      <c r="N695" s="5"/>
      <c r="O695" s="68"/>
      <c r="P695" s="68"/>
      <c r="Q695" s="68"/>
      <c r="R695" s="68"/>
      <c r="S695" s="68"/>
    </row>
    <row r="696" spans="1:19" ht="15.75" customHeight="1">
      <c r="A696" s="299"/>
      <c r="B696" s="300"/>
      <c r="C696" s="68"/>
      <c r="D696" s="301"/>
      <c r="E696" s="69"/>
      <c r="K696" s="282"/>
      <c r="L696" s="282"/>
      <c r="M696" s="195"/>
      <c r="N696" s="5"/>
      <c r="O696" s="68"/>
      <c r="P696" s="68"/>
      <c r="Q696" s="68"/>
      <c r="R696" s="68"/>
      <c r="S696" s="68"/>
    </row>
    <row r="697" spans="1:19" ht="15.75" customHeight="1">
      <c r="A697" s="299"/>
      <c r="B697" s="300"/>
      <c r="C697" s="68"/>
      <c r="D697" s="301"/>
      <c r="E697" s="69"/>
      <c r="K697" s="282"/>
      <c r="L697" s="282"/>
      <c r="M697" s="195"/>
      <c r="N697" s="5"/>
      <c r="O697" s="68"/>
      <c r="P697" s="68"/>
      <c r="Q697" s="68"/>
      <c r="R697" s="68"/>
      <c r="S697" s="68"/>
    </row>
    <row r="698" spans="1:19" ht="15.75" customHeight="1">
      <c r="A698" s="299"/>
      <c r="B698" s="300"/>
      <c r="C698" s="68"/>
      <c r="D698" s="301"/>
      <c r="E698" s="69"/>
      <c r="K698" s="282"/>
      <c r="L698" s="282"/>
      <c r="M698" s="195"/>
      <c r="N698" s="5"/>
      <c r="O698" s="68"/>
      <c r="P698" s="68"/>
      <c r="Q698" s="68"/>
      <c r="R698" s="68"/>
      <c r="S698" s="68"/>
    </row>
    <row r="699" spans="1:19" ht="15.75" customHeight="1">
      <c r="A699" s="299"/>
      <c r="B699" s="300"/>
      <c r="C699" s="68"/>
      <c r="D699" s="301"/>
      <c r="E699" s="69"/>
      <c r="K699" s="282"/>
      <c r="L699" s="282"/>
      <c r="M699" s="195"/>
      <c r="N699" s="5"/>
      <c r="O699" s="68"/>
      <c r="P699" s="68"/>
      <c r="Q699" s="68"/>
      <c r="R699" s="68"/>
      <c r="S699" s="68"/>
    </row>
    <row r="700" spans="1:19" ht="15.75" customHeight="1">
      <c r="A700" s="299"/>
      <c r="B700" s="300"/>
      <c r="C700" s="68"/>
      <c r="D700" s="301"/>
      <c r="E700" s="69"/>
      <c r="K700" s="282"/>
      <c r="L700" s="282"/>
      <c r="M700" s="195"/>
      <c r="N700" s="5"/>
      <c r="O700" s="68"/>
      <c r="P700" s="68"/>
      <c r="Q700" s="68"/>
      <c r="R700" s="68"/>
      <c r="S700" s="68"/>
    </row>
    <row r="701" spans="1:19" ht="15.75" customHeight="1">
      <c r="A701" s="299"/>
      <c r="B701" s="300"/>
      <c r="C701" s="68"/>
      <c r="D701" s="301"/>
      <c r="E701" s="69"/>
      <c r="K701" s="282"/>
      <c r="L701" s="282"/>
      <c r="M701" s="195"/>
      <c r="N701" s="5"/>
      <c r="O701" s="68"/>
      <c r="P701" s="68"/>
      <c r="Q701" s="68"/>
      <c r="R701" s="68"/>
      <c r="S701" s="68"/>
    </row>
    <row r="702" spans="1:19" ht="15.75" customHeight="1">
      <c r="A702" s="299"/>
      <c r="B702" s="300"/>
      <c r="C702" s="68"/>
      <c r="D702" s="301"/>
      <c r="E702" s="69"/>
      <c r="K702" s="282"/>
      <c r="L702" s="282"/>
      <c r="M702" s="195"/>
      <c r="N702" s="5"/>
      <c r="O702" s="68"/>
      <c r="P702" s="68"/>
      <c r="Q702" s="68"/>
      <c r="R702" s="68"/>
      <c r="S702" s="68"/>
    </row>
    <row r="703" spans="1:19" ht="15.75" customHeight="1">
      <c r="A703" s="299"/>
      <c r="B703" s="300"/>
      <c r="C703" s="68"/>
      <c r="D703" s="301"/>
      <c r="E703" s="69"/>
      <c r="K703" s="282"/>
      <c r="L703" s="282"/>
      <c r="M703" s="195"/>
      <c r="N703" s="5"/>
      <c r="O703" s="68"/>
      <c r="P703" s="68"/>
      <c r="Q703" s="68"/>
      <c r="R703" s="68"/>
      <c r="S703" s="68"/>
    </row>
    <row r="704" spans="1:19" ht="15.75" customHeight="1">
      <c r="A704" s="299"/>
      <c r="B704" s="300"/>
      <c r="C704" s="68"/>
      <c r="D704" s="301"/>
      <c r="E704" s="69"/>
      <c r="K704" s="282"/>
      <c r="L704" s="282"/>
      <c r="M704" s="195"/>
      <c r="N704" s="5"/>
      <c r="O704" s="68"/>
      <c r="P704" s="68"/>
      <c r="Q704" s="68"/>
      <c r="R704" s="68"/>
      <c r="S704" s="68"/>
    </row>
    <row r="705" spans="1:19" ht="15.75" customHeight="1">
      <c r="A705" s="299"/>
      <c r="B705" s="300"/>
      <c r="C705" s="68"/>
      <c r="D705" s="301"/>
      <c r="E705" s="69"/>
      <c r="K705" s="282"/>
      <c r="L705" s="282"/>
      <c r="M705" s="195"/>
      <c r="N705" s="5"/>
      <c r="O705" s="68"/>
      <c r="P705" s="68"/>
      <c r="Q705" s="68"/>
      <c r="R705" s="68"/>
      <c r="S705" s="68"/>
    </row>
    <row r="706" spans="1:19" ht="15.75" customHeight="1">
      <c r="A706" s="299"/>
      <c r="B706" s="300"/>
      <c r="C706" s="68"/>
      <c r="D706" s="301"/>
      <c r="E706" s="69"/>
      <c r="K706" s="282"/>
      <c r="L706" s="282"/>
      <c r="M706" s="195"/>
      <c r="N706" s="5"/>
      <c r="O706" s="68"/>
      <c r="P706" s="68"/>
      <c r="Q706" s="68"/>
      <c r="R706" s="68"/>
      <c r="S706" s="68"/>
    </row>
    <row r="707" spans="1:19" ht="15.75" customHeight="1">
      <c r="A707" s="299"/>
      <c r="B707" s="300"/>
      <c r="C707" s="68"/>
      <c r="D707" s="301"/>
      <c r="E707" s="69"/>
      <c r="K707" s="282"/>
      <c r="L707" s="282"/>
      <c r="M707" s="195"/>
      <c r="N707" s="5"/>
      <c r="O707" s="68"/>
      <c r="P707" s="68"/>
      <c r="Q707" s="68"/>
      <c r="R707" s="68"/>
      <c r="S707" s="68"/>
    </row>
    <row r="708" spans="1:19" ht="15.75" customHeight="1">
      <c r="A708" s="299"/>
      <c r="B708" s="300"/>
      <c r="C708" s="68"/>
      <c r="D708" s="301"/>
      <c r="E708" s="69"/>
      <c r="K708" s="282"/>
      <c r="L708" s="282"/>
      <c r="M708" s="195"/>
      <c r="N708" s="5"/>
      <c r="O708" s="68"/>
      <c r="P708" s="68"/>
      <c r="Q708" s="68"/>
      <c r="R708" s="68"/>
      <c r="S708" s="68"/>
    </row>
    <row r="709" spans="1:19" ht="15.75" customHeight="1">
      <c r="A709" s="299"/>
      <c r="B709" s="300"/>
      <c r="C709" s="68"/>
      <c r="D709" s="301"/>
      <c r="E709" s="69"/>
      <c r="K709" s="282"/>
      <c r="L709" s="282"/>
      <c r="M709" s="195"/>
      <c r="N709" s="5"/>
      <c r="O709" s="68"/>
      <c r="P709" s="68"/>
      <c r="Q709" s="68"/>
      <c r="R709" s="68"/>
      <c r="S709" s="68"/>
    </row>
    <row r="710" spans="1:19" ht="15.75" customHeight="1">
      <c r="A710" s="299"/>
      <c r="B710" s="300"/>
      <c r="C710" s="68"/>
      <c r="D710" s="301"/>
      <c r="E710" s="69"/>
      <c r="K710" s="282"/>
      <c r="L710" s="282"/>
      <c r="M710" s="195"/>
      <c r="N710" s="5"/>
      <c r="O710" s="68"/>
      <c r="P710" s="68"/>
      <c r="Q710" s="68"/>
      <c r="R710" s="68"/>
      <c r="S710" s="68"/>
    </row>
    <row r="711" spans="1:19" ht="15.75" customHeight="1">
      <c r="A711" s="299"/>
      <c r="B711" s="300"/>
      <c r="C711" s="68"/>
      <c r="D711" s="301"/>
      <c r="E711" s="69"/>
      <c r="K711" s="282"/>
      <c r="L711" s="282"/>
      <c r="M711" s="195"/>
      <c r="N711" s="5"/>
      <c r="O711" s="68"/>
      <c r="P711" s="68"/>
      <c r="Q711" s="68"/>
      <c r="R711" s="68"/>
      <c r="S711" s="68"/>
    </row>
    <row r="712" spans="1:19" ht="15.75" customHeight="1">
      <c r="A712" s="299"/>
      <c r="B712" s="300"/>
      <c r="C712" s="68"/>
      <c r="D712" s="301"/>
      <c r="E712" s="69"/>
      <c r="K712" s="282"/>
      <c r="L712" s="282"/>
      <c r="M712" s="195"/>
      <c r="N712" s="5"/>
      <c r="O712" s="68"/>
      <c r="P712" s="68"/>
      <c r="Q712" s="68"/>
      <c r="R712" s="68"/>
      <c r="S712" s="68"/>
    </row>
    <row r="713" spans="1:19" ht="15.75" customHeight="1">
      <c r="A713" s="299"/>
      <c r="B713" s="300"/>
      <c r="C713" s="68"/>
      <c r="D713" s="301"/>
      <c r="E713" s="69"/>
      <c r="K713" s="282"/>
      <c r="L713" s="282"/>
      <c r="M713" s="195"/>
      <c r="N713" s="5"/>
      <c r="O713" s="68"/>
      <c r="P713" s="68"/>
      <c r="Q713" s="68"/>
      <c r="R713" s="68"/>
      <c r="S713" s="68"/>
    </row>
    <row r="714" spans="1:19" ht="15.75" customHeight="1">
      <c r="A714" s="299"/>
      <c r="B714" s="300"/>
      <c r="C714" s="68"/>
      <c r="D714" s="301"/>
      <c r="E714" s="69"/>
      <c r="K714" s="282"/>
      <c r="L714" s="282"/>
      <c r="M714" s="195"/>
      <c r="N714" s="5"/>
      <c r="O714" s="68"/>
      <c r="P714" s="68"/>
      <c r="Q714" s="68"/>
      <c r="R714" s="68"/>
      <c r="S714" s="68"/>
    </row>
    <row r="715" spans="1:19" ht="15.75" customHeight="1">
      <c r="A715" s="299"/>
      <c r="B715" s="300"/>
      <c r="C715" s="68"/>
      <c r="D715" s="301"/>
      <c r="E715" s="69"/>
      <c r="K715" s="282"/>
      <c r="L715" s="282"/>
      <c r="M715" s="195"/>
      <c r="N715" s="5"/>
      <c r="O715" s="68"/>
      <c r="P715" s="68"/>
      <c r="Q715" s="68"/>
      <c r="R715" s="68"/>
      <c r="S715" s="68"/>
    </row>
    <row r="716" spans="1:19" ht="15.75" customHeight="1">
      <c r="A716" s="299"/>
      <c r="B716" s="300"/>
      <c r="C716" s="68"/>
      <c r="D716" s="301"/>
      <c r="E716" s="69"/>
      <c r="K716" s="282"/>
      <c r="L716" s="282"/>
      <c r="M716" s="195"/>
      <c r="N716" s="5"/>
      <c r="O716" s="68"/>
      <c r="P716" s="68"/>
      <c r="Q716" s="68"/>
      <c r="R716" s="68"/>
      <c r="S716" s="68"/>
    </row>
    <row r="717" spans="1:19" ht="15.75" customHeight="1">
      <c r="A717" s="299"/>
      <c r="B717" s="300"/>
      <c r="C717" s="68"/>
      <c r="D717" s="301"/>
      <c r="E717" s="69"/>
      <c r="K717" s="282"/>
      <c r="L717" s="282"/>
      <c r="M717" s="195"/>
      <c r="N717" s="5"/>
      <c r="O717" s="68"/>
      <c r="P717" s="68"/>
      <c r="Q717" s="68"/>
      <c r="R717" s="68"/>
      <c r="S717" s="68"/>
    </row>
    <row r="718" spans="1:19" ht="15.75" customHeight="1">
      <c r="A718" s="299"/>
      <c r="B718" s="300"/>
      <c r="C718" s="68"/>
      <c r="D718" s="301"/>
      <c r="E718" s="69"/>
      <c r="K718" s="282"/>
      <c r="L718" s="282"/>
      <c r="M718" s="195"/>
      <c r="N718" s="5"/>
      <c r="O718" s="68"/>
      <c r="P718" s="68"/>
      <c r="Q718" s="68"/>
      <c r="R718" s="68"/>
      <c r="S718" s="68"/>
    </row>
    <row r="719" spans="1:19" ht="15.75" customHeight="1">
      <c r="A719" s="299"/>
      <c r="B719" s="300"/>
      <c r="C719" s="68"/>
      <c r="D719" s="301"/>
      <c r="E719" s="69"/>
      <c r="K719" s="282"/>
      <c r="L719" s="282"/>
      <c r="M719" s="195"/>
      <c r="N719" s="5"/>
      <c r="O719" s="68"/>
      <c r="P719" s="68"/>
      <c r="Q719" s="68"/>
      <c r="R719" s="68"/>
      <c r="S719" s="68"/>
    </row>
    <row r="720" spans="1:19" ht="15.75" customHeight="1">
      <c r="A720" s="299"/>
      <c r="B720" s="300"/>
      <c r="C720" s="68"/>
      <c r="D720" s="301"/>
      <c r="E720" s="69"/>
      <c r="K720" s="282"/>
      <c r="L720" s="282"/>
      <c r="M720" s="195"/>
      <c r="N720" s="5"/>
      <c r="O720" s="68"/>
      <c r="P720" s="68"/>
      <c r="Q720" s="68"/>
      <c r="R720" s="68"/>
      <c r="S720" s="68"/>
    </row>
    <row r="721" spans="1:19" ht="15.75" customHeight="1">
      <c r="A721" s="299"/>
      <c r="B721" s="300"/>
      <c r="C721" s="68"/>
      <c r="D721" s="301"/>
      <c r="E721" s="69"/>
      <c r="K721" s="282"/>
      <c r="L721" s="282"/>
      <c r="M721" s="195"/>
      <c r="N721" s="5"/>
      <c r="O721" s="68"/>
      <c r="P721" s="68"/>
      <c r="Q721" s="68"/>
      <c r="R721" s="68"/>
      <c r="S721" s="68"/>
    </row>
    <row r="722" spans="1:19" ht="15.75" customHeight="1">
      <c r="A722" s="299"/>
      <c r="B722" s="300"/>
      <c r="C722" s="68"/>
      <c r="D722" s="301"/>
      <c r="E722" s="69"/>
      <c r="K722" s="282"/>
      <c r="L722" s="282"/>
      <c r="M722" s="195"/>
      <c r="N722" s="5"/>
      <c r="O722" s="68"/>
      <c r="P722" s="68"/>
      <c r="Q722" s="68"/>
      <c r="R722" s="68"/>
      <c r="S722" s="68"/>
    </row>
    <row r="723" spans="1:19" ht="15.75" customHeight="1">
      <c r="A723" s="299"/>
      <c r="B723" s="300"/>
      <c r="C723" s="68"/>
      <c r="D723" s="301"/>
      <c r="E723" s="69"/>
      <c r="K723" s="282"/>
      <c r="L723" s="282"/>
      <c r="M723" s="195"/>
      <c r="N723" s="5"/>
      <c r="O723" s="68"/>
      <c r="P723" s="68"/>
      <c r="Q723" s="68"/>
      <c r="R723" s="68"/>
      <c r="S723" s="68"/>
    </row>
    <row r="724" spans="1:19" ht="15.75" customHeight="1">
      <c r="A724" s="299"/>
      <c r="B724" s="300"/>
      <c r="C724" s="68"/>
      <c r="D724" s="301"/>
      <c r="E724" s="69"/>
      <c r="K724" s="282"/>
      <c r="L724" s="282"/>
      <c r="M724" s="195"/>
      <c r="N724" s="5"/>
      <c r="O724" s="68"/>
      <c r="P724" s="68"/>
      <c r="Q724" s="68"/>
      <c r="R724" s="68"/>
      <c r="S724" s="68"/>
    </row>
    <row r="725" spans="1:19" ht="15.75" customHeight="1">
      <c r="A725" s="299"/>
      <c r="B725" s="300"/>
      <c r="C725" s="68"/>
      <c r="D725" s="301"/>
      <c r="E725" s="69"/>
      <c r="K725" s="282"/>
      <c r="L725" s="282"/>
      <c r="M725" s="195"/>
      <c r="N725" s="5"/>
      <c r="O725" s="68"/>
      <c r="P725" s="68"/>
      <c r="Q725" s="68"/>
      <c r="R725" s="68"/>
      <c r="S725" s="68"/>
    </row>
    <row r="726" spans="1:19" ht="15.75" customHeight="1">
      <c r="A726" s="299"/>
      <c r="B726" s="300"/>
      <c r="C726" s="68"/>
      <c r="D726" s="301"/>
      <c r="E726" s="69"/>
      <c r="K726" s="282"/>
      <c r="L726" s="282"/>
      <c r="M726" s="195"/>
      <c r="N726" s="5"/>
      <c r="O726" s="68"/>
      <c r="P726" s="68"/>
      <c r="Q726" s="68"/>
      <c r="R726" s="68"/>
      <c r="S726" s="68"/>
    </row>
    <row r="727" spans="1:19" ht="15.75" customHeight="1">
      <c r="A727" s="299"/>
      <c r="B727" s="300"/>
      <c r="C727" s="68"/>
      <c r="D727" s="301"/>
      <c r="E727" s="69"/>
      <c r="K727" s="282"/>
      <c r="L727" s="282"/>
      <c r="M727" s="195"/>
      <c r="N727" s="5"/>
      <c r="O727" s="68"/>
      <c r="P727" s="68"/>
      <c r="Q727" s="68"/>
      <c r="R727" s="68"/>
      <c r="S727" s="68"/>
    </row>
    <row r="728" spans="1:19" ht="15.75" customHeight="1">
      <c r="A728" s="299"/>
      <c r="B728" s="300"/>
      <c r="C728" s="68"/>
      <c r="D728" s="301"/>
      <c r="E728" s="69"/>
      <c r="K728" s="282"/>
      <c r="L728" s="282"/>
      <c r="M728" s="195"/>
      <c r="N728" s="5"/>
      <c r="O728" s="68"/>
      <c r="P728" s="68"/>
      <c r="Q728" s="68"/>
      <c r="R728" s="68"/>
      <c r="S728" s="68"/>
    </row>
    <row r="729" spans="1:19" ht="15.75" customHeight="1">
      <c r="A729" s="299"/>
      <c r="B729" s="300"/>
      <c r="C729" s="68"/>
      <c r="D729" s="301"/>
      <c r="E729" s="69"/>
      <c r="K729" s="282"/>
      <c r="L729" s="282"/>
      <c r="M729" s="195"/>
      <c r="N729" s="5"/>
      <c r="O729" s="68"/>
      <c r="P729" s="68"/>
      <c r="Q729" s="68"/>
      <c r="R729" s="68"/>
      <c r="S729" s="68"/>
    </row>
    <row r="730" spans="1:19" ht="15.75" customHeight="1">
      <c r="A730" s="299"/>
      <c r="B730" s="300"/>
      <c r="C730" s="68"/>
      <c r="D730" s="301"/>
      <c r="E730" s="69"/>
      <c r="K730" s="282"/>
      <c r="L730" s="282"/>
      <c r="M730" s="195"/>
      <c r="N730" s="5"/>
      <c r="O730" s="68"/>
      <c r="P730" s="68"/>
      <c r="Q730" s="68"/>
      <c r="R730" s="68"/>
      <c r="S730" s="68"/>
    </row>
    <row r="731" spans="1:19" ht="15.75" customHeight="1">
      <c r="A731" s="299"/>
      <c r="B731" s="300"/>
      <c r="C731" s="68"/>
      <c r="D731" s="301"/>
      <c r="E731" s="69"/>
      <c r="K731" s="282"/>
      <c r="L731" s="282"/>
      <c r="M731" s="195"/>
      <c r="N731" s="5"/>
      <c r="O731" s="68"/>
      <c r="P731" s="68"/>
      <c r="Q731" s="68"/>
      <c r="R731" s="68"/>
      <c r="S731" s="68"/>
    </row>
    <row r="732" spans="1:19" ht="15.75" customHeight="1">
      <c r="A732" s="299"/>
      <c r="B732" s="300"/>
      <c r="C732" s="68"/>
      <c r="D732" s="301"/>
      <c r="E732" s="69"/>
      <c r="K732" s="282"/>
      <c r="L732" s="282"/>
      <c r="M732" s="195"/>
      <c r="N732" s="5"/>
      <c r="O732" s="68"/>
      <c r="P732" s="68"/>
      <c r="Q732" s="68"/>
      <c r="R732" s="68"/>
      <c r="S732" s="68"/>
    </row>
    <row r="733" spans="1:19" ht="15.75" customHeight="1">
      <c r="A733" s="299"/>
      <c r="B733" s="300"/>
      <c r="C733" s="68"/>
      <c r="D733" s="301"/>
      <c r="E733" s="69"/>
      <c r="K733" s="282"/>
      <c r="L733" s="282"/>
      <c r="M733" s="195"/>
      <c r="N733" s="5"/>
      <c r="O733" s="68"/>
      <c r="P733" s="68"/>
      <c r="Q733" s="68"/>
      <c r="R733" s="68"/>
      <c r="S733" s="68"/>
    </row>
    <row r="734" spans="1:19" ht="15.75" customHeight="1">
      <c r="A734" s="299"/>
      <c r="B734" s="300"/>
      <c r="C734" s="68"/>
      <c r="D734" s="301"/>
      <c r="E734" s="69"/>
      <c r="K734" s="282"/>
      <c r="L734" s="282"/>
      <c r="M734" s="195"/>
      <c r="N734" s="5"/>
      <c r="O734" s="68"/>
      <c r="P734" s="68"/>
      <c r="Q734" s="68"/>
      <c r="R734" s="68"/>
      <c r="S734" s="68"/>
    </row>
    <row r="735" spans="1:19" ht="15.75" customHeight="1">
      <c r="A735" s="299"/>
      <c r="B735" s="300"/>
      <c r="C735" s="68"/>
      <c r="D735" s="301"/>
      <c r="E735" s="69"/>
      <c r="K735" s="282"/>
      <c r="L735" s="282"/>
      <c r="M735" s="195"/>
      <c r="N735" s="5"/>
      <c r="O735" s="68"/>
      <c r="P735" s="68"/>
      <c r="Q735" s="68"/>
      <c r="R735" s="68"/>
      <c r="S735" s="68"/>
    </row>
    <row r="736" spans="1:19" ht="15.75" customHeight="1">
      <c r="A736" s="299"/>
      <c r="B736" s="300"/>
      <c r="C736" s="68"/>
      <c r="D736" s="301"/>
      <c r="E736" s="69"/>
      <c r="K736" s="282"/>
      <c r="L736" s="282"/>
      <c r="M736" s="195"/>
      <c r="N736" s="5"/>
      <c r="O736" s="68"/>
      <c r="P736" s="68"/>
      <c r="Q736" s="68"/>
      <c r="R736" s="68"/>
      <c r="S736" s="68"/>
    </row>
    <row r="737" spans="1:19" ht="15.75" customHeight="1">
      <c r="A737" s="299"/>
      <c r="B737" s="300"/>
      <c r="C737" s="68"/>
      <c r="D737" s="301"/>
      <c r="E737" s="69"/>
      <c r="K737" s="282"/>
      <c r="L737" s="282"/>
      <c r="M737" s="195"/>
      <c r="N737" s="5"/>
      <c r="O737" s="68"/>
      <c r="P737" s="68"/>
      <c r="Q737" s="68"/>
      <c r="R737" s="68"/>
      <c r="S737" s="68"/>
    </row>
    <row r="738" spans="1:19" ht="15.75" customHeight="1">
      <c r="A738" s="299"/>
      <c r="B738" s="300"/>
      <c r="C738" s="68"/>
      <c r="D738" s="301"/>
      <c r="E738" s="69"/>
      <c r="K738" s="282"/>
      <c r="L738" s="282"/>
      <c r="M738" s="195"/>
      <c r="N738" s="5"/>
      <c r="O738" s="68"/>
      <c r="P738" s="68"/>
      <c r="Q738" s="68"/>
      <c r="R738" s="68"/>
      <c r="S738" s="68"/>
    </row>
    <row r="739" spans="1:19" ht="15.75" customHeight="1">
      <c r="A739" s="299"/>
      <c r="B739" s="300"/>
      <c r="C739" s="68"/>
      <c r="D739" s="301"/>
      <c r="E739" s="69"/>
      <c r="K739" s="282"/>
      <c r="L739" s="282"/>
      <c r="M739" s="195"/>
      <c r="N739" s="5"/>
      <c r="O739" s="68"/>
      <c r="P739" s="68"/>
      <c r="Q739" s="68"/>
      <c r="R739" s="68"/>
      <c r="S739" s="68"/>
    </row>
    <row r="740" spans="1:19" ht="15.75" customHeight="1">
      <c r="A740" s="299"/>
      <c r="B740" s="300"/>
      <c r="C740" s="68"/>
      <c r="D740" s="301"/>
      <c r="E740" s="69"/>
      <c r="K740" s="282"/>
      <c r="L740" s="282"/>
      <c r="M740" s="195"/>
      <c r="N740" s="5"/>
      <c r="O740" s="68"/>
      <c r="P740" s="68"/>
      <c r="Q740" s="68"/>
      <c r="R740" s="68"/>
      <c r="S740" s="68"/>
    </row>
    <row r="741" spans="1:19" ht="15.75" customHeight="1">
      <c r="A741" s="299"/>
      <c r="B741" s="300"/>
      <c r="C741" s="68"/>
      <c r="D741" s="301"/>
      <c r="E741" s="69"/>
      <c r="K741" s="282"/>
      <c r="L741" s="282"/>
      <c r="M741" s="195"/>
      <c r="N741" s="5"/>
      <c r="O741" s="68"/>
      <c r="P741" s="68"/>
      <c r="Q741" s="68"/>
      <c r="R741" s="68"/>
      <c r="S741" s="68"/>
    </row>
    <row r="742" spans="1:19" ht="15.75" customHeight="1">
      <c r="A742" s="299"/>
      <c r="B742" s="300"/>
      <c r="C742" s="68"/>
      <c r="D742" s="301"/>
      <c r="E742" s="69"/>
      <c r="K742" s="282"/>
      <c r="L742" s="282"/>
      <c r="M742" s="195"/>
      <c r="N742" s="5"/>
      <c r="O742" s="68"/>
      <c r="P742" s="68"/>
      <c r="Q742" s="68"/>
      <c r="R742" s="68"/>
      <c r="S742" s="68"/>
    </row>
    <row r="743" spans="1:19" ht="15.75" customHeight="1">
      <c r="A743" s="299"/>
      <c r="B743" s="300"/>
      <c r="C743" s="68"/>
      <c r="D743" s="301"/>
      <c r="E743" s="69"/>
      <c r="K743" s="282"/>
      <c r="L743" s="282"/>
      <c r="M743" s="195"/>
      <c r="N743" s="5"/>
      <c r="O743" s="68"/>
      <c r="P743" s="68"/>
      <c r="Q743" s="68"/>
      <c r="R743" s="68"/>
      <c r="S743" s="68"/>
    </row>
    <row r="744" spans="1:19" ht="15.75" customHeight="1">
      <c r="A744" s="299"/>
      <c r="B744" s="300"/>
      <c r="C744" s="68"/>
      <c r="D744" s="301"/>
      <c r="E744" s="69"/>
      <c r="K744" s="282"/>
      <c r="L744" s="282"/>
      <c r="M744" s="195"/>
      <c r="N744" s="5"/>
      <c r="O744" s="68"/>
      <c r="P744" s="68"/>
      <c r="Q744" s="68"/>
      <c r="R744" s="68"/>
      <c r="S744" s="68"/>
    </row>
    <row r="745" spans="1:19" ht="15.75" customHeight="1">
      <c r="A745" s="299"/>
      <c r="B745" s="300"/>
      <c r="C745" s="68"/>
      <c r="D745" s="301"/>
      <c r="E745" s="69"/>
      <c r="K745" s="282"/>
      <c r="L745" s="282"/>
      <c r="M745" s="195"/>
      <c r="N745" s="5"/>
      <c r="O745" s="68"/>
      <c r="P745" s="68"/>
      <c r="Q745" s="68"/>
      <c r="R745" s="68"/>
      <c r="S745" s="68"/>
    </row>
    <row r="746" spans="1:19" ht="15.75" customHeight="1">
      <c r="A746" s="299"/>
      <c r="B746" s="300"/>
      <c r="C746" s="68"/>
      <c r="D746" s="301"/>
      <c r="E746" s="69"/>
      <c r="K746" s="282"/>
      <c r="L746" s="282"/>
      <c r="M746" s="195"/>
      <c r="N746" s="5"/>
      <c r="O746" s="68"/>
      <c r="P746" s="68"/>
      <c r="Q746" s="68"/>
      <c r="R746" s="68"/>
      <c r="S746" s="68"/>
    </row>
    <row r="747" spans="1:19" ht="15.75" customHeight="1">
      <c r="A747" s="299"/>
      <c r="B747" s="300"/>
      <c r="C747" s="68"/>
      <c r="D747" s="301"/>
      <c r="E747" s="69"/>
      <c r="K747" s="282"/>
      <c r="L747" s="282"/>
      <c r="M747" s="195"/>
      <c r="N747" s="5"/>
      <c r="O747" s="68"/>
      <c r="P747" s="68"/>
      <c r="Q747" s="68"/>
      <c r="R747" s="68"/>
      <c r="S747" s="68"/>
    </row>
    <row r="748" spans="1:19" ht="15.75" customHeight="1">
      <c r="A748" s="299"/>
      <c r="B748" s="300"/>
      <c r="C748" s="68"/>
      <c r="D748" s="301"/>
      <c r="E748" s="69"/>
      <c r="K748" s="282"/>
      <c r="L748" s="282"/>
      <c r="M748" s="195"/>
      <c r="N748" s="5"/>
      <c r="O748" s="68"/>
      <c r="P748" s="68"/>
      <c r="Q748" s="68"/>
      <c r="R748" s="68"/>
      <c r="S748" s="68"/>
    </row>
    <row r="749" spans="1:19" ht="15.75" customHeight="1">
      <c r="A749" s="299"/>
      <c r="B749" s="300"/>
      <c r="C749" s="68"/>
      <c r="D749" s="301"/>
      <c r="E749" s="69"/>
      <c r="K749" s="282"/>
      <c r="L749" s="282"/>
      <c r="M749" s="195"/>
      <c r="N749" s="5"/>
      <c r="O749" s="68"/>
      <c r="P749" s="68"/>
      <c r="Q749" s="68"/>
      <c r="R749" s="68"/>
      <c r="S749" s="68"/>
    </row>
    <row r="750" spans="1:19" ht="15.75" customHeight="1">
      <c r="A750" s="299"/>
      <c r="B750" s="300"/>
      <c r="C750" s="68"/>
      <c r="D750" s="301"/>
      <c r="E750" s="69"/>
      <c r="K750" s="282"/>
      <c r="L750" s="282"/>
      <c r="M750" s="195"/>
      <c r="N750" s="5"/>
      <c r="O750" s="68"/>
      <c r="P750" s="68"/>
      <c r="Q750" s="68"/>
      <c r="R750" s="68"/>
      <c r="S750" s="68"/>
    </row>
    <row r="751" spans="1:19" ht="15.75" customHeight="1">
      <c r="A751" s="299"/>
      <c r="B751" s="300"/>
      <c r="C751" s="68"/>
      <c r="D751" s="301"/>
      <c r="E751" s="69"/>
      <c r="K751" s="282"/>
      <c r="L751" s="282"/>
      <c r="M751" s="195"/>
      <c r="N751" s="5"/>
      <c r="O751" s="68"/>
      <c r="P751" s="68"/>
      <c r="Q751" s="68"/>
      <c r="R751" s="68"/>
      <c r="S751" s="68"/>
    </row>
    <row r="752" spans="1:19" ht="15.75" customHeight="1">
      <c r="A752" s="299"/>
      <c r="B752" s="300"/>
      <c r="C752" s="68"/>
      <c r="D752" s="301"/>
      <c r="E752" s="69"/>
      <c r="K752" s="282"/>
      <c r="L752" s="282"/>
      <c r="M752" s="195"/>
      <c r="N752" s="5"/>
      <c r="O752" s="68"/>
      <c r="P752" s="68"/>
      <c r="Q752" s="68"/>
      <c r="R752" s="68"/>
      <c r="S752" s="68"/>
    </row>
    <row r="753" spans="1:19" ht="15.75" customHeight="1">
      <c r="A753" s="299"/>
      <c r="B753" s="300"/>
      <c r="C753" s="68"/>
      <c r="D753" s="301"/>
      <c r="E753" s="69"/>
      <c r="K753" s="282"/>
      <c r="L753" s="282"/>
      <c r="M753" s="195"/>
      <c r="N753" s="5"/>
      <c r="O753" s="68"/>
      <c r="P753" s="68"/>
      <c r="Q753" s="68"/>
      <c r="R753" s="68"/>
      <c r="S753" s="68"/>
    </row>
    <row r="754" spans="1:19" ht="15.75" customHeight="1">
      <c r="A754" s="299"/>
      <c r="B754" s="300"/>
      <c r="C754" s="68"/>
      <c r="D754" s="301"/>
      <c r="E754" s="69"/>
      <c r="K754" s="282"/>
      <c r="L754" s="282"/>
      <c r="M754" s="195"/>
      <c r="N754" s="5"/>
      <c r="O754" s="68"/>
      <c r="P754" s="68"/>
      <c r="Q754" s="68"/>
      <c r="R754" s="68"/>
      <c r="S754" s="68"/>
    </row>
    <row r="755" spans="1:19" ht="15.75" customHeight="1">
      <c r="A755" s="299"/>
      <c r="B755" s="300"/>
      <c r="C755" s="68"/>
      <c r="D755" s="301"/>
      <c r="E755" s="69"/>
      <c r="K755" s="282"/>
      <c r="L755" s="282"/>
      <c r="M755" s="195"/>
      <c r="N755" s="5"/>
      <c r="O755" s="68"/>
      <c r="P755" s="68"/>
      <c r="Q755" s="68"/>
      <c r="R755" s="68"/>
      <c r="S755" s="68"/>
    </row>
    <row r="756" spans="1:19" ht="15.75" customHeight="1">
      <c r="A756" s="299"/>
      <c r="B756" s="300"/>
      <c r="C756" s="68"/>
      <c r="D756" s="301"/>
      <c r="E756" s="69"/>
      <c r="K756" s="282"/>
      <c r="L756" s="282"/>
      <c r="M756" s="195"/>
      <c r="N756" s="5"/>
      <c r="O756" s="68"/>
      <c r="P756" s="68"/>
      <c r="Q756" s="68"/>
      <c r="R756" s="68"/>
      <c r="S756" s="68"/>
    </row>
    <row r="757" spans="1:19" ht="15.75" customHeight="1">
      <c r="A757" s="299"/>
      <c r="B757" s="300"/>
      <c r="C757" s="68"/>
      <c r="D757" s="301"/>
      <c r="E757" s="69"/>
      <c r="K757" s="282"/>
      <c r="L757" s="282"/>
      <c r="M757" s="195"/>
      <c r="N757" s="5"/>
      <c r="O757" s="68"/>
      <c r="P757" s="68"/>
      <c r="Q757" s="68"/>
      <c r="R757" s="68"/>
      <c r="S757" s="68"/>
    </row>
    <row r="758" spans="1:19" ht="15.75" customHeight="1">
      <c r="A758" s="299"/>
      <c r="B758" s="300"/>
      <c r="C758" s="68"/>
      <c r="D758" s="301"/>
      <c r="E758" s="69"/>
      <c r="K758" s="282"/>
      <c r="L758" s="282"/>
      <c r="M758" s="195"/>
      <c r="N758" s="5"/>
      <c r="O758" s="68"/>
      <c r="P758" s="68"/>
      <c r="Q758" s="68"/>
      <c r="R758" s="68"/>
      <c r="S758" s="68"/>
    </row>
    <row r="759" spans="1:19" ht="15.75" customHeight="1">
      <c r="A759" s="299"/>
      <c r="B759" s="300"/>
      <c r="C759" s="68"/>
      <c r="D759" s="301"/>
      <c r="E759" s="69"/>
      <c r="K759" s="282"/>
      <c r="L759" s="282"/>
      <c r="M759" s="195"/>
      <c r="N759" s="5"/>
      <c r="O759" s="68"/>
      <c r="P759" s="68"/>
      <c r="Q759" s="68"/>
      <c r="R759" s="68"/>
      <c r="S759" s="68"/>
    </row>
    <row r="760" spans="1:19" ht="15.75" customHeight="1">
      <c r="A760" s="299"/>
      <c r="B760" s="300"/>
      <c r="C760" s="68"/>
      <c r="D760" s="301"/>
      <c r="E760" s="69"/>
      <c r="K760" s="282"/>
      <c r="L760" s="282"/>
      <c r="M760" s="195"/>
      <c r="N760" s="5"/>
      <c r="O760" s="68"/>
      <c r="P760" s="68"/>
      <c r="Q760" s="68"/>
      <c r="R760" s="68"/>
      <c r="S760" s="68"/>
    </row>
    <row r="761" spans="1:19" ht="15.75" customHeight="1">
      <c r="A761" s="299"/>
      <c r="B761" s="300"/>
      <c r="C761" s="68"/>
      <c r="D761" s="301"/>
      <c r="E761" s="69"/>
      <c r="K761" s="282"/>
      <c r="L761" s="282"/>
      <c r="M761" s="195"/>
      <c r="N761" s="5"/>
      <c r="O761" s="68"/>
      <c r="P761" s="68"/>
      <c r="Q761" s="68"/>
      <c r="R761" s="68"/>
      <c r="S761" s="68"/>
    </row>
    <row r="762" spans="1:19" ht="15.75" customHeight="1">
      <c r="A762" s="299"/>
      <c r="B762" s="300"/>
      <c r="C762" s="68"/>
      <c r="D762" s="301"/>
      <c r="E762" s="69"/>
      <c r="K762" s="282"/>
      <c r="L762" s="282"/>
      <c r="M762" s="195"/>
      <c r="N762" s="5"/>
      <c r="O762" s="68"/>
      <c r="P762" s="68"/>
      <c r="Q762" s="68"/>
      <c r="R762" s="68"/>
      <c r="S762" s="68"/>
    </row>
    <row r="763" spans="1:19" ht="15.75" customHeight="1">
      <c r="A763" s="299"/>
      <c r="B763" s="300"/>
      <c r="C763" s="68"/>
      <c r="D763" s="301"/>
      <c r="E763" s="69"/>
      <c r="K763" s="282"/>
      <c r="L763" s="282"/>
      <c r="M763" s="195"/>
      <c r="N763" s="5"/>
      <c r="O763" s="68"/>
      <c r="P763" s="68"/>
      <c r="Q763" s="68"/>
      <c r="R763" s="68"/>
      <c r="S763" s="68"/>
    </row>
    <row r="764" spans="1:19" ht="15.75" customHeight="1">
      <c r="A764" s="299"/>
      <c r="B764" s="300"/>
      <c r="C764" s="68"/>
      <c r="D764" s="301"/>
      <c r="E764" s="69"/>
      <c r="K764" s="282"/>
      <c r="L764" s="282"/>
      <c r="M764" s="195"/>
      <c r="N764" s="5"/>
      <c r="O764" s="68"/>
      <c r="P764" s="68"/>
      <c r="Q764" s="68"/>
      <c r="R764" s="68"/>
      <c r="S764" s="68"/>
    </row>
    <row r="765" spans="1:19" ht="15.75" customHeight="1">
      <c r="A765" s="299"/>
      <c r="B765" s="300"/>
      <c r="C765" s="68"/>
      <c r="D765" s="301"/>
      <c r="E765" s="69"/>
      <c r="K765" s="282"/>
      <c r="L765" s="282"/>
      <c r="M765" s="195"/>
      <c r="N765" s="5"/>
      <c r="O765" s="68"/>
      <c r="P765" s="68"/>
      <c r="Q765" s="68"/>
      <c r="R765" s="68"/>
      <c r="S765" s="68"/>
    </row>
    <row r="766" spans="1:19" ht="15.75" customHeight="1">
      <c r="A766" s="299"/>
      <c r="B766" s="300"/>
      <c r="C766" s="68"/>
      <c r="D766" s="301"/>
      <c r="E766" s="69"/>
      <c r="K766" s="282"/>
      <c r="L766" s="282"/>
      <c r="M766" s="195"/>
      <c r="N766" s="5"/>
      <c r="O766" s="68"/>
      <c r="P766" s="68"/>
      <c r="Q766" s="68"/>
      <c r="R766" s="68"/>
      <c r="S766" s="68"/>
    </row>
    <row r="767" spans="1:19" ht="15.75" customHeight="1">
      <c r="A767" s="299"/>
      <c r="B767" s="300"/>
      <c r="C767" s="68"/>
      <c r="D767" s="301"/>
      <c r="E767" s="69"/>
      <c r="K767" s="282"/>
      <c r="L767" s="282"/>
      <c r="M767" s="195"/>
      <c r="N767" s="5"/>
      <c r="O767" s="68"/>
      <c r="P767" s="68"/>
      <c r="Q767" s="68"/>
      <c r="R767" s="68"/>
      <c r="S767" s="68"/>
    </row>
    <row r="768" spans="1:19" ht="15.75" customHeight="1">
      <c r="A768" s="299"/>
      <c r="B768" s="300"/>
      <c r="C768" s="68"/>
      <c r="D768" s="301"/>
      <c r="E768" s="69"/>
      <c r="K768" s="282"/>
      <c r="L768" s="282"/>
      <c r="M768" s="195"/>
      <c r="N768" s="5"/>
      <c r="O768" s="68"/>
      <c r="P768" s="68"/>
      <c r="Q768" s="68"/>
      <c r="R768" s="68"/>
      <c r="S768" s="68"/>
    </row>
    <row r="769" spans="1:19" ht="15.75" customHeight="1">
      <c r="A769" s="299"/>
      <c r="B769" s="300"/>
      <c r="C769" s="68"/>
      <c r="D769" s="301"/>
      <c r="E769" s="69"/>
      <c r="K769" s="282"/>
      <c r="L769" s="282"/>
      <c r="M769" s="195"/>
      <c r="N769" s="5"/>
      <c r="O769" s="68"/>
      <c r="P769" s="68"/>
      <c r="Q769" s="68"/>
      <c r="R769" s="68"/>
      <c r="S769" s="68"/>
    </row>
    <row r="770" spans="1:19" ht="15.75" customHeight="1">
      <c r="A770" s="299"/>
      <c r="B770" s="300"/>
      <c r="C770" s="68"/>
      <c r="D770" s="301"/>
      <c r="E770" s="69"/>
      <c r="K770" s="282"/>
      <c r="L770" s="282"/>
      <c r="M770" s="195"/>
      <c r="N770" s="5"/>
      <c r="O770" s="68"/>
      <c r="P770" s="68"/>
      <c r="Q770" s="68"/>
      <c r="R770" s="68"/>
      <c r="S770" s="68"/>
    </row>
    <row r="771" spans="1:19" ht="15.75" customHeight="1">
      <c r="A771" s="299"/>
      <c r="B771" s="300"/>
      <c r="C771" s="68"/>
      <c r="D771" s="301"/>
      <c r="E771" s="69"/>
      <c r="K771" s="282"/>
      <c r="L771" s="282"/>
      <c r="M771" s="195"/>
      <c r="N771" s="5"/>
      <c r="O771" s="68"/>
      <c r="P771" s="68"/>
      <c r="Q771" s="68"/>
      <c r="R771" s="68"/>
      <c r="S771" s="68"/>
    </row>
    <row r="772" spans="1:19" ht="15.75" customHeight="1">
      <c r="A772" s="299"/>
      <c r="B772" s="300"/>
      <c r="C772" s="68"/>
      <c r="D772" s="301"/>
      <c r="E772" s="69"/>
      <c r="K772" s="282"/>
      <c r="L772" s="282"/>
      <c r="M772" s="195"/>
      <c r="N772" s="5"/>
      <c r="O772" s="68"/>
      <c r="P772" s="68"/>
      <c r="Q772" s="68"/>
      <c r="R772" s="68"/>
      <c r="S772" s="68"/>
    </row>
    <row r="773" spans="1:19" ht="15.75" customHeight="1">
      <c r="A773" s="299"/>
      <c r="B773" s="300"/>
      <c r="C773" s="68"/>
      <c r="D773" s="301"/>
      <c r="E773" s="69"/>
      <c r="K773" s="282"/>
      <c r="L773" s="282"/>
      <c r="M773" s="195"/>
      <c r="N773" s="5"/>
      <c r="O773" s="68"/>
      <c r="P773" s="68"/>
      <c r="Q773" s="68"/>
      <c r="R773" s="68"/>
      <c r="S773" s="68"/>
    </row>
    <row r="774" spans="1:19" ht="15.75" customHeight="1">
      <c r="A774" s="299"/>
      <c r="B774" s="300"/>
      <c r="C774" s="68"/>
      <c r="D774" s="301"/>
      <c r="E774" s="69"/>
      <c r="K774" s="282"/>
      <c r="L774" s="282"/>
      <c r="M774" s="195"/>
      <c r="N774" s="5"/>
      <c r="O774" s="68"/>
      <c r="P774" s="68"/>
      <c r="Q774" s="68"/>
      <c r="R774" s="68"/>
      <c r="S774" s="68"/>
    </row>
    <row r="775" spans="1:19" ht="15.75" customHeight="1">
      <c r="A775" s="299"/>
      <c r="B775" s="300"/>
      <c r="C775" s="68"/>
      <c r="D775" s="301"/>
      <c r="E775" s="69"/>
      <c r="K775" s="282"/>
      <c r="L775" s="282"/>
      <c r="M775" s="195"/>
      <c r="N775" s="5"/>
      <c r="O775" s="68"/>
      <c r="P775" s="68"/>
      <c r="Q775" s="68"/>
      <c r="R775" s="68"/>
      <c r="S775" s="68"/>
    </row>
    <row r="776" spans="1:19" ht="15.75" customHeight="1">
      <c r="A776" s="299"/>
      <c r="B776" s="300"/>
      <c r="C776" s="68"/>
      <c r="D776" s="301"/>
      <c r="E776" s="69"/>
      <c r="K776" s="282"/>
      <c r="L776" s="282"/>
      <c r="M776" s="195"/>
      <c r="N776" s="5"/>
      <c r="O776" s="68"/>
      <c r="P776" s="68"/>
      <c r="Q776" s="68"/>
      <c r="R776" s="68"/>
      <c r="S776" s="68"/>
    </row>
    <row r="777" spans="1:19" ht="15.75" customHeight="1">
      <c r="A777" s="299"/>
      <c r="B777" s="300"/>
      <c r="C777" s="68"/>
      <c r="D777" s="301"/>
      <c r="E777" s="69"/>
      <c r="K777" s="282"/>
      <c r="L777" s="282"/>
      <c r="M777" s="195"/>
      <c r="N777" s="5"/>
      <c r="O777" s="68"/>
      <c r="P777" s="68"/>
      <c r="Q777" s="68"/>
      <c r="R777" s="68"/>
      <c r="S777" s="68"/>
    </row>
    <row r="778" spans="1:19" ht="15.75" customHeight="1">
      <c r="A778" s="299"/>
      <c r="B778" s="300"/>
      <c r="C778" s="68"/>
      <c r="D778" s="301"/>
      <c r="E778" s="69"/>
      <c r="K778" s="282"/>
      <c r="L778" s="282"/>
      <c r="M778" s="195"/>
      <c r="N778" s="5"/>
      <c r="O778" s="68"/>
      <c r="P778" s="68"/>
      <c r="Q778" s="68"/>
      <c r="R778" s="68"/>
      <c r="S778" s="68"/>
    </row>
    <row r="779" spans="1:19" ht="15.75" customHeight="1">
      <c r="A779" s="299"/>
      <c r="B779" s="300"/>
      <c r="C779" s="68"/>
      <c r="D779" s="301"/>
      <c r="E779" s="69"/>
      <c r="K779" s="282"/>
      <c r="L779" s="282"/>
      <c r="M779" s="195"/>
      <c r="N779" s="5"/>
      <c r="O779" s="68"/>
      <c r="P779" s="68"/>
      <c r="Q779" s="68"/>
      <c r="R779" s="68"/>
      <c r="S779" s="68"/>
    </row>
    <row r="780" spans="1:19" ht="15.75" customHeight="1">
      <c r="A780" s="299"/>
      <c r="B780" s="300"/>
      <c r="C780" s="68"/>
      <c r="D780" s="301"/>
      <c r="E780" s="69"/>
      <c r="K780" s="282"/>
      <c r="L780" s="282"/>
      <c r="M780" s="195"/>
      <c r="N780" s="5"/>
      <c r="O780" s="68"/>
      <c r="P780" s="68"/>
      <c r="Q780" s="68"/>
      <c r="R780" s="68"/>
      <c r="S780" s="68"/>
    </row>
    <row r="781" spans="1:19" ht="15.75" customHeight="1">
      <c r="A781" s="299"/>
      <c r="B781" s="300"/>
      <c r="C781" s="68"/>
      <c r="D781" s="301"/>
      <c r="E781" s="69"/>
      <c r="K781" s="282"/>
      <c r="L781" s="282"/>
      <c r="M781" s="195"/>
      <c r="N781" s="5"/>
      <c r="O781" s="68"/>
      <c r="P781" s="68"/>
      <c r="Q781" s="68"/>
      <c r="R781" s="68"/>
      <c r="S781" s="68"/>
    </row>
    <row r="782" spans="1:19" ht="15.75" customHeight="1">
      <c r="A782" s="299"/>
      <c r="B782" s="300"/>
      <c r="C782" s="68"/>
      <c r="D782" s="301"/>
      <c r="E782" s="69"/>
      <c r="K782" s="282"/>
      <c r="L782" s="282"/>
      <c r="M782" s="195"/>
      <c r="N782" s="5"/>
      <c r="O782" s="68"/>
      <c r="P782" s="68"/>
      <c r="Q782" s="68"/>
      <c r="R782" s="68"/>
      <c r="S782" s="68"/>
    </row>
    <row r="783" spans="1:19" ht="15.75" customHeight="1">
      <c r="A783" s="299"/>
      <c r="B783" s="300"/>
      <c r="C783" s="68"/>
      <c r="D783" s="301"/>
      <c r="E783" s="69"/>
      <c r="K783" s="282"/>
      <c r="L783" s="282"/>
      <c r="M783" s="195"/>
      <c r="N783" s="5"/>
      <c r="O783" s="68"/>
      <c r="P783" s="68"/>
      <c r="Q783" s="68"/>
      <c r="R783" s="68"/>
      <c r="S783" s="68"/>
    </row>
    <row r="784" spans="1:19" ht="15.75" customHeight="1">
      <c r="A784" s="299"/>
      <c r="B784" s="300"/>
      <c r="C784" s="68"/>
      <c r="D784" s="301"/>
      <c r="E784" s="69"/>
      <c r="K784" s="282"/>
      <c r="L784" s="282"/>
      <c r="M784" s="195"/>
      <c r="N784" s="5"/>
      <c r="O784" s="68"/>
      <c r="P784" s="68"/>
      <c r="Q784" s="68"/>
      <c r="R784" s="68"/>
      <c r="S784" s="68"/>
    </row>
    <row r="785" spans="1:19" ht="15.75" customHeight="1">
      <c r="A785" s="299"/>
      <c r="B785" s="300"/>
      <c r="C785" s="68"/>
      <c r="D785" s="301"/>
      <c r="E785" s="69"/>
      <c r="K785" s="282"/>
      <c r="L785" s="282"/>
      <c r="M785" s="195"/>
      <c r="N785" s="5"/>
      <c r="O785" s="68"/>
      <c r="P785" s="68"/>
      <c r="Q785" s="68"/>
      <c r="R785" s="68"/>
      <c r="S785" s="68"/>
    </row>
    <row r="786" spans="1:19" ht="15.75" customHeight="1">
      <c r="A786" s="299"/>
      <c r="B786" s="300"/>
      <c r="C786" s="68"/>
      <c r="D786" s="301"/>
      <c r="E786" s="69"/>
      <c r="K786" s="282"/>
      <c r="L786" s="282"/>
      <c r="M786" s="195"/>
      <c r="N786" s="5"/>
      <c r="O786" s="68"/>
      <c r="P786" s="68"/>
      <c r="Q786" s="68"/>
      <c r="R786" s="68"/>
      <c r="S786" s="68"/>
    </row>
    <row r="787" spans="1:19" ht="15.75" customHeight="1">
      <c r="A787" s="299"/>
      <c r="B787" s="300"/>
      <c r="C787" s="68"/>
      <c r="D787" s="301"/>
      <c r="E787" s="69"/>
      <c r="K787" s="282"/>
      <c r="L787" s="282"/>
      <c r="M787" s="195"/>
      <c r="N787" s="5"/>
      <c r="O787" s="68"/>
      <c r="P787" s="68"/>
      <c r="Q787" s="68"/>
      <c r="R787" s="68"/>
      <c r="S787" s="68"/>
    </row>
    <row r="788" spans="1:19" ht="15.75" customHeight="1">
      <c r="A788" s="299"/>
      <c r="B788" s="300"/>
      <c r="C788" s="68"/>
      <c r="D788" s="301"/>
      <c r="E788" s="69"/>
      <c r="K788" s="282"/>
      <c r="L788" s="282"/>
      <c r="M788" s="195"/>
      <c r="N788" s="5"/>
      <c r="O788" s="68"/>
      <c r="P788" s="68"/>
      <c r="Q788" s="68"/>
      <c r="R788" s="68"/>
      <c r="S788" s="68"/>
    </row>
    <row r="789" spans="1:19" ht="15.75" customHeight="1">
      <c r="A789" s="299"/>
      <c r="B789" s="300"/>
      <c r="C789" s="68"/>
      <c r="D789" s="301"/>
      <c r="E789" s="69"/>
      <c r="K789" s="282"/>
      <c r="L789" s="282"/>
      <c r="M789" s="195"/>
      <c r="N789" s="5"/>
      <c r="O789" s="68"/>
      <c r="P789" s="68"/>
      <c r="Q789" s="68"/>
      <c r="R789" s="68"/>
      <c r="S789" s="68"/>
    </row>
    <row r="790" spans="1:19" ht="15.75" customHeight="1">
      <c r="A790" s="299"/>
      <c r="B790" s="300"/>
      <c r="C790" s="68"/>
      <c r="D790" s="301"/>
      <c r="E790" s="69"/>
      <c r="K790" s="282"/>
      <c r="L790" s="282"/>
      <c r="M790" s="195"/>
      <c r="N790" s="5"/>
      <c r="O790" s="68"/>
      <c r="P790" s="68"/>
      <c r="Q790" s="68"/>
      <c r="R790" s="68"/>
      <c r="S790" s="68"/>
    </row>
    <row r="791" spans="1:19" ht="15.75" customHeight="1">
      <c r="A791" s="299"/>
      <c r="B791" s="300"/>
      <c r="C791" s="68"/>
      <c r="D791" s="301"/>
      <c r="E791" s="69"/>
      <c r="K791" s="282"/>
      <c r="L791" s="282"/>
      <c r="M791" s="195"/>
      <c r="N791" s="5"/>
      <c r="O791" s="68"/>
      <c r="P791" s="68"/>
      <c r="Q791" s="68"/>
      <c r="R791" s="68"/>
      <c r="S791" s="68"/>
    </row>
    <row r="792" spans="1:19" ht="15.75" customHeight="1">
      <c r="A792" s="299"/>
      <c r="B792" s="300"/>
      <c r="C792" s="68"/>
      <c r="D792" s="301"/>
      <c r="E792" s="69"/>
      <c r="K792" s="282"/>
      <c r="L792" s="282"/>
      <c r="M792" s="195"/>
      <c r="N792" s="5"/>
      <c r="O792" s="68"/>
      <c r="P792" s="68"/>
      <c r="Q792" s="68"/>
      <c r="R792" s="68"/>
      <c r="S792" s="68"/>
    </row>
    <row r="793" spans="1:19" ht="15.75" customHeight="1">
      <c r="A793" s="299"/>
      <c r="B793" s="300"/>
      <c r="C793" s="68"/>
      <c r="D793" s="301"/>
      <c r="E793" s="69"/>
      <c r="K793" s="282"/>
      <c r="L793" s="282"/>
      <c r="M793" s="195"/>
      <c r="N793" s="5"/>
      <c r="O793" s="68"/>
      <c r="P793" s="68"/>
      <c r="Q793" s="68"/>
      <c r="R793" s="68"/>
      <c r="S793" s="68"/>
    </row>
    <row r="794" spans="1:19" ht="15.75" customHeight="1">
      <c r="A794" s="299"/>
      <c r="B794" s="300"/>
      <c r="C794" s="68"/>
      <c r="D794" s="301"/>
      <c r="E794" s="69"/>
      <c r="K794" s="282"/>
      <c r="L794" s="282"/>
      <c r="M794" s="195"/>
      <c r="N794" s="5"/>
      <c r="O794" s="68"/>
      <c r="P794" s="68"/>
      <c r="Q794" s="68"/>
      <c r="R794" s="68"/>
      <c r="S794" s="68"/>
    </row>
    <row r="795" spans="1:19" ht="15.75" customHeight="1">
      <c r="A795" s="299"/>
      <c r="B795" s="300"/>
      <c r="C795" s="68"/>
      <c r="D795" s="301"/>
      <c r="E795" s="69"/>
      <c r="K795" s="282"/>
      <c r="L795" s="282"/>
      <c r="M795" s="195"/>
      <c r="N795" s="5"/>
      <c r="O795" s="68"/>
      <c r="P795" s="68"/>
      <c r="Q795" s="68"/>
      <c r="R795" s="68"/>
      <c r="S795" s="68"/>
    </row>
    <row r="796" spans="1:19" ht="15.75" customHeight="1">
      <c r="A796" s="299"/>
      <c r="B796" s="300"/>
      <c r="C796" s="68"/>
      <c r="D796" s="301"/>
      <c r="E796" s="69"/>
      <c r="K796" s="282"/>
      <c r="L796" s="282"/>
      <c r="M796" s="195"/>
      <c r="N796" s="5"/>
      <c r="O796" s="68"/>
      <c r="P796" s="68"/>
      <c r="Q796" s="68"/>
      <c r="R796" s="68"/>
      <c r="S796" s="68"/>
    </row>
    <row r="797" spans="1:19" ht="15.75" customHeight="1">
      <c r="A797" s="299"/>
      <c r="B797" s="300"/>
      <c r="C797" s="68"/>
      <c r="D797" s="301"/>
      <c r="E797" s="69"/>
      <c r="K797" s="282"/>
      <c r="L797" s="282"/>
      <c r="M797" s="195"/>
      <c r="N797" s="5"/>
      <c r="O797" s="68"/>
      <c r="P797" s="68"/>
      <c r="Q797" s="68"/>
      <c r="R797" s="68"/>
      <c r="S797" s="68"/>
    </row>
    <row r="798" spans="1:19" ht="15.75" customHeight="1">
      <c r="A798" s="299"/>
      <c r="B798" s="300"/>
      <c r="C798" s="68"/>
      <c r="D798" s="301"/>
      <c r="E798" s="69"/>
      <c r="K798" s="282"/>
      <c r="L798" s="282"/>
      <c r="M798" s="195"/>
      <c r="N798" s="5"/>
      <c r="O798" s="68"/>
      <c r="P798" s="68"/>
      <c r="Q798" s="68"/>
      <c r="R798" s="68"/>
      <c r="S798" s="68"/>
    </row>
    <row r="799" spans="1:19" ht="15.75" customHeight="1">
      <c r="A799" s="299"/>
      <c r="B799" s="300"/>
      <c r="C799" s="68"/>
      <c r="D799" s="301"/>
      <c r="E799" s="69"/>
      <c r="K799" s="282"/>
      <c r="L799" s="282"/>
      <c r="M799" s="195"/>
      <c r="N799" s="5"/>
      <c r="O799" s="68"/>
      <c r="P799" s="68"/>
      <c r="Q799" s="68"/>
      <c r="R799" s="68"/>
      <c r="S799" s="68"/>
    </row>
    <row r="800" spans="1:19" ht="15.75" customHeight="1">
      <c r="A800" s="299"/>
      <c r="B800" s="300"/>
      <c r="C800" s="68"/>
      <c r="D800" s="301"/>
      <c r="E800" s="69"/>
      <c r="K800" s="282"/>
      <c r="L800" s="282"/>
      <c r="M800" s="195"/>
      <c r="N800" s="5"/>
      <c r="O800" s="68"/>
      <c r="P800" s="68"/>
      <c r="Q800" s="68"/>
      <c r="R800" s="68"/>
      <c r="S800" s="68"/>
    </row>
    <row r="801" spans="1:19" ht="15.75" customHeight="1">
      <c r="A801" s="299"/>
      <c r="B801" s="300"/>
      <c r="C801" s="68"/>
      <c r="D801" s="301"/>
      <c r="E801" s="69"/>
      <c r="K801" s="282"/>
      <c r="L801" s="282"/>
      <c r="M801" s="195"/>
      <c r="N801" s="5"/>
      <c r="O801" s="68"/>
      <c r="P801" s="68"/>
      <c r="Q801" s="68"/>
      <c r="R801" s="68"/>
      <c r="S801" s="68"/>
    </row>
    <row r="802" spans="1:19" ht="15.75" customHeight="1">
      <c r="A802" s="299"/>
      <c r="B802" s="300"/>
      <c r="C802" s="68"/>
      <c r="D802" s="301"/>
      <c r="E802" s="69"/>
      <c r="K802" s="282"/>
      <c r="L802" s="282"/>
      <c r="M802" s="195"/>
      <c r="N802" s="5"/>
      <c r="O802" s="68"/>
      <c r="P802" s="68"/>
      <c r="Q802" s="68"/>
      <c r="R802" s="68"/>
      <c r="S802" s="68"/>
    </row>
    <row r="803" spans="1:19" ht="15.75" customHeight="1">
      <c r="A803" s="299"/>
      <c r="B803" s="300"/>
      <c r="C803" s="68"/>
      <c r="D803" s="301"/>
      <c r="E803" s="69"/>
      <c r="K803" s="282"/>
      <c r="L803" s="282"/>
      <c r="M803" s="195"/>
      <c r="N803" s="5"/>
      <c r="O803" s="68"/>
      <c r="P803" s="68"/>
      <c r="Q803" s="68"/>
      <c r="R803" s="68"/>
      <c r="S803" s="68"/>
    </row>
    <row r="804" spans="1:19" ht="15.75" customHeight="1">
      <c r="A804" s="299"/>
      <c r="B804" s="300"/>
      <c r="C804" s="68"/>
      <c r="D804" s="301"/>
      <c r="E804" s="69"/>
      <c r="K804" s="282"/>
      <c r="L804" s="282"/>
      <c r="M804" s="195"/>
      <c r="N804" s="5"/>
      <c r="O804" s="68"/>
      <c r="P804" s="68"/>
      <c r="Q804" s="68"/>
      <c r="R804" s="68"/>
      <c r="S804" s="68"/>
    </row>
    <row r="805" spans="1:19" ht="15.75" customHeight="1">
      <c r="A805" s="299"/>
      <c r="B805" s="300"/>
      <c r="C805" s="68"/>
      <c r="D805" s="301"/>
      <c r="E805" s="69"/>
      <c r="K805" s="282"/>
      <c r="L805" s="282"/>
      <c r="M805" s="195"/>
      <c r="N805" s="5"/>
      <c r="O805" s="68"/>
      <c r="P805" s="68"/>
      <c r="Q805" s="68"/>
      <c r="R805" s="68"/>
      <c r="S805" s="68"/>
    </row>
    <row r="806" spans="1:19" ht="15.75" customHeight="1">
      <c r="A806" s="299"/>
      <c r="B806" s="300"/>
      <c r="C806" s="68"/>
      <c r="D806" s="301"/>
      <c r="E806" s="69"/>
      <c r="K806" s="282"/>
      <c r="L806" s="282"/>
      <c r="M806" s="195"/>
      <c r="N806" s="5"/>
      <c r="O806" s="68"/>
      <c r="P806" s="68"/>
      <c r="Q806" s="68"/>
      <c r="R806" s="68"/>
      <c r="S806" s="68"/>
    </row>
    <row r="807" spans="1:19" ht="15.75" customHeight="1">
      <c r="A807" s="299"/>
      <c r="B807" s="300"/>
      <c r="C807" s="68"/>
      <c r="D807" s="301"/>
      <c r="E807" s="69"/>
      <c r="K807" s="282"/>
      <c r="L807" s="282"/>
      <c r="M807" s="195"/>
      <c r="N807" s="5"/>
      <c r="O807" s="68"/>
      <c r="P807" s="68"/>
      <c r="Q807" s="68"/>
      <c r="R807" s="68"/>
      <c r="S807" s="68"/>
    </row>
    <row r="808" spans="1:19" ht="15.75" customHeight="1">
      <c r="A808" s="299"/>
      <c r="B808" s="300"/>
      <c r="C808" s="68"/>
      <c r="D808" s="301"/>
      <c r="E808" s="69"/>
      <c r="K808" s="282"/>
      <c r="L808" s="282"/>
      <c r="M808" s="195"/>
      <c r="N808" s="5"/>
      <c r="O808" s="68"/>
      <c r="P808" s="68"/>
      <c r="Q808" s="68"/>
      <c r="R808" s="68"/>
      <c r="S808" s="68"/>
    </row>
    <row r="809" spans="1:19" ht="15.75" customHeight="1">
      <c r="A809" s="299"/>
      <c r="B809" s="300"/>
      <c r="C809" s="68"/>
      <c r="D809" s="301"/>
      <c r="E809" s="69"/>
      <c r="K809" s="282"/>
      <c r="L809" s="282"/>
      <c r="M809" s="195"/>
      <c r="N809" s="5"/>
      <c r="O809" s="68"/>
      <c r="P809" s="68"/>
      <c r="Q809" s="68"/>
      <c r="R809" s="68"/>
      <c r="S809" s="68"/>
    </row>
    <row r="810" spans="1:19" ht="15.75" customHeight="1">
      <c r="A810" s="299"/>
      <c r="B810" s="300"/>
      <c r="C810" s="68"/>
      <c r="D810" s="301"/>
      <c r="E810" s="69"/>
      <c r="K810" s="282"/>
      <c r="L810" s="282"/>
      <c r="M810" s="195"/>
      <c r="N810" s="5"/>
      <c r="O810" s="68"/>
      <c r="P810" s="68"/>
      <c r="Q810" s="68"/>
      <c r="R810" s="68"/>
      <c r="S810" s="68"/>
    </row>
    <row r="811" spans="1:19" ht="15.75" customHeight="1">
      <c r="A811" s="299"/>
      <c r="B811" s="300"/>
      <c r="C811" s="68"/>
      <c r="D811" s="301"/>
      <c r="E811" s="69"/>
      <c r="K811" s="282"/>
      <c r="L811" s="282"/>
      <c r="M811" s="195"/>
      <c r="N811" s="5"/>
      <c r="O811" s="68"/>
      <c r="P811" s="68"/>
      <c r="Q811" s="68"/>
      <c r="R811" s="68"/>
      <c r="S811" s="68"/>
    </row>
    <row r="812" spans="1:19" ht="15.75" customHeight="1">
      <c r="A812" s="299"/>
      <c r="B812" s="300"/>
      <c r="C812" s="68"/>
      <c r="D812" s="301"/>
      <c r="E812" s="69"/>
      <c r="K812" s="282"/>
      <c r="L812" s="282"/>
      <c r="M812" s="195"/>
      <c r="N812" s="5"/>
      <c r="O812" s="68"/>
      <c r="P812" s="68"/>
      <c r="Q812" s="68"/>
      <c r="R812" s="68"/>
      <c r="S812" s="68"/>
    </row>
    <row r="813" spans="1:19" ht="15.75" customHeight="1">
      <c r="A813" s="299"/>
      <c r="B813" s="300"/>
      <c r="C813" s="68"/>
      <c r="D813" s="301"/>
      <c r="E813" s="69"/>
      <c r="K813" s="282"/>
      <c r="L813" s="282"/>
      <c r="M813" s="195"/>
      <c r="N813" s="5"/>
      <c r="O813" s="68"/>
      <c r="P813" s="68"/>
      <c r="Q813" s="68"/>
      <c r="R813" s="68"/>
      <c r="S813" s="68"/>
    </row>
    <row r="814" spans="1:19" ht="15.75" customHeight="1">
      <c r="A814" s="299"/>
      <c r="B814" s="300"/>
      <c r="C814" s="68"/>
      <c r="D814" s="301"/>
      <c r="E814" s="69"/>
      <c r="K814" s="282"/>
      <c r="L814" s="282"/>
      <c r="M814" s="195"/>
      <c r="N814" s="5"/>
      <c r="O814" s="68"/>
      <c r="P814" s="68"/>
      <c r="Q814" s="68"/>
      <c r="R814" s="68"/>
      <c r="S814" s="68"/>
    </row>
    <row r="815" spans="1:19" ht="15.75" customHeight="1">
      <c r="A815" s="299"/>
      <c r="B815" s="300"/>
      <c r="C815" s="68"/>
      <c r="D815" s="301"/>
      <c r="E815" s="69"/>
      <c r="K815" s="282"/>
      <c r="L815" s="282"/>
      <c r="M815" s="195"/>
      <c r="N815" s="5"/>
      <c r="O815" s="68"/>
      <c r="P815" s="68"/>
      <c r="Q815" s="68"/>
      <c r="R815" s="68"/>
      <c r="S815" s="68"/>
    </row>
    <row r="816" spans="1:19" ht="15.75" customHeight="1">
      <c r="A816" s="299"/>
      <c r="B816" s="300"/>
      <c r="C816" s="68"/>
      <c r="D816" s="301"/>
      <c r="E816" s="69"/>
      <c r="K816" s="282"/>
      <c r="L816" s="282"/>
      <c r="M816" s="195"/>
      <c r="N816" s="5"/>
      <c r="O816" s="68"/>
      <c r="P816" s="68"/>
      <c r="Q816" s="68"/>
      <c r="R816" s="68"/>
      <c r="S816" s="68"/>
    </row>
    <row r="817" spans="1:19" ht="15.75" customHeight="1">
      <c r="A817" s="299"/>
      <c r="B817" s="300"/>
      <c r="C817" s="68"/>
      <c r="D817" s="301"/>
      <c r="E817" s="69"/>
      <c r="K817" s="282"/>
      <c r="L817" s="282"/>
      <c r="M817" s="195"/>
      <c r="N817" s="5"/>
      <c r="O817" s="68"/>
      <c r="P817" s="68"/>
      <c r="Q817" s="68"/>
      <c r="R817" s="68"/>
      <c r="S817" s="68"/>
    </row>
    <row r="818" spans="1:19" ht="15.75" customHeight="1">
      <c r="A818" s="299"/>
      <c r="B818" s="300"/>
      <c r="C818" s="68"/>
      <c r="D818" s="301"/>
      <c r="E818" s="69"/>
      <c r="K818" s="282"/>
      <c r="L818" s="282"/>
      <c r="M818" s="195"/>
      <c r="N818" s="5"/>
      <c r="O818" s="68"/>
      <c r="P818" s="68"/>
      <c r="Q818" s="68"/>
      <c r="R818" s="68"/>
      <c r="S818" s="68"/>
    </row>
    <row r="819" spans="1:19" ht="15.75" customHeight="1">
      <c r="A819" s="299"/>
      <c r="B819" s="300"/>
      <c r="C819" s="68"/>
      <c r="D819" s="301"/>
      <c r="E819" s="69"/>
      <c r="K819" s="282"/>
      <c r="L819" s="282"/>
      <c r="M819" s="195"/>
      <c r="N819" s="5"/>
      <c r="O819" s="68"/>
      <c r="P819" s="68"/>
      <c r="Q819" s="68"/>
      <c r="R819" s="68"/>
      <c r="S819" s="68"/>
    </row>
    <row r="820" spans="1:19" ht="15.75" customHeight="1">
      <c r="A820" s="299"/>
      <c r="B820" s="300"/>
      <c r="C820" s="68"/>
      <c r="D820" s="301"/>
      <c r="E820" s="69"/>
      <c r="K820" s="282"/>
      <c r="L820" s="282"/>
      <c r="M820" s="195"/>
      <c r="N820" s="5"/>
      <c r="O820" s="68"/>
      <c r="P820" s="68"/>
      <c r="Q820" s="68"/>
      <c r="R820" s="68"/>
      <c r="S820" s="68"/>
    </row>
    <row r="821" spans="1:19" ht="15.75" customHeight="1">
      <c r="A821" s="299"/>
      <c r="B821" s="300"/>
      <c r="C821" s="68"/>
      <c r="D821" s="301"/>
      <c r="E821" s="69"/>
      <c r="K821" s="282"/>
      <c r="L821" s="282"/>
      <c r="M821" s="195"/>
      <c r="N821" s="5"/>
      <c r="O821" s="68"/>
      <c r="P821" s="68"/>
      <c r="Q821" s="68"/>
      <c r="R821" s="68"/>
      <c r="S821" s="68"/>
    </row>
    <row r="822" spans="1:19" ht="15.75" customHeight="1">
      <c r="A822" s="299"/>
      <c r="B822" s="300"/>
      <c r="C822" s="68"/>
      <c r="D822" s="301"/>
      <c r="E822" s="69"/>
      <c r="K822" s="282"/>
      <c r="L822" s="282"/>
      <c r="M822" s="195"/>
      <c r="N822" s="5"/>
      <c r="O822" s="68"/>
      <c r="P822" s="68"/>
      <c r="Q822" s="68"/>
      <c r="R822" s="68"/>
      <c r="S822" s="68"/>
    </row>
    <row r="823" spans="1:19" ht="15.75" customHeight="1">
      <c r="A823" s="299"/>
      <c r="B823" s="300"/>
      <c r="C823" s="68"/>
      <c r="D823" s="301"/>
      <c r="E823" s="69"/>
      <c r="K823" s="282"/>
      <c r="L823" s="282"/>
      <c r="M823" s="195"/>
      <c r="N823" s="5"/>
      <c r="O823" s="68"/>
      <c r="P823" s="68"/>
      <c r="Q823" s="68"/>
      <c r="R823" s="68"/>
      <c r="S823" s="68"/>
    </row>
    <row r="824" spans="1:19" ht="15.75" customHeight="1">
      <c r="A824" s="299"/>
      <c r="B824" s="300"/>
      <c r="C824" s="68"/>
      <c r="D824" s="301"/>
      <c r="E824" s="69"/>
      <c r="K824" s="282"/>
      <c r="L824" s="282"/>
      <c r="M824" s="195"/>
      <c r="N824" s="5"/>
      <c r="O824" s="68"/>
      <c r="P824" s="68"/>
      <c r="Q824" s="68"/>
      <c r="R824" s="68"/>
      <c r="S824" s="68"/>
    </row>
    <row r="825" spans="1:19" ht="15.75" customHeight="1">
      <c r="A825" s="299"/>
      <c r="B825" s="300"/>
      <c r="C825" s="68"/>
      <c r="D825" s="301"/>
      <c r="E825" s="69"/>
      <c r="K825" s="282"/>
      <c r="L825" s="282"/>
      <c r="M825" s="195"/>
      <c r="N825" s="5"/>
      <c r="O825" s="68"/>
      <c r="P825" s="68"/>
      <c r="Q825" s="68"/>
      <c r="R825" s="68"/>
      <c r="S825" s="68"/>
    </row>
    <row r="826" spans="1:19" ht="15.75" customHeight="1">
      <c r="A826" s="299"/>
      <c r="B826" s="300"/>
      <c r="C826" s="68"/>
      <c r="D826" s="301"/>
      <c r="E826" s="69"/>
      <c r="K826" s="282"/>
      <c r="L826" s="282"/>
      <c r="M826" s="195"/>
      <c r="N826" s="5"/>
      <c r="O826" s="68"/>
      <c r="P826" s="68"/>
      <c r="Q826" s="68"/>
      <c r="R826" s="68"/>
      <c r="S826" s="68"/>
    </row>
    <row r="827" spans="1:19" ht="15.75" customHeight="1">
      <c r="A827" s="299"/>
      <c r="B827" s="300"/>
      <c r="C827" s="68"/>
      <c r="D827" s="301"/>
      <c r="E827" s="69"/>
      <c r="K827" s="282"/>
      <c r="L827" s="282"/>
      <c r="M827" s="195"/>
      <c r="N827" s="5"/>
      <c r="O827" s="68"/>
      <c r="P827" s="68"/>
      <c r="Q827" s="68"/>
      <c r="R827" s="68"/>
      <c r="S827" s="68"/>
    </row>
    <row r="828" spans="1:19" ht="15.75" customHeight="1">
      <c r="A828" s="299"/>
      <c r="B828" s="300"/>
      <c r="C828" s="68"/>
      <c r="D828" s="301"/>
      <c r="E828" s="69"/>
      <c r="K828" s="282"/>
      <c r="L828" s="282"/>
      <c r="M828" s="195"/>
      <c r="N828" s="5"/>
      <c r="O828" s="68"/>
      <c r="P828" s="68"/>
      <c r="Q828" s="68"/>
      <c r="R828" s="68"/>
      <c r="S828" s="68"/>
    </row>
    <row r="829" spans="1:19" ht="15.75" customHeight="1">
      <c r="A829" s="299"/>
      <c r="B829" s="300"/>
      <c r="C829" s="68"/>
      <c r="D829" s="301"/>
      <c r="E829" s="69"/>
      <c r="K829" s="282"/>
      <c r="L829" s="282"/>
      <c r="M829" s="195"/>
      <c r="N829" s="5"/>
      <c r="O829" s="68"/>
      <c r="P829" s="68"/>
      <c r="Q829" s="68"/>
      <c r="R829" s="68"/>
      <c r="S829" s="68"/>
    </row>
    <row r="830" spans="1:19" ht="15.75" customHeight="1">
      <c r="A830" s="299"/>
      <c r="B830" s="300"/>
      <c r="C830" s="68"/>
      <c r="D830" s="301"/>
      <c r="E830" s="69"/>
      <c r="K830" s="282"/>
      <c r="L830" s="282"/>
      <c r="M830" s="195"/>
      <c r="N830" s="5"/>
      <c r="O830" s="68"/>
      <c r="P830" s="68"/>
      <c r="Q830" s="68"/>
      <c r="R830" s="68"/>
      <c r="S830" s="68"/>
    </row>
    <row r="831" spans="1:19" ht="15.75" customHeight="1">
      <c r="A831" s="299"/>
      <c r="B831" s="300"/>
      <c r="C831" s="68"/>
      <c r="D831" s="301"/>
      <c r="E831" s="69"/>
      <c r="K831" s="282"/>
      <c r="L831" s="282"/>
      <c r="M831" s="195"/>
      <c r="N831" s="5"/>
      <c r="O831" s="68"/>
      <c r="P831" s="68"/>
      <c r="Q831" s="68"/>
      <c r="R831" s="68"/>
      <c r="S831" s="68"/>
    </row>
    <row r="832" spans="1:19" ht="15.75" customHeight="1">
      <c r="A832" s="299"/>
      <c r="B832" s="300"/>
      <c r="C832" s="68"/>
      <c r="D832" s="301"/>
      <c r="E832" s="69"/>
      <c r="K832" s="282"/>
      <c r="L832" s="282"/>
      <c r="M832" s="195"/>
      <c r="N832" s="5"/>
      <c r="O832" s="68"/>
      <c r="P832" s="68"/>
      <c r="Q832" s="68"/>
      <c r="R832" s="68"/>
      <c r="S832" s="68"/>
    </row>
    <row r="833" spans="1:19" ht="15.75" customHeight="1">
      <c r="A833" s="299"/>
      <c r="B833" s="300"/>
      <c r="C833" s="68"/>
      <c r="D833" s="301"/>
      <c r="E833" s="69"/>
      <c r="K833" s="282"/>
      <c r="L833" s="282"/>
      <c r="M833" s="195"/>
      <c r="N833" s="5"/>
      <c r="O833" s="68"/>
      <c r="P833" s="68"/>
      <c r="Q833" s="68"/>
      <c r="R833" s="68"/>
      <c r="S833" s="68"/>
    </row>
    <row r="834" spans="1:19" ht="15.75" customHeight="1">
      <c r="A834" s="299"/>
      <c r="B834" s="300"/>
      <c r="C834" s="68"/>
      <c r="D834" s="301"/>
      <c r="E834" s="69"/>
      <c r="K834" s="282"/>
      <c r="L834" s="282"/>
      <c r="M834" s="195"/>
      <c r="N834" s="5"/>
      <c r="O834" s="68"/>
      <c r="P834" s="68"/>
      <c r="Q834" s="68"/>
      <c r="R834" s="68"/>
      <c r="S834" s="68"/>
    </row>
    <row r="835" spans="1:19" ht="15.75" customHeight="1">
      <c r="A835" s="299"/>
      <c r="B835" s="300"/>
      <c r="C835" s="68"/>
      <c r="D835" s="301"/>
      <c r="E835" s="69"/>
      <c r="K835" s="282"/>
      <c r="L835" s="282"/>
      <c r="M835" s="195"/>
      <c r="N835" s="5"/>
      <c r="O835" s="68"/>
      <c r="P835" s="68"/>
      <c r="Q835" s="68"/>
      <c r="R835" s="68"/>
      <c r="S835" s="68"/>
    </row>
    <row r="836" spans="1:19" ht="15.75" customHeight="1">
      <c r="A836" s="299"/>
      <c r="B836" s="300"/>
      <c r="C836" s="68"/>
      <c r="D836" s="301"/>
      <c r="E836" s="69"/>
      <c r="K836" s="282"/>
      <c r="L836" s="282"/>
      <c r="M836" s="195"/>
      <c r="N836" s="5"/>
      <c r="O836" s="68"/>
      <c r="P836" s="68"/>
      <c r="Q836" s="68"/>
      <c r="R836" s="68"/>
      <c r="S836" s="68"/>
    </row>
    <row r="837" spans="1:19" ht="15.75" customHeight="1">
      <c r="A837" s="299"/>
      <c r="B837" s="300"/>
      <c r="C837" s="68"/>
      <c r="D837" s="301"/>
      <c r="E837" s="69"/>
      <c r="K837" s="282"/>
      <c r="L837" s="282"/>
      <c r="M837" s="195"/>
      <c r="N837" s="5"/>
      <c r="O837" s="68"/>
      <c r="P837" s="68"/>
      <c r="Q837" s="68"/>
      <c r="R837" s="68"/>
      <c r="S837" s="68"/>
    </row>
    <row r="838" spans="1:19" ht="15.75" customHeight="1">
      <c r="A838" s="299"/>
      <c r="B838" s="300"/>
      <c r="C838" s="68"/>
      <c r="D838" s="301"/>
      <c r="E838" s="69"/>
      <c r="K838" s="282"/>
      <c r="L838" s="282"/>
      <c r="M838" s="195"/>
      <c r="N838" s="5"/>
      <c r="O838" s="68"/>
      <c r="P838" s="68"/>
      <c r="Q838" s="68"/>
      <c r="R838" s="68"/>
      <c r="S838" s="68"/>
    </row>
    <row r="839" spans="1:19" ht="15.75" customHeight="1">
      <c r="A839" s="299"/>
      <c r="B839" s="300"/>
      <c r="C839" s="68"/>
      <c r="D839" s="301"/>
      <c r="E839" s="69"/>
      <c r="K839" s="282"/>
      <c r="L839" s="282"/>
      <c r="M839" s="195"/>
      <c r="N839" s="5"/>
      <c r="O839" s="68"/>
      <c r="P839" s="68"/>
      <c r="Q839" s="68"/>
      <c r="R839" s="68"/>
      <c r="S839" s="68"/>
    </row>
    <row r="840" spans="1:19" ht="15.75" customHeight="1">
      <c r="A840" s="299"/>
      <c r="B840" s="300"/>
      <c r="C840" s="68"/>
      <c r="D840" s="301"/>
      <c r="E840" s="69"/>
      <c r="K840" s="282"/>
      <c r="L840" s="282"/>
      <c r="M840" s="195"/>
      <c r="N840" s="5"/>
      <c r="O840" s="68"/>
      <c r="P840" s="68"/>
      <c r="Q840" s="68"/>
      <c r="R840" s="68"/>
      <c r="S840" s="68"/>
    </row>
    <row r="841" spans="1:19" ht="15.75" customHeight="1">
      <c r="A841" s="299"/>
      <c r="B841" s="300"/>
      <c r="C841" s="68"/>
      <c r="D841" s="301"/>
      <c r="E841" s="69"/>
      <c r="K841" s="282"/>
      <c r="L841" s="282"/>
      <c r="M841" s="195"/>
      <c r="N841" s="5"/>
      <c r="O841" s="68"/>
      <c r="P841" s="68"/>
      <c r="Q841" s="68"/>
      <c r="R841" s="68"/>
      <c r="S841" s="68"/>
    </row>
    <row r="842" spans="1:19" ht="15.75" customHeight="1">
      <c r="A842" s="299"/>
      <c r="B842" s="300"/>
      <c r="C842" s="68"/>
      <c r="D842" s="301"/>
      <c r="E842" s="69"/>
      <c r="K842" s="282"/>
      <c r="L842" s="282"/>
      <c r="M842" s="195"/>
      <c r="N842" s="5"/>
      <c r="O842" s="68"/>
      <c r="P842" s="68"/>
      <c r="Q842" s="68"/>
      <c r="R842" s="68"/>
      <c r="S842" s="68"/>
    </row>
    <row r="843" spans="1:19" ht="15.75" customHeight="1">
      <c r="A843" s="299"/>
      <c r="B843" s="300"/>
      <c r="C843" s="68"/>
      <c r="D843" s="301"/>
      <c r="E843" s="69"/>
      <c r="K843" s="282"/>
      <c r="L843" s="282"/>
      <c r="M843" s="195"/>
      <c r="N843" s="5"/>
      <c r="O843" s="68"/>
      <c r="P843" s="68"/>
      <c r="Q843" s="68"/>
      <c r="R843" s="68"/>
      <c r="S843" s="68"/>
    </row>
    <row r="844" spans="1:19" ht="15.75" customHeight="1">
      <c r="A844" s="299"/>
      <c r="B844" s="300"/>
      <c r="C844" s="68"/>
      <c r="D844" s="301"/>
      <c r="E844" s="69"/>
      <c r="K844" s="282"/>
      <c r="L844" s="282"/>
      <c r="M844" s="195"/>
      <c r="N844" s="5"/>
      <c r="O844" s="68"/>
      <c r="P844" s="68"/>
      <c r="Q844" s="68"/>
      <c r="R844" s="68"/>
      <c r="S844" s="68"/>
    </row>
    <row r="845" spans="1:19" ht="15.75" customHeight="1">
      <c r="A845" s="299"/>
      <c r="B845" s="300"/>
      <c r="C845" s="68"/>
      <c r="D845" s="301"/>
      <c r="E845" s="69"/>
      <c r="K845" s="282"/>
      <c r="L845" s="282"/>
      <c r="M845" s="195"/>
      <c r="N845" s="5"/>
      <c r="O845" s="68"/>
      <c r="P845" s="68"/>
      <c r="Q845" s="68"/>
      <c r="R845" s="68"/>
      <c r="S845" s="68"/>
    </row>
    <row r="846" spans="1:19" ht="15.75" customHeight="1">
      <c r="A846" s="299"/>
      <c r="B846" s="300"/>
      <c r="C846" s="68"/>
      <c r="D846" s="301"/>
      <c r="E846" s="69"/>
      <c r="K846" s="282"/>
      <c r="L846" s="282"/>
      <c r="M846" s="195"/>
      <c r="N846" s="5"/>
      <c r="O846" s="68"/>
      <c r="P846" s="68"/>
      <c r="Q846" s="68"/>
      <c r="R846" s="68"/>
      <c r="S846" s="68"/>
    </row>
    <row r="847" spans="1:19" ht="15.75" customHeight="1">
      <c r="A847" s="299"/>
      <c r="B847" s="300"/>
      <c r="C847" s="68"/>
      <c r="D847" s="301"/>
      <c r="E847" s="69"/>
      <c r="K847" s="282"/>
      <c r="L847" s="282"/>
      <c r="M847" s="195"/>
      <c r="N847" s="5"/>
      <c r="O847" s="68"/>
      <c r="P847" s="68"/>
      <c r="Q847" s="68"/>
      <c r="R847" s="68"/>
      <c r="S847" s="68"/>
    </row>
    <row r="848" spans="1:19" ht="15.75" customHeight="1">
      <c r="A848" s="299"/>
      <c r="B848" s="300"/>
      <c r="C848" s="68"/>
      <c r="D848" s="301"/>
      <c r="E848" s="69"/>
      <c r="K848" s="282"/>
      <c r="L848" s="282"/>
      <c r="M848" s="195"/>
      <c r="N848" s="5"/>
      <c r="O848" s="68"/>
      <c r="P848" s="68"/>
      <c r="Q848" s="68"/>
      <c r="R848" s="68"/>
      <c r="S848" s="68"/>
    </row>
    <row r="849" spans="1:19" ht="15.75" customHeight="1">
      <c r="A849" s="299"/>
      <c r="B849" s="300"/>
      <c r="C849" s="68"/>
      <c r="D849" s="301"/>
      <c r="E849" s="69"/>
      <c r="K849" s="282"/>
      <c r="L849" s="282"/>
      <c r="M849" s="195"/>
      <c r="N849" s="5"/>
      <c r="O849" s="68"/>
      <c r="P849" s="68"/>
      <c r="Q849" s="68"/>
      <c r="R849" s="68"/>
      <c r="S849" s="68"/>
    </row>
    <row r="850" spans="1:19" ht="15.75" customHeight="1">
      <c r="A850" s="299"/>
      <c r="B850" s="300"/>
      <c r="C850" s="68"/>
      <c r="D850" s="301"/>
      <c r="E850" s="69"/>
      <c r="K850" s="282"/>
      <c r="L850" s="282"/>
      <c r="M850" s="195"/>
      <c r="N850" s="5"/>
      <c r="O850" s="68"/>
      <c r="P850" s="68"/>
      <c r="Q850" s="68"/>
      <c r="R850" s="68"/>
      <c r="S850" s="68"/>
    </row>
    <row r="851" spans="1:19" ht="15.75" customHeight="1">
      <c r="A851" s="299"/>
      <c r="B851" s="300"/>
      <c r="C851" s="68"/>
      <c r="D851" s="301"/>
      <c r="E851" s="69"/>
      <c r="K851" s="282"/>
      <c r="L851" s="282"/>
      <c r="M851" s="195"/>
      <c r="N851" s="5"/>
      <c r="O851" s="68"/>
      <c r="P851" s="68"/>
      <c r="Q851" s="68"/>
      <c r="R851" s="68"/>
      <c r="S851" s="68"/>
    </row>
    <row r="852" spans="1:19" ht="15.75" customHeight="1">
      <c r="A852" s="299"/>
      <c r="B852" s="300"/>
      <c r="C852" s="68"/>
      <c r="D852" s="301"/>
      <c r="E852" s="69"/>
      <c r="K852" s="282"/>
      <c r="L852" s="282"/>
      <c r="M852" s="195"/>
      <c r="N852" s="5"/>
      <c r="O852" s="68"/>
      <c r="P852" s="68"/>
      <c r="Q852" s="68"/>
      <c r="R852" s="68"/>
      <c r="S852" s="68"/>
    </row>
    <row r="853" spans="1:19" ht="15.75" customHeight="1">
      <c r="A853" s="299"/>
      <c r="B853" s="300"/>
      <c r="C853" s="68"/>
      <c r="D853" s="301"/>
      <c r="E853" s="69"/>
      <c r="K853" s="282"/>
      <c r="L853" s="282"/>
      <c r="M853" s="195"/>
      <c r="N853" s="5"/>
      <c r="O853" s="68"/>
      <c r="P853" s="68"/>
      <c r="Q853" s="68"/>
      <c r="R853" s="68"/>
      <c r="S853" s="68"/>
    </row>
    <row r="854" spans="1:19" ht="15.75" customHeight="1">
      <c r="A854" s="299"/>
      <c r="B854" s="300"/>
      <c r="C854" s="68"/>
      <c r="D854" s="301"/>
      <c r="E854" s="69"/>
      <c r="K854" s="282"/>
      <c r="L854" s="282"/>
      <c r="M854" s="195"/>
      <c r="N854" s="5"/>
      <c r="O854" s="68"/>
      <c r="P854" s="68"/>
      <c r="Q854" s="68"/>
      <c r="R854" s="68"/>
      <c r="S854" s="68"/>
    </row>
    <row r="855" spans="1:19" ht="15.75" customHeight="1">
      <c r="A855" s="299"/>
      <c r="B855" s="300"/>
      <c r="C855" s="68"/>
      <c r="D855" s="301"/>
      <c r="E855" s="69"/>
      <c r="K855" s="282"/>
      <c r="L855" s="282"/>
      <c r="M855" s="195"/>
      <c r="N855" s="5"/>
      <c r="O855" s="68"/>
      <c r="P855" s="68"/>
      <c r="Q855" s="68"/>
      <c r="R855" s="68"/>
      <c r="S855" s="68"/>
    </row>
    <row r="856" spans="1:19" ht="15.75" customHeight="1">
      <c r="A856" s="299"/>
      <c r="B856" s="300"/>
      <c r="C856" s="68"/>
      <c r="D856" s="301"/>
      <c r="E856" s="69"/>
      <c r="K856" s="282"/>
      <c r="L856" s="282"/>
      <c r="M856" s="195"/>
      <c r="N856" s="5"/>
      <c r="O856" s="68"/>
      <c r="P856" s="68"/>
      <c r="Q856" s="68"/>
      <c r="R856" s="68"/>
      <c r="S856" s="68"/>
    </row>
    <row r="857" spans="1:19" ht="15.75" customHeight="1">
      <c r="A857" s="299"/>
      <c r="B857" s="300"/>
      <c r="C857" s="68"/>
      <c r="D857" s="301"/>
      <c r="E857" s="69"/>
      <c r="K857" s="282"/>
      <c r="L857" s="282"/>
      <c r="M857" s="195"/>
      <c r="N857" s="5"/>
      <c r="O857" s="68"/>
      <c r="P857" s="68"/>
      <c r="Q857" s="68"/>
      <c r="R857" s="68"/>
      <c r="S857" s="68"/>
    </row>
    <row r="858" spans="1:19" ht="15.75" customHeight="1">
      <c r="A858" s="299"/>
      <c r="B858" s="300"/>
      <c r="C858" s="68"/>
      <c r="D858" s="301"/>
      <c r="E858" s="69"/>
      <c r="K858" s="282"/>
      <c r="L858" s="282"/>
      <c r="M858" s="195"/>
      <c r="N858" s="5"/>
      <c r="O858" s="68"/>
      <c r="P858" s="68"/>
      <c r="Q858" s="68"/>
      <c r="R858" s="68"/>
      <c r="S858" s="68"/>
    </row>
    <row r="859" spans="1:19" ht="15.75" customHeight="1">
      <c r="A859" s="299"/>
      <c r="B859" s="300"/>
      <c r="C859" s="68"/>
      <c r="D859" s="301"/>
      <c r="E859" s="69"/>
      <c r="K859" s="282"/>
      <c r="L859" s="282"/>
      <c r="M859" s="195"/>
      <c r="N859" s="5"/>
      <c r="O859" s="68"/>
      <c r="P859" s="68"/>
      <c r="Q859" s="68"/>
      <c r="R859" s="68"/>
      <c r="S859" s="68"/>
    </row>
    <row r="860" spans="1:19" ht="15.75" customHeight="1">
      <c r="A860" s="299"/>
      <c r="B860" s="300"/>
      <c r="C860" s="68"/>
      <c r="D860" s="301"/>
      <c r="E860" s="69"/>
      <c r="K860" s="282"/>
      <c r="L860" s="282"/>
      <c r="M860" s="195"/>
      <c r="N860" s="5"/>
      <c r="O860" s="68"/>
      <c r="P860" s="68"/>
      <c r="Q860" s="68"/>
      <c r="R860" s="68"/>
      <c r="S860" s="68"/>
    </row>
    <row r="861" spans="1:19" ht="15.75" customHeight="1">
      <c r="A861" s="299"/>
      <c r="B861" s="300"/>
      <c r="C861" s="68"/>
      <c r="D861" s="301"/>
      <c r="E861" s="69"/>
      <c r="K861" s="282"/>
      <c r="L861" s="282"/>
      <c r="M861" s="195"/>
      <c r="N861" s="5"/>
      <c r="O861" s="68"/>
      <c r="P861" s="68"/>
      <c r="Q861" s="68"/>
      <c r="R861" s="68"/>
      <c r="S861" s="68"/>
    </row>
    <row r="862" spans="1:19" ht="15.75" customHeight="1">
      <c r="A862" s="299"/>
      <c r="B862" s="300"/>
      <c r="C862" s="68"/>
      <c r="D862" s="301"/>
      <c r="E862" s="69"/>
      <c r="K862" s="282"/>
      <c r="L862" s="282"/>
      <c r="M862" s="195"/>
      <c r="N862" s="5"/>
      <c r="O862" s="68"/>
      <c r="P862" s="68"/>
      <c r="Q862" s="68"/>
      <c r="R862" s="68"/>
      <c r="S862" s="68"/>
    </row>
    <row r="863" spans="1:19" ht="15.75" customHeight="1">
      <c r="A863" s="299"/>
      <c r="B863" s="300"/>
      <c r="C863" s="68"/>
      <c r="D863" s="301"/>
      <c r="E863" s="69"/>
      <c r="K863" s="282"/>
      <c r="L863" s="282"/>
      <c r="M863" s="195"/>
      <c r="N863" s="5"/>
      <c r="O863" s="68"/>
      <c r="P863" s="68"/>
      <c r="Q863" s="68"/>
      <c r="R863" s="68"/>
      <c r="S863" s="68"/>
    </row>
    <row r="864" spans="1:19" ht="15.75" customHeight="1">
      <c r="A864" s="299"/>
      <c r="B864" s="300"/>
      <c r="C864" s="68"/>
      <c r="D864" s="301"/>
      <c r="E864" s="69"/>
      <c r="K864" s="282"/>
      <c r="L864" s="282"/>
      <c r="M864" s="195"/>
      <c r="N864" s="5"/>
      <c r="O864" s="68"/>
      <c r="P864" s="68"/>
      <c r="Q864" s="68"/>
      <c r="R864" s="68"/>
      <c r="S864" s="68"/>
    </row>
    <row r="865" spans="1:19" ht="15.75" customHeight="1">
      <c r="A865" s="299"/>
      <c r="B865" s="300"/>
      <c r="C865" s="68"/>
      <c r="D865" s="301"/>
      <c r="E865" s="69"/>
      <c r="K865" s="282"/>
      <c r="L865" s="282"/>
      <c r="M865" s="195"/>
      <c r="N865" s="5"/>
      <c r="O865" s="68"/>
      <c r="P865" s="68"/>
      <c r="Q865" s="68"/>
      <c r="R865" s="68"/>
      <c r="S865" s="68"/>
    </row>
    <row r="866" spans="1:19" ht="15.75" customHeight="1">
      <c r="A866" s="299"/>
      <c r="B866" s="300"/>
      <c r="C866" s="68"/>
      <c r="D866" s="301"/>
      <c r="E866" s="69"/>
      <c r="K866" s="282"/>
      <c r="L866" s="282"/>
      <c r="M866" s="195"/>
      <c r="N866" s="5"/>
      <c r="O866" s="68"/>
      <c r="P866" s="68"/>
      <c r="Q866" s="68"/>
      <c r="R866" s="68"/>
      <c r="S866" s="68"/>
    </row>
    <row r="867" spans="1:19" ht="15.75" customHeight="1">
      <c r="A867" s="299"/>
      <c r="B867" s="300"/>
      <c r="C867" s="68"/>
      <c r="D867" s="301"/>
      <c r="E867" s="69"/>
      <c r="K867" s="282"/>
      <c r="L867" s="282"/>
      <c r="M867" s="195"/>
      <c r="N867" s="5"/>
      <c r="O867" s="68"/>
      <c r="P867" s="68"/>
      <c r="Q867" s="68"/>
      <c r="R867" s="68"/>
      <c r="S867" s="68"/>
    </row>
    <row r="868" spans="1:19" ht="15.75" customHeight="1">
      <c r="A868" s="299"/>
      <c r="B868" s="300"/>
      <c r="C868" s="68"/>
      <c r="D868" s="301"/>
      <c r="E868" s="69"/>
      <c r="K868" s="282"/>
      <c r="L868" s="282"/>
      <c r="M868" s="195"/>
      <c r="N868" s="5"/>
      <c r="O868" s="68"/>
      <c r="P868" s="68"/>
      <c r="Q868" s="68"/>
      <c r="R868" s="68"/>
      <c r="S868" s="68"/>
    </row>
    <row r="869" spans="1:19" ht="15.75" customHeight="1">
      <c r="A869" s="299"/>
      <c r="B869" s="300"/>
      <c r="C869" s="68"/>
      <c r="D869" s="301"/>
      <c r="E869" s="69"/>
      <c r="K869" s="282"/>
      <c r="L869" s="282"/>
      <c r="M869" s="195"/>
      <c r="N869" s="5"/>
      <c r="O869" s="68"/>
      <c r="P869" s="68"/>
      <c r="Q869" s="68"/>
      <c r="R869" s="68"/>
      <c r="S869" s="68"/>
    </row>
    <row r="870" spans="1:19" ht="15.75" customHeight="1">
      <c r="A870" s="299"/>
      <c r="B870" s="300"/>
      <c r="C870" s="68"/>
      <c r="D870" s="301"/>
      <c r="E870" s="69"/>
      <c r="K870" s="282"/>
      <c r="L870" s="282"/>
      <c r="M870" s="195"/>
      <c r="N870" s="5"/>
      <c r="O870" s="68"/>
      <c r="P870" s="68"/>
      <c r="Q870" s="68"/>
      <c r="R870" s="68"/>
      <c r="S870" s="68"/>
    </row>
    <row r="871" spans="1:19" ht="15.75" customHeight="1">
      <c r="A871" s="299"/>
      <c r="B871" s="300"/>
      <c r="C871" s="68"/>
      <c r="D871" s="301"/>
      <c r="E871" s="69"/>
      <c r="K871" s="282"/>
      <c r="L871" s="282"/>
      <c r="M871" s="195"/>
      <c r="N871" s="5"/>
      <c r="O871" s="68"/>
      <c r="P871" s="68"/>
      <c r="Q871" s="68"/>
      <c r="R871" s="68"/>
      <c r="S871" s="68"/>
    </row>
    <row r="872" spans="1:19" ht="15.75" customHeight="1">
      <c r="A872" s="299"/>
      <c r="B872" s="300"/>
      <c r="C872" s="68"/>
      <c r="D872" s="301"/>
      <c r="E872" s="69"/>
      <c r="K872" s="282"/>
      <c r="L872" s="282"/>
      <c r="M872" s="195"/>
      <c r="N872" s="5"/>
      <c r="O872" s="68"/>
      <c r="P872" s="68"/>
      <c r="Q872" s="68"/>
      <c r="R872" s="68"/>
      <c r="S872" s="68"/>
    </row>
    <row r="873" spans="1:19" ht="15.75" customHeight="1">
      <c r="A873" s="299"/>
      <c r="B873" s="300"/>
      <c r="C873" s="68"/>
      <c r="D873" s="301"/>
      <c r="E873" s="69"/>
      <c r="K873" s="282"/>
      <c r="L873" s="282"/>
      <c r="M873" s="195"/>
      <c r="N873" s="5"/>
      <c r="O873" s="68"/>
      <c r="P873" s="68"/>
      <c r="Q873" s="68"/>
      <c r="R873" s="68"/>
      <c r="S873" s="68"/>
    </row>
    <row r="874" spans="1:19" ht="15.75" customHeight="1">
      <c r="A874" s="299"/>
      <c r="B874" s="300"/>
      <c r="C874" s="68"/>
      <c r="D874" s="301"/>
      <c r="E874" s="69"/>
      <c r="K874" s="282"/>
      <c r="L874" s="282"/>
      <c r="M874" s="195"/>
      <c r="N874" s="5"/>
      <c r="O874" s="68"/>
      <c r="P874" s="68"/>
      <c r="Q874" s="68"/>
      <c r="R874" s="68"/>
      <c r="S874" s="68"/>
    </row>
    <row r="875" spans="1:19" ht="15.75" customHeight="1">
      <c r="A875" s="299"/>
      <c r="B875" s="300"/>
      <c r="C875" s="68"/>
      <c r="D875" s="301"/>
      <c r="E875" s="69"/>
      <c r="K875" s="282"/>
      <c r="L875" s="282"/>
      <c r="M875" s="195"/>
      <c r="N875" s="5"/>
      <c r="O875" s="68"/>
      <c r="P875" s="68"/>
      <c r="Q875" s="68"/>
      <c r="R875" s="68"/>
      <c r="S875" s="68"/>
    </row>
    <row r="876" spans="1:19" ht="15.75" customHeight="1">
      <c r="A876" s="299"/>
      <c r="B876" s="300"/>
      <c r="C876" s="68"/>
      <c r="D876" s="301"/>
      <c r="E876" s="69"/>
      <c r="K876" s="282"/>
      <c r="L876" s="282"/>
      <c r="M876" s="195"/>
      <c r="N876" s="5"/>
      <c r="O876" s="68"/>
      <c r="P876" s="68"/>
      <c r="Q876" s="68"/>
      <c r="R876" s="68"/>
      <c r="S876" s="68"/>
    </row>
    <row r="877" spans="1:19" ht="15.75" customHeight="1">
      <c r="A877" s="299"/>
      <c r="B877" s="300"/>
      <c r="C877" s="68"/>
      <c r="D877" s="301"/>
      <c r="E877" s="69"/>
      <c r="K877" s="282"/>
      <c r="L877" s="282"/>
      <c r="M877" s="195"/>
      <c r="N877" s="5"/>
      <c r="O877" s="68"/>
      <c r="P877" s="68"/>
      <c r="Q877" s="68"/>
      <c r="R877" s="68"/>
      <c r="S877" s="68"/>
    </row>
    <row r="878" spans="1:19" ht="15.75" customHeight="1">
      <c r="A878" s="299"/>
      <c r="B878" s="300"/>
      <c r="C878" s="68"/>
      <c r="D878" s="301"/>
      <c r="E878" s="69"/>
      <c r="K878" s="282"/>
      <c r="L878" s="282"/>
      <c r="M878" s="195"/>
      <c r="N878" s="5"/>
      <c r="O878" s="68"/>
      <c r="P878" s="68"/>
      <c r="Q878" s="68"/>
      <c r="R878" s="68"/>
      <c r="S878" s="68"/>
    </row>
    <row r="879" spans="1:19" ht="15.75" customHeight="1">
      <c r="A879" s="299"/>
      <c r="B879" s="300"/>
      <c r="C879" s="68"/>
      <c r="D879" s="301"/>
      <c r="E879" s="69"/>
      <c r="K879" s="282"/>
      <c r="L879" s="282"/>
      <c r="M879" s="195"/>
      <c r="N879" s="5"/>
      <c r="O879" s="68"/>
      <c r="P879" s="68"/>
      <c r="Q879" s="68"/>
      <c r="R879" s="68"/>
      <c r="S879" s="68"/>
    </row>
    <row r="880" spans="1:19" ht="15.75" customHeight="1">
      <c r="A880" s="299"/>
      <c r="B880" s="300"/>
      <c r="C880" s="68"/>
      <c r="D880" s="301"/>
      <c r="E880" s="69"/>
      <c r="K880" s="282"/>
      <c r="L880" s="282"/>
      <c r="M880" s="195"/>
      <c r="N880" s="5"/>
      <c r="O880" s="68"/>
      <c r="P880" s="68"/>
      <c r="Q880" s="68"/>
      <c r="R880" s="68"/>
      <c r="S880" s="68"/>
    </row>
    <row r="881" spans="1:19" ht="15.75" customHeight="1">
      <c r="A881" s="299"/>
      <c r="B881" s="300"/>
      <c r="C881" s="68"/>
      <c r="D881" s="301"/>
      <c r="E881" s="69"/>
      <c r="K881" s="282"/>
      <c r="L881" s="282"/>
      <c r="M881" s="195"/>
      <c r="N881" s="5"/>
      <c r="O881" s="68"/>
      <c r="P881" s="68"/>
      <c r="Q881" s="68"/>
      <c r="R881" s="68"/>
      <c r="S881" s="68"/>
    </row>
    <row r="882" spans="1:19" ht="15.75" customHeight="1">
      <c r="A882" s="299"/>
      <c r="B882" s="300"/>
      <c r="C882" s="68"/>
      <c r="D882" s="301"/>
      <c r="E882" s="69"/>
      <c r="K882" s="282"/>
      <c r="L882" s="282"/>
      <c r="M882" s="195"/>
      <c r="N882" s="5"/>
      <c r="O882" s="68"/>
      <c r="P882" s="68"/>
      <c r="Q882" s="68"/>
      <c r="R882" s="68"/>
      <c r="S882" s="68"/>
    </row>
    <row r="883" spans="1:19" ht="15.75" customHeight="1">
      <c r="A883" s="299"/>
      <c r="B883" s="300"/>
      <c r="C883" s="68"/>
      <c r="D883" s="301"/>
      <c r="E883" s="69"/>
      <c r="K883" s="282"/>
      <c r="L883" s="282"/>
      <c r="M883" s="195"/>
      <c r="N883" s="5"/>
      <c r="O883" s="68"/>
      <c r="P883" s="68"/>
      <c r="Q883" s="68"/>
      <c r="R883" s="68"/>
      <c r="S883" s="68"/>
    </row>
    <row r="884" spans="1:19" ht="15.75" customHeight="1">
      <c r="A884" s="299"/>
      <c r="B884" s="300"/>
      <c r="C884" s="68"/>
      <c r="D884" s="301"/>
      <c r="E884" s="69"/>
      <c r="K884" s="282"/>
      <c r="L884" s="282"/>
      <c r="M884" s="195"/>
      <c r="N884" s="5"/>
      <c r="O884" s="68"/>
      <c r="P884" s="68"/>
      <c r="Q884" s="68"/>
      <c r="R884" s="68"/>
      <c r="S884" s="68"/>
    </row>
    <row r="885" spans="1:19" ht="15.75" customHeight="1">
      <c r="A885" s="299"/>
      <c r="B885" s="300"/>
      <c r="C885" s="68"/>
      <c r="D885" s="301"/>
      <c r="E885" s="69"/>
      <c r="K885" s="282"/>
      <c r="L885" s="282"/>
      <c r="M885" s="195"/>
      <c r="N885" s="5"/>
      <c r="O885" s="68"/>
      <c r="P885" s="68"/>
      <c r="Q885" s="68"/>
      <c r="R885" s="68"/>
      <c r="S885" s="68"/>
    </row>
    <row r="886" spans="1:19" ht="15.75" customHeight="1">
      <c r="A886" s="299"/>
      <c r="B886" s="300"/>
      <c r="C886" s="68"/>
      <c r="D886" s="301"/>
      <c r="E886" s="69"/>
      <c r="K886" s="282"/>
      <c r="L886" s="282"/>
      <c r="M886" s="195"/>
      <c r="N886" s="5"/>
      <c r="O886" s="68"/>
      <c r="P886" s="68"/>
      <c r="Q886" s="68"/>
      <c r="R886" s="68"/>
      <c r="S886" s="68"/>
    </row>
    <row r="887" spans="1:19" ht="15.75" customHeight="1">
      <c r="A887" s="299"/>
      <c r="B887" s="300"/>
      <c r="C887" s="68"/>
      <c r="D887" s="301"/>
      <c r="E887" s="69"/>
      <c r="K887" s="282"/>
      <c r="L887" s="282"/>
      <c r="M887" s="195"/>
      <c r="N887" s="5"/>
      <c r="O887" s="68"/>
      <c r="P887" s="68"/>
      <c r="Q887" s="68"/>
      <c r="R887" s="68"/>
      <c r="S887" s="68"/>
    </row>
    <row r="888" spans="1:19" ht="15.75" customHeight="1">
      <c r="A888" s="299"/>
      <c r="B888" s="300"/>
      <c r="C888" s="68"/>
      <c r="D888" s="301"/>
      <c r="E888" s="69"/>
      <c r="K888" s="282"/>
      <c r="L888" s="282"/>
      <c r="M888" s="195"/>
      <c r="N888" s="5"/>
      <c r="O888" s="68"/>
      <c r="P888" s="68"/>
      <c r="Q888" s="68"/>
      <c r="R888" s="68"/>
      <c r="S888" s="68"/>
    </row>
    <row r="889" spans="1:19" ht="15.75" customHeight="1">
      <c r="A889" s="299"/>
      <c r="B889" s="300"/>
      <c r="C889" s="68"/>
      <c r="D889" s="301"/>
      <c r="E889" s="69"/>
      <c r="K889" s="282"/>
      <c r="L889" s="282"/>
      <c r="M889" s="195"/>
      <c r="N889" s="5"/>
      <c r="O889" s="68"/>
      <c r="P889" s="68"/>
      <c r="Q889" s="68"/>
      <c r="R889" s="68"/>
      <c r="S889" s="68"/>
    </row>
    <row r="890" spans="1:19" ht="15.75" customHeight="1">
      <c r="A890" s="299"/>
      <c r="B890" s="300"/>
      <c r="C890" s="68"/>
      <c r="D890" s="301"/>
      <c r="E890" s="69"/>
      <c r="K890" s="282"/>
      <c r="L890" s="282"/>
      <c r="M890" s="195"/>
      <c r="N890" s="5"/>
      <c r="O890" s="68"/>
      <c r="P890" s="68"/>
      <c r="Q890" s="68"/>
      <c r="R890" s="68"/>
      <c r="S890" s="68"/>
    </row>
    <row r="891" spans="1:19" ht="15.75" customHeight="1">
      <c r="A891" s="299"/>
      <c r="B891" s="300"/>
      <c r="C891" s="68"/>
      <c r="D891" s="301"/>
      <c r="E891" s="69"/>
      <c r="K891" s="282"/>
      <c r="L891" s="282"/>
      <c r="M891" s="195"/>
      <c r="N891" s="5"/>
      <c r="O891" s="68"/>
      <c r="P891" s="68"/>
      <c r="Q891" s="68"/>
      <c r="R891" s="68"/>
      <c r="S891" s="68"/>
    </row>
    <row r="892" spans="1:19" ht="15.75" customHeight="1">
      <c r="A892" s="299"/>
      <c r="B892" s="300"/>
      <c r="C892" s="68"/>
      <c r="D892" s="301"/>
      <c r="E892" s="69"/>
      <c r="K892" s="282"/>
      <c r="L892" s="282"/>
      <c r="M892" s="195"/>
      <c r="N892" s="5"/>
      <c r="O892" s="68"/>
      <c r="P892" s="68"/>
      <c r="Q892" s="68"/>
      <c r="R892" s="68"/>
      <c r="S892" s="68"/>
    </row>
    <row r="893" spans="1:19" ht="15.75" customHeight="1">
      <c r="A893" s="299"/>
      <c r="B893" s="300"/>
      <c r="C893" s="68"/>
      <c r="D893" s="301"/>
      <c r="E893" s="69"/>
      <c r="K893" s="282"/>
      <c r="L893" s="282"/>
      <c r="M893" s="195"/>
      <c r="N893" s="5"/>
      <c r="O893" s="68"/>
      <c r="P893" s="68"/>
      <c r="Q893" s="68"/>
      <c r="R893" s="68"/>
      <c r="S893" s="68"/>
    </row>
    <row r="894" spans="1:19" ht="15.75" customHeight="1">
      <c r="A894" s="299"/>
      <c r="B894" s="300"/>
      <c r="C894" s="68"/>
      <c r="D894" s="301"/>
      <c r="E894" s="69"/>
      <c r="K894" s="282"/>
      <c r="L894" s="282"/>
      <c r="M894" s="195"/>
      <c r="N894" s="5"/>
      <c r="O894" s="68"/>
      <c r="P894" s="68"/>
      <c r="Q894" s="68"/>
      <c r="R894" s="68"/>
      <c r="S894" s="68"/>
    </row>
    <row r="895" spans="1:19" ht="15.75" customHeight="1">
      <c r="A895" s="299"/>
      <c r="B895" s="300"/>
      <c r="C895" s="68"/>
      <c r="D895" s="301"/>
      <c r="E895" s="69"/>
      <c r="K895" s="282"/>
      <c r="L895" s="282"/>
      <c r="M895" s="195"/>
      <c r="N895" s="5"/>
      <c r="O895" s="68"/>
      <c r="P895" s="68"/>
      <c r="Q895" s="68"/>
      <c r="R895" s="68"/>
      <c r="S895" s="68"/>
    </row>
    <row r="896" spans="1:19" ht="15.75" customHeight="1">
      <c r="A896" s="299"/>
      <c r="B896" s="300"/>
      <c r="C896" s="68"/>
      <c r="D896" s="301"/>
      <c r="E896" s="69"/>
      <c r="K896" s="282"/>
      <c r="L896" s="282"/>
      <c r="M896" s="195"/>
      <c r="N896" s="5"/>
      <c r="O896" s="68"/>
      <c r="P896" s="68"/>
      <c r="Q896" s="68"/>
      <c r="R896" s="68"/>
      <c r="S896" s="68"/>
    </row>
    <row r="897" spans="1:19" ht="15.75" customHeight="1">
      <c r="A897" s="299"/>
      <c r="B897" s="300"/>
      <c r="C897" s="68"/>
      <c r="D897" s="301"/>
      <c r="E897" s="69"/>
      <c r="K897" s="282"/>
      <c r="L897" s="282"/>
      <c r="M897" s="195"/>
      <c r="N897" s="5"/>
      <c r="O897" s="68"/>
      <c r="P897" s="68"/>
      <c r="Q897" s="68"/>
      <c r="R897" s="68"/>
      <c r="S897" s="68"/>
    </row>
    <row r="898" spans="1:19" ht="15.75" customHeight="1">
      <c r="A898" s="299"/>
      <c r="B898" s="300"/>
      <c r="C898" s="68"/>
      <c r="D898" s="301"/>
      <c r="E898" s="69"/>
      <c r="K898" s="282"/>
      <c r="L898" s="282"/>
      <c r="M898" s="195"/>
      <c r="N898" s="5"/>
      <c r="O898" s="68"/>
      <c r="P898" s="68"/>
      <c r="Q898" s="68"/>
      <c r="R898" s="68"/>
      <c r="S898" s="68"/>
    </row>
    <row r="899" spans="1:19" ht="15.75" customHeight="1">
      <c r="A899" s="299"/>
      <c r="B899" s="300"/>
      <c r="C899" s="68"/>
      <c r="D899" s="301"/>
      <c r="E899" s="69"/>
      <c r="K899" s="282"/>
      <c r="L899" s="282"/>
      <c r="M899" s="195"/>
      <c r="N899" s="5"/>
      <c r="O899" s="68"/>
      <c r="P899" s="68"/>
      <c r="Q899" s="68"/>
      <c r="R899" s="68"/>
      <c r="S899" s="68"/>
    </row>
    <row r="900" spans="1:19" ht="15.75" customHeight="1">
      <c r="A900" s="299"/>
      <c r="B900" s="300"/>
      <c r="C900" s="68"/>
      <c r="D900" s="301"/>
      <c r="E900" s="69"/>
      <c r="K900" s="282"/>
      <c r="L900" s="282"/>
      <c r="M900" s="195"/>
      <c r="N900" s="5"/>
      <c r="O900" s="68"/>
      <c r="P900" s="68"/>
      <c r="Q900" s="68"/>
      <c r="R900" s="68"/>
      <c r="S900" s="68"/>
    </row>
    <row r="901" spans="1:19" ht="15.75" customHeight="1">
      <c r="A901" s="299"/>
      <c r="B901" s="300"/>
      <c r="C901" s="68"/>
      <c r="D901" s="301"/>
      <c r="E901" s="69"/>
      <c r="K901" s="282"/>
      <c r="L901" s="282"/>
      <c r="M901" s="195"/>
      <c r="N901" s="5"/>
      <c r="O901" s="68"/>
      <c r="P901" s="68"/>
      <c r="Q901" s="68"/>
      <c r="R901" s="68"/>
      <c r="S901" s="68"/>
    </row>
    <row r="902" spans="1:19" ht="15.75" customHeight="1">
      <c r="A902" s="299"/>
      <c r="B902" s="300"/>
      <c r="C902" s="68"/>
      <c r="D902" s="301"/>
      <c r="E902" s="69"/>
      <c r="K902" s="282"/>
      <c r="L902" s="282"/>
      <c r="M902" s="195"/>
      <c r="N902" s="5"/>
      <c r="O902" s="68"/>
      <c r="P902" s="68"/>
      <c r="Q902" s="68"/>
      <c r="R902" s="68"/>
      <c r="S902" s="68"/>
    </row>
    <row r="903" spans="1:19" ht="15.75" customHeight="1">
      <c r="A903" s="299"/>
      <c r="B903" s="300"/>
      <c r="C903" s="68"/>
      <c r="D903" s="301"/>
      <c r="E903" s="69"/>
      <c r="K903" s="282"/>
      <c r="L903" s="282"/>
      <c r="M903" s="195"/>
      <c r="N903" s="5"/>
      <c r="O903" s="68"/>
      <c r="P903" s="68"/>
      <c r="Q903" s="68"/>
      <c r="R903" s="68"/>
      <c r="S903" s="68"/>
    </row>
    <row r="904" spans="1:19" ht="15.75" customHeight="1">
      <c r="A904" s="299"/>
      <c r="B904" s="300"/>
      <c r="C904" s="68"/>
      <c r="D904" s="301"/>
      <c r="E904" s="69"/>
      <c r="K904" s="282"/>
      <c r="L904" s="282"/>
      <c r="M904" s="195"/>
      <c r="N904" s="5"/>
      <c r="O904" s="68"/>
      <c r="P904" s="68"/>
      <c r="Q904" s="68"/>
      <c r="R904" s="68"/>
      <c r="S904" s="68"/>
    </row>
    <row r="905" spans="1:19" ht="15.75" customHeight="1">
      <c r="A905" s="299"/>
      <c r="B905" s="300"/>
      <c r="C905" s="68"/>
      <c r="D905" s="301"/>
      <c r="E905" s="69"/>
      <c r="K905" s="282"/>
      <c r="L905" s="282"/>
      <c r="M905" s="195"/>
      <c r="N905" s="5"/>
      <c r="O905" s="68"/>
      <c r="P905" s="68"/>
      <c r="Q905" s="68"/>
      <c r="R905" s="68"/>
      <c r="S905" s="68"/>
    </row>
    <row r="906" spans="1:19" ht="15.75" customHeight="1">
      <c r="A906" s="299"/>
      <c r="B906" s="300"/>
      <c r="C906" s="68"/>
      <c r="D906" s="301"/>
      <c r="E906" s="69"/>
      <c r="K906" s="282"/>
      <c r="L906" s="282"/>
      <c r="M906" s="195"/>
      <c r="N906" s="5"/>
      <c r="O906" s="68"/>
      <c r="P906" s="68"/>
      <c r="Q906" s="68"/>
      <c r="R906" s="68"/>
      <c r="S906" s="68"/>
    </row>
    <row r="907" spans="1:19" ht="15.75" customHeight="1">
      <c r="A907" s="299"/>
      <c r="B907" s="300"/>
      <c r="C907" s="68"/>
      <c r="D907" s="301"/>
      <c r="E907" s="69"/>
      <c r="K907" s="282"/>
      <c r="L907" s="282"/>
      <c r="M907" s="195"/>
      <c r="N907" s="5"/>
      <c r="O907" s="68"/>
      <c r="P907" s="68"/>
      <c r="Q907" s="68"/>
      <c r="R907" s="68"/>
      <c r="S907" s="68"/>
    </row>
    <row r="908" spans="1:19" ht="15.75" customHeight="1">
      <c r="A908" s="299"/>
      <c r="B908" s="300"/>
      <c r="C908" s="68"/>
      <c r="D908" s="301"/>
      <c r="E908" s="69"/>
      <c r="K908" s="282"/>
      <c r="L908" s="282"/>
      <c r="M908" s="195"/>
      <c r="N908" s="5"/>
      <c r="O908" s="68"/>
      <c r="P908" s="68"/>
      <c r="Q908" s="68"/>
      <c r="R908" s="68"/>
      <c r="S908" s="68"/>
    </row>
    <row r="909" spans="1:19" ht="15.75" customHeight="1">
      <c r="A909" s="299"/>
      <c r="B909" s="300"/>
      <c r="C909" s="68"/>
      <c r="D909" s="301"/>
      <c r="E909" s="69"/>
      <c r="K909" s="282"/>
      <c r="L909" s="282"/>
      <c r="M909" s="195"/>
      <c r="N909" s="5"/>
      <c r="O909" s="68"/>
      <c r="P909" s="68"/>
      <c r="Q909" s="68"/>
      <c r="R909" s="68"/>
      <c r="S909" s="68"/>
    </row>
    <row r="910" spans="1:19" ht="15.75" customHeight="1">
      <c r="A910" s="299"/>
      <c r="B910" s="300"/>
      <c r="C910" s="68"/>
      <c r="D910" s="301"/>
      <c r="E910" s="69"/>
      <c r="K910" s="282"/>
      <c r="L910" s="282"/>
      <c r="M910" s="195"/>
      <c r="N910" s="5"/>
      <c r="O910" s="68"/>
      <c r="P910" s="68"/>
      <c r="Q910" s="68"/>
      <c r="R910" s="68"/>
      <c r="S910" s="68"/>
    </row>
    <row r="911" spans="1:19" ht="15.75" customHeight="1">
      <c r="A911" s="299"/>
      <c r="B911" s="300"/>
      <c r="C911" s="68"/>
      <c r="D911" s="301"/>
      <c r="E911" s="69"/>
      <c r="K911" s="282"/>
      <c r="L911" s="282"/>
      <c r="M911" s="195"/>
      <c r="N911" s="5"/>
      <c r="O911" s="68"/>
      <c r="P911" s="68"/>
      <c r="Q911" s="68"/>
      <c r="R911" s="68"/>
      <c r="S911" s="68"/>
    </row>
    <row r="912" spans="1:19" ht="15.75" customHeight="1">
      <c r="A912" s="299"/>
      <c r="B912" s="300"/>
      <c r="C912" s="68"/>
      <c r="D912" s="301"/>
      <c r="E912" s="69"/>
      <c r="K912" s="282"/>
      <c r="L912" s="282"/>
      <c r="M912" s="195"/>
      <c r="N912" s="5"/>
      <c r="O912" s="68"/>
      <c r="P912" s="68"/>
      <c r="Q912" s="68"/>
      <c r="R912" s="68"/>
      <c r="S912" s="68"/>
    </row>
    <row r="913" spans="1:19" ht="15.75" customHeight="1">
      <c r="A913" s="299"/>
      <c r="B913" s="300"/>
      <c r="C913" s="68"/>
      <c r="D913" s="301"/>
      <c r="E913" s="69"/>
      <c r="K913" s="282"/>
      <c r="L913" s="282"/>
      <c r="M913" s="195"/>
      <c r="N913" s="5"/>
      <c r="O913" s="68"/>
      <c r="P913" s="68"/>
      <c r="Q913" s="68"/>
      <c r="R913" s="68"/>
      <c r="S913" s="68"/>
    </row>
    <row r="914" spans="1:19" ht="15.75" customHeight="1">
      <c r="A914" s="299"/>
      <c r="B914" s="300"/>
      <c r="C914" s="68"/>
      <c r="D914" s="301"/>
      <c r="E914" s="69"/>
      <c r="K914" s="282"/>
      <c r="L914" s="282"/>
      <c r="M914" s="195"/>
      <c r="N914" s="5"/>
      <c r="O914" s="68"/>
      <c r="P914" s="68"/>
      <c r="Q914" s="68"/>
      <c r="R914" s="68"/>
      <c r="S914" s="68"/>
    </row>
    <row r="915" spans="1:19" ht="15.75" customHeight="1">
      <c r="A915" s="299"/>
      <c r="B915" s="300"/>
      <c r="C915" s="68"/>
      <c r="D915" s="301"/>
      <c r="E915" s="69"/>
      <c r="K915" s="282"/>
      <c r="L915" s="282"/>
      <c r="M915" s="195"/>
      <c r="N915" s="5"/>
      <c r="O915" s="68"/>
      <c r="P915" s="68"/>
      <c r="Q915" s="68"/>
      <c r="R915" s="68"/>
      <c r="S915" s="68"/>
    </row>
    <row r="916" spans="1:19" ht="15.75" customHeight="1">
      <c r="A916" s="299"/>
      <c r="B916" s="300"/>
      <c r="C916" s="68"/>
      <c r="D916" s="301"/>
      <c r="E916" s="69"/>
      <c r="K916" s="282"/>
      <c r="L916" s="282"/>
      <c r="M916" s="195"/>
      <c r="N916" s="5"/>
      <c r="O916" s="68"/>
      <c r="P916" s="68"/>
      <c r="Q916" s="68"/>
      <c r="R916" s="68"/>
      <c r="S916" s="68"/>
    </row>
    <row r="917" spans="1:19" ht="15.75" customHeight="1">
      <c r="A917" s="299"/>
      <c r="B917" s="300"/>
      <c r="C917" s="68"/>
      <c r="D917" s="301"/>
      <c r="E917" s="69"/>
      <c r="K917" s="282"/>
      <c r="L917" s="282"/>
      <c r="M917" s="195"/>
      <c r="N917" s="5"/>
      <c r="O917" s="68"/>
      <c r="P917" s="68"/>
      <c r="Q917" s="68"/>
      <c r="R917" s="68"/>
      <c r="S917" s="68"/>
    </row>
    <row r="918" spans="1:19" ht="15.75" customHeight="1">
      <c r="A918" s="299"/>
      <c r="B918" s="300"/>
      <c r="C918" s="68"/>
      <c r="D918" s="301"/>
      <c r="E918" s="69"/>
      <c r="K918" s="282"/>
      <c r="L918" s="282"/>
      <c r="M918" s="195"/>
      <c r="N918" s="5"/>
      <c r="O918" s="68"/>
      <c r="P918" s="68"/>
      <c r="Q918" s="68"/>
      <c r="R918" s="68"/>
      <c r="S918" s="68"/>
    </row>
    <row r="919" spans="1:19" ht="15.75" customHeight="1">
      <c r="A919" s="299"/>
      <c r="B919" s="300"/>
      <c r="C919" s="68"/>
      <c r="D919" s="301"/>
      <c r="E919" s="69"/>
      <c r="K919" s="282"/>
      <c r="L919" s="282"/>
      <c r="M919" s="195"/>
      <c r="N919" s="5"/>
      <c r="O919" s="68"/>
      <c r="P919" s="68"/>
      <c r="Q919" s="68"/>
      <c r="R919" s="68"/>
      <c r="S919" s="68"/>
    </row>
    <row r="920" spans="1:19" ht="15.75" customHeight="1">
      <c r="A920" s="299"/>
      <c r="B920" s="300"/>
      <c r="C920" s="68"/>
      <c r="D920" s="301"/>
      <c r="E920" s="69"/>
      <c r="K920" s="282"/>
      <c r="L920" s="282"/>
      <c r="M920" s="195"/>
      <c r="N920" s="5"/>
      <c r="O920" s="68"/>
      <c r="P920" s="68"/>
      <c r="Q920" s="68"/>
      <c r="R920" s="68"/>
      <c r="S920" s="68"/>
    </row>
    <row r="921" spans="1:19" ht="15.75" customHeight="1">
      <c r="A921" s="299"/>
      <c r="B921" s="300"/>
      <c r="C921" s="68"/>
      <c r="D921" s="301"/>
      <c r="E921" s="69"/>
      <c r="K921" s="282"/>
      <c r="L921" s="282"/>
      <c r="M921" s="195"/>
      <c r="N921" s="5"/>
      <c r="O921" s="68"/>
      <c r="P921" s="68"/>
      <c r="Q921" s="68"/>
      <c r="R921" s="68"/>
      <c r="S921" s="68"/>
    </row>
    <row r="922" spans="1:19" ht="15.75" customHeight="1">
      <c r="A922" s="299"/>
      <c r="B922" s="300"/>
      <c r="C922" s="68"/>
      <c r="D922" s="301"/>
      <c r="E922" s="69"/>
      <c r="K922" s="282"/>
      <c r="L922" s="282"/>
      <c r="M922" s="195"/>
      <c r="N922" s="5"/>
      <c r="O922" s="68"/>
      <c r="P922" s="68"/>
      <c r="Q922" s="68"/>
      <c r="R922" s="68"/>
      <c r="S922" s="68"/>
    </row>
    <row r="923" spans="1:19" ht="15.75" customHeight="1">
      <c r="A923" s="299"/>
      <c r="B923" s="300"/>
      <c r="C923" s="68"/>
      <c r="D923" s="301"/>
      <c r="E923" s="69"/>
      <c r="K923" s="282"/>
      <c r="L923" s="282"/>
      <c r="M923" s="195"/>
      <c r="N923" s="5"/>
      <c r="O923" s="68"/>
      <c r="P923" s="68"/>
      <c r="Q923" s="68"/>
      <c r="R923" s="68"/>
      <c r="S923" s="68"/>
    </row>
    <row r="924" spans="1:19" ht="15.75" customHeight="1">
      <c r="A924" s="299"/>
      <c r="B924" s="300"/>
      <c r="C924" s="68"/>
      <c r="D924" s="301"/>
      <c r="E924" s="69"/>
      <c r="K924" s="282"/>
      <c r="L924" s="282"/>
      <c r="M924" s="195"/>
      <c r="N924" s="5"/>
      <c r="O924" s="68"/>
      <c r="P924" s="68"/>
      <c r="Q924" s="68"/>
      <c r="R924" s="68"/>
      <c r="S924" s="68"/>
    </row>
    <row r="925" spans="1:19" ht="15.75" customHeight="1">
      <c r="A925" s="299"/>
      <c r="B925" s="300"/>
      <c r="C925" s="68"/>
      <c r="D925" s="301"/>
      <c r="E925" s="69"/>
      <c r="K925" s="282"/>
      <c r="L925" s="282"/>
      <c r="M925" s="195"/>
      <c r="N925" s="5"/>
      <c r="O925" s="68"/>
      <c r="P925" s="68"/>
      <c r="Q925" s="68"/>
      <c r="R925" s="68"/>
      <c r="S925" s="68"/>
    </row>
    <row r="926" spans="1:19" ht="15.75" customHeight="1">
      <c r="A926" s="299"/>
      <c r="B926" s="300"/>
      <c r="C926" s="68"/>
      <c r="D926" s="301"/>
      <c r="E926" s="69"/>
      <c r="K926" s="282"/>
      <c r="L926" s="282"/>
      <c r="M926" s="195"/>
      <c r="N926" s="5"/>
      <c r="O926" s="68"/>
      <c r="P926" s="68"/>
      <c r="Q926" s="68"/>
      <c r="R926" s="68"/>
      <c r="S926" s="68"/>
    </row>
    <row r="927" spans="1:19" ht="15.75" customHeight="1">
      <c r="A927" s="299"/>
      <c r="B927" s="300"/>
      <c r="C927" s="68"/>
      <c r="D927" s="301"/>
      <c r="E927" s="69"/>
      <c r="K927" s="282"/>
      <c r="L927" s="282"/>
      <c r="M927" s="195"/>
      <c r="N927" s="5"/>
      <c r="O927" s="68"/>
      <c r="P927" s="68"/>
      <c r="Q927" s="68"/>
      <c r="R927" s="68"/>
      <c r="S927" s="68"/>
    </row>
    <row r="928" spans="1:19" ht="15.75" customHeight="1">
      <c r="A928" s="299"/>
      <c r="B928" s="300"/>
      <c r="C928" s="68"/>
      <c r="D928" s="301"/>
      <c r="E928" s="69"/>
      <c r="K928" s="282"/>
      <c r="L928" s="282"/>
      <c r="M928" s="195"/>
      <c r="N928" s="5"/>
      <c r="O928" s="68"/>
      <c r="P928" s="68"/>
      <c r="Q928" s="68"/>
      <c r="R928" s="68"/>
      <c r="S928" s="68"/>
    </row>
    <row r="929" spans="1:19" ht="15.75" customHeight="1">
      <c r="A929" s="299"/>
      <c r="B929" s="300"/>
      <c r="C929" s="68"/>
      <c r="D929" s="301"/>
      <c r="E929" s="69"/>
      <c r="K929" s="282"/>
      <c r="L929" s="282"/>
      <c r="M929" s="195"/>
      <c r="N929" s="5"/>
      <c r="O929" s="68"/>
      <c r="P929" s="68"/>
      <c r="Q929" s="68"/>
      <c r="R929" s="68"/>
      <c r="S929" s="68"/>
    </row>
    <row r="930" spans="1:19" ht="15.75" customHeight="1">
      <c r="A930" s="299"/>
      <c r="B930" s="300"/>
      <c r="C930" s="68"/>
      <c r="D930" s="301"/>
      <c r="E930" s="69"/>
      <c r="K930" s="282"/>
      <c r="L930" s="282"/>
      <c r="M930" s="195"/>
      <c r="N930" s="5"/>
      <c r="O930" s="68"/>
      <c r="P930" s="68"/>
      <c r="Q930" s="68"/>
      <c r="R930" s="68"/>
      <c r="S930" s="68"/>
    </row>
    <row r="931" spans="1:19" ht="15.75" customHeight="1">
      <c r="A931" s="299"/>
      <c r="B931" s="300"/>
      <c r="C931" s="68"/>
      <c r="D931" s="301"/>
      <c r="E931" s="69"/>
      <c r="K931" s="282"/>
      <c r="L931" s="282"/>
      <c r="M931" s="195"/>
      <c r="N931" s="5"/>
      <c r="O931" s="68"/>
      <c r="P931" s="68"/>
      <c r="Q931" s="68"/>
      <c r="R931" s="68"/>
      <c r="S931" s="68"/>
    </row>
    <row r="932" spans="1:19" ht="15.75" customHeight="1">
      <c r="A932" s="299"/>
      <c r="B932" s="300"/>
      <c r="C932" s="68"/>
      <c r="D932" s="301"/>
      <c r="E932" s="69"/>
      <c r="K932" s="282"/>
      <c r="L932" s="282"/>
      <c r="M932" s="195"/>
      <c r="N932" s="5"/>
      <c r="O932" s="68"/>
      <c r="P932" s="68"/>
      <c r="Q932" s="68"/>
      <c r="R932" s="68"/>
      <c r="S932" s="68"/>
    </row>
    <row r="933" spans="1:19" ht="15.75" customHeight="1">
      <c r="A933" s="299"/>
      <c r="B933" s="300"/>
      <c r="C933" s="68"/>
      <c r="D933" s="301"/>
      <c r="E933" s="69"/>
      <c r="K933" s="282"/>
      <c r="L933" s="282"/>
      <c r="M933" s="195"/>
      <c r="N933" s="5"/>
      <c r="O933" s="68"/>
      <c r="P933" s="68"/>
      <c r="Q933" s="68"/>
      <c r="R933" s="68"/>
      <c r="S933" s="68"/>
    </row>
    <row r="934" spans="1:19" ht="15.75" customHeight="1">
      <c r="A934" s="299"/>
      <c r="B934" s="300"/>
      <c r="C934" s="68"/>
      <c r="D934" s="301"/>
      <c r="E934" s="69"/>
      <c r="K934" s="282"/>
      <c r="L934" s="282"/>
      <c r="M934" s="195"/>
      <c r="N934" s="5"/>
      <c r="O934" s="68"/>
      <c r="P934" s="68"/>
      <c r="Q934" s="68"/>
      <c r="R934" s="68"/>
      <c r="S934" s="68"/>
    </row>
    <row r="935" spans="1:19" ht="15.75" customHeight="1">
      <c r="A935" s="299"/>
      <c r="B935" s="300"/>
      <c r="C935" s="68"/>
      <c r="D935" s="301"/>
      <c r="E935" s="69"/>
      <c r="K935" s="282"/>
      <c r="L935" s="282"/>
      <c r="M935" s="195"/>
      <c r="N935" s="5"/>
      <c r="O935" s="68"/>
      <c r="P935" s="68"/>
      <c r="Q935" s="68"/>
      <c r="R935" s="68"/>
      <c r="S935" s="68"/>
    </row>
    <row r="936" spans="1:19" ht="15.75" customHeight="1">
      <c r="A936" s="299"/>
      <c r="B936" s="300"/>
      <c r="C936" s="68"/>
      <c r="D936" s="301"/>
      <c r="E936" s="69"/>
      <c r="K936" s="282"/>
      <c r="L936" s="282"/>
      <c r="M936" s="195"/>
      <c r="N936" s="5"/>
      <c r="O936" s="68"/>
      <c r="P936" s="68"/>
      <c r="Q936" s="68"/>
      <c r="R936" s="68"/>
      <c r="S936" s="68"/>
    </row>
    <row r="937" spans="1:19" ht="15.75" customHeight="1">
      <c r="A937" s="299"/>
      <c r="B937" s="300"/>
      <c r="C937" s="68"/>
      <c r="D937" s="301"/>
      <c r="E937" s="69"/>
      <c r="K937" s="282"/>
      <c r="L937" s="282"/>
      <c r="M937" s="195"/>
      <c r="N937" s="5"/>
      <c r="O937" s="68"/>
      <c r="P937" s="68"/>
      <c r="Q937" s="68"/>
      <c r="R937" s="68"/>
      <c r="S937" s="68"/>
    </row>
    <row r="938" spans="1:19" ht="15.75" customHeight="1">
      <c r="A938" s="299"/>
      <c r="B938" s="300"/>
      <c r="C938" s="68"/>
      <c r="D938" s="301"/>
      <c r="E938" s="69"/>
      <c r="K938" s="282"/>
      <c r="L938" s="282"/>
      <c r="M938" s="195"/>
      <c r="N938" s="5"/>
      <c r="O938" s="68"/>
      <c r="P938" s="68"/>
      <c r="Q938" s="68"/>
      <c r="R938" s="68"/>
      <c r="S938" s="68"/>
    </row>
    <row r="939" spans="1:19" ht="15.75" customHeight="1">
      <c r="A939" s="299"/>
      <c r="B939" s="300"/>
      <c r="C939" s="68"/>
      <c r="D939" s="301"/>
      <c r="E939" s="69"/>
      <c r="K939" s="282"/>
      <c r="L939" s="282"/>
      <c r="M939" s="195"/>
      <c r="N939" s="5"/>
      <c r="O939" s="68"/>
      <c r="P939" s="68"/>
      <c r="Q939" s="68"/>
      <c r="R939" s="68"/>
      <c r="S939" s="68"/>
    </row>
    <row r="940" spans="1:19" ht="15.75" customHeight="1">
      <c r="A940" s="299"/>
      <c r="B940" s="300"/>
      <c r="C940" s="68"/>
      <c r="D940" s="301"/>
      <c r="E940" s="69"/>
      <c r="K940" s="282"/>
      <c r="L940" s="282"/>
      <c r="M940" s="195"/>
      <c r="N940" s="5"/>
      <c r="O940" s="68"/>
      <c r="P940" s="68"/>
      <c r="Q940" s="68"/>
      <c r="R940" s="68"/>
      <c r="S940" s="68"/>
    </row>
    <row r="941" spans="1:19" ht="15.75" customHeight="1">
      <c r="A941" s="299"/>
      <c r="B941" s="300"/>
      <c r="C941" s="68"/>
      <c r="D941" s="301"/>
      <c r="E941" s="69"/>
      <c r="K941" s="282"/>
      <c r="L941" s="282"/>
      <c r="M941" s="195"/>
      <c r="N941" s="5"/>
      <c r="O941" s="68"/>
      <c r="P941" s="68"/>
      <c r="Q941" s="68"/>
      <c r="R941" s="68"/>
      <c r="S941" s="68"/>
    </row>
    <row r="942" spans="1:19" ht="15.75" customHeight="1">
      <c r="A942" s="299"/>
      <c r="B942" s="300"/>
      <c r="C942" s="68"/>
      <c r="D942" s="301"/>
      <c r="E942" s="69"/>
      <c r="K942" s="282"/>
      <c r="L942" s="282"/>
      <c r="M942" s="195"/>
      <c r="N942" s="5"/>
      <c r="O942" s="68"/>
      <c r="P942" s="68"/>
      <c r="Q942" s="68"/>
      <c r="R942" s="68"/>
      <c r="S942" s="68"/>
    </row>
    <row r="943" spans="1:19" ht="15.75" customHeight="1">
      <c r="A943" s="299"/>
      <c r="B943" s="300"/>
      <c r="C943" s="68"/>
      <c r="D943" s="301"/>
      <c r="E943" s="69"/>
      <c r="K943" s="282"/>
      <c r="L943" s="282"/>
      <c r="M943" s="195"/>
      <c r="N943" s="5"/>
      <c r="O943" s="68"/>
      <c r="P943" s="68"/>
      <c r="Q943" s="68"/>
      <c r="R943" s="68"/>
      <c r="S943" s="68"/>
    </row>
    <row r="944" spans="1:19" ht="15.75" customHeight="1">
      <c r="A944" s="299"/>
      <c r="B944" s="300"/>
      <c r="C944" s="68"/>
      <c r="D944" s="301"/>
      <c r="E944" s="69"/>
      <c r="K944" s="282"/>
      <c r="L944" s="282"/>
      <c r="M944" s="195"/>
      <c r="N944" s="5"/>
      <c r="O944" s="68"/>
      <c r="P944" s="68"/>
      <c r="Q944" s="68"/>
      <c r="R944" s="68"/>
      <c r="S944" s="68"/>
    </row>
    <row r="945" spans="1:19" ht="15.75" customHeight="1">
      <c r="A945" s="299"/>
      <c r="B945" s="300"/>
      <c r="C945" s="68"/>
      <c r="D945" s="301"/>
      <c r="E945" s="69"/>
      <c r="K945" s="282"/>
      <c r="L945" s="282"/>
      <c r="M945" s="195"/>
      <c r="N945" s="5"/>
      <c r="O945" s="68"/>
      <c r="P945" s="68"/>
      <c r="Q945" s="68"/>
      <c r="R945" s="68"/>
      <c r="S945" s="68"/>
    </row>
    <row r="946" spans="1:19" ht="15.75" customHeight="1">
      <c r="A946" s="299"/>
      <c r="B946" s="300"/>
      <c r="C946" s="68"/>
      <c r="D946" s="301"/>
      <c r="E946" s="69"/>
      <c r="K946" s="282"/>
      <c r="L946" s="282"/>
      <c r="M946" s="195"/>
      <c r="N946" s="5"/>
      <c r="O946" s="68"/>
      <c r="P946" s="68"/>
      <c r="Q946" s="68"/>
      <c r="R946" s="68"/>
      <c r="S946" s="68"/>
    </row>
    <row r="947" spans="1:19" ht="15.75" customHeight="1">
      <c r="A947" s="299"/>
      <c r="B947" s="300"/>
      <c r="C947" s="68"/>
      <c r="D947" s="301"/>
      <c r="E947" s="69"/>
      <c r="K947" s="282"/>
      <c r="L947" s="282"/>
      <c r="M947" s="195"/>
      <c r="N947" s="5"/>
      <c r="O947" s="68"/>
      <c r="P947" s="68"/>
      <c r="Q947" s="68"/>
      <c r="R947" s="68"/>
      <c r="S947" s="68"/>
    </row>
    <row r="948" spans="1:19" ht="15.75" customHeight="1">
      <c r="A948" s="299"/>
      <c r="B948" s="300"/>
      <c r="C948" s="68"/>
      <c r="D948" s="301"/>
      <c r="E948" s="69"/>
      <c r="K948" s="282"/>
      <c r="L948" s="282"/>
      <c r="M948" s="195"/>
      <c r="N948" s="5"/>
      <c r="O948" s="68"/>
      <c r="P948" s="68"/>
      <c r="Q948" s="68"/>
      <c r="R948" s="68"/>
      <c r="S948" s="68"/>
    </row>
    <row r="949" spans="1:19" ht="15.75" customHeight="1">
      <c r="A949" s="299"/>
      <c r="B949" s="300"/>
      <c r="C949" s="68"/>
      <c r="D949" s="301"/>
      <c r="E949" s="69"/>
      <c r="K949" s="282"/>
      <c r="L949" s="282"/>
      <c r="M949" s="195"/>
      <c r="N949" s="5"/>
      <c r="O949" s="68"/>
      <c r="P949" s="68"/>
      <c r="Q949" s="68"/>
      <c r="R949" s="68"/>
      <c r="S949" s="68"/>
    </row>
    <row r="950" spans="1:19" ht="15.75" customHeight="1">
      <c r="A950" s="299"/>
      <c r="B950" s="300"/>
      <c r="C950" s="68"/>
      <c r="D950" s="301"/>
      <c r="E950" s="69"/>
      <c r="K950" s="282"/>
      <c r="L950" s="282"/>
      <c r="M950" s="195"/>
      <c r="N950" s="5"/>
      <c r="O950" s="68"/>
      <c r="P950" s="68"/>
      <c r="Q950" s="68"/>
      <c r="R950" s="68"/>
      <c r="S950" s="68"/>
    </row>
    <row r="951" spans="1:19" ht="15.75" customHeight="1">
      <c r="A951" s="299"/>
      <c r="B951" s="300"/>
      <c r="C951" s="68"/>
      <c r="D951" s="301"/>
      <c r="E951" s="69"/>
      <c r="K951" s="282"/>
      <c r="L951" s="282"/>
      <c r="M951" s="195"/>
      <c r="N951" s="5"/>
      <c r="O951" s="68"/>
      <c r="P951" s="68"/>
      <c r="Q951" s="68"/>
      <c r="R951" s="68"/>
      <c r="S951" s="68"/>
    </row>
    <row r="952" spans="1:19" ht="15.75" customHeight="1">
      <c r="A952" s="299"/>
      <c r="B952" s="300"/>
      <c r="C952" s="68"/>
      <c r="D952" s="301"/>
      <c r="E952" s="69"/>
      <c r="K952" s="282"/>
      <c r="L952" s="282"/>
      <c r="M952" s="195"/>
      <c r="N952" s="5"/>
      <c r="O952" s="68"/>
      <c r="P952" s="68"/>
      <c r="Q952" s="68"/>
      <c r="R952" s="68"/>
      <c r="S952" s="68"/>
    </row>
    <row r="953" spans="1:19" ht="15.75" customHeight="1">
      <c r="A953" s="299"/>
      <c r="B953" s="300"/>
      <c r="C953" s="68"/>
      <c r="D953" s="301"/>
      <c r="E953" s="69"/>
      <c r="K953" s="282"/>
      <c r="L953" s="282"/>
      <c r="M953" s="195"/>
      <c r="N953" s="5"/>
      <c r="O953" s="68"/>
      <c r="P953" s="68"/>
      <c r="Q953" s="68"/>
      <c r="R953" s="68"/>
      <c r="S953" s="68"/>
    </row>
    <row r="954" spans="1:19" ht="15.75" customHeight="1">
      <c r="A954" s="299"/>
      <c r="B954" s="300"/>
      <c r="C954" s="68"/>
      <c r="D954" s="301"/>
      <c r="E954" s="69"/>
      <c r="K954" s="282"/>
      <c r="L954" s="282"/>
      <c r="M954" s="195"/>
      <c r="N954" s="5"/>
      <c r="O954" s="68"/>
      <c r="P954" s="68"/>
      <c r="Q954" s="68"/>
      <c r="R954" s="68"/>
      <c r="S954" s="68"/>
    </row>
    <row r="955" spans="1:19" ht="15.75" customHeight="1">
      <c r="A955" s="299"/>
      <c r="B955" s="300"/>
      <c r="C955" s="68"/>
      <c r="D955" s="301"/>
      <c r="E955" s="69"/>
      <c r="K955" s="282"/>
      <c r="L955" s="282"/>
      <c r="M955" s="195"/>
      <c r="N955" s="5"/>
      <c r="O955" s="68"/>
      <c r="P955" s="68"/>
      <c r="Q955" s="68"/>
      <c r="R955" s="68"/>
      <c r="S955" s="68"/>
    </row>
    <row r="956" spans="1:19" ht="15.75" customHeight="1">
      <c r="A956" s="299"/>
      <c r="B956" s="300"/>
      <c r="C956" s="68"/>
      <c r="D956" s="301"/>
      <c r="E956" s="69"/>
      <c r="K956" s="282"/>
      <c r="L956" s="282"/>
      <c r="M956" s="195"/>
      <c r="N956" s="5"/>
      <c r="O956" s="68"/>
      <c r="P956" s="68"/>
      <c r="Q956" s="68"/>
      <c r="R956" s="68"/>
      <c r="S956" s="68"/>
    </row>
    <row r="957" spans="1:19" ht="15.75" customHeight="1">
      <c r="A957" s="299"/>
      <c r="B957" s="300"/>
      <c r="C957" s="68"/>
      <c r="D957" s="301"/>
      <c r="E957" s="69"/>
      <c r="K957" s="282"/>
      <c r="L957" s="282"/>
      <c r="M957" s="195"/>
      <c r="N957" s="5"/>
      <c r="O957" s="68"/>
      <c r="P957" s="68"/>
      <c r="Q957" s="68"/>
      <c r="R957" s="68"/>
      <c r="S957" s="68"/>
    </row>
    <row r="958" spans="1:19" ht="15.75" customHeight="1">
      <c r="A958" s="299"/>
      <c r="B958" s="300"/>
      <c r="C958" s="68"/>
      <c r="D958" s="301"/>
      <c r="E958" s="69"/>
      <c r="K958" s="282"/>
      <c r="L958" s="282"/>
      <c r="M958" s="195"/>
      <c r="N958" s="5"/>
      <c r="O958" s="68"/>
      <c r="P958" s="68"/>
      <c r="Q958" s="68"/>
      <c r="R958" s="68"/>
      <c r="S958" s="68"/>
    </row>
    <row r="959" spans="1:19" ht="15.75" customHeight="1">
      <c r="A959" s="299"/>
      <c r="B959" s="300"/>
      <c r="C959" s="68"/>
      <c r="D959" s="301"/>
      <c r="E959" s="69"/>
      <c r="K959" s="282"/>
      <c r="L959" s="282"/>
      <c r="M959" s="195"/>
      <c r="N959" s="5"/>
      <c r="O959" s="68"/>
      <c r="P959" s="68"/>
      <c r="Q959" s="68"/>
      <c r="R959" s="68"/>
      <c r="S959" s="68"/>
    </row>
    <row r="960" spans="1:19" ht="15.75" customHeight="1">
      <c r="A960" s="299"/>
      <c r="B960" s="300"/>
      <c r="C960" s="68"/>
      <c r="D960" s="301"/>
      <c r="E960" s="69"/>
      <c r="K960" s="282"/>
      <c r="L960" s="282"/>
      <c r="M960" s="195"/>
      <c r="N960" s="5"/>
      <c r="O960" s="68"/>
      <c r="P960" s="68"/>
      <c r="Q960" s="68"/>
      <c r="R960" s="68"/>
      <c r="S960" s="68"/>
    </row>
    <row r="961" spans="1:19" ht="15.75" customHeight="1">
      <c r="A961" s="299"/>
      <c r="B961" s="300"/>
      <c r="C961" s="68"/>
      <c r="D961" s="301"/>
      <c r="E961" s="69"/>
      <c r="K961" s="282"/>
      <c r="L961" s="282"/>
      <c r="M961" s="195"/>
      <c r="N961" s="5"/>
      <c r="O961" s="68"/>
      <c r="P961" s="68"/>
      <c r="Q961" s="68"/>
      <c r="R961" s="68"/>
      <c r="S961" s="68"/>
    </row>
    <row r="962" spans="1:19" ht="15.75" customHeight="1">
      <c r="A962" s="299"/>
      <c r="B962" s="300"/>
      <c r="C962" s="68"/>
      <c r="D962" s="301"/>
      <c r="E962" s="69"/>
      <c r="K962" s="282"/>
      <c r="L962" s="282"/>
      <c r="M962" s="195"/>
      <c r="N962" s="5"/>
      <c r="O962" s="68"/>
      <c r="P962" s="68"/>
      <c r="Q962" s="68"/>
      <c r="R962" s="68"/>
      <c r="S962" s="68"/>
    </row>
    <row r="963" spans="1:19" ht="15.75" customHeight="1">
      <c r="A963" s="299"/>
      <c r="B963" s="300"/>
      <c r="C963" s="68"/>
      <c r="D963" s="301"/>
      <c r="E963" s="69"/>
      <c r="K963" s="282"/>
      <c r="L963" s="282"/>
      <c r="M963" s="195"/>
      <c r="N963" s="5"/>
      <c r="O963" s="68"/>
      <c r="P963" s="68"/>
      <c r="Q963" s="68"/>
      <c r="R963" s="68"/>
      <c r="S963" s="68"/>
    </row>
    <row r="964" spans="1:19" ht="15.75" customHeight="1">
      <c r="A964" s="299"/>
      <c r="B964" s="300"/>
      <c r="C964" s="68"/>
      <c r="D964" s="301"/>
      <c r="E964" s="69"/>
      <c r="K964" s="282"/>
      <c r="L964" s="282"/>
      <c r="M964" s="195"/>
      <c r="N964" s="5"/>
      <c r="O964" s="68"/>
      <c r="P964" s="68"/>
      <c r="Q964" s="68"/>
      <c r="R964" s="68"/>
      <c r="S964" s="68"/>
    </row>
    <row r="965" spans="1:19" ht="15.75" customHeight="1">
      <c r="A965" s="299"/>
      <c r="B965" s="300"/>
      <c r="C965" s="68"/>
      <c r="D965" s="301"/>
      <c r="E965" s="69"/>
      <c r="K965" s="282"/>
      <c r="L965" s="282"/>
      <c r="M965" s="195"/>
      <c r="N965" s="5"/>
      <c r="O965" s="68"/>
      <c r="P965" s="68"/>
      <c r="Q965" s="68"/>
      <c r="R965" s="68"/>
      <c r="S965" s="68"/>
    </row>
    <row r="966" spans="1:19" ht="15.75" customHeight="1">
      <c r="A966" s="299"/>
      <c r="B966" s="300"/>
      <c r="C966" s="68"/>
      <c r="D966" s="301"/>
      <c r="E966" s="69"/>
      <c r="K966" s="282"/>
      <c r="L966" s="282"/>
      <c r="M966" s="195"/>
      <c r="N966" s="5"/>
      <c r="O966" s="68"/>
      <c r="P966" s="68"/>
      <c r="Q966" s="68"/>
      <c r="R966" s="68"/>
      <c r="S966" s="68"/>
    </row>
    <row r="967" spans="1:19" ht="15.75" customHeight="1">
      <c r="A967" s="299"/>
      <c r="B967" s="300"/>
      <c r="C967" s="68"/>
      <c r="D967" s="301"/>
      <c r="E967" s="69"/>
      <c r="K967" s="282"/>
      <c r="L967" s="282"/>
      <c r="M967" s="195"/>
      <c r="N967" s="5"/>
      <c r="O967" s="68"/>
      <c r="P967" s="68"/>
      <c r="Q967" s="68"/>
      <c r="R967" s="68"/>
      <c r="S967" s="68"/>
    </row>
    <row r="968" spans="1:19" ht="15.75" customHeight="1">
      <c r="A968" s="299"/>
      <c r="B968" s="300"/>
      <c r="C968" s="68"/>
      <c r="D968" s="301"/>
      <c r="E968" s="69"/>
      <c r="K968" s="282"/>
      <c r="L968" s="282"/>
      <c r="M968" s="195"/>
      <c r="N968" s="5"/>
      <c r="O968" s="68"/>
      <c r="P968" s="68"/>
      <c r="Q968" s="68"/>
      <c r="R968" s="68"/>
      <c r="S968" s="68"/>
    </row>
    <row r="969" spans="1:19" ht="15.75" customHeight="1">
      <c r="A969" s="299"/>
      <c r="B969" s="300"/>
      <c r="C969" s="68"/>
      <c r="D969" s="301"/>
      <c r="E969" s="69"/>
      <c r="K969" s="282"/>
      <c r="L969" s="282"/>
      <c r="M969" s="195"/>
      <c r="N969" s="5"/>
      <c r="O969" s="68"/>
      <c r="P969" s="68"/>
      <c r="Q969" s="68"/>
      <c r="R969" s="68"/>
      <c r="S969" s="68"/>
    </row>
    <row r="970" spans="1:19" ht="15.75" customHeight="1">
      <c r="A970" s="299"/>
      <c r="B970" s="300"/>
      <c r="C970" s="68"/>
      <c r="D970" s="301"/>
      <c r="E970" s="69"/>
      <c r="K970" s="282"/>
      <c r="L970" s="282"/>
      <c r="M970" s="195"/>
      <c r="N970" s="5"/>
      <c r="O970" s="68"/>
      <c r="P970" s="68"/>
      <c r="Q970" s="68"/>
      <c r="R970" s="68"/>
      <c r="S970" s="68"/>
    </row>
    <row r="971" spans="1:19" ht="15.75" customHeight="1">
      <c r="A971" s="299"/>
      <c r="B971" s="300"/>
      <c r="C971" s="68"/>
      <c r="D971" s="301"/>
      <c r="E971" s="69"/>
      <c r="K971" s="282"/>
      <c r="L971" s="282"/>
      <c r="M971" s="195"/>
      <c r="N971" s="5"/>
      <c r="O971" s="68"/>
      <c r="P971" s="68"/>
      <c r="Q971" s="68"/>
      <c r="R971" s="68"/>
      <c r="S971" s="68"/>
    </row>
    <row r="972" spans="1:19" ht="15.75" customHeight="1">
      <c r="A972" s="299"/>
      <c r="B972" s="300"/>
      <c r="C972" s="68"/>
      <c r="D972" s="301"/>
      <c r="E972" s="69"/>
      <c r="K972" s="282"/>
      <c r="L972" s="282"/>
      <c r="M972" s="195"/>
      <c r="N972" s="5"/>
      <c r="O972" s="68"/>
      <c r="P972" s="68"/>
      <c r="Q972" s="68"/>
      <c r="R972" s="68"/>
      <c r="S972" s="68"/>
    </row>
    <row r="973" spans="1:19" ht="15.75" customHeight="1">
      <c r="A973" s="299"/>
      <c r="B973" s="300"/>
      <c r="C973" s="68"/>
      <c r="D973" s="301"/>
      <c r="E973" s="69"/>
      <c r="K973" s="282"/>
      <c r="L973" s="282"/>
      <c r="M973" s="195"/>
      <c r="N973" s="5"/>
      <c r="O973" s="68"/>
      <c r="P973" s="68"/>
      <c r="Q973" s="68"/>
      <c r="R973" s="68"/>
      <c r="S973" s="68"/>
    </row>
    <row r="974" spans="1:19" ht="15.75" customHeight="1">
      <c r="A974" s="299"/>
      <c r="B974" s="300"/>
      <c r="C974" s="68"/>
      <c r="D974" s="301"/>
      <c r="E974" s="69"/>
      <c r="K974" s="282"/>
      <c r="L974" s="282"/>
      <c r="M974" s="195"/>
      <c r="N974" s="5"/>
      <c r="O974" s="68"/>
      <c r="P974" s="68"/>
      <c r="Q974" s="68"/>
      <c r="R974" s="68"/>
      <c r="S974" s="68"/>
    </row>
    <row r="975" spans="1:19" ht="15.75" customHeight="1">
      <c r="A975" s="299"/>
      <c r="B975" s="300"/>
      <c r="C975" s="68"/>
      <c r="D975" s="301"/>
      <c r="E975" s="69"/>
      <c r="K975" s="282"/>
      <c r="L975" s="282"/>
      <c r="M975" s="195"/>
      <c r="N975" s="5"/>
      <c r="O975" s="68"/>
      <c r="P975" s="68"/>
      <c r="Q975" s="68"/>
      <c r="R975" s="68"/>
      <c r="S975" s="68"/>
    </row>
    <row r="976" spans="1:19" ht="15.75" customHeight="1">
      <c r="A976" s="299"/>
      <c r="B976" s="300"/>
      <c r="C976" s="68"/>
      <c r="D976" s="301"/>
      <c r="E976" s="69"/>
      <c r="K976" s="282"/>
      <c r="L976" s="282"/>
      <c r="M976" s="195"/>
      <c r="N976" s="5"/>
      <c r="O976" s="68"/>
      <c r="P976" s="68"/>
      <c r="Q976" s="68"/>
      <c r="R976" s="68"/>
      <c r="S976" s="68"/>
    </row>
    <row r="977" spans="1:19" ht="15.75" customHeight="1">
      <c r="A977" s="299"/>
      <c r="B977" s="300"/>
      <c r="C977" s="68"/>
      <c r="D977" s="301"/>
      <c r="E977" s="69"/>
      <c r="K977" s="282"/>
      <c r="L977" s="282"/>
      <c r="M977" s="195"/>
      <c r="N977" s="5"/>
      <c r="O977" s="68"/>
      <c r="P977" s="68"/>
      <c r="Q977" s="68"/>
      <c r="R977" s="68"/>
      <c r="S977" s="68"/>
    </row>
    <row r="978" spans="1:19" ht="15.75" customHeight="1">
      <c r="A978" s="299"/>
      <c r="B978" s="300"/>
      <c r="C978" s="68"/>
      <c r="D978" s="301"/>
      <c r="E978" s="69"/>
      <c r="K978" s="282"/>
      <c r="L978" s="282"/>
      <c r="M978" s="195"/>
      <c r="N978" s="5"/>
      <c r="O978" s="68"/>
      <c r="P978" s="68"/>
      <c r="Q978" s="68"/>
      <c r="R978" s="68"/>
      <c r="S978" s="68"/>
    </row>
    <row r="979" spans="1:19" ht="15.75" customHeight="1">
      <c r="A979" s="299"/>
      <c r="B979" s="300"/>
      <c r="C979" s="68"/>
      <c r="D979" s="301"/>
      <c r="E979" s="69"/>
      <c r="K979" s="282"/>
      <c r="L979" s="282"/>
      <c r="M979" s="195"/>
      <c r="N979" s="5"/>
      <c r="O979" s="68"/>
      <c r="P979" s="68"/>
      <c r="Q979" s="68"/>
      <c r="R979" s="68"/>
      <c r="S979" s="68"/>
    </row>
    <row r="980" spans="1:19" ht="15.75" customHeight="1">
      <c r="A980" s="299"/>
      <c r="B980" s="300"/>
      <c r="C980" s="68"/>
      <c r="D980" s="301"/>
      <c r="E980" s="69"/>
      <c r="K980" s="282"/>
      <c r="L980" s="282"/>
      <c r="M980" s="195"/>
      <c r="N980" s="5"/>
      <c r="O980" s="68"/>
      <c r="P980" s="68"/>
      <c r="Q980" s="68"/>
      <c r="R980" s="68"/>
      <c r="S980" s="68"/>
    </row>
    <row r="981" spans="1:19" ht="15.75" customHeight="1">
      <c r="A981" s="299"/>
      <c r="B981" s="300"/>
      <c r="C981" s="68"/>
      <c r="D981" s="301"/>
      <c r="E981" s="69"/>
      <c r="K981" s="282"/>
      <c r="L981" s="282"/>
      <c r="M981" s="195"/>
      <c r="N981" s="5"/>
      <c r="O981" s="68"/>
      <c r="P981" s="68"/>
      <c r="Q981" s="68"/>
      <c r="R981" s="68"/>
      <c r="S981" s="68"/>
    </row>
    <row r="982" spans="1:19" ht="15.75" customHeight="1">
      <c r="A982" s="299"/>
      <c r="B982" s="300"/>
      <c r="C982" s="68"/>
      <c r="D982" s="301"/>
      <c r="E982" s="69"/>
      <c r="K982" s="282"/>
      <c r="L982" s="282"/>
      <c r="M982" s="195"/>
      <c r="N982" s="5"/>
      <c r="O982" s="68"/>
      <c r="P982" s="68"/>
      <c r="Q982" s="68"/>
      <c r="R982" s="68"/>
      <c r="S982" s="68"/>
    </row>
    <row r="983" spans="1:19" ht="15.75" customHeight="1">
      <c r="A983" s="299"/>
      <c r="B983" s="300"/>
      <c r="C983" s="68"/>
      <c r="D983" s="301"/>
      <c r="E983" s="69"/>
      <c r="K983" s="282"/>
      <c r="L983" s="282"/>
      <c r="M983" s="195"/>
      <c r="N983" s="5"/>
      <c r="O983" s="68"/>
      <c r="P983" s="68"/>
      <c r="Q983" s="68"/>
      <c r="R983" s="68"/>
      <c r="S983" s="68"/>
    </row>
    <row r="984" spans="1:19" ht="15.75" customHeight="1">
      <c r="A984" s="299"/>
      <c r="B984" s="300"/>
      <c r="C984" s="68"/>
      <c r="D984" s="301"/>
      <c r="E984" s="69"/>
      <c r="K984" s="282"/>
      <c r="L984" s="282"/>
      <c r="M984" s="195"/>
      <c r="N984" s="5"/>
      <c r="O984" s="68"/>
      <c r="P984" s="68"/>
      <c r="Q984" s="68"/>
      <c r="R984" s="68"/>
      <c r="S984" s="68"/>
    </row>
    <row r="985" spans="1:19" ht="15.75" customHeight="1">
      <c r="A985" s="299"/>
      <c r="B985" s="300"/>
      <c r="C985" s="68"/>
      <c r="D985" s="301"/>
      <c r="E985" s="69"/>
      <c r="K985" s="282"/>
      <c r="L985" s="282"/>
      <c r="M985" s="195"/>
      <c r="N985" s="5"/>
      <c r="O985" s="68"/>
      <c r="P985" s="68"/>
      <c r="Q985" s="68"/>
      <c r="R985" s="68"/>
      <c r="S985" s="68"/>
    </row>
    <row r="986" spans="1:19" ht="15.75" customHeight="1">
      <c r="A986" s="299"/>
      <c r="B986" s="300"/>
      <c r="C986" s="68"/>
      <c r="D986" s="301"/>
      <c r="E986" s="69"/>
      <c r="K986" s="282"/>
      <c r="L986" s="282"/>
      <c r="M986" s="195"/>
      <c r="N986" s="5"/>
      <c r="O986" s="68"/>
      <c r="P986" s="68"/>
      <c r="Q986" s="68"/>
      <c r="R986" s="68"/>
      <c r="S986" s="68"/>
    </row>
    <row r="987" spans="1:19" ht="15.75" customHeight="1">
      <c r="A987" s="299"/>
      <c r="B987" s="300"/>
      <c r="C987" s="68"/>
      <c r="D987" s="301"/>
      <c r="E987" s="69"/>
      <c r="K987" s="282"/>
      <c r="L987" s="282"/>
      <c r="M987" s="195"/>
      <c r="N987" s="5"/>
      <c r="O987" s="68"/>
      <c r="P987" s="68"/>
      <c r="Q987" s="68"/>
      <c r="R987" s="68"/>
      <c r="S987" s="68"/>
    </row>
    <row r="988" spans="1:19" ht="15.75" customHeight="1">
      <c r="A988" s="299"/>
      <c r="B988" s="300"/>
      <c r="C988" s="68"/>
      <c r="D988" s="301"/>
      <c r="E988" s="69"/>
      <c r="K988" s="282"/>
      <c r="L988" s="282"/>
      <c r="M988" s="195"/>
      <c r="N988" s="5"/>
      <c r="O988" s="68"/>
      <c r="P988" s="68"/>
      <c r="Q988" s="68"/>
      <c r="R988" s="68"/>
      <c r="S988" s="68"/>
    </row>
    <row r="989" spans="1:19" ht="15.75" customHeight="1">
      <c r="A989" s="299"/>
      <c r="B989" s="300"/>
      <c r="C989" s="68"/>
      <c r="D989" s="301"/>
      <c r="E989" s="69"/>
      <c r="K989" s="282"/>
      <c r="L989" s="282"/>
      <c r="M989" s="195"/>
      <c r="N989" s="5"/>
      <c r="O989" s="68"/>
      <c r="P989" s="68"/>
      <c r="Q989" s="68"/>
      <c r="R989" s="68"/>
      <c r="S989" s="68"/>
    </row>
    <row r="990" spans="1:19" ht="15.75" customHeight="1">
      <c r="A990" s="299"/>
      <c r="B990" s="300"/>
      <c r="C990" s="68"/>
      <c r="D990" s="301"/>
      <c r="E990" s="69"/>
      <c r="K990" s="282"/>
      <c r="L990" s="282"/>
      <c r="M990" s="195"/>
      <c r="N990" s="5"/>
      <c r="O990" s="68"/>
      <c r="P990" s="68"/>
      <c r="Q990" s="68"/>
      <c r="R990" s="68"/>
      <c r="S990" s="68"/>
    </row>
    <row r="991" spans="1:19" ht="15.75" customHeight="1">
      <c r="A991" s="299"/>
      <c r="B991" s="300"/>
      <c r="C991" s="68"/>
      <c r="D991" s="301"/>
      <c r="E991" s="69"/>
      <c r="K991" s="282"/>
      <c r="L991" s="282"/>
      <c r="M991" s="195"/>
      <c r="N991" s="5"/>
      <c r="O991" s="68"/>
      <c r="P991" s="68"/>
      <c r="Q991" s="68"/>
      <c r="R991" s="68"/>
      <c r="S991" s="68"/>
    </row>
    <row r="992" spans="1:19" ht="15.75" customHeight="1">
      <c r="A992" s="299"/>
      <c r="B992" s="300"/>
      <c r="C992" s="68"/>
      <c r="D992" s="301"/>
      <c r="E992" s="69"/>
      <c r="K992" s="282"/>
      <c r="L992" s="282"/>
      <c r="M992" s="195"/>
      <c r="N992" s="5"/>
      <c r="O992" s="68"/>
      <c r="P992" s="68"/>
      <c r="Q992" s="68"/>
      <c r="R992" s="68"/>
      <c r="S992" s="68"/>
    </row>
    <row r="993" spans="1:19" ht="15.75" customHeight="1">
      <c r="A993" s="299"/>
      <c r="B993" s="300"/>
      <c r="C993" s="68"/>
      <c r="D993" s="301"/>
      <c r="E993" s="69"/>
      <c r="K993" s="282"/>
      <c r="L993" s="282"/>
      <c r="M993" s="195"/>
      <c r="N993" s="5"/>
      <c r="O993" s="68"/>
      <c r="P993" s="68"/>
      <c r="Q993" s="68"/>
      <c r="R993" s="68"/>
      <c r="S993" s="68"/>
    </row>
    <row r="994" spans="1:19" ht="15.75" customHeight="1">
      <c r="A994" s="299"/>
      <c r="B994" s="300"/>
      <c r="C994" s="68"/>
      <c r="D994" s="301"/>
      <c r="E994" s="69"/>
      <c r="K994" s="282"/>
      <c r="L994" s="282"/>
      <c r="M994" s="195"/>
      <c r="N994" s="5"/>
      <c r="O994" s="68"/>
      <c r="P994" s="68"/>
      <c r="Q994" s="68"/>
      <c r="R994" s="68"/>
      <c r="S994" s="68"/>
    </row>
    <row r="995" spans="1:19" ht="15.75" customHeight="1">
      <c r="A995" s="299"/>
      <c r="B995" s="300"/>
      <c r="C995" s="68"/>
      <c r="D995" s="301"/>
      <c r="E995" s="69"/>
      <c r="K995" s="282"/>
      <c r="L995" s="282"/>
      <c r="M995" s="195"/>
      <c r="N995" s="5"/>
      <c r="O995" s="68"/>
      <c r="P995" s="68"/>
      <c r="Q995" s="68"/>
      <c r="R995" s="68"/>
      <c r="S995" s="68"/>
    </row>
    <row r="996" spans="1:19" ht="15.75" customHeight="1">
      <c r="A996" s="299"/>
      <c r="B996" s="300"/>
      <c r="C996" s="68"/>
      <c r="D996" s="301"/>
      <c r="E996" s="69"/>
      <c r="K996" s="282"/>
      <c r="L996" s="282"/>
      <c r="M996" s="195"/>
      <c r="N996" s="5"/>
      <c r="O996" s="68"/>
      <c r="P996" s="68"/>
      <c r="Q996" s="68"/>
      <c r="R996" s="68"/>
      <c r="S996" s="68"/>
    </row>
    <row r="997" spans="1:19" ht="15.75" customHeight="1">
      <c r="A997" s="299"/>
      <c r="B997" s="300"/>
      <c r="C997" s="68"/>
      <c r="D997" s="301"/>
      <c r="E997" s="69"/>
      <c r="K997" s="282"/>
      <c r="L997" s="282"/>
      <c r="M997" s="195"/>
      <c r="N997" s="5"/>
      <c r="O997" s="68"/>
      <c r="P997" s="68"/>
      <c r="Q997" s="68"/>
      <c r="R997" s="68"/>
      <c r="S997" s="68"/>
    </row>
    <row r="998" spans="1:19" ht="15.75" customHeight="1">
      <c r="A998" s="299"/>
      <c r="B998" s="300"/>
      <c r="C998" s="68"/>
      <c r="D998" s="301"/>
      <c r="E998" s="69"/>
      <c r="K998" s="282"/>
      <c r="L998" s="282"/>
      <c r="M998" s="195"/>
      <c r="N998" s="5"/>
      <c r="O998" s="68"/>
      <c r="P998" s="68"/>
      <c r="Q998" s="68"/>
      <c r="R998" s="68"/>
      <c r="S998" s="68"/>
    </row>
    <row r="999" spans="1:19" ht="15.75" customHeight="1">
      <c r="A999" s="299"/>
      <c r="B999" s="300"/>
      <c r="C999" s="68"/>
      <c r="D999" s="301"/>
      <c r="E999" s="69"/>
      <c r="K999" s="282"/>
      <c r="L999" s="282"/>
      <c r="M999" s="195"/>
      <c r="N999" s="5"/>
      <c r="O999" s="68"/>
      <c r="P999" s="68"/>
      <c r="Q999" s="68"/>
      <c r="R999" s="68"/>
      <c r="S999" s="68"/>
    </row>
    <row r="1000" spans="1:19" ht="15.75" customHeight="1">
      <c r="A1000" s="299"/>
      <c r="B1000" s="300"/>
      <c r="C1000" s="68"/>
      <c r="D1000" s="301"/>
      <c r="E1000" s="69"/>
      <c r="K1000" s="282"/>
      <c r="L1000" s="282"/>
      <c r="M1000" s="195"/>
      <c r="N1000" s="5"/>
      <c r="O1000" s="68"/>
      <c r="P1000" s="68"/>
      <c r="Q1000" s="68"/>
      <c r="R1000" s="68"/>
      <c r="S1000" s="68"/>
    </row>
  </sheetData>
  <mergeCells count="193">
    <mergeCell ref="B91:B99"/>
    <mergeCell ref="A71:A80"/>
    <mergeCell ref="B71:B80"/>
    <mergeCell ref="A81:A90"/>
    <mergeCell ref="B81:B90"/>
    <mergeCell ref="D100:D117"/>
    <mergeCell ref="D118:D135"/>
    <mergeCell ref="D46:D48"/>
    <mergeCell ref="D49:D54"/>
    <mergeCell ref="D55:D60"/>
    <mergeCell ref="D61:D70"/>
    <mergeCell ref="D71:D80"/>
    <mergeCell ref="D81:D90"/>
    <mergeCell ref="D91:D99"/>
    <mergeCell ref="F49:F54"/>
    <mergeCell ref="E55:E57"/>
    <mergeCell ref="E58:E60"/>
    <mergeCell ref="F43:F45"/>
    <mergeCell ref="G43:G45"/>
    <mergeCell ref="F46:F48"/>
    <mergeCell ref="G46:G48"/>
    <mergeCell ref="G49:G54"/>
    <mergeCell ref="D14:D17"/>
    <mergeCell ref="D18:D19"/>
    <mergeCell ref="D26:D27"/>
    <mergeCell ref="D28:D31"/>
    <mergeCell ref="D43:D45"/>
    <mergeCell ref="A22:A23"/>
    <mergeCell ref="B22:B23"/>
    <mergeCell ref="D22:D23"/>
    <mergeCell ref="A24:A25"/>
    <mergeCell ref="B24:B25"/>
    <mergeCell ref="D24:D25"/>
    <mergeCell ref="A26:A27"/>
    <mergeCell ref="B26:B27"/>
    <mergeCell ref="A28:A31"/>
    <mergeCell ref="B28:B31"/>
    <mergeCell ref="E426:E428"/>
    <mergeCell ref="E439:E441"/>
    <mergeCell ref="E442:E445"/>
    <mergeCell ref="E466:E469"/>
    <mergeCell ref="E470:E473"/>
    <mergeCell ref="E474:E477"/>
    <mergeCell ref="E446:E449"/>
    <mergeCell ref="E450:E453"/>
    <mergeCell ref="E454:E457"/>
    <mergeCell ref="E458:E461"/>
    <mergeCell ref="E462:E465"/>
    <mergeCell ref="O358:O359"/>
    <mergeCell ref="P358:P359"/>
    <mergeCell ref="Q358:Q359"/>
    <mergeCell ref="R358:R359"/>
    <mergeCell ref="E323:E325"/>
    <mergeCell ref="E414:E416"/>
    <mergeCell ref="E417:E419"/>
    <mergeCell ref="E420:E422"/>
    <mergeCell ref="E423:E425"/>
    <mergeCell ref="E371:E374"/>
    <mergeCell ref="N371:N374"/>
    <mergeCell ref="N380:N390"/>
    <mergeCell ref="E355:E359"/>
    <mergeCell ref="H358:H359"/>
    <mergeCell ref="E360:E370"/>
    <mergeCell ref="E377:E379"/>
    <mergeCell ref="E380:E390"/>
    <mergeCell ref="E391:E394"/>
    <mergeCell ref="E397:E398"/>
    <mergeCell ref="E399:E401"/>
    <mergeCell ref="E402:E404"/>
    <mergeCell ref="E405:E407"/>
    <mergeCell ref="E408:E410"/>
    <mergeCell ref="E411:E413"/>
    <mergeCell ref="N349:N352"/>
    <mergeCell ref="M357:M358"/>
    <mergeCell ref="N358:N359"/>
    <mergeCell ref="D335:D352"/>
    <mergeCell ref="E338:E348"/>
    <mergeCell ref="N338:N348"/>
    <mergeCell ref="E349:E352"/>
    <mergeCell ref="I358:I359"/>
    <mergeCell ref="K358:K359"/>
    <mergeCell ref="L358:L359"/>
    <mergeCell ref="D355:D374"/>
    <mergeCell ref="E326:E330"/>
    <mergeCell ref="D331:D333"/>
    <mergeCell ref="E335:E337"/>
    <mergeCell ref="D317:D322"/>
    <mergeCell ref="E317:E322"/>
    <mergeCell ref="D323:D325"/>
    <mergeCell ref="D304:D306"/>
    <mergeCell ref="D307:D309"/>
    <mergeCell ref="D310:D312"/>
    <mergeCell ref="D313:D316"/>
    <mergeCell ref="E285:E286"/>
    <mergeCell ref="F285:F286"/>
    <mergeCell ref="E283:E284"/>
    <mergeCell ref="E293:E294"/>
    <mergeCell ref="F293:F294"/>
    <mergeCell ref="G293:G294"/>
    <mergeCell ref="F295:F296"/>
    <mergeCell ref="G295:G296"/>
    <mergeCell ref="A281:A303"/>
    <mergeCell ref="B281:B303"/>
    <mergeCell ref="D281:D303"/>
    <mergeCell ref="F283:F284"/>
    <mergeCell ref="G283:G284"/>
    <mergeCell ref="G285:G286"/>
    <mergeCell ref="E295:E296"/>
    <mergeCell ref="A331:A428"/>
    <mergeCell ref="B331:B428"/>
    <mergeCell ref="D397:D425"/>
    <mergeCell ref="D426:D428"/>
    <mergeCell ref="D429:D431"/>
    <mergeCell ref="A429:A477"/>
    <mergeCell ref="B429:B477"/>
    <mergeCell ref="D439:D477"/>
    <mergeCell ref="A304:A309"/>
    <mergeCell ref="B304:B309"/>
    <mergeCell ref="A310:A330"/>
    <mergeCell ref="B310:B330"/>
    <mergeCell ref="D326:D330"/>
    <mergeCell ref="D377:D394"/>
    <mergeCell ref="A262:A265"/>
    <mergeCell ref="B262:B265"/>
    <mergeCell ref="A254:A257"/>
    <mergeCell ref="B254:B257"/>
    <mergeCell ref="A258:A261"/>
    <mergeCell ref="B258:B261"/>
    <mergeCell ref="A266:A269"/>
    <mergeCell ref="B266:B269"/>
    <mergeCell ref="A270:A279"/>
    <mergeCell ref="B270:B280"/>
    <mergeCell ref="D266:D269"/>
    <mergeCell ref="D270:D279"/>
    <mergeCell ref="D181:D205"/>
    <mergeCell ref="D206:D244"/>
    <mergeCell ref="D246:D253"/>
    <mergeCell ref="D254:D257"/>
    <mergeCell ref="D258:D261"/>
    <mergeCell ref="D262:D265"/>
    <mergeCell ref="A100:A117"/>
    <mergeCell ref="B100:B117"/>
    <mergeCell ref="A118:A135"/>
    <mergeCell ref="B118:B135"/>
    <mergeCell ref="A172:A180"/>
    <mergeCell ref="B172:B180"/>
    <mergeCell ref="A157:A160"/>
    <mergeCell ref="B157:B160"/>
    <mergeCell ref="A161:A171"/>
    <mergeCell ref="B161:B171"/>
    <mergeCell ref="A246:A253"/>
    <mergeCell ref="B246:B253"/>
    <mergeCell ref="A181:A205"/>
    <mergeCell ref="B181:B205"/>
    <mergeCell ref="A206:A244"/>
    <mergeCell ref="B206:B245"/>
    <mergeCell ref="A32:A34"/>
    <mergeCell ref="B32:B34"/>
    <mergeCell ref="D32:D34"/>
    <mergeCell ref="A136:A156"/>
    <mergeCell ref="B136:B156"/>
    <mergeCell ref="D136:D156"/>
    <mergeCell ref="D157:D160"/>
    <mergeCell ref="D161:D171"/>
    <mergeCell ref="D172:D180"/>
    <mergeCell ref="A35:A38"/>
    <mergeCell ref="B35:B38"/>
    <mergeCell ref="D35:D38"/>
    <mergeCell ref="A39:A42"/>
    <mergeCell ref="B39:B42"/>
    <mergeCell ref="D39:D42"/>
    <mergeCell ref="A43:A45"/>
    <mergeCell ref="B43:B54"/>
    <mergeCell ref="A46:A48"/>
    <mergeCell ref="A49:A54"/>
    <mergeCell ref="A55:A60"/>
    <mergeCell ref="B55:B60"/>
    <mergeCell ref="A61:A70"/>
    <mergeCell ref="B61:B70"/>
    <mergeCell ref="A91:A99"/>
    <mergeCell ref="A4:A9"/>
    <mergeCell ref="B4:B9"/>
    <mergeCell ref="D4:D9"/>
    <mergeCell ref="A10:A13"/>
    <mergeCell ref="B10:B13"/>
    <mergeCell ref="D10:D13"/>
    <mergeCell ref="A20:A21"/>
    <mergeCell ref="B20:B21"/>
    <mergeCell ref="D20:D21"/>
    <mergeCell ref="A14:A17"/>
    <mergeCell ref="B14:B17"/>
    <mergeCell ref="A18:A19"/>
    <mergeCell ref="B18:B19"/>
  </mergeCells>
  <conditionalFormatting sqref="K3:L3 K5:K245 K254:K339 K375:K391">
    <cfRule type="containsText" dxfId="115" priority="1" operator="containsText" text="NG">
      <formula>NOT(ISERROR(SEARCH(("NG"),(K3))))</formula>
    </cfRule>
  </conditionalFormatting>
  <conditionalFormatting sqref="K3:L3 K5:K245 K254:K339 K375:K391">
    <cfRule type="containsText" dxfId="114" priority="2" operator="containsText" text="OK">
      <formula>NOT(ISERROR(SEARCH(("OK"),(K3))))</formula>
    </cfRule>
  </conditionalFormatting>
  <conditionalFormatting sqref="I3:J3">
    <cfRule type="cellIs" dxfId="113" priority="3" stopIfTrue="1" operator="equal">
      <formula>"OK"</formula>
    </cfRule>
  </conditionalFormatting>
  <conditionalFormatting sqref="I3:J3">
    <cfRule type="cellIs" dxfId="112" priority="4" stopIfTrue="1" operator="equal">
      <formula>"Fail"</formula>
    </cfRule>
  </conditionalFormatting>
  <conditionalFormatting sqref="I3:J3">
    <cfRule type="cellIs" dxfId="111" priority="5" stopIfTrue="1" operator="equal">
      <formula>"OK"</formula>
    </cfRule>
  </conditionalFormatting>
  <conditionalFormatting sqref="I3:J3">
    <cfRule type="cellIs" dxfId="110" priority="6" stopIfTrue="1" operator="equal">
      <formula>"Fail"</formula>
    </cfRule>
  </conditionalFormatting>
  <conditionalFormatting sqref="K340:K358 K360 K371 K395:K433">
    <cfRule type="containsText" dxfId="109" priority="7" operator="containsText" text="NG">
      <formula>NOT(ISERROR(SEARCH(("NG"),(K340))))</formula>
    </cfRule>
  </conditionalFormatting>
  <conditionalFormatting sqref="K340:K358 K360 K371 K395:K433">
    <cfRule type="containsText" dxfId="108" priority="8" operator="containsText" text="OK">
      <formula>NOT(ISERROR(SEARCH(("OK"),(K340))))</formula>
    </cfRule>
  </conditionalFormatting>
  <conditionalFormatting sqref="K434:K477">
    <cfRule type="containsText" dxfId="107" priority="9" operator="containsText" text="NG">
      <formula>NOT(ISERROR(SEARCH(("NG"),(K434))))</formula>
    </cfRule>
  </conditionalFormatting>
  <conditionalFormatting sqref="K434:K477">
    <cfRule type="containsText" dxfId="106" priority="10" operator="containsText" text="OK">
      <formula>NOT(ISERROR(SEARCH(("OK"),(K434))))</formula>
    </cfRule>
  </conditionalFormatting>
  <conditionalFormatting sqref="K246:K253">
    <cfRule type="containsText" dxfId="105" priority="11" operator="containsText" text="NG">
      <formula>NOT(ISERROR(SEARCH(("NG"),(K246))))</formula>
    </cfRule>
  </conditionalFormatting>
  <conditionalFormatting sqref="K246:K253">
    <cfRule type="containsText" dxfId="104" priority="12" operator="containsText" text="OK">
      <formula>NOT(ISERROR(SEARCH(("OK"),(K246))))</formula>
    </cfRule>
  </conditionalFormatting>
  <dataValidations count="3">
    <dataValidation type="list" allowBlank="1" showErrorMessage="1" sqref="O4:P5">
      <formula1>"필수,중요,선택"</formula1>
    </dataValidation>
    <dataValidation type="list" allowBlank="1" showErrorMessage="1" sqref="K4:L338 K339:K352 K353:L358 K360:L477">
      <formula1>"Pass,Fail,NA"</formula1>
    </dataValidation>
    <dataValidation type="list" allowBlank="1" showErrorMessage="1" sqref="O6:P9 O10:O17 O18:P21 O22:O23 O24:P60 O61:O90 O91:P165 O166:O169 O170:P173 O174 O175:P178 O179 O180:P330">
      <formula1>"Proto,M/CAR,Pilot,M,SOP"</formula1>
    </dataValidation>
  </dataValidations>
  <pageMargins left="0.7" right="0.7" top="0.75" bottom="0.75" header="0" footer="0"/>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7F7F7F"/>
  </sheetPr>
  <dimension ref="A1:K1000"/>
  <sheetViews>
    <sheetView workbookViewId="0">
      <selection activeCell="H17" sqref="H17"/>
    </sheetView>
  </sheetViews>
  <sheetFormatPr defaultColWidth="14.42578125" defaultRowHeight="15" customHeight="1"/>
  <cols>
    <col min="1" max="1" width="8.7109375" customWidth="1"/>
    <col min="2" max="2" width="9.85546875" customWidth="1"/>
    <col min="3" max="3" width="7.42578125" customWidth="1"/>
    <col min="4" max="5" width="65.5703125" customWidth="1"/>
    <col min="6" max="7" width="5.42578125" customWidth="1"/>
    <col min="8" max="9" width="65.5703125" customWidth="1"/>
    <col min="10" max="10" width="12" customWidth="1"/>
    <col min="11" max="11" width="12.7109375" customWidth="1"/>
    <col min="12" max="26" width="8.7109375" customWidth="1"/>
  </cols>
  <sheetData>
    <row r="1" spans="1:11">
      <c r="A1" s="302" t="s">
        <v>3205</v>
      </c>
      <c r="B1" s="303" t="s">
        <v>310</v>
      </c>
      <c r="C1" s="303" t="s">
        <v>7836</v>
      </c>
      <c r="D1" s="303" t="s">
        <v>7837</v>
      </c>
      <c r="E1" s="303" t="s">
        <v>0</v>
      </c>
      <c r="F1" s="303" t="s">
        <v>314</v>
      </c>
      <c r="G1" s="303" t="s">
        <v>315</v>
      </c>
      <c r="H1" s="303" t="s">
        <v>3206</v>
      </c>
      <c r="I1" s="303" t="s">
        <v>7838</v>
      </c>
      <c r="J1" s="303" t="s">
        <v>292</v>
      </c>
      <c r="K1" s="307" t="s">
        <v>1</v>
      </c>
    </row>
    <row r="2" spans="1:11">
      <c r="A2" s="426" t="s">
        <v>7839</v>
      </c>
      <c r="B2" s="349"/>
      <c r="C2" s="349"/>
      <c r="D2" s="349"/>
      <c r="E2" s="349"/>
      <c r="F2" s="349"/>
      <c r="G2" s="349"/>
      <c r="H2" s="349"/>
      <c r="I2" s="349"/>
      <c r="J2" s="349"/>
      <c r="K2" s="347"/>
    </row>
    <row r="3" spans="1:11">
      <c r="A3" s="422" t="s">
        <v>7840</v>
      </c>
      <c r="B3" s="349"/>
      <c r="C3" s="349"/>
      <c r="D3" s="349"/>
      <c r="E3" s="349"/>
      <c r="F3" s="349"/>
      <c r="G3" s="349"/>
      <c r="H3" s="349"/>
      <c r="I3" s="349"/>
      <c r="J3" s="349"/>
      <c r="K3" s="347"/>
    </row>
    <row r="4" spans="1:11" ht="30">
      <c r="A4" s="420"/>
      <c r="B4" s="427" t="s">
        <v>7841</v>
      </c>
      <c r="C4" s="304">
        <v>1</v>
      </c>
      <c r="D4" s="419" t="s">
        <v>7842</v>
      </c>
      <c r="E4" s="168" t="s">
        <v>7843</v>
      </c>
      <c r="F4" s="45" t="s">
        <v>326</v>
      </c>
      <c r="G4" s="45" t="s">
        <v>327</v>
      </c>
      <c r="H4" s="80" t="s">
        <v>7844</v>
      </c>
      <c r="I4" s="80" t="s">
        <v>7845</v>
      </c>
      <c r="J4" s="70"/>
      <c r="K4" s="84" t="s">
        <v>299</v>
      </c>
    </row>
    <row r="5" spans="1:11" ht="30">
      <c r="A5" s="344"/>
      <c r="B5" s="344"/>
      <c r="C5" s="304">
        <v>2</v>
      </c>
      <c r="D5" s="344"/>
      <c r="E5" s="168" t="s">
        <v>7846</v>
      </c>
      <c r="F5" s="45" t="s">
        <v>326</v>
      </c>
      <c r="G5" s="45" t="s">
        <v>327</v>
      </c>
      <c r="H5" s="80" t="s">
        <v>7847</v>
      </c>
      <c r="I5" s="80" t="s">
        <v>7848</v>
      </c>
      <c r="J5" s="70"/>
      <c r="K5" s="84" t="s">
        <v>299</v>
      </c>
    </row>
    <row r="6" spans="1:11" ht="90">
      <c r="A6" s="345"/>
      <c r="B6" s="345"/>
      <c r="C6" s="304">
        <v>3</v>
      </c>
      <c r="D6" s="345"/>
      <c r="E6" s="168" t="s">
        <v>7849</v>
      </c>
      <c r="F6" s="45" t="s">
        <v>326</v>
      </c>
      <c r="G6" s="45" t="s">
        <v>327</v>
      </c>
      <c r="H6" s="80" t="s">
        <v>7850</v>
      </c>
      <c r="I6" s="80" t="s">
        <v>7851</v>
      </c>
      <c r="J6" s="70"/>
      <c r="K6" s="84" t="s">
        <v>299</v>
      </c>
    </row>
    <row r="7" spans="1:11" ht="45">
      <c r="A7" s="420"/>
      <c r="B7" s="421">
        <v>1002</v>
      </c>
      <c r="C7" s="304">
        <v>1</v>
      </c>
      <c r="D7" s="419" t="s">
        <v>7852</v>
      </c>
      <c r="E7" s="168" t="s">
        <v>7853</v>
      </c>
      <c r="F7" s="45" t="s">
        <v>326</v>
      </c>
      <c r="G7" s="45" t="s">
        <v>327</v>
      </c>
      <c r="H7" s="80" t="s">
        <v>7854</v>
      </c>
      <c r="I7" s="80" t="s">
        <v>7855</v>
      </c>
      <c r="J7" s="70"/>
      <c r="K7" s="84" t="s">
        <v>299</v>
      </c>
    </row>
    <row r="8" spans="1:11" ht="30">
      <c r="A8" s="344"/>
      <c r="B8" s="344"/>
      <c r="C8" s="304">
        <v>2</v>
      </c>
      <c r="D8" s="344"/>
      <c r="E8" s="168" t="s">
        <v>7856</v>
      </c>
      <c r="F8" s="45" t="s">
        <v>326</v>
      </c>
      <c r="G8" s="45" t="s">
        <v>327</v>
      </c>
      <c r="H8" s="80" t="s">
        <v>7857</v>
      </c>
      <c r="I8" s="80" t="s">
        <v>7858</v>
      </c>
      <c r="J8" s="70"/>
      <c r="K8" s="84" t="s">
        <v>299</v>
      </c>
    </row>
    <row r="9" spans="1:11">
      <c r="A9" s="344"/>
      <c r="B9" s="344"/>
      <c r="C9" s="304">
        <v>3</v>
      </c>
      <c r="D9" s="344"/>
      <c r="E9" s="168" t="s">
        <v>7859</v>
      </c>
      <c r="F9" s="45" t="s">
        <v>326</v>
      </c>
      <c r="G9" s="45" t="s">
        <v>327</v>
      </c>
      <c r="H9" s="80" t="s">
        <v>7860</v>
      </c>
      <c r="I9" s="80" t="s">
        <v>7861</v>
      </c>
      <c r="J9" s="70"/>
      <c r="K9" s="84" t="s">
        <v>299</v>
      </c>
    </row>
    <row r="10" spans="1:11" ht="30">
      <c r="A10" s="345"/>
      <c r="B10" s="345"/>
      <c r="C10" s="304">
        <v>4</v>
      </c>
      <c r="D10" s="345"/>
      <c r="E10" s="168" t="s">
        <v>7862</v>
      </c>
      <c r="F10" s="45" t="s">
        <v>326</v>
      </c>
      <c r="G10" s="45" t="s">
        <v>327</v>
      </c>
      <c r="H10" s="80" t="s">
        <v>7863</v>
      </c>
      <c r="I10" s="80" t="s">
        <v>7864</v>
      </c>
      <c r="J10" s="70"/>
      <c r="K10" s="84" t="s">
        <v>299</v>
      </c>
    </row>
    <row r="11" spans="1:11">
      <c r="A11" s="420"/>
      <c r="B11" s="421">
        <v>1003</v>
      </c>
      <c r="C11" s="304">
        <v>1</v>
      </c>
      <c r="D11" s="419" t="s">
        <v>7865</v>
      </c>
      <c r="E11" s="168" t="s">
        <v>7866</v>
      </c>
      <c r="F11" s="45" t="s">
        <v>326</v>
      </c>
      <c r="G11" s="45" t="s">
        <v>327</v>
      </c>
      <c r="H11" s="80" t="s">
        <v>7867</v>
      </c>
      <c r="I11" s="80" t="s">
        <v>7867</v>
      </c>
      <c r="J11" s="70"/>
      <c r="K11" s="84" t="s">
        <v>299</v>
      </c>
    </row>
    <row r="12" spans="1:11">
      <c r="A12" s="344"/>
      <c r="B12" s="344"/>
      <c r="C12" s="304">
        <v>2</v>
      </c>
      <c r="D12" s="344"/>
      <c r="E12" s="168" t="s">
        <v>7868</v>
      </c>
      <c r="F12" s="45" t="s">
        <v>326</v>
      </c>
      <c r="G12" s="45" t="s">
        <v>327</v>
      </c>
      <c r="H12" s="80" t="s">
        <v>7869</v>
      </c>
      <c r="I12" s="80" t="s">
        <v>7869</v>
      </c>
      <c r="J12" s="70"/>
      <c r="K12" s="84" t="s">
        <v>299</v>
      </c>
    </row>
    <row r="13" spans="1:11" ht="60">
      <c r="A13" s="344"/>
      <c r="B13" s="344"/>
      <c r="C13" s="304">
        <v>3</v>
      </c>
      <c r="D13" s="344"/>
      <c r="E13" s="168" t="s">
        <v>7870</v>
      </c>
      <c r="F13" s="45" t="s">
        <v>326</v>
      </c>
      <c r="G13" s="45" t="s">
        <v>327</v>
      </c>
      <c r="H13" s="80" t="s">
        <v>7871</v>
      </c>
      <c r="I13" s="80" t="s">
        <v>7871</v>
      </c>
      <c r="J13" s="70"/>
      <c r="K13" s="84" t="s">
        <v>299</v>
      </c>
    </row>
    <row r="14" spans="1:11">
      <c r="A14" s="344"/>
      <c r="B14" s="344"/>
      <c r="C14" s="304">
        <v>4</v>
      </c>
      <c r="D14" s="344"/>
      <c r="E14" s="168" t="s">
        <v>7872</v>
      </c>
      <c r="F14" s="45" t="s">
        <v>326</v>
      </c>
      <c r="G14" s="45" t="s">
        <v>327</v>
      </c>
      <c r="H14" s="80" t="s">
        <v>7873</v>
      </c>
      <c r="I14" s="80" t="s">
        <v>7874</v>
      </c>
      <c r="J14" s="70"/>
      <c r="K14" s="84" t="s">
        <v>299</v>
      </c>
    </row>
    <row r="15" spans="1:11" ht="30">
      <c r="A15" s="344"/>
      <c r="B15" s="344"/>
      <c r="C15" s="304">
        <v>5</v>
      </c>
      <c r="D15" s="344"/>
      <c r="E15" s="168" t="s">
        <v>7875</v>
      </c>
      <c r="F15" s="45" t="s">
        <v>326</v>
      </c>
      <c r="G15" s="45" t="s">
        <v>327</v>
      </c>
      <c r="H15" s="80" t="s">
        <v>7876</v>
      </c>
      <c r="I15" s="80" t="s">
        <v>7877</v>
      </c>
      <c r="J15" s="70"/>
      <c r="K15" s="84" t="s">
        <v>299</v>
      </c>
    </row>
    <row r="16" spans="1:11">
      <c r="A16" s="345"/>
      <c r="B16" s="345"/>
      <c r="C16" s="304">
        <v>6</v>
      </c>
      <c r="D16" s="345"/>
      <c r="E16" s="168" t="s">
        <v>7878</v>
      </c>
      <c r="F16" s="45" t="s">
        <v>326</v>
      </c>
      <c r="G16" s="45" t="s">
        <v>327</v>
      </c>
      <c r="H16" s="80" t="s">
        <v>7879</v>
      </c>
      <c r="I16" s="80" t="s">
        <v>7880</v>
      </c>
      <c r="J16" s="70"/>
      <c r="K16" s="84" t="s">
        <v>299</v>
      </c>
    </row>
    <row r="17" spans="1:11" ht="75">
      <c r="A17" s="420"/>
      <c r="B17" s="421">
        <v>1004</v>
      </c>
      <c r="C17" s="304">
        <v>1</v>
      </c>
      <c r="D17" s="419" t="s">
        <v>7881</v>
      </c>
      <c r="E17" s="168" t="s">
        <v>7882</v>
      </c>
      <c r="F17" s="45" t="s">
        <v>326</v>
      </c>
      <c r="G17" s="45" t="s">
        <v>524</v>
      </c>
      <c r="H17" s="80" t="s">
        <v>7883</v>
      </c>
      <c r="I17" s="80" t="s">
        <v>7884</v>
      </c>
      <c r="J17" s="70"/>
      <c r="K17" s="84" t="s">
        <v>299</v>
      </c>
    </row>
    <row r="18" spans="1:11">
      <c r="A18" s="344"/>
      <c r="B18" s="344"/>
      <c r="C18" s="304">
        <v>2</v>
      </c>
      <c r="D18" s="344"/>
      <c r="E18" s="168" t="s">
        <v>7885</v>
      </c>
      <c r="F18" s="45" t="s">
        <v>326</v>
      </c>
      <c r="G18" s="45" t="s">
        <v>327</v>
      </c>
      <c r="H18" s="80" t="s">
        <v>7886</v>
      </c>
      <c r="I18" s="80" t="s">
        <v>7887</v>
      </c>
      <c r="J18" s="70"/>
      <c r="K18" s="84" t="s">
        <v>299</v>
      </c>
    </row>
    <row r="19" spans="1:11" ht="30">
      <c r="A19" s="344"/>
      <c r="B19" s="344"/>
      <c r="C19" s="304">
        <v>3</v>
      </c>
      <c r="D19" s="344"/>
      <c r="E19" s="168" t="s">
        <v>7888</v>
      </c>
      <c r="F19" s="45" t="s">
        <v>326</v>
      </c>
      <c r="G19" s="45" t="s">
        <v>524</v>
      </c>
      <c r="H19" s="80" t="s">
        <v>7889</v>
      </c>
      <c r="I19" s="80" t="s">
        <v>7889</v>
      </c>
      <c r="J19" s="70"/>
      <c r="K19" s="84" t="s">
        <v>299</v>
      </c>
    </row>
    <row r="20" spans="1:11" ht="45">
      <c r="A20" s="345"/>
      <c r="B20" s="345"/>
      <c r="C20" s="304">
        <v>4</v>
      </c>
      <c r="D20" s="345"/>
      <c r="E20" s="168" t="s">
        <v>7890</v>
      </c>
      <c r="F20" s="45" t="s">
        <v>326</v>
      </c>
      <c r="G20" s="45" t="s">
        <v>524</v>
      </c>
      <c r="H20" s="80" t="s">
        <v>7891</v>
      </c>
      <c r="I20" s="80" t="s">
        <v>7892</v>
      </c>
      <c r="J20" s="70"/>
      <c r="K20" s="84" t="s">
        <v>299</v>
      </c>
    </row>
    <row r="21" spans="1:11" ht="15.75" customHeight="1">
      <c r="A21" s="420"/>
      <c r="B21" s="421">
        <v>1005</v>
      </c>
      <c r="C21" s="304">
        <v>1</v>
      </c>
      <c r="D21" s="419" t="s">
        <v>7893</v>
      </c>
      <c r="E21" s="168" t="s">
        <v>7894</v>
      </c>
      <c r="F21" s="45" t="s">
        <v>326</v>
      </c>
      <c r="G21" s="45" t="s">
        <v>327</v>
      </c>
      <c r="H21" s="80" t="s">
        <v>7895</v>
      </c>
      <c r="I21" s="80" t="s">
        <v>7896</v>
      </c>
      <c r="J21" s="70"/>
      <c r="K21" s="84" t="s">
        <v>299</v>
      </c>
    </row>
    <row r="22" spans="1:11" ht="15.75" customHeight="1">
      <c r="A22" s="345"/>
      <c r="B22" s="345"/>
      <c r="C22" s="304">
        <v>2</v>
      </c>
      <c r="D22" s="345"/>
      <c r="E22" s="168" t="s">
        <v>7878</v>
      </c>
      <c r="F22" s="45" t="s">
        <v>326</v>
      </c>
      <c r="G22" s="45" t="s">
        <v>327</v>
      </c>
      <c r="H22" s="80" t="s">
        <v>7897</v>
      </c>
      <c r="I22" s="80" t="s">
        <v>7880</v>
      </c>
      <c r="J22" s="70"/>
      <c r="K22" s="84" t="s">
        <v>299</v>
      </c>
    </row>
    <row r="23" spans="1:11" ht="15.75" customHeight="1">
      <c r="A23" s="305"/>
      <c r="B23" s="304">
        <v>1006</v>
      </c>
      <c r="C23" s="304">
        <v>1</v>
      </c>
      <c r="D23" s="173" t="s">
        <v>7898</v>
      </c>
      <c r="E23" s="168" t="s">
        <v>7899</v>
      </c>
      <c r="F23" s="45" t="s">
        <v>326</v>
      </c>
      <c r="G23" s="45" t="s">
        <v>327</v>
      </c>
      <c r="H23" s="80" t="s">
        <v>7900</v>
      </c>
      <c r="I23" s="80" t="s">
        <v>7901</v>
      </c>
      <c r="J23" s="70"/>
      <c r="K23" s="84" t="s">
        <v>299</v>
      </c>
    </row>
    <row r="24" spans="1:11" ht="15.75" customHeight="1">
      <c r="A24" s="422" t="s">
        <v>7902</v>
      </c>
      <c r="B24" s="349"/>
      <c r="C24" s="349"/>
      <c r="D24" s="349"/>
      <c r="E24" s="349"/>
      <c r="F24" s="349"/>
      <c r="G24" s="349"/>
      <c r="H24" s="349"/>
      <c r="I24" s="349"/>
      <c r="J24" s="347"/>
      <c r="K24" s="84" t="s">
        <v>299</v>
      </c>
    </row>
    <row r="25" spans="1:11" ht="15.75" customHeight="1">
      <c r="A25" s="305"/>
      <c r="B25" s="304">
        <v>1007</v>
      </c>
      <c r="C25" s="304">
        <v>1</v>
      </c>
      <c r="D25" s="173" t="s">
        <v>7903</v>
      </c>
      <c r="E25" s="168" t="s">
        <v>7904</v>
      </c>
      <c r="F25" s="74" t="s">
        <v>326</v>
      </c>
      <c r="G25" s="74" t="s">
        <v>327</v>
      </c>
      <c r="H25" s="80" t="s">
        <v>7905</v>
      </c>
      <c r="I25" s="80" t="s">
        <v>7906</v>
      </c>
      <c r="J25" s="70" t="s">
        <v>294</v>
      </c>
      <c r="K25" s="84" t="s">
        <v>299</v>
      </c>
    </row>
    <row r="26" spans="1:11" ht="15.75" customHeight="1">
      <c r="A26" s="420"/>
      <c r="B26" s="427" t="s">
        <v>7907</v>
      </c>
      <c r="C26" s="304">
        <v>1</v>
      </c>
      <c r="D26" s="419" t="s">
        <v>7908</v>
      </c>
      <c r="E26" s="168" t="s">
        <v>7909</v>
      </c>
      <c r="F26" s="74" t="s">
        <v>326</v>
      </c>
      <c r="G26" s="74" t="s">
        <v>327</v>
      </c>
      <c r="H26" s="80" t="s">
        <v>7910</v>
      </c>
      <c r="I26" s="80" t="s">
        <v>7911</v>
      </c>
      <c r="J26" s="70" t="s">
        <v>294</v>
      </c>
      <c r="K26" s="84" t="s">
        <v>299</v>
      </c>
    </row>
    <row r="27" spans="1:11" ht="15.75" customHeight="1">
      <c r="A27" s="345"/>
      <c r="B27" s="345"/>
      <c r="C27" s="304">
        <v>2</v>
      </c>
      <c r="D27" s="345"/>
      <c r="E27" s="168" t="s">
        <v>7912</v>
      </c>
      <c r="F27" s="74" t="s">
        <v>326</v>
      </c>
      <c r="G27" s="74" t="s">
        <v>327</v>
      </c>
      <c r="H27" s="80" t="s">
        <v>7910</v>
      </c>
      <c r="I27" s="80" t="s">
        <v>7911</v>
      </c>
      <c r="J27" s="70" t="s">
        <v>294</v>
      </c>
      <c r="K27" s="84" t="s">
        <v>299</v>
      </c>
    </row>
    <row r="28" spans="1:11" ht="15.75" customHeight="1">
      <c r="A28" s="422" t="s">
        <v>7913</v>
      </c>
      <c r="B28" s="349"/>
      <c r="C28" s="349"/>
      <c r="D28" s="349"/>
      <c r="E28" s="349"/>
      <c r="F28" s="349"/>
      <c r="G28" s="349"/>
      <c r="H28" s="349"/>
      <c r="I28" s="349"/>
      <c r="J28" s="347"/>
      <c r="K28" s="84" t="s">
        <v>299</v>
      </c>
    </row>
    <row r="29" spans="1:11" ht="15.75" customHeight="1">
      <c r="A29" s="420"/>
      <c r="B29" s="421">
        <v>1009</v>
      </c>
      <c r="C29" s="304">
        <v>1</v>
      </c>
      <c r="D29" s="418" t="s">
        <v>7913</v>
      </c>
      <c r="E29" s="168" t="s">
        <v>7914</v>
      </c>
      <c r="F29" s="74" t="s">
        <v>326</v>
      </c>
      <c r="G29" s="74" t="s">
        <v>327</v>
      </c>
      <c r="H29" s="144" t="s">
        <v>7915</v>
      </c>
      <c r="I29" s="47" t="s">
        <v>7916</v>
      </c>
      <c r="J29" s="70" t="s">
        <v>294</v>
      </c>
      <c r="K29" s="84" t="s">
        <v>299</v>
      </c>
    </row>
    <row r="30" spans="1:11" ht="15.75" customHeight="1">
      <c r="A30" s="344"/>
      <c r="B30" s="344"/>
      <c r="C30" s="304">
        <v>2</v>
      </c>
      <c r="D30" s="344"/>
      <c r="E30" s="168" t="s">
        <v>7917</v>
      </c>
      <c r="F30" s="74" t="s">
        <v>326</v>
      </c>
      <c r="G30" s="74" t="s">
        <v>327</v>
      </c>
      <c r="H30" s="80" t="s">
        <v>7918</v>
      </c>
      <c r="I30" s="47" t="s">
        <v>7916</v>
      </c>
      <c r="J30" s="70" t="s">
        <v>294</v>
      </c>
      <c r="K30" s="84" t="s">
        <v>299</v>
      </c>
    </row>
    <row r="31" spans="1:11" ht="15.75" customHeight="1">
      <c r="A31" s="345"/>
      <c r="B31" s="345"/>
      <c r="C31" s="304">
        <v>3</v>
      </c>
      <c r="D31" s="345"/>
      <c r="E31" s="168" t="s">
        <v>7919</v>
      </c>
      <c r="F31" s="74" t="s">
        <v>326</v>
      </c>
      <c r="G31" s="74" t="s">
        <v>524</v>
      </c>
      <c r="H31" s="80" t="s">
        <v>7920</v>
      </c>
      <c r="I31" s="47" t="s">
        <v>7916</v>
      </c>
      <c r="J31" s="70" t="s">
        <v>294</v>
      </c>
      <c r="K31" s="84" t="s">
        <v>299</v>
      </c>
    </row>
    <row r="32" spans="1:11" ht="15.75" customHeight="1">
      <c r="A32" s="422" t="s">
        <v>7921</v>
      </c>
      <c r="B32" s="349"/>
      <c r="C32" s="349"/>
      <c r="D32" s="349"/>
      <c r="E32" s="349"/>
      <c r="F32" s="349"/>
      <c r="G32" s="349"/>
      <c r="H32" s="349"/>
      <c r="I32" s="349"/>
      <c r="J32" s="347"/>
      <c r="K32" s="84" t="s">
        <v>299</v>
      </c>
    </row>
    <row r="33" spans="1:11" ht="15.75" customHeight="1">
      <c r="A33" s="420"/>
      <c r="B33" s="421">
        <v>1010</v>
      </c>
      <c r="C33" s="304">
        <v>1</v>
      </c>
      <c r="D33" s="418" t="s">
        <v>7921</v>
      </c>
      <c r="E33" s="168" t="s">
        <v>7922</v>
      </c>
      <c r="F33" s="45" t="s">
        <v>326</v>
      </c>
      <c r="G33" s="45" t="s">
        <v>327</v>
      </c>
      <c r="H33" s="144" t="s">
        <v>7923</v>
      </c>
      <c r="I33" s="47" t="s">
        <v>7924</v>
      </c>
      <c r="J33" s="70" t="s">
        <v>294</v>
      </c>
      <c r="K33" s="84" t="s">
        <v>299</v>
      </c>
    </row>
    <row r="34" spans="1:11" ht="15.75" customHeight="1">
      <c r="A34" s="344"/>
      <c r="B34" s="344"/>
      <c r="C34" s="304">
        <v>2</v>
      </c>
      <c r="D34" s="344"/>
      <c r="E34" s="168" t="s">
        <v>7925</v>
      </c>
      <c r="F34" s="45" t="s">
        <v>326</v>
      </c>
      <c r="G34" s="45" t="s">
        <v>327</v>
      </c>
      <c r="H34" s="80" t="s">
        <v>7926</v>
      </c>
      <c r="I34" s="47" t="s">
        <v>7924</v>
      </c>
      <c r="J34" s="70" t="s">
        <v>294</v>
      </c>
      <c r="K34" s="84" t="s">
        <v>299</v>
      </c>
    </row>
    <row r="35" spans="1:11" ht="15.75" customHeight="1">
      <c r="A35" s="345"/>
      <c r="B35" s="345"/>
      <c r="C35" s="304">
        <v>3</v>
      </c>
      <c r="D35" s="344"/>
      <c r="E35" s="168" t="s">
        <v>7927</v>
      </c>
      <c r="F35" s="45" t="s">
        <v>326</v>
      </c>
      <c r="G35" s="45" t="s">
        <v>524</v>
      </c>
      <c r="H35" s="80" t="s">
        <v>7928</v>
      </c>
      <c r="I35" s="47" t="s">
        <v>7929</v>
      </c>
      <c r="J35" s="70" t="s">
        <v>294</v>
      </c>
      <c r="K35" s="84" t="s">
        <v>299</v>
      </c>
    </row>
    <row r="36" spans="1:11" ht="15.75" customHeight="1">
      <c r="A36" s="422" t="s">
        <v>7930</v>
      </c>
      <c r="B36" s="349"/>
      <c r="C36" s="349"/>
      <c r="D36" s="349"/>
      <c r="E36" s="349"/>
      <c r="F36" s="349"/>
      <c r="G36" s="349"/>
      <c r="H36" s="349"/>
      <c r="I36" s="349"/>
      <c r="J36" s="347"/>
      <c r="K36" s="84" t="s">
        <v>299</v>
      </c>
    </row>
    <row r="37" spans="1:11" ht="15.75" customHeight="1">
      <c r="A37" s="420"/>
      <c r="B37" s="421">
        <v>1011</v>
      </c>
      <c r="C37" s="304">
        <v>1</v>
      </c>
      <c r="D37" s="418" t="s">
        <v>7930</v>
      </c>
      <c r="E37" s="168" t="s">
        <v>7914</v>
      </c>
      <c r="F37" s="45" t="s">
        <v>326</v>
      </c>
      <c r="G37" s="45" t="s">
        <v>327</v>
      </c>
      <c r="H37" s="144" t="s">
        <v>7915</v>
      </c>
      <c r="I37" s="47" t="s">
        <v>7931</v>
      </c>
      <c r="J37" s="70" t="s">
        <v>294</v>
      </c>
      <c r="K37" s="84" t="s">
        <v>299</v>
      </c>
    </row>
    <row r="38" spans="1:11" ht="15.75" customHeight="1">
      <c r="A38" s="344"/>
      <c r="B38" s="344"/>
      <c r="C38" s="304">
        <v>2</v>
      </c>
      <c r="D38" s="344"/>
      <c r="E38" s="168" t="s">
        <v>7917</v>
      </c>
      <c r="F38" s="45" t="s">
        <v>326</v>
      </c>
      <c r="G38" s="45" t="s">
        <v>327</v>
      </c>
      <c r="H38" s="80" t="s">
        <v>7918</v>
      </c>
      <c r="I38" s="47" t="s">
        <v>7916</v>
      </c>
      <c r="J38" s="70" t="s">
        <v>294</v>
      </c>
      <c r="K38" s="84" t="s">
        <v>299</v>
      </c>
    </row>
    <row r="39" spans="1:11" ht="15.75" customHeight="1">
      <c r="A39" s="345"/>
      <c r="B39" s="345"/>
      <c r="C39" s="304">
        <v>3</v>
      </c>
      <c r="D39" s="345"/>
      <c r="E39" s="168" t="s">
        <v>7919</v>
      </c>
      <c r="F39" s="45" t="s">
        <v>326</v>
      </c>
      <c r="G39" s="45" t="s">
        <v>524</v>
      </c>
      <c r="H39" s="80" t="s">
        <v>7920</v>
      </c>
      <c r="I39" s="47" t="s">
        <v>7916</v>
      </c>
      <c r="J39" s="70" t="s">
        <v>294</v>
      </c>
      <c r="K39" s="84" t="s">
        <v>299</v>
      </c>
    </row>
    <row r="40" spans="1:11" ht="15.75" customHeight="1">
      <c r="A40" s="422" t="s">
        <v>7932</v>
      </c>
      <c r="B40" s="349"/>
      <c r="C40" s="349"/>
      <c r="D40" s="349"/>
      <c r="E40" s="349"/>
      <c r="F40" s="349"/>
      <c r="G40" s="349"/>
      <c r="H40" s="349"/>
      <c r="I40" s="349"/>
      <c r="J40" s="347"/>
      <c r="K40" s="84" t="s">
        <v>299</v>
      </c>
    </row>
    <row r="41" spans="1:11" ht="15.75" customHeight="1">
      <c r="A41" s="420"/>
      <c r="B41" s="421">
        <v>1012</v>
      </c>
      <c r="C41" s="304">
        <v>1</v>
      </c>
      <c r="D41" s="418" t="s">
        <v>7932</v>
      </c>
      <c r="E41" s="168" t="s">
        <v>7914</v>
      </c>
      <c r="F41" s="74" t="s">
        <v>326</v>
      </c>
      <c r="G41" s="74" t="s">
        <v>327</v>
      </c>
      <c r="H41" s="144" t="s">
        <v>7915</v>
      </c>
      <c r="I41" s="47" t="s">
        <v>7933</v>
      </c>
      <c r="J41" s="70" t="s">
        <v>294</v>
      </c>
      <c r="K41" s="84" t="s">
        <v>299</v>
      </c>
    </row>
    <row r="42" spans="1:11" ht="15.75" customHeight="1">
      <c r="A42" s="344"/>
      <c r="B42" s="344"/>
      <c r="C42" s="304">
        <v>2</v>
      </c>
      <c r="D42" s="344"/>
      <c r="E42" s="168" t="s">
        <v>7917</v>
      </c>
      <c r="F42" s="74" t="s">
        <v>326</v>
      </c>
      <c r="G42" s="74" t="s">
        <v>327</v>
      </c>
      <c r="H42" s="80" t="s">
        <v>7918</v>
      </c>
      <c r="I42" s="47" t="s">
        <v>7916</v>
      </c>
      <c r="J42" s="70" t="s">
        <v>294</v>
      </c>
      <c r="K42" s="84" t="s">
        <v>299</v>
      </c>
    </row>
    <row r="43" spans="1:11" ht="15.75" customHeight="1">
      <c r="A43" s="344"/>
      <c r="B43" s="344"/>
      <c r="C43" s="304">
        <v>3</v>
      </c>
      <c r="D43" s="344"/>
      <c r="E43" s="168" t="s">
        <v>7934</v>
      </c>
      <c r="F43" s="74" t="s">
        <v>326</v>
      </c>
      <c r="G43" s="74" t="s">
        <v>327</v>
      </c>
      <c r="H43" s="80" t="s">
        <v>7935</v>
      </c>
      <c r="I43" s="47" t="s">
        <v>7916</v>
      </c>
      <c r="J43" s="70" t="s">
        <v>294</v>
      </c>
      <c r="K43" s="84" t="s">
        <v>299</v>
      </c>
    </row>
    <row r="44" spans="1:11" ht="15.75" customHeight="1">
      <c r="A44" s="345"/>
      <c r="B44" s="345"/>
      <c r="C44" s="304">
        <v>4</v>
      </c>
      <c r="D44" s="345"/>
      <c r="E44" s="168" t="s">
        <v>7919</v>
      </c>
      <c r="F44" s="74" t="s">
        <v>326</v>
      </c>
      <c r="G44" s="74" t="s">
        <v>524</v>
      </c>
      <c r="H44" s="80" t="s">
        <v>7936</v>
      </c>
      <c r="I44" s="47" t="s">
        <v>7937</v>
      </c>
      <c r="J44" s="70" t="s">
        <v>294</v>
      </c>
      <c r="K44" s="84" t="s">
        <v>299</v>
      </c>
    </row>
    <row r="45" spans="1:11" ht="15.75" customHeight="1">
      <c r="A45" s="422" t="s">
        <v>7938</v>
      </c>
      <c r="B45" s="349"/>
      <c r="C45" s="349"/>
      <c r="D45" s="349"/>
      <c r="E45" s="349"/>
      <c r="F45" s="349"/>
      <c r="G45" s="349"/>
      <c r="H45" s="349"/>
      <c r="I45" s="349"/>
      <c r="J45" s="347"/>
      <c r="K45" s="84" t="s">
        <v>299</v>
      </c>
    </row>
    <row r="46" spans="1:11" ht="15.75" customHeight="1">
      <c r="A46" s="420"/>
      <c r="B46" s="421">
        <v>1013</v>
      </c>
      <c r="C46" s="304">
        <v>1</v>
      </c>
      <c r="D46" s="418" t="s">
        <v>7938</v>
      </c>
      <c r="E46" s="168" t="s">
        <v>7939</v>
      </c>
      <c r="F46" s="74" t="s">
        <v>326</v>
      </c>
      <c r="G46" s="74" t="s">
        <v>327</v>
      </c>
      <c r="H46" s="144" t="s">
        <v>7940</v>
      </c>
      <c r="I46" s="47" t="s">
        <v>7941</v>
      </c>
      <c r="J46" s="70" t="s">
        <v>294</v>
      </c>
      <c r="K46" s="84" t="s">
        <v>299</v>
      </c>
    </row>
    <row r="47" spans="1:11" ht="15.75" customHeight="1">
      <c r="A47" s="344"/>
      <c r="B47" s="344"/>
      <c r="C47" s="304">
        <v>2</v>
      </c>
      <c r="D47" s="344"/>
      <c r="E47" s="168" t="s">
        <v>7942</v>
      </c>
      <c r="F47" s="74" t="s">
        <v>326</v>
      </c>
      <c r="G47" s="74" t="s">
        <v>524</v>
      </c>
      <c r="H47" s="80" t="s">
        <v>7943</v>
      </c>
      <c r="I47" s="47" t="s">
        <v>7944</v>
      </c>
      <c r="J47" s="70" t="s">
        <v>294</v>
      </c>
      <c r="K47" s="84" t="s">
        <v>299</v>
      </c>
    </row>
    <row r="48" spans="1:11" ht="15.75" customHeight="1">
      <c r="A48" s="344"/>
      <c r="B48" s="344"/>
      <c r="C48" s="304">
        <v>3</v>
      </c>
      <c r="D48" s="344"/>
      <c r="E48" s="364" t="s">
        <v>7945</v>
      </c>
      <c r="F48" s="74" t="s">
        <v>326</v>
      </c>
      <c r="G48" s="74" t="s">
        <v>524</v>
      </c>
      <c r="H48" s="80" t="s">
        <v>7946</v>
      </c>
      <c r="I48" s="47" t="s">
        <v>7947</v>
      </c>
      <c r="J48" s="70" t="s">
        <v>294</v>
      </c>
      <c r="K48" s="84" t="s">
        <v>299</v>
      </c>
    </row>
    <row r="49" spans="1:11" ht="15.75" customHeight="1">
      <c r="A49" s="344"/>
      <c r="B49" s="344"/>
      <c r="C49" s="304">
        <v>4</v>
      </c>
      <c r="D49" s="344"/>
      <c r="E49" s="344"/>
      <c r="F49" s="74" t="s">
        <v>326</v>
      </c>
      <c r="G49" s="74" t="s">
        <v>524</v>
      </c>
      <c r="H49" s="80" t="s">
        <v>7948</v>
      </c>
      <c r="I49" s="47" t="s">
        <v>7949</v>
      </c>
      <c r="J49" s="70" t="s">
        <v>294</v>
      </c>
      <c r="K49" s="84" t="s">
        <v>299</v>
      </c>
    </row>
    <row r="50" spans="1:11" ht="15.75" customHeight="1">
      <c r="A50" s="344"/>
      <c r="B50" s="344"/>
      <c r="C50" s="304">
        <v>5</v>
      </c>
      <c r="D50" s="344"/>
      <c r="E50" s="345"/>
      <c r="F50" s="74" t="s">
        <v>326</v>
      </c>
      <c r="G50" s="74" t="s">
        <v>524</v>
      </c>
      <c r="H50" s="80" t="s">
        <v>7950</v>
      </c>
      <c r="I50" s="47" t="s">
        <v>7951</v>
      </c>
      <c r="J50" s="70" t="s">
        <v>294</v>
      </c>
      <c r="K50" s="84" t="s">
        <v>299</v>
      </c>
    </row>
    <row r="51" spans="1:11" ht="15.75" customHeight="1">
      <c r="A51" s="344"/>
      <c r="B51" s="344"/>
      <c r="C51" s="304">
        <v>6</v>
      </c>
      <c r="D51" s="344"/>
      <c r="E51" s="364" t="s">
        <v>7952</v>
      </c>
      <c r="F51" s="74" t="s">
        <v>326</v>
      </c>
      <c r="G51" s="74" t="s">
        <v>524</v>
      </c>
      <c r="H51" s="80" t="s">
        <v>7953</v>
      </c>
      <c r="I51" s="47" t="s">
        <v>7949</v>
      </c>
      <c r="J51" s="70" t="s">
        <v>294</v>
      </c>
      <c r="K51" s="84" t="s">
        <v>299</v>
      </c>
    </row>
    <row r="52" spans="1:11" ht="15.75" customHeight="1">
      <c r="A52" s="345"/>
      <c r="B52" s="345"/>
      <c r="C52" s="304">
        <v>7</v>
      </c>
      <c r="D52" s="345"/>
      <c r="E52" s="345"/>
      <c r="F52" s="74" t="s">
        <v>326</v>
      </c>
      <c r="G52" s="74" t="s">
        <v>524</v>
      </c>
      <c r="H52" s="80" t="s">
        <v>7950</v>
      </c>
      <c r="I52" s="47" t="s">
        <v>7951</v>
      </c>
      <c r="J52" s="70" t="s">
        <v>294</v>
      </c>
      <c r="K52" s="84" t="s">
        <v>299</v>
      </c>
    </row>
    <row r="53" spans="1:11" ht="15.75" customHeight="1">
      <c r="A53" s="422" t="s">
        <v>7954</v>
      </c>
      <c r="B53" s="349"/>
      <c r="C53" s="349"/>
      <c r="D53" s="349"/>
      <c r="E53" s="349"/>
      <c r="F53" s="349"/>
      <c r="G53" s="349"/>
      <c r="H53" s="349"/>
      <c r="I53" s="349"/>
      <c r="J53" s="347"/>
      <c r="K53" s="84" t="s">
        <v>299</v>
      </c>
    </row>
    <row r="54" spans="1:11" ht="15.75" customHeight="1">
      <c r="A54" s="420"/>
      <c r="B54" s="421">
        <v>1014</v>
      </c>
      <c r="C54" s="304">
        <v>1</v>
      </c>
      <c r="D54" s="419" t="s">
        <v>7955</v>
      </c>
      <c r="E54" s="168" t="s">
        <v>7956</v>
      </c>
      <c r="F54" s="45" t="s">
        <v>326</v>
      </c>
      <c r="G54" s="45" t="s">
        <v>327</v>
      </c>
      <c r="H54" s="80" t="s">
        <v>7854</v>
      </c>
      <c r="I54" s="80" t="s">
        <v>7855</v>
      </c>
      <c r="J54" s="70" t="s">
        <v>294</v>
      </c>
      <c r="K54" s="84" t="s">
        <v>299</v>
      </c>
    </row>
    <row r="55" spans="1:11" ht="15.75" customHeight="1">
      <c r="A55" s="344"/>
      <c r="B55" s="344"/>
      <c r="C55" s="304">
        <v>2</v>
      </c>
      <c r="D55" s="344"/>
      <c r="E55" s="168" t="s">
        <v>7856</v>
      </c>
      <c r="F55" s="45" t="s">
        <v>326</v>
      </c>
      <c r="G55" s="45" t="s">
        <v>327</v>
      </c>
      <c r="H55" s="80" t="s">
        <v>7857</v>
      </c>
      <c r="I55" s="80" t="s">
        <v>7858</v>
      </c>
      <c r="J55" s="70" t="s">
        <v>294</v>
      </c>
      <c r="K55" s="84" t="s">
        <v>299</v>
      </c>
    </row>
    <row r="56" spans="1:11" ht="15.75" customHeight="1">
      <c r="A56" s="344"/>
      <c r="B56" s="344"/>
      <c r="C56" s="304">
        <v>3</v>
      </c>
      <c r="D56" s="344"/>
      <c r="E56" s="168" t="s">
        <v>7859</v>
      </c>
      <c r="F56" s="45" t="s">
        <v>326</v>
      </c>
      <c r="G56" s="45" t="s">
        <v>327</v>
      </c>
      <c r="H56" s="80" t="s">
        <v>7860</v>
      </c>
      <c r="I56" s="80" t="s">
        <v>7861</v>
      </c>
      <c r="J56" s="70" t="s">
        <v>294</v>
      </c>
      <c r="K56" s="84" t="s">
        <v>299</v>
      </c>
    </row>
    <row r="57" spans="1:11" ht="15.75" customHeight="1">
      <c r="A57" s="345"/>
      <c r="B57" s="345"/>
      <c r="C57" s="304">
        <v>4</v>
      </c>
      <c r="D57" s="345"/>
      <c r="E57" s="168" t="s">
        <v>7862</v>
      </c>
      <c r="F57" s="45" t="s">
        <v>326</v>
      </c>
      <c r="G57" s="45" t="s">
        <v>327</v>
      </c>
      <c r="H57" s="80" t="s">
        <v>7863</v>
      </c>
      <c r="I57" s="80" t="s">
        <v>7864</v>
      </c>
      <c r="J57" s="70" t="s">
        <v>294</v>
      </c>
      <c r="K57" s="84" t="s">
        <v>299</v>
      </c>
    </row>
    <row r="58" spans="1:11" ht="15.75" customHeight="1">
      <c r="A58" s="420"/>
      <c r="B58" s="421">
        <v>1015</v>
      </c>
      <c r="C58" s="304">
        <v>1</v>
      </c>
      <c r="D58" s="419" t="s">
        <v>7957</v>
      </c>
      <c r="E58" s="168" t="s">
        <v>7866</v>
      </c>
      <c r="F58" s="45" t="s">
        <v>326</v>
      </c>
      <c r="G58" s="45" t="s">
        <v>327</v>
      </c>
      <c r="H58" s="80" t="s">
        <v>7867</v>
      </c>
      <c r="I58" s="80" t="s">
        <v>7867</v>
      </c>
      <c r="J58" s="70" t="s">
        <v>294</v>
      </c>
      <c r="K58" s="84" t="s">
        <v>299</v>
      </c>
    </row>
    <row r="59" spans="1:11" ht="15.75" customHeight="1">
      <c r="A59" s="344"/>
      <c r="B59" s="344"/>
      <c r="C59" s="304">
        <v>2</v>
      </c>
      <c r="D59" s="344"/>
      <c r="E59" s="168" t="s">
        <v>7868</v>
      </c>
      <c r="F59" s="45" t="s">
        <v>326</v>
      </c>
      <c r="G59" s="45" t="s">
        <v>327</v>
      </c>
      <c r="H59" s="80" t="s">
        <v>7869</v>
      </c>
      <c r="I59" s="80" t="s">
        <v>7869</v>
      </c>
      <c r="J59" s="70" t="s">
        <v>294</v>
      </c>
      <c r="K59" s="84" t="s">
        <v>299</v>
      </c>
    </row>
    <row r="60" spans="1:11" ht="15.75" customHeight="1">
      <c r="A60" s="344"/>
      <c r="B60" s="344"/>
      <c r="C60" s="304">
        <v>3</v>
      </c>
      <c r="D60" s="344"/>
      <c r="E60" s="168" t="s">
        <v>7870</v>
      </c>
      <c r="F60" s="45" t="s">
        <v>326</v>
      </c>
      <c r="G60" s="45" t="s">
        <v>327</v>
      </c>
      <c r="H60" s="80" t="s">
        <v>7871</v>
      </c>
      <c r="I60" s="80" t="s">
        <v>7871</v>
      </c>
      <c r="J60" s="70" t="s">
        <v>294</v>
      </c>
      <c r="K60" s="84" t="s">
        <v>299</v>
      </c>
    </row>
    <row r="61" spans="1:11" ht="15.75" customHeight="1">
      <c r="A61" s="345"/>
      <c r="B61" s="345"/>
      <c r="C61" s="304">
        <v>4</v>
      </c>
      <c r="D61" s="345"/>
      <c r="E61" s="168" t="s">
        <v>7875</v>
      </c>
      <c r="F61" s="45" t="s">
        <v>326</v>
      </c>
      <c r="G61" s="45" t="s">
        <v>327</v>
      </c>
      <c r="H61" s="80" t="s">
        <v>7876</v>
      </c>
      <c r="I61" s="80" t="s">
        <v>7876</v>
      </c>
      <c r="J61" s="70" t="s">
        <v>294</v>
      </c>
      <c r="K61" s="84" t="s">
        <v>299</v>
      </c>
    </row>
    <row r="62" spans="1:11" ht="15.75" customHeight="1">
      <c r="A62" s="420"/>
      <c r="B62" s="421">
        <v>1016</v>
      </c>
      <c r="C62" s="304">
        <v>1</v>
      </c>
      <c r="D62" s="419" t="s">
        <v>7958</v>
      </c>
      <c r="E62" s="168" t="s">
        <v>7882</v>
      </c>
      <c r="F62" s="45" t="s">
        <v>326</v>
      </c>
      <c r="G62" s="45" t="s">
        <v>327</v>
      </c>
      <c r="H62" s="80" t="s">
        <v>7959</v>
      </c>
      <c r="I62" s="80" t="s">
        <v>7884</v>
      </c>
      <c r="J62" s="70" t="s">
        <v>294</v>
      </c>
      <c r="K62" s="84" t="s">
        <v>299</v>
      </c>
    </row>
    <row r="63" spans="1:11" ht="15.75" customHeight="1">
      <c r="A63" s="344"/>
      <c r="B63" s="344"/>
      <c r="C63" s="304">
        <v>2</v>
      </c>
      <c r="D63" s="344"/>
      <c r="E63" s="168" t="s">
        <v>7960</v>
      </c>
      <c r="F63" s="45" t="s">
        <v>326</v>
      </c>
      <c r="G63" s="45" t="s">
        <v>327</v>
      </c>
      <c r="H63" s="80" t="s">
        <v>7889</v>
      </c>
      <c r="I63" s="80" t="s">
        <v>7889</v>
      </c>
      <c r="J63" s="70" t="s">
        <v>294</v>
      </c>
      <c r="K63" s="84" t="s">
        <v>299</v>
      </c>
    </row>
    <row r="64" spans="1:11" ht="15.75" customHeight="1">
      <c r="A64" s="345"/>
      <c r="B64" s="345"/>
      <c r="C64" s="304">
        <v>3</v>
      </c>
      <c r="D64" s="345"/>
      <c r="E64" s="168" t="s">
        <v>7890</v>
      </c>
      <c r="F64" s="74" t="s">
        <v>326</v>
      </c>
      <c r="G64" s="74" t="s">
        <v>327</v>
      </c>
      <c r="H64" s="80" t="s">
        <v>7891</v>
      </c>
      <c r="I64" s="80" t="s">
        <v>7892</v>
      </c>
      <c r="J64" s="70" t="s">
        <v>294</v>
      </c>
      <c r="K64" s="84" t="s">
        <v>299</v>
      </c>
    </row>
    <row r="65" spans="1:11" ht="15.75" customHeight="1">
      <c r="A65" s="305"/>
      <c r="B65" s="308">
        <v>1017</v>
      </c>
      <c r="C65" s="304">
        <v>1</v>
      </c>
      <c r="D65" s="173" t="s">
        <v>7961</v>
      </c>
      <c r="E65" s="168" t="s">
        <v>7894</v>
      </c>
      <c r="F65" s="74" t="s">
        <v>326</v>
      </c>
      <c r="G65" s="74" t="s">
        <v>327</v>
      </c>
      <c r="H65" s="80" t="s">
        <v>7962</v>
      </c>
      <c r="I65" s="80" t="s">
        <v>7962</v>
      </c>
      <c r="J65" s="70" t="s">
        <v>294</v>
      </c>
      <c r="K65" s="84" t="s">
        <v>299</v>
      </c>
    </row>
    <row r="66" spans="1:11" ht="15.75" customHeight="1">
      <c r="A66" s="305"/>
      <c r="B66" s="308">
        <v>1018</v>
      </c>
      <c r="C66" s="304">
        <v>1</v>
      </c>
      <c r="D66" s="173" t="s">
        <v>7963</v>
      </c>
      <c r="E66" s="168" t="s">
        <v>7899</v>
      </c>
      <c r="F66" s="45" t="s">
        <v>326</v>
      </c>
      <c r="G66" s="45" t="s">
        <v>327</v>
      </c>
      <c r="H66" s="80" t="s">
        <v>7900</v>
      </c>
      <c r="I66" s="80" t="s">
        <v>7901</v>
      </c>
      <c r="J66" s="70" t="s">
        <v>294</v>
      </c>
      <c r="K66" s="84" t="s">
        <v>299</v>
      </c>
    </row>
    <row r="67" spans="1:11" ht="15.75" customHeight="1">
      <c r="A67" s="420"/>
      <c r="B67" s="423">
        <v>1019</v>
      </c>
      <c r="C67" s="424"/>
      <c r="D67" s="309"/>
      <c r="E67" s="310" t="s">
        <v>7964</v>
      </c>
      <c r="F67" s="311"/>
      <c r="G67" s="311"/>
      <c r="H67" s="312"/>
      <c r="I67" s="312"/>
      <c r="J67" s="313"/>
      <c r="K67" s="84"/>
    </row>
    <row r="68" spans="1:11" ht="15.75" customHeight="1">
      <c r="A68" s="344"/>
      <c r="B68" s="344"/>
      <c r="C68" s="344"/>
      <c r="D68" s="425" t="s">
        <v>7964</v>
      </c>
      <c r="E68" s="314" t="s">
        <v>7965</v>
      </c>
      <c r="F68" s="315" t="s">
        <v>326</v>
      </c>
      <c r="G68" s="315" t="s">
        <v>327</v>
      </c>
      <c r="H68" s="316" t="s">
        <v>7966</v>
      </c>
      <c r="I68" s="317" t="s">
        <v>7967</v>
      </c>
      <c r="J68" s="318"/>
      <c r="K68" s="84"/>
    </row>
    <row r="69" spans="1:11" ht="15.75" customHeight="1">
      <c r="A69" s="344"/>
      <c r="B69" s="344"/>
      <c r="C69" s="344"/>
      <c r="D69" s="344"/>
      <c r="E69" s="314" t="s">
        <v>7968</v>
      </c>
      <c r="F69" s="315" t="s">
        <v>326</v>
      </c>
      <c r="G69" s="315" t="s">
        <v>327</v>
      </c>
      <c r="H69" s="316" t="s">
        <v>7969</v>
      </c>
      <c r="I69" s="317" t="s">
        <v>7970</v>
      </c>
      <c r="J69" s="318"/>
      <c r="K69" s="84"/>
    </row>
    <row r="70" spans="1:11" ht="15.75" customHeight="1">
      <c r="A70" s="344"/>
      <c r="B70" s="344"/>
      <c r="C70" s="344"/>
      <c r="D70" s="344"/>
      <c r="E70" s="314" t="s">
        <v>7971</v>
      </c>
      <c r="F70" s="315" t="s">
        <v>326</v>
      </c>
      <c r="G70" s="315" t="s">
        <v>327</v>
      </c>
      <c r="H70" s="316" t="s">
        <v>7972</v>
      </c>
      <c r="I70" s="317" t="s">
        <v>7973</v>
      </c>
      <c r="J70" s="318"/>
      <c r="K70" s="84"/>
    </row>
    <row r="71" spans="1:11" ht="15.75" customHeight="1">
      <c r="A71" s="344"/>
      <c r="B71" s="344"/>
      <c r="C71" s="344"/>
      <c r="D71" s="345"/>
      <c r="E71" s="314" t="s">
        <v>7974</v>
      </c>
      <c r="F71" s="315" t="s">
        <v>326</v>
      </c>
      <c r="G71" s="315" t="s">
        <v>327</v>
      </c>
      <c r="H71" s="316" t="s">
        <v>7975</v>
      </c>
      <c r="I71" s="317" t="s">
        <v>7976</v>
      </c>
      <c r="J71" s="318"/>
      <c r="K71" s="84"/>
    </row>
    <row r="72" spans="1:11" ht="15.75" customHeight="1">
      <c r="A72" s="345"/>
      <c r="B72" s="345"/>
      <c r="C72" s="345"/>
      <c r="D72" s="310" t="s">
        <v>7977</v>
      </c>
      <c r="E72" s="314" t="s">
        <v>7978</v>
      </c>
      <c r="F72" s="319" t="s">
        <v>326</v>
      </c>
      <c r="G72" s="319" t="s">
        <v>327</v>
      </c>
      <c r="H72" s="320" t="s">
        <v>7900</v>
      </c>
      <c r="I72" s="320" t="s">
        <v>7901</v>
      </c>
      <c r="J72" s="318"/>
      <c r="K72" s="84"/>
    </row>
    <row r="73" spans="1:11" ht="15.75" customHeight="1">
      <c r="A73" s="422" t="s">
        <v>7979</v>
      </c>
      <c r="B73" s="349"/>
      <c r="C73" s="349"/>
      <c r="D73" s="349"/>
      <c r="E73" s="349"/>
      <c r="F73" s="349"/>
      <c r="G73" s="349"/>
      <c r="H73" s="349"/>
      <c r="I73" s="349"/>
      <c r="J73" s="347"/>
      <c r="K73" s="84" t="s">
        <v>299</v>
      </c>
    </row>
    <row r="74" spans="1:11" ht="15.75" customHeight="1">
      <c r="A74" s="420"/>
      <c r="B74" s="421">
        <v>1020</v>
      </c>
      <c r="C74" s="304">
        <v>1</v>
      </c>
      <c r="D74" s="418" t="s">
        <v>7980</v>
      </c>
      <c r="E74" s="168" t="s">
        <v>7914</v>
      </c>
      <c r="F74" s="45" t="s">
        <v>326</v>
      </c>
      <c r="G74" s="45" t="s">
        <v>327</v>
      </c>
      <c r="H74" s="144" t="s">
        <v>7915</v>
      </c>
      <c r="I74" s="47" t="s">
        <v>7916</v>
      </c>
      <c r="J74" s="70" t="s">
        <v>294</v>
      </c>
      <c r="K74" s="84" t="s">
        <v>299</v>
      </c>
    </row>
    <row r="75" spans="1:11" ht="15.75" customHeight="1">
      <c r="A75" s="344"/>
      <c r="B75" s="344"/>
      <c r="C75" s="304">
        <v>2</v>
      </c>
      <c r="D75" s="344"/>
      <c r="E75" s="168" t="s">
        <v>7917</v>
      </c>
      <c r="F75" s="45" t="s">
        <v>326</v>
      </c>
      <c r="G75" s="45" t="s">
        <v>327</v>
      </c>
      <c r="H75" s="80" t="s">
        <v>7918</v>
      </c>
      <c r="I75" s="47" t="s">
        <v>7916</v>
      </c>
      <c r="J75" s="70" t="s">
        <v>294</v>
      </c>
      <c r="K75" s="84" t="s">
        <v>299</v>
      </c>
    </row>
    <row r="76" spans="1:11" ht="15.75" customHeight="1">
      <c r="A76" s="345"/>
      <c r="B76" s="345"/>
      <c r="C76" s="304">
        <v>3</v>
      </c>
      <c r="D76" s="344"/>
      <c r="E76" s="168" t="s">
        <v>7919</v>
      </c>
      <c r="F76" s="45" t="s">
        <v>326</v>
      </c>
      <c r="G76" s="45" t="s">
        <v>524</v>
      </c>
      <c r="H76" s="80" t="s">
        <v>7920</v>
      </c>
      <c r="I76" s="47" t="s">
        <v>7916</v>
      </c>
      <c r="J76" s="70" t="s">
        <v>294</v>
      </c>
      <c r="K76" s="84" t="s">
        <v>299</v>
      </c>
    </row>
    <row r="77" spans="1:11" ht="15.75" customHeight="1">
      <c r="A77" s="422" t="s">
        <v>7981</v>
      </c>
      <c r="B77" s="349"/>
      <c r="C77" s="349"/>
      <c r="D77" s="349"/>
      <c r="E77" s="349"/>
      <c r="F77" s="349"/>
      <c r="G77" s="349"/>
      <c r="H77" s="349"/>
      <c r="I77" s="349"/>
      <c r="J77" s="347"/>
      <c r="K77" s="84" t="s">
        <v>299</v>
      </c>
    </row>
    <row r="78" spans="1:11" ht="15.75" customHeight="1">
      <c r="A78" s="420"/>
      <c r="B78" s="421">
        <v>1021</v>
      </c>
      <c r="C78" s="304">
        <v>1</v>
      </c>
      <c r="D78" s="418" t="s">
        <v>7982</v>
      </c>
      <c r="E78" s="168" t="s">
        <v>7922</v>
      </c>
      <c r="F78" s="45" t="s">
        <v>326</v>
      </c>
      <c r="G78" s="45" t="s">
        <v>327</v>
      </c>
      <c r="H78" s="144" t="s">
        <v>7923</v>
      </c>
      <c r="I78" s="47" t="s">
        <v>7983</v>
      </c>
      <c r="J78" s="70" t="s">
        <v>294</v>
      </c>
      <c r="K78" s="84" t="s">
        <v>299</v>
      </c>
    </row>
    <row r="79" spans="1:11" ht="15.75" customHeight="1">
      <c r="A79" s="344"/>
      <c r="B79" s="344"/>
      <c r="C79" s="304">
        <v>2</v>
      </c>
      <c r="D79" s="344"/>
      <c r="E79" s="168" t="s">
        <v>7925</v>
      </c>
      <c r="F79" s="45" t="s">
        <v>326</v>
      </c>
      <c r="G79" s="45" t="s">
        <v>327</v>
      </c>
      <c r="H79" s="80" t="s">
        <v>7926</v>
      </c>
      <c r="I79" s="47" t="s">
        <v>7983</v>
      </c>
      <c r="J79" s="70" t="s">
        <v>294</v>
      </c>
      <c r="K79" s="84" t="s">
        <v>299</v>
      </c>
    </row>
    <row r="80" spans="1:11" ht="15.75" customHeight="1">
      <c r="A80" s="345"/>
      <c r="B80" s="345"/>
      <c r="C80" s="304">
        <v>3</v>
      </c>
      <c r="D80" s="344"/>
      <c r="E80" s="168" t="s">
        <v>7927</v>
      </c>
      <c r="F80" s="45" t="s">
        <v>326</v>
      </c>
      <c r="G80" s="45" t="s">
        <v>524</v>
      </c>
      <c r="H80" s="80" t="s">
        <v>7928</v>
      </c>
      <c r="I80" s="47" t="s">
        <v>7929</v>
      </c>
      <c r="J80" s="70" t="s">
        <v>294</v>
      </c>
      <c r="K80" s="84" t="s">
        <v>299</v>
      </c>
    </row>
    <row r="81" spans="1:11" ht="15.75" customHeight="1">
      <c r="A81" s="422" t="s">
        <v>7984</v>
      </c>
      <c r="B81" s="349"/>
      <c r="C81" s="349"/>
      <c r="D81" s="349"/>
      <c r="E81" s="349"/>
      <c r="F81" s="349"/>
      <c r="G81" s="349"/>
      <c r="H81" s="349"/>
      <c r="I81" s="349"/>
      <c r="J81" s="347"/>
      <c r="K81" s="84" t="s">
        <v>299</v>
      </c>
    </row>
    <row r="82" spans="1:11" ht="15.75" customHeight="1">
      <c r="A82" s="420"/>
      <c r="B82" s="421">
        <v>1022</v>
      </c>
      <c r="C82" s="304">
        <v>1</v>
      </c>
      <c r="D82" s="418" t="s">
        <v>7985</v>
      </c>
      <c r="E82" s="168" t="s">
        <v>7914</v>
      </c>
      <c r="F82" s="45" t="s">
        <v>326</v>
      </c>
      <c r="G82" s="45" t="s">
        <v>327</v>
      </c>
      <c r="H82" s="144" t="s">
        <v>7915</v>
      </c>
      <c r="I82" s="47" t="s">
        <v>7931</v>
      </c>
      <c r="J82" s="70" t="s">
        <v>294</v>
      </c>
      <c r="K82" s="84" t="s">
        <v>299</v>
      </c>
    </row>
    <row r="83" spans="1:11" ht="15.75" customHeight="1">
      <c r="A83" s="344"/>
      <c r="B83" s="344"/>
      <c r="C83" s="304">
        <v>2</v>
      </c>
      <c r="D83" s="344"/>
      <c r="E83" s="168" t="s">
        <v>7917</v>
      </c>
      <c r="F83" s="45" t="s">
        <v>326</v>
      </c>
      <c r="G83" s="45" t="s">
        <v>327</v>
      </c>
      <c r="H83" s="80" t="s">
        <v>7918</v>
      </c>
      <c r="I83" s="47" t="s">
        <v>7916</v>
      </c>
      <c r="J83" s="70" t="s">
        <v>294</v>
      </c>
      <c r="K83" s="84" t="s">
        <v>299</v>
      </c>
    </row>
    <row r="84" spans="1:11" ht="15.75" customHeight="1">
      <c r="A84" s="345"/>
      <c r="B84" s="345"/>
      <c r="C84" s="304">
        <v>3</v>
      </c>
      <c r="D84" s="345"/>
      <c r="E84" s="168" t="s">
        <v>7919</v>
      </c>
      <c r="F84" s="45" t="s">
        <v>326</v>
      </c>
      <c r="G84" s="45" t="s">
        <v>524</v>
      </c>
      <c r="H84" s="80" t="s">
        <v>7920</v>
      </c>
      <c r="I84" s="47" t="s">
        <v>7916</v>
      </c>
      <c r="J84" s="70" t="s">
        <v>294</v>
      </c>
      <c r="K84" s="84" t="s">
        <v>299</v>
      </c>
    </row>
    <row r="85" spans="1:11" ht="15.75" customHeight="1">
      <c r="A85" s="422" t="s">
        <v>7986</v>
      </c>
      <c r="B85" s="349"/>
      <c r="C85" s="349"/>
      <c r="D85" s="349"/>
      <c r="E85" s="349"/>
      <c r="F85" s="349"/>
      <c r="G85" s="349"/>
      <c r="H85" s="349"/>
      <c r="I85" s="349"/>
      <c r="J85" s="347"/>
      <c r="K85" s="84" t="s">
        <v>299</v>
      </c>
    </row>
    <row r="86" spans="1:11" ht="15.75" customHeight="1">
      <c r="A86" s="420"/>
      <c r="B86" s="421">
        <v>1023</v>
      </c>
      <c r="C86" s="304">
        <v>1</v>
      </c>
      <c r="D86" s="418" t="s">
        <v>7987</v>
      </c>
      <c r="E86" s="168" t="s">
        <v>7914</v>
      </c>
      <c r="F86" s="74" t="s">
        <v>326</v>
      </c>
      <c r="G86" s="45" t="s">
        <v>327</v>
      </c>
      <c r="H86" s="144" t="s">
        <v>7915</v>
      </c>
      <c r="I86" s="47" t="s">
        <v>7933</v>
      </c>
      <c r="J86" s="70" t="s">
        <v>294</v>
      </c>
      <c r="K86" s="84" t="s">
        <v>299</v>
      </c>
    </row>
    <row r="87" spans="1:11" ht="15.75" customHeight="1">
      <c r="A87" s="344"/>
      <c r="B87" s="344"/>
      <c r="C87" s="304">
        <v>2</v>
      </c>
      <c r="D87" s="344"/>
      <c r="E87" s="168" t="s">
        <v>7917</v>
      </c>
      <c r="F87" s="74" t="s">
        <v>326</v>
      </c>
      <c r="G87" s="45" t="s">
        <v>327</v>
      </c>
      <c r="H87" s="80" t="s">
        <v>7918</v>
      </c>
      <c r="I87" s="47" t="s">
        <v>7916</v>
      </c>
      <c r="J87" s="70" t="s">
        <v>294</v>
      </c>
      <c r="K87" s="84" t="s">
        <v>299</v>
      </c>
    </row>
    <row r="88" spans="1:11" ht="15.75" customHeight="1">
      <c r="A88" s="345"/>
      <c r="B88" s="345"/>
      <c r="C88" s="304">
        <v>3</v>
      </c>
      <c r="D88" s="345"/>
      <c r="E88" s="168" t="s">
        <v>7919</v>
      </c>
      <c r="F88" s="74" t="s">
        <v>326</v>
      </c>
      <c r="G88" s="74" t="s">
        <v>524</v>
      </c>
      <c r="H88" s="80" t="s">
        <v>7936</v>
      </c>
      <c r="I88" s="47" t="s">
        <v>7937</v>
      </c>
      <c r="J88" s="70" t="s">
        <v>294</v>
      </c>
      <c r="K88" s="84" t="s">
        <v>299</v>
      </c>
    </row>
    <row r="89" spans="1:11" ht="16.5" customHeight="1">
      <c r="A89" s="422" t="s">
        <v>7988</v>
      </c>
      <c r="B89" s="349"/>
      <c r="C89" s="349"/>
      <c r="D89" s="349"/>
      <c r="E89" s="349"/>
      <c r="F89" s="349"/>
      <c r="G89" s="349"/>
      <c r="H89" s="349"/>
      <c r="I89" s="349"/>
      <c r="J89" s="347"/>
      <c r="K89" s="84"/>
    </row>
    <row r="90" spans="1:11" ht="15.75" customHeight="1">
      <c r="A90" s="420"/>
      <c r="B90" s="421">
        <v>1024</v>
      </c>
      <c r="C90" s="304">
        <v>1</v>
      </c>
      <c r="D90" s="419" t="s">
        <v>7988</v>
      </c>
      <c r="E90" s="321" t="s">
        <v>7989</v>
      </c>
      <c r="F90" s="74" t="s">
        <v>326</v>
      </c>
      <c r="G90" s="74" t="s">
        <v>524</v>
      </c>
      <c r="H90" s="84" t="s">
        <v>7499</v>
      </c>
      <c r="I90" s="84" t="s">
        <v>7500</v>
      </c>
      <c r="J90" s="70" t="s">
        <v>294</v>
      </c>
      <c r="K90" s="84"/>
    </row>
    <row r="91" spans="1:11" ht="15.75" customHeight="1">
      <c r="A91" s="344"/>
      <c r="B91" s="344"/>
      <c r="C91" s="304">
        <v>2</v>
      </c>
      <c r="D91" s="344"/>
      <c r="E91" s="322" t="s">
        <v>7501</v>
      </c>
      <c r="F91" s="74" t="s">
        <v>326</v>
      </c>
      <c r="G91" s="74" t="s">
        <v>524</v>
      </c>
      <c r="H91" s="84" t="s">
        <v>7502</v>
      </c>
      <c r="I91" s="84" t="s">
        <v>7503</v>
      </c>
      <c r="J91" s="70" t="s">
        <v>294</v>
      </c>
      <c r="K91" s="84"/>
    </row>
    <row r="92" spans="1:11" ht="15.75" customHeight="1">
      <c r="A92" s="344"/>
      <c r="B92" s="344"/>
      <c r="C92" s="304">
        <v>3</v>
      </c>
      <c r="D92" s="344"/>
      <c r="E92" s="322" t="s">
        <v>7504</v>
      </c>
      <c r="F92" s="74" t="s">
        <v>326</v>
      </c>
      <c r="G92" s="74" t="s">
        <v>524</v>
      </c>
      <c r="H92" s="84" t="s">
        <v>7505</v>
      </c>
      <c r="I92" s="84" t="s">
        <v>7506</v>
      </c>
      <c r="J92" s="70" t="s">
        <v>294</v>
      </c>
      <c r="K92" s="84"/>
    </row>
    <row r="93" spans="1:11" ht="15.75" customHeight="1">
      <c r="A93" s="344"/>
      <c r="B93" s="344"/>
      <c r="C93" s="304">
        <v>4</v>
      </c>
      <c r="D93" s="344"/>
      <c r="E93" s="322" t="s">
        <v>7507</v>
      </c>
      <c r="F93" s="74" t="s">
        <v>326</v>
      </c>
      <c r="G93" s="74" t="s">
        <v>524</v>
      </c>
      <c r="H93" s="84" t="s">
        <v>7990</v>
      </c>
      <c r="I93" s="84" t="s">
        <v>7509</v>
      </c>
      <c r="J93" s="70" t="s">
        <v>294</v>
      </c>
      <c r="K93" s="84"/>
    </row>
    <row r="94" spans="1:11" ht="15.75" customHeight="1">
      <c r="A94" s="344"/>
      <c r="B94" s="344"/>
      <c r="C94" s="304">
        <v>5</v>
      </c>
      <c r="D94" s="344"/>
      <c r="E94" s="322" t="s">
        <v>7510</v>
      </c>
      <c r="F94" s="74" t="s">
        <v>326</v>
      </c>
      <c r="G94" s="74" t="s">
        <v>524</v>
      </c>
      <c r="H94" s="84" t="s">
        <v>7991</v>
      </c>
      <c r="I94" s="84" t="s">
        <v>7512</v>
      </c>
      <c r="J94" s="70" t="s">
        <v>294</v>
      </c>
      <c r="K94" s="84"/>
    </row>
    <row r="95" spans="1:11" ht="15.75" customHeight="1">
      <c r="A95" s="344"/>
      <c r="B95" s="344"/>
      <c r="C95" s="304">
        <v>6</v>
      </c>
      <c r="D95" s="344"/>
      <c r="E95" s="322" t="s">
        <v>7513</v>
      </c>
      <c r="F95" s="74" t="s">
        <v>326</v>
      </c>
      <c r="G95" s="74" t="s">
        <v>524</v>
      </c>
      <c r="H95" s="84" t="s">
        <v>7514</v>
      </c>
      <c r="I95" s="84" t="s">
        <v>7515</v>
      </c>
      <c r="J95" s="70" t="s">
        <v>294</v>
      </c>
      <c r="K95" s="84"/>
    </row>
    <row r="96" spans="1:11" ht="15.75" customHeight="1">
      <c r="A96" s="344"/>
      <c r="B96" s="344"/>
      <c r="C96" s="304">
        <v>7</v>
      </c>
      <c r="D96" s="344"/>
      <c r="E96" s="322" t="s">
        <v>7516</v>
      </c>
      <c r="F96" s="74" t="s">
        <v>326</v>
      </c>
      <c r="G96" s="74" t="s">
        <v>524</v>
      </c>
      <c r="H96" s="84" t="s">
        <v>7992</v>
      </c>
      <c r="I96" s="84" t="s">
        <v>7518</v>
      </c>
      <c r="J96" s="70" t="s">
        <v>294</v>
      </c>
      <c r="K96" s="84"/>
    </row>
    <row r="97" spans="1:11" ht="15.75" customHeight="1">
      <c r="A97" s="344"/>
      <c r="B97" s="344"/>
      <c r="C97" s="304">
        <v>8</v>
      </c>
      <c r="D97" s="344"/>
      <c r="E97" s="322" t="s">
        <v>7507</v>
      </c>
      <c r="F97" s="74" t="s">
        <v>326</v>
      </c>
      <c r="G97" s="74" t="s">
        <v>524</v>
      </c>
      <c r="H97" s="84" t="s">
        <v>7519</v>
      </c>
      <c r="I97" s="84" t="s">
        <v>7993</v>
      </c>
      <c r="J97" s="70" t="s">
        <v>294</v>
      </c>
      <c r="K97" s="84"/>
    </row>
    <row r="98" spans="1:11" ht="15.75" customHeight="1">
      <c r="A98" s="344"/>
      <c r="B98" s="344"/>
      <c r="C98" s="304">
        <v>9</v>
      </c>
      <c r="D98" s="344"/>
      <c r="E98" s="322" t="s">
        <v>7521</v>
      </c>
      <c r="F98" s="74" t="s">
        <v>326</v>
      </c>
      <c r="G98" s="74" t="s">
        <v>524</v>
      </c>
      <c r="H98" s="84" t="s">
        <v>7994</v>
      </c>
      <c r="I98" s="84" t="s">
        <v>7523</v>
      </c>
      <c r="J98" s="70" t="s">
        <v>294</v>
      </c>
      <c r="K98" s="84"/>
    </row>
    <row r="99" spans="1:11" ht="15.75" customHeight="1">
      <c r="A99" s="345"/>
      <c r="B99" s="345"/>
      <c r="C99" s="304">
        <v>10</v>
      </c>
      <c r="D99" s="345"/>
      <c r="E99" s="322" t="s">
        <v>7524</v>
      </c>
      <c r="F99" s="74" t="s">
        <v>326</v>
      </c>
      <c r="G99" s="74" t="s">
        <v>524</v>
      </c>
      <c r="H99" s="84" t="s">
        <v>7525</v>
      </c>
      <c r="I99" s="84" t="s">
        <v>7526</v>
      </c>
      <c r="J99" s="70" t="s">
        <v>294</v>
      </c>
      <c r="K99" s="84"/>
    </row>
    <row r="100" spans="1:11" ht="16.5" customHeight="1">
      <c r="A100" s="422" t="s">
        <v>7995</v>
      </c>
      <c r="B100" s="349"/>
      <c r="C100" s="349"/>
      <c r="D100" s="349"/>
      <c r="E100" s="349"/>
      <c r="F100" s="349"/>
      <c r="G100" s="349"/>
      <c r="H100" s="349"/>
      <c r="I100" s="349"/>
      <c r="J100" s="347"/>
      <c r="K100" s="84"/>
    </row>
    <row r="101" spans="1:11" ht="15.75" customHeight="1">
      <c r="A101" s="305"/>
      <c r="B101" s="304">
        <v>1025</v>
      </c>
      <c r="C101" s="304">
        <v>1</v>
      </c>
      <c r="D101" s="306" t="s">
        <v>7995</v>
      </c>
      <c r="E101" s="84" t="s">
        <v>7996</v>
      </c>
      <c r="F101" s="74" t="s">
        <v>326</v>
      </c>
      <c r="G101" s="74" t="s">
        <v>327</v>
      </c>
      <c r="H101" s="84" t="s">
        <v>7997</v>
      </c>
      <c r="I101" s="84" t="s">
        <v>7998</v>
      </c>
      <c r="J101" s="70" t="s">
        <v>294</v>
      </c>
      <c r="K101" s="84"/>
    </row>
    <row r="102" spans="1:11" ht="15.75" customHeight="1"/>
    <row r="103" spans="1:11" ht="15.75" customHeight="1"/>
    <row r="104" spans="1:11" ht="15.75" customHeight="1"/>
    <row r="105" spans="1:11" ht="15.75" customHeight="1"/>
    <row r="106" spans="1:11" ht="15.75" customHeight="1"/>
    <row r="107" spans="1:11" ht="15.75" customHeight="1"/>
    <row r="108" spans="1:11" ht="15.75" customHeight="1"/>
    <row r="109" spans="1:11" ht="15.75" customHeight="1"/>
    <row r="110" spans="1:11" ht="15.75" customHeight="1"/>
    <row r="111" spans="1:11" ht="15.75" customHeight="1"/>
    <row r="112" spans="1:11"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78">
    <mergeCell ref="A45:J45"/>
    <mergeCell ref="A29:A31"/>
    <mergeCell ref="A33:A35"/>
    <mergeCell ref="B33:B35"/>
    <mergeCell ref="D33:D35"/>
    <mergeCell ref="A37:A39"/>
    <mergeCell ref="B37:B39"/>
    <mergeCell ref="D37:D39"/>
    <mergeCell ref="A36:J36"/>
    <mergeCell ref="A40:J40"/>
    <mergeCell ref="A32:J32"/>
    <mergeCell ref="A28:J28"/>
    <mergeCell ref="B29:B31"/>
    <mergeCell ref="D29:D31"/>
    <mergeCell ref="A41:A44"/>
    <mergeCell ref="B41:B44"/>
    <mergeCell ref="D41:D44"/>
    <mergeCell ref="D7:D10"/>
    <mergeCell ref="A21:A22"/>
    <mergeCell ref="B21:B22"/>
    <mergeCell ref="D21:D22"/>
    <mergeCell ref="A26:A27"/>
    <mergeCell ref="B26:B27"/>
    <mergeCell ref="D26:D27"/>
    <mergeCell ref="B86:B88"/>
    <mergeCell ref="A89:J89"/>
    <mergeCell ref="A2:K2"/>
    <mergeCell ref="A3:K3"/>
    <mergeCell ref="A4:A6"/>
    <mergeCell ref="B4:B6"/>
    <mergeCell ref="D4:D6"/>
    <mergeCell ref="A24:J24"/>
    <mergeCell ref="A7:A10"/>
    <mergeCell ref="A11:A16"/>
    <mergeCell ref="B11:B16"/>
    <mergeCell ref="D11:D16"/>
    <mergeCell ref="A17:A20"/>
    <mergeCell ref="B17:B20"/>
    <mergeCell ref="D17:D20"/>
    <mergeCell ref="B7:B10"/>
    <mergeCell ref="D62:D64"/>
    <mergeCell ref="D68:D71"/>
    <mergeCell ref="A90:A99"/>
    <mergeCell ref="B90:B99"/>
    <mergeCell ref="A100:J100"/>
    <mergeCell ref="A67:A72"/>
    <mergeCell ref="A74:A76"/>
    <mergeCell ref="B74:B76"/>
    <mergeCell ref="A78:A80"/>
    <mergeCell ref="B78:B80"/>
    <mergeCell ref="A82:A84"/>
    <mergeCell ref="B82:B84"/>
    <mergeCell ref="D90:D99"/>
    <mergeCell ref="D74:D76"/>
    <mergeCell ref="D78:D80"/>
    <mergeCell ref="A86:A88"/>
    <mergeCell ref="D82:D84"/>
    <mergeCell ref="D86:D88"/>
    <mergeCell ref="A54:A57"/>
    <mergeCell ref="B54:B57"/>
    <mergeCell ref="A77:J77"/>
    <mergeCell ref="A81:J81"/>
    <mergeCell ref="A85:J85"/>
    <mergeCell ref="A58:A61"/>
    <mergeCell ref="B58:B61"/>
    <mergeCell ref="A62:A64"/>
    <mergeCell ref="B62:B64"/>
    <mergeCell ref="B67:B72"/>
    <mergeCell ref="C67:C72"/>
    <mergeCell ref="A73:J73"/>
    <mergeCell ref="D54:D57"/>
    <mergeCell ref="D58:D61"/>
    <mergeCell ref="A46:A52"/>
    <mergeCell ref="B46:B52"/>
    <mergeCell ref="E48:E50"/>
    <mergeCell ref="E51:E52"/>
    <mergeCell ref="A53:J53"/>
    <mergeCell ref="D46:D52"/>
  </mergeCells>
  <conditionalFormatting sqref="J7:J15 J17 J19:J22">
    <cfRule type="containsText" dxfId="103" priority="1" operator="containsText" text="NG">
      <formula>NOT(ISERROR(SEARCH(("NG"),(J7))))</formula>
    </cfRule>
  </conditionalFormatting>
  <conditionalFormatting sqref="J7:J15 J17 J19:J22">
    <cfRule type="containsText" dxfId="102" priority="2" operator="containsText" text="OK">
      <formula>NOT(ISERROR(SEARCH(("OK"),(J7))))</formula>
    </cfRule>
  </conditionalFormatting>
  <conditionalFormatting sqref="J4:J6">
    <cfRule type="containsText" dxfId="101" priority="3" operator="containsText" text="NG">
      <formula>NOT(ISERROR(SEARCH(("NG"),(J4))))</formula>
    </cfRule>
  </conditionalFormatting>
  <conditionalFormatting sqref="J4:J6">
    <cfRule type="containsText" dxfId="100" priority="4" operator="containsText" text="OK">
      <formula>NOT(ISERROR(SEARCH(("OK"),(J4))))</formula>
    </cfRule>
  </conditionalFormatting>
  <conditionalFormatting sqref="J25">
    <cfRule type="containsText" dxfId="99" priority="5" operator="containsText" text="NG">
      <formula>NOT(ISERROR(SEARCH(("NG"),(J25))))</formula>
    </cfRule>
  </conditionalFormatting>
  <conditionalFormatting sqref="J25">
    <cfRule type="containsText" dxfId="98" priority="6" operator="containsText" text="OK">
      <formula>NOT(ISERROR(SEARCH(("OK"),(J25))))</formula>
    </cfRule>
  </conditionalFormatting>
  <conditionalFormatting sqref="J26">
    <cfRule type="containsText" dxfId="97" priority="7" operator="containsText" text="NG">
      <formula>NOT(ISERROR(SEARCH(("NG"),(J26))))</formula>
    </cfRule>
  </conditionalFormatting>
  <conditionalFormatting sqref="J26">
    <cfRule type="containsText" dxfId="96" priority="8" operator="containsText" text="OK">
      <formula>NOT(ISERROR(SEARCH(("OK"),(J26))))</formula>
    </cfRule>
  </conditionalFormatting>
  <conditionalFormatting sqref="J23">
    <cfRule type="containsText" dxfId="95" priority="9" operator="containsText" text="NG">
      <formula>NOT(ISERROR(SEARCH(("NG"),(J23))))</formula>
    </cfRule>
  </conditionalFormatting>
  <conditionalFormatting sqref="J23">
    <cfRule type="containsText" dxfId="94" priority="10" operator="containsText" text="OK">
      <formula>NOT(ISERROR(SEARCH(("OK"),(J23))))</formula>
    </cfRule>
  </conditionalFormatting>
  <conditionalFormatting sqref="J23">
    <cfRule type="containsText" dxfId="93" priority="11" operator="containsText" text="NG">
      <formula>NOT(ISERROR(SEARCH(("NG"),(J23))))</formula>
    </cfRule>
  </conditionalFormatting>
  <conditionalFormatting sqref="J23">
    <cfRule type="containsText" dxfId="92" priority="12" operator="containsText" text="OK">
      <formula>NOT(ISERROR(SEARCH(("OK"),(J23))))</formula>
    </cfRule>
  </conditionalFormatting>
  <conditionalFormatting sqref="J16">
    <cfRule type="containsText" dxfId="91" priority="13" operator="containsText" text="NG">
      <formula>NOT(ISERROR(SEARCH(("NG"),(J16))))</formula>
    </cfRule>
  </conditionalFormatting>
  <conditionalFormatting sqref="J16">
    <cfRule type="containsText" dxfId="90" priority="14" operator="containsText" text="OK">
      <formula>NOT(ISERROR(SEARCH(("OK"),(J16))))</formula>
    </cfRule>
  </conditionalFormatting>
  <conditionalFormatting sqref="J27">
    <cfRule type="containsText" dxfId="89" priority="15" operator="containsText" text="NG">
      <formula>NOT(ISERROR(SEARCH(("NG"),(J27))))</formula>
    </cfRule>
  </conditionalFormatting>
  <conditionalFormatting sqref="J27">
    <cfRule type="containsText" dxfId="88" priority="16" operator="containsText" text="OK">
      <formula>NOT(ISERROR(SEARCH(("OK"),(J27))))</formula>
    </cfRule>
  </conditionalFormatting>
  <conditionalFormatting sqref="J18">
    <cfRule type="containsText" dxfId="87" priority="17" operator="containsText" text="NG">
      <formula>NOT(ISERROR(SEARCH(("NG"),(J18))))</formula>
    </cfRule>
  </conditionalFormatting>
  <conditionalFormatting sqref="J18">
    <cfRule type="containsText" dxfId="86" priority="18" operator="containsText" text="OK">
      <formula>NOT(ISERROR(SEARCH(("OK"),(J18))))</formula>
    </cfRule>
  </conditionalFormatting>
  <conditionalFormatting sqref="I29:I31 I69:I71">
    <cfRule type="cellIs" dxfId="85" priority="19" stopIfTrue="1" operator="equal">
      <formula>"OK"</formula>
    </cfRule>
  </conditionalFormatting>
  <conditionalFormatting sqref="I29:I31 I69:I71">
    <cfRule type="cellIs" dxfId="84" priority="20" stopIfTrue="1" operator="equal">
      <formula>"Fail"</formula>
    </cfRule>
  </conditionalFormatting>
  <conditionalFormatting sqref="I29:I31 I69:I71">
    <cfRule type="cellIs" dxfId="83" priority="21" stopIfTrue="1" operator="equal">
      <formula>"OK"</formula>
    </cfRule>
  </conditionalFormatting>
  <conditionalFormatting sqref="I29:I31 I69:I71">
    <cfRule type="cellIs" dxfId="82" priority="22" stopIfTrue="1" operator="equal">
      <formula>"Fail"</formula>
    </cfRule>
  </conditionalFormatting>
  <conditionalFormatting sqref="I37:I39 I42 I44">
    <cfRule type="cellIs" dxfId="81" priority="23" stopIfTrue="1" operator="equal">
      <formula>"OK"</formula>
    </cfRule>
  </conditionalFormatting>
  <conditionalFormatting sqref="I37:I39 I42 I44">
    <cfRule type="cellIs" dxfId="80" priority="24" stopIfTrue="1" operator="equal">
      <formula>"Fail"</formula>
    </cfRule>
  </conditionalFormatting>
  <conditionalFormatting sqref="I37:I39 I42 I44">
    <cfRule type="cellIs" dxfId="79" priority="25" stopIfTrue="1" operator="equal">
      <formula>"OK"</formula>
    </cfRule>
  </conditionalFormatting>
  <conditionalFormatting sqref="I37:I39 I42 I44">
    <cfRule type="cellIs" dxfId="78" priority="26" stopIfTrue="1" operator="equal">
      <formula>"Fail"</formula>
    </cfRule>
  </conditionalFormatting>
  <conditionalFormatting sqref="J29:J31">
    <cfRule type="containsText" dxfId="77" priority="27" operator="containsText" text="NG">
      <formula>NOT(ISERROR(SEARCH(("NG"),(J29))))</formula>
    </cfRule>
  </conditionalFormatting>
  <conditionalFormatting sqref="J29:J31">
    <cfRule type="containsText" dxfId="76" priority="28" operator="containsText" text="OK">
      <formula>NOT(ISERROR(SEARCH(("OK"),(J29))))</formula>
    </cfRule>
  </conditionalFormatting>
  <conditionalFormatting sqref="I46:I51">
    <cfRule type="cellIs" dxfId="75" priority="29" stopIfTrue="1" operator="equal">
      <formula>"OK"</formula>
    </cfRule>
  </conditionalFormatting>
  <conditionalFormatting sqref="I46:I51">
    <cfRule type="cellIs" dxfId="74" priority="30" stopIfTrue="1" operator="equal">
      <formula>"Fail"</formula>
    </cfRule>
  </conditionalFormatting>
  <conditionalFormatting sqref="I46:I51">
    <cfRule type="cellIs" dxfId="73" priority="31" stopIfTrue="1" operator="equal">
      <formula>"OK"</formula>
    </cfRule>
  </conditionalFormatting>
  <conditionalFormatting sqref="I46:I51">
    <cfRule type="cellIs" dxfId="72" priority="32" stopIfTrue="1" operator="equal">
      <formula>"Fail"</formula>
    </cfRule>
  </conditionalFormatting>
  <conditionalFormatting sqref="J46:J52">
    <cfRule type="containsText" dxfId="71" priority="33" operator="containsText" text="NG">
      <formula>NOT(ISERROR(SEARCH(("NG"),(J46))))</formula>
    </cfRule>
  </conditionalFormatting>
  <conditionalFormatting sqref="J46:J52">
    <cfRule type="containsText" dxfId="70" priority="34" operator="containsText" text="OK">
      <formula>NOT(ISERROR(SEARCH(("OK"),(J46))))</formula>
    </cfRule>
  </conditionalFormatting>
  <conditionalFormatting sqref="I33:I35">
    <cfRule type="cellIs" dxfId="69" priority="35" stopIfTrue="1" operator="equal">
      <formula>"OK"</formula>
    </cfRule>
  </conditionalFormatting>
  <conditionalFormatting sqref="I33:I35">
    <cfRule type="cellIs" dxfId="68" priority="36" stopIfTrue="1" operator="equal">
      <formula>"Fail"</formula>
    </cfRule>
  </conditionalFormatting>
  <conditionalFormatting sqref="I33:I35">
    <cfRule type="cellIs" dxfId="67" priority="37" stopIfTrue="1" operator="equal">
      <formula>"OK"</formula>
    </cfRule>
  </conditionalFormatting>
  <conditionalFormatting sqref="I33:I35">
    <cfRule type="cellIs" dxfId="66" priority="38" stopIfTrue="1" operator="equal">
      <formula>"Fail"</formula>
    </cfRule>
  </conditionalFormatting>
  <conditionalFormatting sqref="I52">
    <cfRule type="cellIs" dxfId="65" priority="39" stopIfTrue="1" operator="equal">
      <formula>"OK"</formula>
    </cfRule>
  </conditionalFormatting>
  <conditionalFormatting sqref="I52">
    <cfRule type="cellIs" dxfId="64" priority="40" stopIfTrue="1" operator="equal">
      <formula>"Fail"</formula>
    </cfRule>
  </conditionalFormatting>
  <conditionalFormatting sqref="I52">
    <cfRule type="cellIs" dxfId="63" priority="41" stopIfTrue="1" operator="equal">
      <formula>"OK"</formula>
    </cfRule>
  </conditionalFormatting>
  <conditionalFormatting sqref="I52">
    <cfRule type="cellIs" dxfId="62" priority="42" stopIfTrue="1" operator="equal">
      <formula>"Fail"</formula>
    </cfRule>
  </conditionalFormatting>
  <conditionalFormatting sqref="I43">
    <cfRule type="cellIs" dxfId="61" priority="43" stopIfTrue="1" operator="equal">
      <formula>"OK"</formula>
    </cfRule>
  </conditionalFormatting>
  <conditionalFormatting sqref="I43">
    <cfRule type="cellIs" dxfId="60" priority="44" stopIfTrue="1" operator="equal">
      <formula>"Fail"</formula>
    </cfRule>
  </conditionalFormatting>
  <conditionalFormatting sqref="I43">
    <cfRule type="cellIs" dxfId="59" priority="45" stopIfTrue="1" operator="equal">
      <formula>"OK"</formula>
    </cfRule>
  </conditionalFormatting>
  <conditionalFormatting sqref="I43">
    <cfRule type="cellIs" dxfId="58" priority="46" stopIfTrue="1" operator="equal">
      <formula>"Fail"</formula>
    </cfRule>
  </conditionalFormatting>
  <conditionalFormatting sqref="J33:J35 J37:J39 J41:J44">
    <cfRule type="containsText" dxfId="57" priority="47" operator="containsText" text="NG">
      <formula>NOT(ISERROR(SEARCH(("NG"),(J33))))</formula>
    </cfRule>
  </conditionalFormatting>
  <conditionalFormatting sqref="J33:J35 J37:J39 J41:J44">
    <cfRule type="containsText" dxfId="56" priority="48" operator="containsText" text="OK">
      <formula>NOT(ISERROR(SEARCH(("OK"),(J33))))</formula>
    </cfRule>
  </conditionalFormatting>
  <conditionalFormatting sqref="J74:J76 J78:J80">
    <cfRule type="containsText" dxfId="55" priority="49" operator="containsText" text="NG">
      <formula>NOT(ISERROR(SEARCH(("NG"),(J74))))</formula>
    </cfRule>
  </conditionalFormatting>
  <conditionalFormatting sqref="J74:J76 J78:J80">
    <cfRule type="containsText" dxfId="54" priority="50" operator="containsText" text="OK">
      <formula>NOT(ISERROR(SEARCH(("OK"),(J74))))</formula>
    </cfRule>
  </conditionalFormatting>
  <conditionalFormatting sqref="J62:J65">
    <cfRule type="containsText" dxfId="53" priority="51" operator="containsText" text="NG">
      <formula>NOT(ISERROR(SEARCH(("NG"),(J62))))</formula>
    </cfRule>
  </conditionalFormatting>
  <conditionalFormatting sqref="J62:J65">
    <cfRule type="containsText" dxfId="52" priority="52" operator="containsText" text="OK">
      <formula>NOT(ISERROR(SEARCH(("OK"),(J62))))</formula>
    </cfRule>
  </conditionalFormatting>
  <conditionalFormatting sqref="J54:J65">
    <cfRule type="containsText" dxfId="51" priority="53" operator="containsText" text="NG">
      <formula>NOT(ISERROR(SEARCH(("NG"),(J54))))</formula>
    </cfRule>
  </conditionalFormatting>
  <conditionalFormatting sqref="J54:J65">
    <cfRule type="containsText" dxfId="50" priority="54" operator="containsText" text="OK">
      <formula>NOT(ISERROR(SEARCH(("OK"),(J54))))</formula>
    </cfRule>
  </conditionalFormatting>
  <conditionalFormatting sqref="J58:J61">
    <cfRule type="containsText" dxfId="49" priority="55" operator="containsText" text="NG">
      <formula>NOT(ISERROR(SEARCH(("NG"),(J58))))</formula>
    </cfRule>
  </conditionalFormatting>
  <conditionalFormatting sqref="J58:J61">
    <cfRule type="containsText" dxfId="48" priority="56" operator="containsText" text="OK">
      <formula>NOT(ISERROR(SEARCH(("OK"),(J58))))</formula>
    </cfRule>
  </conditionalFormatting>
  <conditionalFormatting sqref="I74:I76">
    <cfRule type="cellIs" dxfId="47" priority="57" stopIfTrue="1" operator="equal">
      <formula>"OK"</formula>
    </cfRule>
  </conditionalFormatting>
  <conditionalFormatting sqref="I74:I76">
    <cfRule type="cellIs" dxfId="46" priority="58" stopIfTrue="1" operator="equal">
      <formula>"Fail"</formula>
    </cfRule>
  </conditionalFormatting>
  <conditionalFormatting sqref="I74:I76">
    <cfRule type="cellIs" dxfId="45" priority="59" stopIfTrue="1" operator="equal">
      <formula>"OK"</formula>
    </cfRule>
  </conditionalFormatting>
  <conditionalFormatting sqref="I74:I76">
    <cfRule type="cellIs" dxfId="44" priority="60" stopIfTrue="1" operator="equal">
      <formula>"Fail"</formula>
    </cfRule>
  </conditionalFormatting>
  <conditionalFormatting sqref="I82:I84 I87:I88">
    <cfRule type="cellIs" dxfId="43" priority="61" stopIfTrue="1" operator="equal">
      <formula>"OK"</formula>
    </cfRule>
  </conditionalFormatting>
  <conditionalFormatting sqref="I82:I84 I87:I88">
    <cfRule type="cellIs" dxfId="42" priority="62" stopIfTrue="1" operator="equal">
      <formula>"Fail"</formula>
    </cfRule>
  </conditionalFormatting>
  <conditionalFormatting sqref="I82:I84 I87:I88">
    <cfRule type="cellIs" dxfId="41" priority="63" stopIfTrue="1" operator="equal">
      <formula>"OK"</formula>
    </cfRule>
  </conditionalFormatting>
  <conditionalFormatting sqref="I82:I84 I87:I88">
    <cfRule type="cellIs" dxfId="40" priority="64" stopIfTrue="1" operator="equal">
      <formula>"Fail"</formula>
    </cfRule>
  </conditionalFormatting>
  <conditionalFormatting sqref="I80">
    <cfRule type="cellIs" dxfId="39" priority="65" stopIfTrue="1" operator="equal">
      <formula>"OK"</formula>
    </cfRule>
  </conditionalFormatting>
  <conditionalFormatting sqref="I80">
    <cfRule type="cellIs" dxfId="38" priority="66" stopIfTrue="1" operator="equal">
      <formula>"Fail"</formula>
    </cfRule>
  </conditionalFormatting>
  <conditionalFormatting sqref="I80">
    <cfRule type="cellIs" dxfId="37" priority="67" stopIfTrue="1" operator="equal">
      <formula>"OK"</formula>
    </cfRule>
  </conditionalFormatting>
  <conditionalFormatting sqref="I80">
    <cfRule type="cellIs" dxfId="36" priority="68" stopIfTrue="1" operator="equal">
      <formula>"Fail"</formula>
    </cfRule>
  </conditionalFormatting>
  <conditionalFormatting sqref="I78:I79">
    <cfRule type="cellIs" dxfId="35" priority="69" stopIfTrue="1" operator="equal">
      <formula>"OK"</formula>
    </cfRule>
  </conditionalFormatting>
  <conditionalFormatting sqref="I78:I79">
    <cfRule type="cellIs" dxfId="34" priority="70" stopIfTrue="1" operator="equal">
      <formula>"Fail"</formula>
    </cfRule>
  </conditionalFormatting>
  <conditionalFormatting sqref="I78:I79">
    <cfRule type="cellIs" dxfId="33" priority="71" stopIfTrue="1" operator="equal">
      <formula>"OK"</formula>
    </cfRule>
  </conditionalFormatting>
  <conditionalFormatting sqref="I78:I79">
    <cfRule type="cellIs" dxfId="32" priority="72" stopIfTrue="1" operator="equal">
      <formula>"Fail"</formula>
    </cfRule>
  </conditionalFormatting>
  <conditionalFormatting sqref="I86">
    <cfRule type="cellIs" dxfId="31" priority="73" stopIfTrue="1" operator="equal">
      <formula>"OK"</formula>
    </cfRule>
  </conditionalFormatting>
  <conditionalFormatting sqref="I86">
    <cfRule type="cellIs" dxfId="30" priority="74" stopIfTrue="1" operator="equal">
      <formula>"Fail"</formula>
    </cfRule>
  </conditionalFormatting>
  <conditionalFormatting sqref="I86">
    <cfRule type="cellIs" dxfId="29" priority="75" stopIfTrue="1" operator="equal">
      <formula>"OK"</formula>
    </cfRule>
  </conditionalFormatting>
  <conditionalFormatting sqref="I86">
    <cfRule type="cellIs" dxfId="28" priority="76" stopIfTrue="1" operator="equal">
      <formula>"Fail"</formula>
    </cfRule>
  </conditionalFormatting>
  <conditionalFormatting sqref="I41">
    <cfRule type="cellIs" dxfId="27" priority="77" stopIfTrue="1" operator="equal">
      <formula>"OK"</formula>
    </cfRule>
  </conditionalFormatting>
  <conditionalFormatting sqref="I41">
    <cfRule type="cellIs" dxfId="26" priority="78" stopIfTrue="1" operator="equal">
      <formula>"Fail"</formula>
    </cfRule>
  </conditionalFormatting>
  <conditionalFormatting sqref="I41">
    <cfRule type="cellIs" dxfId="25" priority="79" stopIfTrue="1" operator="equal">
      <formula>"OK"</formula>
    </cfRule>
  </conditionalFormatting>
  <conditionalFormatting sqref="I41">
    <cfRule type="cellIs" dxfId="24" priority="80" stopIfTrue="1" operator="equal">
      <formula>"Fail"</formula>
    </cfRule>
  </conditionalFormatting>
  <conditionalFormatting sqref="J90:J99">
    <cfRule type="containsText" dxfId="23" priority="81" operator="containsText" text="NG">
      <formula>NOT(ISERROR(SEARCH(("NG"),(J90))))</formula>
    </cfRule>
  </conditionalFormatting>
  <conditionalFormatting sqref="J90:J99">
    <cfRule type="containsText" dxfId="22" priority="82" operator="containsText" text="OK">
      <formula>NOT(ISERROR(SEARCH(("OK"),(J90))))</formula>
    </cfRule>
  </conditionalFormatting>
  <conditionalFormatting sqref="I67">
    <cfRule type="cellIs" dxfId="21" priority="83" stopIfTrue="1" operator="equal">
      <formula>"OK"</formula>
    </cfRule>
  </conditionalFormatting>
  <conditionalFormatting sqref="I67">
    <cfRule type="cellIs" dxfId="20" priority="84" stopIfTrue="1" operator="equal">
      <formula>"Fail"</formula>
    </cfRule>
  </conditionalFormatting>
  <conditionalFormatting sqref="I67">
    <cfRule type="cellIs" dxfId="19" priority="85" stopIfTrue="1" operator="equal">
      <formula>"OK"</formula>
    </cfRule>
  </conditionalFormatting>
  <conditionalFormatting sqref="I67">
    <cfRule type="cellIs" dxfId="18" priority="86" stopIfTrue="1" operator="equal">
      <formula>"Fail"</formula>
    </cfRule>
  </conditionalFormatting>
  <conditionalFormatting sqref="J67">
    <cfRule type="containsText" dxfId="17" priority="87" operator="containsText" text="NG">
      <formula>NOT(ISERROR(SEARCH(("NG"),(J67))))</formula>
    </cfRule>
  </conditionalFormatting>
  <conditionalFormatting sqref="J67">
    <cfRule type="containsText" dxfId="16" priority="88" operator="containsText" text="OK">
      <formula>NOT(ISERROR(SEARCH(("OK"),(J67))))</formula>
    </cfRule>
  </conditionalFormatting>
  <conditionalFormatting sqref="I68">
    <cfRule type="cellIs" dxfId="15" priority="89" stopIfTrue="1" operator="equal">
      <formula>"OK"</formula>
    </cfRule>
  </conditionalFormatting>
  <conditionalFormatting sqref="I68">
    <cfRule type="cellIs" dxfId="14" priority="90" stopIfTrue="1" operator="equal">
      <formula>"Fail"</formula>
    </cfRule>
  </conditionalFormatting>
  <conditionalFormatting sqref="I68">
    <cfRule type="cellIs" dxfId="13" priority="91" stopIfTrue="1" operator="equal">
      <formula>"OK"</formula>
    </cfRule>
  </conditionalFormatting>
  <conditionalFormatting sqref="I68">
    <cfRule type="cellIs" dxfId="12" priority="92" stopIfTrue="1" operator="equal">
      <formula>"Fail"</formula>
    </cfRule>
  </conditionalFormatting>
  <conditionalFormatting sqref="J101">
    <cfRule type="containsText" dxfId="11" priority="93" operator="containsText" text="NG">
      <formula>NOT(ISERROR(SEARCH(("NG"),(J101))))</formula>
    </cfRule>
  </conditionalFormatting>
  <conditionalFormatting sqref="J101">
    <cfRule type="containsText" dxfId="10" priority="94" operator="containsText" text="OK">
      <formula>NOT(ISERROR(SEARCH(("OK"),(J101))))</formula>
    </cfRule>
  </conditionalFormatting>
  <conditionalFormatting sqref="J68:J72">
    <cfRule type="containsText" dxfId="9" priority="95" operator="containsText" text="NG">
      <formula>NOT(ISERROR(SEARCH(("NG"),(J68))))</formula>
    </cfRule>
  </conditionalFormatting>
  <conditionalFormatting sqref="J68:J72">
    <cfRule type="containsText" dxfId="8" priority="96" operator="containsText" text="OK">
      <formula>NOT(ISERROR(SEARCH(("OK"),(J68))))</formula>
    </cfRule>
  </conditionalFormatting>
  <conditionalFormatting sqref="J68:J72">
    <cfRule type="containsText" dxfId="7" priority="97" operator="containsText" text="NG">
      <formula>NOT(ISERROR(SEARCH(("NG"),(J68))))</formula>
    </cfRule>
  </conditionalFormatting>
  <conditionalFormatting sqref="J68:J72">
    <cfRule type="containsText" dxfId="6" priority="98" operator="containsText" text="OK">
      <formula>NOT(ISERROR(SEARCH(("OK"),(J68))))</formula>
    </cfRule>
  </conditionalFormatting>
  <conditionalFormatting sqref="J66">
    <cfRule type="containsText" dxfId="5" priority="99" operator="containsText" text="NG">
      <formula>NOT(ISERROR(SEARCH(("NG"),(J66))))</formula>
    </cfRule>
  </conditionalFormatting>
  <conditionalFormatting sqref="J66">
    <cfRule type="containsText" dxfId="4" priority="100" operator="containsText" text="OK">
      <formula>NOT(ISERROR(SEARCH(("OK"),(J66))))</formula>
    </cfRule>
  </conditionalFormatting>
  <conditionalFormatting sqref="J66">
    <cfRule type="containsText" dxfId="3" priority="101" operator="containsText" text="NG">
      <formula>NOT(ISERROR(SEARCH(("NG"),(J66))))</formula>
    </cfRule>
  </conditionalFormatting>
  <conditionalFormatting sqref="J66">
    <cfRule type="containsText" dxfId="2" priority="102" operator="containsText" text="OK">
      <formula>NOT(ISERROR(SEARCH(("OK"),(J66))))</formula>
    </cfRule>
  </conditionalFormatting>
  <conditionalFormatting sqref="J82:J84 J86:J88">
    <cfRule type="containsText" dxfId="1" priority="103" operator="containsText" text="NG">
      <formula>NOT(ISERROR(SEARCH(("NG"),(J82))))</formula>
    </cfRule>
  </conditionalFormatting>
  <conditionalFormatting sqref="J82:J84 J86:J88">
    <cfRule type="containsText" dxfId="0" priority="104" operator="containsText" text="OK">
      <formula>NOT(ISERROR(SEARCH(("OK"),(J82))))</formula>
    </cfRule>
  </conditionalFormatting>
  <dataValidations count="1">
    <dataValidation type="list" allowBlank="1" showErrorMessage="1" sqref="J7:J23 J54:J66 J68:J72">
      <formula1>"OK,NG,-,미검증,개선完"</formula1>
    </dataValidation>
  </dataValidation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주행 중 녹화 기능</vt:lpstr>
      <vt:lpstr>주차 후 녹화 기능</vt:lpstr>
      <vt:lpstr>HU 연동기능</vt:lpstr>
      <vt:lpstr>보조배터리 연동기능</vt:lpstr>
      <vt:lpstr>표시 관련 서비스</vt:lpstr>
      <vt:lpstr>커넥티드 관련 서비스</vt:lpstr>
      <vt:lpstr>차량정보 저장기능</vt:lpstr>
      <vt:lpstr>파일 재생 및 편집</vt:lpstr>
      <vt:lpstr>저장메모리 및 파일관리</vt:lpstr>
      <vt:lpstr>녹화 외 기본기능</vt:lpstr>
      <vt:lpstr>동작 성능</vt:lpstr>
      <vt:lpstr>비기능 외</vt:lpstr>
      <vt:lpstr>진단서비스 (1)</vt:lpstr>
      <vt:lpstr>OTA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Coursa My</dc:creator>
  <cp:lastModifiedBy>Coursa My</cp:lastModifiedBy>
  <dcterms:created xsi:type="dcterms:W3CDTF">2026-05-11T06:37:03Z</dcterms:created>
  <dcterms:modified xsi:type="dcterms:W3CDTF">2026-05-11T07:24:55Z</dcterms:modified>
</cp:coreProperties>
</file>